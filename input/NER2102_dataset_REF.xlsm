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Z:\1_REACH_NIGER\02_Project_Management\2021\2021_Protection_Tillabéri\02. Data cleaning\Referencement\"/>
    </mc:Choice>
  </mc:AlternateContent>
  <bookViews>
    <workbookView xWindow="0" yWindow="0" windowWidth="23040" windowHeight="9192" tabRatio="691" firstSheet="1" activeTab="6"/>
  </bookViews>
  <sheets>
    <sheet name="User Manual" sheetId="22" r:id="rId1"/>
    <sheet name="Raw Data" sheetId="69" r:id="rId2"/>
    <sheet name="Data Checking" sheetId="71" r:id="rId3"/>
    <sheet name="Audit" sheetId="75" r:id="rId4"/>
    <sheet name="Audit 2" sheetId="76" r:id="rId5"/>
    <sheet name="code enqueteurs" sheetId="77" r:id="rId6"/>
    <sheet name="Clean Data" sheetId="67" r:id="rId7"/>
    <sheet name="Vérification échantillonage" sheetId="74" r:id="rId8"/>
    <sheet name="Cleaning Log" sheetId="10" r:id="rId9"/>
    <sheet name="Deletions" sheetId="66" r:id="rId10"/>
  </sheets>
  <definedNames>
    <definedName name="_xlnm._FilterDatabase" localSheetId="8" hidden="1">'Cleaning Log'!$A$2:$K$972</definedName>
    <definedName name="_xlnm._FilterDatabase" localSheetId="2" hidden="1">'Data Checking'!$A$1:$MM$69</definedName>
    <definedName name="_xlnm._FilterDatabase" localSheetId="1" hidden="1">'Raw Data'!#REF!</definedName>
  </definedNames>
  <calcPr calcId="162913"/>
  <pivotCaches>
    <pivotCache cacheId="17" r:id="rId11"/>
  </pivotCaches>
</workbook>
</file>

<file path=xl/calcChain.xml><?xml version="1.0" encoding="utf-8"?>
<calcChain xmlns="http://schemas.openxmlformats.org/spreadsheetml/2006/main">
  <c r="C53" i="71" l="1"/>
  <c r="C28" i="71"/>
  <c r="C64" i="71"/>
  <c r="C13" i="71"/>
  <c r="C30" i="71"/>
  <c r="C29" i="71"/>
  <c r="C14" i="71"/>
  <c r="C15" i="71"/>
  <c r="C16" i="71"/>
  <c r="C17" i="71"/>
  <c r="C12" i="71"/>
  <c r="C54" i="71"/>
  <c r="C63" i="71"/>
  <c r="C65" i="71"/>
  <c r="C60" i="71"/>
  <c r="C18" i="71"/>
  <c r="C19" i="71"/>
  <c r="C20" i="71"/>
  <c r="C44" i="71"/>
  <c r="C45" i="71"/>
  <c r="C46" i="71"/>
  <c r="C47" i="71"/>
  <c r="C56" i="71"/>
  <c r="C21" i="71"/>
  <c r="C5" i="71"/>
  <c r="C6" i="71"/>
  <c r="C7" i="71"/>
  <c r="C8" i="71"/>
  <c r="C66" i="71"/>
  <c r="C55" i="71"/>
  <c r="C67" i="71"/>
  <c r="C68" i="71"/>
  <c r="C69" i="71"/>
  <c r="C33" i="71"/>
  <c r="C34" i="71"/>
  <c r="C35" i="71"/>
  <c r="C36" i="71"/>
  <c r="C48" i="71"/>
  <c r="C49" i="71"/>
  <c r="C37" i="71"/>
  <c r="C31" i="71"/>
  <c r="C57" i="71"/>
  <c r="C58" i="71"/>
  <c r="C22" i="71"/>
  <c r="C23" i="71"/>
  <c r="C24" i="71"/>
  <c r="C25" i="71"/>
  <c r="C32" i="71"/>
  <c r="C59" i="71"/>
  <c r="C26" i="71"/>
  <c r="C27" i="71"/>
  <c r="C50" i="71"/>
  <c r="C51" i="71"/>
  <c r="C38" i="71"/>
  <c r="C39" i="71"/>
  <c r="C40" i="71"/>
  <c r="C41" i="71"/>
  <c r="C42" i="71"/>
  <c r="C43" i="71"/>
  <c r="C61" i="71"/>
  <c r="C2" i="71"/>
  <c r="C3" i="71"/>
  <c r="C62" i="71"/>
  <c r="C9" i="71"/>
  <c r="C10" i="71"/>
  <c r="C11" i="71"/>
  <c r="C4" i="71"/>
  <c r="C52" i="71"/>
  <c r="MD33" i="71" l="1"/>
  <c r="MM8" i="71" l="1"/>
  <c r="MM61" i="71"/>
  <c r="MM29" i="71"/>
  <c r="MM28" i="71"/>
  <c r="MM60" i="71"/>
  <c r="MM62" i="71"/>
  <c r="MM30" i="71"/>
  <c r="MM31" i="71"/>
  <c r="MM32" i="71"/>
  <c r="ML8" i="71"/>
  <c r="ML61" i="71"/>
  <c r="ML29" i="71"/>
  <c r="ML28" i="71"/>
  <c r="ML60" i="71"/>
  <c r="ML62" i="71"/>
  <c r="ML30" i="71"/>
  <c r="ML31" i="71"/>
  <c r="ML32" i="71"/>
  <c r="MK8" i="71"/>
  <c r="MK61" i="71"/>
  <c r="MK29" i="71"/>
  <c r="MK28" i="71"/>
  <c r="MK60" i="71"/>
  <c r="MK62" i="71"/>
  <c r="MK30" i="71"/>
  <c r="MK31" i="71"/>
  <c r="MK32" i="71"/>
  <c r="MJ8" i="71"/>
  <c r="MJ61" i="71"/>
  <c r="MJ29" i="71"/>
  <c r="MJ28" i="71"/>
  <c r="MJ60" i="71"/>
  <c r="MJ62" i="71"/>
  <c r="MJ30" i="71"/>
  <c r="MJ31" i="71"/>
  <c r="MJ32" i="71"/>
  <c r="MI8" i="71"/>
  <c r="MI61" i="71"/>
  <c r="MI29" i="71"/>
  <c r="MI28" i="71"/>
  <c r="MI60" i="71"/>
  <c r="MI62" i="71"/>
  <c r="MI30" i="71"/>
  <c r="MI31" i="71"/>
  <c r="MI32" i="71"/>
  <c r="MH8" i="71"/>
  <c r="MH61" i="71"/>
  <c r="MH29" i="71"/>
  <c r="MH28" i="71"/>
  <c r="MH60" i="71"/>
  <c r="MH62" i="71"/>
  <c r="MH30" i="71"/>
  <c r="MH31" i="71"/>
  <c r="MH32" i="71"/>
  <c r="MG8" i="71"/>
  <c r="MG61" i="71"/>
  <c r="MG29" i="71"/>
  <c r="MG28" i="71"/>
  <c r="MG60" i="71"/>
  <c r="MG62" i="71"/>
  <c r="MG30" i="71"/>
  <c r="MG31" i="71"/>
  <c r="MG32" i="71"/>
  <c r="MF8" i="71"/>
  <c r="A8" i="71" s="1"/>
  <c r="P8" i="71" s="1"/>
  <c r="MF61" i="71"/>
  <c r="MF29" i="71"/>
  <c r="A29" i="71" s="1"/>
  <c r="P29" i="71" s="1"/>
  <c r="MF28" i="71"/>
  <c r="MF60" i="71"/>
  <c r="MF62" i="71"/>
  <c r="A62" i="71" s="1"/>
  <c r="P62" i="71" s="1"/>
  <c r="MF30" i="71"/>
  <c r="A30" i="71" s="1"/>
  <c r="P30" i="71" s="1"/>
  <c r="MF31" i="71"/>
  <c r="MF32" i="71"/>
  <c r="A32" i="71" s="1"/>
  <c r="P32" i="71" s="1"/>
  <c r="ME8" i="71"/>
  <c r="ME61" i="71"/>
  <c r="ME29" i="71"/>
  <c r="ME28" i="71"/>
  <c r="ME60" i="71"/>
  <c r="ME62" i="71"/>
  <c r="ME30" i="71"/>
  <c r="ME31" i="71"/>
  <c r="ME32" i="71"/>
  <c r="MD61" i="71"/>
  <c r="MD29" i="71"/>
  <c r="MD28" i="71"/>
  <c r="MD60" i="71"/>
  <c r="MD62" i="71"/>
  <c r="MD30" i="71"/>
  <c r="MD31" i="71"/>
  <c r="MD32" i="71"/>
  <c r="MC8" i="71"/>
  <c r="MC61" i="71"/>
  <c r="MC29" i="71"/>
  <c r="MC28" i="71"/>
  <c r="MC60" i="71"/>
  <c r="MC62" i="71"/>
  <c r="MC30" i="71"/>
  <c r="MC31" i="71"/>
  <c r="MC32" i="71"/>
  <c r="MB8" i="71"/>
  <c r="MB61" i="71"/>
  <c r="MB29" i="71"/>
  <c r="MB28" i="71"/>
  <c r="MB60" i="71"/>
  <c r="MB62" i="71"/>
  <c r="MB30" i="71"/>
  <c r="MB31" i="71"/>
  <c r="MB32" i="71"/>
  <c r="MA8" i="71"/>
  <c r="MA61" i="71"/>
  <c r="MA29" i="71"/>
  <c r="MA28" i="71"/>
  <c r="MA60" i="71"/>
  <c r="MA62" i="71"/>
  <c r="MA30" i="71"/>
  <c r="MA31" i="71"/>
  <c r="MA32" i="71"/>
  <c r="LZ8" i="71"/>
  <c r="LZ61" i="71"/>
  <c r="LZ29" i="71"/>
  <c r="LZ28" i="71"/>
  <c r="LZ60" i="71"/>
  <c r="LZ62" i="71"/>
  <c r="LZ30" i="71"/>
  <c r="LZ31" i="71"/>
  <c r="LZ32" i="71"/>
  <c r="LY8" i="71"/>
  <c r="LY61" i="71"/>
  <c r="LY29" i="71"/>
  <c r="LY28" i="71"/>
  <c r="LY60" i="71"/>
  <c r="LY62" i="71"/>
  <c r="LY30" i="71"/>
  <c r="LY31" i="71"/>
  <c r="LY32" i="71"/>
  <c r="LX8" i="71"/>
  <c r="LX61" i="71"/>
  <c r="LX29" i="71"/>
  <c r="LX28" i="71"/>
  <c r="LX60" i="71"/>
  <c r="LX62" i="71"/>
  <c r="LX30" i="71"/>
  <c r="LX31" i="71"/>
  <c r="LX32" i="71"/>
  <c r="LW8" i="71"/>
  <c r="LW61" i="71"/>
  <c r="LW29" i="71"/>
  <c r="LW28" i="71"/>
  <c r="LW60" i="71"/>
  <c r="LW62" i="71"/>
  <c r="LW30" i="71"/>
  <c r="LW31" i="71"/>
  <c r="LW32" i="71"/>
  <c r="LV8" i="71"/>
  <c r="LV61" i="71"/>
  <c r="LV29" i="71"/>
  <c r="LV28" i="71"/>
  <c r="LV60" i="71"/>
  <c r="LV62" i="71"/>
  <c r="LV30" i="71"/>
  <c r="LV31" i="71"/>
  <c r="LV32" i="71"/>
  <c r="LU8" i="71"/>
  <c r="LU61" i="71"/>
  <c r="LU29" i="71"/>
  <c r="LU28" i="71"/>
  <c r="LU60" i="71"/>
  <c r="LU62" i="71"/>
  <c r="LU30" i="71"/>
  <c r="LU31" i="71"/>
  <c r="LU32" i="71"/>
  <c r="LT8" i="71"/>
  <c r="LT61" i="71"/>
  <c r="LT29" i="71"/>
  <c r="LT28" i="71"/>
  <c r="LT60" i="71"/>
  <c r="LT62" i="71"/>
  <c r="LT30" i="71"/>
  <c r="LT31" i="71"/>
  <c r="LT32" i="71"/>
  <c r="LS8" i="71"/>
  <c r="LS61" i="71"/>
  <c r="LS29" i="71"/>
  <c r="LS28" i="71"/>
  <c r="LS60" i="71"/>
  <c r="LS62" i="71"/>
  <c r="LS30" i="71"/>
  <c r="LS31" i="71"/>
  <c r="LS32" i="71"/>
  <c r="LR8" i="71"/>
  <c r="LR61" i="71"/>
  <c r="LR29" i="71"/>
  <c r="LR28" i="71"/>
  <c r="LR60" i="71"/>
  <c r="LR62" i="71"/>
  <c r="LR30" i="71"/>
  <c r="LR31" i="71"/>
  <c r="LR32" i="71"/>
  <c r="LQ8" i="71"/>
  <c r="LQ61" i="71"/>
  <c r="LQ29" i="71"/>
  <c r="LQ28" i="71"/>
  <c r="LQ60" i="71"/>
  <c r="LQ62" i="71"/>
  <c r="LQ30" i="71"/>
  <c r="LQ31" i="71"/>
  <c r="LQ32" i="71"/>
  <c r="LP8" i="71"/>
  <c r="LP61" i="71"/>
  <c r="LP29" i="71"/>
  <c r="LP28" i="71"/>
  <c r="LP60" i="71"/>
  <c r="LP62" i="71"/>
  <c r="LP30" i="71"/>
  <c r="LP31" i="71"/>
  <c r="LP32" i="71"/>
  <c r="LO8" i="71"/>
  <c r="LO61" i="71"/>
  <c r="LO29" i="71"/>
  <c r="LO28" i="71"/>
  <c r="LO60" i="71"/>
  <c r="LO62" i="71"/>
  <c r="LO30" i="71"/>
  <c r="LO31" i="71"/>
  <c r="LO32" i="71"/>
  <c r="LN8" i="71"/>
  <c r="LN29" i="71"/>
  <c r="LN60" i="71"/>
  <c r="LN62" i="71"/>
  <c r="LN30" i="71"/>
  <c r="LN31" i="71"/>
  <c r="LN32" i="71"/>
  <c r="LM8" i="71"/>
  <c r="LM61" i="71"/>
  <c r="LM29" i="71"/>
  <c r="LM28" i="71"/>
  <c r="LM60" i="71"/>
  <c r="LM62" i="71"/>
  <c r="LM30" i="71"/>
  <c r="LM31" i="71"/>
  <c r="LM32" i="71"/>
  <c r="LL8" i="71"/>
  <c r="LL61" i="71"/>
  <c r="LL29" i="71"/>
  <c r="LL28" i="71"/>
  <c r="LL60" i="71"/>
  <c r="LL62" i="71"/>
  <c r="LL30" i="71"/>
  <c r="LL31" i="71"/>
  <c r="LL32" i="71"/>
  <c r="LK8" i="71"/>
  <c r="LK61" i="71"/>
  <c r="LK29" i="71"/>
  <c r="LK28" i="71"/>
  <c r="LK60" i="71"/>
  <c r="LK62" i="71"/>
  <c r="LK30" i="71"/>
  <c r="LK31" i="71"/>
  <c r="LK32" i="71"/>
  <c r="LJ8" i="71"/>
  <c r="LJ61" i="71"/>
  <c r="LJ29" i="71"/>
  <c r="LJ28" i="71"/>
  <c r="LJ60" i="71"/>
  <c r="LJ62" i="71"/>
  <c r="LJ30" i="71"/>
  <c r="LJ31" i="71"/>
  <c r="LJ32" i="71"/>
  <c r="LI8" i="71"/>
  <c r="LI61" i="71"/>
  <c r="LI29" i="71"/>
  <c r="LI28" i="71"/>
  <c r="LI60" i="71"/>
  <c r="LI62" i="71"/>
  <c r="LI30" i="71"/>
  <c r="LI31" i="71"/>
  <c r="LI32" i="71"/>
  <c r="LH8" i="71"/>
  <c r="LH61" i="71"/>
  <c r="LH29" i="71"/>
  <c r="LH28" i="71"/>
  <c r="LH60" i="71"/>
  <c r="LH62" i="71"/>
  <c r="LH30" i="71"/>
  <c r="LH31" i="71"/>
  <c r="LH32" i="71"/>
  <c r="LG8" i="71"/>
  <c r="LG61" i="71"/>
  <c r="LG29" i="71"/>
  <c r="LG28" i="71"/>
  <c r="LG60" i="71"/>
  <c r="LG62" i="71"/>
  <c r="LG30" i="71"/>
  <c r="LG31" i="71"/>
  <c r="LG32" i="71"/>
  <c r="LF8" i="71"/>
  <c r="LF61" i="71"/>
  <c r="LF29" i="71"/>
  <c r="LF28" i="71"/>
  <c r="LF60" i="71"/>
  <c r="LF62" i="71"/>
  <c r="LF30" i="71"/>
  <c r="LF31" i="71"/>
  <c r="LF32" i="71"/>
  <c r="LE8" i="71"/>
  <c r="LE61" i="71"/>
  <c r="LE29" i="71"/>
  <c r="LE28" i="71"/>
  <c r="LE60" i="71"/>
  <c r="LE62" i="71"/>
  <c r="LE30" i="71"/>
  <c r="LE31" i="71"/>
  <c r="LE32" i="71"/>
  <c r="LD8" i="71"/>
  <c r="LD61" i="71"/>
  <c r="LD29" i="71"/>
  <c r="LD28" i="71"/>
  <c r="LD60" i="71"/>
  <c r="LD62" i="71"/>
  <c r="LD30" i="71"/>
  <c r="LD31" i="71"/>
  <c r="LD32" i="71"/>
  <c r="LC8" i="71"/>
  <c r="LC61" i="71"/>
  <c r="LC29" i="71"/>
  <c r="LC28" i="71"/>
  <c r="LC60" i="71"/>
  <c r="LC62" i="71"/>
  <c r="LC30" i="71"/>
  <c r="LC31" i="71"/>
  <c r="LC32" i="71"/>
  <c r="LB8" i="71"/>
  <c r="LB61" i="71"/>
  <c r="LB29" i="71"/>
  <c r="LB28" i="71"/>
  <c r="LB60" i="71"/>
  <c r="LB62" i="71"/>
  <c r="LB30" i="71"/>
  <c r="LB31" i="71"/>
  <c r="LB32" i="71"/>
  <c r="LA8" i="71"/>
  <c r="LA61" i="71"/>
  <c r="LA29" i="71"/>
  <c r="LA28" i="71"/>
  <c r="LA60" i="71"/>
  <c r="LA62" i="71"/>
  <c r="LA30" i="71"/>
  <c r="LA31" i="71"/>
  <c r="LA32" i="71"/>
  <c r="KZ8" i="71"/>
  <c r="KZ61" i="71"/>
  <c r="KZ29" i="71"/>
  <c r="KZ28" i="71"/>
  <c r="KZ60" i="71"/>
  <c r="KZ62" i="71"/>
  <c r="KZ30" i="71"/>
  <c r="KZ31" i="71"/>
  <c r="KZ32" i="71"/>
  <c r="KY8" i="71"/>
  <c r="KY61" i="71"/>
  <c r="KY29" i="71"/>
  <c r="KY28" i="71"/>
  <c r="KY60" i="71"/>
  <c r="KY62" i="71"/>
  <c r="KY30" i="71"/>
  <c r="KY31" i="71"/>
  <c r="KY32" i="71"/>
  <c r="KX8" i="71"/>
  <c r="KX61" i="71"/>
  <c r="KX29" i="71"/>
  <c r="KX28" i="71"/>
  <c r="KX60" i="71"/>
  <c r="KX62" i="71"/>
  <c r="KX30" i="71"/>
  <c r="KX31" i="71"/>
  <c r="KX32" i="71"/>
  <c r="KW8" i="71"/>
  <c r="KW61" i="71"/>
  <c r="KW29" i="71"/>
  <c r="KW28" i="71"/>
  <c r="KW60" i="71"/>
  <c r="KW62" i="71"/>
  <c r="KW30" i="71"/>
  <c r="KW31" i="71"/>
  <c r="KW32" i="71"/>
  <c r="KV8" i="71"/>
  <c r="KV61" i="71"/>
  <c r="KV29" i="71"/>
  <c r="KV28" i="71"/>
  <c r="KV60" i="71"/>
  <c r="KV62" i="71"/>
  <c r="KV30" i="71"/>
  <c r="KV31" i="71"/>
  <c r="KV32" i="71"/>
  <c r="KU8" i="71"/>
  <c r="KU61" i="71"/>
  <c r="KU29" i="71"/>
  <c r="KU28" i="71"/>
  <c r="KU60" i="71"/>
  <c r="KU62" i="71"/>
  <c r="KU30" i="71"/>
  <c r="KU31" i="71"/>
  <c r="KU32" i="71"/>
  <c r="KT8" i="71"/>
  <c r="KT61" i="71"/>
  <c r="KT29" i="71"/>
  <c r="KT28" i="71"/>
  <c r="KT60" i="71"/>
  <c r="KT62" i="71"/>
  <c r="KT30" i="71"/>
  <c r="KT31" i="71"/>
  <c r="KT32" i="71"/>
  <c r="KS8" i="71"/>
  <c r="KS61" i="71"/>
  <c r="KS29" i="71"/>
  <c r="KS28" i="71"/>
  <c r="KS60" i="71"/>
  <c r="KS62" i="71"/>
  <c r="KS30" i="71"/>
  <c r="KS31" i="71"/>
  <c r="KS32" i="71"/>
  <c r="KR8" i="71"/>
  <c r="KR29" i="71"/>
  <c r="KR60" i="71"/>
  <c r="KR62" i="71"/>
  <c r="KR30" i="71"/>
  <c r="KR31" i="71"/>
  <c r="KR32" i="71"/>
  <c r="KQ8" i="71"/>
  <c r="KQ61" i="71"/>
  <c r="KQ29" i="71"/>
  <c r="KQ28" i="71"/>
  <c r="KQ60" i="71"/>
  <c r="KQ62" i="71"/>
  <c r="KQ30" i="71"/>
  <c r="KQ31" i="71"/>
  <c r="KQ32" i="71"/>
  <c r="KP8" i="71"/>
  <c r="KP61" i="71"/>
  <c r="KP29" i="71"/>
  <c r="KP28" i="71"/>
  <c r="KP60" i="71"/>
  <c r="KP62" i="71"/>
  <c r="KP30" i="71"/>
  <c r="KP31" i="71"/>
  <c r="KP32" i="71"/>
  <c r="KO8" i="71"/>
  <c r="KO29" i="71"/>
  <c r="KO60" i="71"/>
  <c r="KO62" i="71"/>
  <c r="KO30" i="71"/>
  <c r="KO31" i="71"/>
  <c r="KO32" i="71"/>
  <c r="KN8" i="71"/>
  <c r="KN29" i="71"/>
  <c r="KN60" i="71"/>
  <c r="KN62" i="71"/>
  <c r="KN30" i="71"/>
  <c r="KN31" i="71"/>
  <c r="KN32" i="71"/>
  <c r="KM8" i="71"/>
  <c r="KM29" i="71"/>
  <c r="KM60" i="71"/>
  <c r="KM62" i="71"/>
  <c r="KM30" i="71"/>
  <c r="KM31" i="71"/>
  <c r="KM32" i="71"/>
  <c r="KL8" i="71"/>
  <c r="KL29" i="71"/>
  <c r="KL60" i="71"/>
  <c r="KL62" i="71"/>
  <c r="KL30" i="71"/>
  <c r="KL31" i="71"/>
  <c r="KL32" i="71"/>
  <c r="KK8" i="71"/>
  <c r="KK29" i="71"/>
  <c r="KK60" i="71"/>
  <c r="KK62" i="71"/>
  <c r="KK30" i="71"/>
  <c r="KK31" i="71"/>
  <c r="KK32" i="71"/>
  <c r="KJ8" i="71"/>
  <c r="KJ29" i="71"/>
  <c r="KJ60" i="71"/>
  <c r="KJ62" i="71"/>
  <c r="KJ30" i="71"/>
  <c r="KJ31" i="71"/>
  <c r="KJ32" i="71"/>
  <c r="KI8" i="71"/>
  <c r="KI29" i="71"/>
  <c r="KI60" i="71"/>
  <c r="KI62" i="71"/>
  <c r="KI30" i="71"/>
  <c r="KI31" i="71"/>
  <c r="KI32" i="71"/>
  <c r="KH8" i="71"/>
  <c r="KH29" i="71"/>
  <c r="KH60" i="71"/>
  <c r="KH62" i="71"/>
  <c r="KH30" i="71"/>
  <c r="KH31" i="71"/>
  <c r="KH32" i="71"/>
  <c r="KG8" i="71"/>
  <c r="KG29" i="71"/>
  <c r="KG60" i="71"/>
  <c r="KG62" i="71"/>
  <c r="KG30" i="71"/>
  <c r="KG31" i="71"/>
  <c r="KG32" i="71"/>
  <c r="KF8" i="71"/>
  <c r="KF29" i="71"/>
  <c r="KF60" i="71"/>
  <c r="KF62" i="71"/>
  <c r="KF30" i="71"/>
  <c r="KF31" i="71"/>
  <c r="KF32" i="71"/>
  <c r="KE8" i="71"/>
  <c r="KE61" i="71"/>
  <c r="KE29" i="71"/>
  <c r="KE28" i="71"/>
  <c r="KE60" i="71"/>
  <c r="KE62" i="71"/>
  <c r="KE30" i="71"/>
  <c r="KE31" i="71"/>
  <c r="KE32" i="71"/>
  <c r="KD8" i="71"/>
  <c r="KD61" i="71"/>
  <c r="KD29" i="71"/>
  <c r="KD28" i="71"/>
  <c r="KD60" i="71"/>
  <c r="KD62" i="71"/>
  <c r="KD30" i="71"/>
  <c r="KD31" i="71"/>
  <c r="KD32" i="71"/>
  <c r="KC8" i="71"/>
  <c r="KC61" i="71"/>
  <c r="KC29" i="71"/>
  <c r="KC28" i="71"/>
  <c r="KC60" i="71"/>
  <c r="KC62" i="71"/>
  <c r="KC30" i="71"/>
  <c r="KC31" i="71"/>
  <c r="KC32" i="71"/>
  <c r="KB8" i="71"/>
  <c r="KB61" i="71"/>
  <c r="KB29" i="71"/>
  <c r="KB28" i="71"/>
  <c r="KB60" i="71"/>
  <c r="KB62" i="71"/>
  <c r="KB30" i="71"/>
  <c r="KB31" i="71"/>
  <c r="KB32" i="71"/>
  <c r="KA8" i="71"/>
  <c r="KA61" i="71"/>
  <c r="KA29" i="71"/>
  <c r="KA28" i="71"/>
  <c r="KA60" i="71"/>
  <c r="KA62" i="71"/>
  <c r="KA30" i="71"/>
  <c r="KA31" i="71"/>
  <c r="KA32" i="71"/>
  <c r="JZ8" i="71"/>
  <c r="JZ61" i="71"/>
  <c r="JZ29" i="71"/>
  <c r="JZ28" i="71"/>
  <c r="JZ60" i="71"/>
  <c r="JZ62" i="71"/>
  <c r="JZ30" i="71"/>
  <c r="JZ31" i="71"/>
  <c r="JZ32" i="71"/>
  <c r="JY8" i="71"/>
  <c r="JY61" i="71"/>
  <c r="JY29" i="71"/>
  <c r="JY28" i="71"/>
  <c r="JY60" i="71"/>
  <c r="JY62" i="71"/>
  <c r="JY30" i="71"/>
  <c r="JY31" i="71"/>
  <c r="JY32" i="71"/>
  <c r="JX8" i="71"/>
  <c r="JX61" i="71"/>
  <c r="JX29" i="71"/>
  <c r="JX28" i="71"/>
  <c r="JX60" i="71"/>
  <c r="JX62" i="71"/>
  <c r="JX30" i="71"/>
  <c r="JX31" i="71"/>
  <c r="JX32" i="71"/>
  <c r="JW8" i="71"/>
  <c r="JW61" i="71"/>
  <c r="JW29" i="71"/>
  <c r="JW28" i="71"/>
  <c r="JW60" i="71"/>
  <c r="JW62" i="71"/>
  <c r="JW30" i="71"/>
  <c r="JW31" i="71"/>
  <c r="JW32" i="71"/>
  <c r="JV8" i="71"/>
  <c r="JV61" i="71"/>
  <c r="JV29" i="71"/>
  <c r="JV28" i="71"/>
  <c r="JV60" i="71"/>
  <c r="JV62" i="71"/>
  <c r="JV30" i="71"/>
  <c r="JV31" i="71"/>
  <c r="JV32" i="71"/>
  <c r="JU8" i="71"/>
  <c r="JU61" i="71"/>
  <c r="JU29" i="71"/>
  <c r="JU28" i="71"/>
  <c r="JU60" i="71"/>
  <c r="JU62" i="71"/>
  <c r="JU30" i="71"/>
  <c r="JU31" i="71"/>
  <c r="JU32" i="71"/>
  <c r="JT8" i="71"/>
  <c r="JT61" i="71"/>
  <c r="JT29" i="71"/>
  <c r="JT28" i="71"/>
  <c r="JT60" i="71"/>
  <c r="JT62" i="71"/>
  <c r="JT30" i="71"/>
  <c r="JT31" i="71"/>
  <c r="JT32" i="71"/>
  <c r="JS8" i="71"/>
  <c r="JS29" i="71"/>
  <c r="JS60" i="71"/>
  <c r="JS62" i="71"/>
  <c r="JS30" i="71"/>
  <c r="JS31" i="71"/>
  <c r="JS32" i="71"/>
  <c r="JR8" i="71"/>
  <c r="JR29" i="71"/>
  <c r="JR60" i="71"/>
  <c r="JR62" i="71"/>
  <c r="JR30" i="71"/>
  <c r="JR31" i="71"/>
  <c r="JR32" i="71"/>
  <c r="JQ8" i="71"/>
  <c r="JQ29" i="71"/>
  <c r="JQ60" i="71"/>
  <c r="JQ62" i="71"/>
  <c r="JQ30" i="71"/>
  <c r="JQ31" i="71"/>
  <c r="JQ32" i="71"/>
  <c r="JP8" i="71"/>
  <c r="JP29" i="71"/>
  <c r="JP60" i="71"/>
  <c r="JP62" i="71"/>
  <c r="JP30" i="71"/>
  <c r="JP31" i="71"/>
  <c r="JP32" i="71"/>
  <c r="JO8" i="71"/>
  <c r="JO29" i="71"/>
  <c r="JO60" i="71"/>
  <c r="JO62" i="71"/>
  <c r="JO30" i="71"/>
  <c r="JO31" i="71"/>
  <c r="JO32" i="71"/>
  <c r="JN8" i="71"/>
  <c r="JN29" i="71"/>
  <c r="JN60" i="71"/>
  <c r="JN62" i="71"/>
  <c r="JN30" i="71"/>
  <c r="JN31" i="71"/>
  <c r="JN32" i="71"/>
  <c r="JM8" i="71"/>
  <c r="JM29" i="71"/>
  <c r="JM60" i="71"/>
  <c r="JM62" i="71"/>
  <c r="JM30" i="71"/>
  <c r="JM31" i="71"/>
  <c r="JM32" i="71"/>
  <c r="JL8" i="71"/>
  <c r="JL61" i="71"/>
  <c r="JL29" i="71"/>
  <c r="JL28" i="71"/>
  <c r="JL60" i="71"/>
  <c r="JL62" i="71"/>
  <c r="JL30" i="71"/>
  <c r="JL31" i="71"/>
  <c r="JL32" i="71"/>
  <c r="JK8" i="71"/>
  <c r="JK28" i="71"/>
  <c r="JK60" i="71"/>
  <c r="JK62" i="71"/>
  <c r="JK30" i="71"/>
  <c r="JK31" i="71"/>
  <c r="JK32" i="71"/>
  <c r="JJ8" i="71"/>
  <c r="JJ28" i="71"/>
  <c r="JJ60" i="71"/>
  <c r="JJ62" i="71"/>
  <c r="JJ30" i="71"/>
  <c r="JJ31" i="71"/>
  <c r="JJ32" i="71"/>
  <c r="JI8" i="71"/>
  <c r="JI28" i="71"/>
  <c r="JI60" i="71"/>
  <c r="JI62" i="71"/>
  <c r="JI30" i="71"/>
  <c r="JI31" i="71"/>
  <c r="JI32" i="71"/>
  <c r="JH8" i="71"/>
  <c r="JH28" i="71"/>
  <c r="JH60" i="71"/>
  <c r="JH62" i="71"/>
  <c r="JH30" i="71"/>
  <c r="JH31" i="71"/>
  <c r="JH32" i="71"/>
  <c r="JG8" i="71"/>
  <c r="JG28" i="71"/>
  <c r="JG60" i="71"/>
  <c r="JG62" i="71"/>
  <c r="JG30" i="71"/>
  <c r="JG31" i="71"/>
  <c r="JG32" i="71"/>
  <c r="JF8" i="71"/>
  <c r="JF28" i="71"/>
  <c r="JF60" i="71"/>
  <c r="JF62" i="71"/>
  <c r="JF30" i="71"/>
  <c r="JF31" i="71"/>
  <c r="JF32" i="71"/>
  <c r="JE8" i="71"/>
  <c r="JE28" i="71"/>
  <c r="JE60" i="71"/>
  <c r="JE62" i="71"/>
  <c r="JE30" i="71"/>
  <c r="JE31" i="71"/>
  <c r="JE32" i="71"/>
  <c r="JD8" i="71"/>
  <c r="JD28" i="71"/>
  <c r="JD60" i="71"/>
  <c r="JD62" i="71"/>
  <c r="JD30" i="71"/>
  <c r="JD31" i="71"/>
  <c r="JD32" i="71"/>
  <c r="JC8" i="71"/>
  <c r="JC28" i="71"/>
  <c r="JC60" i="71"/>
  <c r="JC62" i="71"/>
  <c r="JC30" i="71"/>
  <c r="JC31" i="71"/>
  <c r="JC32" i="71"/>
  <c r="JB8" i="71"/>
  <c r="JB28" i="71"/>
  <c r="JB60" i="71"/>
  <c r="JB62" i="71"/>
  <c r="JB30" i="71"/>
  <c r="JB31" i="71"/>
  <c r="JB32" i="71"/>
  <c r="JA8" i="71"/>
  <c r="JA28" i="71"/>
  <c r="JA60" i="71"/>
  <c r="JA62" i="71"/>
  <c r="JA30" i="71"/>
  <c r="JA31" i="71"/>
  <c r="JA32" i="71"/>
  <c r="IZ8" i="71"/>
  <c r="IZ29" i="71"/>
  <c r="IZ60" i="71"/>
  <c r="IZ62" i="71"/>
  <c r="IZ30" i="71"/>
  <c r="IZ31" i="71"/>
  <c r="IZ32" i="71"/>
  <c r="IY8" i="71"/>
  <c r="IY61" i="71"/>
  <c r="IY29" i="71"/>
  <c r="IY28" i="71"/>
  <c r="IY60" i="71"/>
  <c r="IY62" i="71"/>
  <c r="IY30" i="71"/>
  <c r="IY31" i="71"/>
  <c r="IY32" i="71"/>
  <c r="IX8" i="71"/>
  <c r="IX61" i="71"/>
  <c r="IX29" i="71"/>
  <c r="IX28" i="71"/>
  <c r="IX60" i="71"/>
  <c r="IX62" i="71"/>
  <c r="IX30" i="71"/>
  <c r="IX31" i="71"/>
  <c r="IX32" i="71"/>
  <c r="IW8" i="71"/>
  <c r="IW61" i="71"/>
  <c r="IW29" i="71"/>
  <c r="IW28" i="71"/>
  <c r="IW60" i="71"/>
  <c r="IW62" i="71"/>
  <c r="IW30" i="71"/>
  <c r="IW31" i="71"/>
  <c r="IW32" i="71"/>
  <c r="IV8" i="71"/>
  <c r="IV61" i="71"/>
  <c r="IV29" i="71"/>
  <c r="IV28" i="71"/>
  <c r="IV60" i="71"/>
  <c r="IV62" i="71"/>
  <c r="IV30" i="71"/>
  <c r="IV31" i="71"/>
  <c r="IV32" i="71"/>
  <c r="IU8" i="71"/>
  <c r="IU61" i="71"/>
  <c r="IU29" i="71"/>
  <c r="IU28" i="71"/>
  <c r="IU60" i="71"/>
  <c r="IU62" i="71"/>
  <c r="IU30" i="71"/>
  <c r="IU31" i="71"/>
  <c r="IU32" i="71"/>
  <c r="IT8" i="71"/>
  <c r="IT61" i="71"/>
  <c r="IT29" i="71"/>
  <c r="IT28" i="71"/>
  <c r="IT60" i="71"/>
  <c r="IT62" i="71"/>
  <c r="IT30" i="71"/>
  <c r="IT31" i="71"/>
  <c r="IT32" i="71"/>
  <c r="IS8" i="71"/>
  <c r="IS61" i="71"/>
  <c r="IS29" i="71"/>
  <c r="IS28" i="71"/>
  <c r="IS60" i="71"/>
  <c r="IS62" i="71"/>
  <c r="IS30" i="71"/>
  <c r="IS31" i="71"/>
  <c r="IS32" i="71"/>
  <c r="IR8" i="71"/>
  <c r="IR61" i="71"/>
  <c r="IR29" i="71"/>
  <c r="IR28" i="71"/>
  <c r="IR60" i="71"/>
  <c r="IR62" i="71"/>
  <c r="IR30" i="71"/>
  <c r="IR31" i="71"/>
  <c r="IR32" i="71"/>
  <c r="IQ8" i="71"/>
  <c r="IQ61" i="71"/>
  <c r="IQ29" i="71"/>
  <c r="IQ28" i="71"/>
  <c r="IQ60" i="71"/>
  <c r="IQ62" i="71"/>
  <c r="IQ30" i="71"/>
  <c r="IQ31" i="71"/>
  <c r="IQ32" i="71"/>
  <c r="IP8" i="71"/>
  <c r="IP61" i="71"/>
  <c r="IP29" i="71"/>
  <c r="IP28" i="71"/>
  <c r="IP60" i="71"/>
  <c r="IP62" i="71"/>
  <c r="IP30" i="71"/>
  <c r="IP31" i="71"/>
  <c r="IP32" i="71"/>
  <c r="IO8" i="71"/>
  <c r="IO61" i="71"/>
  <c r="IO29" i="71"/>
  <c r="IO28" i="71"/>
  <c r="IO60" i="71"/>
  <c r="IO62" i="71"/>
  <c r="IO30" i="71"/>
  <c r="IO31" i="71"/>
  <c r="IO32" i="71"/>
  <c r="IN8" i="71"/>
  <c r="IN61" i="71"/>
  <c r="IN29" i="71"/>
  <c r="IN28" i="71"/>
  <c r="IN60" i="71"/>
  <c r="IN62" i="71"/>
  <c r="IN30" i="71"/>
  <c r="IN31" i="71"/>
  <c r="IN32" i="71"/>
  <c r="IM8" i="71"/>
  <c r="IM61" i="71"/>
  <c r="IM29" i="71"/>
  <c r="IM28" i="71"/>
  <c r="IM60" i="71"/>
  <c r="IM62" i="71"/>
  <c r="IM30" i="71"/>
  <c r="IM31" i="71"/>
  <c r="IM32" i="71"/>
  <c r="IL8" i="71"/>
  <c r="IL61" i="71"/>
  <c r="IL29" i="71"/>
  <c r="IL28" i="71"/>
  <c r="IL60" i="71"/>
  <c r="IL62" i="71"/>
  <c r="IL30" i="71"/>
  <c r="IL31" i="71"/>
  <c r="IL32" i="71"/>
  <c r="IK8" i="71"/>
  <c r="IK61" i="71"/>
  <c r="IK29" i="71"/>
  <c r="IK28" i="71"/>
  <c r="IK60" i="71"/>
  <c r="IK62" i="71"/>
  <c r="IK30" i="71"/>
  <c r="IK31" i="71"/>
  <c r="IK32" i="71"/>
  <c r="IJ8" i="71"/>
  <c r="IJ61" i="71"/>
  <c r="IJ29" i="71"/>
  <c r="IJ28" i="71"/>
  <c r="IJ60" i="71"/>
  <c r="IJ62" i="71"/>
  <c r="IJ30" i="71"/>
  <c r="IJ31" i="71"/>
  <c r="IJ32" i="71"/>
  <c r="II8" i="71"/>
  <c r="II61" i="71"/>
  <c r="II29" i="71"/>
  <c r="II28" i="71"/>
  <c r="II60" i="71"/>
  <c r="II62" i="71"/>
  <c r="II30" i="71"/>
  <c r="II31" i="71"/>
  <c r="II32" i="71"/>
  <c r="IH8" i="71"/>
  <c r="IH61" i="71"/>
  <c r="IH29" i="71"/>
  <c r="IH28" i="71"/>
  <c r="IH60" i="71"/>
  <c r="IH62" i="71"/>
  <c r="IH30" i="71"/>
  <c r="IH31" i="71"/>
  <c r="IH32" i="71"/>
  <c r="IG8" i="71"/>
  <c r="IG61" i="71"/>
  <c r="IG29" i="71"/>
  <c r="IG28" i="71"/>
  <c r="IG60" i="71"/>
  <c r="IG62" i="71"/>
  <c r="IG30" i="71"/>
  <c r="IG31" i="71"/>
  <c r="IG32" i="71"/>
  <c r="IF8" i="71"/>
  <c r="IF61" i="71"/>
  <c r="IF29" i="71"/>
  <c r="IF28" i="71"/>
  <c r="IF60" i="71"/>
  <c r="IF62" i="71"/>
  <c r="IF30" i="71"/>
  <c r="IF31" i="71"/>
  <c r="IF32" i="71"/>
  <c r="IE8" i="71"/>
  <c r="IE61" i="71"/>
  <c r="IE29" i="71"/>
  <c r="IE28" i="71"/>
  <c r="IE60" i="71"/>
  <c r="IE62" i="71"/>
  <c r="IE30" i="71"/>
  <c r="IE31" i="71"/>
  <c r="IE32" i="71"/>
  <c r="ID8" i="71"/>
  <c r="ID61" i="71"/>
  <c r="ID29" i="71"/>
  <c r="ID28" i="71"/>
  <c r="ID60" i="71"/>
  <c r="ID62" i="71"/>
  <c r="ID30" i="71"/>
  <c r="ID31" i="71"/>
  <c r="ID32" i="71"/>
  <c r="IC8" i="71"/>
  <c r="IC61" i="71"/>
  <c r="IC29" i="71"/>
  <c r="IC28" i="71"/>
  <c r="IC60" i="71"/>
  <c r="IC62" i="71"/>
  <c r="IC30" i="71"/>
  <c r="IC31" i="71"/>
  <c r="IC32" i="71"/>
  <c r="IB8" i="71"/>
  <c r="IB61" i="71"/>
  <c r="IB29" i="71"/>
  <c r="IB28" i="71"/>
  <c r="IB60" i="71"/>
  <c r="IB62" i="71"/>
  <c r="IB30" i="71"/>
  <c r="IB31" i="71"/>
  <c r="IB32" i="71"/>
  <c r="IA8" i="71"/>
  <c r="IA61" i="71"/>
  <c r="IA29" i="71"/>
  <c r="IA28" i="71"/>
  <c r="IA60" i="71"/>
  <c r="IA62" i="71"/>
  <c r="IA30" i="71"/>
  <c r="IA31" i="71"/>
  <c r="IA32" i="71"/>
  <c r="HZ8" i="71"/>
  <c r="HZ61" i="71"/>
  <c r="HZ29" i="71"/>
  <c r="HZ28" i="71"/>
  <c r="HZ60" i="71"/>
  <c r="HZ62" i="71"/>
  <c r="HZ30" i="71"/>
  <c r="HZ31" i="71"/>
  <c r="HZ32" i="71"/>
  <c r="HY8" i="71"/>
  <c r="HY61" i="71"/>
  <c r="HY29" i="71"/>
  <c r="HY28" i="71"/>
  <c r="HY60" i="71"/>
  <c r="HY62" i="71"/>
  <c r="HY30" i="71"/>
  <c r="HY31" i="71"/>
  <c r="HY32" i="71"/>
  <c r="HX8" i="71"/>
  <c r="HX61" i="71"/>
  <c r="HX29" i="71"/>
  <c r="HX28" i="71"/>
  <c r="HX60" i="71"/>
  <c r="HX62" i="71"/>
  <c r="HX30" i="71"/>
  <c r="HX31" i="71"/>
  <c r="HX32" i="71"/>
  <c r="HW8" i="71"/>
  <c r="HW61" i="71"/>
  <c r="HW29" i="71"/>
  <c r="HW28" i="71"/>
  <c r="HW60" i="71"/>
  <c r="HW62" i="71"/>
  <c r="HW30" i="71"/>
  <c r="HW31" i="71"/>
  <c r="HW32" i="71"/>
  <c r="HV8" i="71"/>
  <c r="HV61" i="71"/>
  <c r="HV29" i="71"/>
  <c r="HV28" i="71"/>
  <c r="HV60" i="71"/>
  <c r="HV62" i="71"/>
  <c r="HV30" i="71"/>
  <c r="HV31" i="71"/>
  <c r="HV32" i="71"/>
  <c r="HU8" i="71"/>
  <c r="HU61" i="71"/>
  <c r="HU29" i="71"/>
  <c r="HU28" i="71"/>
  <c r="HU60" i="71"/>
  <c r="HU62" i="71"/>
  <c r="HU30" i="71"/>
  <c r="HU31" i="71"/>
  <c r="HU32" i="71"/>
  <c r="HT8" i="71"/>
  <c r="HT61" i="71"/>
  <c r="HT29" i="71"/>
  <c r="HT28" i="71"/>
  <c r="HT60" i="71"/>
  <c r="HT62" i="71"/>
  <c r="HT30" i="71"/>
  <c r="HT31" i="71"/>
  <c r="HT32" i="71"/>
  <c r="HS8" i="71"/>
  <c r="HS61" i="71"/>
  <c r="HS29" i="71"/>
  <c r="HS28" i="71"/>
  <c r="HS60" i="71"/>
  <c r="HS62" i="71"/>
  <c r="HS30" i="71"/>
  <c r="HS31" i="71"/>
  <c r="HS32" i="71"/>
  <c r="HR8" i="71"/>
  <c r="HR61" i="71"/>
  <c r="HR29" i="71"/>
  <c r="HR28" i="71"/>
  <c r="HR60" i="71"/>
  <c r="HR62" i="71"/>
  <c r="HR30" i="71"/>
  <c r="HR31" i="71"/>
  <c r="HQ8" i="71"/>
  <c r="HQ61" i="71"/>
  <c r="HQ29" i="71"/>
  <c r="HQ28" i="71"/>
  <c r="HQ60" i="71"/>
  <c r="HQ62" i="71"/>
  <c r="HQ30" i="71"/>
  <c r="HQ31" i="71"/>
  <c r="HP8" i="71"/>
  <c r="HP61" i="71"/>
  <c r="HP29" i="71"/>
  <c r="HP28" i="71"/>
  <c r="HP60" i="71"/>
  <c r="HP62" i="71"/>
  <c r="HP30" i="71"/>
  <c r="HP31" i="71"/>
  <c r="HO8" i="71"/>
  <c r="HO61" i="71"/>
  <c r="HO29" i="71"/>
  <c r="HO28" i="71"/>
  <c r="HO60" i="71"/>
  <c r="HO62" i="71"/>
  <c r="HO30" i="71"/>
  <c r="HO31" i="71"/>
  <c r="HN8" i="71"/>
  <c r="HN61" i="71"/>
  <c r="HN29" i="71"/>
  <c r="HN28" i="71"/>
  <c r="HN60" i="71"/>
  <c r="HN62" i="71"/>
  <c r="HN30" i="71"/>
  <c r="HN31" i="71"/>
  <c r="HM8" i="71"/>
  <c r="HM61" i="71"/>
  <c r="HM29" i="71"/>
  <c r="HM28" i="71"/>
  <c r="HM60" i="71"/>
  <c r="HM62" i="71"/>
  <c r="HM30" i="71"/>
  <c r="HM31" i="71"/>
  <c r="HL8" i="71"/>
  <c r="HL61" i="71"/>
  <c r="HL29" i="71"/>
  <c r="HL28" i="71"/>
  <c r="HL60" i="71"/>
  <c r="HL62" i="71"/>
  <c r="HL30" i="71"/>
  <c r="HL31" i="71"/>
  <c r="HK8" i="71"/>
  <c r="HK61" i="71"/>
  <c r="HK29" i="71"/>
  <c r="HK28" i="71"/>
  <c r="HK60" i="71"/>
  <c r="HK62" i="71"/>
  <c r="HK30" i="71"/>
  <c r="HK31" i="71"/>
  <c r="HK32" i="71"/>
  <c r="HJ8" i="71"/>
  <c r="HJ61" i="71"/>
  <c r="HJ29" i="71"/>
  <c r="HJ28" i="71"/>
  <c r="HJ60" i="71"/>
  <c r="HJ62" i="71"/>
  <c r="HJ30" i="71"/>
  <c r="HJ31" i="71"/>
  <c r="HJ32" i="71"/>
  <c r="HI8" i="71"/>
  <c r="HI61" i="71"/>
  <c r="HI29" i="71"/>
  <c r="HI28" i="71"/>
  <c r="HI60" i="71"/>
  <c r="HI62" i="71"/>
  <c r="HI30" i="71"/>
  <c r="HI31" i="71"/>
  <c r="HI32" i="71"/>
  <c r="HH8" i="71"/>
  <c r="HH61" i="71"/>
  <c r="HH29" i="71"/>
  <c r="HH28" i="71"/>
  <c r="HH60" i="71"/>
  <c r="HH62" i="71"/>
  <c r="HH30" i="71"/>
  <c r="HH31" i="71"/>
  <c r="HH32" i="71"/>
  <c r="HG8" i="71"/>
  <c r="HG61" i="71"/>
  <c r="HG29" i="71"/>
  <c r="HG28" i="71"/>
  <c r="HG60" i="71"/>
  <c r="HG62" i="71"/>
  <c r="HG30" i="71"/>
  <c r="HG31" i="71"/>
  <c r="HG32" i="71"/>
  <c r="HF8" i="71"/>
  <c r="HF61" i="71"/>
  <c r="HF29" i="71"/>
  <c r="HF28" i="71"/>
  <c r="HF60" i="71"/>
  <c r="HF62" i="71"/>
  <c r="HF30" i="71"/>
  <c r="HF31" i="71"/>
  <c r="HF32" i="71"/>
  <c r="HE8" i="71"/>
  <c r="HE61" i="71"/>
  <c r="HE29" i="71"/>
  <c r="HE28" i="71"/>
  <c r="HE60" i="71"/>
  <c r="HE62" i="71"/>
  <c r="HE30" i="71"/>
  <c r="HE31" i="71"/>
  <c r="HE32" i="71"/>
  <c r="HD8" i="71"/>
  <c r="HD61" i="71"/>
  <c r="HD29" i="71"/>
  <c r="HD28" i="71"/>
  <c r="HD60" i="71"/>
  <c r="HD62" i="71"/>
  <c r="HD30" i="71"/>
  <c r="HD31" i="71"/>
  <c r="HD32" i="71"/>
  <c r="HC8" i="71"/>
  <c r="HC61" i="71"/>
  <c r="HC29" i="71"/>
  <c r="HC28" i="71"/>
  <c r="HC60" i="71"/>
  <c r="HC62" i="71"/>
  <c r="HC30" i="71"/>
  <c r="HC31" i="71"/>
  <c r="HC32" i="71"/>
  <c r="HB8" i="71"/>
  <c r="HB61" i="71"/>
  <c r="HB29" i="71"/>
  <c r="HB28" i="71"/>
  <c r="HB60" i="71"/>
  <c r="HB62" i="71"/>
  <c r="HB30" i="71"/>
  <c r="HB31" i="71"/>
  <c r="HB32" i="71"/>
  <c r="HA8" i="71"/>
  <c r="HA61" i="71"/>
  <c r="HA60" i="71"/>
  <c r="HA62" i="71"/>
  <c r="HA30" i="71"/>
  <c r="HA31" i="71"/>
  <c r="HA32" i="71"/>
  <c r="GZ8" i="71"/>
  <c r="GZ61" i="71"/>
  <c r="GZ60" i="71"/>
  <c r="GZ62" i="71"/>
  <c r="GZ30" i="71"/>
  <c r="GZ31" i="71"/>
  <c r="GZ32" i="71"/>
  <c r="GY8" i="71"/>
  <c r="GY61" i="71"/>
  <c r="GY29" i="71"/>
  <c r="GY28" i="71"/>
  <c r="GY60" i="71"/>
  <c r="GY62" i="71"/>
  <c r="GY30" i="71"/>
  <c r="GY31" i="71"/>
  <c r="GY32" i="71"/>
  <c r="GX8" i="71"/>
  <c r="GX61" i="71"/>
  <c r="GX29" i="71"/>
  <c r="GX28" i="71"/>
  <c r="GX60" i="71"/>
  <c r="GX62" i="71"/>
  <c r="GX30" i="71"/>
  <c r="GX31" i="71"/>
  <c r="GX32" i="71"/>
  <c r="GW8" i="71"/>
  <c r="GW61" i="71"/>
  <c r="GW29" i="71"/>
  <c r="GW28" i="71"/>
  <c r="GW60" i="71"/>
  <c r="GW62" i="71"/>
  <c r="GW30" i="71"/>
  <c r="GW31" i="71"/>
  <c r="GW32" i="71"/>
  <c r="GV8" i="71"/>
  <c r="GV61" i="71"/>
  <c r="GV29" i="71"/>
  <c r="GV28" i="71"/>
  <c r="GV60" i="71"/>
  <c r="GV62" i="71"/>
  <c r="GV30" i="71"/>
  <c r="GV31" i="71"/>
  <c r="GV32" i="71"/>
  <c r="GU8" i="71"/>
  <c r="GU61" i="71"/>
  <c r="GU29" i="71"/>
  <c r="GU28" i="71"/>
  <c r="GU60" i="71"/>
  <c r="GU62" i="71"/>
  <c r="GU30" i="71"/>
  <c r="GU31" i="71"/>
  <c r="GU32" i="71"/>
  <c r="GT8" i="71"/>
  <c r="GT61" i="71"/>
  <c r="GT29" i="71"/>
  <c r="GT28" i="71"/>
  <c r="GT60" i="71"/>
  <c r="GT62" i="71"/>
  <c r="GT30" i="71"/>
  <c r="GT31" i="71"/>
  <c r="GT32" i="71"/>
  <c r="GS8" i="71"/>
  <c r="GS61" i="71"/>
  <c r="GS29" i="71"/>
  <c r="GS28" i="71"/>
  <c r="GS60" i="71"/>
  <c r="GS62" i="71"/>
  <c r="GS30" i="71"/>
  <c r="GS31" i="71"/>
  <c r="GS32" i="71"/>
  <c r="GR8" i="71"/>
  <c r="GR61" i="71"/>
  <c r="GR29" i="71"/>
  <c r="GR28" i="71"/>
  <c r="GR60" i="71"/>
  <c r="GR62" i="71"/>
  <c r="GR30" i="71"/>
  <c r="GR31" i="71"/>
  <c r="GR32" i="71"/>
  <c r="GQ8" i="71"/>
  <c r="GQ61" i="71"/>
  <c r="GQ29" i="71"/>
  <c r="GQ28" i="71"/>
  <c r="GQ60" i="71"/>
  <c r="GQ62" i="71"/>
  <c r="GQ30" i="71"/>
  <c r="GQ31" i="71"/>
  <c r="GQ32" i="71"/>
  <c r="GP8" i="71"/>
  <c r="GP61" i="71"/>
  <c r="GP29" i="71"/>
  <c r="GP28" i="71"/>
  <c r="GP60" i="71"/>
  <c r="GP62" i="71"/>
  <c r="GP30" i="71"/>
  <c r="GP31" i="71"/>
  <c r="GP32" i="71"/>
  <c r="GO8" i="71"/>
  <c r="GO61" i="71"/>
  <c r="GO29" i="71"/>
  <c r="GO28" i="71"/>
  <c r="GO60" i="71"/>
  <c r="GO62" i="71"/>
  <c r="GO30" i="71"/>
  <c r="GO31" i="71"/>
  <c r="GO32" i="71"/>
  <c r="GN8" i="71"/>
  <c r="GN61" i="71"/>
  <c r="GN29" i="71"/>
  <c r="GN28" i="71"/>
  <c r="GN60" i="71"/>
  <c r="GN62" i="71"/>
  <c r="GN30" i="71"/>
  <c r="GN31" i="71"/>
  <c r="GN32" i="71"/>
  <c r="GM8" i="71"/>
  <c r="GM61" i="71"/>
  <c r="GM29" i="71"/>
  <c r="GM28" i="71"/>
  <c r="GM60" i="71"/>
  <c r="GM62" i="71"/>
  <c r="GM30" i="71"/>
  <c r="GM31" i="71"/>
  <c r="GM32" i="71"/>
  <c r="GL8" i="71"/>
  <c r="GL61" i="71"/>
  <c r="GL29" i="71"/>
  <c r="GL28" i="71"/>
  <c r="GL60" i="71"/>
  <c r="GL62" i="71"/>
  <c r="GL30" i="71"/>
  <c r="GL31" i="71"/>
  <c r="GL32" i="71"/>
  <c r="GK8" i="71"/>
  <c r="GK61" i="71"/>
  <c r="GK29" i="71"/>
  <c r="GK28" i="71"/>
  <c r="GK60" i="71"/>
  <c r="GK62" i="71"/>
  <c r="GK30" i="71"/>
  <c r="GK31" i="71"/>
  <c r="GK32" i="71"/>
  <c r="GJ8" i="71"/>
  <c r="GJ61" i="71"/>
  <c r="GJ29" i="71"/>
  <c r="GJ28" i="71"/>
  <c r="GJ60" i="71"/>
  <c r="GJ62" i="71"/>
  <c r="GJ30" i="71"/>
  <c r="GJ31" i="71"/>
  <c r="GJ32" i="71"/>
  <c r="GI8" i="71"/>
  <c r="GI61" i="71"/>
  <c r="GI29" i="71"/>
  <c r="GI28" i="71"/>
  <c r="GI60" i="71"/>
  <c r="GI62" i="71"/>
  <c r="GI30" i="71"/>
  <c r="GI31" i="71"/>
  <c r="GI32" i="71"/>
  <c r="GH8" i="71"/>
  <c r="GH61" i="71"/>
  <c r="GH29" i="71"/>
  <c r="GH28" i="71"/>
  <c r="GH60" i="71"/>
  <c r="GH62" i="71"/>
  <c r="GH30" i="71"/>
  <c r="GH31" i="71"/>
  <c r="GH32" i="71"/>
  <c r="GG8" i="71"/>
  <c r="GG61" i="71"/>
  <c r="GG29" i="71"/>
  <c r="GG28" i="71"/>
  <c r="GG60" i="71"/>
  <c r="GG62" i="71"/>
  <c r="GG30" i="71"/>
  <c r="GG31" i="71"/>
  <c r="GG32" i="71"/>
  <c r="GF8" i="71"/>
  <c r="GF61" i="71"/>
  <c r="GF29" i="71"/>
  <c r="GF28" i="71"/>
  <c r="GF60" i="71"/>
  <c r="GF62" i="71"/>
  <c r="GF30" i="71"/>
  <c r="GF31" i="71"/>
  <c r="GF32" i="71"/>
  <c r="GE8" i="71"/>
  <c r="GE61" i="71"/>
  <c r="GE29" i="71"/>
  <c r="GE28" i="71"/>
  <c r="GE60" i="71"/>
  <c r="GE62" i="71"/>
  <c r="GE30" i="71"/>
  <c r="GE31" i="71"/>
  <c r="GE32" i="71"/>
  <c r="GD8" i="71"/>
  <c r="GD61" i="71"/>
  <c r="GD29" i="71"/>
  <c r="GD28" i="71"/>
  <c r="GD60" i="71"/>
  <c r="GD62" i="71"/>
  <c r="GD30" i="71"/>
  <c r="GD31" i="71"/>
  <c r="GD32" i="71"/>
  <c r="GC8" i="71"/>
  <c r="GC61" i="71"/>
  <c r="GC29" i="71"/>
  <c r="GC28" i="71"/>
  <c r="GC60" i="71"/>
  <c r="GC62" i="71"/>
  <c r="GC30" i="71"/>
  <c r="GC31" i="71"/>
  <c r="GC32" i="71"/>
  <c r="GB8" i="71"/>
  <c r="GB61" i="71"/>
  <c r="GB29" i="71"/>
  <c r="GB28" i="71"/>
  <c r="GB60" i="71"/>
  <c r="GB62" i="71"/>
  <c r="GB30" i="71"/>
  <c r="GB31" i="71"/>
  <c r="GB32" i="71"/>
  <c r="GA8" i="71"/>
  <c r="GA61" i="71"/>
  <c r="GA29" i="71"/>
  <c r="GA28" i="71"/>
  <c r="GA60" i="71"/>
  <c r="GA62" i="71"/>
  <c r="GA30" i="71"/>
  <c r="GA31" i="71"/>
  <c r="GA32" i="71"/>
  <c r="FZ8" i="71"/>
  <c r="FZ61" i="71"/>
  <c r="FZ29" i="71"/>
  <c r="FZ28" i="71"/>
  <c r="FZ60" i="71"/>
  <c r="FZ62" i="71"/>
  <c r="FZ30" i="71"/>
  <c r="FZ31" i="71"/>
  <c r="FZ32" i="71"/>
  <c r="FY8" i="71"/>
  <c r="FY61" i="71"/>
  <c r="FY29" i="71"/>
  <c r="FY28" i="71"/>
  <c r="FY60" i="71"/>
  <c r="FY62" i="71"/>
  <c r="FY30" i="71"/>
  <c r="FY31" i="71"/>
  <c r="FY32" i="71"/>
  <c r="FX8" i="71"/>
  <c r="FX61" i="71"/>
  <c r="FX29" i="71"/>
  <c r="FX28" i="71"/>
  <c r="FX60" i="71"/>
  <c r="FX62" i="71"/>
  <c r="FX30" i="71"/>
  <c r="FX31" i="71"/>
  <c r="FX32" i="71"/>
  <c r="FW8" i="71"/>
  <c r="FW61" i="71"/>
  <c r="FW29" i="71"/>
  <c r="FW28" i="71"/>
  <c r="FW60" i="71"/>
  <c r="FW62" i="71"/>
  <c r="FW30" i="71"/>
  <c r="FW31" i="71"/>
  <c r="FW32" i="71"/>
  <c r="FV8" i="71"/>
  <c r="FV61" i="71"/>
  <c r="FV29" i="71"/>
  <c r="FV28" i="71"/>
  <c r="FV60" i="71"/>
  <c r="FV62" i="71"/>
  <c r="FV30" i="71"/>
  <c r="FV31" i="71"/>
  <c r="FV32" i="71"/>
  <c r="FU8" i="71"/>
  <c r="FU61" i="71"/>
  <c r="FU29" i="71"/>
  <c r="FU28" i="71"/>
  <c r="FU60" i="71"/>
  <c r="FU62" i="71"/>
  <c r="FU30" i="71"/>
  <c r="FU31" i="71"/>
  <c r="FU32" i="71"/>
  <c r="FT8" i="71"/>
  <c r="FT61" i="71"/>
  <c r="FT29" i="71"/>
  <c r="FT28" i="71"/>
  <c r="FT60" i="71"/>
  <c r="FT62" i="71"/>
  <c r="FT30" i="71"/>
  <c r="FT31" i="71"/>
  <c r="FT32" i="71"/>
  <c r="FS8" i="71"/>
  <c r="FS61" i="71"/>
  <c r="FS29" i="71"/>
  <c r="FS28" i="71"/>
  <c r="FS60" i="71"/>
  <c r="FS62" i="71"/>
  <c r="FS30" i="71"/>
  <c r="FS31" i="71"/>
  <c r="FS32" i="71"/>
  <c r="FR8" i="71"/>
  <c r="FR61" i="71"/>
  <c r="FR29" i="71"/>
  <c r="FR28" i="71"/>
  <c r="FR60" i="71"/>
  <c r="FR62" i="71"/>
  <c r="FR30" i="71"/>
  <c r="FR31" i="71"/>
  <c r="FR32" i="71"/>
  <c r="FQ8" i="71"/>
  <c r="FQ61" i="71"/>
  <c r="FQ29" i="71"/>
  <c r="FQ28" i="71"/>
  <c r="FQ60" i="71"/>
  <c r="FQ62" i="71"/>
  <c r="FQ30" i="71"/>
  <c r="FQ31" i="71"/>
  <c r="FQ32" i="71"/>
  <c r="FP8" i="71"/>
  <c r="FP61" i="71"/>
  <c r="FP29" i="71"/>
  <c r="FP28" i="71"/>
  <c r="FP60" i="71"/>
  <c r="FP62" i="71"/>
  <c r="FP30" i="71"/>
  <c r="FP31" i="71"/>
  <c r="FP32" i="71"/>
  <c r="FO8" i="71"/>
  <c r="FO61" i="71"/>
  <c r="FO29" i="71"/>
  <c r="FO28" i="71"/>
  <c r="FO60" i="71"/>
  <c r="FO62" i="71"/>
  <c r="FO30" i="71"/>
  <c r="FO31" i="71"/>
  <c r="FO32" i="71"/>
  <c r="FN8" i="71"/>
  <c r="FN61" i="71"/>
  <c r="FN29" i="71"/>
  <c r="FN28" i="71"/>
  <c r="FN60" i="71"/>
  <c r="FN62" i="71"/>
  <c r="FN30" i="71"/>
  <c r="FN31" i="71"/>
  <c r="FN32" i="71"/>
  <c r="FM8" i="71"/>
  <c r="FM61" i="71"/>
  <c r="FM29" i="71"/>
  <c r="FM28" i="71"/>
  <c r="FM60" i="71"/>
  <c r="FM62" i="71"/>
  <c r="FM30" i="71"/>
  <c r="FM31" i="71"/>
  <c r="FM32" i="71"/>
  <c r="FL8" i="71"/>
  <c r="FL61" i="71"/>
  <c r="FL29" i="71"/>
  <c r="FL28" i="71"/>
  <c r="FL60" i="71"/>
  <c r="FL62" i="71"/>
  <c r="FL30" i="71"/>
  <c r="FL31" i="71"/>
  <c r="FL32" i="71"/>
  <c r="FK8" i="71"/>
  <c r="FK61" i="71"/>
  <c r="FK29" i="71"/>
  <c r="FK28" i="71"/>
  <c r="FK60" i="71"/>
  <c r="FK62" i="71"/>
  <c r="FK30" i="71"/>
  <c r="FK31" i="71"/>
  <c r="FK32" i="71"/>
  <c r="FJ8" i="71"/>
  <c r="FJ61" i="71"/>
  <c r="FJ29" i="71"/>
  <c r="FJ28" i="71"/>
  <c r="FJ60" i="71"/>
  <c r="FJ62" i="71"/>
  <c r="FJ30" i="71"/>
  <c r="FJ31" i="71"/>
  <c r="FJ32" i="71"/>
  <c r="FI8" i="71"/>
  <c r="FI61" i="71"/>
  <c r="FI29" i="71"/>
  <c r="FI28" i="71"/>
  <c r="FI60" i="71"/>
  <c r="FI62" i="71"/>
  <c r="FI30" i="71"/>
  <c r="FI31" i="71"/>
  <c r="FI32" i="71"/>
  <c r="FH8" i="71"/>
  <c r="FH61" i="71"/>
  <c r="FH29" i="71"/>
  <c r="FH28" i="71"/>
  <c r="FH60" i="71"/>
  <c r="FH62" i="71"/>
  <c r="FH30" i="71"/>
  <c r="FH31" i="71"/>
  <c r="FH32" i="71"/>
  <c r="FG8" i="71"/>
  <c r="FG61" i="71"/>
  <c r="FG29" i="71"/>
  <c r="FG28" i="71"/>
  <c r="FG60" i="71"/>
  <c r="FG62" i="71"/>
  <c r="FG30" i="71"/>
  <c r="FG31" i="71"/>
  <c r="FG32" i="71"/>
  <c r="FF8" i="71"/>
  <c r="FF61" i="71"/>
  <c r="FF29" i="71"/>
  <c r="FF28" i="71"/>
  <c r="FF60" i="71"/>
  <c r="FF62" i="71"/>
  <c r="FF30" i="71"/>
  <c r="FF31" i="71"/>
  <c r="FF32" i="71"/>
  <c r="FE8" i="71"/>
  <c r="FE61" i="71"/>
  <c r="FE29" i="71"/>
  <c r="FE28" i="71"/>
  <c r="FE60" i="71"/>
  <c r="FE62" i="71"/>
  <c r="FE30" i="71"/>
  <c r="FE31" i="71"/>
  <c r="FE32" i="71"/>
  <c r="FD8" i="71"/>
  <c r="FD61" i="71"/>
  <c r="FD29" i="71"/>
  <c r="FD28" i="71"/>
  <c r="FD60" i="71"/>
  <c r="FD62" i="71"/>
  <c r="FD30" i="71"/>
  <c r="FD31" i="71"/>
  <c r="FD32" i="71"/>
  <c r="FC8" i="71"/>
  <c r="FC61" i="71"/>
  <c r="FC29" i="71"/>
  <c r="FC28" i="71"/>
  <c r="FC60" i="71"/>
  <c r="FC62" i="71"/>
  <c r="FC30" i="71"/>
  <c r="FC31" i="71"/>
  <c r="FC32" i="71"/>
  <c r="FB8" i="71"/>
  <c r="FB61" i="71"/>
  <c r="FB29" i="71"/>
  <c r="FB28" i="71"/>
  <c r="FB60" i="71"/>
  <c r="FB62" i="71"/>
  <c r="FB30" i="71"/>
  <c r="FB31" i="71"/>
  <c r="FB32" i="71"/>
  <c r="FA8" i="71"/>
  <c r="FA61" i="71"/>
  <c r="FA29" i="71"/>
  <c r="FA28" i="71"/>
  <c r="FA60" i="71"/>
  <c r="FA62" i="71"/>
  <c r="FA30" i="71"/>
  <c r="FA31" i="71"/>
  <c r="FA32" i="71"/>
  <c r="EZ8" i="71"/>
  <c r="EZ61" i="71"/>
  <c r="EZ29" i="71"/>
  <c r="EZ28" i="71"/>
  <c r="EZ60" i="71"/>
  <c r="EZ62" i="71"/>
  <c r="EZ30" i="71"/>
  <c r="EZ31" i="71"/>
  <c r="EZ32" i="71"/>
  <c r="EY8" i="71"/>
  <c r="EY61" i="71"/>
  <c r="EY29" i="71"/>
  <c r="EY28" i="71"/>
  <c r="EY60" i="71"/>
  <c r="EY62" i="71"/>
  <c r="EY30" i="71"/>
  <c r="EY31" i="71"/>
  <c r="EY32" i="71"/>
  <c r="EX8" i="71"/>
  <c r="EX61" i="71"/>
  <c r="EX29" i="71"/>
  <c r="EX28" i="71"/>
  <c r="EX60" i="71"/>
  <c r="EX62" i="71"/>
  <c r="EX30" i="71"/>
  <c r="EX31" i="71"/>
  <c r="EX32" i="71"/>
  <c r="EW8" i="71"/>
  <c r="EW61" i="71"/>
  <c r="EW29" i="71"/>
  <c r="EW28" i="71"/>
  <c r="EW60" i="71"/>
  <c r="EW62" i="71"/>
  <c r="EW30" i="71"/>
  <c r="EW31" i="71"/>
  <c r="EW32" i="71"/>
  <c r="EV8" i="71"/>
  <c r="EV61" i="71"/>
  <c r="EV29" i="71"/>
  <c r="EV28" i="71"/>
  <c r="EV60" i="71"/>
  <c r="EV62" i="71"/>
  <c r="EV30" i="71"/>
  <c r="EV31" i="71"/>
  <c r="EV32" i="71"/>
  <c r="EU8" i="71"/>
  <c r="EU61" i="71"/>
  <c r="EU29" i="71"/>
  <c r="EU28" i="71"/>
  <c r="EU60" i="71"/>
  <c r="EU62" i="71"/>
  <c r="EU30" i="71"/>
  <c r="EU31" i="71"/>
  <c r="EU32" i="71"/>
  <c r="ET8" i="71"/>
  <c r="ET61" i="71"/>
  <c r="ET29" i="71"/>
  <c r="ET28" i="71"/>
  <c r="ET60" i="71"/>
  <c r="ET62" i="71"/>
  <c r="ET30" i="71"/>
  <c r="ET31" i="71"/>
  <c r="ET32" i="71"/>
  <c r="ES8" i="71"/>
  <c r="ES61" i="71"/>
  <c r="ES29" i="71"/>
  <c r="ES28" i="71"/>
  <c r="ES60" i="71"/>
  <c r="ES62" i="71"/>
  <c r="ES30" i="71"/>
  <c r="ES31" i="71"/>
  <c r="ES32" i="71"/>
  <c r="ER8" i="71"/>
  <c r="ER61" i="71"/>
  <c r="ER29" i="71"/>
  <c r="ER28" i="71"/>
  <c r="ER60" i="71"/>
  <c r="ER62" i="71"/>
  <c r="ER30" i="71"/>
  <c r="ER31" i="71"/>
  <c r="ER32" i="71"/>
  <c r="EQ8" i="71"/>
  <c r="EQ61" i="71"/>
  <c r="EQ29" i="71"/>
  <c r="EQ28" i="71"/>
  <c r="EQ60" i="71"/>
  <c r="EQ62" i="71"/>
  <c r="EQ30" i="71"/>
  <c r="EQ31" i="71"/>
  <c r="EQ32" i="71"/>
  <c r="EP8" i="71"/>
  <c r="EP61" i="71"/>
  <c r="EP29" i="71"/>
  <c r="EP28" i="71"/>
  <c r="EP60" i="71"/>
  <c r="EP62" i="71"/>
  <c r="EP30" i="71"/>
  <c r="EP31" i="71"/>
  <c r="EP32" i="71"/>
  <c r="EO8" i="71"/>
  <c r="EO61" i="71"/>
  <c r="EO29" i="71"/>
  <c r="EO28" i="71"/>
  <c r="EO60" i="71"/>
  <c r="EO62" i="71"/>
  <c r="EO30" i="71"/>
  <c r="EO31" i="71"/>
  <c r="EO32" i="71"/>
  <c r="EN8" i="71"/>
  <c r="EN61" i="71"/>
  <c r="EN29" i="71"/>
  <c r="EN28" i="71"/>
  <c r="EN60" i="71"/>
  <c r="EN62" i="71"/>
  <c r="EN30" i="71"/>
  <c r="EN31" i="71"/>
  <c r="EN32" i="71"/>
  <c r="EM8" i="71"/>
  <c r="EM61" i="71"/>
  <c r="EM29" i="71"/>
  <c r="EM28" i="71"/>
  <c r="EM60" i="71"/>
  <c r="EM62" i="71"/>
  <c r="EM30" i="71"/>
  <c r="EM31" i="71"/>
  <c r="EM32" i="71"/>
  <c r="EL8" i="71"/>
  <c r="EL61" i="71"/>
  <c r="EL29" i="71"/>
  <c r="EL28" i="71"/>
  <c r="EL60" i="71"/>
  <c r="EL62" i="71"/>
  <c r="EL30" i="71"/>
  <c r="EL31" i="71"/>
  <c r="EL32" i="71"/>
  <c r="EK8" i="71"/>
  <c r="EK61" i="71"/>
  <c r="EK29" i="71"/>
  <c r="EK28" i="71"/>
  <c r="EK60" i="71"/>
  <c r="EK62" i="71"/>
  <c r="EK30" i="71"/>
  <c r="EK31" i="71"/>
  <c r="EK32" i="71"/>
  <c r="EJ8" i="71"/>
  <c r="EJ61" i="71"/>
  <c r="EJ29" i="71"/>
  <c r="EJ28" i="71"/>
  <c r="EJ60" i="71"/>
  <c r="EJ62" i="71"/>
  <c r="EJ30" i="71"/>
  <c r="EJ31" i="71"/>
  <c r="EJ32" i="71"/>
  <c r="EI8" i="71"/>
  <c r="EI61" i="71"/>
  <c r="EI29" i="71"/>
  <c r="EI28" i="71"/>
  <c r="EI60" i="71"/>
  <c r="EI62" i="71"/>
  <c r="EI30" i="71"/>
  <c r="EI31" i="71"/>
  <c r="EI32" i="71"/>
  <c r="EH8" i="71"/>
  <c r="EH61" i="71"/>
  <c r="EH29" i="71"/>
  <c r="EH28" i="71"/>
  <c r="EH60" i="71"/>
  <c r="EH62" i="71"/>
  <c r="EH30" i="71"/>
  <c r="EH31" i="71"/>
  <c r="EH32" i="71"/>
  <c r="EG8" i="71"/>
  <c r="EG61" i="71"/>
  <c r="EG29" i="71"/>
  <c r="EG28" i="71"/>
  <c r="EG60" i="71"/>
  <c r="EG62" i="71"/>
  <c r="EG30" i="71"/>
  <c r="EG31" i="71"/>
  <c r="EG32" i="71"/>
  <c r="EF8" i="71"/>
  <c r="EF61" i="71"/>
  <c r="EF29" i="71"/>
  <c r="EF28" i="71"/>
  <c r="EF60" i="71"/>
  <c r="EF62" i="71"/>
  <c r="EF30" i="71"/>
  <c r="EF31" i="71"/>
  <c r="EF32" i="71"/>
  <c r="EE8" i="71"/>
  <c r="EE61" i="71"/>
  <c r="EE29" i="71"/>
  <c r="EE28" i="71"/>
  <c r="EE60" i="71"/>
  <c r="EE62" i="71"/>
  <c r="EE30" i="71"/>
  <c r="EE31" i="71"/>
  <c r="EE32" i="71"/>
  <c r="ED8" i="71"/>
  <c r="ED61" i="71"/>
  <c r="ED29" i="71"/>
  <c r="ED28" i="71"/>
  <c r="ED60" i="71"/>
  <c r="ED62" i="71"/>
  <c r="ED30" i="71"/>
  <c r="ED31" i="71"/>
  <c r="ED32" i="71"/>
  <c r="EC8" i="71"/>
  <c r="EC61" i="71"/>
  <c r="EC29" i="71"/>
  <c r="EC28" i="71"/>
  <c r="EC60" i="71"/>
  <c r="EC62" i="71"/>
  <c r="EC30" i="71"/>
  <c r="EC31" i="71"/>
  <c r="EC32" i="71"/>
  <c r="EB8" i="71"/>
  <c r="EB61" i="71"/>
  <c r="EB29" i="71"/>
  <c r="EB28" i="71"/>
  <c r="EB60" i="71"/>
  <c r="EB62" i="71"/>
  <c r="EB30" i="71"/>
  <c r="EB31" i="71"/>
  <c r="EB32" i="71"/>
  <c r="EA8" i="71"/>
  <c r="EA61" i="71"/>
  <c r="EA29" i="71"/>
  <c r="EA28" i="71"/>
  <c r="EA60" i="71"/>
  <c r="EA62" i="71"/>
  <c r="EA30" i="71"/>
  <c r="EA31" i="71"/>
  <c r="EA32" i="71"/>
  <c r="DZ8" i="71"/>
  <c r="DZ61" i="71"/>
  <c r="DZ29" i="71"/>
  <c r="DZ28" i="71"/>
  <c r="DZ60" i="71"/>
  <c r="DZ62" i="71"/>
  <c r="DZ30" i="71"/>
  <c r="DZ31" i="71"/>
  <c r="DZ32" i="71"/>
  <c r="DY8" i="71"/>
  <c r="DY61" i="71"/>
  <c r="DY29" i="71"/>
  <c r="DY28" i="71"/>
  <c r="DY60" i="71"/>
  <c r="DY62" i="71"/>
  <c r="DY30" i="71"/>
  <c r="DY31" i="71"/>
  <c r="DY32" i="71"/>
  <c r="DX8" i="71"/>
  <c r="DX61" i="71"/>
  <c r="DX29" i="71"/>
  <c r="DX28" i="71"/>
  <c r="DX60" i="71"/>
  <c r="DX62" i="71"/>
  <c r="DX30" i="71"/>
  <c r="DX31" i="71"/>
  <c r="DX32" i="71"/>
  <c r="DW8" i="71"/>
  <c r="DW61" i="71"/>
  <c r="DW29" i="71"/>
  <c r="DW28" i="71"/>
  <c r="DW60" i="71"/>
  <c r="DW62" i="71"/>
  <c r="DW30" i="71"/>
  <c r="DW31" i="71"/>
  <c r="DW32" i="71"/>
  <c r="DV8" i="71"/>
  <c r="DV61" i="71"/>
  <c r="DV29" i="71"/>
  <c r="DV28" i="71"/>
  <c r="DV60" i="71"/>
  <c r="DV62" i="71"/>
  <c r="DV30" i="71"/>
  <c r="DV31" i="71"/>
  <c r="DV32" i="71"/>
  <c r="DU8" i="71"/>
  <c r="DU61" i="71"/>
  <c r="DU29" i="71"/>
  <c r="DU28" i="71"/>
  <c r="DU60" i="71"/>
  <c r="DU62" i="71"/>
  <c r="DU30" i="71"/>
  <c r="DU31" i="71"/>
  <c r="DU32" i="71"/>
  <c r="DT8" i="71"/>
  <c r="DT61" i="71"/>
  <c r="DT29" i="71"/>
  <c r="DT28" i="71"/>
  <c r="DT60" i="71"/>
  <c r="DT62" i="71"/>
  <c r="DT30" i="71"/>
  <c r="DT31" i="71"/>
  <c r="DT32" i="71"/>
  <c r="DS8" i="71"/>
  <c r="DS61" i="71"/>
  <c r="DS29" i="71"/>
  <c r="DS28" i="71"/>
  <c r="DS60" i="71"/>
  <c r="DS62" i="71"/>
  <c r="DS30" i="71"/>
  <c r="DS31" i="71"/>
  <c r="DS32" i="71"/>
  <c r="DR8" i="71"/>
  <c r="DR61" i="71"/>
  <c r="DR29" i="71"/>
  <c r="DR28" i="71"/>
  <c r="DR60" i="71"/>
  <c r="DR62" i="71"/>
  <c r="DR30" i="71"/>
  <c r="DR31" i="71"/>
  <c r="DR32" i="71"/>
  <c r="DQ8" i="71"/>
  <c r="DQ61" i="71"/>
  <c r="DQ29" i="71"/>
  <c r="DQ28" i="71"/>
  <c r="DQ60" i="71"/>
  <c r="DQ62" i="71"/>
  <c r="DQ30" i="71"/>
  <c r="DQ31" i="71"/>
  <c r="DQ32" i="71"/>
  <c r="DP8" i="71"/>
  <c r="DP61" i="71"/>
  <c r="DP29" i="71"/>
  <c r="DP28" i="71"/>
  <c r="DP60" i="71"/>
  <c r="DP62" i="71"/>
  <c r="DP30" i="71"/>
  <c r="DP31" i="71"/>
  <c r="DP32" i="71"/>
  <c r="DO8" i="71"/>
  <c r="DO61" i="71"/>
  <c r="DO29" i="71"/>
  <c r="DO28" i="71"/>
  <c r="DO60" i="71"/>
  <c r="DO62" i="71"/>
  <c r="DO30" i="71"/>
  <c r="DO31" i="71"/>
  <c r="DO32" i="71"/>
  <c r="DN8" i="71"/>
  <c r="DN61" i="71"/>
  <c r="DN29" i="71"/>
  <c r="DN28" i="71"/>
  <c r="DN60" i="71"/>
  <c r="DN62" i="71"/>
  <c r="DN30" i="71"/>
  <c r="DN31" i="71"/>
  <c r="DN32" i="71"/>
  <c r="DM8" i="71"/>
  <c r="DM61" i="71"/>
  <c r="DM29" i="71"/>
  <c r="DM28" i="71"/>
  <c r="DM60" i="71"/>
  <c r="DM62" i="71"/>
  <c r="DM30" i="71"/>
  <c r="DM31" i="71"/>
  <c r="DM32" i="71"/>
  <c r="DL8" i="71"/>
  <c r="DL61" i="71"/>
  <c r="DL29" i="71"/>
  <c r="DL28" i="71"/>
  <c r="DL60" i="71"/>
  <c r="DL62" i="71"/>
  <c r="DL30" i="71"/>
  <c r="DL31" i="71"/>
  <c r="DL32" i="71"/>
  <c r="DK8" i="71"/>
  <c r="DK61" i="71"/>
  <c r="DK29" i="71"/>
  <c r="DK28" i="71"/>
  <c r="DK60" i="71"/>
  <c r="DK62" i="71"/>
  <c r="DK30" i="71"/>
  <c r="DK31" i="71"/>
  <c r="DK32" i="71"/>
  <c r="DJ8" i="71"/>
  <c r="DJ61" i="71"/>
  <c r="DJ29" i="71"/>
  <c r="DJ28" i="71"/>
  <c r="DJ60" i="71"/>
  <c r="DJ62" i="71"/>
  <c r="DJ30" i="71"/>
  <c r="DJ31" i="71"/>
  <c r="DJ32" i="71"/>
  <c r="DI8" i="71"/>
  <c r="DI61" i="71"/>
  <c r="DI29" i="71"/>
  <c r="DI28" i="71"/>
  <c r="DI60" i="71"/>
  <c r="DI62" i="71"/>
  <c r="DI30" i="71"/>
  <c r="DI31" i="71"/>
  <c r="DI32" i="71"/>
  <c r="DH8" i="71"/>
  <c r="DH61" i="71"/>
  <c r="DH29" i="71"/>
  <c r="DH28" i="71"/>
  <c r="DH60" i="71"/>
  <c r="DH62" i="71"/>
  <c r="DH30" i="71"/>
  <c r="DH31" i="71"/>
  <c r="DH32" i="71"/>
  <c r="DG8" i="71"/>
  <c r="DG61" i="71"/>
  <c r="DG29" i="71"/>
  <c r="DG28" i="71"/>
  <c r="DG60" i="71"/>
  <c r="DG62" i="71"/>
  <c r="DG30" i="71"/>
  <c r="DG31" i="71"/>
  <c r="DG32" i="71"/>
  <c r="DF8" i="71"/>
  <c r="DF61" i="71"/>
  <c r="DF29" i="71"/>
  <c r="DF28" i="71"/>
  <c r="DF60" i="71"/>
  <c r="DF62" i="71"/>
  <c r="DF30" i="71"/>
  <c r="DF31" i="71"/>
  <c r="DF32" i="71"/>
  <c r="DE8" i="71"/>
  <c r="DE61" i="71"/>
  <c r="DE29" i="71"/>
  <c r="DE28" i="71"/>
  <c r="DE60" i="71"/>
  <c r="DE62" i="71"/>
  <c r="DE30" i="71"/>
  <c r="DE31" i="71"/>
  <c r="DE32" i="71"/>
  <c r="DD8" i="71"/>
  <c r="DD61" i="71"/>
  <c r="DD29" i="71"/>
  <c r="DD28" i="71"/>
  <c r="DD60" i="71"/>
  <c r="DD62" i="71"/>
  <c r="DD30" i="71"/>
  <c r="DD31" i="71"/>
  <c r="DD32" i="71"/>
  <c r="DC8" i="71"/>
  <c r="DC61" i="71"/>
  <c r="DC29" i="71"/>
  <c r="DC28" i="71"/>
  <c r="DC60" i="71"/>
  <c r="DC62" i="71"/>
  <c r="DC30" i="71"/>
  <c r="DC31" i="71"/>
  <c r="DC32" i="71"/>
  <c r="DB8" i="71"/>
  <c r="DB61" i="71"/>
  <c r="DB29" i="71"/>
  <c r="DB28" i="71"/>
  <c r="DB60" i="71"/>
  <c r="DB62" i="71"/>
  <c r="DB30" i="71"/>
  <c r="DB31" i="71"/>
  <c r="DB32" i="71"/>
  <c r="DA8" i="71"/>
  <c r="DA61" i="71"/>
  <c r="DA29" i="71"/>
  <c r="DA28" i="71"/>
  <c r="DA60" i="71"/>
  <c r="DA62" i="71"/>
  <c r="DA30" i="71"/>
  <c r="DA31" i="71"/>
  <c r="DA32" i="71"/>
  <c r="CZ8" i="71"/>
  <c r="CZ61" i="71"/>
  <c r="CZ29" i="71"/>
  <c r="CZ28" i="71"/>
  <c r="CZ60" i="71"/>
  <c r="CZ62" i="71"/>
  <c r="CZ30" i="71"/>
  <c r="CZ31" i="71"/>
  <c r="CZ32" i="71"/>
  <c r="CY8" i="71"/>
  <c r="CY61" i="71"/>
  <c r="CY29" i="71"/>
  <c r="CY28" i="71"/>
  <c r="CY60" i="71"/>
  <c r="CY62" i="71"/>
  <c r="CY30" i="71"/>
  <c r="CY31" i="71"/>
  <c r="CY32" i="71"/>
  <c r="CX8" i="71"/>
  <c r="CX61" i="71"/>
  <c r="CX29" i="71"/>
  <c r="CX28" i="71"/>
  <c r="CX60" i="71"/>
  <c r="CX62" i="71"/>
  <c r="CX30" i="71"/>
  <c r="CX31" i="71"/>
  <c r="CX32" i="71"/>
  <c r="CW8" i="71"/>
  <c r="CW61" i="71"/>
  <c r="CW29" i="71"/>
  <c r="CW28" i="71"/>
  <c r="CW60" i="71"/>
  <c r="CW62" i="71"/>
  <c r="CW30" i="71"/>
  <c r="CW31" i="71"/>
  <c r="CW32" i="71"/>
  <c r="CV8" i="71"/>
  <c r="CV61" i="71"/>
  <c r="CV29" i="71"/>
  <c r="CV28" i="71"/>
  <c r="CV60" i="71"/>
  <c r="CV62" i="71"/>
  <c r="CV30" i="71"/>
  <c r="CV31" i="71"/>
  <c r="CV32" i="71"/>
  <c r="CU8" i="71"/>
  <c r="CU61" i="71"/>
  <c r="CU29" i="71"/>
  <c r="CU28" i="71"/>
  <c r="CU60" i="71"/>
  <c r="CU62" i="71"/>
  <c r="CU30" i="71"/>
  <c r="CU31" i="71"/>
  <c r="CU32" i="71"/>
  <c r="CT8" i="71"/>
  <c r="CT61" i="71"/>
  <c r="CT29" i="71"/>
  <c r="CT28" i="71"/>
  <c r="CT60" i="71"/>
  <c r="CT62" i="71"/>
  <c r="CT30" i="71"/>
  <c r="CT31" i="71"/>
  <c r="CT32" i="71"/>
  <c r="CS8" i="71"/>
  <c r="CS61" i="71"/>
  <c r="CS29" i="71"/>
  <c r="CS28" i="71"/>
  <c r="CS60" i="71"/>
  <c r="CS62" i="71"/>
  <c r="CS30" i="71"/>
  <c r="CS31" i="71"/>
  <c r="CS32" i="71"/>
  <c r="CR8" i="71"/>
  <c r="CR61" i="71"/>
  <c r="CR29" i="71"/>
  <c r="CR28" i="71"/>
  <c r="CR60" i="71"/>
  <c r="CR62" i="71"/>
  <c r="CR30" i="71"/>
  <c r="CR31" i="71"/>
  <c r="CR32" i="71"/>
  <c r="CQ8" i="71"/>
  <c r="CQ61" i="71"/>
  <c r="CQ29" i="71"/>
  <c r="CQ28" i="71"/>
  <c r="CQ60" i="71"/>
  <c r="CQ62" i="71"/>
  <c r="CQ30" i="71"/>
  <c r="CQ31" i="71"/>
  <c r="CQ32" i="71"/>
  <c r="CP8" i="71"/>
  <c r="CP61" i="71"/>
  <c r="CP29" i="71"/>
  <c r="CP28" i="71"/>
  <c r="CP60" i="71"/>
  <c r="CP62" i="71"/>
  <c r="CP30" i="71"/>
  <c r="CP31" i="71"/>
  <c r="CP32" i="71"/>
  <c r="CO8" i="71"/>
  <c r="CO61" i="71"/>
  <c r="CO29" i="71"/>
  <c r="CO28" i="71"/>
  <c r="CO60" i="71"/>
  <c r="CO62" i="71"/>
  <c r="CO30" i="71"/>
  <c r="CO31" i="71"/>
  <c r="CO32" i="71"/>
  <c r="CN8" i="71"/>
  <c r="CN61" i="71"/>
  <c r="CN29" i="71"/>
  <c r="CN28" i="71"/>
  <c r="CN60" i="71"/>
  <c r="CN62" i="71"/>
  <c r="CN30" i="71"/>
  <c r="CN31" i="71"/>
  <c r="CN32" i="71"/>
  <c r="CM8" i="71"/>
  <c r="CM61" i="71"/>
  <c r="CM29" i="71"/>
  <c r="CM28" i="71"/>
  <c r="CM60" i="71"/>
  <c r="CM62" i="71"/>
  <c r="CM30" i="71"/>
  <c r="CM31" i="71"/>
  <c r="CM32" i="71"/>
  <c r="CL8" i="71"/>
  <c r="CL61" i="71"/>
  <c r="CL29" i="71"/>
  <c r="CL28" i="71"/>
  <c r="CL60" i="71"/>
  <c r="CL62" i="71"/>
  <c r="CL30" i="71"/>
  <c r="CL31" i="71"/>
  <c r="CL32" i="71"/>
  <c r="CK8" i="71"/>
  <c r="CK61" i="71"/>
  <c r="CK29" i="71"/>
  <c r="CK28" i="71"/>
  <c r="CK60" i="71"/>
  <c r="CK62" i="71"/>
  <c r="CK30" i="71"/>
  <c r="CK31" i="71"/>
  <c r="CK32" i="71"/>
  <c r="CJ8" i="71"/>
  <c r="CJ61" i="71"/>
  <c r="CJ29" i="71"/>
  <c r="CJ28" i="71"/>
  <c r="CJ60" i="71"/>
  <c r="CJ62" i="71"/>
  <c r="CJ30" i="71"/>
  <c r="CJ31" i="71"/>
  <c r="CJ32" i="71"/>
  <c r="CI8" i="71"/>
  <c r="CI61" i="71"/>
  <c r="CI29" i="71"/>
  <c r="CI28" i="71"/>
  <c r="CI60" i="71"/>
  <c r="CI62" i="71"/>
  <c r="CI30" i="71"/>
  <c r="CI31" i="71"/>
  <c r="CI32" i="71"/>
  <c r="CH8" i="71"/>
  <c r="CH61" i="71"/>
  <c r="CH29" i="71"/>
  <c r="CH28" i="71"/>
  <c r="CH60" i="71"/>
  <c r="CH62" i="71"/>
  <c r="CH30" i="71"/>
  <c r="CH31" i="71"/>
  <c r="CH32" i="71"/>
  <c r="CG8" i="71"/>
  <c r="CG61" i="71"/>
  <c r="CG29" i="71"/>
  <c r="CG28" i="71"/>
  <c r="CG60" i="71"/>
  <c r="CG62" i="71"/>
  <c r="CG30" i="71"/>
  <c r="CG31" i="71"/>
  <c r="CG32" i="71"/>
  <c r="CF8" i="71"/>
  <c r="CF61" i="71"/>
  <c r="CF29" i="71"/>
  <c r="CF28" i="71"/>
  <c r="CF60" i="71"/>
  <c r="CF62" i="71"/>
  <c r="CF30" i="71"/>
  <c r="CF31" i="71"/>
  <c r="CF32" i="71"/>
  <c r="CE8" i="71"/>
  <c r="CE61" i="71"/>
  <c r="CE29" i="71"/>
  <c r="CE28" i="71"/>
  <c r="CE60" i="71"/>
  <c r="CE62" i="71"/>
  <c r="CE30" i="71"/>
  <c r="CE31" i="71"/>
  <c r="CE32" i="71"/>
  <c r="CD8" i="71"/>
  <c r="CD61" i="71"/>
  <c r="CD29" i="71"/>
  <c r="CD28" i="71"/>
  <c r="CD60" i="71"/>
  <c r="CD62" i="71"/>
  <c r="CD30" i="71"/>
  <c r="CD31" i="71"/>
  <c r="CD32" i="71"/>
  <c r="CC8" i="71"/>
  <c r="CC61" i="71"/>
  <c r="CC29" i="71"/>
  <c r="CC28" i="71"/>
  <c r="CC60" i="71"/>
  <c r="CC62" i="71"/>
  <c r="CC30" i="71"/>
  <c r="CC31" i="71"/>
  <c r="CC32" i="71"/>
  <c r="CB8" i="71"/>
  <c r="CB61" i="71"/>
  <c r="CB29" i="71"/>
  <c r="CB28" i="71"/>
  <c r="CB60" i="71"/>
  <c r="CB62" i="71"/>
  <c r="CB30" i="71"/>
  <c r="CB31" i="71"/>
  <c r="CB32" i="71"/>
  <c r="CA8" i="71"/>
  <c r="CA61" i="71"/>
  <c r="CA29" i="71"/>
  <c r="CA28" i="71"/>
  <c r="CA60" i="71"/>
  <c r="CA62" i="71"/>
  <c r="CA30" i="71"/>
  <c r="CA31" i="71"/>
  <c r="CA32" i="71"/>
  <c r="BZ8" i="71"/>
  <c r="BZ61" i="71"/>
  <c r="BZ29" i="71"/>
  <c r="BZ28" i="71"/>
  <c r="BZ60" i="71"/>
  <c r="BZ62" i="71"/>
  <c r="BZ30" i="71"/>
  <c r="BZ31" i="71"/>
  <c r="BZ32" i="71"/>
  <c r="BY8" i="71"/>
  <c r="BY61" i="71"/>
  <c r="BY29" i="71"/>
  <c r="BY28" i="71"/>
  <c r="BY60" i="71"/>
  <c r="BY62" i="71"/>
  <c r="BY30" i="71"/>
  <c r="BY31" i="71"/>
  <c r="BY32" i="71"/>
  <c r="BX8" i="71"/>
  <c r="BX61" i="71"/>
  <c r="BX29" i="71"/>
  <c r="BX28" i="71"/>
  <c r="BX60" i="71"/>
  <c r="BX62" i="71"/>
  <c r="BX30" i="71"/>
  <c r="BX31" i="71"/>
  <c r="BX32" i="71"/>
  <c r="BW8" i="71"/>
  <c r="BW61" i="71"/>
  <c r="BW29" i="71"/>
  <c r="BW28" i="71"/>
  <c r="BW60" i="71"/>
  <c r="BW62" i="71"/>
  <c r="BW30" i="71"/>
  <c r="BW31" i="71"/>
  <c r="BW32" i="71"/>
  <c r="BV8" i="71"/>
  <c r="BV61" i="71"/>
  <c r="BV29" i="71"/>
  <c r="BV28" i="71"/>
  <c r="BV60" i="71"/>
  <c r="BV62" i="71"/>
  <c r="BV30" i="71"/>
  <c r="BV31" i="71"/>
  <c r="BV32" i="71"/>
  <c r="BU8" i="71"/>
  <c r="BU61" i="71"/>
  <c r="BU29" i="71"/>
  <c r="BU28" i="71"/>
  <c r="BU60" i="71"/>
  <c r="BU62" i="71"/>
  <c r="BU30" i="71"/>
  <c r="BU31" i="71"/>
  <c r="BU32" i="71"/>
  <c r="BT8" i="71"/>
  <c r="BT61" i="71"/>
  <c r="BT29" i="71"/>
  <c r="BT28" i="71"/>
  <c r="BT60" i="71"/>
  <c r="BT62" i="71"/>
  <c r="BT30" i="71"/>
  <c r="BT31" i="71"/>
  <c r="BT32" i="71"/>
  <c r="BS8" i="71"/>
  <c r="BS61" i="71"/>
  <c r="BS29" i="71"/>
  <c r="BS28" i="71"/>
  <c r="BS60" i="71"/>
  <c r="BS62" i="71"/>
  <c r="BS30" i="71"/>
  <c r="BS31" i="71"/>
  <c r="BS32" i="71"/>
  <c r="BR8" i="71"/>
  <c r="BR61" i="71"/>
  <c r="BR29" i="71"/>
  <c r="BR28" i="71"/>
  <c r="BR60" i="71"/>
  <c r="BR62" i="71"/>
  <c r="BR30" i="71"/>
  <c r="BR31" i="71"/>
  <c r="BR32" i="71"/>
  <c r="BQ8" i="71"/>
  <c r="BQ61" i="71"/>
  <c r="BQ29" i="71"/>
  <c r="BQ28" i="71"/>
  <c r="BQ60" i="71"/>
  <c r="BQ62" i="71"/>
  <c r="BQ30" i="71"/>
  <c r="BQ31" i="71"/>
  <c r="BQ32" i="71"/>
  <c r="BP8" i="71"/>
  <c r="BP61" i="71"/>
  <c r="BP29" i="71"/>
  <c r="BP28" i="71"/>
  <c r="BP60" i="71"/>
  <c r="BP62" i="71"/>
  <c r="BP30" i="71"/>
  <c r="BP31" i="71"/>
  <c r="BP32" i="71"/>
  <c r="BO8" i="71"/>
  <c r="BO61" i="71"/>
  <c r="BO29" i="71"/>
  <c r="BO28" i="71"/>
  <c r="BO60" i="71"/>
  <c r="BO62" i="71"/>
  <c r="BO30" i="71"/>
  <c r="BO31" i="71"/>
  <c r="BO32" i="71"/>
  <c r="BN8" i="71"/>
  <c r="BN61" i="71"/>
  <c r="BN29" i="71"/>
  <c r="BN28" i="71"/>
  <c r="BN60" i="71"/>
  <c r="BN62" i="71"/>
  <c r="BN30" i="71"/>
  <c r="BN31" i="71"/>
  <c r="BN32" i="71"/>
  <c r="BM8" i="71"/>
  <c r="BM61" i="71"/>
  <c r="BM29" i="71"/>
  <c r="BM28" i="71"/>
  <c r="BM60" i="71"/>
  <c r="BM62" i="71"/>
  <c r="BM30" i="71"/>
  <c r="BM31" i="71"/>
  <c r="BM32" i="71"/>
  <c r="BL8" i="71"/>
  <c r="BL61" i="71"/>
  <c r="BL29" i="71"/>
  <c r="BL28" i="71"/>
  <c r="BL60" i="71"/>
  <c r="BL62" i="71"/>
  <c r="BL30" i="71"/>
  <c r="BL31" i="71"/>
  <c r="BL32" i="71"/>
  <c r="BK8" i="71"/>
  <c r="BK61" i="71"/>
  <c r="BK29" i="71"/>
  <c r="BK28" i="71"/>
  <c r="BK60" i="71"/>
  <c r="BK62" i="71"/>
  <c r="BK30" i="71"/>
  <c r="BK31" i="71"/>
  <c r="BK32" i="71"/>
  <c r="BJ8" i="71"/>
  <c r="BJ61" i="71"/>
  <c r="BJ29" i="71"/>
  <c r="BJ28" i="71"/>
  <c r="BJ60" i="71"/>
  <c r="BJ62" i="71"/>
  <c r="BJ30" i="71"/>
  <c r="BJ31" i="71"/>
  <c r="BJ32" i="71"/>
  <c r="BI8" i="71"/>
  <c r="BI61" i="71"/>
  <c r="BI29" i="71"/>
  <c r="BI28" i="71"/>
  <c r="BI60" i="71"/>
  <c r="BI62" i="71"/>
  <c r="BI30" i="71"/>
  <c r="BI31" i="71"/>
  <c r="BI32" i="71"/>
  <c r="BH8" i="71"/>
  <c r="BH61" i="71"/>
  <c r="BH29" i="71"/>
  <c r="BH28" i="71"/>
  <c r="BH60" i="71"/>
  <c r="BH62" i="71"/>
  <c r="BH30" i="71"/>
  <c r="BH31" i="71"/>
  <c r="BH32" i="71"/>
  <c r="BG8" i="71"/>
  <c r="BG61" i="71"/>
  <c r="BG29" i="71"/>
  <c r="BG28" i="71"/>
  <c r="BG60" i="71"/>
  <c r="BG62" i="71"/>
  <c r="BG30" i="71"/>
  <c r="BG31" i="71"/>
  <c r="BG32" i="71"/>
  <c r="BF8" i="71"/>
  <c r="BF61" i="71"/>
  <c r="BF29" i="71"/>
  <c r="BF28" i="71"/>
  <c r="BF60" i="71"/>
  <c r="BF62" i="71"/>
  <c r="BF30" i="71"/>
  <c r="BF31" i="71"/>
  <c r="BF32" i="71"/>
  <c r="BE8" i="71"/>
  <c r="BE61" i="71"/>
  <c r="BE29" i="71"/>
  <c r="BE28" i="71"/>
  <c r="BE60" i="71"/>
  <c r="BE62" i="71"/>
  <c r="BE30" i="71"/>
  <c r="BE31" i="71"/>
  <c r="BE32" i="71"/>
  <c r="BD8" i="71"/>
  <c r="BD61" i="71"/>
  <c r="BD29" i="71"/>
  <c r="BD28" i="71"/>
  <c r="BD60" i="71"/>
  <c r="BD62" i="71"/>
  <c r="BD30" i="71"/>
  <c r="BD31" i="71"/>
  <c r="BD32" i="71"/>
  <c r="BC8" i="71"/>
  <c r="BC61" i="71"/>
  <c r="BC29" i="71"/>
  <c r="BC28" i="71"/>
  <c r="BC60" i="71"/>
  <c r="BC62" i="71"/>
  <c r="BC30" i="71"/>
  <c r="BC31" i="71"/>
  <c r="BC32" i="71"/>
  <c r="BB8" i="71"/>
  <c r="BB61" i="71"/>
  <c r="BB29" i="71"/>
  <c r="BB28" i="71"/>
  <c r="BB60" i="71"/>
  <c r="BB62" i="71"/>
  <c r="BB30" i="71"/>
  <c r="BB31" i="71"/>
  <c r="BB32" i="71"/>
  <c r="BA8" i="71"/>
  <c r="BA61" i="71"/>
  <c r="BA29" i="71"/>
  <c r="BA28" i="71"/>
  <c r="BA60" i="71"/>
  <c r="BA62" i="71"/>
  <c r="BA30" i="71"/>
  <c r="BA31" i="71"/>
  <c r="BA32" i="71"/>
  <c r="AZ8" i="71"/>
  <c r="AZ61" i="71"/>
  <c r="AZ29" i="71"/>
  <c r="AZ28" i="71"/>
  <c r="AZ60" i="71"/>
  <c r="AZ62" i="71"/>
  <c r="AZ30" i="71"/>
  <c r="AZ31" i="71"/>
  <c r="AZ32" i="71"/>
  <c r="AY8" i="71"/>
  <c r="AY61" i="71"/>
  <c r="AY29" i="71"/>
  <c r="AY28" i="71"/>
  <c r="AY60" i="71"/>
  <c r="AY62" i="71"/>
  <c r="AY30" i="71"/>
  <c r="AY31" i="71"/>
  <c r="AY32" i="71"/>
  <c r="AX8" i="71"/>
  <c r="AX61" i="71"/>
  <c r="AX29" i="71"/>
  <c r="AX28" i="71"/>
  <c r="AX60" i="71"/>
  <c r="AX62" i="71"/>
  <c r="AX30" i="71"/>
  <c r="AX31" i="71"/>
  <c r="AX32" i="71"/>
  <c r="AW8" i="71"/>
  <c r="AW61" i="71"/>
  <c r="AW29" i="71"/>
  <c r="AW28" i="71"/>
  <c r="AW60" i="71"/>
  <c r="AW62" i="71"/>
  <c r="AW30" i="71"/>
  <c r="AW31" i="71"/>
  <c r="AW32" i="71"/>
  <c r="AV8" i="71"/>
  <c r="AV61" i="71"/>
  <c r="AV29" i="71"/>
  <c r="AV28" i="71"/>
  <c r="AV60" i="71"/>
  <c r="AV62" i="71"/>
  <c r="AV30" i="71"/>
  <c r="AV31" i="71"/>
  <c r="AV32" i="71"/>
  <c r="AU8" i="71"/>
  <c r="AU61" i="71"/>
  <c r="AU29" i="71"/>
  <c r="AU28" i="71"/>
  <c r="AU60" i="71"/>
  <c r="AU62" i="71"/>
  <c r="AU30" i="71"/>
  <c r="AU31" i="71"/>
  <c r="AU32" i="71"/>
  <c r="AT8" i="71"/>
  <c r="AT61" i="71"/>
  <c r="AT29" i="71"/>
  <c r="AT28" i="71"/>
  <c r="AT60" i="71"/>
  <c r="AT62" i="71"/>
  <c r="AT30" i="71"/>
  <c r="AT31" i="71"/>
  <c r="AT32" i="71"/>
  <c r="AS8" i="71"/>
  <c r="AS61" i="71"/>
  <c r="AS29" i="71"/>
  <c r="AS28" i="71"/>
  <c r="AS60" i="71"/>
  <c r="AS62" i="71"/>
  <c r="AS30" i="71"/>
  <c r="AS31" i="71"/>
  <c r="AS32" i="71"/>
  <c r="AR8" i="71"/>
  <c r="AR61" i="71"/>
  <c r="AR29" i="71"/>
  <c r="AR28" i="71"/>
  <c r="AR60" i="71"/>
  <c r="AR62" i="71"/>
  <c r="AR30" i="71"/>
  <c r="AR31" i="71"/>
  <c r="AR32" i="71"/>
  <c r="AQ8" i="71"/>
  <c r="AQ61" i="71"/>
  <c r="AQ29" i="71"/>
  <c r="AQ28" i="71"/>
  <c r="AQ60" i="71"/>
  <c r="AQ62" i="71"/>
  <c r="AQ30" i="71"/>
  <c r="AQ31" i="71"/>
  <c r="AQ32" i="71"/>
  <c r="AP8" i="71"/>
  <c r="AP61" i="71"/>
  <c r="AP29" i="71"/>
  <c r="AP28" i="71"/>
  <c r="AP60" i="71"/>
  <c r="AP62" i="71"/>
  <c r="AP30" i="71"/>
  <c r="AP31" i="71"/>
  <c r="AP32" i="71"/>
  <c r="AO8" i="71"/>
  <c r="AO61" i="71"/>
  <c r="AO29" i="71"/>
  <c r="AO28" i="71"/>
  <c r="AO60" i="71"/>
  <c r="AO62" i="71"/>
  <c r="AO30" i="71"/>
  <c r="AO31" i="71"/>
  <c r="AO32" i="71"/>
  <c r="AN8" i="71"/>
  <c r="AN61" i="71"/>
  <c r="AN29" i="71"/>
  <c r="AN28" i="71"/>
  <c r="AN60" i="71"/>
  <c r="AN62" i="71"/>
  <c r="AN30" i="71"/>
  <c r="AN31" i="71"/>
  <c r="AN32" i="71"/>
  <c r="AM8" i="71"/>
  <c r="AM61" i="71"/>
  <c r="AM29" i="71"/>
  <c r="AM28" i="71"/>
  <c r="AM60" i="71"/>
  <c r="AM62" i="71"/>
  <c r="AM30" i="71"/>
  <c r="AM31" i="71"/>
  <c r="AM32" i="71"/>
  <c r="AL8" i="71"/>
  <c r="AL61" i="71"/>
  <c r="AL29" i="71"/>
  <c r="AL28" i="71"/>
  <c r="AL60" i="71"/>
  <c r="AL62" i="71"/>
  <c r="AL30" i="71"/>
  <c r="AL31" i="71"/>
  <c r="AL32" i="71"/>
  <c r="AK8" i="71"/>
  <c r="AK61" i="71"/>
  <c r="AK29" i="71"/>
  <c r="AK28" i="71"/>
  <c r="AK60" i="71"/>
  <c r="AK62" i="71"/>
  <c r="AK30" i="71"/>
  <c r="AK31" i="71"/>
  <c r="AK32" i="71"/>
  <c r="AJ8" i="71"/>
  <c r="AJ61" i="71"/>
  <c r="AJ29" i="71"/>
  <c r="AJ28" i="71"/>
  <c r="AJ60" i="71"/>
  <c r="AJ62" i="71"/>
  <c r="AJ30" i="71"/>
  <c r="AJ31" i="71"/>
  <c r="AJ32" i="71"/>
  <c r="AI8" i="71"/>
  <c r="AI61" i="71"/>
  <c r="AI29" i="71"/>
  <c r="AI28" i="71"/>
  <c r="AI60" i="71"/>
  <c r="AI62" i="71"/>
  <c r="AI30" i="71"/>
  <c r="AI31" i="71"/>
  <c r="AI32" i="71"/>
  <c r="AH8" i="71"/>
  <c r="AH61" i="71"/>
  <c r="AH29" i="71"/>
  <c r="AH28" i="71"/>
  <c r="AH60" i="71"/>
  <c r="AH62" i="71"/>
  <c r="AH30" i="71"/>
  <c r="AH31" i="71"/>
  <c r="AH32" i="71"/>
  <c r="AG8" i="71"/>
  <c r="AG61" i="71"/>
  <c r="AG29" i="71"/>
  <c r="AG28" i="71"/>
  <c r="AG60" i="71"/>
  <c r="AG62" i="71"/>
  <c r="AG30" i="71"/>
  <c r="AG31" i="71"/>
  <c r="AG32" i="71"/>
  <c r="AF8" i="71"/>
  <c r="AF61" i="71"/>
  <c r="AF29" i="71"/>
  <c r="AF28" i="71"/>
  <c r="AF60" i="71"/>
  <c r="AF62" i="71"/>
  <c r="AF30" i="71"/>
  <c r="AF31" i="71"/>
  <c r="AF32" i="71"/>
  <c r="AE8" i="71"/>
  <c r="AE61" i="71"/>
  <c r="AE29" i="71"/>
  <c r="AE28" i="71"/>
  <c r="AE60" i="71"/>
  <c r="AE62" i="71"/>
  <c r="AE30" i="71"/>
  <c r="AE31" i="71"/>
  <c r="AE32" i="71"/>
  <c r="AD8" i="71"/>
  <c r="AD61" i="71"/>
  <c r="AD29" i="71"/>
  <c r="AD28" i="71"/>
  <c r="AD60" i="71"/>
  <c r="AD62" i="71"/>
  <c r="AD30" i="71"/>
  <c r="AD31" i="71"/>
  <c r="AD32" i="71"/>
  <c r="AC8" i="71"/>
  <c r="AC61" i="71"/>
  <c r="AC29" i="71"/>
  <c r="AC28" i="71"/>
  <c r="AC60" i="71"/>
  <c r="AC62" i="71"/>
  <c r="AC30" i="71"/>
  <c r="AC31" i="71"/>
  <c r="AC32" i="71"/>
  <c r="AB8" i="71"/>
  <c r="AB61" i="71"/>
  <c r="AB29" i="71"/>
  <c r="AB28" i="71"/>
  <c r="AB60" i="71"/>
  <c r="AB62" i="71"/>
  <c r="AB30" i="71"/>
  <c r="AB31" i="71"/>
  <c r="AB32" i="71"/>
  <c r="AA8" i="71"/>
  <c r="AA61" i="71"/>
  <c r="AA29" i="71"/>
  <c r="AA28" i="71"/>
  <c r="AA60" i="71"/>
  <c r="AA62" i="71"/>
  <c r="AA30" i="71"/>
  <c r="AA31" i="71"/>
  <c r="AA32" i="71"/>
  <c r="Z8" i="71"/>
  <c r="Z61" i="71"/>
  <c r="Z29" i="71"/>
  <c r="Z28" i="71"/>
  <c r="Z60" i="71"/>
  <c r="Z62" i="71"/>
  <c r="Z30" i="71"/>
  <c r="Z31" i="71"/>
  <c r="Z32" i="71"/>
  <c r="Y8" i="71"/>
  <c r="Y61" i="71"/>
  <c r="Y29" i="71"/>
  <c r="Y28" i="71"/>
  <c r="Y60" i="71"/>
  <c r="Y62" i="71"/>
  <c r="Y30" i="71"/>
  <c r="Y31" i="71"/>
  <c r="Y32" i="71"/>
  <c r="X8" i="71"/>
  <c r="X61" i="71"/>
  <c r="X29" i="71"/>
  <c r="X28" i="71"/>
  <c r="X60" i="71"/>
  <c r="X62" i="71"/>
  <c r="X30" i="71"/>
  <c r="X31" i="71"/>
  <c r="X32" i="71"/>
  <c r="W8" i="71"/>
  <c r="W61" i="71"/>
  <c r="W29" i="71"/>
  <c r="W28" i="71"/>
  <c r="W60" i="71"/>
  <c r="W62" i="71"/>
  <c r="W30" i="71"/>
  <c r="W31" i="71"/>
  <c r="W32" i="71"/>
  <c r="V8" i="71"/>
  <c r="V61" i="71"/>
  <c r="V29" i="71"/>
  <c r="V28" i="71"/>
  <c r="V60" i="71"/>
  <c r="V62" i="71"/>
  <c r="V31" i="71"/>
  <c r="V32" i="71"/>
  <c r="U29" i="71"/>
  <c r="U28" i="71"/>
  <c r="U62" i="71"/>
  <c r="U32" i="71"/>
  <c r="T8" i="71"/>
  <c r="B8" i="71" s="1"/>
  <c r="T61" i="71"/>
  <c r="B61" i="71" s="1"/>
  <c r="T29" i="71"/>
  <c r="B29" i="71" s="1"/>
  <c r="T28" i="71"/>
  <c r="B28" i="71" s="1"/>
  <c r="T60" i="71"/>
  <c r="B60" i="71" s="1"/>
  <c r="T62" i="71"/>
  <c r="B62" i="71" s="1"/>
  <c r="T30" i="71"/>
  <c r="B30" i="71" s="1"/>
  <c r="T31" i="71"/>
  <c r="B31" i="71" s="1"/>
  <c r="T32" i="71"/>
  <c r="B32" i="71" s="1"/>
  <c r="S8" i="71"/>
  <c r="S61" i="71"/>
  <c r="S29" i="71"/>
  <c r="S28" i="71"/>
  <c r="S60" i="71"/>
  <c r="S62" i="71"/>
  <c r="S30" i="71"/>
  <c r="S31" i="71"/>
  <c r="S32" i="71"/>
  <c r="R8" i="71"/>
  <c r="R61" i="71"/>
  <c r="R29" i="71"/>
  <c r="R28" i="71"/>
  <c r="R60" i="71"/>
  <c r="R62" i="71"/>
  <c r="R30" i="71"/>
  <c r="R31" i="71"/>
  <c r="R32" i="71"/>
  <c r="O8" i="71"/>
  <c r="O61" i="71"/>
  <c r="O29" i="71"/>
  <c r="O28" i="71"/>
  <c r="O60" i="71"/>
  <c r="O62" i="71"/>
  <c r="O30" i="71"/>
  <c r="O31" i="71"/>
  <c r="O32" i="71"/>
  <c r="N8" i="71"/>
  <c r="N61" i="71"/>
  <c r="N29" i="71"/>
  <c r="N28" i="71"/>
  <c r="N60" i="71"/>
  <c r="N62" i="71"/>
  <c r="N30" i="71"/>
  <c r="N31" i="71"/>
  <c r="N32" i="71"/>
  <c r="M8" i="71"/>
  <c r="M61" i="71"/>
  <c r="M29" i="71"/>
  <c r="M28" i="71"/>
  <c r="M60" i="71"/>
  <c r="M62" i="71"/>
  <c r="M30" i="71"/>
  <c r="M31" i="71"/>
  <c r="M32" i="71"/>
  <c r="E8" i="71"/>
  <c r="E61" i="71"/>
  <c r="E29" i="71"/>
  <c r="E28" i="71"/>
  <c r="E60" i="71"/>
  <c r="E62" i="71"/>
  <c r="E30" i="71"/>
  <c r="E31" i="71"/>
  <c r="E32" i="71"/>
  <c r="D8" i="71"/>
  <c r="D61" i="71"/>
  <c r="D29" i="71"/>
  <c r="D28" i="71"/>
  <c r="D60" i="71"/>
  <c r="D62" i="71"/>
  <c r="D30" i="71"/>
  <c r="D31" i="71"/>
  <c r="D32" i="71"/>
  <c r="A61" i="71"/>
  <c r="P61" i="71" s="1"/>
  <c r="A28" i="71"/>
  <c r="P28" i="71" s="1"/>
  <c r="A60" i="71"/>
  <c r="P60" i="71" s="1"/>
  <c r="A31" i="71"/>
  <c r="P31" i="71" s="1"/>
  <c r="L30" i="71" l="1"/>
  <c r="L28" i="71"/>
  <c r="L31" i="71"/>
  <c r="L32" i="71"/>
  <c r="L8" i="71"/>
  <c r="L62" i="71"/>
  <c r="L60" i="71"/>
  <c r="L29" i="71"/>
  <c r="L61" i="71"/>
  <c r="J30" i="71"/>
  <c r="K30" i="71"/>
  <c r="J60" i="71"/>
  <c r="K60" i="71"/>
  <c r="J28" i="71"/>
  <c r="K28" i="71"/>
  <c r="J61" i="71"/>
  <c r="K61" i="71"/>
  <c r="J8" i="71"/>
  <c r="K8" i="71"/>
  <c r="J29" i="71"/>
  <c r="K29" i="71"/>
  <c r="J62" i="71"/>
  <c r="K62" i="71"/>
  <c r="J32" i="71"/>
  <c r="K32" i="71"/>
  <c r="J31" i="71"/>
  <c r="K31" i="71"/>
  <c r="H29" i="71"/>
  <c r="I29" i="71"/>
  <c r="H28" i="71"/>
  <c r="I28" i="71"/>
  <c r="H61" i="71"/>
  <c r="I61" i="71"/>
  <c r="H32" i="71"/>
  <c r="I32" i="71"/>
  <c r="H8" i="71"/>
  <c r="I8" i="71"/>
  <c r="H31" i="71"/>
  <c r="I31" i="71"/>
  <c r="H30" i="71"/>
  <c r="I30" i="71"/>
  <c r="H62" i="71"/>
  <c r="I62" i="71"/>
  <c r="H60" i="71"/>
  <c r="I60" i="71"/>
  <c r="CE16" i="71"/>
  <c r="MM3" i="71" l="1"/>
  <c r="MM37" i="71"/>
  <c r="MM21" i="71"/>
  <c r="MM19" i="71"/>
  <c r="MM57" i="71"/>
  <c r="MM67" i="71"/>
  <c r="MM5" i="71"/>
  <c r="MM65" i="71"/>
  <c r="MM54" i="71"/>
  <c r="MM63" i="71"/>
  <c r="ML65" i="71"/>
  <c r="ML54" i="71"/>
  <c r="ML63" i="71"/>
  <c r="MK65" i="71"/>
  <c r="MK54" i="71"/>
  <c r="MK63" i="71"/>
  <c r="MJ65" i="71"/>
  <c r="MJ54" i="71"/>
  <c r="MJ63" i="71"/>
  <c r="MI65" i="71"/>
  <c r="MI54" i="71"/>
  <c r="MI63" i="71"/>
  <c r="MH65" i="71"/>
  <c r="MH54" i="71"/>
  <c r="MH63" i="71"/>
  <c r="MG65" i="71"/>
  <c r="MG54" i="71"/>
  <c r="MG63" i="71"/>
  <c r="MF65" i="71"/>
  <c r="A65" i="71" s="1"/>
  <c r="P65" i="71" s="1"/>
  <c r="MF54" i="71"/>
  <c r="A54" i="71" s="1"/>
  <c r="P54" i="71" s="1"/>
  <c r="MF63" i="71"/>
  <c r="A63" i="71" s="1"/>
  <c r="P63" i="71" s="1"/>
  <c r="ME65" i="71"/>
  <c r="ME54" i="71"/>
  <c r="ME63" i="71"/>
  <c r="MD65" i="71"/>
  <c r="MD54" i="71"/>
  <c r="MD63" i="71"/>
  <c r="MC65" i="71"/>
  <c r="MC54" i="71"/>
  <c r="MC63" i="71"/>
  <c r="MB65" i="71"/>
  <c r="MB54" i="71"/>
  <c r="MB63" i="71"/>
  <c r="MA65" i="71"/>
  <c r="MA54" i="71"/>
  <c r="MA63" i="71"/>
  <c r="LZ65" i="71"/>
  <c r="LZ54" i="71"/>
  <c r="LZ63" i="71"/>
  <c r="LY65" i="71"/>
  <c r="LY54" i="71"/>
  <c r="LY63" i="71"/>
  <c r="LX65" i="71"/>
  <c r="LX54" i="71"/>
  <c r="LX63" i="71"/>
  <c r="LW65" i="71"/>
  <c r="LW54" i="71"/>
  <c r="LW63" i="71"/>
  <c r="LV65" i="71"/>
  <c r="LV54" i="71"/>
  <c r="LV63" i="71"/>
  <c r="LU65" i="71"/>
  <c r="LU54" i="71"/>
  <c r="LU63" i="71"/>
  <c r="LT65" i="71"/>
  <c r="LT54" i="71"/>
  <c r="LT63" i="71"/>
  <c r="LS65" i="71"/>
  <c r="LS54" i="71"/>
  <c r="LS63" i="71"/>
  <c r="LR65" i="71"/>
  <c r="LR54" i="71"/>
  <c r="LR63" i="71"/>
  <c r="LQ65" i="71"/>
  <c r="LQ54" i="71"/>
  <c r="LQ63" i="71"/>
  <c r="LP65" i="71"/>
  <c r="LP54" i="71"/>
  <c r="LP63" i="71"/>
  <c r="LO65" i="71"/>
  <c r="LO54" i="71"/>
  <c r="LO63" i="71"/>
  <c r="LN65" i="71"/>
  <c r="LN54" i="71"/>
  <c r="LN63" i="71"/>
  <c r="LM65" i="71"/>
  <c r="LM54" i="71"/>
  <c r="LM63" i="71"/>
  <c r="LL65" i="71"/>
  <c r="LL54" i="71"/>
  <c r="LL63" i="71"/>
  <c r="LK65" i="71"/>
  <c r="LK54" i="71"/>
  <c r="LK63" i="71"/>
  <c r="LJ65" i="71"/>
  <c r="LJ54" i="71"/>
  <c r="LJ63" i="71"/>
  <c r="LI65" i="71"/>
  <c r="LI54" i="71"/>
  <c r="LI63" i="71"/>
  <c r="LH65" i="71"/>
  <c r="LH54" i="71"/>
  <c r="LH63" i="71"/>
  <c r="LG65" i="71"/>
  <c r="LG54" i="71"/>
  <c r="LG63" i="71"/>
  <c r="LF65" i="71"/>
  <c r="LF54" i="71"/>
  <c r="LF63" i="71"/>
  <c r="LE65" i="71"/>
  <c r="LE54" i="71"/>
  <c r="LE63" i="71"/>
  <c r="LD65" i="71"/>
  <c r="LD54" i="71"/>
  <c r="LD63" i="71"/>
  <c r="LC65" i="71"/>
  <c r="LC54" i="71"/>
  <c r="LC63" i="71"/>
  <c r="LB65" i="71"/>
  <c r="LB54" i="71"/>
  <c r="LB63" i="71"/>
  <c r="LA65" i="71"/>
  <c r="LA54" i="71"/>
  <c r="LA63" i="71"/>
  <c r="KZ65" i="71"/>
  <c r="KZ54" i="71"/>
  <c r="KZ63" i="71"/>
  <c r="KY65" i="71"/>
  <c r="KY54" i="71"/>
  <c r="KY63" i="71"/>
  <c r="KX65" i="71"/>
  <c r="KX54" i="71"/>
  <c r="KX63" i="71"/>
  <c r="KW65" i="71"/>
  <c r="KW54" i="71"/>
  <c r="KW63" i="71"/>
  <c r="KV65" i="71"/>
  <c r="KV54" i="71"/>
  <c r="KV63" i="71"/>
  <c r="KU65" i="71"/>
  <c r="KU54" i="71"/>
  <c r="KU63" i="71"/>
  <c r="KT65" i="71"/>
  <c r="KT54" i="71"/>
  <c r="KT63" i="71"/>
  <c r="KS65" i="71"/>
  <c r="KS54" i="71"/>
  <c r="KS63" i="71"/>
  <c r="KR65" i="71"/>
  <c r="KR54" i="71"/>
  <c r="KR63" i="71"/>
  <c r="KQ65" i="71"/>
  <c r="KQ54" i="71"/>
  <c r="KQ63" i="71"/>
  <c r="KP65" i="71"/>
  <c r="KP54" i="71"/>
  <c r="KP63" i="71"/>
  <c r="KO65" i="71"/>
  <c r="KO54" i="71"/>
  <c r="KO63" i="71"/>
  <c r="KN65" i="71"/>
  <c r="KN54" i="71"/>
  <c r="KN63" i="71"/>
  <c r="KM65" i="71"/>
  <c r="KM54" i="71"/>
  <c r="KM63" i="71"/>
  <c r="KL65" i="71"/>
  <c r="KL54" i="71"/>
  <c r="KL63" i="71"/>
  <c r="KK65" i="71"/>
  <c r="KK54" i="71"/>
  <c r="KK63" i="71"/>
  <c r="KJ65" i="71"/>
  <c r="KJ54" i="71"/>
  <c r="KJ63" i="71"/>
  <c r="KI65" i="71"/>
  <c r="KI54" i="71"/>
  <c r="KI63" i="71"/>
  <c r="KH65" i="71"/>
  <c r="KH54" i="71"/>
  <c r="KH63" i="71"/>
  <c r="KG65" i="71"/>
  <c r="KG54" i="71"/>
  <c r="KG63" i="71"/>
  <c r="KF65" i="71"/>
  <c r="KF54" i="71"/>
  <c r="KF63" i="71"/>
  <c r="KE65" i="71"/>
  <c r="KE54" i="71"/>
  <c r="KE63" i="71"/>
  <c r="KD65" i="71"/>
  <c r="KD54" i="71"/>
  <c r="KD63" i="71"/>
  <c r="KC65" i="71"/>
  <c r="KC54" i="71"/>
  <c r="KC63" i="71"/>
  <c r="KB65" i="71"/>
  <c r="KB54" i="71"/>
  <c r="KB63" i="71"/>
  <c r="KA65" i="71"/>
  <c r="KA54" i="71"/>
  <c r="KA63" i="71"/>
  <c r="JZ65" i="71"/>
  <c r="JZ54" i="71"/>
  <c r="JZ63" i="71"/>
  <c r="JY65" i="71"/>
  <c r="JY54" i="71"/>
  <c r="JY63" i="71"/>
  <c r="JX65" i="71"/>
  <c r="JX54" i="71"/>
  <c r="JX63" i="71"/>
  <c r="JW65" i="71"/>
  <c r="JW54" i="71"/>
  <c r="JW63" i="71"/>
  <c r="JV65" i="71"/>
  <c r="JV54" i="71"/>
  <c r="JV63" i="71"/>
  <c r="JU65" i="71"/>
  <c r="JU54" i="71"/>
  <c r="JU63" i="71"/>
  <c r="JT65" i="71"/>
  <c r="JT54" i="71"/>
  <c r="JT63" i="71"/>
  <c r="JS65" i="71"/>
  <c r="JS54" i="71"/>
  <c r="JS63" i="71"/>
  <c r="JR65" i="71"/>
  <c r="JR54" i="71"/>
  <c r="JR63" i="71"/>
  <c r="JQ65" i="71"/>
  <c r="JQ54" i="71"/>
  <c r="JQ63" i="71"/>
  <c r="JP65" i="71"/>
  <c r="JP54" i="71"/>
  <c r="JP63" i="71"/>
  <c r="JO65" i="71"/>
  <c r="JO54" i="71"/>
  <c r="JO63" i="71"/>
  <c r="JN65" i="71"/>
  <c r="JN54" i="71"/>
  <c r="JN63" i="71"/>
  <c r="JM65" i="71"/>
  <c r="JM54" i="71"/>
  <c r="JM63" i="71"/>
  <c r="JL65" i="71"/>
  <c r="JL54" i="71"/>
  <c r="JL63" i="71"/>
  <c r="JK65" i="71"/>
  <c r="JK54" i="71"/>
  <c r="JK63" i="71"/>
  <c r="JJ65" i="71"/>
  <c r="JJ54" i="71"/>
  <c r="JJ63" i="71"/>
  <c r="JI65" i="71"/>
  <c r="JI54" i="71"/>
  <c r="JI63" i="71"/>
  <c r="JH65" i="71"/>
  <c r="JH54" i="71"/>
  <c r="JH63" i="71"/>
  <c r="JG65" i="71"/>
  <c r="JG54" i="71"/>
  <c r="JG63" i="71"/>
  <c r="JF65" i="71"/>
  <c r="JF54" i="71"/>
  <c r="JF63" i="71"/>
  <c r="JE65" i="71"/>
  <c r="JE54" i="71"/>
  <c r="JE63" i="71"/>
  <c r="JD65" i="71"/>
  <c r="JD54" i="71"/>
  <c r="JD63" i="71"/>
  <c r="JC65" i="71"/>
  <c r="JC54" i="71"/>
  <c r="JC63" i="71"/>
  <c r="JB65" i="71"/>
  <c r="JB54" i="71"/>
  <c r="JB63" i="71"/>
  <c r="JA65" i="71"/>
  <c r="JA54" i="71"/>
  <c r="JA63" i="71"/>
  <c r="IZ65" i="71"/>
  <c r="IZ54" i="71"/>
  <c r="IZ63" i="71"/>
  <c r="IY65" i="71"/>
  <c r="IY54" i="71"/>
  <c r="IY63" i="71"/>
  <c r="IX65" i="71"/>
  <c r="IX54" i="71"/>
  <c r="IX63" i="71"/>
  <c r="IW65" i="71"/>
  <c r="IW54" i="71"/>
  <c r="IW63" i="71"/>
  <c r="IV65" i="71"/>
  <c r="IV54" i="71"/>
  <c r="IV63" i="71"/>
  <c r="IU65" i="71"/>
  <c r="IU54" i="71"/>
  <c r="IU63" i="71"/>
  <c r="IT65" i="71"/>
  <c r="IT54" i="71"/>
  <c r="IT63" i="71"/>
  <c r="IS65" i="71"/>
  <c r="IS54" i="71"/>
  <c r="IS63" i="71"/>
  <c r="IR65" i="71"/>
  <c r="IR54" i="71"/>
  <c r="IR63" i="71"/>
  <c r="IQ65" i="71"/>
  <c r="IQ54" i="71"/>
  <c r="IQ63" i="71"/>
  <c r="IP65" i="71"/>
  <c r="IP54" i="71"/>
  <c r="IP63" i="71"/>
  <c r="IO65" i="71"/>
  <c r="IO54" i="71"/>
  <c r="IO63" i="71"/>
  <c r="IN65" i="71"/>
  <c r="IN54" i="71"/>
  <c r="IN63" i="71"/>
  <c r="IM65" i="71"/>
  <c r="IM54" i="71"/>
  <c r="IM63" i="71"/>
  <c r="IL65" i="71"/>
  <c r="IL54" i="71"/>
  <c r="IL63" i="71"/>
  <c r="IK65" i="71"/>
  <c r="IK54" i="71"/>
  <c r="IK63" i="71"/>
  <c r="IJ65" i="71"/>
  <c r="IJ54" i="71"/>
  <c r="IJ63" i="71"/>
  <c r="II65" i="71"/>
  <c r="II54" i="71"/>
  <c r="II63" i="71"/>
  <c r="IH65" i="71"/>
  <c r="IH54" i="71"/>
  <c r="IH63" i="71"/>
  <c r="IG65" i="71"/>
  <c r="IG54" i="71"/>
  <c r="IG63" i="71"/>
  <c r="IF65" i="71"/>
  <c r="IF54" i="71"/>
  <c r="IF63" i="71"/>
  <c r="IE65" i="71"/>
  <c r="IE54" i="71"/>
  <c r="IE63" i="71"/>
  <c r="ID65" i="71"/>
  <c r="ID54" i="71"/>
  <c r="ID63" i="71"/>
  <c r="IC65" i="71"/>
  <c r="IC54" i="71"/>
  <c r="IC63" i="71"/>
  <c r="IB65" i="71"/>
  <c r="IB54" i="71"/>
  <c r="IB63" i="71"/>
  <c r="IA65" i="71"/>
  <c r="IA54" i="71"/>
  <c r="IA63" i="71"/>
  <c r="HZ65" i="71"/>
  <c r="HZ54" i="71"/>
  <c r="HZ63" i="71"/>
  <c r="HY65" i="71"/>
  <c r="HY54" i="71"/>
  <c r="HY63" i="71"/>
  <c r="HX65" i="71"/>
  <c r="HX54" i="71"/>
  <c r="HX63" i="71"/>
  <c r="HW65" i="71"/>
  <c r="HW54" i="71"/>
  <c r="HW63" i="71"/>
  <c r="HV65" i="71"/>
  <c r="HV54" i="71"/>
  <c r="HV63" i="71"/>
  <c r="HU65" i="71"/>
  <c r="HU54" i="71"/>
  <c r="HU63" i="71"/>
  <c r="HT65" i="71"/>
  <c r="HT54" i="71"/>
  <c r="HT63" i="71"/>
  <c r="HK65" i="71"/>
  <c r="HK54" i="71"/>
  <c r="HK63" i="71"/>
  <c r="HJ65" i="71"/>
  <c r="HJ54" i="71"/>
  <c r="HJ63" i="71"/>
  <c r="HI65" i="71"/>
  <c r="HI54" i="71"/>
  <c r="HI63" i="71"/>
  <c r="HH65" i="71"/>
  <c r="HH54" i="71"/>
  <c r="HH63" i="71"/>
  <c r="HG65" i="71"/>
  <c r="HG54" i="71"/>
  <c r="HG63" i="71"/>
  <c r="HF65" i="71"/>
  <c r="HF54" i="71"/>
  <c r="HF63" i="71"/>
  <c r="HE65" i="71"/>
  <c r="HE54" i="71"/>
  <c r="HE63" i="71"/>
  <c r="HD65" i="71"/>
  <c r="HD54" i="71"/>
  <c r="HD63" i="71"/>
  <c r="HC65" i="71"/>
  <c r="HC54" i="71"/>
  <c r="HC63" i="71"/>
  <c r="HB65" i="71"/>
  <c r="HB54" i="71"/>
  <c r="HB63" i="71"/>
  <c r="HA65" i="71"/>
  <c r="HA54" i="71"/>
  <c r="HA63" i="71"/>
  <c r="GZ65" i="71"/>
  <c r="GZ54" i="71"/>
  <c r="GZ63" i="71"/>
  <c r="GY65" i="71"/>
  <c r="GY54" i="71"/>
  <c r="GY63" i="71"/>
  <c r="GX65" i="71"/>
  <c r="GX54" i="71"/>
  <c r="GX63" i="71"/>
  <c r="GW65" i="71"/>
  <c r="GW54" i="71"/>
  <c r="GW63" i="71"/>
  <c r="GV65" i="71"/>
  <c r="GV54" i="71"/>
  <c r="GV63" i="71"/>
  <c r="GU65" i="71"/>
  <c r="GU54" i="71"/>
  <c r="GU63" i="71"/>
  <c r="GT65" i="71"/>
  <c r="GT54" i="71"/>
  <c r="GT63" i="71"/>
  <c r="GS65" i="71"/>
  <c r="GS54" i="71"/>
  <c r="GS63" i="71"/>
  <c r="GR65" i="71"/>
  <c r="GR54" i="71"/>
  <c r="GR63" i="71"/>
  <c r="GQ65" i="71"/>
  <c r="GQ54" i="71"/>
  <c r="GQ63" i="71"/>
  <c r="GP65" i="71"/>
  <c r="GP54" i="71"/>
  <c r="GP63" i="71"/>
  <c r="GO65" i="71"/>
  <c r="GO54" i="71"/>
  <c r="GO63" i="71"/>
  <c r="GN65" i="71"/>
  <c r="GN54" i="71"/>
  <c r="GN63" i="71"/>
  <c r="GM65" i="71"/>
  <c r="GM54" i="71"/>
  <c r="GM63" i="71"/>
  <c r="GL65" i="71"/>
  <c r="GL54" i="71"/>
  <c r="GL63" i="71"/>
  <c r="GK65" i="71"/>
  <c r="GK54" i="71"/>
  <c r="GK63" i="71"/>
  <c r="GJ65" i="71"/>
  <c r="GJ54" i="71"/>
  <c r="GJ63" i="71"/>
  <c r="GI65" i="71"/>
  <c r="GI54" i="71"/>
  <c r="GI63" i="71"/>
  <c r="GH65" i="71"/>
  <c r="GH54" i="71"/>
  <c r="GH63" i="71"/>
  <c r="GG65" i="71"/>
  <c r="GG54" i="71"/>
  <c r="GG63" i="71"/>
  <c r="GF65" i="71"/>
  <c r="GF54" i="71"/>
  <c r="GF63" i="71"/>
  <c r="GE65" i="71"/>
  <c r="GE54" i="71"/>
  <c r="GE63" i="71"/>
  <c r="GD65" i="71"/>
  <c r="GD54" i="71"/>
  <c r="GD63" i="71"/>
  <c r="GC65" i="71"/>
  <c r="GC54" i="71"/>
  <c r="GC63" i="71"/>
  <c r="GB65" i="71"/>
  <c r="GB54" i="71"/>
  <c r="GB63" i="71"/>
  <c r="GA65" i="71"/>
  <c r="GA54" i="71"/>
  <c r="GA63" i="71"/>
  <c r="FZ54" i="71"/>
  <c r="FY65" i="71"/>
  <c r="FY54" i="71"/>
  <c r="FY63" i="71"/>
  <c r="FX54" i="71"/>
  <c r="FW65" i="71"/>
  <c r="FW54" i="71"/>
  <c r="FW63" i="71"/>
  <c r="FV65" i="71"/>
  <c r="FV54" i="71"/>
  <c r="FV63" i="71"/>
  <c r="FU65" i="71"/>
  <c r="FU54" i="71"/>
  <c r="FU63" i="71"/>
  <c r="FT65" i="71"/>
  <c r="FT54" i="71"/>
  <c r="FT63" i="71"/>
  <c r="FS65" i="71"/>
  <c r="FS54" i="71"/>
  <c r="FS63" i="71"/>
  <c r="FR65" i="71"/>
  <c r="FR54" i="71"/>
  <c r="FR63" i="71"/>
  <c r="FQ65" i="71"/>
  <c r="FQ54" i="71"/>
  <c r="FP65" i="71"/>
  <c r="FP54" i="71"/>
  <c r="FP63" i="71"/>
  <c r="FO65" i="71"/>
  <c r="FO54" i="71"/>
  <c r="FO63" i="71"/>
  <c r="FN65" i="71"/>
  <c r="FN54" i="71"/>
  <c r="FN63" i="71"/>
  <c r="FM65" i="71"/>
  <c r="FM54" i="71"/>
  <c r="FM63" i="71"/>
  <c r="FL65" i="71"/>
  <c r="FL54" i="71"/>
  <c r="FL63" i="71"/>
  <c r="FK54" i="71"/>
  <c r="FK63" i="71"/>
  <c r="FJ65" i="71"/>
  <c r="FJ54" i="71"/>
  <c r="FJ63" i="71"/>
  <c r="FI65" i="71"/>
  <c r="FI54" i="71"/>
  <c r="FI63" i="71"/>
  <c r="FH65" i="71"/>
  <c r="FH54" i="71"/>
  <c r="FH63" i="71"/>
  <c r="FG65" i="71"/>
  <c r="FG54" i="71"/>
  <c r="FG63" i="71"/>
  <c r="FF65" i="71"/>
  <c r="FF54" i="71"/>
  <c r="FF63" i="71"/>
  <c r="FE65" i="71"/>
  <c r="FE54" i="71"/>
  <c r="FE63" i="71"/>
  <c r="FD65" i="71"/>
  <c r="FD54" i="71"/>
  <c r="FD63" i="71"/>
  <c r="FC65" i="71"/>
  <c r="FC54" i="71"/>
  <c r="FC63" i="71"/>
  <c r="FB65" i="71"/>
  <c r="FB54" i="71"/>
  <c r="FB63" i="71"/>
  <c r="FA65" i="71"/>
  <c r="FA54" i="71"/>
  <c r="FA63" i="71"/>
  <c r="EZ65" i="71"/>
  <c r="EZ54" i="71"/>
  <c r="EZ63" i="71"/>
  <c r="EY65" i="71"/>
  <c r="EY54" i="71"/>
  <c r="EY63" i="71"/>
  <c r="EX65" i="71"/>
  <c r="EX54" i="71"/>
  <c r="EX63" i="71"/>
  <c r="EW65" i="71"/>
  <c r="EW54" i="71"/>
  <c r="EW63" i="71"/>
  <c r="EV65" i="71"/>
  <c r="EV54" i="71"/>
  <c r="EV63" i="71"/>
  <c r="EU65" i="71"/>
  <c r="EU54" i="71"/>
  <c r="EU63" i="71"/>
  <c r="ET65" i="71"/>
  <c r="ET54" i="71"/>
  <c r="ET63" i="71"/>
  <c r="ES65" i="71"/>
  <c r="ES54" i="71"/>
  <c r="ES63" i="71"/>
  <c r="ER65" i="71"/>
  <c r="ER54" i="71"/>
  <c r="ER63" i="71"/>
  <c r="EQ65" i="71"/>
  <c r="EQ54" i="71"/>
  <c r="EQ63" i="71"/>
  <c r="EP65" i="71"/>
  <c r="EP54" i="71"/>
  <c r="EP63" i="71"/>
  <c r="EO65" i="71"/>
  <c r="EO54" i="71"/>
  <c r="EO63" i="71"/>
  <c r="EN65" i="71"/>
  <c r="EN54" i="71"/>
  <c r="EN63" i="71"/>
  <c r="EM65" i="71"/>
  <c r="EM54" i="71"/>
  <c r="EM63" i="71"/>
  <c r="EL65" i="71"/>
  <c r="EL54" i="71"/>
  <c r="EL63" i="71"/>
  <c r="EK65" i="71"/>
  <c r="EK54" i="71"/>
  <c r="EK63" i="71"/>
  <c r="EJ65" i="71"/>
  <c r="EJ54" i="71"/>
  <c r="EJ63" i="71"/>
  <c r="EI65" i="71"/>
  <c r="EI54" i="71"/>
  <c r="EI63" i="71"/>
  <c r="EH65" i="71"/>
  <c r="EH54" i="71"/>
  <c r="EH63" i="71"/>
  <c r="EG65" i="71"/>
  <c r="EG54" i="71"/>
  <c r="EG63" i="71"/>
  <c r="EF65" i="71"/>
  <c r="EF54" i="71"/>
  <c r="EF63" i="71"/>
  <c r="EE65" i="71"/>
  <c r="EE54" i="71"/>
  <c r="EE63" i="71"/>
  <c r="ED65" i="71"/>
  <c r="ED54" i="71"/>
  <c r="ED63" i="71"/>
  <c r="EC65" i="71"/>
  <c r="EC54" i="71"/>
  <c r="EC63" i="71"/>
  <c r="EB65" i="71"/>
  <c r="EB54" i="71"/>
  <c r="EB63" i="71"/>
  <c r="EA65" i="71"/>
  <c r="EA54" i="71"/>
  <c r="EA63" i="71"/>
  <c r="DZ65" i="71"/>
  <c r="DZ54" i="71"/>
  <c r="DZ63" i="71"/>
  <c r="DY65" i="71"/>
  <c r="DY54" i="71"/>
  <c r="DY63" i="71"/>
  <c r="DX65" i="71"/>
  <c r="DX54" i="71"/>
  <c r="DX63" i="71"/>
  <c r="DW65" i="71"/>
  <c r="DW54" i="71"/>
  <c r="DW63" i="71"/>
  <c r="DV65" i="71"/>
  <c r="DV54" i="71"/>
  <c r="DV63" i="71"/>
  <c r="DU65" i="71"/>
  <c r="DU54" i="71"/>
  <c r="DU63" i="71"/>
  <c r="DT65" i="71"/>
  <c r="DT54" i="71"/>
  <c r="DT63" i="71"/>
  <c r="DS65" i="71"/>
  <c r="DS54" i="71"/>
  <c r="DS63" i="71"/>
  <c r="DR65" i="71"/>
  <c r="DR54" i="71"/>
  <c r="DR63" i="71"/>
  <c r="DQ65" i="71"/>
  <c r="DQ54" i="71"/>
  <c r="DQ63" i="71"/>
  <c r="DP65" i="71"/>
  <c r="DP54" i="71"/>
  <c r="DP63" i="71"/>
  <c r="DO65" i="71"/>
  <c r="DO54" i="71"/>
  <c r="DO63" i="71"/>
  <c r="DN65" i="71"/>
  <c r="DN54" i="71"/>
  <c r="DN63" i="71"/>
  <c r="DM65" i="71"/>
  <c r="DM54" i="71"/>
  <c r="DM63" i="71"/>
  <c r="DL65" i="71"/>
  <c r="DL54" i="71"/>
  <c r="DL63" i="71"/>
  <c r="DK65" i="71"/>
  <c r="DK54" i="71"/>
  <c r="DK63" i="71"/>
  <c r="DJ65" i="71"/>
  <c r="DJ54" i="71"/>
  <c r="DJ63" i="71"/>
  <c r="DI65" i="71"/>
  <c r="DI54" i="71"/>
  <c r="DI63" i="71"/>
  <c r="DH65" i="71"/>
  <c r="DH54" i="71"/>
  <c r="DH63" i="71"/>
  <c r="DG65" i="71"/>
  <c r="DG54" i="71"/>
  <c r="DG63" i="71"/>
  <c r="DF65" i="71"/>
  <c r="DF54" i="71"/>
  <c r="DF63" i="71"/>
  <c r="DE65" i="71"/>
  <c r="DE54" i="71"/>
  <c r="DE63" i="71"/>
  <c r="DD65" i="71"/>
  <c r="DD54" i="71"/>
  <c r="DD63" i="71"/>
  <c r="DC65" i="71"/>
  <c r="DC54" i="71"/>
  <c r="DC63" i="71"/>
  <c r="DB65" i="71"/>
  <c r="DB54" i="71"/>
  <c r="DB63" i="71"/>
  <c r="DA65" i="71"/>
  <c r="DA54" i="71"/>
  <c r="DA63" i="71"/>
  <c r="CZ65" i="71"/>
  <c r="CZ54" i="71"/>
  <c r="CZ63" i="71"/>
  <c r="CY65" i="71"/>
  <c r="CY54" i="71"/>
  <c r="CY63" i="71"/>
  <c r="CX65" i="71"/>
  <c r="CX54" i="71"/>
  <c r="CX63" i="71"/>
  <c r="CW65" i="71"/>
  <c r="CW54" i="71"/>
  <c r="CW63" i="71"/>
  <c r="CV65" i="71"/>
  <c r="CV54" i="71"/>
  <c r="CV63" i="71"/>
  <c r="CU65" i="71"/>
  <c r="CU54" i="71"/>
  <c r="CU63" i="71"/>
  <c r="CT65" i="71"/>
  <c r="CT54" i="71"/>
  <c r="CT63" i="71"/>
  <c r="CS65" i="71"/>
  <c r="CS54" i="71"/>
  <c r="CS63" i="71"/>
  <c r="CR65" i="71"/>
  <c r="CR54" i="71"/>
  <c r="CR63" i="71"/>
  <c r="CQ65" i="71"/>
  <c r="CQ54" i="71"/>
  <c r="CQ63" i="71"/>
  <c r="CP65" i="71"/>
  <c r="CP54" i="71"/>
  <c r="CP63" i="71"/>
  <c r="CO65" i="71"/>
  <c r="CO54" i="71"/>
  <c r="CO63" i="71"/>
  <c r="CN65" i="71"/>
  <c r="CN54" i="71"/>
  <c r="CN63" i="71"/>
  <c r="CM65" i="71"/>
  <c r="CM54" i="71"/>
  <c r="CM63" i="71"/>
  <c r="CL65" i="71"/>
  <c r="CL54" i="71"/>
  <c r="CL63" i="71"/>
  <c r="CK65" i="71"/>
  <c r="CK54" i="71"/>
  <c r="CK63" i="71"/>
  <c r="CJ65" i="71"/>
  <c r="CJ54" i="71"/>
  <c r="CJ63" i="71"/>
  <c r="CI65" i="71"/>
  <c r="CI54" i="71"/>
  <c r="CI63" i="71"/>
  <c r="CH65" i="71"/>
  <c r="CH54" i="71"/>
  <c r="CH63" i="71"/>
  <c r="CG65" i="71"/>
  <c r="CG54" i="71"/>
  <c r="CG63" i="71"/>
  <c r="CF65" i="71"/>
  <c r="CF54" i="71"/>
  <c r="CF63" i="71"/>
  <c r="CE65" i="71"/>
  <c r="CE54" i="71"/>
  <c r="CE63" i="71"/>
  <c r="CD65" i="71"/>
  <c r="CD54" i="71"/>
  <c r="CD63" i="71"/>
  <c r="CC65" i="71"/>
  <c r="CC54" i="71"/>
  <c r="CC63" i="71"/>
  <c r="CB65" i="71"/>
  <c r="CB54" i="71"/>
  <c r="CB63" i="71"/>
  <c r="CA65" i="71"/>
  <c r="CA54" i="71"/>
  <c r="CA63" i="71"/>
  <c r="BZ65" i="71"/>
  <c r="BZ54" i="71"/>
  <c r="BZ63" i="71"/>
  <c r="BY65" i="71"/>
  <c r="BY54" i="71"/>
  <c r="BY63" i="71"/>
  <c r="BX65" i="71"/>
  <c r="BX54" i="71"/>
  <c r="BX63" i="71"/>
  <c r="BW65" i="71"/>
  <c r="BW54" i="71"/>
  <c r="BW63" i="71"/>
  <c r="BV65" i="71"/>
  <c r="BV54" i="71"/>
  <c r="BV63" i="71"/>
  <c r="BU65" i="71"/>
  <c r="BU54" i="71"/>
  <c r="BU63" i="71"/>
  <c r="BT65" i="71"/>
  <c r="BT54" i="71"/>
  <c r="BT63" i="71"/>
  <c r="BS65" i="71"/>
  <c r="BS54" i="71"/>
  <c r="BS63" i="71"/>
  <c r="BR65" i="71"/>
  <c r="BR54" i="71"/>
  <c r="BR63" i="71"/>
  <c r="BQ65" i="71"/>
  <c r="BQ54" i="71"/>
  <c r="BQ63" i="71"/>
  <c r="BP65" i="71"/>
  <c r="BP54" i="71"/>
  <c r="BP63" i="71"/>
  <c r="BO65" i="71"/>
  <c r="BO54" i="71"/>
  <c r="BO63" i="71"/>
  <c r="BN65" i="71"/>
  <c r="BN54" i="71"/>
  <c r="BN63" i="71"/>
  <c r="BM65" i="71"/>
  <c r="BM54" i="71"/>
  <c r="BM63" i="71"/>
  <c r="BL65" i="71"/>
  <c r="BL54" i="71"/>
  <c r="BL63" i="71"/>
  <c r="BK65" i="71"/>
  <c r="BK54" i="71"/>
  <c r="BK63" i="71"/>
  <c r="BJ65" i="71"/>
  <c r="BJ54" i="71"/>
  <c r="BJ63" i="71"/>
  <c r="BI65" i="71"/>
  <c r="BI54" i="71"/>
  <c r="BI63" i="71"/>
  <c r="BH65" i="71"/>
  <c r="BH54" i="71"/>
  <c r="BH63" i="71"/>
  <c r="BG65" i="71"/>
  <c r="BG54" i="71"/>
  <c r="BG63" i="71"/>
  <c r="BF65" i="71"/>
  <c r="BF54" i="71"/>
  <c r="BF63" i="71"/>
  <c r="BE65" i="71"/>
  <c r="BE54" i="71"/>
  <c r="BE63" i="71"/>
  <c r="BD65" i="71"/>
  <c r="BD54" i="71"/>
  <c r="BD63" i="71"/>
  <c r="BC65" i="71"/>
  <c r="BC54" i="71"/>
  <c r="BC63" i="71"/>
  <c r="BB65" i="71"/>
  <c r="BB54" i="71"/>
  <c r="BB63" i="71"/>
  <c r="BA65" i="71"/>
  <c r="BA54" i="71"/>
  <c r="BA63" i="71"/>
  <c r="AZ65" i="71"/>
  <c r="AZ54" i="71"/>
  <c r="AZ63" i="71"/>
  <c r="AY65" i="71"/>
  <c r="AY54" i="71"/>
  <c r="AY63" i="71"/>
  <c r="AX65" i="71"/>
  <c r="AX54" i="71"/>
  <c r="AX63" i="71"/>
  <c r="AW65" i="71"/>
  <c r="AW54" i="71"/>
  <c r="AW63" i="71"/>
  <c r="AV65" i="71"/>
  <c r="AV54" i="71"/>
  <c r="AV63" i="71"/>
  <c r="AU65" i="71"/>
  <c r="AU54" i="71"/>
  <c r="AU63" i="71"/>
  <c r="AT65" i="71"/>
  <c r="AT54" i="71"/>
  <c r="AT63" i="71"/>
  <c r="AS65" i="71"/>
  <c r="AS54" i="71"/>
  <c r="AS63" i="71"/>
  <c r="AR65" i="71"/>
  <c r="AR54" i="71"/>
  <c r="AR63" i="71"/>
  <c r="AQ65" i="71"/>
  <c r="AQ54" i="71"/>
  <c r="AQ63" i="71"/>
  <c r="AP65" i="71"/>
  <c r="AP54" i="71"/>
  <c r="AP63" i="71"/>
  <c r="AO65" i="71"/>
  <c r="AO54" i="71"/>
  <c r="AO63" i="71"/>
  <c r="AN65" i="71"/>
  <c r="AN54" i="71"/>
  <c r="AN63" i="71"/>
  <c r="AM65" i="71"/>
  <c r="AM54" i="71"/>
  <c r="AM63" i="71"/>
  <c r="AL65" i="71"/>
  <c r="AL54" i="71"/>
  <c r="AL63" i="71"/>
  <c r="AK65" i="71"/>
  <c r="AK54" i="71"/>
  <c r="AK63" i="71"/>
  <c r="AJ65" i="71"/>
  <c r="AJ63" i="71"/>
  <c r="AI65" i="71"/>
  <c r="AI63" i="71"/>
  <c r="AH65" i="71"/>
  <c r="AH54" i="71"/>
  <c r="AH63" i="71"/>
  <c r="AG65" i="71"/>
  <c r="AG63" i="71"/>
  <c r="AF65" i="71"/>
  <c r="AF63" i="71"/>
  <c r="AE65" i="71"/>
  <c r="AE54" i="71"/>
  <c r="AE63" i="71"/>
  <c r="AD65" i="71"/>
  <c r="AD54" i="71"/>
  <c r="AD63" i="71"/>
  <c r="AC65" i="71"/>
  <c r="AC54" i="71"/>
  <c r="AC63" i="71"/>
  <c r="AB65" i="71"/>
  <c r="AB54" i="71"/>
  <c r="AB63" i="71"/>
  <c r="AA65" i="71"/>
  <c r="AA54" i="71"/>
  <c r="AA63" i="71"/>
  <c r="Z65" i="71"/>
  <c r="Z54" i="71"/>
  <c r="Z63" i="71"/>
  <c r="Y65" i="71"/>
  <c r="Y54" i="71"/>
  <c r="Y63" i="71"/>
  <c r="X65" i="71"/>
  <c r="X54" i="71"/>
  <c r="X63" i="71"/>
  <c r="W65" i="71"/>
  <c r="W54" i="71"/>
  <c r="W63" i="71"/>
  <c r="V54" i="71"/>
  <c r="U54" i="71"/>
  <c r="T65" i="71"/>
  <c r="B65" i="71" s="1"/>
  <c r="T54" i="71"/>
  <c r="B54" i="71" s="1"/>
  <c r="T63" i="71"/>
  <c r="B63" i="71" s="1"/>
  <c r="S65" i="71"/>
  <c r="S54" i="71"/>
  <c r="S63" i="71"/>
  <c r="R65" i="71"/>
  <c r="R54" i="71"/>
  <c r="R63" i="71"/>
  <c r="O65" i="71"/>
  <c r="O54" i="71"/>
  <c r="O63" i="71"/>
  <c r="N65" i="71"/>
  <c r="N54" i="71"/>
  <c r="N63" i="71"/>
  <c r="M65" i="71"/>
  <c r="M54" i="71"/>
  <c r="M63" i="71"/>
  <c r="E65" i="71"/>
  <c r="E54" i="71"/>
  <c r="E63" i="71"/>
  <c r="D65" i="71"/>
  <c r="D54" i="71"/>
  <c r="D63" i="71"/>
  <c r="L54" i="71" l="1"/>
  <c r="L63" i="71"/>
  <c r="L65" i="71"/>
  <c r="J54" i="71"/>
  <c r="K54" i="71"/>
  <c r="J63" i="71"/>
  <c r="K63" i="71"/>
  <c r="J65" i="71"/>
  <c r="K65" i="71"/>
  <c r="H63" i="71"/>
  <c r="I63" i="71"/>
  <c r="H54" i="71"/>
  <c r="I54" i="71"/>
  <c r="H65" i="71"/>
  <c r="I65" i="71"/>
  <c r="MM42" i="71"/>
  <c r="MM38" i="71"/>
  <c r="MM6" i="71"/>
  <c r="MM43" i="71"/>
  <c r="MM7" i="71"/>
  <c r="MM33" i="71"/>
  <c r="MM40" i="71"/>
  <c r="MM41" i="71"/>
  <c r="MM39" i="71"/>
  <c r="ML67" i="71"/>
  <c r="ML42" i="71"/>
  <c r="ML38" i="71"/>
  <c r="ML6" i="71"/>
  <c r="ML43" i="71"/>
  <c r="ML7" i="71"/>
  <c r="ML5" i="71"/>
  <c r="ML33" i="71"/>
  <c r="ML40" i="71"/>
  <c r="ML41" i="71"/>
  <c r="ML39" i="71"/>
  <c r="MK67" i="71"/>
  <c r="MK42" i="71"/>
  <c r="MK38" i="71"/>
  <c r="MK6" i="71"/>
  <c r="MK43" i="71"/>
  <c r="MK7" i="71"/>
  <c r="MK5" i="71"/>
  <c r="MK33" i="71"/>
  <c r="MK40" i="71"/>
  <c r="MK41" i="71"/>
  <c r="MK39" i="71"/>
  <c r="MJ67" i="71"/>
  <c r="MJ42" i="71"/>
  <c r="MJ38" i="71"/>
  <c r="MJ6" i="71"/>
  <c r="MJ43" i="71"/>
  <c r="MJ7" i="71"/>
  <c r="MJ5" i="71"/>
  <c r="MJ33" i="71"/>
  <c r="MJ40" i="71"/>
  <c r="MJ41" i="71"/>
  <c r="MJ39" i="71"/>
  <c r="MI67" i="71"/>
  <c r="MI42" i="71"/>
  <c r="MI38" i="71"/>
  <c r="MI6" i="71"/>
  <c r="MI43" i="71"/>
  <c r="MI7" i="71"/>
  <c r="MI5" i="71"/>
  <c r="MI33" i="71"/>
  <c r="MI40" i="71"/>
  <c r="MI41" i="71"/>
  <c r="MI39" i="71"/>
  <c r="MH67" i="71"/>
  <c r="MH42" i="71"/>
  <c r="MH38" i="71"/>
  <c r="MH6" i="71"/>
  <c r="MH43" i="71"/>
  <c r="MH7" i="71"/>
  <c r="MH5" i="71"/>
  <c r="MH33" i="71"/>
  <c r="MH40" i="71"/>
  <c r="MH41" i="71"/>
  <c r="MH39" i="71"/>
  <c r="MG67" i="71"/>
  <c r="MG42" i="71"/>
  <c r="MG38" i="71"/>
  <c r="MG6" i="71"/>
  <c r="MG43" i="71"/>
  <c r="MG7" i="71"/>
  <c r="MG5" i="71"/>
  <c r="MG33" i="71"/>
  <c r="MG40" i="71"/>
  <c r="MG41" i="71"/>
  <c r="MG39" i="71"/>
  <c r="MF67" i="71"/>
  <c r="MF42" i="71"/>
  <c r="MF38" i="71"/>
  <c r="MF6" i="71"/>
  <c r="MF43" i="71"/>
  <c r="A43" i="71" s="1"/>
  <c r="P43" i="71" s="1"/>
  <c r="MF7" i="71"/>
  <c r="A7" i="71" s="1"/>
  <c r="P7" i="71" s="1"/>
  <c r="MF5" i="71"/>
  <c r="A5" i="71" s="1"/>
  <c r="P5" i="71" s="1"/>
  <c r="MF33" i="71"/>
  <c r="MF40" i="71"/>
  <c r="MF41" i="71"/>
  <c r="MF39" i="71"/>
  <c r="ME67" i="71"/>
  <c r="ME42" i="71"/>
  <c r="ME38" i="71"/>
  <c r="ME6" i="71"/>
  <c r="ME43" i="71"/>
  <c r="ME7" i="71"/>
  <c r="ME5" i="71"/>
  <c r="ME33" i="71"/>
  <c r="ME40" i="71"/>
  <c r="ME41" i="71"/>
  <c r="ME39" i="71"/>
  <c r="MD67" i="71"/>
  <c r="MD42" i="71"/>
  <c r="MD38" i="71"/>
  <c r="MD6" i="71"/>
  <c r="MD43" i="71"/>
  <c r="MD7" i="71"/>
  <c r="MD5" i="71"/>
  <c r="MD40" i="71"/>
  <c r="MD41" i="71"/>
  <c r="MD39" i="71"/>
  <c r="MC67" i="71"/>
  <c r="MC42" i="71"/>
  <c r="MC38" i="71"/>
  <c r="MC6" i="71"/>
  <c r="MC43" i="71"/>
  <c r="MC7" i="71"/>
  <c r="MC5" i="71"/>
  <c r="MC33" i="71"/>
  <c r="MC40" i="71"/>
  <c r="MC41" i="71"/>
  <c r="MC39" i="71"/>
  <c r="MB67" i="71"/>
  <c r="MB42" i="71"/>
  <c r="MB38" i="71"/>
  <c r="MB6" i="71"/>
  <c r="MB43" i="71"/>
  <c r="MB7" i="71"/>
  <c r="MB5" i="71"/>
  <c r="MB33" i="71"/>
  <c r="MB40" i="71"/>
  <c r="MB41" i="71"/>
  <c r="MB39" i="71"/>
  <c r="MA67" i="71"/>
  <c r="MA42" i="71"/>
  <c r="MA38" i="71"/>
  <c r="MA6" i="71"/>
  <c r="MA43" i="71"/>
  <c r="MA7" i="71"/>
  <c r="MA5" i="71"/>
  <c r="MA33" i="71"/>
  <c r="MA40" i="71"/>
  <c r="MA41" i="71"/>
  <c r="MA39" i="71"/>
  <c r="LZ67" i="71"/>
  <c r="LZ42" i="71"/>
  <c r="LZ38" i="71"/>
  <c r="LZ6" i="71"/>
  <c r="LZ43" i="71"/>
  <c r="LZ7" i="71"/>
  <c r="LZ5" i="71"/>
  <c r="LZ33" i="71"/>
  <c r="LZ40" i="71"/>
  <c r="LZ41" i="71"/>
  <c r="LZ39" i="71"/>
  <c r="LY67" i="71"/>
  <c r="LY42" i="71"/>
  <c r="LY38" i="71"/>
  <c r="LY6" i="71"/>
  <c r="LY43" i="71"/>
  <c r="LY7" i="71"/>
  <c r="LY5" i="71"/>
  <c r="LY33" i="71"/>
  <c r="LY40" i="71"/>
  <c r="LY41" i="71"/>
  <c r="LY39" i="71"/>
  <c r="LX67" i="71"/>
  <c r="LX42" i="71"/>
  <c r="LX38" i="71"/>
  <c r="LX6" i="71"/>
  <c r="LX43" i="71"/>
  <c r="LX7" i="71"/>
  <c r="LX5" i="71"/>
  <c r="LX33" i="71"/>
  <c r="LX40" i="71"/>
  <c r="LX41" i="71"/>
  <c r="LX39" i="71"/>
  <c r="LW67" i="71"/>
  <c r="LW42" i="71"/>
  <c r="LW38" i="71"/>
  <c r="LW6" i="71"/>
  <c r="LW43" i="71"/>
  <c r="LW7" i="71"/>
  <c r="LW5" i="71"/>
  <c r="LW33" i="71"/>
  <c r="LW40" i="71"/>
  <c r="LW41" i="71"/>
  <c r="LW39" i="71"/>
  <c r="LV67" i="71"/>
  <c r="LV42" i="71"/>
  <c r="LV38" i="71"/>
  <c r="LV6" i="71"/>
  <c r="LV43" i="71"/>
  <c r="LV7" i="71"/>
  <c r="LV5" i="71"/>
  <c r="LV33" i="71"/>
  <c r="LV40" i="71"/>
  <c r="LV41" i="71"/>
  <c r="LV39" i="71"/>
  <c r="LU67" i="71"/>
  <c r="LU42" i="71"/>
  <c r="LU38" i="71"/>
  <c r="LU6" i="71"/>
  <c r="LU43" i="71"/>
  <c r="LU7" i="71"/>
  <c r="LU5" i="71"/>
  <c r="LU33" i="71"/>
  <c r="LU40" i="71"/>
  <c r="LU41" i="71"/>
  <c r="LU39" i="71"/>
  <c r="LT67" i="71"/>
  <c r="LT42" i="71"/>
  <c r="LT38" i="71"/>
  <c r="LT6" i="71"/>
  <c r="LT43" i="71"/>
  <c r="LT7" i="71"/>
  <c r="LT5" i="71"/>
  <c r="LT33" i="71"/>
  <c r="LT40" i="71"/>
  <c r="LT41" i="71"/>
  <c r="LT39" i="71"/>
  <c r="LS67" i="71"/>
  <c r="LS42" i="71"/>
  <c r="LS38" i="71"/>
  <c r="LS6" i="71"/>
  <c r="LS43" i="71"/>
  <c r="LS7" i="71"/>
  <c r="LS5" i="71"/>
  <c r="LS33" i="71"/>
  <c r="LS40" i="71"/>
  <c r="LS41" i="71"/>
  <c r="LS39" i="71"/>
  <c r="LR67" i="71"/>
  <c r="LR42" i="71"/>
  <c r="LR38" i="71"/>
  <c r="LR6" i="71"/>
  <c r="LR43" i="71"/>
  <c r="LR7" i="71"/>
  <c r="LR5" i="71"/>
  <c r="LR33" i="71"/>
  <c r="LR40" i="71"/>
  <c r="LR41" i="71"/>
  <c r="LR39" i="71"/>
  <c r="LQ67" i="71"/>
  <c r="LQ42" i="71"/>
  <c r="LQ38" i="71"/>
  <c r="LQ6" i="71"/>
  <c r="LQ43" i="71"/>
  <c r="LQ7" i="71"/>
  <c r="LQ5" i="71"/>
  <c r="LQ33" i="71"/>
  <c r="LQ40" i="71"/>
  <c r="LQ41" i="71"/>
  <c r="LQ39" i="71"/>
  <c r="LP67" i="71"/>
  <c r="LP42" i="71"/>
  <c r="LP38" i="71"/>
  <c r="LP6" i="71"/>
  <c r="LP43" i="71"/>
  <c r="LP7" i="71"/>
  <c r="LP5" i="71"/>
  <c r="LP33" i="71"/>
  <c r="LP40" i="71"/>
  <c r="LP41" i="71"/>
  <c r="LP39" i="71"/>
  <c r="LO67" i="71"/>
  <c r="LO42" i="71"/>
  <c r="LO38" i="71"/>
  <c r="LO6" i="71"/>
  <c r="LO43" i="71"/>
  <c r="LO7" i="71"/>
  <c r="LO5" i="71"/>
  <c r="LO33" i="71"/>
  <c r="LO40" i="71"/>
  <c r="LO41" i="71"/>
  <c r="LO39" i="71"/>
  <c r="LN67" i="71"/>
  <c r="LN42" i="71"/>
  <c r="LN6" i="71"/>
  <c r="LN43" i="71"/>
  <c r="LN7" i="71"/>
  <c r="LN5" i="71"/>
  <c r="LN41" i="71"/>
  <c r="LM67" i="71"/>
  <c r="LM42" i="71"/>
  <c r="LM38" i="71"/>
  <c r="LM6" i="71"/>
  <c r="LM43" i="71"/>
  <c r="LM7" i="71"/>
  <c r="LM5" i="71"/>
  <c r="LM33" i="71"/>
  <c r="LM40" i="71"/>
  <c r="LM41" i="71"/>
  <c r="LM39" i="71"/>
  <c r="LL67" i="71"/>
  <c r="LL42" i="71"/>
  <c r="LL38" i="71"/>
  <c r="LL6" i="71"/>
  <c r="LL43" i="71"/>
  <c r="LL7" i="71"/>
  <c r="LL5" i="71"/>
  <c r="LL33" i="71"/>
  <c r="LL40" i="71"/>
  <c r="LL41" i="71"/>
  <c r="LL39" i="71"/>
  <c r="LK67" i="71"/>
  <c r="LK42" i="71"/>
  <c r="LK38" i="71"/>
  <c r="LK6" i="71"/>
  <c r="LK43" i="71"/>
  <c r="LK7" i="71"/>
  <c r="LK5" i="71"/>
  <c r="LK33" i="71"/>
  <c r="LK40" i="71"/>
  <c r="LK41" i="71"/>
  <c r="LK39" i="71"/>
  <c r="LJ67" i="71"/>
  <c r="LJ42" i="71"/>
  <c r="LJ38" i="71"/>
  <c r="LJ6" i="71"/>
  <c r="LJ43" i="71"/>
  <c r="LJ7" i="71"/>
  <c r="LJ5" i="71"/>
  <c r="LJ33" i="71"/>
  <c r="LJ40" i="71"/>
  <c r="LJ41" i="71"/>
  <c r="LJ39" i="71"/>
  <c r="LI67" i="71"/>
  <c r="LI42" i="71"/>
  <c r="LI38" i="71"/>
  <c r="LI6" i="71"/>
  <c r="LI43" i="71"/>
  <c r="LI7" i="71"/>
  <c r="LI5" i="71"/>
  <c r="LI33" i="71"/>
  <c r="LI40" i="71"/>
  <c r="LI41" i="71"/>
  <c r="LI39" i="71"/>
  <c r="LH67" i="71"/>
  <c r="LH42" i="71"/>
  <c r="LH38" i="71"/>
  <c r="LH6" i="71"/>
  <c r="LH43" i="71"/>
  <c r="LH7" i="71"/>
  <c r="LH5" i="71"/>
  <c r="LH33" i="71"/>
  <c r="LH40" i="71"/>
  <c r="LH41" i="71"/>
  <c r="LH39" i="71"/>
  <c r="LG67" i="71"/>
  <c r="LG42" i="71"/>
  <c r="LG38" i="71"/>
  <c r="LG6" i="71"/>
  <c r="LG43" i="71"/>
  <c r="LG7" i="71"/>
  <c r="LG5" i="71"/>
  <c r="LG33" i="71"/>
  <c r="LG40" i="71"/>
  <c r="LG41" i="71"/>
  <c r="LG39" i="71"/>
  <c r="LF67" i="71"/>
  <c r="LF42" i="71"/>
  <c r="LF38" i="71"/>
  <c r="LF6" i="71"/>
  <c r="LF43" i="71"/>
  <c r="LF7" i="71"/>
  <c r="LF5" i="71"/>
  <c r="LF33" i="71"/>
  <c r="LF40" i="71"/>
  <c r="LF41" i="71"/>
  <c r="LF39" i="71"/>
  <c r="LE67" i="71"/>
  <c r="LE42" i="71"/>
  <c r="LE38" i="71"/>
  <c r="LE43" i="71"/>
  <c r="LE7" i="71"/>
  <c r="LE5" i="71"/>
  <c r="LE33" i="71"/>
  <c r="LE40" i="71"/>
  <c r="LE41" i="71"/>
  <c r="LE39" i="71"/>
  <c r="LD67" i="71"/>
  <c r="LD42" i="71"/>
  <c r="LD38" i="71"/>
  <c r="LD6" i="71"/>
  <c r="LD43" i="71"/>
  <c r="LD7" i="71"/>
  <c r="LD5" i="71"/>
  <c r="LD33" i="71"/>
  <c r="LD40" i="71"/>
  <c r="LD41" i="71"/>
  <c r="LD39" i="71"/>
  <c r="LC67" i="71"/>
  <c r="LC42" i="71"/>
  <c r="LC38" i="71"/>
  <c r="LC6" i="71"/>
  <c r="LC43" i="71"/>
  <c r="LC7" i="71"/>
  <c r="LC5" i="71"/>
  <c r="LC33" i="71"/>
  <c r="LC40" i="71"/>
  <c r="LC41" i="71"/>
  <c r="LC39" i="71"/>
  <c r="LB67" i="71"/>
  <c r="LB42" i="71"/>
  <c r="LB38" i="71"/>
  <c r="LB43" i="71"/>
  <c r="LB7" i="71"/>
  <c r="LB5" i="71"/>
  <c r="LB33" i="71"/>
  <c r="LB40" i="71"/>
  <c r="LB41" i="71"/>
  <c r="LB39" i="71"/>
  <c r="LA67" i="71"/>
  <c r="LA42" i="71"/>
  <c r="LA38" i="71"/>
  <c r="LA6" i="71"/>
  <c r="LA43" i="71"/>
  <c r="LA7" i="71"/>
  <c r="LA5" i="71"/>
  <c r="LA33" i="71"/>
  <c r="LA40" i="71"/>
  <c r="LA41" i="71"/>
  <c r="LA39" i="71"/>
  <c r="KZ67" i="71"/>
  <c r="KZ42" i="71"/>
  <c r="KZ38" i="71"/>
  <c r="KZ43" i="71"/>
  <c r="KZ7" i="71"/>
  <c r="KZ5" i="71"/>
  <c r="KZ33" i="71"/>
  <c r="KZ40" i="71"/>
  <c r="KZ41" i="71"/>
  <c r="KZ39" i="71"/>
  <c r="KY67" i="71"/>
  <c r="KY42" i="71"/>
  <c r="KY38" i="71"/>
  <c r="KY6" i="71"/>
  <c r="KY43" i="71"/>
  <c r="KY7" i="71"/>
  <c r="KY5" i="71"/>
  <c r="KY33" i="71"/>
  <c r="KY40" i="71"/>
  <c r="KY41" i="71"/>
  <c r="KY39" i="71"/>
  <c r="KX67" i="71"/>
  <c r="KX42" i="71"/>
  <c r="KX38" i="71"/>
  <c r="KX6" i="71"/>
  <c r="KX43" i="71"/>
  <c r="KX7" i="71"/>
  <c r="KX5" i="71"/>
  <c r="KX33" i="71"/>
  <c r="KX40" i="71"/>
  <c r="KX41" i="71"/>
  <c r="KX39" i="71"/>
  <c r="KW67" i="71"/>
  <c r="KW42" i="71"/>
  <c r="KW38" i="71"/>
  <c r="KW43" i="71"/>
  <c r="KW7" i="71"/>
  <c r="KW5" i="71"/>
  <c r="KW33" i="71"/>
  <c r="KW40" i="71"/>
  <c r="KW41" i="71"/>
  <c r="KW39" i="71"/>
  <c r="KV67" i="71"/>
  <c r="KV42" i="71"/>
  <c r="KV38" i="71"/>
  <c r="KV6" i="71"/>
  <c r="KV43" i="71"/>
  <c r="KV7" i="71"/>
  <c r="KV5" i="71"/>
  <c r="KV33" i="71"/>
  <c r="KV40" i="71"/>
  <c r="KV41" i="71"/>
  <c r="KV39" i="71"/>
  <c r="KU67" i="71"/>
  <c r="KU42" i="71"/>
  <c r="KU38" i="71"/>
  <c r="KU6" i="71"/>
  <c r="KU43" i="71"/>
  <c r="KU7" i="71"/>
  <c r="KU5" i="71"/>
  <c r="KU33" i="71"/>
  <c r="KU40" i="71"/>
  <c r="KU41" i="71"/>
  <c r="KU39" i="71"/>
  <c r="KT67" i="71"/>
  <c r="KT42" i="71"/>
  <c r="KT38" i="71"/>
  <c r="KT6" i="71"/>
  <c r="KT43" i="71"/>
  <c r="KT7" i="71"/>
  <c r="KT5" i="71"/>
  <c r="KT33" i="71"/>
  <c r="KT40" i="71"/>
  <c r="KT41" i="71"/>
  <c r="KT39" i="71"/>
  <c r="KS67" i="71"/>
  <c r="KS42" i="71"/>
  <c r="KS38" i="71"/>
  <c r="KS43" i="71"/>
  <c r="KS7" i="71"/>
  <c r="KS5" i="71"/>
  <c r="KS33" i="71"/>
  <c r="KS40" i="71"/>
  <c r="KS41" i="71"/>
  <c r="KS39" i="71"/>
  <c r="KR67" i="71"/>
  <c r="KR42" i="71"/>
  <c r="KR6" i="71"/>
  <c r="KR43" i="71"/>
  <c r="KR7" i="71"/>
  <c r="KR5" i="71"/>
  <c r="KR41" i="71"/>
  <c r="KQ67" i="71"/>
  <c r="KQ42" i="71"/>
  <c r="KQ38" i="71"/>
  <c r="KQ6" i="71"/>
  <c r="KQ43" i="71"/>
  <c r="KQ7" i="71"/>
  <c r="KQ5" i="71"/>
  <c r="KQ33" i="71"/>
  <c r="KQ40" i="71"/>
  <c r="KQ41" i="71"/>
  <c r="KQ39" i="71"/>
  <c r="KP67" i="71"/>
  <c r="KP42" i="71"/>
  <c r="KP38" i="71"/>
  <c r="KP6" i="71"/>
  <c r="KP43" i="71"/>
  <c r="KP7" i="71"/>
  <c r="KP5" i="71"/>
  <c r="KP40" i="71"/>
  <c r="KP41" i="71"/>
  <c r="KP39" i="71"/>
  <c r="KO67" i="71"/>
  <c r="KO42" i="71"/>
  <c r="KO6" i="71"/>
  <c r="KO43" i="71"/>
  <c r="KO7" i="71"/>
  <c r="KO5" i="71"/>
  <c r="KO41" i="71"/>
  <c r="KN67" i="71"/>
  <c r="KN42" i="71"/>
  <c r="KN6" i="71"/>
  <c r="KN43" i="71"/>
  <c r="KN7" i="71"/>
  <c r="KN5" i="71"/>
  <c r="KN41" i="71"/>
  <c r="KM67" i="71"/>
  <c r="KM42" i="71"/>
  <c r="KM6" i="71"/>
  <c r="KM43" i="71"/>
  <c r="KM7" i="71"/>
  <c r="KM5" i="71"/>
  <c r="KM41" i="71"/>
  <c r="KL67" i="71"/>
  <c r="KL42" i="71"/>
  <c r="KL6" i="71"/>
  <c r="KL43" i="71"/>
  <c r="KL7" i="71"/>
  <c r="KL5" i="71"/>
  <c r="KL41" i="71"/>
  <c r="KK67" i="71"/>
  <c r="KK42" i="71"/>
  <c r="KK6" i="71"/>
  <c r="KK43" i="71"/>
  <c r="KK7" i="71"/>
  <c r="KK5" i="71"/>
  <c r="KK41" i="71"/>
  <c r="KJ67" i="71"/>
  <c r="KJ42" i="71"/>
  <c r="KJ6" i="71"/>
  <c r="KJ43" i="71"/>
  <c r="KJ7" i="71"/>
  <c r="KJ5" i="71"/>
  <c r="KJ41" i="71"/>
  <c r="KI67" i="71"/>
  <c r="KI42" i="71"/>
  <c r="KI6" i="71"/>
  <c r="KI43" i="71"/>
  <c r="KI7" i="71"/>
  <c r="KI5" i="71"/>
  <c r="KI41" i="71"/>
  <c r="KH67" i="71"/>
  <c r="KH42" i="71"/>
  <c r="KH6" i="71"/>
  <c r="KH43" i="71"/>
  <c r="KH7" i="71"/>
  <c r="KH5" i="71"/>
  <c r="KH41" i="71"/>
  <c r="KG67" i="71"/>
  <c r="KG42" i="71"/>
  <c r="KG6" i="71"/>
  <c r="KG43" i="71"/>
  <c r="KG7" i="71"/>
  <c r="KG5" i="71"/>
  <c r="KG41" i="71"/>
  <c r="KF67" i="71"/>
  <c r="KF42" i="71"/>
  <c r="KF6" i="71"/>
  <c r="KF43" i="71"/>
  <c r="KF7" i="71"/>
  <c r="KF5" i="71"/>
  <c r="KF41" i="71"/>
  <c r="KE67" i="71"/>
  <c r="KE42" i="71"/>
  <c r="KE38" i="71"/>
  <c r="KE6" i="71"/>
  <c r="KE43" i="71"/>
  <c r="KE7" i="71"/>
  <c r="KE5" i="71"/>
  <c r="KE33" i="71"/>
  <c r="KE40" i="71"/>
  <c r="KE41" i="71"/>
  <c r="KE39" i="71"/>
  <c r="KD67" i="71"/>
  <c r="KD42" i="71"/>
  <c r="KD38" i="71"/>
  <c r="KD6" i="71"/>
  <c r="KD43" i="71"/>
  <c r="KD7" i="71"/>
  <c r="KD5" i="71"/>
  <c r="KD33" i="71"/>
  <c r="KD40" i="71"/>
  <c r="KD41" i="71"/>
  <c r="KD39" i="71"/>
  <c r="KC67" i="71"/>
  <c r="KC42" i="71"/>
  <c r="KC38" i="71"/>
  <c r="KC6" i="71"/>
  <c r="KC43" i="71"/>
  <c r="KC7" i="71"/>
  <c r="KC5" i="71"/>
  <c r="KC33" i="71"/>
  <c r="KC40" i="71"/>
  <c r="KC41" i="71"/>
  <c r="KC39" i="71"/>
  <c r="KB67" i="71"/>
  <c r="KB42" i="71"/>
  <c r="KB38" i="71"/>
  <c r="KB6" i="71"/>
  <c r="KB43" i="71"/>
  <c r="KB7" i="71"/>
  <c r="KB5" i="71"/>
  <c r="KB33" i="71"/>
  <c r="KB40" i="71"/>
  <c r="KB41" i="71"/>
  <c r="KB39" i="71"/>
  <c r="KA67" i="71"/>
  <c r="KA42" i="71"/>
  <c r="KA38" i="71"/>
  <c r="KA6" i="71"/>
  <c r="KA43" i="71"/>
  <c r="KA7" i="71"/>
  <c r="KA5" i="71"/>
  <c r="KA33" i="71"/>
  <c r="KA40" i="71"/>
  <c r="KA41" i="71"/>
  <c r="KA39" i="71"/>
  <c r="JZ67" i="71"/>
  <c r="JZ42" i="71"/>
  <c r="JZ38" i="71"/>
  <c r="JZ6" i="71"/>
  <c r="JZ43" i="71"/>
  <c r="JZ7" i="71"/>
  <c r="JZ5" i="71"/>
  <c r="JZ33" i="71"/>
  <c r="JZ40" i="71"/>
  <c r="JZ41" i="71"/>
  <c r="JZ39" i="71"/>
  <c r="JY67" i="71"/>
  <c r="JY42" i="71"/>
  <c r="JY38" i="71"/>
  <c r="JY6" i="71"/>
  <c r="JY43" i="71"/>
  <c r="JY7" i="71"/>
  <c r="JY5" i="71"/>
  <c r="JY33" i="71"/>
  <c r="JY40" i="71"/>
  <c r="JY41" i="71"/>
  <c r="JY39" i="71"/>
  <c r="JX67" i="71"/>
  <c r="JX42" i="71"/>
  <c r="JX38" i="71"/>
  <c r="JX6" i="71"/>
  <c r="JX43" i="71"/>
  <c r="JX7" i="71"/>
  <c r="JX5" i="71"/>
  <c r="JX33" i="71"/>
  <c r="JX40" i="71"/>
  <c r="JX41" i="71"/>
  <c r="JX39" i="71"/>
  <c r="JW67" i="71"/>
  <c r="JW42" i="71"/>
  <c r="JW38" i="71"/>
  <c r="JW6" i="71"/>
  <c r="JW43" i="71"/>
  <c r="JW7" i="71"/>
  <c r="JW5" i="71"/>
  <c r="JW33" i="71"/>
  <c r="JW40" i="71"/>
  <c r="JW41" i="71"/>
  <c r="JW39" i="71"/>
  <c r="JV67" i="71"/>
  <c r="JV42" i="71"/>
  <c r="JV38" i="71"/>
  <c r="JV6" i="71"/>
  <c r="JV43" i="71"/>
  <c r="JV7" i="71"/>
  <c r="JV5" i="71"/>
  <c r="JV33" i="71"/>
  <c r="JV40" i="71"/>
  <c r="JV41" i="71"/>
  <c r="JV39" i="71"/>
  <c r="JU67" i="71"/>
  <c r="JU42" i="71"/>
  <c r="JU38" i="71"/>
  <c r="JU6" i="71"/>
  <c r="JU43" i="71"/>
  <c r="JU7" i="71"/>
  <c r="JU5" i="71"/>
  <c r="JU33" i="71"/>
  <c r="JU40" i="71"/>
  <c r="JU41" i="71"/>
  <c r="JU39" i="71"/>
  <c r="JT67" i="71"/>
  <c r="JT42" i="71"/>
  <c r="JT38" i="71"/>
  <c r="JT6" i="71"/>
  <c r="JT7" i="71"/>
  <c r="JT5" i="71"/>
  <c r="JT33" i="71"/>
  <c r="JT41" i="71"/>
  <c r="JT39" i="71"/>
  <c r="JS67" i="71"/>
  <c r="JS42" i="71"/>
  <c r="JS6" i="71"/>
  <c r="JS43" i="71"/>
  <c r="JS7" i="71"/>
  <c r="JS5" i="71"/>
  <c r="JS41" i="71"/>
  <c r="JR67" i="71"/>
  <c r="JR42" i="71"/>
  <c r="JR6" i="71"/>
  <c r="JR43" i="71"/>
  <c r="JR7" i="71"/>
  <c r="JR5" i="71"/>
  <c r="JR41" i="71"/>
  <c r="JQ67" i="71"/>
  <c r="JQ42" i="71"/>
  <c r="JQ6" i="71"/>
  <c r="JQ7" i="71"/>
  <c r="JQ5" i="71"/>
  <c r="JQ41" i="71"/>
  <c r="JP67" i="71"/>
  <c r="JP42" i="71"/>
  <c r="JP6" i="71"/>
  <c r="JP43" i="71"/>
  <c r="JP7" i="71"/>
  <c r="JP5" i="71"/>
  <c r="JP41" i="71"/>
  <c r="JO67" i="71"/>
  <c r="JO42" i="71"/>
  <c r="JO6" i="71"/>
  <c r="JO43" i="71"/>
  <c r="JO7" i="71"/>
  <c r="JO5" i="71"/>
  <c r="JO41" i="71"/>
  <c r="JN67" i="71"/>
  <c r="JN42" i="71"/>
  <c r="JN6" i="71"/>
  <c r="JN43" i="71"/>
  <c r="JN7" i="71"/>
  <c r="JN5" i="71"/>
  <c r="JN41" i="71"/>
  <c r="JM67" i="71"/>
  <c r="JM42" i="71"/>
  <c r="JM6" i="71"/>
  <c r="JM7" i="71"/>
  <c r="JM5" i="71"/>
  <c r="JM41" i="71"/>
  <c r="JL67" i="71"/>
  <c r="JL42" i="71"/>
  <c r="JL38" i="71"/>
  <c r="JL6" i="71"/>
  <c r="JL43" i="71"/>
  <c r="JL7" i="71"/>
  <c r="JL5" i="71"/>
  <c r="JL33" i="71"/>
  <c r="JL40" i="71"/>
  <c r="JL41" i="71"/>
  <c r="JL39" i="71"/>
  <c r="JK67" i="71"/>
  <c r="JK42" i="71"/>
  <c r="JK38" i="71"/>
  <c r="JK6" i="71"/>
  <c r="JK43" i="71"/>
  <c r="JK7" i="71"/>
  <c r="JK5" i="71"/>
  <c r="JK41" i="71"/>
  <c r="JJ67" i="71"/>
  <c r="JJ42" i="71"/>
  <c r="JJ38" i="71"/>
  <c r="JJ6" i="71"/>
  <c r="JJ43" i="71"/>
  <c r="JJ7" i="71"/>
  <c r="JJ5" i="71"/>
  <c r="JJ41" i="71"/>
  <c r="JI67" i="71"/>
  <c r="JI42" i="71"/>
  <c r="JI38" i="71"/>
  <c r="JI6" i="71"/>
  <c r="JI43" i="71"/>
  <c r="JI7" i="71"/>
  <c r="JI5" i="71"/>
  <c r="JI41" i="71"/>
  <c r="JH67" i="71"/>
  <c r="JH42" i="71"/>
  <c r="JH38" i="71"/>
  <c r="JH6" i="71"/>
  <c r="JH43" i="71"/>
  <c r="JH7" i="71"/>
  <c r="JH5" i="71"/>
  <c r="JH41" i="71"/>
  <c r="JG67" i="71"/>
  <c r="JG42" i="71"/>
  <c r="JG38" i="71"/>
  <c r="JG6" i="71"/>
  <c r="JG43" i="71"/>
  <c r="JG7" i="71"/>
  <c r="JG5" i="71"/>
  <c r="JG41" i="71"/>
  <c r="JF67" i="71"/>
  <c r="JF42" i="71"/>
  <c r="JF38" i="71"/>
  <c r="JF6" i="71"/>
  <c r="JF43" i="71"/>
  <c r="JF7" i="71"/>
  <c r="JF5" i="71"/>
  <c r="JF41" i="71"/>
  <c r="JE67" i="71"/>
  <c r="JE42" i="71"/>
  <c r="JE38" i="71"/>
  <c r="JE6" i="71"/>
  <c r="JE43" i="71"/>
  <c r="JE7" i="71"/>
  <c r="JE5" i="71"/>
  <c r="JE41" i="71"/>
  <c r="JD67" i="71"/>
  <c r="JD42" i="71"/>
  <c r="JD38" i="71"/>
  <c r="JD6" i="71"/>
  <c r="JD43" i="71"/>
  <c r="JD7" i="71"/>
  <c r="JD5" i="71"/>
  <c r="JD41" i="71"/>
  <c r="JC67" i="71"/>
  <c r="JC42" i="71"/>
  <c r="JC38" i="71"/>
  <c r="JC6" i="71"/>
  <c r="JC43" i="71"/>
  <c r="JC7" i="71"/>
  <c r="JC5" i="71"/>
  <c r="JC41" i="71"/>
  <c r="JB67" i="71"/>
  <c r="JB42" i="71"/>
  <c r="JB38" i="71"/>
  <c r="JB6" i="71"/>
  <c r="JB43" i="71"/>
  <c r="JB7" i="71"/>
  <c r="JB5" i="71"/>
  <c r="JB41" i="71"/>
  <c r="JA67" i="71"/>
  <c r="JA42" i="71"/>
  <c r="JA38" i="71"/>
  <c r="JA6" i="71"/>
  <c r="JA43" i="71"/>
  <c r="JA7" i="71"/>
  <c r="JA5" i="71"/>
  <c r="JA41" i="71"/>
  <c r="IZ67" i="71"/>
  <c r="IZ42" i="71"/>
  <c r="IZ6" i="71"/>
  <c r="IZ43" i="71"/>
  <c r="IZ7" i="71"/>
  <c r="IZ5" i="71"/>
  <c r="IZ41" i="71"/>
  <c r="IY67" i="71"/>
  <c r="IY42" i="71"/>
  <c r="IY38" i="71"/>
  <c r="IY6" i="71"/>
  <c r="IY43" i="71"/>
  <c r="IY7" i="71"/>
  <c r="IY5" i="71"/>
  <c r="IY33" i="71"/>
  <c r="IY40" i="71"/>
  <c r="IY41" i="71"/>
  <c r="IY39" i="71"/>
  <c r="IX67" i="71"/>
  <c r="IX42" i="71"/>
  <c r="IX38" i="71"/>
  <c r="IX6" i="71"/>
  <c r="IX43" i="71"/>
  <c r="IX7" i="71"/>
  <c r="IX5" i="71"/>
  <c r="IX33" i="71"/>
  <c r="IX40" i="71"/>
  <c r="IX41" i="71"/>
  <c r="IX39" i="71"/>
  <c r="IW67" i="71"/>
  <c r="IW42" i="71"/>
  <c r="IW38" i="71"/>
  <c r="IW6" i="71"/>
  <c r="IW43" i="71"/>
  <c r="IW7" i="71"/>
  <c r="IW5" i="71"/>
  <c r="IW33" i="71"/>
  <c r="IW40" i="71"/>
  <c r="IW41" i="71"/>
  <c r="IW39" i="71"/>
  <c r="IV67" i="71"/>
  <c r="IV42" i="71"/>
  <c r="IV38" i="71"/>
  <c r="IV6" i="71"/>
  <c r="IV43" i="71"/>
  <c r="IV7" i="71"/>
  <c r="IV5" i="71"/>
  <c r="IV33" i="71"/>
  <c r="IV40" i="71"/>
  <c r="IV41" i="71"/>
  <c r="IV39" i="71"/>
  <c r="IU67" i="71"/>
  <c r="IU42" i="71"/>
  <c r="IU38" i="71"/>
  <c r="IU6" i="71"/>
  <c r="IU43" i="71"/>
  <c r="IU7" i="71"/>
  <c r="IU5" i="71"/>
  <c r="IU33" i="71"/>
  <c r="IU40" i="71"/>
  <c r="IU41" i="71"/>
  <c r="IU39" i="71"/>
  <c r="IT67" i="71"/>
  <c r="IT42" i="71"/>
  <c r="IT38" i="71"/>
  <c r="IT6" i="71"/>
  <c r="IT43" i="71"/>
  <c r="IT7" i="71"/>
  <c r="IT5" i="71"/>
  <c r="IT33" i="71"/>
  <c r="IT40" i="71"/>
  <c r="IT41" i="71"/>
  <c r="IT39" i="71"/>
  <c r="IS67" i="71"/>
  <c r="IS42" i="71"/>
  <c r="IS38" i="71"/>
  <c r="IS6" i="71"/>
  <c r="IS43" i="71"/>
  <c r="IS7" i="71"/>
  <c r="IS5" i="71"/>
  <c r="IS33" i="71"/>
  <c r="IS40" i="71"/>
  <c r="IS41" i="71"/>
  <c r="IS39" i="71"/>
  <c r="IR67" i="71"/>
  <c r="IR42" i="71"/>
  <c r="IR38" i="71"/>
  <c r="IR6" i="71"/>
  <c r="IR43" i="71"/>
  <c r="IR7" i="71"/>
  <c r="IR5" i="71"/>
  <c r="IR33" i="71"/>
  <c r="IR40" i="71"/>
  <c r="IR41" i="71"/>
  <c r="IR39" i="71"/>
  <c r="IQ67" i="71"/>
  <c r="IQ42" i="71"/>
  <c r="IQ38" i="71"/>
  <c r="IQ6" i="71"/>
  <c r="IQ43" i="71"/>
  <c r="IQ7" i="71"/>
  <c r="IQ5" i="71"/>
  <c r="IQ33" i="71"/>
  <c r="IQ40" i="71"/>
  <c r="IQ41" i="71"/>
  <c r="IQ39" i="71"/>
  <c r="IP67" i="71"/>
  <c r="IP42" i="71"/>
  <c r="IP38" i="71"/>
  <c r="IP6" i="71"/>
  <c r="IP43" i="71"/>
  <c r="IP7" i="71"/>
  <c r="IP5" i="71"/>
  <c r="IP33" i="71"/>
  <c r="IP40" i="71"/>
  <c r="IP41" i="71"/>
  <c r="IP39" i="71"/>
  <c r="IO67" i="71"/>
  <c r="IO42" i="71"/>
  <c r="IO38" i="71"/>
  <c r="IO6" i="71"/>
  <c r="IO43" i="71"/>
  <c r="IO7" i="71"/>
  <c r="IO5" i="71"/>
  <c r="IO33" i="71"/>
  <c r="IO40" i="71"/>
  <c r="IO41" i="71"/>
  <c r="IO39" i="71"/>
  <c r="IN67" i="71"/>
  <c r="IN42" i="71"/>
  <c r="IN38" i="71"/>
  <c r="IN6" i="71"/>
  <c r="IN43" i="71"/>
  <c r="IN7" i="71"/>
  <c r="IN5" i="71"/>
  <c r="IN33" i="71"/>
  <c r="IN40" i="71"/>
  <c r="IN41" i="71"/>
  <c r="IN39" i="71"/>
  <c r="IM67" i="71"/>
  <c r="IM42" i="71"/>
  <c r="IM38" i="71"/>
  <c r="IM6" i="71"/>
  <c r="IM43" i="71"/>
  <c r="IM7" i="71"/>
  <c r="IM5" i="71"/>
  <c r="IM33" i="71"/>
  <c r="IM40" i="71"/>
  <c r="IM41" i="71"/>
  <c r="IM39" i="71"/>
  <c r="IL67" i="71"/>
  <c r="IL42" i="71"/>
  <c r="IL38" i="71"/>
  <c r="IL6" i="71"/>
  <c r="IL43" i="71"/>
  <c r="IL7" i="71"/>
  <c r="IL5" i="71"/>
  <c r="IL33" i="71"/>
  <c r="IL40" i="71"/>
  <c r="IL41" i="71"/>
  <c r="IL39" i="71"/>
  <c r="IK67" i="71"/>
  <c r="IK42" i="71"/>
  <c r="IK38" i="71"/>
  <c r="IK6" i="71"/>
  <c r="IK43" i="71"/>
  <c r="IK7" i="71"/>
  <c r="IK5" i="71"/>
  <c r="IK33" i="71"/>
  <c r="IK40" i="71"/>
  <c r="IK41" i="71"/>
  <c r="IK39" i="71"/>
  <c r="IJ67" i="71"/>
  <c r="IJ42" i="71"/>
  <c r="IJ38" i="71"/>
  <c r="IJ6" i="71"/>
  <c r="IJ43" i="71"/>
  <c r="IJ7" i="71"/>
  <c r="IJ5" i="71"/>
  <c r="IJ33" i="71"/>
  <c r="IJ40" i="71"/>
  <c r="IJ41" i="71"/>
  <c r="IJ39" i="71"/>
  <c r="II67" i="71"/>
  <c r="II42" i="71"/>
  <c r="II38" i="71"/>
  <c r="II6" i="71"/>
  <c r="II43" i="71"/>
  <c r="II7" i="71"/>
  <c r="II5" i="71"/>
  <c r="II33" i="71"/>
  <c r="II40" i="71"/>
  <c r="II41" i="71"/>
  <c r="II39" i="71"/>
  <c r="IH67" i="71"/>
  <c r="IH42" i="71"/>
  <c r="IH38" i="71"/>
  <c r="IH6" i="71"/>
  <c r="IH43" i="71"/>
  <c r="IH7" i="71"/>
  <c r="IH5" i="71"/>
  <c r="IH33" i="71"/>
  <c r="IH40" i="71"/>
  <c r="IH41" i="71"/>
  <c r="IH39" i="71"/>
  <c r="IG67" i="71"/>
  <c r="IG42" i="71"/>
  <c r="IG38" i="71"/>
  <c r="IG6" i="71"/>
  <c r="IG43" i="71"/>
  <c r="IG7" i="71"/>
  <c r="IG5" i="71"/>
  <c r="IG33" i="71"/>
  <c r="IG40" i="71"/>
  <c r="IG41" i="71"/>
  <c r="IG39" i="71"/>
  <c r="IF67" i="71"/>
  <c r="IF42" i="71"/>
  <c r="IF38" i="71"/>
  <c r="IF6" i="71"/>
  <c r="IF43" i="71"/>
  <c r="IF7" i="71"/>
  <c r="IF5" i="71"/>
  <c r="IF33" i="71"/>
  <c r="IF40" i="71"/>
  <c r="IF41" i="71"/>
  <c r="IF39" i="71"/>
  <c r="IE67" i="71"/>
  <c r="IE42" i="71"/>
  <c r="IE38" i="71"/>
  <c r="IE6" i="71"/>
  <c r="IE43" i="71"/>
  <c r="IE7" i="71"/>
  <c r="IE5" i="71"/>
  <c r="IE33" i="71"/>
  <c r="IE40" i="71"/>
  <c r="IE41" i="71"/>
  <c r="IE39" i="71"/>
  <c r="ID67" i="71"/>
  <c r="ID42" i="71"/>
  <c r="ID38" i="71"/>
  <c r="ID6" i="71"/>
  <c r="ID43" i="71"/>
  <c r="ID7" i="71"/>
  <c r="ID5" i="71"/>
  <c r="ID33" i="71"/>
  <c r="ID40" i="71"/>
  <c r="ID41" i="71"/>
  <c r="ID39" i="71"/>
  <c r="IC67" i="71"/>
  <c r="IC42" i="71"/>
  <c r="IC38" i="71"/>
  <c r="IC6" i="71"/>
  <c r="IC43" i="71"/>
  <c r="IC7" i="71"/>
  <c r="IC5" i="71"/>
  <c r="IC33" i="71"/>
  <c r="IC40" i="71"/>
  <c r="IC41" i="71"/>
  <c r="IC39" i="71"/>
  <c r="IB67" i="71"/>
  <c r="IB42" i="71"/>
  <c r="IB38" i="71"/>
  <c r="IB6" i="71"/>
  <c r="IB43" i="71"/>
  <c r="IB7" i="71"/>
  <c r="IB5" i="71"/>
  <c r="IB33" i="71"/>
  <c r="IB40" i="71"/>
  <c r="IB41" i="71"/>
  <c r="IB39" i="71"/>
  <c r="IA67" i="71"/>
  <c r="IA42" i="71"/>
  <c r="IA38" i="71"/>
  <c r="IA6" i="71"/>
  <c r="IA43" i="71"/>
  <c r="IA7" i="71"/>
  <c r="IA5" i="71"/>
  <c r="IA33" i="71"/>
  <c r="IA40" i="71"/>
  <c r="IA41" i="71"/>
  <c r="IA39" i="71"/>
  <c r="HZ67" i="71"/>
  <c r="HZ42" i="71"/>
  <c r="HZ38" i="71"/>
  <c r="HZ6" i="71"/>
  <c r="HZ43" i="71"/>
  <c r="HZ7" i="71"/>
  <c r="HZ5" i="71"/>
  <c r="HZ33" i="71"/>
  <c r="HZ40" i="71"/>
  <c r="HZ41" i="71"/>
  <c r="HZ39" i="71"/>
  <c r="HY67" i="71"/>
  <c r="HY42" i="71"/>
  <c r="HY38" i="71"/>
  <c r="HY6" i="71"/>
  <c r="HY43" i="71"/>
  <c r="HY7" i="71"/>
  <c r="HY5" i="71"/>
  <c r="HY33" i="71"/>
  <c r="HY40" i="71"/>
  <c r="HY41" i="71"/>
  <c r="HY39" i="71"/>
  <c r="HX67" i="71"/>
  <c r="HX42" i="71"/>
  <c r="HX38" i="71"/>
  <c r="HX6" i="71"/>
  <c r="HX43" i="71"/>
  <c r="HX7" i="71"/>
  <c r="HX5" i="71"/>
  <c r="HX33" i="71"/>
  <c r="HX40" i="71"/>
  <c r="HX41" i="71"/>
  <c r="HX39" i="71"/>
  <c r="HW67" i="71"/>
  <c r="HW42" i="71"/>
  <c r="HW38" i="71"/>
  <c r="HW6" i="71"/>
  <c r="HW43" i="71"/>
  <c r="HW7" i="71"/>
  <c r="HW5" i="71"/>
  <c r="HW33" i="71"/>
  <c r="HW40" i="71"/>
  <c r="HW41" i="71"/>
  <c r="HW39" i="71"/>
  <c r="HV67" i="71"/>
  <c r="HV42" i="71"/>
  <c r="HV38" i="71"/>
  <c r="HV6" i="71"/>
  <c r="HV43" i="71"/>
  <c r="HV7" i="71"/>
  <c r="HV5" i="71"/>
  <c r="HV33" i="71"/>
  <c r="HV40" i="71"/>
  <c r="HV41" i="71"/>
  <c r="HV39" i="71"/>
  <c r="HU67" i="71"/>
  <c r="HU42" i="71"/>
  <c r="HU38" i="71"/>
  <c r="HU6" i="71"/>
  <c r="HU43" i="71"/>
  <c r="HU7" i="71"/>
  <c r="HU5" i="71"/>
  <c r="HU33" i="71"/>
  <c r="HU40" i="71"/>
  <c r="HU41" i="71"/>
  <c r="HU39" i="71"/>
  <c r="HT67" i="71"/>
  <c r="HT42" i="71"/>
  <c r="HT38" i="71"/>
  <c r="HT6" i="71"/>
  <c r="HT43" i="71"/>
  <c r="HT7" i="71"/>
  <c r="HT5" i="71"/>
  <c r="HT33" i="71"/>
  <c r="HT40" i="71"/>
  <c r="HT41" i="71"/>
  <c r="HT39" i="71"/>
  <c r="HS67" i="71"/>
  <c r="HS38" i="71"/>
  <c r="HS6" i="71"/>
  <c r="HS39" i="71"/>
  <c r="HR67" i="71"/>
  <c r="HR42" i="71"/>
  <c r="HR38" i="71"/>
  <c r="HR6" i="71"/>
  <c r="HR43" i="71"/>
  <c r="HR5" i="71"/>
  <c r="HR33" i="71"/>
  <c r="HR41" i="71"/>
  <c r="HR39" i="71"/>
  <c r="HQ67" i="71"/>
  <c r="HQ42" i="71"/>
  <c r="HQ38" i="71"/>
  <c r="HQ6" i="71"/>
  <c r="HQ43" i="71"/>
  <c r="HQ5" i="71"/>
  <c r="HQ33" i="71"/>
  <c r="HQ41" i="71"/>
  <c r="HQ39" i="71"/>
  <c r="HP67" i="71"/>
  <c r="HP42" i="71"/>
  <c r="HP38" i="71"/>
  <c r="HP6" i="71"/>
  <c r="HP43" i="71"/>
  <c r="HP5" i="71"/>
  <c r="HP33" i="71"/>
  <c r="HP41" i="71"/>
  <c r="HP39" i="71"/>
  <c r="HO67" i="71"/>
  <c r="HO42" i="71"/>
  <c r="HO38" i="71"/>
  <c r="HO6" i="71"/>
  <c r="HO43" i="71"/>
  <c r="HO5" i="71"/>
  <c r="HO33" i="71"/>
  <c r="HO41" i="71"/>
  <c r="HO39" i="71"/>
  <c r="HN67" i="71"/>
  <c r="HN42" i="71"/>
  <c r="HN38" i="71"/>
  <c r="HN6" i="71"/>
  <c r="HN43" i="71"/>
  <c r="HN5" i="71"/>
  <c r="HN33" i="71"/>
  <c r="HN41" i="71"/>
  <c r="HN39" i="71"/>
  <c r="HM67" i="71"/>
  <c r="HM42" i="71"/>
  <c r="HM38" i="71"/>
  <c r="HM6" i="71"/>
  <c r="HM43" i="71"/>
  <c r="HM5" i="71"/>
  <c r="HM33" i="71"/>
  <c r="HM41" i="71"/>
  <c r="HM39" i="71"/>
  <c r="HL67" i="71"/>
  <c r="HL42" i="71"/>
  <c r="HL38" i="71"/>
  <c r="HL6" i="71"/>
  <c r="HL43" i="71"/>
  <c r="HL5" i="71"/>
  <c r="HL33" i="71"/>
  <c r="HL41" i="71"/>
  <c r="HL39" i="71"/>
  <c r="HK67" i="71"/>
  <c r="HK42" i="71"/>
  <c r="HK38" i="71"/>
  <c r="HK6" i="71"/>
  <c r="HK43" i="71"/>
  <c r="HK7" i="71"/>
  <c r="HK5" i="71"/>
  <c r="HK33" i="71"/>
  <c r="HK40" i="71"/>
  <c r="HK41" i="71"/>
  <c r="HK39" i="71"/>
  <c r="HJ67" i="71"/>
  <c r="HJ42" i="71"/>
  <c r="HJ38" i="71"/>
  <c r="HJ6" i="71"/>
  <c r="HJ43" i="71"/>
  <c r="HJ7" i="71"/>
  <c r="HJ5" i="71"/>
  <c r="HJ33" i="71"/>
  <c r="HJ40" i="71"/>
  <c r="HJ41" i="71"/>
  <c r="HJ39" i="71"/>
  <c r="HI67" i="71"/>
  <c r="HI42" i="71"/>
  <c r="HI38" i="71"/>
  <c r="HI6" i="71"/>
  <c r="HI43" i="71"/>
  <c r="HI7" i="71"/>
  <c r="HI5" i="71"/>
  <c r="HI33" i="71"/>
  <c r="HI40" i="71"/>
  <c r="HI41" i="71"/>
  <c r="HI39" i="71"/>
  <c r="HH67" i="71"/>
  <c r="HH42" i="71"/>
  <c r="HH38" i="71"/>
  <c r="HH6" i="71"/>
  <c r="HH43" i="71"/>
  <c r="HH7" i="71"/>
  <c r="HH5" i="71"/>
  <c r="HH33" i="71"/>
  <c r="HH40" i="71"/>
  <c r="HH41" i="71"/>
  <c r="HH39" i="71"/>
  <c r="HG67" i="71"/>
  <c r="HG42" i="71"/>
  <c r="HG38" i="71"/>
  <c r="HG6" i="71"/>
  <c r="HG43" i="71"/>
  <c r="HG7" i="71"/>
  <c r="HG5" i="71"/>
  <c r="HG33" i="71"/>
  <c r="HG40" i="71"/>
  <c r="HG41" i="71"/>
  <c r="HG39" i="71"/>
  <c r="HF67" i="71"/>
  <c r="HF42" i="71"/>
  <c r="HF38" i="71"/>
  <c r="HF6" i="71"/>
  <c r="HF43" i="71"/>
  <c r="HF7" i="71"/>
  <c r="HF5" i="71"/>
  <c r="HF33" i="71"/>
  <c r="HF40" i="71"/>
  <c r="HF41" i="71"/>
  <c r="HF39" i="71"/>
  <c r="HE67" i="71"/>
  <c r="HE42" i="71"/>
  <c r="HE38" i="71"/>
  <c r="HE6" i="71"/>
  <c r="HE43" i="71"/>
  <c r="HE7" i="71"/>
  <c r="HE5" i="71"/>
  <c r="HE33" i="71"/>
  <c r="HE40" i="71"/>
  <c r="HE41" i="71"/>
  <c r="HE39" i="71"/>
  <c r="HD67" i="71"/>
  <c r="HD42" i="71"/>
  <c r="HD38" i="71"/>
  <c r="HD6" i="71"/>
  <c r="HD43" i="71"/>
  <c r="HD7" i="71"/>
  <c r="HD5" i="71"/>
  <c r="HD33" i="71"/>
  <c r="HD40" i="71"/>
  <c r="HD41" i="71"/>
  <c r="HD39" i="71"/>
  <c r="HC67" i="71"/>
  <c r="HC42" i="71"/>
  <c r="HC38" i="71"/>
  <c r="HC6" i="71"/>
  <c r="HC43" i="71"/>
  <c r="HC7" i="71"/>
  <c r="HC5" i="71"/>
  <c r="HC33" i="71"/>
  <c r="HC40" i="71"/>
  <c r="HC41" i="71"/>
  <c r="HC39" i="71"/>
  <c r="HB67" i="71"/>
  <c r="HB42" i="71"/>
  <c r="HB38" i="71"/>
  <c r="HB6" i="71"/>
  <c r="HB43" i="71"/>
  <c r="HB7" i="71"/>
  <c r="HB5" i="71"/>
  <c r="HB33" i="71"/>
  <c r="HB40" i="71"/>
  <c r="HB41" i="71"/>
  <c r="HB39" i="71"/>
  <c r="HA67" i="71"/>
  <c r="HA42" i="71"/>
  <c r="HA6" i="71"/>
  <c r="HA43" i="71"/>
  <c r="HA7" i="71"/>
  <c r="HA5" i="71"/>
  <c r="HA33" i="71"/>
  <c r="HA40" i="71"/>
  <c r="HA41" i="71"/>
  <c r="HA39" i="71"/>
  <c r="GZ67" i="71"/>
  <c r="GZ42" i="71"/>
  <c r="GZ6" i="71"/>
  <c r="GZ43" i="71"/>
  <c r="GZ7" i="71"/>
  <c r="GZ5" i="71"/>
  <c r="GZ33" i="71"/>
  <c r="GZ40" i="71"/>
  <c r="GZ41" i="71"/>
  <c r="GZ39" i="71"/>
  <c r="GY67" i="71"/>
  <c r="GY42" i="71"/>
  <c r="GY38" i="71"/>
  <c r="GY6" i="71"/>
  <c r="GY43" i="71"/>
  <c r="GY7" i="71"/>
  <c r="GY33" i="71"/>
  <c r="GY40" i="71"/>
  <c r="GY41" i="71"/>
  <c r="GY39" i="71"/>
  <c r="GX67" i="71"/>
  <c r="GX42" i="71"/>
  <c r="GX38" i="71"/>
  <c r="GX6" i="71"/>
  <c r="GX43" i="71"/>
  <c r="GX7" i="71"/>
  <c r="GX5" i="71"/>
  <c r="GX33" i="71"/>
  <c r="GX40" i="71"/>
  <c r="GX41" i="71"/>
  <c r="GX39" i="71"/>
  <c r="GW67" i="71"/>
  <c r="GW42" i="71"/>
  <c r="GW38" i="71"/>
  <c r="GW6" i="71"/>
  <c r="GW43" i="71"/>
  <c r="GW7" i="71"/>
  <c r="GW33" i="71"/>
  <c r="GW40" i="71"/>
  <c r="GW41" i="71"/>
  <c r="GW39" i="71"/>
  <c r="GV67" i="71"/>
  <c r="GV42" i="71"/>
  <c r="GV38" i="71"/>
  <c r="GV6" i="71"/>
  <c r="GV43" i="71"/>
  <c r="GV7" i="71"/>
  <c r="GV5" i="71"/>
  <c r="GV33" i="71"/>
  <c r="GV40" i="71"/>
  <c r="GV41" i="71"/>
  <c r="GV39" i="71"/>
  <c r="GU67" i="71"/>
  <c r="GU42" i="71"/>
  <c r="GU38" i="71"/>
  <c r="GU6" i="71"/>
  <c r="GU43" i="71"/>
  <c r="GU7" i="71"/>
  <c r="GU5" i="71"/>
  <c r="GU33" i="71"/>
  <c r="GU40" i="71"/>
  <c r="GU41" i="71"/>
  <c r="GU39" i="71"/>
  <c r="GT67" i="71"/>
  <c r="GT42" i="71"/>
  <c r="GT38" i="71"/>
  <c r="GT6" i="71"/>
  <c r="GT43" i="71"/>
  <c r="GT7" i="71"/>
  <c r="GT5" i="71"/>
  <c r="GT33" i="71"/>
  <c r="GT40" i="71"/>
  <c r="GT41" i="71"/>
  <c r="GT39" i="71"/>
  <c r="GS67" i="71"/>
  <c r="GS42" i="71"/>
  <c r="GS38" i="71"/>
  <c r="GS6" i="71"/>
  <c r="GS43" i="71"/>
  <c r="GS7" i="71"/>
  <c r="GS5" i="71"/>
  <c r="GS33" i="71"/>
  <c r="GS40" i="71"/>
  <c r="GS41" i="71"/>
  <c r="GS39" i="71"/>
  <c r="GR67" i="71"/>
  <c r="GR42" i="71"/>
  <c r="GR38" i="71"/>
  <c r="GR6" i="71"/>
  <c r="GR43" i="71"/>
  <c r="GR7" i="71"/>
  <c r="GR5" i="71"/>
  <c r="GR33" i="71"/>
  <c r="GR40" i="71"/>
  <c r="GR41" i="71"/>
  <c r="GR39" i="71"/>
  <c r="GQ67" i="71"/>
  <c r="GQ42" i="71"/>
  <c r="GQ38" i="71"/>
  <c r="GQ6" i="71"/>
  <c r="GQ43" i="71"/>
  <c r="GQ7" i="71"/>
  <c r="GQ5" i="71"/>
  <c r="GQ33" i="71"/>
  <c r="GQ40" i="71"/>
  <c r="GQ41" i="71"/>
  <c r="GQ39" i="71"/>
  <c r="GP67" i="71"/>
  <c r="GP42" i="71"/>
  <c r="GP38" i="71"/>
  <c r="GP6" i="71"/>
  <c r="GP43" i="71"/>
  <c r="GP7" i="71"/>
  <c r="GP5" i="71"/>
  <c r="GP33" i="71"/>
  <c r="GP40" i="71"/>
  <c r="GP41" i="71"/>
  <c r="GP39" i="71"/>
  <c r="GO67" i="71"/>
  <c r="GO42" i="71"/>
  <c r="GO38" i="71"/>
  <c r="GO6" i="71"/>
  <c r="GO43" i="71"/>
  <c r="GO7" i="71"/>
  <c r="GO33" i="71"/>
  <c r="GO40" i="71"/>
  <c r="GO41" i="71"/>
  <c r="GO39" i="71"/>
  <c r="GN67" i="71"/>
  <c r="GN42" i="71"/>
  <c r="GN38" i="71"/>
  <c r="GN6" i="71"/>
  <c r="GN43" i="71"/>
  <c r="GN7" i="71"/>
  <c r="GN5" i="71"/>
  <c r="GN33" i="71"/>
  <c r="GN40" i="71"/>
  <c r="GN41" i="71"/>
  <c r="GN39" i="71"/>
  <c r="GM67" i="71"/>
  <c r="GM42" i="71"/>
  <c r="GM38" i="71"/>
  <c r="GM6" i="71"/>
  <c r="GM43" i="71"/>
  <c r="GM7" i="71"/>
  <c r="GM5" i="71"/>
  <c r="GM33" i="71"/>
  <c r="GM40" i="71"/>
  <c r="GM41" i="71"/>
  <c r="GM39" i="71"/>
  <c r="GL67" i="71"/>
  <c r="GL42" i="71"/>
  <c r="GL38" i="71"/>
  <c r="GL6" i="71"/>
  <c r="GL43" i="71"/>
  <c r="GL7" i="71"/>
  <c r="GL5" i="71"/>
  <c r="GL33" i="71"/>
  <c r="GL40" i="71"/>
  <c r="GL41" i="71"/>
  <c r="GL39" i="71"/>
  <c r="GK67" i="71"/>
  <c r="GK42" i="71"/>
  <c r="GK38" i="71"/>
  <c r="GK6" i="71"/>
  <c r="GK43" i="71"/>
  <c r="GK7" i="71"/>
  <c r="GK5" i="71"/>
  <c r="GK33" i="71"/>
  <c r="GK40" i="71"/>
  <c r="GK41" i="71"/>
  <c r="GK39" i="71"/>
  <c r="GJ67" i="71"/>
  <c r="GJ42" i="71"/>
  <c r="GJ38" i="71"/>
  <c r="GJ6" i="71"/>
  <c r="GJ43" i="71"/>
  <c r="GJ7" i="71"/>
  <c r="GJ5" i="71"/>
  <c r="GJ33" i="71"/>
  <c r="GJ40" i="71"/>
  <c r="GJ41" i="71"/>
  <c r="GJ39" i="71"/>
  <c r="GI67" i="71"/>
  <c r="GI42" i="71"/>
  <c r="GI38" i="71"/>
  <c r="GI6" i="71"/>
  <c r="GI43" i="71"/>
  <c r="GI7" i="71"/>
  <c r="GI5" i="71"/>
  <c r="GI33" i="71"/>
  <c r="GI40" i="71"/>
  <c r="GI41" i="71"/>
  <c r="GI39" i="71"/>
  <c r="GH67" i="71"/>
  <c r="GH42" i="71"/>
  <c r="GH38" i="71"/>
  <c r="GH6" i="71"/>
  <c r="GH43" i="71"/>
  <c r="GH7" i="71"/>
  <c r="GH5" i="71"/>
  <c r="GH33" i="71"/>
  <c r="GH40" i="71"/>
  <c r="GH41" i="71"/>
  <c r="GH39" i="71"/>
  <c r="GG67" i="71"/>
  <c r="GG42" i="71"/>
  <c r="GG38" i="71"/>
  <c r="GG6" i="71"/>
  <c r="GG43" i="71"/>
  <c r="GG7" i="71"/>
  <c r="GG5" i="71"/>
  <c r="GG33" i="71"/>
  <c r="GG40" i="71"/>
  <c r="GG41" i="71"/>
  <c r="GG39" i="71"/>
  <c r="GF67" i="71"/>
  <c r="GF42" i="71"/>
  <c r="GF38" i="71"/>
  <c r="GF6" i="71"/>
  <c r="GF43" i="71"/>
  <c r="GF7" i="71"/>
  <c r="GF5" i="71"/>
  <c r="GF33" i="71"/>
  <c r="GF40" i="71"/>
  <c r="GF41" i="71"/>
  <c r="GF39" i="71"/>
  <c r="GE67" i="71"/>
  <c r="GE42" i="71"/>
  <c r="GE38" i="71"/>
  <c r="GE6" i="71"/>
  <c r="GE43" i="71"/>
  <c r="GE7" i="71"/>
  <c r="GE5" i="71"/>
  <c r="GE33" i="71"/>
  <c r="GE40" i="71"/>
  <c r="GE41" i="71"/>
  <c r="GE39" i="71"/>
  <c r="GD67" i="71"/>
  <c r="GD42" i="71"/>
  <c r="GD38" i="71"/>
  <c r="GD6" i="71"/>
  <c r="GD43" i="71"/>
  <c r="GD7" i="71"/>
  <c r="GD5" i="71"/>
  <c r="GD33" i="71"/>
  <c r="GD40" i="71"/>
  <c r="GD41" i="71"/>
  <c r="GD39" i="71"/>
  <c r="GC67" i="71"/>
  <c r="GC42" i="71"/>
  <c r="GC38" i="71"/>
  <c r="GC6" i="71"/>
  <c r="GC43" i="71"/>
  <c r="GC7" i="71"/>
  <c r="GC5" i="71"/>
  <c r="GC33" i="71"/>
  <c r="GC40" i="71"/>
  <c r="GC41" i="71"/>
  <c r="GC39" i="71"/>
  <c r="GB67" i="71"/>
  <c r="GB42" i="71"/>
  <c r="GB38" i="71"/>
  <c r="GB6" i="71"/>
  <c r="GB43" i="71"/>
  <c r="GB7" i="71"/>
  <c r="GB5" i="71"/>
  <c r="GB33" i="71"/>
  <c r="GB40" i="71"/>
  <c r="GB41" i="71"/>
  <c r="GB39" i="71"/>
  <c r="GA67" i="71"/>
  <c r="GA42" i="71"/>
  <c r="GA38" i="71"/>
  <c r="GA6" i="71"/>
  <c r="GA43" i="71"/>
  <c r="GA7" i="71"/>
  <c r="GA5" i="71"/>
  <c r="GA33" i="71"/>
  <c r="GA40" i="71"/>
  <c r="GA41" i="71"/>
  <c r="GA39" i="71"/>
  <c r="FZ42" i="71"/>
  <c r="FZ38" i="71"/>
  <c r="FZ6" i="71"/>
  <c r="FZ43" i="71"/>
  <c r="FZ5" i="71"/>
  <c r="FZ40" i="71"/>
  <c r="FZ41" i="71"/>
  <c r="FZ39" i="71"/>
  <c r="FY67" i="71"/>
  <c r="FY42" i="71"/>
  <c r="FY38" i="71"/>
  <c r="FY6" i="71"/>
  <c r="FY43" i="71"/>
  <c r="FY7" i="71"/>
  <c r="FY5" i="71"/>
  <c r="FY33" i="71"/>
  <c r="FY40" i="71"/>
  <c r="FY41" i="71"/>
  <c r="FY39" i="71"/>
  <c r="FX42" i="71"/>
  <c r="FX38" i="71"/>
  <c r="FX6" i="71"/>
  <c r="FX43" i="71"/>
  <c r="FX5" i="71"/>
  <c r="FX40" i="71"/>
  <c r="FX41" i="71"/>
  <c r="FX39" i="71"/>
  <c r="FW67" i="71"/>
  <c r="FW42" i="71"/>
  <c r="FW38" i="71"/>
  <c r="FW6" i="71"/>
  <c r="FW43" i="71"/>
  <c r="FW7" i="71"/>
  <c r="FW5" i="71"/>
  <c r="FW33" i="71"/>
  <c r="FW40" i="71"/>
  <c r="FW41" i="71"/>
  <c r="FW39" i="71"/>
  <c r="FV67" i="71"/>
  <c r="FV42" i="71"/>
  <c r="FV38" i="71"/>
  <c r="FV6" i="71"/>
  <c r="FV43" i="71"/>
  <c r="FV7" i="71"/>
  <c r="FV5" i="71"/>
  <c r="FV33" i="71"/>
  <c r="FV40" i="71"/>
  <c r="FV41" i="71"/>
  <c r="FV39" i="71"/>
  <c r="FU67" i="71"/>
  <c r="FU42" i="71"/>
  <c r="FU38" i="71"/>
  <c r="FU6" i="71"/>
  <c r="FU43" i="71"/>
  <c r="FU7" i="71"/>
  <c r="FU5" i="71"/>
  <c r="FU33" i="71"/>
  <c r="FU40" i="71"/>
  <c r="FU41" i="71"/>
  <c r="FU39" i="71"/>
  <c r="FT67" i="71"/>
  <c r="FT42" i="71"/>
  <c r="FT38" i="71"/>
  <c r="FT6" i="71"/>
  <c r="FT43" i="71"/>
  <c r="FT7" i="71"/>
  <c r="FT5" i="71"/>
  <c r="FT33" i="71"/>
  <c r="FT40" i="71"/>
  <c r="FT41" i="71"/>
  <c r="FT39" i="71"/>
  <c r="FS67" i="71"/>
  <c r="FS42" i="71"/>
  <c r="FS38" i="71"/>
  <c r="FS6" i="71"/>
  <c r="FS43" i="71"/>
  <c r="FS7" i="71"/>
  <c r="FS5" i="71"/>
  <c r="FS33" i="71"/>
  <c r="FS40" i="71"/>
  <c r="FS41" i="71"/>
  <c r="FS39" i="71"/>
  <c r="FR67" i="71"/>
  <c r="FR42" i="71"/>
  <c r="FR38" i="71"/>
  <c r="FR6" i="71"/>
  <c r="FR43" i="71"/>
  <c r="FR7" i="71"/>
  <c r="FR5" i="71"/>
  <c r="FR33" i="71"/>
  <c r="FR40" i="71"/>
  <c r="FR41" i="71"/>
  <c r="FR39" i="71"/>
  <c r="FQ42" i="71"/>
  <c r="FQ38" i="71"/>
  <c r="FQ6" i="71"/>
  <c r="FQ43" i="71"/>
  <c r="FQ5" i="71"/>
  <c r="FQ33" i="71"/>
  <c r="FQ40" i="71"/>
  <c r="FQ41" i="71"/>
  <c r="FQ39" i="71"/>
  <c r="FP67" i="71"/>
  <c r="FP42" i="71"/>
  <c r="FP38" i="71"/>
  <c r="FP6" i="71"/>
  <c r="FP43" i="71"/>
  <c r="FP7" i="71"/>
  <c r="FP5" i="71"/>
  <c r="FP40" i="71"/>
  <c r="FP41" i="71"/>
  <c r="FP39" i="71"/>
  <c r="FO67" i="71"/>
  <c r="FO42" i="71"/>
  <c r="FO38" i="71"/>
  <c r="FO6" i="71"/>
  <c r="FO43" i="71"/>
  <c r="FO7" i="71"/>
  <c r="FO5" i="71"/>
  <c r="FO33" i="71"/>
  <c r="FO40" i="71"/>
  <c r="FO41" i="71"/>
  <c r="FO39" i="71"/>
  <c r="FN67" i="71"/>
  <c r="FN42" i="71"/>
  <c r="FN38" i="71"/>
  <c r="FN6" i="71"/>
  <c r="FN43" i="71"/>
  <c r="FN7" i="71"/>
  <c r="FN5" i="71"/>
  <c r="FN33" i="71"/>
  <c r="FN40" i="71"/>
  <c r="FN41" i="71"/>
  <c r="FN39" i="71"/>
  <c r="FM67" i="71"/>
  <c r="FM42" i="71"/>
  <c r="FM38" i="71"/>
  <c r="FM6" i="71"/>
  <c r="FM43" i="71"/>
  <c r="FM7" i="71"/>
  <c r="FM5" i="71"/>
  <c r="FM33" i="71"/>
  <c r="FM40" i="71"/>
  <c r="FM41" i="71"/>
  <c r="FM39" i="71"/>
  <c r="FL67" i="71"/>
  <c r="FL42" i="71"/>
  <c r="FL38" i="71"/>
  <c r="FL6" i="71"/>
  <c r="FL43" i="71"/>
  <c r="FL7" i="71"/>
  <c r="FL5" i="71"/>
  <c r="FL33" i="71"/>
  <c r="FL40" i="71"/>
  <c r="FL41" i="71"/>
  <c r="FL39" i="71"/>
  <c r="FK67" i="71"/>
  <c r="FK42" i="71"/>
  <c r="FK38" i="71"/>
  <c r="FK6" i="71"/>
  <c r="FK43" i="71"/>
  <c r="FK7" i="71"/>
  <c r="FK5" i="71"/>
  <c r="FK40" i="71"/>
  <c r="FK41" i="71"/>
  <c r="FK39" i="71"/>
  <c r="FJ67" i="71"/>
  <c r="FJ42" i="71"/>
  <c r="FJ38" i="71"/>
  <c r="FJ6" i="71"/>
  <c r="FJ43" i="71"/>
  <c r="FJ7" i="71"/>
  <c r="FJ5" i="71"/>
  <c r="FJ33" i="71"/>
  <c r="FJ40" i="71"/>
  <c r="FJ41" i="71"/>
  <c r="FJ39" i="71"/>
  <c r="FI67" i="71"/>
  <c r="FI42" i="71"/>
  <c r="FI38" i="71"/>
  <c r="FI6" i="71"/>
  <c r="FI43" i="71"/>
  <c r="FI7" i="71"/>
  <c r="FI5" i="71"/>
  <c r="FI33" i="71"/>
  <c r="FI40" i="71"/>
  <c r="FI41" i="71"/>
  <c r="FI39" i="71"/>
  <c r="FH67" i="71"/>
  <c r="FH42" i="71"/>
  <c r="FH38" i="71"/>
  <c r="FH6" i="71"/>
  <c r="FH43" i="71"/>
  <c r="FH7" i="71"/>
  <c r="FH5" i="71"/>
  <c r="FH33" i="71"/>
  <c r="FH40" i="71"/>
  <c r="FH41" i="71"/>
  <c r="FH39" i="71"/>
  <c r="FG67" i="71"/>
  <c r="FG42" i="71"/>
  <c r="FG38" i="71"/>
  <c r="FG6" i="71"/>
  <c r="FG43" i="71"/>
  <c r="FG7" i="71"/>
  <c r="FG5" i="71"/>
  <c r="FG33" i="71"/>
  <c r="FG40" i="71"/>
  <c r="FG41" i="71"/>
  <c r="FG39" i="71"/>
  <c r="FF67" i="71"/>
  <c r="FF42" i="71"/>
  <c r="FF38" i="71"/>
  <c r="FF6" i="71"/>
  <c r="FF43" i="71"/>
  <c r="FF7" i="71"/>
  <c r="FF5" i="71"/>
  <c r="FF33" i="71"/>
  <c r="FF40" i="71"/>
  <c r="FF41" i="71"/>
  <c r="FF39" i="71"/>
  <c r="FE67" i="71"/>
  <c r="FE42" i="71"/>
  <c r="FE38" i="71"/>
  <c r="FE6" i="71"/>
  <c r="FE43" i="71"/>
  <c r="FE7" i="71"/>
  <c r="FE5" i="71"/>
  <c r="FE33" i="71"/>
  <c r="FE40" i="71"/>
  <c r="FE41" i="71"/>
  <c r="FE39" i="71"/>
  <c r="FD67" i="71"/>
  <c r="FD42" i="71"/>
  <c r="FD38" i="71"/>
  <c r="FD6" i="71"/>
  <c r="FD43" i="71"/>
  <c r="FD7" i="71"/>
  <c r="FD5" i="71"/>
  <c r="FD33" i="71"/>
  <c r="FD40" i="71"/>
  <c r="FD41" i="71"/>
  <c r="FD39" i="71"/>
  <c r="FC67" i="71"/>
  <c r="FC42" i="71"/>
  <c r="FC38" i="71"/>
  <c r="FC6" i="71"/>
  <c r="FC43" i="71"/>
  <c r="FC7" i="71"/>
  <c r="FC5" i="71"/>
  <c r="FC33" i="71"/>
  <c r="FC40" i="71"/>
  <c r="FC41" i="71"/>
  <c r="FC39" i="71"/>
  <c r="FB67" i="71"/>
  <c r="FB42" i="71"/>
  <c r="FB38" i="71"/>
  <c r="FB6" i="71"/>
  <c r="FB43" i="71"/>
  <c r="FB7" i="71"/>
  <c r="FB5" i="71"/>
  <c r="FB33" i="71"/>
  <c r="FB40" i="71"/>
  <c r="FB41" i="71"/>
  <c r="FB39" i="71"/>
  <c r="FA67" i="71"/>
  <c r="FA42" i="71"/>
  <c r="FA38" i="71"/>
  <c r="FA6" i="71"/>
  <c r="FA43" i="71"/>
  <c r="FA7" i="71"/>
  <c r="FA5" i="71"/>
  <c r="FA33" i="71"/>
  <c r="FA40" i="71"/>
  <c r="FA41" i="71"/>
  <c r="FA39" i="71"/>
  <c r="EZ67" i="71"/>
  <c r="EZ42" i="71"/>
  <c r="EZ38" i="71"/>
  <c r="EZ6" i="71"/>
  <c r="EZ43" i="71"/>
  <c r="EZ7" i="71"/>
  <c r="EZ5" i="71"/>
  <c r="EZ33" i="71"/>
  <c r="EZ40" i="71"/>
  <c r="EZ41" i="71"/>
  <c r="EZ39" i="71"/>
  <c r="EY67" i="71"/>
  <c r="EY42" i="71"/>
  <c r="EY38" i="71"/>
  <c r="EY6" i="71"/>
  <c r="EY43" i="71"/>
  <c r="EY7" i="71"/>
  <c r="EY5" i="71"/>
  <c r="EY33" i="71"/>
  <c r="EY40" i="71"/>
  <c r="EY41" i="71"/>
  <c r="EY39" i="71"/>
  <c r="EX67" i="71"/>
  <c r="EX42" i="71"/>
  <c r="EX38" i="71"/>
  <c r="EX6" i="71"/>
  <c r="EX43" i="71"/>
  <c r="EX7" i="71"/>
  <c r="EX5" i="71"/>
  <c r="EX33" i="71"/>
  <c r="EX40" i="71"/>
  <c r="EX41" i="71"/>
  <c r="EX39" i="71"/>
  <c r="EW67" i="71"/>
  <c r="EW42" i="71"/>
  <c r="EW38" i="71"/>
  <c r="EW6" i="71"/>
  <c r="EW43" i="71"/>
  <c r="EW7" i="71"/>
  <c r="EW5" i="71"/>
  <c r="EW33" i="71"/>
  <c r="EW40" i="71"/>
  <c r="EW41" i="71"/>
  <c r="EW39" i="71"/>
  <c r="EV67" i="71"/>
  <c r="EV42" i="71"/>
  <c r="EV38" i="71"/>
  <c r="EV43" i="71"/>
  <c r="EV7" i="71"/>
  <c r="EV33" i="71"/>
  <c r="EV40" i="71"/>
  <c r="EV41" i="71"/>
  <c r="EV39" i="71"/>
  <c r="EU67" i="71"/>
  <c r="EU42" i="71"/>
  <c r="EU38" i="71"/>
  <c r="EU6" i="71"/>
  <c r="EU43" i="71"/>
  <c r="EU7" i="71"/>
  <c r="EU5" i="71"/>
  <c r="EU33" i="71"/>
  <c r="EU40" i="71"/>
  <c r="EU41" i="71"/>
  <c r="EU39" i="71"/>
  <c r="ET67" i="71"/>
  <c r="ET42" i="71"/>
  <c r="ET38" i="71"/>
  <c r="ET43" i="71"/>
  <c r="ET7" i="71"/>
  <c r="ET33" i="71"/>
  <c r="ET40" i="71"/>
  <c r="ET41" i="71"/>
  <c r="ET39" i="71"/>
  <c r="ES67" i="71"/>
  <c r="ES42" i="71"/>
  <c r="ES38" i="71"/>
  <c r="ES6" i="71"/>
  <c r="ES43" i="71"/>
  <c r="ES7" i="71"/>
  <c r="ES33" i="71"/>
  <c r="ES40" i="71"/>
  <c r="ES41" i="71"/>
  <c r="ES39" i="71"/>
  <c r="ER67" i="71"/>
  <c r="ER42" i="71"/>
  <c r="ER38" i="71"/>
  <c r="ER6" i="71"/>
  <c r="ER43" i="71"/>
  <c r="ER7" i="71"/>
  <c r="ER5" i="71"/>
  <c r="ER33" i="71"/>
  <c r="ER40" i="71"/>
  <c r="ER41" i="71"/>
  <c r="ER39" i="71"/>
  <c r="EQ67" i="71"/>
  <c r="EQ42" i="71"/>
  <c r="EQ38" i="71"/>
  <c r="EQ6" i="71"/>
  <c r="EQ43" i="71"/>
  <c r="EQ7" i="71"/>
  <c r="EQ5" i="71"/>
  <c r="EQ33" i="71"/>
  <c r="EQ40" i="71"/>
  <c r="EQ41" i="71"/>
  <c r="EQ39" i="71"/>
  <c r="EP67" i="71"/>
  <c r="EP42" i="71"/>
  <c r="EP38" i="71"/>
  <c r="EP6" i="71"/>
  <c r="EP43" i="71"/>
  <c r="EP7" i="71"/>
  <c r="EP5" i="71"/>
  <c r="EP33" i="71"/>
  <c r="EP40" i="71"/>
  <c r="EP41" i="71"/>
  <c r="EP39" i="71"/>
  <c r="EO67" i="71"/>
  <c r="EO42" i="71"/>
  <c r="EO38" i="71"/>
  <c r="EO6" i="71"/>
  <c r="EO43" i="71"/>
  <c r="EO7" i="71"/>
  <c r="EO5" i="71"/>
  <c r="EO33" i="71"/>
  <c r="EO40" i="71"/>
  <c r="EO41" i="71"/>
  <c r="EO39" i="71"/>
  <c r="EN67" i="71"/>
  <c r="EN42" i="71"/>
  <c r="EN38" i="71"/>
  <c r="EN6" i="71"/>
  <c r="EN43" i="71"/>
  <c r="EN7" i="71"/>
  <c r="EN5" i="71"/>
  <c r="EN33" i="71"/>
  <c r="EN40" i="71"/>
  <c r="EN41" i="71"/>
  <c r="EN39" i="71"/>
  <c r="EM67" i="71"/>
  <c r="EM42" i="71"/>
  <c r="EM38" i="71"/>
  <c r="EM6" i="71"/>
  <c r="EM43" i="71"/>
  <c r="EM7" i="71"/>
  <c r="EM5" i="71"/>
  <c r="EM33" i="71"/>
  <c r="EM40" i="71"/>
  <c r="EM41" i="71"/>
  <c r="EM39" i="71"/>
  <c r="EL67" i="71"/>
  <c r="EL42" i="71"/>
  <c r="EL38" i="71"/>
  <c r="EL43" i="71"/>
  <c r="EL7" i="71"/>
  <c r="EL33" i="71"/>
  <c r="EL40" i="71"/>
  <c r="EL41" i="71"/>
  <c r="EL39" i="71"/>
  <c r="EK67" i="71"/>
  <c r="EK42" i="71"/>
  <c r="EK38" i="71"/>
  <c r="EK6" i="71"/>
  <c r="EK43" i="71"/>
  <c r="EK7" i="71"/>
  <c r="EK5" i="71"/>
  <c r="EK33" i="71"/>
  <c r="EK40" i="71"/>
  <c r="EK41" i="71"/>
  <c r="EK39" i="71"/>
  <c r="EJ67" i="71"/>
  <c r="EJ42" i="71"/>
  <c r="EJ38" i="71"/>
  <c r="EJ6" i="71"/>
  <c r="EJ43" i="71"/>
  <c r="EJ7" i="71"/>
  <c r="EJ5" i="71"/>
  <c r="EJ33" i="71"/>
  <c r="EJ40" i="71"/>
  <c r="EJ41" i="71"/>
  <c r="EJ39" i="71"/>
  <c r="EI67" i="71"/>
  <c r="EI42" i="71"/>
  <c r="EI38" i="71"/>
  <c r="EI6" i="71"/>
  <c r="EI43" i="71"/>
  <c r="EI7" i="71"/>
  <c r="EI5" i="71"/>
  <c r="EI33" i="71"/>
  <c r="EI40" i="71"/>
  <c r="EI41" i="71"/>
  <c r="EI39" i="71"/>
  <c r="EH67" i="71"/>
  <c r="EH42" i="71"/>
  <c r="EH38" i="71"/>
  <c r="EH6" i="71"/>
  <c r="EH43" i="71"/>
  <c r="EH7" i="71"/>
  <c r="EH5" i="71"/>
  <c r="EH33" i="71"/>
  <c r="EH40" i="71"/>
  <c r="EH41" i="71"/>
  <c r="EH39" i="71"/>
  <c r="EG67" i="71"/>
  <c r="EG42" i="71"/>
  <c r="EG38" i="71"/>
  <c r="EG6" i="71"/>
  <c r="EG43" i="71"/>
  <c r="EG7" i="71"/>
  <c r="EG5" i="71"/>
  <c r="EG33" i="71"/>
  <c r="EG40" i="71"/>
  <c r="EG41" i="71"/>
  <c r="EG39" i="71"/>
  <c r="EF67" i="71"/>
  <c r="EF42" i="71"/>
  <c r="EF38" i="71"/>
  <c r="EF6" i="71"/>
  <c r="EF43" i="71"/>
  <c r="EF7" i="71"/>
  <c r="EF5" i="71"/>
  <c r="EF33" i="71"/>
  <c r="EF40" i="71"/>
  <c r="EF41" i="71"/>
  <c r="EF39" i="71"/>
  <c r="EE67" i="71"/>
  <c r="EE42" i="71"/>
  <c r="EE38" i="71"/>
  <c r="EE6" i="71"/>
  <c r="EE43" i="71"/>
  <c r="EE7" i="71"/>
  <c r="EE5" i="71"/>
  <c r="EE33" i="71"/>
  <c r="EE40" i="71"/>
  <c r="EE41" i="71"/>
  <c r="EE39" i="71"/>
  <c r="ED67" i="71"/>
  <c r="ED42" i="71"/>
  <c r="ED38" i="71"/>
  <c r="ED6" i="71"/>
  <c r="ED43" i="71"/>
  <c r="ED7" i="71"/>
  <c r="ED5" i="71"/>
  <c r="ED33" i="71"/>
  <c r="ED40" i="71"/>
  <c r="ED41" i="71"/>
  <c r="ED39" i="71"/>
  <c r="EC67" i="71"/>
  <c r="EC42" i="71"/>
  <c r="EC38" i="71"/>
  <c r="EC6" i="71"/>
  <c r="EC43" i="71"/>
  <c r="EC7" i="71"/>
  <c r="EC5" i="71"/>
  <c r="EC33" i="71"/>
  <c r="EC40" i="71"/>
  <c r="EC41" i="71"/>
  <c r="EC39" i="71"/>
  <c r="EB67" i="71"/>
  <c r="EB42" i="71"/>
  <c r="EB38" i="71"/>
  <c r="EB6" i="71"/>
  <c r="EB43" i="71"/>
  <c r="EB7" i="71"/>
  <c r="EB5" i="71"/>
  <c r="EB33" i="71"/>
  <c r="EB40" i="71"/>
  <c r="EB41" i="71"/>
  <c r="EB39" i="71"/>
  <c r="EA67" i="71"/>
  <c r="EA42" i="71"/>
  <c r="EA38" i="71"/>
  <c r="EA6" i="71"/>
  <c r="EA43" i="71"/>
  <c r="EA7" i="71"/>
  <c r="EA5" i="71"/>
  <c r="EA33" i="71"/>
  <c r="EA40" i="71"/>
  <c r="EA41" i="71"/>
  <c r="EA39" i="71"/>
  <c r="DZ67" i="71"/>
  <c r="DZ42" i="71"/>
  <c r="DZ38" i="71"/>
  <c r="DZ6" i="71"/>
  <c r="DZ43" i="71"/>
  <c r="DZ7" i="71"/>
  <c r="DZ5" i="71"/>
  <c r="DZ33" i="71"/>
  <c r="DZ40" i="71"/>
  <c r="DZ41" i="71"/>
  <c r="DZ39" i="71"/>
  <c r="DY67" i="71"/>
  <c r="DY42" i="71"/>
  <c r="DY38" i="71"/>
  <c r="DY6" i="71"/>
  <c r="DY43" i="71"/>
  <c r="DY7" i="71"/>
  <c r="DY5" i="71"/>
  <c r="DY33" i="71"/>
  <c r="DY40" i="71"/>
  <c r="DY41" i="71"/>
  <c r="DY39" i="71"/>
  <c r="DX67" i="71"/>
  <c r="DX42" i="71"/>
  <c r="DX38" i="71"/>
  <c r="DX6" i="71"/>
  <c r="DX43" i="71"/>
  <c r="DX7" i="71"/>
  <c r="DX5" i="71"/>
  <c r="DX33" i="71"/>
  <c r="DX40" i="71"/>
  <c r="DX41" i="71"/>
  <c r="DX39" i="71"/>
  <c r="DW67" i="71"/>
  <c r="DW42" i="71"/>
  <c r="DW38" i="71"/>
  <c r="DW6" i="71"/>
  <c r="DW43" i="71"/>
  <c r="DW7" i="71"/>
  <c r="DW5" i="71"/>
  <c r="DW33" i="71"/>
  <c r="DW40" i="71"/>
  <c r="DW41" i="71"/>
  <c r="DW39" i="71"/>
  <c r="DV67" i="71"/>
  <c r="DV42" i="71"/>
  <c r="DV38" i="71"/>
  <c r="DV6" i="71"/>
  <c r="DV43" i="71"/>
  <c r="DV7" i="71"/>
  <c r="DV5" i="71"/>
  <c r="DV33" i="71"/>
  <c r="DV40" i="71"/>
  <c r="DV41" i="71"/>
  <c r="DV39" i="71"/>
  <c r="DU67" i="71"/>
  <c r="DU42" i="71"/>
  <c r="DU38" i="71"/>
  <c r="DU6" i="71"/>
  <c r="DU43" i="71"/>
  <c r="DU7" i="71"/>
  <c r="DU5" i="71"/>
  <c r="DU33" i="71"/>
  <c r="DU40" i="71"/>
  <c r="DU41" i="71"/>
  <c r="DU39" i="71"/>
  <c r="DT67" i="71"/>
  <c r="DT42" i="71"/>
  <c r="DT38" i="71"/>
  <c r="DT6" i="71"/>
  <c r="DT43" i="71"/>
  <c r="DT7" i="71"/>
  <c r="DT5" i="71"/>
  <c r="DT33" i="71"/>
  <c r="DT40" i="71"/>
  <c r="DT41" i="71"/>
  <c r="DT39" i="71"/>
  <c r="DS67" i="71"/>
  <c r="DS42" i="71"/>
  <c r="DS38" i="71"/>
  <c r="DS6" i="71"/>
  <c r="DS43" i="71"/>
  <c r="DS7" i="71"/>
  <c r="DS5" i="71"/>
  <c r="DS33" i="71"/>
  <c r="DS40" i="71"/>
  <c r="DS41" i="71"/>
  <c r="DS39" i="71"/>
  <c r="DR67" i="71"/>
  <c r="DR42" i="71"/>
  <c r="DR38" i="71"/>
  <c r="DR6" i="71"/>
  <c r="DR43" i="71"/>
  <c r="DR7" i="71"/>
  <c r="DR5" i="71"/>
  <c r="DR33" i="71"/>
  <c r="DR40" i="71"/>
  <c r="DR41" i="71"/>
  <c r="DR39" i="71"/>
  <c r="DQ67" i="71"/>
  <c r="DQ42" i="71"/>
  <c r="DQ38" i="71"/>
  <c r="DQ6" i="71"/>
  <c r="DQ43" i="71"/>
  <c r="DQ7" i="71"/>
  <c r="DQ5" i="71"/>
  <c r="DQ33" i="71"/>
  <c r="DQ40" i="71"/>
  <c r="DQ41" i="71"/>
  <c r="DQ39" i="71"/>
  <c r="DP67" i="71"/>
  <c r="DP42" i="71"/>
  <c r="DP38" i="71"/>
  <c r="DP6" i="71"/>
  <c r="DP43" i="71"/>
  <c r="DP7" i="71"/>
  <c r="DP5" i="71"/>
  <c r="DP33" i="71"/>
  <c r="DP40" i="71"/>
  <c r="DP41" i="71"/>
  <c r="DP39" i="71"/>
  <c r="DO67" i="71"/>
  <c r="DO42" i="71"/>
  <c r="DO38" i="71"/>
  <c r="DO6" i="71"/>
  <c r="DO43" i="71"/>
  <c r="DO7" i="71"/>
  <c r="DO5" i="71"/>
  <c r="DO33" i="71"/>
  <c r="DO40" i="71"/>
  <c r="DO41" i="71"/>
  <c r="DO39" i="71"/>
  <c r="DN67" i="71"/>
  <c r="DN42" i="71"/>
  <c r="DN38" i="71"/>
  <c r="DN6" i="71"/>
  <c r="DN43" i="71"/>
  <c r="DN7" i="71"/>
  <c r="DN5" i="71"/>
  <c r="DN33" i="71"/>
  <c r="DN40" i="71"/>
  <c r="DN41" i="71"/>
  <c r="DN39" i="71"/>
  <c r="DM67" i="71"/>
  <c r="DM42" i="71"/>
  <c r="DM38" i="71"/>
  <c r="DM6" i="71"/>
  <c r="DM43" i="71"/>
  <c r="DM7" i="71"/>
  <c r="DM5" i="71"/>
  <c r="DM33" i="71"/>
  <c r="DM40" i="71"/>
  <c r="DM41" i="71"/>
  <c r="DM39" i="71"/>
  <c r="DL67" i="71"/>
  <c r="DL42" i="71"/>
  <c r="DL38" i="71"/>
  <c r="DL6" i="71"/>
  <c r="DL43" i="71"/>
  <c r="DL7" i="71"/>
  <c r="DL5" i="71"/>
  <c r="DL33" i="71"/>
  <c r="DL40" i="71"/>
  <c r="DL41" i="71"/>
  <c r="DL39" i="71"/>
  <c r="DK67" i="71"/>
  <c r="DK42" i="71"/>
  <c r="DK38" i="71"/>
  <c r="DK6" i="71"/>
  <c r="DK43" i="71"/>
  <c r="DK7" i="71"/>
  <c r="DK5" i="71"/>
  <c r="DK33" i="71"/>
  <c r="DK40" i="71"/>
  <c r="DK41" i="71"/>
  <c r="DK39" i="71"/>
  <c r="DJ67" i="71"/>
  <c r="DJ42" i="71"/>
  <c r="DJ38" i="71"/>
  <c r="DJ6" i="71"/>
  <c r="DJ43" i="71"/>
  <c r="DJ7" i="71"/>
  <c r="DJ5" i="71"/>
  <c r="DJ33" i="71"/>
  <c r="DJ40" i="71"/>
  <c r="DJ41" i="71"/>
  <c r="DJ39" i="71"/>
  <c r="DI67" i="71"/>
  <c r="DI42" i="71"/>
  <c r="DI38" i="71"/>
  <c r="DI6" i="71"/>
  <c r="DI43" i="71"/>
  <c r="DI7" i="71"/>
  <c r="DI5" i="71"/>
  <c r="DI33" i="71"/>
  <c r="DI40" i="71"/>
  <c r="DI41" i="71"/>
  <c r="DI39" i="71"/>
  <c r="DH67" i="71"/>
  <c r="DH42" i="71"/>
  <c r="DH38" i="71"/>
  <c r="DH6" i="71"/>
  <c r="DH43" i="71"/>
  <c r="DH7" i="71"/>
  <c r="DH5" i="71"/>
  <c r="DH33" i="71"/>
  <c r="DH40" i="71"/>
  <c r="DH41" i="71"/>
  <c r="DH39" i="71"/>
  <c r="DG67" i="71"/>
  <c r="DG42" i="71"/>
  <c r="DG38" i="71"/>
  <c r="DG6" i="71"/>
  <c r="DG43" i="71"/>
  <c r="DG7" i="71"/>
  <c r="DG5" i="71"/>
  <c r="DG33" i="71"/>
  <c r="DG40" i="71"/>
  <c r="DG41" i="71"/>
  <c r="DG39" i="71"/>
  <c r="DF67" i="71"/>
  <c r="DF42" i="71"/>
  <c r="DF38" i="71"/>
  <c r="DF6" i="71"/>
  <c r="DF43" i="71"/>
  <c r="DF7" i="71"/>
  <c r="DF5" i="71"/>
  <c r="DF33" i="71"/>
  <c r="DF40" i="71"/>
  <c r="DF41" i="71"/>
  <c r="DF39" i="71"/>
  <c r="DE67" i="71"/>
  <c r="DE42" i="71"/>
  <c r="DE38" i="71"/>
  <c r="DE6" i="71"/>
  <c r="DE43" i="71"/>
  <c r="DE7" i="71"/>
  <c r="DE5" i="71"/>
  <c r="DE33" i="71"/>
  <c r="DE40" i="71"/>
  <c r="DE41" i="71"/>
  <c r="DE39" i="71"/>
  <c r="DD67" i="71"/>
  <c r="DD42" i="71"/>
  <c r="DD38" i="71"/>
  <c r="DD6" i="71"/>
  <c r="DD43" i="71"/>
  <c r="DD7" i="71"/>
  <c r="DD5" i="71"/>
  <c r="DD33" i="71"/>
  <c r="DD40" i="71"/>
  <c r="DD41" i="71"/>
  <c r="DD39" i="71"/>
  <c r="DC67" i="71"/>
  <c r="DC42" i="71"/>
  <c r="DC38" i="71"/>
  <c r="DC6" i="71"/>
  <c r="DC43" i="71"/>
  <c r="DC7" i="71"/>
  <c r="DC5" i="71"/>
  <c r="DC33" i="71"/>
  <c r="DC40" i="71"/>
  <c r="DC41" i="71"/>
  <c r="DC39" i="71"/>
  <c r="DB67" i="71"/>
  <c r="DB42" i="71"/>
  <c r="DB38" i="71"/>
  <c r="DB6" i="71"/>
  <c r="DB43" i="71"/>
  <c r="DB7" i="71"/>
  <c r="DB5" i="71"/>
  <c r="DB33" i="71"/>
  <c r="DB40" i="71"/>
  <c r="DB41" i="71"/>
  <c r="DB39" i="71"/>
  <c r="DA67" i="71"/>
  <c r="DA42" i="71"/>
  <c r="DA38" i="71"/>
  <c r="DA6" i="71"/>
  <c r="DA43" i="71"/>
  <c r="DA7" i="71"/>
  <c r="DA5" i="71"/>
  <c r="DA33" i="71"/>
  <c r="DA40" i="71"/>
  <c r="DA41" i="71"/>
  <c r="DA39" i="71"/>
  <c r="CZ67" i="71"/>
  <c r="CZ42" i="71"/>
  <c r="CZ38" i="71"/>
  <c r="CZ6" i="71"/>
  <c r="CZ43" i="71"/>
  <c r="CZ7" i="71"/>
  <c r="CZ5" i="71"/>
  <c r="CZ33" i="71"/>
  <c r="CZ40" i="71"/>
  <c r="CZ41" i="71"/>
  <c r="CZ39" i="71"/>
  <c r="CY67" i="71"/>
  <c r="CY42" i="71"/>
  <c r="CY38" i="71"/>
  <c r="CY6" i="71"/>
  <c r="CY43" i="71"/>
  <c r="CY7" i="71"/>
  <c r="CY5" i="71"/>
  <c r="CY33" i="71"/>
  <c r="CY40" i="71"/>
  <c r="CY41" i="71"/>
  <c r="CY39" i="71"/>
  <c r="CX67" i="71"/>
  <c r="CX42" i="71"/>
  <c r="CX38" i="71"/>
  <c r="CX6" i="71"/>
  <c r="CX43" i="71"/>
  <c r="CX7" i="71"/>
  <c r="CX5" i="71"/>
  <c r="CX33" i="71"/>
  <c r="CX40" i="71"/>
  <c r="CX41" i="71"/>
  <c r="CX39" i="71"/>
  <c r="CW67" i="71"/>
  <c r="CW42" i="71"/>
  <c r="CW38" i="71"/>
  <c r="CW6" i="71"/>
  <c r="CW43" i="71"/>
  <c r="CW7" i="71"/>
  <c r="CW5" i="71"/>
  <c r="CW33" i="71"/>
  <c r="CW40" i="71"/>
  <c r="CW41" i="71"/>
  <c r="CW39" i="71"/>
  <c r="CV67" i="71"/>
  <c r="CV42" i="71"/>
  <c r="CV38" i="71"/>
  <c r="CV6" i="71"/>
  <c r="CV43" i="71"/>
  <c r="CV7" i="71"/>
  <c r="CV5" i="71"/>
  <c r="CV33" i="71"/>
  <c r="CV40" i="71"/>
  <c r="CV41" i="71"/>
  <c r="CV39" i="71"/>
  <c r="CU67" i="71"/>
  <c r="CU42" i="71"/>
  <c r="CU38" i="71"/>
  <c r="CU6" i="71"/>
  <c r="CU43" i="71"/>
  <c r="CU7" i="71"/>
  <c r="CU5" i="71"/>
  <c r="CU33" i="71"/>
  <c r="CU40" i="71"/>
  <c r="CU41" i="71"/>
  <c r="CU39" i="71"/>
  <c r="CT67" i="71"/>
  <c r="CT42" i="71"/>
  <c r="CT38" i="71"/>
  <c r="CT6" i="71"/>
  <c r="CT43" i="71"/>
  <c r="CT7" i="71"/>
  <c r="CT5" i="71"/>
  <c r="CT33" i="71"/>
  <c r="CT40" i="71"/>
  <c r="CT41" i="71"/>
  <c r="CT39" i="71"/>
  <c r="CS67" i="71"/>
  <c r="CS42" i="71"/>
  <c r="CS38" i="71"/>
  <c r="CS6" i="71"/>
  <c r="CS43" i="71"/>
  <c r="CS7" i="71"/>
  <c r="CS5" i="71"/>
  <c r="CS33" i="71"/>
  <c r="CS40" i="71"/>
  <c r="CS41" i="71"/>
  <c r="CS39" i="71"/>
  <c r="CR67" i="71"/>
  <c r="CR42" i="71"/>
  <c r="CR38" i="71"/>
  <c r="CR6" i="71"/>
  <c r="CR43" i="71"/>
  <c r="CR7" i="71"/>
  <c r="CR5" i="71"/>
  <c r="CR33" i="71"/>
  <c r="CR40" i="71"/>
  <c r="CR41" i="71"/>
  <c r="CR39" i="71"/>
  <c r="CQ67" i="71"/>
  <c r="CQ42" i="71"/>
  <c r="CQ38" i="71"/>
  <c r="CQ6" i="71"/>
  <c r="CQ43" i="71"/>
  <c r="CQ7" i="71"/>
  <c r="CQ5" i="71"/>
  <c r="CQ33" i="71"/>
  <c r="CQ40" i="71"/>
  <c r="CQ41" i="71"/>
  <c r="CQ39" i="71"/>
  <c r="CP67" i="71"/>
  <c r="CP42" i="71"/>
  <c r="CP38" i="71"/>
  <c r="CP6" i="71"/>
  <c r="CP43" i="71"/>
  <c r="CP7" i="71"/>
  <c r="CP5" i="71"/>
  <c r="CP33" i="71"/>
  <c r="CP40" i="71"/>
  <c r="CP41" i="71"/>
  <c r="CP39" i="71"/>
  <c r="CO67" i="71"/>
  <c r="CO42" i="71"/>
  <c r="CO38" i="71"/>
  <c r="CO6" i="71"/>
  <c r="CO43" i="71"/>
  <c r="CO7" i="71"/>
  <c r="CO5" i="71"/>
  <c r="CO33" i="71"/>
  <c r="CO40" i="71"/>
  <c r="CO41" i="71"/>
  <c r="CO39" i="71"/>
  <c r="CN67" i="71"/>
  <c r="CN42" i="71"/>
  <c r="CN38" i="71"/>
  <c r="CN6" i="71"/>
  <c r="CN43" i="71"/>
  <c r="CN7" i="71"/>
  <c r="CN5" i="71"/>
  <c r="CN33" i="71"/>
  <c r="CN40" i="71"/>
  <c r="CN41" i="71"/>
  <c r="CN39" i="71"/>
  <c r="CM67" i="71"/>
  <c r="CM42" i="71"/>
  <c r="CM38" i="71"/>
  <c r="CM6" i="71"/>
  <c r="CM43" i="71"/>
  <c r="CM7" i="71"/>
  <c r="CM5" i="71"/>
  <c r="CM33" i="71"/>
  <c r="CM40" i="71"/>
  <c r="CM41" i="71"/>
  <c r="CM39" i="71"/>
  <c r="CL67" i="71"/>
  <c r="CL42" i="71"/>
  <c r="CL38" i="71"/>
  <c r="CL6" i="71"/>
  <c r="CL43" i="71"/>
  <c r="CL7" i="71"/>
  <c r="CL5" i="71"/>
  <c r="CL33" i="71"/>
  <c r="CL40" i="71"/>
  <c r="CL41" i="71"/>
  <c r="CL39" i="71"/>
  <c r="CK67" i="71"/>
  <c r="CK42" i="71"/>
  <c r="CK38" i="71"/>
  <c r="CK6" i="71"/>
  <c r="CK43" i="71"/>
  <c r="CK7" i="71"/>
  <c r="CK5" i="71"/>
  <c r="CK33" i="71"/>
  <c r="CK40" i="71"/>
  <c r="CK41" i="71"/>
  <c r="CK39" i="71"/>
  <c r="CJ67" i="71"/>
  <c r="CJ42" i="71"/>
  <c r="CJ38" i="71"/>
  <c r="CJ6" i="71"/>
  <c r="CJ43" i="71"/>
  <c r="CJ7" i="71"/>
  <c r="CJ5" i="71"/>
  <c r="CJ33" i="71"/>
  <c r="CJ40" i="71"/>
  <c r="CJ41" i="71"/>
  <c r="CJ39" i="71"/>
  <c r="CI67" i="71"/>
  <c r="CI42" i="71"/>
  <c r="CI38" i="71"/>
  <c r="CI6" i="71"/>
  <c r="CI43" i="71"/>
  <c r="CI7" i="71"/>
  <c r="CI5" i="71"/>
  <c r="CI33" i="71"/>
  <c r="CI40" i="71"/>
  <c r="CI41" i="71"/>
  <c r="CI39" i="71"/>
  <c r="CH67" i="71"/>
  <c r="CH42" i="71"/>
  <c r="CH38" i="71"/>
  <c r="CH6" i="71"/>
  <c r="CH43" i="71"/>
  <c r="CH7" i="71"/>
  <c r="CH5" i="71"/>
  <c r="CH33" i="71"/>
  <c r="CH40" i="71"/>
  <c r="CH41" i="71"/>
  <c r="CH39" i="71"/>
  <c r="CG67" i="71"/>
  <c r="CG42" i="71"/>
  <c r="CG38" i="71"/>
  <c r="CG6" i="71"/>
  <c r="CG43" i="71"/>
  <c r="CG7" i="71"/>
  <c r="CG5" i="71"/>
  <c r="CG33" i="71"/>
  <c r="CG40" i="71"/>
  <c r="CG41" i="71"/>
  <c r="CG39" i="71"/>
  <c r="CF67" i="71"/>
  <c r="CF42" i="71"/>
  <c r="CF38" i="71"/>
  <c r="CF6" i="71"/>
  <c r="CF43" i="71"/>
  <c r="CF7" i="71"/>
  <c r="CF5" i="71"/>
  <c r="CF33" i="71"/>
  <c r="CF40" i="71"/>
  <c r="CF41" i="71"/>
  <c r="CF39" i="71"/>
  <c r="CE67" i="71"/>
  <c r="CE42" i="71"/>
  <c r="CE38" i="71"/>
  <c r="CE6" i="71"/>
  <c r="CE43" i="71"/>
  <c r="CE7" i="71"/>
  <c r="CE5" i="71"/>
  <c r="CE33" i="71"/>
  <c r="CE40" i="71"/>
  <c r="CE41" i="71"/>
  <c r="CE39" i="71"/>
  <c r="CD67" i="71"/>
  <c r="CD42" i="71"/>
  <c r="CD38" i="71"/>
  <c r="CD6" i="71"/>
  <c r="CD43" i="71"/>
  <c r="CD7" i="71"/>
  <c r="CD5" i="71"/>
  <c r="CD33" i="71"/>
  <c r="CD40" i="71"/>
  <c r="CD41" i="71"/>
  <c r="CD39" i="71"/>
  <c r="CC67" i="71"/>
  <c r="CC42" i="71"/>
  <c r="CC38" i="71"/>
  <c r="CC6" i="71"/>
  <c r="CC43" i="71"/>
  <c r="CC7" i="71"/>
  <c r="CC5" i="71"/>
  <c r="CC33" i="71"/>
  <c r="CC40" i="71"/>
  <c r="CC41" i="71"/>
  <c r="CC39" i="71"/>
  <c r="CB67" i="71"/>
  <c r="CB42" i="71"/>
  <c r="CB38" i="71"/>
  <c r="CB6" i="71"/>
  <c r="CB43" i="71"/>
  <c r="CB7" i="71"/>
  <c r="CB5" i="71"/>
  <c r="CB33" i="71"/>
  <c r="CB40" i="71"/>
  <c r="CB41" i="71"/>
  <c r="CB39" i="71"/>
  <c r="CA67" i="71"/>
  <c r="CA42" i="71"/>
  <c r="CA38" i="71"/>
  <c r="CA6" i="71"/>
  <c r="CA43" i="71"/>
  <c r="CA7" i="71"/>
  <c r="CA5" i="71"/>
  <c r="CA33" i="71"/>
  <c r="CA40" i="71"/>
  <c r="CA41" i="71"/>
  <c r="CA39" i="71"/>
  <c r="BZ67" i="71"/>
  <c r="BZ42" i="71"/>
  <c r="BZ38" i="71"/>
  <c r="BZ6" i="71"/>
  <c r="BZ43" i="71"/>
  <c r="BZ7" i="71"/>
  <c r="BZ5" i="71"/>
  <c r="BZ33" i="71"/>
  <c r="BZ40" i="71"/>
  <c r="BZ41" i="71"/>
  <c r="BZ39" i="71"/>
  <c r="BY67" i="71"/>
  <c r="BY42" i="71"/>
  <c r="BY38" i="71"/>
  <c r="BY6" i="71"/>
  <c r="BY43" i="71"/>
  <c r="BY7" i="71"/>
  <c r="BY5" i="71"/>
  <c r="BY33" i="71"/>
  <c r="BY40" i="71"/>
  <c r="BY41" i="71"/>
  <c r="BY39" i="71"/>
  <c r="BX67" i="71"/>
  <c r="BX42" i="71"/>
  <c r="BX38" i="71"/>
  <c r="BX6" i="71"/>
  <c r="BX43" i="71"/>
  <c r="BX7" i="71"/>
  <c r="BX5" i="71"/>
  <c r="BX33" i="71"/>
  <c r="BX40" i="71"/>
  <c r="BX41" i="71"/>
  <c r="BX39" i="71"/>
  <c r="BW67" i="71"/>
  <c r="BW42" i="71"/>
  <c r="BW38" i="71"/>
  <c r="BW6" i="71"/>
  <c r="BW43" i="71"/>
  <c r="BW7" i="71"/>
  <c r="BW5" i="71"/>
  <c r="BW33" i="71"/>
  <c r="BW40" i="71"/>
  <c r="BW41" i="71"/>
  <c r="BW39" i="71"/>
  <c r="BV67" i="71"/>
  <c r="BV42" i="71"/>
  <c r="BV38" i="71"/>
  <c r="BV6" i="71"/>
  <c r="BV43" i="71"/>
  <c r="BV7" i="71"/>
  <c r="BV5" i="71"/>
  <c r="BV33" i="71"/>
  <c r="BV40" i="71"/>
  <c r="BV41" i="71"/>
  <c r="BV39" i="71"/>
  <c r="BU67" i="71"/>
  <c r="BU42" i="71"/>
  <c r="BU38" i="71"/>
  <c r="BU6" i="71"/>
  <c r="BU43" i="71"/>
  <c r="BU7" i="71"/>
  <c r="BU5" i="71"/>
  <c r="BU33" i="71"/>
  <c r="BU40" i="71"/>
  <c r="BU41" i="71"/>
  <c r="BU39" i="71"/>
  <c r="BT67" i="71"/>
  <c r="BT42" i="71"/>
  <c r="BT38" i="71"/>
  <c r="BT6" i="71"/>
  <c r="BT43" i="71"/>
  <c r="BT7" i="71"/>
  <c r="BT5" i="71"/>
  <c r="BT33" i="71"/>
  <c r="BT40" i="71"/>
  <c r="BT41" i="71"/>
  <c r="BT39" i="71"/>
  <c r="BS67" i="71"/>
  <c r="BS42" i="71"/>
  <c r="BS38" i="71"/>
  <c r="BS6" i="71"/>
  <c r="BS43" i="71"/>
  <c r="BS7" i="71"/>
  <c r="BS5" i="71"/>
  <c r="BS33" i="71"/>
  <c r="BS40" i="71"/>
  <c r="BS41" i="71"/>
  <c r="BS39" i="71"/>
  <c r="BR67" i="71"/>
  <c r="BR42" i="71"/>
  <c r="BR38" i="71"/>
  <c r="BR6" i="71"/>
  <c r="BR43" i="71"/>
  <c r="BR7" i="71"/>
  <c r="BR5" i="71"/>
  <c r="BR33" i="71"/>
  <c r="BR40" i="71"/>
  <c r="BR41" i="71"/>
  <c r="BR39" i="71"/>
  <c r="BQ67" i="71"/>
  <c r="BQ42" i="71"/>
  <c r="BQ38" i="71"/>
  <c r="BQ6" i="71"/>
  <c r="BQ43" i="71"/>
  <c r="BQ7" i="71"/>
  <c r="BQ5" i="71"/>
  <c r="BQ33" i="71"/>
  <c r="BQ40" i="71"/>
  <c r="BQ41" i="71"/>
  <c r="BQ39" i="71"/>
  <c r="BP67" i="71"/>
  <c r="BP42" i="71"/>
  <c r="BP38" i="71"/>
  <c r="BP6" i="71"/>
  <c r="BP43" i="71"/>
  <c r="BP7" i="71"/>
  <c r="BP5" i="71"/>
  <c r="BP33" i="71"/>
  <c r="BP40" i="71"/>
  <c r="BP41" i="71"/>
  <c r="BP39" i="71"/>
  <c r="BO67" i="71"/>
  <c r="BO42" i="71"/>
  <c r="BO38" i="71"/>
  <c r="BO6" i="71"/>
  <c r="BO43" i="71"/>
  <c r="BO7" i="71"/>
  <c r="BO5" i="71"/>
  <c r="BO33" i="71"/>
  <c r="BO40" i="71"/>
  <c r="BO41" i="71"/>
  <c r="BO39" i="71"/>
  <c r="BN67" i="71"/>
  <c r="BN42" i="71"/>
  <c r="BN38" i="71"/>
  <c r="BN6" i="71"/>
  <c r="BN43" i="71"/>
  <c r="BN7" i="71"/>
  <c r="BN5" i="71"/>
  <c r="BN33" i="71"/>
  <c r="BN40" i="71"/>
  <c r="BN41" i="71"/>
  <c r="BN39" i="71"/>
  <c r="BM67" i="71"/>
  <c r="BM42" i="71"/>
  <c r="BM38" i="71"/>
  <c r="BM6" i="71"/>
  <c r="BM43" i="71"/>
  <c r="BM7" i="71"/>
  <c r="BM5" i="71"/>
  <c r="BM33" i="71"/>
  <c r="BM40" i="71"/>
  <c r="BM41" i="71"/>
  <c r="BM39" i="71"/>
  <c r="BL67" i="71"/>
  <c r="BL42" i="71"/>
  <c r="BL38" i="71"/>
  <c r="BL6" i="71"/>
  <c r="BL43" i="71"/>
  <c r="BL7" i="71"/>
  <c r="BL5" i="71"/>
  <c r="BL33" i="71"/>
  <c r="BL40" i="71"/>
  <c r="BL41" i="71"/>
  <c r="BL39" i="71"/>
  <c r="BK67" i="71"/>
  <c r="BK42" i="71"/>
  <c r="BK38" i="71"/>
  <c r="BK6" i="71"/>
  <c r="BK43" i="71"/>
  <c r="BK7" i="71"/>
  <c r="BK5" i="71"/>
  <c r="BK33" i="71"/>
  <c r="BK40" i="71"/>
  <c r="BK41" i="71"/>
  <c r="BK39" i="71"/>
  <c r="BJ67" i="71"/>
  <c r="BJ42" i="71"/>
  <c r="BJ38" i="71"/>
  <c r="BJ6" i="71"/>
  <c r="BJ43" i="71"/>
  <c r="BJ7" i="71"/>
  <c r="BJ5" i="71"/>
  <c r="BJ33" i="71"/>
  <c r="BJ40" i="71"/>
  <c r="BJ41" i="71"/>
  <c r="BJ39" i="71"/>
  <c r="BI67" i="71"/>
  <c r="BI42" i="71"/>
  <c r="BI38" i="71"/>
  <c r="BI43" i="71"/>
  <c r="BI7" i="71"/>
  <c r="BI5" i="71"/>
  <c r="BI33" i="71"/>
  <c r="BI40" i="71"/>
  <c r="BI41" i="71"/>
  <c r="BI39" i="71"/>
  <c r="BH67" i="71"/>
  <c r="BH42" i="71"/>
  <c r="BH38" i="71"/>
  <c r="BH6" i="71"/>
  <c r="BH43" i="71"/>
  <c r="BH7" i="71"/>
  <c r="BH5" i="71"/>
  <c r="BH33" i="71"/>
  <c r="BH40" i="71"/>
  <c r="BH41" i="71"/>
  <c r="BH39" i="71"/>
  <c r="BG67" i="71"/>
  <c r="BG42" i="71"/>
  <c r="BG38" i="71"/>
  <c r="BG6" i="71"/>
  <c r="BG43" i="71"/>
  <c r="BG7" i="71"/>
  <c r="BG5" i="71"/>
  <c r="BG33" i="71"/>
  <c r="BG40" i="71"/>
  <c r="BG41" i="71"/>
  <c r="BG39" i="71"/>
  <c r="BF67" i="71"/>
  <c r="BF42" i="71"/>
  <c r="BF38" i="71"/>
  <c r="BF43" i="71"/>
  <c r="BF7" i="71"/>
  <c r="BF5" i="71"/>
  <c r="BF33" i="71"/>
  <c r="BF40" i="71"/>
  <c r="BF41" i="71"/>
  <c r="BF39" i="71"/>
  <c r="BE67" i="71"/>
  <c r="BE42" i="71"/>
  <c r="BE38" i="71"/>
  <c r="BE6" i="71"/>
  <c r="BE43" i="71"/>
  <c r="BE7" i="71"/>
  <c r="BE5" i="71"/>
  <c r="BE33" i="71"/>
  <c r="BE40" i="71"/>
  <c r="BE41" i="71"/>
  <c r="BE39" i="71"/>
  <c r="BD67" i="71"/>
  <c r="BD42" i="71"/>
  <c r="BD38" i="71"/>
  <c r="BD6" i="71"/>
  <c r="BD43" i="71"/>
  <c r="BD7" i="71"/>
  <c r="BD5" i="71"/>
  <c r="BD33" i="71"/>
  <c r="BD40" i="71"/>
  <c r="BD41" i="71"/>
  <c r="BD39" i="71"/>
  <c r="BC67" i="71"/>
  <c r="BC42" i="71"/>
  <c r="BC38" i="71"/>
  <c r="BC6" i="71"/>
  <c r="BC43" i="71"/>
  <c r="BC7" i="71"/>
  <c r="BC5" i="71"/>
  <c r="BC33" i="71"/>
  <c r="BC40" i="71"/>
  <c r="BC41" i="71"/>
  <c r="BC39" i="71"/>
  <c r="BB67" i="71"/>
  <c r="BB42" i="71"/>
  <c r="BB38" i="71"/>
  <c r="BB6" i="71"/>
  <c r="BB43" i="71"/>
  <c r="BB7" i="71"/>
  <c r="BB5" i="71"/>
  <c r="BB33" i="71"/>
  <c r="BB40" i="71"/>
  <c r="BB41" i="71"/>
  <c r="BB39" i="71"/>
  <c r="BA67" i="71"/>
  <c r="BA42" i="71"/>
  <c r="BA38" i="71"/>
  <c r="BA6" i="71"/>
  <c r="BA43" i="71"/>
  <c r="BA7" i="71"/>
  <c r="BA5" i="71"/>
  <c r="BA33" i="71"/>
  <c r="BA40" i="71"/>
  <c r="BA41" i="71"/>
  <c r="BA39" i="71"/>
  <c r="AZ67" i="71"/>
  <c r="AZ42" i="71"/>
  <c r="AZ38" i="71"/>
  <c r="AZ6" i="71"/>
  <c r="AZ43" i="71"/>
  <c r="AZ7" i="71"/>
  <c r="AZ5" i="71"/>
  <c r="AZ33" i="71"/>
  <c r="AZ40" i="71"/>
  <c r="AZ41" i="71"/>
  <c r="AZ39" i="71"/>
  <c r="AY67" i="71"/>
  <c r="AY42" i="71"/>
  <c r="AY38" i="71"/>
  <c r="AY6" i="71"/>
  <c r="AY43" i="71"/>
  <c r="AY7" i="71"/>
  <c r="AY5" i="71"/>
  <c r="AY33" i="71"/>
  <c r="AY40" i="71"/>
  <c r="AY41" i="71"/>
  <c r="AY39" i="71"/>
  <c r="AX67" i="71"/>
  <c r="AX42" i="71"/>
  <c r="AX38" i="71"/>
  <c r="AX6" i="71"/>
  <c r="AX43" i="71"/>
  <c r="AX7" i="71"/>
  <c r="AX5" i="71"/>
  <c r="AX33" i="71"/>
  <c r="AX40" i="71"/>
  <c r="AX41" i="71"/>
  <c r="AX39" i="71"/>
  <c r="AW67" i="71"/>
  <c r="AW42" i="71"/>
  <c r="AW38" i="71"/>
  <c r="AW6" i="71"/>
  <c r="AW43" i="71"/>
  <c r="AW7" i="71"/>
  <c r="AW5" i="71"/>
  <c r="AW33" i="71"/>
  <c r="AW40" i="71"/>
  <c r="AW41" i="71"/>
  <c r="AW39" i="71"/>
  <c r="AV67" i="71"/>
  <c r="AV42" i="71"/>
  <c r="AV38" i="71"/>
  <c r="AV43" i="71"/>
  <c r="AV7" i="71"/>
  <c r="AV5" i="71"/>
  <c r="AV33" i="71"/>
  <c r="AV40" i="71"/>
  <c r="AV41" i="71"/>
  <c r="AV39" i="71"/>
  <c r="AU67" i="71"/>
  <c r="AU42" i="71"/>
  <c r="AU38" i="71"/>
  <c r="AU6" i="71"/>
  <c r="AU43" i="71"/>
  <c r="AU7" i="71"/>
  <c r="AU5" i="71"/>
  <c r="AU33" i="71"/>
  <c r="AU40" i="71"/>
  <c r="AU41" i="71"/>
  <c r="AU39" i="71"/>
  <c r="AT67" i="71"/>
  <c r="AT42" i="71"/>
  <c r="AT38" i="71"/>
  <c r="AT43" i="71"/>
  <c r="AT7" i="71"/>
  <c r="AT5" i="71"/>
  <c r="AT33" i="71"/>
  <c r="AT40" i="71"/>
  <c r="AT41" i="71"/>
  <c r="AT39" i="71"/>
  <c r="AS67" i="71"/>
  <c r="AS42" i="71"/>
  <c r="AS38" i="71"/>
  <c r="AS6" i="71"/>
  <c r="AS43" i="71"/>
  <c r="AS7" i="71"/>
  <c r="AS5" i="71"/>
  <c r="AS33" i="71"/>
  <c r="AS40" i="71"/>
  <c r="AS41" i="71"/>
  <c r="AS39" i="71"/>
  <c r="AR67" i="71"/>
  <c r="AR42" i="71"/>
  <c r="AR38" i="71"/>
  <c r="AR6" i="71"/>
  <c r="AR43" i="71"/>
  <c r="AR7" i="71"/>
  <c r="AR5" i="71"/>
  <c r="AR33" i="71"/>
  <c r="AR40" i="71"/>
  <c r="AR41" i="71"/>
  <c r="AR39" i="71"/>
  <c r="AQ67" i="71"/>
  <c r="AQ42" i="71"/>
  <c r="AQ38" i="71"/>
  <c r="AQ6" i="71"/>
  <c r="AQ43" i="71"/>
  <c r="AQ7" i="71"/>
  <c r="AQ5" i="71"/>
  <c r="AQ33" i="71"/>
  <c r="AQ40" i="71"/>
  <c r="AQ41" i="71"/>
  <c r="AQ39" i="71"/>
  <c r="AP67" i="71"/>
  <c r="AP42" i="71"/>
  <c r="AP38" i="71"/>
  <c r="AP6" i="71"/>
  <c r="AP43" i="71"/>
  <c r="AP7" i="71"/>
  <c r="AP5" i="71"/>
  <c r="AP33" i="71"/>
  <c r="AP40" i="71"/>
  <c r="AP41" i="71"/>
  <c r="AP39" i="71"/>
  <c r="AO67" i="71"/>
  <c r="AO42" i="71"/>
  <c r="AO38" i="71"/>
  <c r="AO6" i="71"/>
  <c r="AO43" i="71"/>
  <c r="AO7" i="71"/>
  <c r="AO5" i="71"/>
  <c r="AO33" i="71"/>
  <c r="AO40" i="71"/>
  <c r="AO41" i="71"/>
  <c r="AO39" i="71"/>
  <c r="AN67" i="71"/>
  <c r="AN42" i="71"/>
  <c r="AN38" i="71"/>
  <c r="AN6" i="71"/>
  <c r="AN43" i="71"/>
  <c r="AN7" i="71"/>
  <c r="AN5" i="71"/>
  <c r="AN33" i="71"/>
  <c r="AN40" i="71"/>
  <c r="AN41" i="71"/>
  <c r="AN39" i="71"/>
  <c r="AM67" i="71"/>
  <c r="AM42" i="71"/>
  <c r="AM38" i="71"/>
  <c r="AM6" i="71"/>
  <c r="AM43" i="71"/>
  <c r="AM7" i="71"/>
  <c r="AM5" i="71"/>
  <c r="AM33" i="71"/>
  <c r="AM40" i="71"/>
  <c r="AM41" i="71"/>
  <c r="AM39" i="71"/>
  <c r="AL67" i="71"/>
  <c r="AL42" i="71"/>
  <c r="AL38" i="71"/>
  <c r="AL6" i="71"/>
  <c r="AL43" i="71"/>
  <c r="AL7" i="71"/>
  <c r="AL5" i="71"/>
  <c r="AL33" i="71"/>
  <c r="AL40" i="71"/>
  <c r="AL41" i="71"/>
  <c r="AL39" i="71"/>
  <c r="AK67" i="71"/>
  <c r="AK42" i="71"/>
  <c r="AK38" i="71"/>
  <c r="AK6" i="71"/>
  <c r="AK43" i="71"/>
  <c r="AK7" i="71"/>
  <c r="AK5" i="71"/>
  <c r="AK33" i="71"/>
  <c r="AK40" i="71"/>
  <c r="AK41" i="71"/>
  <c r="AK39" i="71"/>
  <c r="AJ67" i="71"/>
  <c r="AJ42" i="71"/>
  <c r="AJ38" i="71"/>
  <c r="AJ6" i="71"/>
  <c r="AJ43" i="71"/>
  <c r="AJ7" i="71"/>
  <c r="AJ5" i="71"/>
  <c r="AJ33" i="71"/>
  <c r="AJ40" i="71"/>
  <c r="AJ41" i="71"/>
  <c r="AJ39" i="71"/>
  <c r="AI67" i="71"/>
  <c r="AI42" i="71"/>
  <c r="AI38" i="71"/>
  <c r="AI6" i="71"/>
  <c r="AI43" i="71"/>
  <c r="AI7" i="71"/>
  <c r="AI5" i="71"/>
  <c r="AI33" i="71"/>
  <c r="AI40" i="71"/>
  <c r="AI41" i="71"/>
  <c r="AI39" i="71"/>
  <c r="AH67" i="71"/>
  <c r="AH42" i="71"/>
  <c r="AH38" i="71"/>
  <c r="AH6" i="71"/>
  <c r="AH43" i="71"/>
  <c r="AH7" i="71"/>
  <c r="AH5" i="71"/>
  <c r="AH33" i="71"/>
  <c r="AH40" i="71"/>
  <c r="AH41" i="71"/>
  <c r="AH39" i="71"/>
  <c r="AG67" i="71"/>
  <c r="AG42" i="71"/>
  <c r="AG38" i="71"/>
  <c r="AG6" i="71"/>
  <c r="AG43" i="71"/>
  <c r="AG7" i="71"/>
  <c r="AG33" i="71"/>
  <c r="AG40" i="71"/>
  <c r="AG41" i="71"/>
  <c r="AG39" i="71"/>
  <c r="AF67" i="71"/>
  <c r="AF42" i="71"/>
  <c r="AF38" i="71"/>
  <c r="AF6" i="71"/>
  <c r="AF43" i="71"/>
  <c r="AF7" i="71"/>
  <c r="AF33" i="71"/>
  <c r="AF40" i="71"/>
  <c r="AF41" i="71"/>
  <c r="AF39" i="71"/>
  <c r="AE67" i="71"/>
  <c r="AE42" i="71"/>
  <c r="AE38" i="71"/>
  <c r="AE6" i="71"/>
  <c r="AE43" i="71"/>
  <c r="AE7" i="71"/>
  <c r="AE5" i="71"/>
  <c r="AE33" i="71"/>
  <c r="AE40" i="71"/>
  <c r="AE41" i="71"/>
  <c r="AE39" i="71"/>
  <c r="AD67" i="71"/>
  <c r="AD42" i="71"/>
  <c r="AD38" i="71"/>
  <c r="AD6" i="71"/>
  <c r="AD43" i="71"/>
  <c r="AD7" i="71"/>
  <c r="AD5" i="71"/>
  <c r="AD33" i="71"/>
  <c r="AD40" i="71"/>
  <c r="AD41" i="71"/>
  <c r="AD39" i="71"/>
  <c r="AC67" i="71"/>
  <c r="AC42" i="71"/>
  <c r="AC38" i="71"/>
  <c r="AC6" i="71"/>
  <c r="AC43" i="71"/>
  <c r="AC7" i="71"/>
  <c r="AC5" i="71"/>
  <c r="AC33" i="71"/>
  <c r="AC40" i="71"/>
  <c r="AC41" i="71"/>
  <c r="AC39" i="71"/>
  <c r="AB67" i="71"/>
  <c r="AB42" i="71"/>
  <c r="AB38" i="71"/>
  <c r="AB6" i="71"/>
  <c r="AB43" i="71"/>
  <c r="AB7" i="71"/>
  <c r="AB5" i="71"/>
  <c r="AB33" i="71"/>
  <c r="AB40" i="71"/>
  <c r="AB41" i="71"/>
  <c r="AB39" i="71"/>
  <c r="AA67" i="71"/>
  <c r="AA42" i="71"/>
  <c r="AA38" i="71"/>
  <c r="AA6" i="71"/>
  <c r="AA43" i="71"/>
  <c r="AA7" i="71"/>
  <c r="AA5" i="71"/>
  <c r="AA33" i="71"/>
  <c r="AA40" i="71"/>
  <c r="AA41" i="71"/>
  <c r="AA39" i="71"/>
  <c r="Z67" i="71"/>
  <c r="Z42" i="71"/>
  <c r="Z38" i="71"/>
  <c r="Z6" i="71"/>
  <c r="Z43" i="71"/>
  <c r="Z7" i="71"/>
  <c r="Z5" i="71"/>
  <c r="Z33" i="71"/>
  <c r="Z40" i="71"/>
  <c r="Z41" i="71"/>
  <c r="Z39" i="71"/>
  <c r="Y67" i="71"/>
  <c r="Y42" i="71"/>
  <c r="Y38" i="71"/>
  <c r="Y6" i="71"/>
  <c r="Y43" i="71"/>
  <c r="Y7" i="71"/>
  <c r="Y5" i="71"/>
  <c r="Y33" i="71"/>
  <c r="Y40" i="71"/>
  <c r="Y41" i="71"/>
  <c r="Y39" i="71"/>
  <c r="X67" i="71"/>
  <c r="X42" i="71"/>
  <c r="X38" i="71"/>
  <c r="X6" i="71"/>
  <c r="X43" i="71"/>
  <c r="X7" i="71"/>
  <c r="X5" i="71"/>
  <c r="X33" i="71"/>
  <c r="X40" i="71"/>
  <c r="X41" i="71"/>
  <c r="X39" i="71"/>
  <c r="W67" i="71"/>
  <c r="W42" i="71"/>
  <c r="W38" i="71"/>
  <c r="W6" i="71"/>
  <c r="W43" i="71"/>
  <c r="W7" i="71"/>
  <c r="W5" i="71"/>
  <c r="W33" i="71"/>
  <c r="W40" i="71"/>
  <c r="W41" i="71"/>
  <c r="W39" i="71"/>
  <c r="V42" i="71"/>
  <c r="V38" i="71"/>
  <c r="V6" i="71"/>
  <c r="V43" i="71"/>
  <c r="V7" i="71"/>
  <c r="V5" i="71"/>
  <c r="V33" i="71"/>
  <c r="V40" i="71"/>
  <c r="V41" i="71"/>
  <c r="V39" i="71"/>
  <c r="U67" i="71"/>
  <c r="U42" i="71"/>
  <c r="U38" i="71"/>
  <c r="U6" i="71"/>
  <c r="U43" i="71"/>
  <c r="U7" i="71"/>
  <c r="U5" i="71"/>
  <c r="U33" i="71"/>
  <c r="U40" i="71"/>
  <c r="U41" i="71"/>
  <c r="U39" i="71"/>
  <c r="T67" i="71"/>
  <c r="B67" i="71" s="1"/>
  <c r="T42" i="71"/>
  <c r="B42" i="71" s="1"/>
  <c r="T38" i="71"/>
  <c r="T6" i="71"/>
  <c r="B6" i="71" s="1"/>
  <c r="T43" i="71"/>
  <c r="T7" i="71"/>
  <c r="B7" i="71" s="1"/>
  <c r="T5" i="71"/>
  <c r="B5" i="71" s="1"/>
  <c r="T33" i="71"/>
  <c r="B33" i="71" s="1"/>
  <c r="T40" i="71"/>
  <c r="B40" i="71" s="1"/>
  <c r="T41" i="71"/>
  <c r="B41" i="71" s="1"/>
  <c r="T39" i="71"/>
  <c r="S67" i="71"/>
  <c r="S42" i="71"/>
  <c r="S38" i="71"/>
  <c r="S6" i="71"/>
  <c r="S43" i="71"/>
  <c r="S7" i="71"/>
  <c r="S5" i="71"/>
  <c r="S33" i="71"/>
  <c r="S40" i="71"/>
  <c r="S41" i="71"/>
  <c r="S39" i="71"/>
  <c r="R67" i="71"/>
  <c r="R42" i="71"/>
  <c r="R38" i="71"/>
  <c r="R6" i="71"/>
  <c r="R43" i="71"/>
  <c r="R7" i="71"/>
  <c r="R5" i="71"/>
  <c r="R33" i="71"/>
  <c r="R40" i="71"/>
  <c r="R41" i="71"/>
  <c r="R39" i="71"/>
  <c r="O67" i="71"/>
  <c r="O42" i="71"/>
  <c r="O38" i="71"/>
  <c r="O6" i="71"/>
  <c r="O43" i="71"/>
  <c r="O7" i="71"/>
  <c r="O5" i="71"/>
  <c r="O33" i="71"/>
  <c r="O40" i="71"/>
  <c r="O41" i="71"/>
  <c r="O39" i="71"/>
  <c r="N67" i="71"/>
  <c r="N42" i="71"/>
  <c r="N38" i="71"/>
  <c r="N6" i="71"/>
  <c r="N43" i="71"/>
  <c r="N7" i="71"/>
  <c r="N5" i="71"/>
  <c r="N33" i="71"/>
  <c r="N40" i="71"/>
  <c r="N41" i="71"/>
  <c r="N39" i="71"/>
  <c r="M67" i="71"/>
  <c r="M42" i="71"/>
  <c r="M38" i="71"/>
  <c r="M6" i="71"/>
  <c r="M43" i="71"/>
  <c r="M7" i="71"/>
  <c r="M5" i="71"/>
  <c r="M33" i="71"/>
  <c r="M40" i="71"/>
  <c r="M41" i="71"/>
  <c r="M39" i="71"/>
  <c r="E67" i="71"/>
  <c r="E42" i="71"/>
  <c r="E38" i="71"/>
  <c r="E6" i="71"/>
  <c r="E43" i="71"/>
  <c r="E7" i="71"/>
  <c r="E5" i="71"/>
  <c r="E33" i="71"/>
  <c r="E40" i="71"/>
  <c r="E41" i="71"/>
  <c r="E39" i="71"/>
  <c r="D67" i="71"/>
  <c r="D42" i="71"/>
  <c r="D38" i="71"/>
  <c r="D6" i="71"/>
  <c r="D43" i="71"/>
  <c r="D7" i="71"/>
  <c r="D5" i="71"/>
  <c r="D33" i="71"/>
  <c r="D40" i="71"/>
  <c r="D41" i="71"/>
  <c r="D39" i="71"/>
  <c r="A67" i="71"/>
  <c r="P67" i="71" s="1"/>
  <c r="A42" i="71"/>
  <c r="P42" i="71" s="1"/>
  <c r="A6" i="71"/>
  <c r="P6" i="71" s="1"/>
  <c r="A33" i="71"/>
  <c r="P33" i="71" s="1"/>
  <c r="A40" i="71"/>
  <c r="P40" i="71" s="1"/>
  <c r="A41" i="71"/>
  <c r="P41" i="71" s="1"/>
  <c r="L39" i="71" l="1"/>
  <c r="L38" i="71"/>
  <c r="L7" i="71"/>
  <c r="L43" i="71"/>
  <c r="L6" i="71"/>
  <c r="L42" i="71"/>
  <c r="L41" i="71"/>
  <c r="L40" i="71"/>
  <c r="L67" i="71"/>
  <c r="L33" i="71"/>
  <c r="L5" i="71"/>
  <c r="J7" i="71"/>
  <c r="K7" i="71"/>
  <c r="J43" i="71"/>
  <c r="K43" i="71"/>
  <c r="J5" i="71"/>
  <c r="K5" i="71"/>
  <c r="J6" i="71"/>
  <c r="K6" i="71"/>
  <c r="J42" i="71"/>
  <c r="K42" i="71"/>
  <c r="J41" i="71"/>
  <c r="K41" i="71"/>
  <c r="J40" i="71"/>
  <c r="K40" i="71"/>
  <c r="J67" i="71"/>
  <c r="K67" i="71"/>
  <c r="J33" i="71"/>
  <c r="K33" i="71"/>
  <c r="H40" i="71"/>
  <c r="I40" i="71"/>
  <c r="H33" i="71"/>
  <c r="I33" i="71"/>
  <c r="H7" i="71"/>
  <c r="I7" i="71"/>
  <c r="H43" i="71"/>
  <c r="I43" i="71"/>
  <c r="H6" i="71"/>
  <c r="I6" i="71"/>
  <c r="H67" i="71"/>
  <c r="I67" i="71"/>
  <c r="H42" i="71"/>
  <c r="I42" i="71"/>
  <c r="H41" i="71"/>
  <c r="I41" i="71"/>
  <c r="H5" i="71"/>
  <c r="I5" i="71"/>
  <c r="B43" i="71"/>
  <c r="B39" i="71"/>
  <c r="B38" i="71"/>
  <c r="A39" i="71"/>
  <c r="P39" i="71" s="1"/>
  <c r="A38" i="71"/>
  <c r="P38" i="71" s="1"/>
  <c r="MM9" i="71"/>
  <c r="MM2" i="71"/>
  <c r="MM66" i="71"/>
  <c r="MM36" i="71"/>
  <c r="MM35" i="71"/>
  <c r="MM34" i="71"/>
  <c r="ML9" i="71"/>
  <c r="ML2" i="71"/>
  <c r="ML66" i="71"/>
  <c r="ML36" i="71"/>
  <c r="ML35" i="71"/>
  <c r="ML34" i="71"/>
  <c r="MK9" i="71"/>
  <c r="MK2" i="71"/>
  <c r="MK66" i="71"/>
  <c r="MK36" i="71"/>
  <c r="MK35" i="71"/>
  <c r="MK34" i="71"/>
  <c r="MJ9" i="71"/>
  <c r="MJ2" i="71"/>
  <c r="MJ66" i="71"/>
  <c r="MJ36" i="71"/>
  <c r="MJ35" i="71"/>
  <c r="MJ34" i="71"/>
  <c r="MI9" i="71"/>
  <c r="MI2" i="71"/>
  <c r="MI66" i="71"/>
  <c r="MI36" i="71"/>
  <c r="MI35" i="71"/>
  <c r="MI34" i="71"/>
  <c r="MH9" i="71"/>
  <c r="MH2" i="71"/>
  <c r="MH66" i="71"/>
  <c r="MH36" i="71"/>
  <c r="MH35" i="71"/>
  <c r="MH34" i="71"/>
  <c r="MG9" i="71"/>
  <c r="MG2" i="71"/>
  <c r="MG66" i="71"/>
  <c r="MG36" i="71"/>
  <c r="MG35" i="71"/>
  <c r="MG34" i="71"/>
  <c r="MF9" i="71"/>
  <c r="MF2" i="71"/>
  <c r="A2" i="71" s="1"/>
  <c r="P2" i="71" s="1"/>
  <c r="MF66" i="71"/>
  <c r="MF36" i="71"/>
  <c r="MF35" i="71"/>
  <c r="A35" i="71" s="1"/>
  <c r="P35" i="71" s="1"/>
  <c r="MF34" i="71"/>
  <c r="ME9" i="71"/>
  <c r="ME2" i="71"/>
  <c r="ME66" i="71"/>
  <c r="ME36" i="71"/>
  <c r="ME35" i="71"/>
  <c r="ME34" i="71"/>
  <c r="MD9" i="71"/>
  <c r="MD2" i="71"/>
  <c r="MD66" i="71"/>
  <c r="MD36" i="71"/>
  <c r="MD35" i="71"/>
  <c r="MD34" i="71"/>
  <c r="MC9" i="71"/>
  <c r="MC2" i="71"/>
  <c r="MC66" i="71"/>
  <c r="MC36" i="71"/>
  <c r="MC35" i="71"/>
  <c r="MC34" i="71"/>
  <c r="MB9" i="71"/>
  <c r="MB2" i="71"/>
  <c r="MB66" i="71"/>
  <c r="MB36" i="71"/>
  <c r="MB35" i="71"/>
  <c r="MB34" i="71"/>
  <c r="MA9" i="71"/>
  <c r="MA66" i="71"/>
  <c r="MA36" i="71"/>
  <c r="MA35" i="71"/>
  <c r="MA34" i="71"/>
  <c r="LZ9" i="71"/>
  <c r="LZ2" i="71"/>
  <c r="LZ66" i="71"/>
  <c r="LZ36" i="71"/>
  <c r="LZ35" i="71"/>
  <c r="LZ34" i="71"/>
  <c r="LY9" i="71"/>
  <c r="LY66" i="71"/>
  <c r="LY36" i="71"/>
  <c r="LY35" i="71"/>
  <c r="LY34" i="71"/>
  <c r="LX9" i="71"/>
  <c r="LX66" i="71"/>
  <c r="LX36" i="71"/>
  <c r="LX35" i="71"/>
  <c r="LX34" i="71"/>
  <c r="LW9" i="71"/>
  <c r="LW66" i="71"/>
  <c r="LW36" i="71"/>
  <c r="LW35" i="71"/>
  <c r="LW34" i="71"/>
  <c r="LV9" i="71"/>
  <c r="LV66" i="71"/>
  <c r="LV36" i="71"/>
  <c r="LV35" i="71"/>
  <c r="LV34" i="71"/>
  <c r="LU9" i="71"/>
  <c r="LU66" i="71"/>
  <c r="LU36" i="71"/>
  <c r="LU35" i="71"/>
  <c r="LU34" i="71"/>
  <c r="LT9" i="71"/>
  <c r="LT66" i="71"/>
  <c r="LT36" i="71"/>
  <c r="LT35" i="71"/>
  <c r="LT34" i="71"/>
  <c r="LS9" i="71"/>
  <c r="LS66" i="71"/>
  <c r="LS36" i="71"/>
  <c r="LS35" i="71"/>
  <c r="LS34" i="71"/>
  <c r="LR9" i="71"/>
  <c r="LR66" i="71"/>
  <c r="LR36" i="71"/>
  <c r="LR35" i="71"/>
  <c r="LR34" i="71"/>
  <c r="LQ9" i="71"/>
  <c r="LQ66" i="71"/>
  <c r="LQ36" i="71"/>
  <c r="LQ35" i="71"/>
  <c r="LQ34" i="71"/>
  <c r="LP9" i="71"/>
  <c r="LP66" i="71"/>
  <c r="LP36" i="71"/>
  <c r="LP35" i="71"/>
  <c r="LP34" i="71"/>
  <c r="LO9" i="71"/>
  <c r="LO66" i="71"/>
  <c r="LO36" i="71"/>
  <c r="LO35" i="71"/>
  <c r="LO34" i="71"/>
  <c r="LN9" i="71"/>
  <c r="LN66" i="71"/>
  <c r="LN36" i="71"/>
  <c r="LN35" i="71"/>
  <c r="LN34" i="71"/>
  <c r="LM9" i="71"/>
  <c r="LM2" i="71"/>
  <c r="LM66" i="71"/>
  <c r="LM36" i="71"/>
  <c r="LM35" i="71"/>
  <c r="LM34" i="71"/>
  <c r="LL9" i="71"/>
  <c r="LL2" i="71"/>
  <c r="LL66" i="71"/>
  <c r="LL36" i="71"/>
  <c r="LL35" i="71"/>
  <c r="LL34" i="71"/>
  <c r="LK9" i="71"/>
  <c r="LK2" i="71"/>
  <c r="LK66" i="71"/>
  <c r="LK36" i="71"/>
  <c r="LK35" i="71"/>
  <c r="LK34" i="71"/>
  <c r="LJ9" i="71"/>
  <c r="LJ2" i="71"/>
  <c r="LJ66" i="71"/>
  <c r="LJ36" i="71"/>
  <c r="LJ35" i="71"/>
  <c r="LJ34" i="71"/>
  <c r="LI9" i="71"/>
  <c r="LI2" i="71"/>
  <c r="LI66" i="71"/>
  <c r="LI36" i="71"/>
  <c r="LI35" i="71"/>
  <c r="LI34" i="71"/>
  <c r="LH9" i="71"/>
  <c r="LH2" i="71"/>
  <c r="LH66" i="71"/>
  <c r="LH36" i="71"/>
  <c r="LH35" i="71"/>
  <c r="LH34" i="71"/>
  <c r="LG9" i="71"/>
  <c r="LG2" i="71"/>
  <c r="LG66" i="71"/>
  <c r="LG36" i="71"/>
  <c r="LG35" i="71"/>
  <c r="LG34" i="71"/>
  <c r="LF9" i="71"/>
  <c r="LF2" i="71"/>
  <c r="LF66" i="71"/>
  <c r="LF36" i="71"/>
  <c r="LF35" i="71"/>
  <c r="LF34" i="71"/>
  <c r="LE9" i="71"/>
  <c r="LE2" i="71"/>
  <c r="LE66" i="71"/>
  <c r="LE36" i="71"/>
  <c r="LE35" i="71"/>
  <c r="LE34" i="71"/>
  <c r="LD9" i="71"/>
  <c r="LD66" i="71"/>
  <c r="LD36" i="71"/>
  <c r="LD35" i="71"/>
  <c r="LD34" i="71"/>
  <c r="LC9" i="71"/>
  <c r="LC66" i="71"/>
  <c r="LC36" i="71"/>
  <c r="LC35" i="71"/>
  <c r="LC34" i="71"/>
  <c r="LB9" i="71"/>
  <c r="LB66" i="71"/>
  <c r="LB36" i="71"/>
  <c r="LB35" i="71"/>
  <c r="LB34" i="71"/>
  <c r="LA9" i="71"/>
  <c r="LA66" i="71"/>
  <c r="LA36" i="71"/>
  <c r="LA35" i="71"/>
  <c r="LA34" i="71"/>
  <c r="KZ9" i="71"/>
  <c r="KZ66" i="71"/>
  <c r="KZ36" i="71"/>
  <c r="KZ35" i="71"/>
  <c r="KZ34" i="71"/>
  <c r="KY9" i="71"/>
  <c r="KY66" i="71"/>
  <c r="KY36" i="71"/>
  <c r="KY35" i="71"/>
  <c r="KY34" i="71"/>
  <c r="KX9" i="71"/>
  <c r="KX66" i="71"/>
  <c r="KX36" i="71"/>
  <c r="KX35" i="71"/>
  <c r="KX34" i="71"/>
  <c r="KW9" i="71"/>
  <c r="KW66" i="71"/>
  <c r="KW36" i="71"/>
  <c r="KW35" i="71"/>
  <c r="KW34" i="71"/>
  <c r="KV9" i="71"/>
  <c r="KV66" i="71"/>
  <c r="KV36" i="71"/>
  <c r="KV35" i="71"/>
  <c r="KV34" i="71"/>
  <c r="KU9" i="71"/>
  <c r="KU66" i="71"/>
  <c r="KU36" i="71"/>
  <c r="KU35" i="71"/>
  <c r="KU34" i="71"/>
  <c r="KT9" i="71"/>
  <c r="KT66" i="71"/>
  <c r="KT36" i="71"/>
  <c r="KT35" i="71"/>
  <c r="KT34" i="71"/>
  <c r="KS9" i="71"/>
  <c r="KS66" i="71"/>
  <c r="KS36" i="71"/>
  <c r="KS35" i="71"/>
  <c r="KS34" i="71"/>
  <c r="KR9" i="71"/>
  <c r="KR66" i="71"/>
  <c r="KR36" i="71"/>
  <c r="KR35" i="71"/>
  <c r="KR34" i="71"/>
  <c r="KQ9" i="71"/>
  <c r="KQ2" i="71"/>
  <c r="KQ66" i="71"/>
  <c r="KQ36" i="71"/>
  <c r="KQ35" i="71"/>
  <c r="KQ34" i="71"/>
  <c r="KP9" i="71"/>
  <c r="KP2" i="71"/>
  <c r="KP66" i="71"/>
  <c r="KP36" i="71"/>
  <c r="KP35" i="71"/>
  <c r="KP34" i="71"/>
  <c r="KO9" i="71"/>
  <c r="KO66" i="71"/>
  <c r="KO36" i="71"/>
  <c r="KO35" i="71"/>
  <c r="KO34" i="71"/>
  <c r="KN9" i="71"/>
  <c r="KN66" i="71"/>
  <c r="KN36" i="71"/>
  <c r="KN35" i="71"/>
  <c r="KN34" i="71"/>
  <c r="KM9" i="71"/>
  <c r="KM66" i="71"/>
  <c r="KM36" i="71"/>
  <c r="KM35" i="71"/>
  <c r="KM34" i="71"/>
  <c r="KL9" i="71"/>
  <c r="KL66" i="71"/>
  <c r="KL36" i="71"/>
  <c r="KL35" i="71"/>
  <c r="KL34" i="71"/>
  <c r="KK9" i="71"/>
  <c r="KK66" i="71"/>
  <c r="KK36" i="71"/>
  <c r="KK35" i="71"/>
  <c r="KK34" i="71"/>
  <c r="KJ9" i="71"/>
  <c r="KJ66" i="71"/>
  <c r="KJ36" i="71"/>
  <c r="KJ35" i="71"/>
  <c r="KJ34" i="71"/>
  <c r="KI9" i="71"/>
  <c r="KI66" i="71"/>
  <c r="KI36" i="71"/>
  <c r="KI35" i="71"/>
  <c r="KI34" i="71"/>
  <c r="KH9" i="71"/>
  <c r="KH66" i="71"/>
  <c r="KH36" i="71"/>
  <c r="KH35" i="71"/>
  <c r="KH34" i="71"/>
  <c r="KG9" i="71"/>
  <c r="KG66" i="71"/>
  <c r="KG36" i="71"/>
  <c r="KG35" i="71"/>
  <c r="KG34" i="71"/>
  <c r="KF9" i="71"/>
  <c r="KF66" i="71"/>
  <c r="KF36" i="71"/>
  <c r="KF35" i="71"/>
  <c r="KF34" i="71"/>
  <c r="KE9" i="71"/>
  <c r="KE2" i="71"/>
  <c r="KE66" i="71"/>
  <c r="KE36" i="71"/>
  <c r="KE35" i="71"/>
  <c r="KE34" i="71"/>
  <c r="KD9" i="71"/>
  <c r="KD2" i="71"/>
  <c r="KD66" i="71"/>
  <c r="KD36" i="71"/>
  <c r="KD35" i="71"/>
  <c r="KD34" i="71"/>
  <c r="KC9" i="71"/>
  <c r="KC2" i="71"/>
  <c r="KC66" i="71"/>
  <c r="KC36" i="71"/>
  <c r="KC35" i="71"/>
  <c r="KC34" i="71"/>
  <c r="KB9" i="71"/>
  <c r="KB2" i="71"/>
  <c r="KB66" i="71"/>
  <c r="KB36" i="71"/>
  <c r="KB35" i="71"/>
  <c r="KB34" i="71"/>
  <c r="KA9" i="71"/>
  <c r="KA2" i="71"/>
  <c r="KA66" i="71"/>
  <c r="KA36" i="71"/>
  <c r="KA35" i="71"/>
  <c r="KA34" i="71"/>
  <c r="JZ9" i="71"/>
  <c r="JZ2" i="71"/>
  <c r="JZ66" i="71"/>
  <c r="JZ36" i="71"/>
  <c r="JZ35" i="71"/>
  <c r="JZ34" i="71"/>
  <c r="JY9" i="71"/>
  <c r="JY2" i="71"/>
  <c r="JY66" i="71"/>
  <c r="JY36" i="71"/>
  <c r="JY35" i="71"/>
  <c r="JY34" i="71"/>
  <c r="JX9" i="71"/>
  <c r="JX2" i="71"/>
  <c r="JX66" i="71"/>
  <c r="JX36" i="71"/>
  <c r="JX35" i="71"/>
  <c r="JX34" i="71"/>
  <c r="JW9" i="71"/>
  <c r="JW2" i="71"/>
  <c r="JW66" i="71"/>
  <c r="JW36" i="71"/>
  <c r="JW35" i="71"/>
  <c r="JW34" i="71"/>
  <c r="JV9" i="71"/>
  <c r="JV2" i="71"/>
  <c r="JV66" i="71"/>
  <c r="JV36" i="71"/>
  <c r="JV35" i="71"/>
  <c r="JV34" i="71"/>
  <c r="JU9" i="71"/>
  <c r="JU2" i="71"/>
  <c r="JU66" i="71"/>
  <c r="JU36" i="71"/>
  <c r="JU35" i="71"/>
  <c r="JU34" i="71"/>
  <c r="JT9" i="71"/>
  <c r="JT2" i="71"/>
  <c r="JT66" i="71"/>
  <c r="JT36" i="71"/>
  <c r="JT35" i="71"/>
  <c r="JT34" i="71"/>
  <c r="JS9" i="71"/>
  <c r="JS66" i="71"/>
  <c r="JS36" i="71"/>
  <c r="JS35" i="71"/>
  <c r="JS34" i="71"/>
  <c r="JR9" i="71"/>
  <c r="JR66" i="71"/>
  <c r="JR36" i="71"/>
  <c r="JR35" i="71"/>
  <c r="JR34" i="71"/>
  <c r="JQ9" i="71"/>
  <c r="JQ66" i="71"/>
  <c r="JQ36" i="71"/>
  <c r="JQ35" i="71"/>
  <c r="JQ34" i="71"/>
  <c r="JP9" i="71"/>
  <c r="JP66" i="71"/>
  <c r="JP36" i="71"/>
  <c r="JP35" i="71"/>
  <c r="JP34" i="71"/>
  <c r="JO9" i="71"/>
  <c r="JO66" i="71"/>
  <c r="JO36" i="71"/>
  <c r="JO35" i="71"/>
  <c r="JO34" i="71"/>
  <c r="JN9" i="71"/>
  <c r="JN66" i="71"/>
  <c r="JN36" i="71"/>
  <c r="JN35" i="71"/>
  <c r="JN34" i="71"/>
  <c r="JM9" i="71"/>
  <c r="JM66" i="71"/>
  <c r="JM36" i="71"/>
  <c r="JM35" i="71"/>
  <c r="JM34" i="71"/>
  <c r="JL9" i="71"/>
  <c r="JL2" i="71"/>
  <c r="JL66" i="71"/>
  <c r="JL36" i="71"/>
  <c r="JL35" i="71"/>
  <c r="JL34" i="71"/>
  <c r="JK9" i="71"/>
  <c r="JK66" i="71"/>
  <c r="JK36" i="71"/>
  <c r="JK35" i="71"/>
  <c r="JK34" i="71"/>
  <c r="JJ9" i="71"/>
  <c r="JJ66" i="71"/>
  <c r="JJ36" i="71"/>
  <c r="JJ35" i="71"/>
  <c r="JJ34" i="71"/>
  <c r="JI9" i="71"/>
  <c r="JI66" i="71"/>
  <c r="JI36" i="71"/>
  <c r="JI35" i="71"/>
  <c r="JI34" i="71"/>
  <c r="JH9" i="71"/>
  <c r="JH66" i="71"/>
  <c r="JH36" i="71"/>
  <c r="JH35" i="71"/>
  <c r="JH34" i="71"/>
  <c r="JG9" i="71"/>
  <c r="JG66" i="71"/>
  <c r="JG36" i="71"/>
  <c r="JG35" i="71"/>
  <c r="JG34" i="71"/>
  <c r="JF9" i="71"/>
  <c r="JF66" i="71"/>
  <c r="JF36" i="71"/>
  <c r="JF35" i="71"/>
  <c r="JF34" i="71"/>
  <c r="JE9" i="71"/>
  <c r="JE66" i="71"/>
  <c r="JE36" i="71"/>
  <c r="JE35" i="71"/>
  <c r="JE34" i="71"/>
  <c r="JD9" i="71"/>
  <c r="JD66" i="71"/>
  <c r="JD36" i="71"/>
  <c r="JD35" i="71"/>
  <c r="JD34" i="71"/>
  <c r="JC9" i="71"/>
  <c r="JC66" i="71"/>
  <c r="JC36" i="71"/>
  <c r="JC35" i="71"/>
  <c r="JC34" i="71"/>
  <c r="JB9" i="71"/>
  <c r="JB66" i="71"/>
  <c r="JB36" i="71"/>
  <c r="JB35" i="71"/>
  <c r="JB34" i="71"/>
  <c r="JA9" i="71"/>
  <c r="JA66" i="71"/>
  <c r="JA36" i="71"/>
  <c r="JA35" i="71"/>
  <c r="JA34" i="71"/>
  <c r="IZ9" i="71"/>
  <c r="IZ66" i="71"/>
  <c r="IZ36" i="71"/>
  <c r="IZ35" i="71"/>
  <c r="IZ34" i="71"/>
  <c r="IY9" i="71"/>
  <c r="IY2" i="71"/>
  <c r="IY66" i="71"/>
  <c r="IY36" i="71"/>
  <c r="IY35" i="71"/>
  <c r="IY34" i="71"/>
  <c r="IX9" i="71"/>
  <c r="IX66" i="71"/>
  <c r="IX36" i="71"/>
  <c r="IX35" i="71"/>
  <c r="IX34" i="71"/>
  <c r="IW9" i="71"/>
  <c r="IW66" i="71"/>
  <c r="IW36" i="71"/>
  <c r="IW35" i="71"/>
  <c r="IW34" i="71"/>
  <c r="IV9" i="71"/>
  <c r="IV66" i="71"/>
  <c r="IV36" i="71"/>
  <c r="IV35" i="71"/>
  <c r="IV34" i="71"/>
  <c r="IU9" i="71"/>
  <c r="IU66" i="71"/>
  <c r="IU36" i="71"/>
  <c r="IU35" i="71"/>
  <c r="IU34" i="71"/>
  <c r="IT9" i="71"/>
  <c r="IT66" i="71"/>
  <c r="IT36" i="71"/>
  <c r="IT35" i="71"/>
  <c r="IT34" i="71"/>
  <c r="IS9" i="71"/>
  <c r="IS66" i="71"/>
  <c r="IS36" i="71"/>
  <c r="IS35" i="71"/>
  <c r="IS34" i="71"/>
  <c r="IR9" i="71"/>
  <c r="IR66" i="71"/>
  <c r="IR36" i="71"/>
  <c r="IR35" i="71"/>
  <c r="IR34" i="71"/>
  <c r="IQ9" i="71"/>
  <c r="IQ66" i="71"/>
  <c r="IQ36" i="71"/>
  <c r="IQ35" i="71"/>
  <c r="IQ34" i="71"/>
  <c r="IP9" i="71"/>
  <c r="IP66" i="71"/>
  <c r="IP36" i="71"/>
  <c r="IP35" i="71"/>
  <c r="IP34" i="71"/>
  <c r="IO9" i="71"/>
  <c r="IO66" i="71"/>
  <c r="IO36" i="71"/>
  <c r="IO35" i="71"/>
  <c r="IO34" i="71"/>
  <c r="IN9" i="71"/>
  <c r="IN66" i="71"/>
  <c r="IN36" i="71"/>
  <c r="IN35" i="71"/>
  <c r="IN34" i="71"/>
  <c r="IM9" i="71"/>
  <c r="IM66" i="71"/>
  <c r="IM36" i="71"/>
  <c r="IM35" i="71"/>
  <c r="IM34" i="71"/>
  <c r="IL9" i="71"/>
  <c r="IL66" i="71"/>
  <c r="IL36" i="71"/>
  <c r="IL35" i="71"/>
  <c r="IL34" i="71"/>
  <c r="IK9" i="71"/>
  <c r="IK66" i="71"/>
  <c r="IK36" i="71"/>
  <c r="IK35" i="71"/>
  <c r="IK34" i="71"/>
  <c r="IJ9" i="71"/>
  <c r="IJ66" i="71"/>
  <c r="IJ36" i="71"/>
  <c r="IJ35" i="71"/>
  <c r="IJ34" i="71"/>
  <c r="II9" i="71"/>
  <c r="II2" i="71"/>
  <c r="II66" i="71"/>
  <c r="II36" i="71"/>
  <c r="II35" i="71"/>
  <c r="II34" i="71"/>
  <c r="IH9" i="71"/>
  <c r="IH2" i="71"/>
  <c r="IH66" i="71"/>
  <c r="IH36" i="71"/>
  <c r="IH35" i="71"/>
  <c r="IH34" i="71"/>
  <c r="IG9" i="71"/>
  <c r="IG2" i="71"/>
  <c r="IG66" i="71"/>
  <c r="IG36" i="71"/>
  <c r="IG35" i="71"/>
  <c r="IG34" i="71"/>
  <c r="IF9" i="71"/>
  <c r="IF2" i="71"/>
  <c r="IF66" i="71"/>
  <c r="IF36" i="71"/>
  <c r="IF35" i="71"/>
  <c r="IF34" i="71"/>
  <c r="IE9" i="71"/>
  <c r="IE2" i="71"/>
  <c r="IE66" i="71"/>
  <c r="IE36" i="71"/>
  <c r="IE35" i="71"/>
  <c r="IE34" i="71"/>
  <c r="ID9" i="71"/>
  <c r="ID2" i="71"/>
  <c r="ID66" i="71"/>
  <c r="ID36" i="71"/>
  <c r="ID35" i="71"/>
  <c r="ID34" i="71"/>
  <c r="IC9" i="71"/>
  <c r="IC2" i="71"/>
  <c r="IC66" i="71"/>
  <c r="IC36" i="71"/>
  <c r="IC35" i="71"/>
  <c r="IC34" i="71"/>
  <c r="IB9" i="71"/>
  <c r="IB2" i="71"/>
  <c r="IB66" i="71"/>
  <c r="IB36" i="71"/>
  <c r="IB35" i="71"/>
  <c r="IB34" i="71"/>
  <c r="IA9" i="71"/>
  <c r="IA2" i="71"/>
  <c r="IA66" i="71"/>
  <c r="IA36" i="71"/>
  <c r="IA35" i="71"/>
  <c r="IA34" i="71"/>
  <c r="HZ9" i="71"/>
  <c r="HZ2" i="71"/>
  <c r="HZ66" i="71"/>
  <c r="HZ36" i="71"/>
  <c r="HZ35" i="71"/>
  <c r="HZ34" i="71"/>
  <c r="HY9" i="71"/>
  <c r="HY2" i="71"/>
  <c r="HY66" i="71"/>
  <c r="HY36" i="71"/>
  <c r="HY35" i="71"/>
  <c r="HY34" i="71"/>
  <c r="HX9" i="71"/>
  <c r="HX2" i="71"/>
  <c r="HX66" i="71"/>
  <c r="HX36" i="71"/>
  <c r="HX35" i="71"/>
  <c r="HX34" i="71"/>
  <c r="HW9" i="71"/>
  <c r="HW2" i="71"/>
  <c r="HW66" i="71"/>
  <c r="HW36" i="71"/>
  <c r="HW35" i="71"/>
  <c r="HW34" i="71"/>
  <c r="HV9" i="71"/>
  <c r="HV2" i="71"/>
  <c r="HV66" i="71"/>
  <c r="HV36" i="71"/>
  <c r="HV35" i="71"/>
  <c r="HV34" i="71"/>
  <c r="HU9" i="71"/>
  <c r="HU2" i="71"/>
  <c r="HU66" i="71"/>
  <c r="HU36" i="71"/>
  <c r="HU35" i="71"/>
  <c r="HU34" i="71"/>
  <c r="HT9" i="71"/>
  <c r="HT2" i="71"/>
  <c r="HT66" i="71"/>
  <c r="HT36" i="71"/>
  <c r="HT35" i="71"/>
  <c r="HT34" i="71"/>
  <c r="HS9" i="71"/>
  <c r="HS2" i="71"/>
  <c r="HS36" i="71"/>
  <c r="HR9" i="71"/>
  <c r="HR2" i="71"/>
  <c r="HR36" i="71"/>
  <c r="HR34" i="71"/>
  <c r="HQ9" i="71"/>
  <c r="HQ2" i="71"/>
  <c r="HQ36" i="71"/>
  <c r="HQ34" i="71"/>
  <c r="HP9" i="71"/>
  <c r="HP2" i="71"/>
  <c r="HP36" i="71"/>
  <c r="HP34" i="71"/>
  <c r="HO9" i="71"/>
  <c r="HO2" i="71"/>
  <c r="HO36" i="71"/>
  <c r="HO34" i="71"/>
  <c r="HN9" i="71"/>
  <c r="HN2" i="71"/>
  <c r="HN36" i="71"/>
  <c r="HN34" i="71"/>
  <c r="HM9" i="71"/>
  <c r="HM2" i="71"/>
  <c r="HM36" i="71"/>
  <c r="HM34" i="71"/>
  <c r="HL9" i="71"/>
  <c r="HL2" i="71"/>
  <c r="HL36" i="71"/>
  <c r="HL34" i="71"/>
  <c r="HK9" i="71"/>
  <c r="HK2" i="71"/>
  <c r="HK66" i="71"/>
  <c r="HK36" i="71"/>
  <c r="HK35" i="71"/>
  <c r="HK34" i="71"/>
  <c r="HJ9" i="71"/>
  <c r="HJ2" i="71"/>
  <c r="HJ66" i="71"/>
  <c r="HJ36" i="71"/>
  <c r="HJ35" i="71"/>
  <c r="HJ34" i="71"/>
  <c r="HI9" i="71"/>
  <c r="HI2" i="71"/>
  <c r="HI66" i="71"/>
  <c r="HI36" i="71"/>
  <c r="HI35" i="71"/>
  <c r="HI34" i="71"/>
  <c r="HH9" i="71"/>
  <c r="HH2" i="71"/>
  <c r="HH66" i="71"/>
  <c r="HH36" i="71"/>
  <c r="HH35" i="71"/>
  <c r="HH34" i="71"/>
  <c r="HG9" i="71"/>
  <c r="HG2" i="71"/>
  <c r="HG66" i="71"/>
  <c r="HG36" i="71"/>
  <c r="HG35" i="71"/>
  <c r="HG34" i="71"/>
  <c r="HF9" i="71"/>
  <c r="HF2" i="71"/>
  <c r="HF66" i="71"/>
  <c r="HF36" i="71"/>
  <c r="HF35" i="71"/>
  <c r="HF34" i="71"/>
  <c r="HE9" i="71"/>
  <c r="HE2" i="71"/>
  <c r="HE66" i="71"/>
  <c r="HE36" i="71"/>
  <c r="HE35" i="71"/>
  <c r="HE34" i="71"/>
  <c r="HD9" i="71"/>
  <c r="HD2" i="71"/>
  <c r="HD66" i="71"/>
  <c r="HD36" i="71"/>
  <c r="HD35" i="71"/>
  <c r="HD34" i="71"/>
  <c r="HC9" i="71"/>
  <c r="HC2" i="71"/>
  <c r="HC66" i="71"/>
  <c r="HC36" i="71"/>
  <c r="HC35" i="71"/>
  <c r="HC34" i="71"/>
  <c r="HB9" i="71"/>
  <c r="HB2" i="71"/>
  <c r="HB66" i="71"/>
  <c r="HB36" i="71"/>
  <c r="HB35" i="71"/>
  <c r="HB34" i="71"/>
  <c r="HA9" i="71"/>
  <c r="HA2" i="71"/>
  <c r="HA66" i="71"/>
  <c r="HA36" i="71"/>
  <c r="HA35" i="71"/>
  <c r="HA34" i="71"/>
  <c r="GZ9" i="71"/>
  <c r="GZ2" i="71"/>
  <c r="GZ66" i="71"/>
  <c r="GZ36" i="71"/>
  <c r="GZ35" i="71"/>
  <c r="GZ34" i="71"/>
  <c r="GY9" i="71"/>
  <c r="GY2" i="71"/>
  <c r="GY66" i="71"/>
  <c r="GY36" i="71"/>
  <c r="GY35" i="71"/>
  <c r="GY34" i="71"/>
  <c r="GX9" i="71"/>
  <c r="GX2" i="71"/>
  <c r="GX66" i="71"/>
  <c r="GX36" i="71"/>
  <c r="GX35" i="71"/>
  <c r="GX34" i="71"/>
  <c r="GW9" i="71"/>
  <c r="GW2" i="71"/>
  <c r="GW66" i="71"/>
  <c r="GW36" i="71"/>
  <c r="GW35" i="71"/>
  <c r="GW34" i="71"/>
  <c r="GV9" i="71"/>
  <c r="GV2" i="71"/>
  <c r="GV66" i="71"/>
  <c r="GV36" i="71"/>
  <c r="GV35" i="71"/>
  <c r="GV34" i="71"/>
  <c r="GU9" i="71"/>
  <c r="GU2" i="71"/>
  <c r="GU66" i="71"/>
  <c r="GU36" i="71"/>
  <c r="GU35" i="71"/>
  <c r="GU34" i="71"/>
  <c r="GT9" i="71"/>
  <c r="GT2" i="71"/>
  <c r="GT66" i="71"/>
  <c r="GT36" i="71"/>
  <c r="GT35" i="71"/>
  <c r="GT34" i="71"/>
  <c r="GS9" i="71"/>
  <c r="GS2" i="71"/>
  <c r="GS66" i="71"/>
  <c r="GS36" i="71"/>
  <c r="GS35" i="71"/>
  <c r="GS34" i="71"/>
  <c r="GR9" i="71"/>
  <c r="GR2" i="71"/>
  <c r="GR66" i="71"/>
  <c r="GR36" i="71"/>
  <c r="GR35" i="71"/>
  <c r="GR34" i="71"/>
  <c r="GQ9" i="71"/>
  <c r="GQ2" i="71"/>
  <c r="GQ66" i="71"/>
  <c r="GQ36" i="71"/>
  <c r="GQ35" i="71"/>
  <c r="GQ34" i="71"/>
  <c r="GP9" i="71"/>
  <c r="GP2" i="71"/>
  <c r="GP66" i="71"/>
  <c r="GP36" i="71"/>
  <c r="GP35" i="71"/>
  <c r="GP34" i="71"/>
  <c r="GO9" i="71"/>
  <c r="GO2" i="71"/>
  <c r="GO66" i="71"/>
  <c r="GO36" i="71"/>
  <c r="GO35" i="71"/>
  <c r="GO34" i="71"/>
  <c r="GN9" i="71"/>
  <c r="GN2" i="71"/>
  <c r="GN66" i="71"/>
  <c r="GN36" i="71"/>
  <c r="GN35" i="71"/>
  <c r="GN34" i="71"/>
  <c r="GM9" i="71"/>
  <c r="GM2" i="71"/>
  <c r="GM66" i="71"/>
  <c r="GM36" i="71"/>
  <c r="GM35" i="71"/>
  <c r="GM34" i="71"/>
  <c r="GL9" i="71"/>
  <c r="GL2" i="71"/>
  <c r="GL66" i="71"/>
  <c r="GL36" i="71"/>
  <c r="GL35" i="71"/>
  <c r="GL34" i="71"/>
  <c r="GK9" i="71"/>
  <c r="GK2" i="71"/>
  <c r="GK66" i="71"/>
  <c r="GK36" i="71"/>
  <c r="GK35" i="71"/>
  <c r="GK34" i="71"/>
  <c r="GJ9" i="71"/>
  <c r="GJ2" i="71"/>
  <c r="GJ66" i="71"/>
  <c r="GJ36" i="71"/>
  <c r="GJ35" i="71"/>
  <c r="GJ34" i="71"/>
  <c r="GI9" i="71"/>
  <c r="GI2" i="71"/>
  <c r="GI66" i="71"/>
  <c r="GI36" i="71"/>
  <c r="GI35" i="71"/>
  <c r="GI34" i="71"/>
  <c r="GH9" i="71"/>
  <c r="GH2" i="71"/>
  <c r="GH66" i="71"/>
  <c r="GH36" i="71"/>
  <c r="GH35" i="71"/>
  <c r="GH34" i="71"/>
  <c r="GG9" i="71"/>
  <c r="GG2" i="71"/>
  <c r="GG66" i="71"/>
  <c r="GG36" i="71"/>
  <c r="GG35" i="71"/>
  <c r="GG34" i="71"/>
  <c r="GF9" i="71"/>
  <c r="GF2" i="71"/>
  <c r="GF66" i="71"/>
  <c r="GF36" i="71"/>
  <c r="GF35" i="71"/>
  <c r="GF34" i="71"/>
  <c r="GE9" i="71"/>
  <c r="GE2" i="71"/>
  <c r="GE66" i="71"/>
  <c r="GE36" i="71"/>
  <c r="GE35" i="71"/>
  <c r="GE34" i="71"/>
  <c r="GD9" i="71"/>
  <c r="GD2" i="71"/>
  <c r="GD66" i="71"/>
  <c r="GD36" i="71"/>
  <c r="GD35" i="71"/>
  <c r="GD34" i="71"/>
  <c r="GC9" i="71"/>
  <c r="GC2" i="71"/>
  <c r="GC66" i="71"/>
  <c r="GC36" i="71"/>
  <c r="GC35" i="71"/>
  <c r="GC34" i="71"/>
  <c r="GB9" i="71"/>
  <c r="GB2" i="71"/>
  <c r="GB66" i="71"/>
  <c r="GB36" i="71"/>
  <c r="GB35" i="71"/>
  <c r="GB34" i="71"/>
  <c r="GA9" i="71"/>
  <c r="GA2" i="71"/>
  <c r="GA66" i="71"/>
  <c r="GA36" i="71"/>
  <c r="GA35" i="71"/>
  <c r="GA34" i="71"/>
  <c r="FZ9" i="71"/>
  <c r="FZ2" i="71"/>
  <c r="FZ36" i="71"/>
  <c r="FZ35" i="71"/>
  <c r="FZ34" i="71"/>
  <c r="FY9" i="71"/>
  <c r="FY2" i="71"/>
  <c r="FY66" i="71"/>
  <c r="FY36" i="71"/>
  <c r="FY35" i="71"/>
  <c r="FY34" i="71"/>
  <c r="FX9" i="71"/>
  <c r="FX2" i="71"/>
  <c r="FX36" i="71"/>
  <c r="FX35" i="71"/>
  <c r="FX34" i="71"/>
  <c r="FW9" i="71"/>
  <c r="FW2" i="71"/>
  <c r="FW66" i="71"/>
  <c r="FW36" i="71"/>
  <c r="FW35" i="71"/>
  <c r="FW34" i="71"/>
  <c r="FV9" i="71"/>
  <c r="FV2" i="71"/>
  <c r="FV66" i="71"/>
  <c r="FV36" i="71"/>
  <c r="FV35" i="71"/>
  <c r="FV34" i="71"/>
  <c r="FU9" i="71"/>
  <c r="FU2" i="71"/>
  <c r="FU66" i="71"/>
  <c r="FU36" i="71"/>
  <c r="FU35" i="71"/>
  <c r="FU34" i="71"/>
  <c r="FT9" i="71"/>
  <c r="FT2" i="71"/>
  <c r="FT66" i="71"/>
  <c r="FT36" i="71"/>
  <c r="FT35" i="71"/>
  <c r="FT34" i="71"/>
  <c r="FS9" i="71"/>
  <c r="FS2" i="71"/>
  <c r="FS66" i="71"/>
  <c r="FS36" i="71"/>
  <c r="FS35" i="71"/>
  <c r="FS34" i="71"/>
  <c r="FR9" i="71"/>
  <c r="FR2" i="71"/>
  <c r="FR66" i="71"/>
  <c r="FR36" i="71"/>
  <c r="FR35" i="71"/>
  <c r="FR34" i="71"/>
  <c r="FQ9" i="71"/>
  <c r="FQ2" i="71"/>
  <c r="FQ66" i="71"/>
  <c r="FQ36" i="71"/>
  <c r="FQ35" i="71"/>
  <c r="FQ34" i="71"/>
  <c r="FP9" i="71"/>
  <c r="FP2" i="71"/>
  <c r="FP66" i="71"/>
  <c r="FP36" i="71"/>
  <c r="FP35" i="71"/>
  <c r="FP34" i="71"/>
  <c r="FO9" i="71"/>
  <c r="FO2" i="71"/>
  <c r="FO66" i="71"/>
  <c r="FO36" i="71"/>
  <c r="FO35" i="71"/>
  <c r="FO34" i="71"/>
  <c r="FN9" i="71"/>
  <c r="FN2" i="71"/>
  <c r="FN66" i="71"/>
  <c r="FN36" i="71"/>
  <c r="FN35" i="71"/>
  <c r="FN34" i="71"/>
  <c r="FM9" i="71"/>
  <c r="FM2" i="71"/>
  <c r="FM66" i="71"/>
  <c r="FM36" i="71"/>
  <c r="FM35" i="71"/>
  <c r="FM34" i="71"/>
  <c r="FL9" i="71"/>
  <c r="FL2" i="71"/>
  <c r="FL66" i="71"/>
  <c r="FL36" i="71"/>
  <c r="FL35" i="71"/>
  <c r="FL34" i="71"/>
  <c r="FK9" i="71"/>
  <c r="FK2" i="71"/>
  <c r="FK36" i="71"/>
  <c r="FK35" i="71"/>
  <c r="FK34" i="71"/>
  <c r="FJ9" i="71"/>
  <c r="FJ2" i="71"/>
  <c r="FJ66" i="71"/>
  <c r="FJ36" i="71"/>
  <c r="FJ35" i="71"/>
  <c r="FJ34" i="71"/>
  <c r="FI9" i="71"/>
  <c r="FI2" i="71"/>
  <c r="FI66" i="71"/>
  <c r="FI36" i="71"/>
  <c r="FI35" i="71"/>
  <c r="FI34" i="71"/>
  <c r="FH9" i="71"/>
  <c r="FH2" i="71"/>
  <c r="FH66" i="71"/>
  <c r="FH36" i="71"/>
  <c r="FH35" i="71"/>
  <c r="FH34" i="71"/>
  <c r="FG9" i="71"/>
  <c r="FG2" i="71"/>
  <c r="FG66" i="71"/>
  <c r="FG36" i="71"/>
  <c r="FG35" i="71"/>
  <c r="FG34" i="71"/>
  <c r="FF9" i="71"/>
  <c r="FF2" i="71"/>
  <c r="FF66" i="71"/>
  <c r="FF36" i="71"/>
  <c r="FF35" i="71"/>
  <c r="FF34" i="71"/>
  <c r="FE9" i="71"/>
  <c r="FE2" i="71"/>
  <c r="FE66" i="71"/>
  <c r="FE36" i="71"/>
  <c r="FE35" i="71"/>
  <c r="FE34" i="71"/>
  <c r="FD9" i="71"/>
  <c r="FD2" i="71"/>
  <c r="FD66" i="71"/>
  <c r="FD36" i="71"/>
  <c r="FD35" i="71"/>
  <c r="FD34" i="71"/>
  <c r="FC9" i="71"/>
  <c r="FC2" i="71"/>
  <c r="FC66" i="71"/>
  <c r="FC36" i="71"/>
  <c r="FC35" i="71"/>
  <c r="FC34" i="71"/>
  <c r="FB9" i="71"/>
  <c r="FB2" i="71"/>
  <c r="FB66" i="71"/>
  <c r="FB36" i="71"/>
  <c r="FB35" i="71"/>
  <c r="FB34" i="71"/>
  <c r="FA9" i="71"/>
  <c r="FA2" i="71"/>
  <c r="FA66" i="71"/>
  <c r="FA36" i="71"/>
  <c r="FA35" i="71"/>
  <c r="FA34" i="71"/>
  <c r="EZ9" i="71"/>
  <c r="EZ2" i="71"/>
  <c r="EZ66" i="71"/>
  <c r="EZ36" i="71"/>
  <c r="EZ35" i="71"/>
  <c r="EZ34" i="71"/>
  <c r="EY9" i="71"/>
  <c r="EY2" i="71"/>
  <c r="EY66" i="71"/>
  <c r="EY36" i="71"/>
  <c r="EY35" i="71"/>
  <c r="EY34" i="71"/>
  <c r="EX9" i="71"/>
  <c r="EX2" i="71"/>
  <c r="EX66" i="71"/>
  <c r="EX36" i="71"/>
  <c r="EX35" i="71"/>
  <c r="EX34" i="71"/>
  <c r="EW9" i="71"/>
  <c r="EW2" i="71"/>
  <c r="EW66" i="71"/>
  <c r="EW36" i="71"/>
  <c r="EW35" i="71"/>
  <c r="EW34" i="71"/>
  <c r="EV9" i="71"/>
  <c r="EV2" i="71"/>
  <c r="EV66" i="71"/>
  <c r="EV36" i="71"/>
  <c r="EV35" i="71"/>
  <c r="EV34" i="71"/>
  <c r="EU9" i="71"/>
  <c r="EU2" i="71"/>
  <c r="EU66" i="71"/>
  <c r="EU36" i="71"/>
  <c r="EU35" i="71"/>
  <c r="EU34" i="71"/>
  <c r="ET9" i="71"/>
  <c r="ET2" i="71"/>
  <c r="ET66" i="71"/>
  <c r="ET36" i="71"/>
  <c r="ET35" i="71"/>
  <c r="ET34" i="71"/>
  <c r="ES9" i="71"/>
  <c r="ES2" i="71"/>
  <c r="ES66" i="71"/>
  <c r="ES36" i="71"/>
  <c r="ES35" i="71"/>
  <c r="ES34" i="71"/>
  <c r="ER9" i="71"/>
  <c r="ER2" i="71"/>
  <c r="ER66" i="71"/>
  <c r="ER36" i="71"/>
  <c r="ER35" i="71"/>
  <c r="ER34" i="71"/>
  <c r="EQ9" i="71"/>
  <c r="EQ2" i="71"/>
  <c r="EQ66" i="71"/>
  <c r="EQ36" i="71"/>
  <c r="EQ35" i="71"/>
  <c r="EQ34" i="71"/>
  <c r="EP9" i="71"/>
  <c r="EP2" i="71"/>
  <c r="EP66" i="71"/>
  <c r="EP36" i="71"/>
  <c r="EP35" i="71"/>
  <c r="EP34" i="71"/>
  <c r="EO9" i="71"/>
  <c r="EO2" i="71"/>
  <c r="EO66" i="71"/>
  <c r="EO36" i="71"/>
  <c r="EO35" i="71"/>
  <c r="EO34" i="71"/>
  <c r="EN9" i="71"/>
  <c r="EN2" i="71"/>
  <c r="EN66" i="71"/>
  <c r="EN36" i="71"/>
  <c r="EN35" i="71"/>
  <c r="EN34" i="71"/>
  <c r="EM9" i="71"/>
  <c r="EM2" i="71"/>
  <c r="EM66" i="71"/>
  <c r="EM36" i="71"/>
  <c r="EM35" i="71"/>
  <c r="EM34" i="71"/>
  <c r="EL9" i="71"/>
  <c r="EL2" i="71"/>
  <c r="EL66" i="71"/>
  <c r="EL36" i="71"/>
  <c r="EL35" i="71"/>
  <c r="EL34" i="71"/>
  <c r="EK9" i="71"/>
  <c r="EK2" i="71"/>
  <c r="EK66" i="71"/>
  <c r="EK36" i="71"/>
  <c r="EK35" i="71"/>
  <c r="EK34" i="71"/>
  <c r="EJ9" i="71"/>
  <c r="EJ2" i="71"/>
  <c r="EJ66" i="71"/>
  <c r="EJ36" i="71"/>
  <c r="EJ35" i="71"/>
  <c r="EJ34" i="71"/>
  <c r="EI9" i="71"/>
  <c r="EI2" i="71"/>
  <c r="EI66" i="71"/>
  <c r="EI36" i="71"/>
  <c r="EI35" i="71"/>
  <c r="EI34" i="71"/>
  <c r="EH9" i="71"/>
  <c r="EH2" i="71"/>
  <c r="EH66" i="71"/>
  <c r="EH36" i="71"/>
  <c r="EH35" i="71"/>
  <c r="EH34" i="71"/>
  <c r="EG9" i="71"/>
  <c r="EG2" i="71"/>
  <c r="EG66" i="71"/>
  <c r="EG36" i="71"/>
  <c r="EG35" i="71"/>
  <c r="EG34" i="71"/>
  <c r="EF9" i="71"/>
  <c r="EF2" i="71"/>
  <c r="EF66" i="71"/>
  <c r="EF36" i="71"/>
  <c r="EF35" i="71"/>
  <c r="EF34" i="71"/>
  <c r="EE9" i="71"/>
  <c r="EE2" i="71"/>
  <c r="EE66" i="71"/>
  <c r="EE36" i="71"/>
  <c r="EE35" i="71"/>
  <c r="EE34" i="71"/>
  <c r="ED9" i="71"/>
  <c r="ED2" i="71"/>
  <c r="ED66" i="71"/>
  <c r="ED36" i="71"/>
  <c r="ED35" i="71"/>
  <c r="ED34" i="71"/>
  <c r="EC9" i="71"/>
  <c r="EC2" i="71"/>
  <c r="EC66" i="71"/>
  <c r="EC36" i="71"/>
  <c r="EC35" i="71"/>
  <c r="EC34" i="71"/>
  <c r="EB9" i="71"/>
  <c r="EB2" i="71"/>
  <c r="EB66" i="71"/>
  <c r="EB36" i="71"/>
  <c r="EB35" i="71"/>
  <c r="EB34" i="71"/>
  <c r="EA9" i="71"/>
  <c r="EA2" i="71"/>
  <c r="EA66" i="71"/>
  <c r="EA36" i="71"/>
  <c r="EA35" i="71"/>
  <c r="EA34" i="71"/>
  <c r="DZ9" i="71"/>
  <c r="DZ2" i="71"/>
  <c r="DZ66" i="71"/>
  <c r="DZ36" i="71"/>
  <c r="DZ35" i="71"/>
  <c r="DZ34" i="71"/>
  <c r="DY9" i="71"/>
  <c r="DY2" i="71"/>
  <c r="DY66" i="71"/>
  <c r="DY36" i="71"/>
  <c r="DY35" i="71"/>
  <c r="DY34" i="71"/>
  <c r="DX9" i="71"/>
  <c r="DX2" i="71"/>
  <c r="DX66" i="71"/>
  <c r="DX36" i="71"/>
  <c r="DX35" i="71"/>
  <c r="DX34" i="71"/>
  <c r="DW9" i="71"/>
  <c r="DW2" i="71"/>
  <c r="DW66" i="71"/>
  <c r="DW36" i="71"/>
  <c r="DW35" i="71"/>
  <c r="DW34" i="71"/>
  <c r="DV9" i="71"/>
  <c r="DV2" i="71"/>
  <c r="DV66" i="71"/>
  <c r="DV36" i="71"/>
  <c r="DV35" i="71"/>
  <c r="DV34" i="71"/>
  <c r="DU9" i="71"/>
  <c r="DU2" i="71"/>
  <c r="DU66" i="71"/>
  <c r="DU36" i="71"/>
  <c r="DU35" i="71"/>
  <c r="DU34" i="71"/>
  <c r="DT9" i="71"/>
  <c r="DT2" i="71"/>
  <c r="DT66" i="71"/>
  <c r="DT36" i="71"/>
  <c r="DT35" i="71"/>
  <c r="DT34" i="71"/>
  <c r="DS9" i="71"/>
  <c r="DS2" i="71"/>
  <c r="DS66" i="71"/>
  <c r="DS36" i="71"/>
  <c r="DS35" i="71"/>
  <c r="DS34" i="71"/>
  <c r="DR9" i="71"/>
  <c r="DR2" i="71"/>
  <c r="DR66" i="71"/>
  <c r="DR36" i="71"/>
  <c r="DR35" i="71"/>
  <c r="DR34" i="71"/>
  <c r="DQ9" i="71"/>
  <c r="DQ2" i="71"/>
  <c r="DQ66" i="71"/>
  <c r="DQ36" i="71"/>
  <c r="DQ35" i="71"/>
  <c r="DQ34" i="71"/>
  <c r="DP9" i="71"/>
  <c r="DP2" i="71"/>
  <c r="DP66" i="71"/>
  <c r="DP36" i="71"/>
  <c r="DP35" i="71"/>
  <c r="DP34" i="71"/>
  <c r="DO9" i="71"/>
  <c r="DO2" i="71"/>
  <c r="DO66" i="71"/>
  <c r="DO36" i="71"/>
  <c r="DO35" i="71"/>
  <c r="DO34" i="71"/>
  <c r="DN9" i="71"/>
  <c r="DN2" i="71"/>
  <c r="DN66" i="71"/>
  <c r="DN36" i="71"/>
  <c r="DN35" i="71"/>
  <c r="DN34" i="71"/>
  <c r="DM9" i="71"/>
  <c r="DM2" i="71"/>
  <c r="DM66" i="71"/>
  <c r="DM36" i="71"/>
  <c r="DM35" i="71"/>
  <c r="DM34" i="71"/>
  <c r="DL9" i="71"/>
  <c r="DL2" i="71"/>
  <c r="DL66" i="71"/>
  <c r="DL36" i="71"/>
  <c r="DL35" i="71"/>
  <c r="DL34" i="71"/>
  <c r="DK9" i="71"/>
  <c r="DK2" i="71"/>
  <c r="DK66" i="71"/>
  <c r="DK36" i="71"/>
  <c r="DK35" i="71"/>
  <c r="DK34" i="71"/>
  <c r="DJ9" i="71"/>
  <c r="DJ2" i="71"/>
  <c r="DJ66" i="71"/>
  <c r="DJ36" i="71"/>
  <c r="DJ35" i="71"/>
  <c r="DJ34" i="71"/>
  <c r="DI9" i="71"/>
  <c r="DI2" i="71"/>
  <c r="DI66" i="71"/>
  <c r="DI36" i="71"/>
  <c r="DI35" i="71"/>
  <c r="DI34" i="71"/>
  <c r="DH9" i="71"/>
  <c r="DH2" i="71"/>
  <c r="DH66" i="71"/>
  <c r="DH36" i="71"/>
  <c r="DH35" i="71"/>
  <c r="DH34" i="71"/>
  <c r="DG9" i="71"/>
  <c r="DG2" i="71"/>
  <c r="DG66" i="71"/>
  <c r="DG36" i="71"/>
  <c r="DG35" i="71"/>
  <c r="DG34" i="71"/>
  <c r="DF9" i="71"/>
  <c r="DF2" i="71"/>
  <c r="DF66" i="71"/>
  <c r="DF36" i="71"/>
  <c r="DF35" i="71"/>
  <c r="DF34" i="71"/>
  <c r="DE9" i="71"/>
  <c r="DE2" i="71"/>
  <c r="DE66" i="71"/>
  <c r="DE36" i="71"/>
  <c r="DE35" i="71"/>
  <c r="DE34" i="71"/>
  <c r="DD9" i="71"/>
  <c r="DD2" i="71"/>
  <c r="DD66" i="71"/>
  <c r="DD36" i="71"/>
  <c r="DD35" i="71"/>
  <c r="DD34" i="71"/>
  <c r="DC9" i="71"/>
  <c r="DC2" i="71"/>
  <c r="DC66" i="71"/>
  <c r="DC36" i="71"/>
  <c r="DC35" i="71"/>
  <c r="DC34" i="71"/>
  <c r="DB9" i="71"/>
  <c r="DB2" i="71"/>
  <c r="DB66" i="71"/>
  <c r="DB36" i="71"/>
  <c r="DB35" i="71"/>
  <c r="DB34" i="71"/>
  <c r="DA9" i="71"/>
  <c r="DA2" i="71"/>
  <c r="DA66" i="71"/>
  <c r="DA36" i="71"/>
  <c r="DA35" i="71"/>
  <c r="DA34" i="71"/>
  <c r="CZ9" i="71"/>
  <c r="CZ2" i="71"/>
  <c r="CZ66" i="71"/>
  <c r="CZ36" i="71"/>
  <c r="CZ35" i="71"/>
  <c r="CZ34" i="71"/>
  <c r="CY9" i="71"/>
  <c r="CY2" i="71"/>
  <c r="CY66" i="71"/>
  <c r="CY36" i="71"/>
  <c r="CY35" i="71"/>
  <c r="CY34" i="71"/>
  <c r="CX9" i="71"/>
  <c r="CX2" i="71"/>
  <c r="CX66" i="71"/>
  <c r="CX36" i="71"/>
  <c r="CX35" i="71"/>
  <c r="CX34" i="71"/>
  <c r="CW9" i="71"/>
  <c r="CW2" i="71"/>
  <c r="CW66" i="71"/>
  <c r="CW36" i="71"/>
  <c r="CW35" i="71"/>
  <c r="CW34" i="71"/>
  <c r="CV9" i="71"/>
  <c r="CV2" i="71"/>
  <c r="CV66" i="71"/>
  <c r="CV36" i="71"/>
  <c r="CV35" i="71"/>
  <c r="CV34" i="71"/>
  <c r="CU9" i="71"/>
  <c r="CU2" i="71"/>
  <c r="CU66" i="71"/>
  <c r="CU36" i="71"/>
  <c r="CU35" i="71"/>
  <c r="CU34" i="71"/>
  <c r="CT9" i="71"/>
  <c r="CT2" i="71"/>
  <c r="CT66" i="71"/>
  <c r="CT36" i="71"/>
  <c r="CT35" i="71"/>
  <c r="CT34" i="71"/>
  <c r="CS9" i="71"/>
  <c r="CS2" i="71"/>
  <c r="CS66" i="71"/>
  <c r="CS36" i="71"/>
  <c r="CS35" i="71"/>
  <c r="CS34" i="71"/>
  <c r="CR9" i="71"/>
  <c r="CR2" i="71"/>
  <c r="CR66" i="71"/>
  <c r="CR36" i="71"/>
  <c r="CR35" i="71"/>
  <c r="CR34" i="71"/>
  <c r="CQ9" i="71"/>
  <c r="CQ2" i="71"/>
  <c r="CQ66" i="71"/>
  <c r="CQ36" i="71"/>
  <c r="CQ35" i="71"/>
  <c r="CQ34" i="71"/>
  <c r="CP9" i="71"/>
  <c r="CP2" i="71"/>
  <c r="CP66" i="71"/>
  <c r="CP36" i="71"/>
  <c r="CP35" i="71"/>
  <c r="CP34" i="71"/>
  <c r="CO9" i="71"/>
  <c r="CO2" i="71"/>
  <c r="CO66" i="71"/>
  <c r="CO36" i="71"/>
  <c r="CO35" i="71"/>
  <c r="CO34" i="71"/>
  <c r="CN9" i="71"/>
  <c r="CN2" i="71"/>
  <c r="CN66" i="71"/>
  <c r="CN36" i="71"/>
  <c r="CN35" i="71"/>
  <c r="CN34" i="71"/>
  <c r="CM9" i="71"/>
  <c r="CM2" i="71"/>
  <c r="CM66" i="71"/>
  <c r="CM36" i="71"/>
  <c r="CM35" i="71"/>
  <c r="CM34" i="71"/>
  <c r="CL9" i="71"/>
  <c r="CL2" i="71"/>
  <c r="CL66" i="71"/>
  <c r="CL36" i="71"/>
  <c r="CL35" i="71"/>
  <c r="CL34" i="71"/>
  <c r="CK9" i="71"/>
  <c r="CK2" i="71"/>
  <c r="CK66" i="71"/>
  <c r="CK36" i="71"/>
  <c r="CK35" i="71"/>
  <c r="CK34" i="71"/>
  <c r="CJ9" i="71"/>
  <c r="CJ2" i="71"/>
  <c r="CJ66" i="71"/>
  <c r="CJ36" i="71"/>
  <c r="CJ35" i="71"/>
  <c r="CJ34" i="71"/>
  <c r="CI9" i="71"/>
  <c r="CI2" i="71"/>
  <c r="CI66" i="71"/>
  <c r="CI36" i="71"/>
  <c r="CI35" i="71"/>
  <c r="CI34" i="71"/>
  <c r="CH9" i="71"/>
  <c r="CH2" i="71"/>
  <c r="CH66" i="71"/>
  <c r="CH36" i="71"/>
  <c r="CH35" i="71"/>
  <c r="CH34" i="71"/>
  <c r="CG9" i="71"/>
  <c r="CG2" i="71"/>
  <c r="CG66" i="71"/>
  <c r="CG36" i="71"/>
  <c r="CG35" i="71"/>
  <c r="CG34" i="71"/>
  <c r="CF9" i="71"/>
  <c r="CF2" i="71"/>
  <c r="CF66" i="71"/>
  <c r="CF36" i="71"/>
  <c r="CF35" i="71"/>
  <c r="CF34" i="71"/>
  <c r="CE9" i="71"/>
  <c r="CE2" i="71"/>
  <c r="CE66" i="71"/>
  <c r="CE36" i="71"/>
  <c r="CE35" i="71"/>
  <c r="CE34" i="71"/>
  <c r="CD9" i="71"/>
  <c r="CD2" i="71"/>
  <c r="CD66" i="71"/>
  <c r="CD36" i="71"/>
  <c r="CD35" i="71"/>
  <c r="CD34" i="71"/>
  <c r="CC9" i="71"/>
  <c r="CC2" i="71"/>
  <c r="CC66" i="71"/>
  <c r="CC36" i="71"/>
  <c r="CC35" i="71"/>
  <c r="CC34" i="71"/>
  <c r="CB9" i="71"/>
  <c r="CB2" i="71"/>
  <c r="CB66" i="71"/>
  <c r="CB36" i="71"/>
  <c r="CB35" i="71"/>
  <c r="CB34" i="71"/>
  <c r="CA9" i="71"/>
  <c r="CA2" i="71"/>
  <c r="CA66" i="71"/>
  <c r="CA36" i="71"/>
  <c r="CA35" i="71"/>
  <c r="CA34" i="71"/>
  <c r="BZ9" i="71"/>
  <c r="BZ2" i="71"/>
  <c r="BZ66" i="71"/>
  <c r="BZ36" i="71"/>
  <c r="BZ35" i="71"/>
  <c r="BZ34" i="71"/>
  <c r="BY9" i="71"/>
  <c r="BY2" i="71"/>
  <c r="BY66" i="71"/>
  <c r="BY36" i="71"/>
  <c r="BY35" i="71"/>
  <c r="BY34" i="71"/>
  <c r="BX9" i="71"/>
  <c r="BX2" i="71"/>
  <c r="BX66" i="71"/>
  <c r="BX36" i="71"/>
  <c r="BX35" i="71"/>
  <c r="BX34" i="71"/>
  <c r="BW9" i="71"/>
  <c r="BW2" i="71"/>
  <c r="BW66" i="71"/>
  <c r="BW36" i="71"/>
  <c r="BW35" i="71"/>
  <c r="BW34" i="71"/>
  <c r="BV9" i="71"/>
  <c r="BV2" i="71"/>
  <c r="BV66" i="71"/>
  <c r="BV36" i="71"/>
  <c r="BV35" i="71"/>
  <c r="BV34" i="71"/>
  <c r="BU9" i="71"/>
  <c r="BU2" i="71"/>
  <c r="BU66" i="71"/>
  <c r="BU36" i="71"/>
  <c r="BU35" i="71"/>
  <c r="BU34" i="71"/>
  <c r="BT9" i="71"/>
  <c r="BT2" i="71"/>
  <c r="BT66" i="71"/>
  <c r="BT36" i="71"/>
  <c r="BT35" i="71"/>
  <c r="BT34" i="71"/>
  <c r="BS9" i="71"/>
  <c r="BS2" i="71"/>
  <c r="BS66" i="71"/>
  <c r="BS36" i="71"/>
  <c r="BS35" i="71"/>
  <c r="BS34" i="71"/>
  <c r="BR9" i="71"/>
  <c r="BR2" i="71"/>
  <c r="BR66" i="71"/>
  <c r="BR36" i="71"/>
  <c r="BR35" i="71"/>
  <c r="BR34" i="71"/>
  <c r="BQ9" i="71"/>
  <c r="BQ2" i="71"/>
  <c r="BQ66" i="71"/>
  <c r="BQ36" i="71"/>
  <c r="BQ35" i="71"/>
  <c r="BQ34" i="71"/>
  <c r="BP9" i="71"/>
  <c r="BP2" i="71"/>
  <c r="BP66" i="71"/>
  <c r="BP36" i="71"/>
  <c r="BP35" i="71"/>
  <c r="BP34" i="71"/>
  <c r="BO9" i="71"/>
  <c r="BO2" i="71"/>
  <c r="BO66" i="71"/>
  <c r="BO36" i="71"/>
  <c r="BO35" i="71"/>
  <c r="BO34" i="71"/>
  <c r="BN9" i="71"/>
  <c r="BN2" i="71"/>
  <c r="BN66" i="71"/>
  <c r="BN36" i="71"/>
  <c r="BN35" i="71"/>
  <c r="BN34" i="71"/>
  <c r="BM9" i="71"/>
  <c r="BM2" i="71"/>
  <c r="BM66" i="71"/>
  <c r="BM36" i="71"/>
  <c r="BM35" i="71"/>
  <c r="BM34" i="71"/>
  <c r="BL9" i="71"/>
  <c r="BL2" i="71"/>
  <c r="BL66" i="71"/>
  <c r="BL36" i="71"/>
  <c r="BL35" i="71"/>
  <c r="BL34" i="71"/>
  <c r="BK9" i="71"/>
  <c r="BK2" i="71"/>
  <c r="BK66" i="71"/>
  <c r="BK36" i="71"/>
  <c r="BK35" i="71"/>
  <c r="BK34" i="71"/>
  <c r="BJ9" i="71"/>
  <c r="BJ2" i="71"/>
  <c r="BJ66" i="71"/>
  <c r="BJ36" i="71"/>
  <c r="BJ35" i="71"/>
  <c r="BJ34" i="71"/>
  <c r="BI2" i="71"/>
  <c r="BI66" i="71"/>
  <c r="BI36" i="71"/>
  <c r="BI35" i="71"/>
  <c r="BI34" i="71"/>
  <c r="BH9" i="71"/>
  <c r="BH2" i="71"/>
  <c r="BH66" i="71"/>
  <c r="BH36" i="71"/>
  <c r="BH35" i="71"/>
  <c r="BH34" i="71"/>
  <c r="BG9" i="71"/>
  <c r="BG2" i="71"/>
  <c r="BG66" i="71"/>
  <c r="BG36" i="71"/>
  <c r="BG35" i="71"/>
  <c r="BG34" i="71"/>
  <c r="BF2" i="71"/>
  <c r="BF66" i="71"/>
  <c r="BF36" i="71"/>
  <c r="BF35" i="71"/>
  <c r="BF34" i="71"/>
  <c r="BE2" i="71"/>
  <c r="BE66" i="71"/>
  <c r="BE36" i="71"/>
  <c r="BE35" i="71"/>
  <c r="BE34" i="71"/>
  <c r="BD9" i="71"/>
  <c r="BD2" i="71"/>
  <c r="BD66" i="71"/>
  <c r="BD36" i="71"/>
  <c r="BD35" i="71"/>
  <c r="BD34" i="71"/>
  <c r="BC9" i="71"/>
  <c r="BC2" i="71"/>
  <c r="BC66" i="71"/>
  <c r="BC36" i="71"/>
  <c r="BC35" i="71"/>
  <c r="BC34" i="71"/>
  <c r="BB9" i="71"/>
  <c r="BB2" i="71"/>
  <c r="BB66" i="71"/>
  <c r="BB36" i="71"/>
  <c r="BB35" i="71"/>
  <c r="BB34" i="71"/>
  <c r="BA9" i="71"/>
  <c r="BA2" i="71"/>
  <c r="BA66" i="71"/>
  <c r="BA36" i="71"/>
  <c r="BA35" i="71"/>
  <c r="BA34" i="71"/>
  <c r="AZ9" i="71"/>
  <c r="AZ2" i="71"/>
  <c r="AZ66" i="71"/>
  <c r="AZ36" i="71"/>
  <c r="AZ35" i="71"/>
  <c r="AZ34" i="71"/>
  <c r="AY9" i="71"/>
  <c r="AY2" i="71"/>
  <c r="AY66" i="71"/>
  <c r="AY36" i="71"/>
  <c r="AY35" i="71"/>
  <c r="AY34" i="71"/>
  <c r="AX9" i="71"/>
  <c r="AX2" i="71"/>
  <c r="AX66" i="71"/>
  <c r="AX36" i="71"/>
  <c r="AX35" i="71"/>
  <c r="AX34" i="71"/>
  <c r="AW9" i="71"/>
  <c r="AW2" i="71"/>
  <c r="AW66" i="71"/>
  <c r="AW36" i="71"/>
  <c r="AW35" i="71"/>
  <c r="AW34" i="71"/>
  <c r="AV9" i="71"/>
  <c r="AV2" i="71"/>
  <c r="AV66" i="71"/>
  <c r="AV36" i="71"/>
  <c r="AV35" i="71"/>
  <c r="AV34" i="71"/>
  <c r="AU9" i="71"/>
  <c r="AU2" i="71"/>
  <c r="AU66" i="71"/>
  <c r="AU36" i="71"/>
  <c r="AU35" i="71"/>
  <c r="AU34" i="71"/>
  <c r="AT2" i="71"/>
  <c r="AT66" i="71"/>
  <c r="AT36" i="71"/>
  <c r="AT35" i="71"/>
  <c r="AT34" i="71"/>
  <c r="AS9" i="71"/>
  <c r="AS2" i="71"/>
  <c r="AS66" i="71"/>
  <c r="AS36" i="71"/>
  <c r="AS35" i="71"/>
  <c r="AS34" i="71"/>
  <c r="AR9" i="71"/>
  <c r="AR2" i="71"/>
  <c r="AR66" i="71"/>
  <c r="AR36" i="71"/>
  <c r="AR35" i="71"/>
  <c r="AR34" i="71"/>
  <c r="AQ9" i="71"/>
  <c r="AQ2" i="71"/>
  <c r="AQ66" i="71"/>
  <c r="AQ36" i="71"/>
  <c r="AQ35" i="71"/>
  <c r="AQ34" i="71"/>
  <c r="AP9" i="71"/>
  <c r="AP2" i="71"/>
  <c r="AP66" i="71"/>
  <c r="AP36" i="71"/>
  <c r="AP35" i="71"/>
  <c r="AP34" i="71"/>
  <c r="AO9" i="71"/>
  <c r="AO2" i="71"/>
  <c r="AO66" i="71"/>
  <c r="AO36" i="71"/>
  <c r="AO35" i="71"/>
  <c r="AO34" i="71"/>
  <c r="AN9" i="71"/>
  <c r="AN2" i="71"/>
  <c r="AN66" i="71"/>
  <c r="AN36" i="71"/>
  <c r="AN35" i="71"/>
  <c r="AN34" i="71"/>
  <c r="AM9" i="71"/>
  <c r="AM2" i="71"/>
  <c r="AM66" i="71"/>
  <c r="AM36" i="71"/>
  <c r="AM35" i="71"/>
  <c r="AM34" i="71"/>
  <c r="AL9" i="71"/>
  <c r="AL2" i="71"/>
  <c r="AL66" i="71"/>
  <c r="AL36" i="71"/>
  <c r="AL35" i="71"/>
  <c r="AL34" i="71"/>
  <c r="AK9" i="71"/>
  <c r="AK2" i="71"/>
  <c r="AK66" i="71"/>
  <c r="AK36" i="71"/>
  <c r="AK35" i="71"/>
  <c r="AK34" i="71"/>
  <c r="AJ9" i="71"/>
  <c r="AJ2" i="71"/>
  <c r="AJ66" i="71"/>
  <c r="AJ36" i="71"/>
  <c r="AJ34" i="71"/>
  <c r="AI9" i="71"/>
  <c r="AI2" i="71"/>
  <c r="AI66" i="71"/>
  <c r="AI36" i="71"/>
  <c r="AI34" i="71"/>
  <c r="AH9" i="71"/>
  <c r="AH2" i="71"/>
  <c r="AH66" i="71"/>
  <c r="AH36" i="71"/>
  <c r="AH35" i="71"/>
  <c r="AH34" i="71"/>
  <c r="AG9" i="71"/>
  <c r="AG2" i="71"/>
  <c r="AG66" i="71"/>
  <c r="AG36" i="71"/>
  <c r="AG35" i="71"/>
  <c r="AG34" i="71"/>
  <c r="AF9" i="71"/>
  <c r="AF2" i="71"/>
  <c r="AF66" i="71"/>
  <c r="AF36" i="71"/>
  <c r="AF35" i="71"/>
  <c r="AF34" i="71"/>
  <c r="AE9" i="71"/>
  <c r="AE2" i="71"/>
  <c r="AE66" i="71"/>
  <c r="AE36" i="71"/>
  <c r="AE35" i="71"/>
  <c r="AE34" i="71"/>
  <c r="AD9" i="71"/>
  <c r="AD2" i="71"/>
  <c r="AD66" i="71"/>
  <c r="AD36" i="71"/>
  <c r="AD35" i="71"/>
  <c r="AD34" i="71"/>
  <c r="AC9" i="71"/>
  <c r="AC2" i="71"/>
  <c r="AC66" i="71"/>
  <c r="AC36" i="71"/>
  <c r="AC35" i="71"/>
  <c r="AC34" i="71"/>
  <c r="AB9" i="71"/>
  <c r="AB2" i="71"/>
  <c r="AB66" i="71"/>
  <c r="AB36" i="71"/>
  <c r="AB35" i="71"/>
  <c r="AB34" i="71"/>
  <c r="AA9" i="71"/>
  <c r="AA2" i="71"/>
  <c r="AA66" i="71"/>
  <c r="AA36" i="71"/>
  <c r="AA35" i="71"/>
  <c r="AA34" i="71"/>
  <c r="Z9" i="71"/>
  <c r="Z2" i="71"/>
  <c r="Z66" i="71"/>
  <c r="Z36" i="71"/>
  <c r="Z35" i="71"/>
  <c r="Z34" i="71"/>
  <c r="Y9" i="71"/>
  <c r="Y2" i="71"/>
  <c r="Y66" i="71"/>
  <c r="Y36" i="71"/>
  <c r="Y35" i="71"/>
  <c r="Y34" i="71"/>
  <c r="X9" i="71"/>
  <c r="X2" i="71"/>
  <c r="X66" i="71"/>
  <c r="X36" i="71"/>
  <c r="X35" i="71"/>
  <c r="X34" i="71"/>
  <c r="W9" i="71"/>
  <c r="W2" i="71"/>
  <c r="W66" i="71"/>
  <c r="W36" i="71"/>
  <c r="W35" i="71"/>
  <c r="W34" i="71"/>
  <c r="V9" i="71"/>
  <c r="V2" i="71"/>
  <c r="V66" i="71"/>
  <c r="V36" i="71"/>
  <c r="V35" i="71"/>
  <c r="V34" i="71"/>
  <c r="U9" i="71"/>
  <c r="U2" i="71"/>
  <c r="U66" i="71"/>
  <c r="U36" i="71"/>
  <c r="U35" i="71"/>
  <c r="U34" i="71"/>
  <c r="T9" i="71"/>
  <c r="T2" i="71"/>
  <c r="T66" i="71"/>
  <c r="B66" i="71" s="1"/>
  <c r="T36" i="71"/>
  <c r="T35" i="71"/>
  <c r="T34" i="71"/>
  <c r="B34" i="71" s="1"/>
  <c r="S9" i="71"/>
  <c r="S2" i="71"/>
  <c r="S66" i="71"/>
  <c r="S36" i="71"/>
  <c r="S35" i="71"/>
  <c r="S34" i="71"/>
  <c r="R9" i="71"/>
  <c r="R2" i="71"/>
  <c r="R66" i="71"/>
  <c r="R36" i="71"/>
  <c r="R35" i="71"/>
  <c r="R34" i="71"/>
  <c r="O9" i="71"/>
  <c r="O2" i="71"/>
  <c r="O66" i="71"/>
  <c r="O36" i="71"/>
  <c r="O35" i="71"/>
  <c r="O34" i="71"/>
  <c r="N9" i="71"/>
  <c r="N2" i="71"/>
  <c r="N66" i="71"/>
  <c r="N36" i="71"/>
  <c r="N35" i="71"/>
  <c r="N34" i="71"/>
  <c r="M9" i="71"/>
  <c r="M2" i="71"/>
  <c r="M66" i="71"/>
  <c r="M36" i="71"/>
  <c r="M35" i="71"/>
  <c r="M34" i="71"/>
  <c r="E9" i="71"/>
  <c r="E2" i="71"/>
  <c r="E66" i="71"/>
  <c r="E36" i="71"/>
  <c r="E35" i="71"/>
  <c r="E34" i="71"/>
  <c r="D9" i="71"/>
  <c r="D2" i="71"/>
  <c r="D66" i="71"/>
  <c r="D36" i="71"/>
  <c r="D35" i="71"/>
  <c r="D34" i="71"/>
  <c r="A9" i="71"/>
  <c r="P9" i="71" s="1"/>
  <c r="A66" i="71"/>
  <c r="P66" i="71" s="1"/>
  <c r="A36" i="71"/>
  <c r="P36" i="71" s="1"/>
  <c r="A34" i="71"/>
  <c r="P34" i="71" s="1"/>
  <c r="T66" i="67" l="1"/>
  <c r="U66" i="67"/>
  <c r="L35" i="71"/>
  <c r="L2" i="71"/>
  <c r="L9" i="71"/>
  <c r="L34" i="71"/>
  <c r="L36" i="71"/>
  <c r="L66" i="71"/>
  <c r="J39" i="71"/>
  <c r="K39" i="71"/>
  <c r="J9" i="71"/>
  <c r="K9" i="71"/>
  <c r="J35" i="71"/>
  <c r="K35" i="71"/>
  <c r="J34" i="71"/>
  <c r="K34" i="71"/>
  <c r="J36" i="71"/>
  <c r="K36" i="71"/>
  <c r="J66" i="71"/>
  <c r="K66" i="71"/>
  <c r="J2" i="71"/>
  <c r="K2" i="71"/>
  <c r="J38" i="71"/>
  <c r="K38" i="71"/>
  <c r="LR56" i="67"/>
  <c r="H34" i="71"/>
  <c r="I34" i="71"/>
  <c r="H35" i="71"/>
  <c r="I35" i="71"/>
  <c r="H36" i="71"/>
  <c r="I36" i="71"/>
  <c r="H66" i="71"/>
  <c r="I66" i="71"/>
  <c r="H2" i="71"/>
  <c r="I2" i="71"/>
  <c r="H38" i="71"/>
  <c r="I38" i="71"/>
  <c r="H39" i="71"/>
  <c r="I39" i="71"/>
  <c r="H9" i="71"/>
  <c r="I9" i="71"/>
  <c r="B36" i="71"/>
  <c r="B9" i="71"/>
  <c r="B35" i="71"/>
  <c r="B2" i="71"/>
  <c r="A1" i="67" l="1"/>
  <c r="B1" i="67"/>
  <c r="C1" i="67"/>
  <c r="D1" i="67"/>
  <c r="E1" i="67"/>
  <c r="F1" i="67"/>
  <c r="G1" i="67"/>
  <c r="H1" i="67"/>
  <c r="I1" i="67"/>
  <c r="J1" i="67"/>
  <c r="K1" i="67"/>
  <c r="L1" i="67"/>
  <c r="M1" i="67"/>
  <c r="N1" i="67"/>
  <c r="O1" i="67"/>
  <c r="P1" i="67"/>
  <c r="Q1" i="67"/>
  <c r="R1" i="67"/>
  <c r="S1" i="67"/>
  <c r="T1" i="67"/>
  <c r="U1" i="67"/>
  <c r="V1" i="67"/>
  <c r="W1" i="67"/>
  <c r="X1" i="67"/>
  <c r="Y1" i="67"/>
  <c r="Z1" i="67"/>
  <c r="AA1" i="67"/>
  <c r="AB1" i="67"/>
  <c r="AC1" i="67"/>
  <c r="AD1" i="67"/>
  <c r="AE1" i="67"/>
  <c r="AF1" i="67"/>
  <c r="AG1" i="67"/>
  <c r="AH1" i="67"/>
  <c r="AI1" i="67"/>
  <c r="AJ1" i="67"/>
  <c r="AK1" i="67"/>
  <c r="AL1" i="67"/>
  <c r="AM1" i="67"/>
  <c r="AN1" i="67"/>
  <c r="AO1" i="67"/>
  <c r="AP1" i="67"/>
  <c r="AQ1" i="67"/>
  <c r="AR1" i="67"/>
  <c r="AS1" i="67"/>
  <c r="AT1" i="67"/>
  <c r="AU1" i="67"/>
  <c r="AV1" i="67"/>
  <c r="AW1" i="67"/>
  <c r="AX1" i="67"/>
  <c r="AY1" i="67"/>
  <c r="AZ1" i="67"/>
  <c r="BA1" i="67"/>
  <c r="BB1" i="67"/>
  <c r="BC1" i="67"/>
  <c r="BD1" i="67"/>
  <c r="BE1" i="67"/>
  <c r="BF1" i="67"/>
  <c r="BG1" i="67"/>
  <c r="BH1" i="67"/>
  <c r="BI1" i="67"/>
  <c r="BJ1" i="67"/>
  <c r="BK1" i="67"/>
  <c r="BL1" i="67"/>
  <c r="BM1" i="67"/>
  <c r="BN1" i="67"/>
  <c r="BO1" i="67"/>
  <c r="BP1" i="67"/>
  <c r="BQ1" i="67"/>
  <c r="BR1" i="67"/>
  <c r="BS1" i="67"/>
  <c r="BT1" i="67"/>
  <c r="BU1" i="67"/>
  <c r="BV1" i="67"/>
  <c r="BW1" i="67"/>
  <c r="BX1" i="67"/>
  <c r="BY1" i="67"/>
  <c r="BZ1" i="67"/>
  <c r="CA1" i="67"/>
  <c r="CB1" i="67"/>
  <c r="CC1" i="67"/>
  <c r="CD1" i="67"/>
  <c r="CE1" i="67"/>
  <c r="CF1" i="67"/>
  <c r="CG1" i="67"/>
  <c r="CH1" i="67"/>
  <c r="CI1" i="67"/>
  <c r="CJ1" i="67"/>
  <c r="CK1" i="67"/>
  <c r="CL1" i="67"/>
  <c r="CM1" i="67"/>
  <c r="CN1" i="67"/>
  <c r="CO1" i="67"/>
  <c r="CP1" i="67"/>
  <c r="CQ1" i="67"/>
  <c r="CR1" i="67"/>
  <c r="CS1" i="67"/>
  <c r="CT1" i="67"/>
  <c r="CU1" i="67"/>
  <c r="CV1" i="67"/>
  <c r="CW1" i="67"/>
  <c r="CX1" i="67"/>
  <c r="CY1" i="67"/>
  <c r="CZ1" i="67"/>
  <c r="DA1" i="67"/>
  <c r="DB1" i="67"/>
  <c r="DC1" i="67"/>
  <c r="DD1" i="67"/>
  <c r="DE1" i="67"/>
  <c r="DF1" i="67"/>
  <c r="DG1" i="67"/>
  <c r="DH1" i="67"/>
  <c r="DI1" i="67"/>
  <c r="DJ1" i="67"/>
  <c r="DK1" i="67"/>
  <c r="DL1" i="67"/>
  <c r="DM1" i="67"/>
  <c r="DN1" i="67"/>
  <c r="DO1" i="67"/>
  <c r="DP1" i="67"/>
  <c r="DQ1" i="67"/>
  <c r="DR1" i="67"/>
  <c r="DS1" i="67"/>
  <c r="DT1" i="67"/>
  <c r="DU1" i="67"/>
  <c r="DV1" i="67"/>
  <c r="DW1" i="67"/>
  <c r="DX1" i="67"/>
  <c r="DY1" i="67"/>
  <c r="DZ1" i="67"/>
  <c r="EA1" i="67"/>
  <c r="EB1" i="67"/>
  <c r="EC1" i="67"/>
  <c r="ED1" i="67"/>
  <c r="EE1" i="67"/>
  <c r="EF1" i="67"/>
  <c r="EG1" i="67"/>
  <c r="EH1" i="67"/>
  <c r="EI1" i="67"/>
  <c r="EJ1" i="67"/>
  <c r="EK1" i="67"/>
  <c r="EL1" i="67"/>
  <c r="EM1" i="67"/>
  <c r="EN1" i="67"/>
  <c r="EO1" i="67"/>
  <c r="EP1" i="67"/>
  <c r="EQ1" i="67"/>
  <c r="ER1" i="67"/>
  <c r="ES1" i="67"/>
  <c r="ET1" i="67"/>
  <c r="EU1" i="67"/>
  <c r="EV1" i="67"/>
  <c r="EW1" i="67"/>
  <c r="EX1" i="67"/>
  <c r="EY1" i="67"/>
  <c r="EZ1" i="67"/>
  <c r="FA1" i="67"/>
  <c r="FB1" i="67"/>
  <c r="FC1" i="67"/>
  <c r="FD1" i="67"/>
  <c r="FE1" i="67"/>
  <c r="FF1" i="67"/>
  <c r="FG1" i="67"/>
  <c r="FH1" i="67"/>
  <c r="FI1" i="67"/>
  <c r="FJ1" i="67"/>
  <c r="FK1" i="67"/>
  <c r="FL1" i="67"/>
  <c r="FM1" i="67"/>
  <c r="FN1" i="67"/>
  <c r="FO1" i="67"/>
  <c r="FP1" i="67"/>
  <c r="FQ1" i="67"/>
  <c r="FR1" i="67"/>
  <c r="FS1" i="67"/>
  <c r="FT1" i="67"/>
  <c r="FU1" i="67"/>
  <c r="FV1" i="67"/>
  <c r="FW1" i="67"/>
  <c r="FX1" i="67"/>
  <c r="FY1" i="67"/>
  <c r="FZ1" i="67"/>
  <c r="GA1" i="67"/>
  <c r="GB1" i="67"/>
  <c r="GC1" i="67"/>
  <c r="GD1" i="67"/>
  <c r="GE1" i="67"/>
  <c r="GF1" i="67"/>
  <c r="GG1" i="67"/>
  <c r="GH1" i="67"/>
  <c r="GI1" i="67"/>
  <c r="GJ1" i="67"/>
  <c r="GK1" i="67"/>
  <c r="GL1" i="67"/>
  <c r="GM1" i="67"/>
  <c r="GN1" i="67"/>
  <c r="GO1" i="67"/>
  <c r="GP1" i="67"/>
  <c r="GQ1" i="67"/>
  <c r="GR1" i="67"/>
  <c r="GS1" i="67"/>
  <c r="GT1" i="67"/>
  <c r="GU1" i="67"/>
  <c r="GV1" i="67"/>
  <c r="GW1" i="67"/>
  <c r="GX1" i="67"/>
  <c r="GY1" i="67"/>
  <c r="GZ1" i="67"/>
  <c r="HA1" i="67"/>
  <c r="HB1" i="67"/>
  <c r="HC1" i="67"/>
  <c r="HD1" i="67"/>
  <c r="HE1" i="67"/>
  <c r="HF1" i="67"/>
  <c r="HG1" i="67"/>
  <c r="HH1" i="67"/>
  <c r="HI1" i="67"/>
  <c r="HJ1" i="67"/>
  <c r="HK1" i="67"/>
  <c r="HL1" i="67"/>
  <c r="HM1" i="67"/>
  <c r="HN1" i="67"/>
  <c r="HO1" i="67"/>
  <c r="HP1" i="67"/>
  <c r="HQ1" i="67"/>
  <c r="HR1" i="67"/>
  <c r="HS1" i="67"/>
  <c r="HT1" i="67"/>
  <c r="HU1" i="67"/>
  <c r="HV1" i="67"/>
  <c r="HW1" i="67"/>
  <c r="HX1" i="67"/>
  <c r="HY1" i="67"/>
  <c r="HZ1" i="67"/>
  <c r="IA1" i="67"/>
  <c r="IB1" i="67"/>
  <c r="IC1" i="67"/>
  <c r="ID1" i="67"/>
  <c r="IE1" i="67"/>
  <c r="IF1" i="67"/>
  <c r="IG1" i="67"/>
  <c r="IH1" i="67"/>
  <c r="II1" i="67"/>
  <c r="IJ1" i="67"/>
  <c r="IK1" i="67"/>
  <c r="IL1" i="67"/>
  <c r="IM1" i="67"/>
  <c r="IN1" i="67"/>
  <c r="IO1" i="67"/>
  <c r="IP1" i="67"/>
  <c r="IQ1" i="67"/>
  <c r="IR1" i="67"/>
  <c r="IS1" i="67"/>
  <c r="IT1" i="67"/>
  <c r="IU1" i="67"/>
  <c r="IV1" i="67"/>
  <c r="IW1" i="67"/>
  <c r="IX1" i="67"/>
  <c r="IY1" i="67"/>
  <c r="IZ1" i="67"/>
  <c r="JA1" i="67"/>
  <c r="JB1" i="67"/>
  <c r="JC1" i="67"/>
  <c r="JD1" i="67"/>
  <c r="JE1" i="67"/>
  <c r="JF1" i="67"/>
  <c r="JG1" i="67"/>
  <c r="JH1" i="67"/>
  <c r="JI1" i="67"/>
  <c r="JJ1" i="67"/>
  <c r="JK1" i="67"/>
  <c r="JL1" i="67"/>
  <c r="JM1" i="67"/>
  <c r="JN1" i="67"/>
  <c r="JO1" i="67"/>
  <c r="JP1" i="67"/>
  <c r="JQ1" i="67"/>
  <c r="JR1" i="67"/>
  <c r="JS1" i="67"/>
  <c r="JT1" i="67"/>
  <c r="JU1" i="67"/>
  <c r="JV1" i="67"/>
  <c r="JW1" i="67"/>
  <c r="JX1" i="67"/>
  <c r="JY1" i="67"/>
  <c r="JZ1" i="67"/>
  <c r="KA1" i="67"/>
  <c r="KB1" i="67"/>
  <c r="KC1" i="67"/>
  <c r="KD1" i="67"/>
  <c r="KE1" i="67"/>
  <c r="KF1" i="67"/>
  <c r="KG1" i="67"/>
  <c r="KH1" i="67"/>
  <c r="KI1" i="67"/>
  <c r="KJ1" i="67"/>
  <c r="KK1" i="67"/>
  <c r="KL1" i="67"/>
  <c r="KM1" i="67"/>
  <c r="KN1" i="67"/>
  <c r="KO1" i="67"/>
  <c r="KP1" i="67"/>
  <c r="KQ1" i="67"/>
  <c r="KR1" i="67"/>
  <c r="KS1" i="67"/>
  <c r="KT1" i="67"/>
  <c r="KU1" i="67"/>
  <c r="KV1" i="67"/>
  <c r="KW1" i="67"/>
  <c r="KX1" i="67"/>
  <c r="KY1" i="67"/>
  <c r="KZ1" i="67"/>
  <c r="LA1" i="67"/>
  <c r="LB1" i="67"/>
  <c r="LC1" i="67"/>
  <c r="LD1" i="67"/>
  <c r="LE1" i="67"/>
  <c r="LF1" i="67"/>
  <c r="LG1" i="67"/>
  <c r="LH1" i="67"/>
  <c r="LI1" i="67"/>
  <c r="LJ1" i="67"/>
  <c r="LK1" i="67"/>
  <c r="LL1" i="67"/>
  <c r="LM1" i="67"/>
  <c r="LN1" i="67"/>
  <c r="LO1" i="67"/>
  <c r="LP1" i="67"/>
  <c r="LQ1" i="67"/>
  <c r="LR1" i="67"/>
  <c r="LS1" i="67"/>
  <c r="LT1" i="67"/>
  <c r="LU1" i="67"/>
  <c r="LV1" i="67"/>
  <c r="LW1" i="67"/>
  <c r="LX1" i="67"/>
  <c r="LY1" i="67"/>
  <c r="LZ1" i="67"/>
  <c r="MA1" i="67"/>
  <c r="D27" i="71"/>
  <c r="E27" i="71"/>
  <c r="M27" i="71"/>
  <c r="N27" i="71"/>
  <c r="O27" i="71"/>
  <c r="R27" i="71"/>
  <c r="S27" i="71"/>
  <c r="T27" i="71"/>
  <c r="U27" i="71"/>
  <c r="V27" i="71"/>
  <c r="W27" i="71"/>
  <c r="X27" i="71"/>
  <c r="Y27" i="71"/>
  <c r="Z27" i="71"/>
  <c r="AA27" i="71"/>
  <c r="AB27" i="71"/>
  <c r="AC27" i="71"/>
  <c r="AD27" i="71"/>
  <c r="AE27" i="71"/>
  <c r="AF27" i="71"/>
  <c r="AG27" i="71"/>
  <c r="AH27" i="71"/>
  <c r="AI27" i="71"/>
  <c r="AJ27" i="71"/>
  <c r="AK27" i="71"/>
  <c r="AL27" i="71"/>
  <c r="AM27" i="71"/>
  <c r="AN27" i="71"/>
  <c r="AO27" i="71"/>
  <c r="AP27" i="71"/>
  <c r="AQ27" i="71"/>
  <c r="AR27" i="71"/>
  <c r="AS27" i="71"/>
  <c r="AT27" i="71"/>
  <c r="AU27" i="71"/>
  <c r="AV27" i="71"/>
  <c r="AW27" i="71"/>
  <c r="AX27" i="71"/>
  <c r="AY27" i="71"/>
  <c r="AZ27" i="71"/>
  <c r="BA27" i="71"/>
  <c r="BB27" i="71"/>
  <c r="BC27" i="71"/>
  <c r="BD27" i="71"/>
  <c r="BE27" i="71"/>
  <c r="BF27" i="71"/>
  <c r="BG27" i="71"/>
  <c r="BH27" i="71"/>
  <c r="BI27" i="71"/>
  <c r="BJ27" i="71"/>
  <c r="BK27" i="71"/>
  <c r="BL27" i="71"/>
  <c r="BM27" i="71"/>
  <c r="BN27" i="71"/>
  <c r="BO27" i="71"/>
  <c r="BP27" i="71"/>
  <c r="BQ27" i="71"/>
  <c r="BR27" i="71"/>
  <c r="BS27" i="71"/>
  <c r="BT27" i="71"/>
  <c r="BU27" i="71"/>
  <c r="BV27" i="71"/>
  <c r="BW27" i="71"/>
  <c r="BX27" i="71"/>
  <c r="BY27" i="71"/>
  <c r="BZ27" i="71"/>
  <c r="CA27" i="71"/>
  <c r="CB27" i="71"/>
  <c r="CC27" i="71"/>
  <c r="CD27" i="71"/>
  <c r="CE27" i="71"/>
  <c r="CF27" i="71"/>
  <c r="CG27" i="71"/>
  <c r="CH27" i="71"/>
  <c r="CI27" i="71"/>
  <c r="CJ27" i="71"/>
  <c r="CK27" i="71"/>
  <c r="CL27" i="71"/>
  <c r="CM27" i="71"/>
  <c r="CN27" i="71"/>
  <c r="CO27" i="71"/>
  <c r="CP27" i="71"/>
  <c r="CQ27" i="71"/>
  <c r="CR27" i="71"/>
  <c r="CS27" i="71"/>
  <c r="CT27" i="71"/>
  <c r="CU27" i="71"/>
  <c r="CV27" i="71"/>
  <c r="CW27" i="71"/>
  <c r="CX27" i="71"/>
  <c r="CY27" i="71"/>
  <c r="CZ27" i="71"/>
  <c r="DA27" i="71"/>
  <c r="DB27" i="71"/>
  <c r="DC27" i="71"/>
  <c r="DD27" i="71"/>
  <c r="DE27" i="71"/>
  <c r="DF27" i="71"/>
  <c r="DG27" i="71"/>
  <c r="DH27" i="71"/>
  <c r="DI27" i="71"/>
  <c r="DJ27" i="71"/>
  <c r="DK27" i="71"/>
  <c r="DL27" i="71"/>
  <c r="DM27" i="71"/>
  <c r="DN27" i="71"/>
  <c r="DO27" i="71"/>
  <c r="DP27" i="71"/>
  <c r="DQ27" i="71"/>
  <c r="DR27" i="71"/>
  <c r="DS27" i="71"/>
  <c r="DT27" i="71"/>
  <c r="DU27" i="71"/>
  <c r="DV27" i="71"/>
  <c r="DW27" i="71"/>
  <c r="DX27" i="71"/>
  <c r="DY27" i="71"/>
  <c r="DZ27" i="71"/>
  <c r="EA27" i="71"/>
  <c r="EB27" i="71"/>
  <c r="EC27" i="71"/>
  <c r="ED27" i="71"/>
  <c r="EE27" i="71"/>
  <c r="EF27" i="71"/>
  <c r="EG27" i="71"/>
  <c r="EH27" i="71"/>
  <c r="EI27" i="71"/>
  <c r="EJ27" i="71"/>
  <c r="EK27" i="71"/>
  <c r="EL27" i="71"/>
  <c r="EM27" i="71"/>
  <c r="EN27" i="71"/>
  <c r="EO27" i="71"/>
  <c r="EP27" i="71"/>
  <c r="EQ27" i="71"/>
  <c r="ER27" i="71"/>
  <c r="ES27" i="71"/>
  <c r="ET27" i="71"/>
  <c r="EU27" i="71"/>
  <c r="EV27" i="71"/>
  <c r="EW27" i="71"/>
  <c r="EX27" i="71"/>
  <c r="EY27" i="71"/>
  <c r="EZ27" i="71"/>
  <c r="FA27" i="71"/>
  <c r="FB27" i="71"/>
  <c r="FC27" i="71"/>
  <c r="FD27" i="71"/>
  <c r="FE27" i="71"/>
  <c r="FF27" i="71"/>
  <c r="FG27" i="71"/>
  <c r="FH27" i="71"/>
  <c r="FI27" i="71"/>
  <c r="FJ27" i="71"/>
  <c r="FK27" i="71"/>
  <c r="FL27" i="71"/>
  <c r="FM27" i="71"/>
  <c r="FN27" i="71"/>
  <c r="FO27" i="71"/>
  <c r="FP27" i="71"/>
  <c r="FQ27" i="71"/>
  <c r="FR27" i="71"/>
  <c r="FS27" i="71"/>
  <c r="FT27" i="71"/>
  <c r="FU27" i="71"/>
  <c r="FV27" i="71"/>
  <c r="FW27" i="71"/>
  <c r="FX27" i="71"/>
  <c r="FY27" i="71"/>
  <c r="FZ27" i="71"/>
  <c r="GA27" i="71"/>
  <c r="GB27" i="71"/>
  <c r="GC27" i="71"/>
  <c r="GD27" i="71"/>
  <c r="GE27" i="71"/>
  <c r="GF27" i="71"/>
  <c r="GG27" i="71"/>
  <c r="GH27" i="71"/>
  <c r="GI27" i="71"/>
  <c r="GJ27" i="71"/>
  <c r="GK27" i="71"/>
  <c r="GL27" i="71"/>
  <c r="GM27" i="71"/>
  <c r="GN27" i="71"/>
  <c r="GO27" i="71"/>
  <c r="GP27" i="71"/>
  <c r="GQ27" i="71"/>
  <c r="GR27" i="71"/>
  <c r="GS27" i="71"/>
  <c r="GT27" i="71"/>
  <c r="GU27" i="71"/>
  <c r="GV27" i="71"/>
  <c r="GW27" i="71"/>
  <c r="GX27" i="71"/>
  <c r="GY27" i="71"/>
  <c r="GZ27" i="71"/>
  <c r="HA27" i="71"/>
  <c r="HB27" i="71"/>
  <c r="HC27" i="71"/>
  <c r="HD27" i="71"/>
  <c r="HE27" i="71"/>
  <c r="HF27" i="71"/>
  <c r="HG27" i="71"/>
  <c r="HH27" i="71"/>
  <c r="HI27" i="71"/>
  <c r="HJ27" i="71"/>
  <c r="HK27" i="71"/>
  <c r="HL27" i="71"/>
  <c r="HM27" i="71"/>
  <c r="HN27" i="71"/>
  <c r="HO27" i="71"/>
  <c r="HP27" i="71"/>
  <c r="HQ27" i="71"/>
  <c r="HR27" i="71"/>
  <c r="HS27" i="71"/>
  <c r="HT27" i="71"/>
  <c r="HU27" i="71"/>
  <c r="HV27" i="71"/>
  <c r="HW27" i="71"/>
  <c r="HX27" i="71"/>
  <c r="HY27" i="71"/>
  <c r="HZ27" i="71"/>
  <c r="IA27" i="71"/>
  <c r="IB27" i="71"/>
  <c r="IC27" i="71"/>
  <c r="ID27" i="71"/>
  <c r="IE27" i="71"/>
  <c r="IF27" i="71"/>
  <c r="IG27" i="71"/>
  <c r="IH27" i="71"/>
  <c r="II27" i="71"/>
  <c r="IJ27" i="71"/>
  <c r="IK27" i="71"/>
  <c r="IL27" i="71"/>
  <c r="IM27" i="71"/>
  <c r="IN27" i="71"/>
  <c r="IO27" i="71"/>
  <c r="IP27" i="71"/>
  <c r="IQ27" i="71"/>
  <c r="IR27" i="71"/>
  <c r="IS27" i="71"/>
  <c r="IT27" i="71"/>
  <c r="IU27" i="71"/>
  <c r="IV27" i="71"/>
  <c r="IW27" i="71"/>
  <c r="IX27" i="71"/>
  <c r="IY27" i="71"/>
  <c r="IZ27" i="71"/>
  <c r="JA27" i="71"/>
  <c r="JB27" i="71"/>
  <c r="JC27" i="71"/>
  <c r="JD27" i="71"/>
  <c r="JE27" i="71"/>
  <c r="JF27" i="71"/>
  <c r="JG27" i="71"/>
  <c r="JH27" i="71"/>
  <c r="JI27" i="71"/>
  <c r="JJ27" i="71"/>
  <c r="JK27" i="71"/>
  <c r="JL27" i="71"/>
  <c r="JM27" i="71"/>
  <c r="JN27" i="71"/>
  <c r="JO27" i="71"/>
  <c r="JP27" i="71"/>
  <c r="JQ27" i="71"/>
  <c r="JR27" i="71"/>
  <c r="JS27" i="71"/>
  <c r="JT27" i="71"/>
  <c r="JU27" i="71"/>
  <c r="JV27" i="71"/>
  <c r="JW27" i="71"/>
  <c r="JX27" i="71"/>
  <c r="JY27" i="71"/>
  <c r="JZ27" i="71"/>
  <c r="KA27" i="71"/>
  <c r="KB27" i="71"/>
  <c r="KC27" i="71"/>
  <c r="KD27" i="71"/>
  <c r="KE27" i="71"/>
  <c r="KF27" i="71"/>
  <c r="KG27" i="71"/>
  <c r="KH27" i="71"/>
  <c r="KI27" i="71"/>
  <c r="KJ27" i="71"/>
  <c r="KK27" i="71"/>
  <c r="KL27" i="71"/>
  <c r="KM27" i="71"/>
  <c r="KN27" i="71"/>
  <c r="KO27" i="71"/>
  <c r="KP27" i="71"/>
  <c r="KQ27" i="71"/>
  <c r="KR27" i="71"/>
  <c r="KS27" i="71"/>
  <c r="KT27" i="71"/>
  <c r="KU27" i="71"/>
  <c r="KV27" i="71"/>
  <c r="KW27" i="71"/>
  <c r="KX27" i="71"/>
  <c r="KY27" i="71"/>
  <c r="KZ27" i="71"/>
  <c r="LA27" i="71"/>
  <c r="LB27" i="71"/>
  <c r="LC27" i="71"/>
  <c r="LD27" i="71"/>
  <c r="LE27" i="71"/>
  <c r="LF27" i="71"/>
  <c r="LG27" i="71"/>
  <c r="LH27" i="71"/>
  <c r="LI27" i="71"/>
  <c r="LJ27" i="71"/>
  <c r="LK27" i="71"/>
  <c r="LL27" i="71"/>
  <c r="LM27" i="71"/>
  <c r="LN27" i="71"/>
  <c r="LO27" i="71"/>
  <c r="LP27" i="71"/>
  <c r="LQ27" i="71"/>
  <c r="LR27" i="71"/>
  <c r="LS27" i="71"/>
  <c r="LT27" i="71"/>
  <c r="LU27" i="71"/>
  <c r="LV27" i="71"/>
  <c r="LW27" i="71"/>
  <c r="LX27" i="71"/>
  <c r="LY27" i="71"/>
  <c r="LZ27" i="71"/>
  <c r="MA27" i="71"/>
  <c r="MB27" i="71"/>
  <c r="MC27" i="71"/>
  <c r="MD27" i="71"/>
  <c r="ME27" i="71"/>
  <c r="MF27" i="71"/>
  <c r="MG27" i="71"/>
  <c r="MH27" i="71"/>
  <c r="MI27" i="71"/>
  <c r="MJ27" i="71"/>
  <c r="MK27" i="71"/>
  <c r="ML27" i="71"/>
  <c r="MM27" i="71"/>
  <c r="D11" i="71"/>
  <c r="E11" i="71"/>
  <c r="M11" i="71"/>
  <c r="N11" i="71"/>
  <c r="O11" i="71"/>
  <c r="R11" i="71"/>
  <c r="S11" i="71"/>
  <c r="T11" i="71"/>
  <c r="U11" i="71"/>
  <c r="V11" i="71"/>
  <c r="W11" i="71"/>
  <c r="X11" i="71"/>
  <c r="Y11" i="71"/>
  <c r="Z11" i="71"/>
  <c r="AA11" i="71"/>
  <c r="AB11" i="71"/>
  <c r="AC11" i="71"/>
  <c r="AD11" i="71"/>
  <c r="AE11" i="71"/>
  <c r="AF11" i="71"/>
  <c r="AG11" i="71"/>
  <c r="AH11" i="71"/>
  <c r="AI11" i="71"/>
  <c r="AJ11" i="71"/>
  <c r="AK11" i="71"/>
  <c r="AL11" i="71"/>
  <c r="AM11" i="71"/>
  <c r="AN11" i="71"/>
  <c r="AO11" i="71"/>
  <c r="AP11" i="71"/>
  <c r="AQ11" i="71"/>
  <c r="AR11" i="71"/>
  <c r="AS11" i="71"/>
  <c r="AT11" i="71"/>
  <c r="AU11" i="71"/>
  <c r="AV11" i="71"/>
  <c r="AW11" i="71"/>
  <c r="AX11" i="71"/>
  <c r="AY11" i="71"/>
  <c r="AZ11" i="71"/>
  <c r="BA11" i="71"/>
  <c r="BB11" i="71"/>
  <c r="BC11" i="71"/>
  <c r="BD11" i="71"/>
  <c r="BE11" i="71"/>
  <c r="BF11" i="71"/>
  <c r="BG11" i="71"/>
  <c r="BH11" i="71"/>
  <c r="BI11" i="71"/>
  <c r="BJ11" i="71"/>
  <c r="BK11" i="71"/>
  <c r="BL11" i="71"/>
  <c r="BM11" i="71"/>
  <c r="BN11" i="71"/>
  <c r="BO11" i="71"/>
  <c r="BP11" i="71"/>
  <c r="BQ11" i="71"/>
  <c r="BR11" i="71"/>
  <c r="BS11" i="71"/>
  <c r="BT11" i="71"/>
  <c r="BU11" i="71"/>
  <c r="BV11" i="71"/>
  <c r="BW11" i="71"/>
  <c r="BX11" i="71"/>
  <c r="BY11" i="71"/>
  <c r="BZ11" i="71"/>
  <c r="CA11" i="71"/>
  <c r="CB11" i="71"/>
  <c r="CC11" i="71"/>
  <c r="CD11" i="71"/>
  <c r="CE11" i="71"/>
  <c r="CF11" i="71"/>
  <c r="CG11" i="71"/>
  <c r="CH11" i="71"/>
  <c r="CI11" i="71"/>
  <c r="CJ11" i="71"/>
  <c r="CK11" i="71"/>
  <c r="CL11" i="71"/>
  <c r="CM11" i="71"/>
  <c r="CN11" i="71"/>
  <c r="CO11" i="71"/>
  <c r="CP11" i="71"/>
  <c r="CQ11" i="71"/>
  <c r="CR11" i="71"/>
  <c r="CS11" i="71"/>
  <c r="CT11" i="71"/>
  <c r="CU11" i="71"/>
  <c r="CV11" i="71"/>
  <c r="CW11" i="71"/>
  <c r="CX11" i="71"/>
  <c r="CY11" i="71"/>
  <c r="CZ11" i="71"/>
  <c r="DA11" i="71"/>
  <c r="DB11" i="71"/>
  <c r="DC11" i="71"/>
  <c r="DD11" i="71"/>
  <c r="DE11" i="71"/>
  <c r="DF11" i="71"/>
  <c r="DG11" i="71"/>
  <c r="DH11" i="71"/>
  <c r="DI11" i="71"/>
  <c r="DJ11" i="71"/>
  <c r="DK11" i="71"/>
  <c r="DL11" i="71"/>
  <c r="DM11" i="71"/>
  <c r="DN11" i="71"/>
  <c r="DO11" i="71"/>
  <c r="DP11" i="71"/>
  <c r="DQ11" i="71"/>
  <c r="DR11" i="71"/>
  <c r="DS11" i="71"/>
  <c r="DT11" i="71"/>
  <c r="DU11" i="71"/>
  <c r="DV11" i="71"/>
  <c r="DW11" i="71"/>
  <c r="DX11" i="71"/>
  <c r="DY11" i="71"/>
  <c r="DZ11" i="71"/>
  <c r="EA11" i="71"/>
  <c r="EB11" i="71"/>
  <c r="EC11" i="71"/>
  <c r="ED11" i="71"/>
  <c r="EE11" i="71"/>
  <c r="EF11" i="71"/>
  <c r="EG11" i="71"/>
  <c r="EH11" i="71"/>
  <c r="EI11" i="71"/>
  <c r="EJ11" i="71"/>
  <c r="EK11" i="71"/>
  <c r="EL11" i="71"/>
  <c r="EM11" i="71"/>
  <c r="EN11" i="71"/>
  <c r="EO11" i="71"/>
  <c r="EP11" i="71"/>
  <c r="EQ11" i="71"/>
  <c r="ER11" i="71"/>
  <c r="ES11" i="71"/>
  <c r="ET11" i="71"/>
  <c r="EU11" i="71"/>
  <c r="EV11" i="71"/>
  <c r="EW11" i="71"/>
  <c r="EX11" i="71"/>
  <c r="EY11" i="71"/>
  <c r="EZ11" i="71"/>
  <c r="FA11" i="71"/>
  <c r="FB11" i="71"/>
  <c r="FC11" i="71"/>
  <c r="FD11" i="71"/>
  <c r="FE11" i="71"/>
  <c r="FF11" i="71"/>
  <c r="FG11" i="71"/>
  <c r="FH11" i="71"/>
  <c r="FI11" i="71"/>
  <c r="FJ11" i="71"/>
  <c r="FK11" i="71"/>
  <c r="FL11" i="71"/>
  <c r="FM11" i="71"/>
  <c r="FN11" i="71"/>
  <c r="FO11" i="71"/>
  <c r="FP11" i="71"/>
  <c r="FQ11" i="71"/>
  <c r="FR11" i="71"/>
  <c r="FS11" i="71"/>
  <c r="FT11" i="71"/>
  <c r="FU11" i="71"/>
  <c r="FV11" i="71"/>
  <c r="FW11" i="71"/>
  <c r="FX11" i="71"/>
  <c r="FY11" i="71"/>
  <c r="FZ11" i="71"/>
  <c r="GA11" i="71"/>
  <c r="GB11" i="71"/>
  <c r="GC11" i="71"/>
  <c r="GD11" i="71"/>
  <c r="GE11" i="71"/>
  <c r="GF11" i="71"/>
  <c r="GG11" i="71"/>
  <c r="GH11" i="71"/>
  <c r="GI11" i="71"/>
  <c r="GJ11" i="71"/>
  <c r="GK11" i="71"/>
  <c r="GL11" i="71"/>
  <c r="GM11" i="71"/>
  <c r="GN11" i="71"/>
  <c r="GO11" i="71"/>
  <c r="GP11" i="71"/>
  <c r="GQ11" i="71"/>
  <c r="GR11" i="71"/>
  <c r="GS11" i="71"/>
  <c r="GT11" i="71"/>
  <c r="GU11" i="71"/>
  <c r="GV11" i="71"/>
  <c r="GW11" i="71"/>
  <c r="GX11" i="71"/>
  <c r="GY11" i="71"/>
  <c r="GZ11" i="71"/>
  <c r="HA11" i="71"/>
  <c r="HB11" i="71"/>
  <c r="HC11" i="71"/>
  <c r="HD11" i="71"/>
  <c r="HE11" i="71"/>
  <c r="HF11" i="71"/>
  <c r="HG11" i="71"/>
  <c r="HH11" i="71"/>
  <c r="HI11" i="71"/>
  <c r="HJ11" i="71"/>
  <c r="HK11" i="71"/>
  <c r="HL11" i="71"/>
  <c r="HM11" i="71"/>
  <c r="HN11" i="71"/>
  <c r="HO11" i="71"/>
  <c r="HP11" i="71"/>
  <c r="HQ11" i="71"/>
  <c r="HR11" i="71"/>
  <c r="HS11" i="71"/>
  <c r="HT11" i="71"/>
  <c r="HU11" i="71"/>
  <c r="HV11" i="71"/>
  <c r="HW11" i="71"/>
  <c r="HX11" i="71"/>
  <c r="HY11" i="71"/>
  <c r="HZ11" i="71"/>
  <c r="IA11" i="71"/>
  <c r="IB11" i="71"/>
  <c r="IC11" i="71"/>
  <c r="ID11" i="71"/>
  <c r="IE11" i="71"/>
  <c r="IF11" i="71"/>
  <c r="IG11" i="71"/>
  <c r="IH11" i="71"/>
  <c r="II11" i="71"/>
  <c r="IJ11" i="71"/>
  <c r="IK11" i="71"/>
  <c r="IL11" i="71"/>
  <c r="IM11" i="71"/>
  <c r="IN11" i="71"/>
  <c r="IO11" i="71"/>
  <c r="IP11" i="71"/>
  <c r="IQ11" i="71"/>
  <c r="IR11" i="71"/>
  <c r="IS11" i="71"/>
  <c r="IT11" i="71"/>
  <c r="IU11" i="71"/>
  <c r="IV11" i="71"/>
  <c r="IW11" i="71"/>
  <c r="IX11" i="71"/>
  <c r="IY11" i="71"/>
  <c r="IZ11" i="71"/>
  <c r="JA11" i="71"/>
  <c r="JB11" i="71"/>
  <c r="JC11" i="71"/>
  <c r="JD11" i="71"/>
  <c r="JE11" i="71"/>
  <c r="JF11" i="71"/>
  <c r="JG11" i="71"/>
  <c r="JH11" i="71"/>
  <c r="JI11" i="71"/>
  <c r="JJ11" i="71"/>
  <c r="JK11" i="71"/>
  <c r="JL11" i="71"/>
  <c r="JM11" i="71"/>
  <c r="JN11" i="71"/>
  <c r="JO11" i="71"/>
  <c r="JP11" i="71"/>
  <c r="JQ11" i="71"/>
  <c r="JR11" i="71"/>
  <c r="JS11" i="71"/>
  <c r="JT11" i="71"/>
  <c r="JU11" i="71"/>
  <c r="JV11" i="71"/>
  <c r="JW11" i="71"/>
  <c r="JX11" i="71"/>
  <c r="JY11" i="71"/>
  <c r="JZ11" i="71"/>
  <c r="KA11" i="71"/>
  <c r="KB11" i="71"/>
  <c r="KC11" i="71"/>
  <c r="KD11" i="71"/>
  <c r="KE11" i="71"/>
  <c r="KF11" i="71"/>
  <c r="KG11" i="71"/>
  <c r="KH11" i="71"/>
  <c r="KI11" i="71"/>
  <c r="KJ11" i="71"/>
  <c r="KK11" i="71"/>
  <c r="KL11" i="71"/>
  <c r="KM11" i="71"/>
  <c r="KN11" i="71"/>
  <c r="KO11" i="71"/>
  <c r="KP11" i="71"/>
  <c r="KQ11" i="71"/>
  <c r="KR11" i="71"/>
  <c r="KS11" i="71"/>
  <c r="KT11" i="71"/>
  <c r="KU11" i="71"/>
  <c r="KV11" i="71"/>
  <c r="KW11" i="71"/>
  <c r="KX11" i="71"/>
  <c r="KY11" i="71"/>
  <c r="KZ11" i="71"/>
  <c r="LA11" i="71"/>
  <c r="LB11" i="71"/>
  <c r="LC11" i="71"/>
  <c r="LD11" i="71"/>
  <c r="LE11" i="71"/>
  <c r="LF11" i="71"/>
  <c r="LG11" i="71"/>
  <c r="LH11" i="71"/>
  <c r="LI11" i="71"/>
  <c r="LJ11" i="71"/>
  <c r="LK11" i="71"/>
  <c r="LL11" i="71"/>
  <c r="LM11" i="71"/>
  <c r="LN11" i="71"/>
  <c r="LO11" i="71"/>
  <c r="LP11" i="71"/>
  <c r="LQ11" i="71"/>
  <c r="LR11" i="71"/>
  <c r="LS11" i="71"/>
  <c r="LT11" i="71"/>
  <c r="LU11" i="71"/>
  <c r="LV11" i="71"/>
  <c r="LW11" i="71"/>
  <c r="LX11" i="71"/>
  <c r="LY11" i="71"/>
  <c r="LZ11" i="71"/>
  <c r="MA11" i="71"/>
  <c r="MB11" i="71"/>
  <c r="MC11" i="71"/>
  <c r="MD11" i="71"/>
  <c r="ME11" i="71"/>
  <c r="MF11" i="71"/>
  <c r="MG11" i="71"/>
  <c r="MH11" i="71"/>
  <c r="MI11" i="71"/>
  <c r="MJ11" i="71"/>
  <c r="MK11" i="71"/>
  <c r="ML11" i="71"/>
  <c r="MM11" i="71"/>
  <c r="D46" i="71"/>
  <c r="E46" i="71"/>
  <c r="M46" i="71"/>
  <c r="N46" i="71"/>
  <c r="O46" i="71"/>
  <c r="R46" i="71"/>
  <c r="S46" i="71"/>
  <c r="T46" i="71"/>
  <c r="U46" i="71"/>
  <c r="V46" i="71"/>
  <c r="W46" i="71"/>
  <c r="X46" i="71"/>
  <c r="Y46" i="71"/>
  <c r="Z46" i="71"/>
  <c r="AA46" i="71"/>
  <c r="AB46" i="71"/>
  <c r="AC46" i="71"/>
  <c r="AD46" i="71"/>
  <c r="AE46" i="71"/>
  <c r="AF46" i="71"/>
  <c r="AG46" i="71"/>
  <c r="AH46" i="71"/>
  <c r="AI46" i="71"/>
  <c r="AJ46" i="71"/>
  <c r="AK46" i="71"/>
  <c r="AL46" i="71"/>
  <c r="AM46" i="71"/>
  <c r="AN46" i="71"/>
  <c r="AO46" i="71"/>
  <c r="AP46" i="71"/>
  <c r="AQ46" i="71"/>
  <c r="AR46" i="71"/>
  <c r="AS46" i="71"/>
  <c r="AT46" i="71"/>
  <c r="AU46" i="71"/>
  <c r="AV46" i="71"/>
  <c r="AW46" i="71"/>
  <c r="AX46" i="71"/>
  <c r="AY46" i="71"/>
  <c r="AZ46" i="71"/>
  <c r="BA46" i="71"/>
  <c r="BB46" i="71"/>
  <c r="BC46" i="71"/>
  <c r="BD46" i="71"/>
  <c r="BE46" i="71"/>
  <c r="BF46" i="71"/>
  <c r="BG46" i="71"/>
  <c r="BH46" i="71"/>
  <c r="BI46" i="71"/>
  <c r="BJ46" i="71"/>
  <c r="BK46" i="71"/>
  <c r="BL46" i="71"/>
  <c r="BM46" i="71"/>
  <c r="BN46" i="71"/>
  <c r="BO46" i="71"/>
  <c r="BP46" i="71"/>
  <c r="BQ46" i="71"/>
  <c r="BR46" i="71"/>
  <c r="BS46" i="71"/>
  <c r="BT46" i="71"/>
  <c r="BU46" i="71"/>
  <c r="BV46" i="71"/>
  <c r="BW46" i="71"/>
  <c r="BX46" i="71"/>
  <c r="BY46" i="71"/>
  <c r="BZ46" i="71"/>
  <c r="CA46" i="71"/>
  <c r="CB46" i="71"/>
  <c r="CC46" i="71"/>
  <c r="CD46" i="71"/>
  <c r="CE46" i="71"/>
  <c r="CF46" i="71"/>
  <c r="CG46" i="71"/>
  <c r="CH46" i="71"/>
  <c r="CI46" i="71"/>
  <c r="CJ46" i="71"/>
  <c r="CK46" i="71"/>
  <c r="CL46" i="71"/>
  <c r="CM46" i="71"/>
  <c r="CN46" i="71"/>
  <c r="CO46" i="71"/>
  <c r="CP46" i="71"/>
  <c r="CQ46" i="71"/>
  <c r="CR46" i="71"/>
  <c r="CS46" i="71"/>
  <c r="CT46" i="71"/>
  <c r="CU46" i="71"/>
  <c r="CV46" i="71"/>
  <c r="CW46" i="71"/>
  <c r="CX46" i="71"/>
  <c r="CY46" i="71"/>
  <c r="CZ46" i="71"/>
  <c r="DA46" i="71"/>
  <c r="DB46" i="71"/>
  <c r="DC46" i="71"/>
  <c r="DD46" i="71"/>
  <c r="DE46" i="71"/>
  <c r="DF46" i="71"/>
  <c r="DG46" i="71"/>
  <c r="DH46" i="71"/>
  <c r="DI46" i="71"/>
  <c r="DJ46" i="71"/>
  <c r="DK46" i="71"/>
  <c r="DL46" i="71"/>
  <c r="DM46" i="71"/>
  <c r="DN46" i="71"/>
  <c r="DO46" i="71"/>
  <c r="DP46" i="71"/>
  <c r="DQ46" i="71"/>
  <c r="DR46" i="71"/>
  <c r="DS46" i="71"/>
  <c r="DT46" i="71"/>
  <c r="DU46" i="71"/>
  <c r="DV46" i="71"/>
  <c r="DW46" i="71"/>
  <c r="DX46" i="71"/>
  <c r="DY46" i="71"/>
  <c r="DZ46" i="71"/>
  <c r="EA46" i="71"/>
  <c r="EB46" i="71"/>
  <c r="EC46" i="71"/>
  <c r="ED46" i="71"/>
  <c r="EE46" i="71"/>
  <c r="EF46" i="71"/>
  <c r="EG46" i="71"/>
  <c r="EH46" i="71"/>
  <c r="EI46" i="71"/>
  <c r="EJ46" i="71"/>
  <c r="EK46" i="71"/>
  <c r="EL46" i="71"/>
  <c r="EM46" i="71"/>
  <c r="EN46" i="71"/>
  <c r="EO46" i="71"/>
  <c r="EP46" i="71"/>
  <c r="EQ46" i="71"/>
  <c r="ER46" i="71"/>
  <c r="ES46" i="71"/>
  <c r="ET46" i="71"/>
  <c r="EU46" i="71"/>
  <c r="EV46" i="71"/>
  <c r="EW46" i="71"/>
  <c r="EX46" i="71"/>
  <c r="EY46" i="71"/>
  <c r="EZ46" i="71"/>
  <c r="FA46" i="71"/>
  <c r="FB46" i="71"/>
  <c r="FC46" i="71"/>
  <c r="FD46" i="71"/>
  <c r="FE46" i="71"/>
  <c r="FF46" i="71"/>
  <c r="FG46" i="71"/>
  <c r="FH46" i="71"/>
  <c r="FI46" i="71"/>
  <c r="FJ46" i="71"/>
  <c r="FK46" i="71"/>
  <c r="FL46" i="71"/>
  <c r="FM46" i="71"/>
  <c r="FN46" i="71"/>
  <c r="FO46" i="71"/>
  <c r="FP46" i="71"/>
  <c r="FQ46" i="71"/>
  <c r="FR46" i="71"/>
  <c r="FS46" i="71"/>
  <c r="FT46" i="71"/>
  <c r="FU46" i="71"/>
  <c r="FV46" i="71"/>
  <c r="FW46" i="71"/>
  <c r="FX46" i="71"/>
  <c r="FY46" i="71"/>
  <c r="FZ46" i="71"/>
  <c r="GA46" i="71"/>
  <c r="GB46" i="71"/>
  <c r="GC46" i="71"/>
  <c r="GD46" i="71"/>
  <c r="GE46" i="71"/>
  <c r="GF46" i="71"/>
  <c r="GG46" i="71"/>
  <c r="GH46" i="71"/>
  <c r="GI46" i="71"/>
  <c r="GJ46" i="71"/>
  <c r="GK46" i="71"/>
  <c r="GL46" i="71"/>
  <c r="GM46" i="71"/>
  <c r="GN46" i="71"/>
  <c r="GO46" i="71"/>
  <c r="GP46" i="71"/>
  <c r="GQ46" i="71"/>
  <c r="GR46" i="71"/>
  <c r="GS46" i="71"/>
  <c r="GT46" i="71"/>
  <c r="GU46" i="71"/>
  <c r="GV46" i="71"/>
  <c r="GW46" i="71"/>
  <c r="GX46" i="71"/>
  <c r="GY46" i="71"/>
  <c r="GZ46" i="71"/>
  <c r="HA46" i="71"/>
  <c r="HB46" i="71"/>
  <c r="HC46" i="71"/>
  <c r="HD46" i="71"/>
  <c r="HE46" i="71"/>
  <c r="HF46" i="71"/>
  <c r="HG46" i="71"/>
  <c r="HH46" i="71"/>
  <c r="HI46" i="71"/>
  <c r="HJ46" i="71"/>
  <c r="HK46" i="71"/>
  <c r="HL46" i="71"/>
  <c r="GZ61" i="67" s="1"/>
  <c r="HM46" i="71"/>
  <c r="HA61" i="67" s="1"/>
  <c r="HN46" i="71"/>
  <c r="HB61" i="67" s="1"/>
  <c r="HO46" i="71"/>
  <c r="HC61" i="67" s="1"/>
  <c r="HP46" i="71"/>
  <c r="HD61" i="67" s="1"/>
  <c r="HQ46" i="71"/>
  <c r="HE61" i="67" s="1"/>
  <c r="HR46" i="71"/>
  <c r="HF61" i="67" s="1"/>
  <c r="HS46" i="71"/>
  <c r="HG61" i="67" s="1"/>
  <c r="HT46" i="71"/>
  <c r="HU46" i="71"/>
  <c r="HV46" i="71"/>
  <c r="HW46" i="71"/>
  <c r="HX46" i="71"/>
  <c r="HY46" i="71"/>
  <c r="HZ46" i="71"/>
  <c r="IA46" i="71"/>
  <c r="IB46" i="71"/>
  <c r="IC46" i="71"/>
  <c r="ID46" i="71"/>
  <c r="IE46" i="71"/>
  <c r="IF46" i="71"/>
  <c r="IG46" i="71"/>
  <c r="IH46" i="71"/>
  <c r="II46" i="71"/>
  <c r="IJ46" i="71"/>
  <c r="IK46" i="71"/>
  <c r="IL46" i="71"/>
  <c r="IM46" i="71"/>
  <c r="IN46" i="71"/>
  <c r="IO46" i="71"/>
  <c r="IP46" i="71"/>
  <c r="IQ46" i="71"/>
  <c r="IR46" i="71"/>
  <c r="IS46" i="71"/>
  <c r="IT46" i="71"/>
  <c r="IU46" i="71"/>
  <c r="IV46" i="71"/>
  <c r="IW46" i="71"/>
  <c r="IX46" i="71"/>
  <c r="IY46" i="71"/>
  <c r="IZ46" i="71"/>
  <c r="JA46" i="71"/>
  <c r="JB46" i="71"/>
  <c r="JC46" i="71"/>
  <c r="JD46" i="71"/>
  <c r="JE46" i="71"/>
  <c r="JF46" i="71"/>
  <c r="JG46" i="71"/>
  <c r="JH46" i="71"/>
  <c r="JI46" i="71"/>
  <c r="JJ46" i="71"/>
  <c r="JK46" i="71"/>
  <c r="JL46" i="71"/>
  <c r="JM46" i="71"/>
  <c r="JN46" i="71"/>
  <c r="JO46" i="71"/>
  <c r="JP46" i="71"/>
  <c r="JQ46" i="71"/>
  <c r="JR46" i="71"/>
  <c r="JS46" i="71"/>
  <c r="JT46" i="71"/>
  <c r="JU46" i="71"/>
  <c r="JV46" i="71"/>
  <c r="JW46" i="71"/>
  <c r="JX46" i="71"/>
  <c r="JY46" i="71"/>
  <c r="JZ46" i="71"/>
  <c r="KA46" i="71"/>
  <c r="KB46" i="71"/>
  <c r="KC46" i="71"/>
  <c r="KD46" i="71"/>
  <c r="KE46" i="71"/>
  <c r="KF46" i="71"/>
  <c r="KG46" i="71"/>
  <c r="KH46" i="71"/>
  <c r="KI46" i="71"/>
  <c r="KJ46" i="71"/>
  <c r="KK46" i="71"/>
  <c r="KL46" i="71"/>
  <c r="KM46" i="71"/>
  <c r="KN46" i="71"/>
  <c r="KO46" i="71"/>
  <c r="KP46" i="71"/>
  <c r="KQ46" i="71"/>
  <c r="KR46" i="71"/>
  <c r="KS46" i="71"/>
  <c r="KT46" i="71"/>
  <c r="KU46" i="71"/>
  <c r="KV46" i="71"/>
  <c r="KW46" i="71"/>
  <c r="KX46" i="71"/>
  <c r="KY46" i="71"/>
  <c r="KZ46" i="71"/>
  <c r="LA46" i="71"/>
  <c r="LB46" i="71"/>
  <c r="LC46" i="71"/>
  <c r="LD46" i="71"/>
  <c r="LE46" i="71"/>
  <c r="LF46" i="71"/>
  <c r="LG46" i="71"/>
  <c r="LH46" i="71"/>
  <c r="LI46" i="71"/>
  <c r="LJ46" i="71"/>
  <c r="LK46" i="71"/>
  <c r="LL46" i="71"/>
  <c r="LM46" i="71"/>
  <c r="LN46" i="71"/>
  <c r="LO46" i="71"/>
  <c r="LP46" i="71"/>
  <c r="LQ46" i="71"/>
  <c r="LR46" i="71"/>
  <c r="LS46" i="71"/>
  <c r="LT46" i="71"/>
  <c r="LU46" i="71"/>
  <c r="LV46" i="71"/>
  <c r="LW46" i="71"/>
  <c r="LX46" i="71"/>
  <c r="LY46" i="71"/>
  <c r="LZ46" i="71"/>
  <c r="MA46" i="71"/>
  <c r="MB46" i="71"/>
  <c r="MC46" i="71"/>
  <c r="MD46" i="71"/>
  <c r="LR61" i="67" s="1"/>
  <c r="ME46" i="71"/>
  <c r="MF46" i="71"/>
  <c r="MG46" i="71"/>
  <c r="MH46" i="71"/>
  <c r="MI46" i="71"/>
  <c r="MJ46" i="71"/>
  <c r="MK46" i="71"/>
  <c r="ML46" i="71"/>
  <c r="MM46" i="71"/>
  <c r="D22" i="71"/>
  <c r="E22" i="71"/>
  <c r="M22" i="71"/>
  <c r="N22" i="71"/>
  <c r="O22" i="71"/>
  <c r="R22" i="71"/>
  <c r="S22" i="71"/>
  <c r="T22" i="71"/>
  <c r="U22" i="71"/>
  <c r="V22" i="71"/>
  <c r="W22" i="71"/>
  <c r="X22" i="71"/>
  <c r="Y22" i="71"/>
  <c r="Z22" i="71"/>
  <c r="AA22" i="71"/>
  <c r="AB22" i="71"/>
  <c r="AC22" i="71"/>
  <c r="AD22" i="71"/>
  <c r="AE22" i="71"/>
  <c r="AF22" i="71"/>
  <c r="AG22" i="71"/>
  <c r="AH22" i="71"/>
  <c r="AI22" i="71"/>
  <c r="AJ22" i="71"/>
  <c r="AK22" i="71"/>
  <c r="AL22" i="71"/>
  <c r="AM22" i="71"/>
  <c r="AN22" i="71"/>
  <c r="AO22" i="71"/>
  <c r="AP22" i="71"/>
  <c r="AQ22" i="71"/>
  <c r="AR22" i="71"/>
  <c r="AS22" i="71"/>
  <c r="AT22" i="71"/>
  <c r="AU22" i="71"/>
  <c r="AV22" i="71"/>
  <c r="AW22" i="71"/>
  <c r="AX22" i="71"/>
  <c r="AY22" i="71"/>
  <c r="AZ22" i="71"/>
  <c r="BA22" i="71"/>
  <c r="BB22" i="71"/>
  <c r="BC22" i="71"/>
  <c r="BD22" i="71"/>
  <c r="BE22" i="71"/>
  <c r="BF22" i="71"/>
  <c r="BG22" i="71"/>
  <c r="BH22" i="71"/>
  <c r="BI22" i="71"/>
  <c r="BJ22" i="71"/>
  <c r="BK22" i="71"/>
  <c r="BL22" i="71"/>
  <c r="BM22" i="71"/>
  <c r="BN22" i="71"/>
  <c r="BO22" i="71"/>
  <c r="BP22" i="71"/>
  <c r="BQ22" i="71"/>
  <c r="BR22" i="71"/>
  <c r="BS22" i="71"/>
  <c r="BT22" i="71"/>
  <c r="BU22" i="71"/>
  <c r="BV22" i="71"/>
  <c r="BW22" i="71"/>
  <c r="BX22" i="71"/>
  <c r="BY22" i="71"/>
  <c r="BZ22" i="71"/>
  <c r="CA22" i="71"/>
  <c r="CB22" i="71"/>
  <c r="CC22" i="71"/>
  <c r="CD22" i="71"/>
  <c r="CE22" i="71"/>
  <c r="CF22" i="71"/>
  <c r="CG22" i="71"/>
  <c r="CH22" i="71"/>
  <c r="CI22" i="71"/>
  <c r="CJ22" i="71"/>
  <c r="CK22" i="71"/>
  <c r="CL22" i="71"/>
  <c r="CM22" i="71"/>
  <c r="CN22" i="71"/>
  <c r="CO22" i="71"/>
  <c r="CP22" i="71"/>
  <c r="CQ22" i="71"/>
  <c r="CR22" i="71"/>
  <c r="CS22" i="71"/>
  <c r="CT22" i="71"/>
  <c r="CU22" i="71"/>
  <c r="CV22" i="71"/>
  <c r="CW22" i="71"/>
  <c r="CX22" i="71"/>
  <c r="CY22" i="71"/>
  <c r="CZ22" i="71"/>
  <c r="DA22" i="71"/>
  <c r="DB22" i="71"/>
  <c r="DC22" i="71"/>
  <c r="DD22" i="71"/>
  <c r="DE22" i="71"/>
  <c r="DF22" i="71"/>
  <c r="DG22" i="71"/>
  <c r="DH22" i="71"/>
  <c r="DI22" i="71"/>
  <c r="DJ22" i="71"/>
  <c r="DK22" i="71"/>
  <c r="DL22" i="71"/>
  <c r="DM22" i="71"/>
  <c r="DN22" i="71"/>
  <c r="DO22" i="71"/>
  <c r="DP22" i="71"/>
  <c r="DQ22" i="71"/>
  <c r="DR22" i="71"/>
  <c r="DS22" i="71"/>
  <c r="DT22" i="71"/>
  <c r="DU22" i="71"/>
  <c r="DV22" i="71"/>
  <c r="DW22" i="71"/>
  <c r="DX22" i="71"/>
  <c r="DY22" i="71"/>
  <c r="DZ22" i="71"/>
  <c r="EA22" i="71"/>
  <c r="EB22" i="71"/>
  <c r="EC22" i="71"/>
  <c r="ED22" i="71"/>
  <c r="EE22" i="71"/>
  <c r="EF22" i="71"/>
  <c r="EG22" i="71"/>
  <c r="EH22" i="71"/>
  <c r="EI22" i="71"/>
  <c r="EJ22" i="71"/>
  <c r="EK22" i="71"/>
  <c r="EL22" i="71"/>
  <c r="EM22" i="71"/>
  <c r="EN22" i="71"/>
  <c r="EO22" i="71"/>
  <c r="EP22" i="71"/>
  <c r="EQ22" i="71"/>
  <c r="ER22" i="71"/>
  <c r="ES22" i="71"/>
  <c r="ET22" i="71"/>
  <c r="EU22" i="71"/>
  <c r="EV22" i="71"/>
  <c r="EW22" i="71"/>
  <c r="EX22" i="71"/>
  <c r="EY22" i="71"/>
  <c r="EZ22" i="71"/>
  <c r="FA22" i="71"/>
  <c r="FB22" i="71"/>
  <c r="FC22" i="71"/>
  <c r="FD22" i="71"/>
  <c r="FE22" i="71"/>
  <c r="FF22" i="71"/>
  <c r="FG22" i="71"/>
  <c r="FH22" i="71"/>
  <c r="FI22" i="71"/>
  <c r="FJ22" i="71"/>
  <c r="FK22" i="71"/>
  <c r="FL22" i="71"/>
  <c r="FM22" i="71"/>
  <c r="FN22" i="71"/>
  <c r="FO22" i="71"/>
  <c r="FP22" i="71"/>
  <c r="FQ22" i="71"/>
  <c r="FR22" i="71"/>
  <c r="FS22" i="71"/>
  <c r="FT22" i="71"/>
  <c r="FU22" i="71"/>
  <c r="FV22" i="71"/>
  <c r="FW22" i="71"/>
  <c r="FX22" i="71"/>
  <c r="FY22" i="71"/>
  <c r="FZ22" i="71"/>
  <c r="GA22" i="71"/>
  <c r="GB22" i="71"/>
  <c r="GC22" i="71"/>
  <c r="GD22" i="71"/>
  <c r="GE22" i="71"/>
  <c r="GF22" i="71"/>
  <c r="GG22" i="71"/>
  <c r="GH22" i="71"/>
  <c r="GI22" i="71"/>
  <c r="GJ22" i="71"/>
  <c r="GK22" i="71"/>
  <c r="GL22" i="71"/>
  <c r="GM22" i="71"/>
  <c r="GN22" i="71"/>
  <c r="GO22" i="71"/>
  <c r="GP22" i="71"/>
  <c r="GQ22" i="71"/>
  <c r="GR22" i="71"/>
  <c r="GS22" i="71"/>
  <c r="GT22" i="71"/>
  <c r="GU22" i="71"/>
  <c r="GV22" i="71"/>
  <c r="GW22" i="71"/>
  <c r="GX22" i="71"/>
  <c r="GY22" i="71"/>
  <c r="HK22" i="71"/>
  <c r="HS22" i="71"/>
  <c r="HT22" i="71"/>
  <c r="HU22" i="71"/>
  <c r="HV22" i="71"/>
  <c r="HW22" i="71"/>
  <c r="HX22" i="71"/>
  <c r="HY22" i="71"/>
  <c r="HZ22" i="71"/>
  <c r="IA22" i="71"/>
  <c r="IB22" i="71"/>
  <c r="IC22" i="71"/>
  <c r="ID22" i="71"/>
  <c r="IE22" i="71"/>
  <c r="IF22" i="71"/>
  <c r="IG22" i="71"/>
  <c r="IH22" i="71"/>
  <c r="II22" i="71"/>
  <c r="IJ22" i="71"/>
  <c r="IK22" i="71"/>
  <c r="IL22" i="71"/>
  <c r="IM22" i="71"/>
  <c r="IN22" i="71"/>
  <c r="IO22" i="71"/>
  <c r="IP22" i="71"/>
  <c r="IQ22" i="71"/>
  <c r="IR22" i="71"/>
  <c r="IS22" i="71"/>
  <c r="IT22" i="71"/>
  <c r="IU22" i="71"/>
  <c r="IV22" i="71"/>
  <c r="IW22" i="71"/>
  <c r="IX22" i="71"/>
  <c r="IY22" i="71"/>
  <c r="IZ22" i="71"/>
  <c r="JL22" i="71"/>
  <c r="JN22" i="71"/>
  <c r="JO22" i="71"/>
  <c r="JP22" i="71"/>
  <c r="JR22" i="71"/>
  <c r="JS22" i="71"/>
  <c r="JU22" i="71"/>
  <c r="JV22" i="71"/>
  <c r="JW22" i="71"/>
  <c r="JX22" i="71"/>
  <c r="JY22" i="71"/>
  <c r="JZ22" i="71"/>
  <c r="KA22" i="71"/>
  <c r="KB22" i="71"/>
  <c r="KC22" i="71"/>
  <c r="KD22" i="71"/>
  <c r="KE22" i="71"/>
  <c r="KF22" i="71"/>
  <c r="KG22" i="71"/>
  <c r="KH22" i="71"/>
  <c r="KI22" i="71"/>
  <c r="KJ22" i="71"/>
  <c r="KK22" i="71"/>
  <c r="KL22" i="71"/>
  <c r="KM22" i="71"/>
  <c r="KN22" i="71"/>
  <c r="KO22" i="71"/>
  <c r="KP22" i="71"/>
  <c r="KQ22" i="71"/>
  <c r="KR22" i="71"/>
  <c r="KS22" i="71"/>
  <c r="KT22" i="71"/>
  <c r="KU22" i="71"/>
  <c r="KV22" i="71"/>
  <c r="KW22" i="71"/>
  <c r="KX22" i="71"/>
  <c r="KY22" i="71"/>
  <c r="KZ22" i="71"/>
  <c r="LA22" i="71"/>
  <c r="LB22" i="71"/>
  <c r="LC22" i="71"/>
  <c r="LD22" i="71"/>
  <c r="LE22" i="71"/>
  <c r="LF22" i="71"/>
  <c r="LG22" i="71"/>
  <c r="LH22" i="71"/>
  <c r="LI22" i="71"/>
  <c r="LJ22" i="71"/>
  <c r="LK22" i="71"/>
  <c r="LL22" i="71"/>
  <c r="LM22" i="71"/>
  <c r="LN22" i="71"/>
  <c r="LO22" i="71"/>
  <c r="LP22" i="71"/>
  <c r="LQ22" i="71"/>
  <c r="LR22" i="71"/>
  <c r="LS22" i="71"/>
  <c r="LT22" i="71"/>
  <c r="LU22" i="71"/>
  <c r="LV22" i="71"/>
  <c r="LW22" i="71"/>
  <c r="LX22" i="71"/>
  <c r="LY22" i="71"/>
  <c r="LZ22" i="71"/>
  <c r="MA22" i="71"/>
  <c r="MB22" i="71"/>
  <c r="MC22" i="71"/>
  <c r="MD22" i="71"/>
  <c r="ME22" i="71"/>
  <c r="MF22" i="71"/>
  <c r="MG22" i="71"/>
  <c r="MH22" i="71"/>
  <c r="MI22" i="71"/>
  <c r="MJ22" i="71"/>
  <c r="MK22" i="71"/>
  <c r="ML22" i="71"/>
  <c r="MM22" i="71"/>
  <c r="D10" i="71"/>
  <c r="E10" i="71"/>
  <c r="M10" i="71"/>
  <c r="N10" i="71"/>
  <c r="O10" i="71"/>
  <c r="R10" i="71"/>
  <c r="S10" i="71"/>
  <c r="T10" i="71"/>
  <c r="U10" i="71"/>
  <c r="V10" i="71"/>
  <c r="W10" i="71"/>
  <c r="X10" i="71"/>
  <c r="Y10" i="71"/>
  <c r="Z10" i="71"/>
  <c r="AA10" i="71"/>
  <c r="AB10" i="71"/>
  <c r="AC10" i="71"/>
  <c r="AD10" i="71"/>
  <c r="AE10" i="71"/>
  <c r="AF10" i="71"/>
  <c r="AG10" i="71"/>
  <c r="AH10" i="71"/>
  <c r="AI10" i="71"/>
  <c r="AJ10" i="71"/>
  <c r="AK10" i="71"/>
  <c r="AL10" i="71"/>
  <c r="AM10" i="71"/>
  <c r="AN10" i="71"/>
  <c r="AO10" i="71"/>
  <c r="AP10" i="71"/>
  <c r="AQ10" i="71"/>
  <c r="AR10" i="71"/>
  <c r="AS10" i="71"/>
  <c r="AU10" i="71"/>
  <c r="AV10" i="71"/>
  <c r="AW10" i="71"/>
  <c r="AY10" i="71"/>
  <c r="AZ10" i="71"/>
  <c r="BA10" i="71"/>
  <c r="BB10" i="71"/>
  <c r="BC10" i="71"/>
  <c r="BD10" i="71"/>
  <c r="BE10" i="71"/>
  <c r="BG10" i="71"/>
  <c r="BH10" i="71"/>
  <c r="BJ10" i="71"/>
  <c r="BK10" i="71"/>
  <c r="BL10" i="71"/>
  <c r="BM10" i="71"/>
  <c r="BN10" i="71"/>
  <c r="BO10" i="71"/>
  <c r="BP10" i="71"/>
  <c r="BQ10" i="71"/>
  <c r="BR10" i="71"/>
  <c r="BS10" i="71"/>
  <c r="BT10" i="71"/>
  <c r="BU10" i="71"/>
  <c r="BV10" i="71"/>
  <c r="BW10" i="71"/>
  <c r="BX10" i="71"/>
  <c r="BY10" i="71"/>
  <c r="BZ10" i="71"/>
  <c r="CA10" i="71"/>
  <c r="CB10" i="71"/>
  <c r="CC10" i="71"/>
  <c r="CD10" i="71"/>
  <c r="CE10" i="71"/>
  <c r="CF10" i="71"/>
  <c r="CG10" i="71"/>
  <c r="CH10" i="71"/>
  <c r="CI10" i="71"/>
  <c r="CJ10" i="71"/>
  <c r="CK10" i="71"/>
  <c r="CL10" i="71"/>
  <c r="CM10" i="71"/>
  <c r="CN10" i="71"/>
  <c r="CO10" i="71"/>
  <c r="CP10" i="71"/>
  <c r="CQ10" i="71"/>
  <c r="CR10" i="71"/>
  <c r="CS10" i="71"/>
  <c r="CT10" i="71"/>
  <c r="CU10" i="71"/>
  <c r="CV10" i="71"/>
  <c r="CW10" i="71"/>
  <c r="CX10" i="71"/>
  <c r="CY10" i="71"/>
  <c r="CZ10" i="71"/>
  <c r="DA10" i="71"/>
  <c r="DB10" i="71"/>
  <c r="DC10" i="71"/>
  <c r="DD10" i="71"/>
  <c r="DE10" i="71"/>
  <c r="DF10" i="71"/>
  <c r="DG10" i="71"/>
  <c r="DH10" i="71"/>
  <c r="DI10" i="71"/>
  <c r="DJ10" i="71"/>
  <c r="DK10" i="71"/>
  <c r="DL10" i="71"/>
  <c r="DM10" i="71"/>
  <c r="DN10" i="71"/>
  <c r="DO10" i="71"/>
  <c r="DP10" i="71"/>
  <c r="DQ10" i="71"/>
  <c r="DR10" i="71"/>
  <c r="DS10" i="71"/>
  <c r="DT10" i="71"/>
  <c r="DU10" i="71"/>
  <c r="DV10" i="71"/>
  <c r="DW10" i="71"/>
  <c r="DX10" i="71"/>
  <c r="DY10" i="71"/>
  <c r="DZ10" i="71"/>
  <c r="EA10" i="71"/>
  <c r="EB10" i="71"/>
  <c r="EC10" i="71"/>
  <c r="ED10" i="71"/>
  <c r="EE10" i="71"/>
  <c r="EF10" i="71"/>
  <c r="EG10" i="71"/>
  <c r="EH10" i="71"/>
  <c r="EI10" i="71"/>
  <c r="EJ10" i="71"/>
  <c r="EK10" i="71"/>
  <c r="EL10" i="71"/>
  <c r="EM10" i="71"/>
  <c r="EN10" i="71"/>
  <c r="EO10" i="71"/>
  <c r="EP10" i="71"/>
  <c r="EQ10" i="71"/>
  <c r="ER10" i="71"/>
  <c r="ES10" i="71"/>
  <c r="ET10" i="71"/>
  <c r="EU10" i="71"/>
  <c r="EV10" i="71"/>
  <c r="EW10" i="71"/>
  <c r="EX10" i="71"/>
  <c r="EY10" i="71"/>
  <c r="EZ10" i="71"/>
  <c r="FA10" i="71"/>
  <c r="FB10" i="71"/>
  <c r="FC10" i="71"/>
  <c r="FD10" i="71"/>
  <c r="FE10" i="71"/>
  <c r="FF10" i="71"/>
  <c r="FG10" i="71"/>
  <c r="FH10" i="71"/>
  <c r="FI10" i="71"/>
  <c r="FJ10" i="71"/>
  <c r="FK10" i="71"/>
  <c r="FL10" i="71"/>
  <c r="FM10" i="71"/>
  <c r="FN10" i="71"/>
  <c r="FO10" i="71"/>
  <c r="FP10" i="71"/>
  <c r="FQ10" i="71"/>
  <c r="FR10" i="71"/>
  <c r="FS10" i="71"/>
  <c r="FT10" i="71"/>
  <c r="FU10" i="71"/>
  <c r="FV10" i="71"/>
  <c r="FW10" i="71"/>
  <c r="FX10" i="71"/>
  <c r="FY10" i="71"/>
  <c r="FZ10" i="71"/>
  <c r="GA10" i="71"/>
  <c r="GB10" i="71"/>
  <c r="GC10" i="71"/>
  <c r="GD10" i="71"/>
  <c r="GE10" i="71"/>
  <c r="GF10" i="71"/>
  <c r="GG10" i="71"/>
  <c r="GH10" i="71"/>
  <c r="GI10" i="71"/>
  <c r="GJ10" i="71"/>
  <c r="GK10" i="71"/>
  <c r="GL10" i="71"/>
  <c r="GM10" i="71"/>
  <c r="GN10" i="71"/>
  <c r="GO10" i="71"/>
  <c r="GP10" i="71"/>
  <c r="GQ10" i="71"/>
  <c r="GR10" i="71"/>
  <c r="GS10" i="71"/>
  <c r="GT10" i="71"/>
  <c r="GU10" i="71"/>
  <c r="GV10" i="71"/>
  <c r="GW10" i="71"/>
  <c r="GX10" i="71"/>
  <c r="GY10" i="71"/>
  <c r="GZ10" i="71"/>
  <c r="HA10" i="71"/>
  <c r="HB10" i="71"/>
  <c r="HC10" i="71"/>
  <c r="HD10" i="71"/>
  <c r="HE10" i="71"/>
  <c r="HF10" i="71"/>
  <c r="HG10" i="71"/>
  <c r="HH10" i="71"/>
  <c r="HI10" i="71"/>
  <c r="HJ10" i="71"/>
  <c r="HK10" i="71"/>
  <c r="HL10" i="71"/>
  <c r="GZ67" i="67" s="1"/>
  <c r="HM10" i="71"/>
  <c r="HA67" i="67" s="1"/>
  <c r="HN10" i="71"/>
  <c r="HB67" i="67" s="1"/>
  <c r="HO10" i="71"/>
  <c r="HC67" i="67" s="1"/>
  <c r="HP10" i="71"/>
  <c r="HD67" i="67" s="1"/>
  <c r="HQ10" i="71"/>
  <c r="HE67" i="67" s="1"/>
  <c r="HR10" i="71"/>
  <c r="HF67" i="67" s="1"/>
  <c r="HS10" i="71"/>
  <c r="HG67" i="67" s="1"/>
  <c r="HT10" i="71"/>
  <c r="HU10" i="71"/>
  <c r="HV10" i="71"/>
  <c r="HW10" i="71"/>
  <c r="HX10" i="71"/>
  <c r="HY10" i="71"/>
  <c r="HZ10" i="71"/>
  <c r="IA10" i="71"/>
  <c r="IB10" i="71"/>
  <c r="IC10" i="71"/>
  <c r="ID10" i="71"/>
  <c r="IE10" i="71"/>
  <c r="IF10" i="71"/>
  <c r="IG10" i="71"/>
  <c r="IH10" i="71"/>
  <c r="II10" i="71"/>
  <c r="IJ10" i="71"/>
  <c r="IK10" i="71"/>
  <c r="IL10" i="71"/>
  <c r="IM10" i="71"/>
  <c r="IN10" i="71"/>
  <c r="IO10" i="71"/>
  <c r="IP10" i="71"/>
  <c r="IQ10" i="71"/>
  <c r="IR10" i="71"/>
  <c r="IS10" i="71"/>
  <c r="IT10" i="71"/>
  <c r="IU10" i="71"/>
  <c r="IV10" i="71"/>
  <c r="IW10" i="71"/>
  <c r="IX10" i="71"/>
  <c r="IY10" i="71"/>
  <c r="IZ10" i="71"/>
  <c r="JA10" i="71"/>
  <c r="JB10" i="71"/>
  <c r="JC10" i="71"/>
  <c r="JD10" i="71"/>
  <c r="JE10" i="71"/>
  <c r="JF10" i="71"/>
  <c r="JG10" i="71"/>
  <c r="JH10" i="71"/>
  <c r="JI10" i="71"/>
  <c r="JJ10" i="71"/>
  <c r="JK10" i="71"/>
  <c r="JL10" i="71"/>
  <c r="JM10" i="71"/>
  <c r="JN10" i="71"/>
  <c r="JO10" i="71"/>
  <c r="JP10" i="71"/>
  <c r="JQ10" i="71"/>
  <c r="JR10" i="71"/>
  <c r="JS10" i="71"/>
  <c r="JT10" i="71"/>
  <c r="JU10" i="71"/>
  <c r="JV10" i="71"/>
  <c r="JW10" i="71"/>
  <c r="JX10" i="71"/>
  <c r="JY10" i="71"/>
  <c r="JZ10" i="71"/>
  <c r="KA10" i="71"/>
  <c r="KB10" i="71"/>
  <c r="KC10" i="71"/>
  <c r="KD10" i="71"/>
  <c r="KE10" i="71"/>
  <c r="KF10" i="71"/>
  <c r="KG10" i="71"/>
  <c r="KH10" i="71"/>
  <c r="KI10" i="71"/>
  <c r="KJ10" i="71"/>
  <c r="KK10" i="71"/>
  <c r="KL10" i="71"/>
  <c r="KM10" i="71"/>
  <c r="KN10" i="71"/>
  <c r="KO10" i="71"/>
  <c r="KP10" i="71"/>
  <c r="KQ10" i="71"/>
  <c r="KR10" i="71"/>
  <c r="KS10" i="71"/>
  <c r="KT10" i="71"/>
  <c r="KU10" i="71"/>
  <c r="KV10" i="71"/>
  <c r="KW10" i="71"/>
  <c r="KX10" i="71"/>
  <c r="KY10" i="71"/>
  <c r="KZ10" i="71"/>
  <c r="LA10" i="71"/>
  <c r="LB10" i="71"/>
  <c r="LC10" i="71"/>
  <c r="LD10" i="71"/>
  <c r="LE10" i="71"/>
  <c r="LF10" i="71"/>
  <c r="LG10" i="71"/>
  <c r="LH10" i="71"/>
  <c r="LI10" i="71"/>
  <c r="LJ10" i="71"/>
  <c r="LK10" i="71"/>
  <c r="LL10" i="71"/>
  <c r="LM10" i="71"/>
  <c r="LN10" i="71"/>
  <c r="LO10" i="71"/>
  <c r="LP10" i="71"/>
  <c r="LQ10" i="71"/>
  <c r="LR10" i="71"/>
  <c r="LS10" i="71"/>
  <c r="LT10" i="71"/>
  <c r="LU10" i="71"/>
  <c r="LV10" i="71"/>
  <c r="LW10" i="71"/>
  <c r="LX10" i="71"/>
  <c r="LY10" i="71"/>
  <c r="LZ10" i="71"/>
  <c r="MA10" i="71"/>
  <c r="MB10" i="71"/>
  <c r="MC10" i="71"/>
  <c r="MD10" i="71"/>
  <c r="LR67" i="67" s="1"/>
  <c r="ME10" i="71"/>
  <c r="MF10" i="71"/>
  <c r="MG10" i="71"/>
  <c r="MH10" i="71"/>
  <c r="MI10" i="71"/>
  <c r="MJ10" i="71"/>
  <c r="MK10" i="71"/>
  <c r="ML10" i="71"/>
  <c r="MM10" i="71"/>
  <c r="D47" i="71"/>
  <c r="E47" i="71"/>
  <c r="M47" i="71"/>
  <c r="N47" i="71"/>
  <c r="O47" i="71"/>
  <c r="R47" i="71"/>
  <c r="S47" i="71"/>
  <c r="T47" i="71"/>
  <c r="U47" i="71"/>
  <c r="V47" i="71"/>
  <c r="W47" i="71"/>
  <c r="X47" i="71"/>
  <c r="Y47" i="71"/>
  <c r="Z47" i="71"/>
  <c r="AA47" i="71"/>
  <c r="AB47" i="71"/>
  <c r="AC47" i="71"/>
  <c r="AD47" i="71"/>
  <c r="AE47" i="71"/>
  <c r="AF47" i="71"/>
  <c r="AG47" i="71"/>
  <c r="AH47" i="71"/>
  <c r="AI47" i="71"/>
  <c r="AJ47" i="71"/>
  <c r="AK47" i="71"/>
  <c r="AL47" i="71"/>
  <c r="AM47" i="71"/>
  <c r="AN47" i="71"/>
  <c r="AO47" i="71"/>
  <c r="AP47" i="71"/>
  <c r="AQ47" i="71"/>
  <c r="AR47" i="71"/>
  <c r="AS47" i="71"/>
  <c r="AT47" i="71"/>
  <c r="AU47" i="71"/>
  <c r="AV47" i="71"/>
  <c r="AW47" i="71"/>
  <c r="AX47" i="71"/>
  <c r="AY47" i="71"/>
  <c r="AZ47" i="71"/>
  <c r="BA47" i="71"/>
  <c r="BB47" i="71"/>
  <c r="BC47" i="71"/>
  <c r="BD47" i="71"/>
  <c r="BE47" i="71"/>
  <c r="BF47" i="71"/>
  <c r="BG47" i="71"/>
  <c r="BH47" i="71"/>
  <c r="BI47" i="71"/>
  <c r="BJ47" i="71"/>
  <c r="BK47" i="71"/>
  <c r="BL47" i="71"/>
  <c r="BM47" i="71"/>
  <c r="BN47" i="71"/>
  <c r="BO47" i="71"/>
  <c r="BP47" i="71"/>
  <c r="BQ47" i="71"/>
  <c r="BR47" i="71"/>
  <c r="BS47" i="71"/>
  <c r="BT47" i="71"/>
  <c r="BU47" i="71"/>
  <c r="BV47" i="71"/>
  <c r="BW47" i="71"/>
  <c r="BX47" i="71"/>
  <c r="BY47" i="71"/>
  <c r="BZ47" i="71"/>
  <c r="CA47" i="71"/>
  <c r="CB47" i="71"/>
  <c r="CC47" i="71"/>
  <c r="CD47" i="71"/>
  <c r="CE47" i="71"/>
  <c r="CF47" i="71"/>
  <c r="CG47" i="71"/>
  <c r="CH47" i="71"/>
  <c r="CI47" i="71"/>
  <c r="CJ47" i="71"/>
  <c r="CK47" i="71"/>
  <c r="CL47" i="71"/>
  <c r="CM47" i="71"/>
  <c r="CN47" i="71"/>
  <c r="CO47" i="71"/>
  <c r="CP47" i="71"/>
  <c r="CQ47" i="71"/>
  <c r="CR47" i="71"/>
  <c r="CS47" i="71"/>
  <c r="CT47" i="71"/>
  <c r="CU47" i="71"/>
  <c r="CV47" i="71"/>
  <c r="CW47" i="71"/>
  <c r="CX47" i="71"/>
  <c r="CY47" i="71"/>
  <c r="CZ47" i="71"/>
  <c r="DA47" i="71"/>
  <c r="DB47" i="71"/>
  <c r="DC47" i="71"/>
  <c r="DD47" i="71"/>
  <c r="DE47" i="71"/>
  <c r="DF47" i="71"/>
  <c r="DG47" i="71"/>
  <c r="DH47" i="71"/>
  <c r="DI47" i="71"/>
  <c r="DJ47" i="71"/>
  <c r="DK47" i="71"/>
  <c r="DL47" i="71"/>
  <c r="DM47" i="71"/>
  <c r="DN47" i="71"/>
  <c r="DO47" i="71"/>
  <c r="DP47" i="71"/>
  <c r="DQ47" i="71"/>
  <c r="DR47" i="71"/>
  <c r="DS47" i="71"/>
  <c r="DT47" i="71"/>
  <c r="DU47" i="71"/>
  <c r="DV47" i="71"/>
  <c r="DW47" i="71"/>
  <c r="DX47" i="71"/>
  <c r="DY47" i="71"/>
  <c r="DZ47" i="71"/>
  <c r="EA47" i="71"/>
  <c r="EB47" i="71"/>
  <c r="EC47" i="71"/>
  <c r="ED47" i="71"/>
  <c r="EE47" i="71"/>
  <c r="EF47" i="71"/>
  <c r="EG47" i="71"/>
  <c r="EH47" i="71"/>
  <c r="EI47" i="71"/>
  <c r="EJ47" i="71"/>
  <c r="EK47" i="71"/>
  <c r="EL47" i="71"/>
  <c r="EM47" i="71"/>
  <c r="EN47" i="71"/>
  <c r="EO47" i="71"/>
  <c r="EP47" i="71"/>
  <c r="EQ47" i="71"/>
  <c r="ER47" i="71"/>
  <c r="ES47" i="71"/>
  <c r="ET47" i="71"/>
  <c r="EU47" i="71"/>
  <c r="EV47" i="71"/>
  <c r="EW47" i="71"/>
  <c r="EX47" i="71"/>
  <c r="EY47" i="71"/>
  <c r="EZ47" i="71"/>
  <c r="FA47" i="71"/>
  <c r="FB47" i="71"/>
  <c r="FC47" i="71"/>
  <c r="FD47" i="71"/>
  <c r="FE47" i="71"/>
  <c r="FF47" i="71"/>
  <c r="FG47" i="71"/>
  <c r="FH47" i="71"/>
  <c r="FI47" i="71"/>
  <c r="FJ47" i="71"/>
  <c r="FK47" i="71"/>
  <c r="FL47" i="71"/>
  <c r="FM47" i="71"/>
  <c r="FN47" i="71"/>
  <c r="FO47" i="71"/>
  <c r="FP47" i="71"/>
  <c r="FQ47" i="71"/>
  <c r="FR47" i="71"/>
  <c r="FS47" i="71"/>
  <c r="FT47" i="71"/>
  <c r="FU47" i="71"/>
  <c r="FV47" i="71"/>
  <c r="FW47" i="71"/>
  <c r="FX47" i="71"/>
  <c r="FY47" i="71"/>
  <c r="FZ47" i="71"/>
  <c r="GA47" i="71"/>
  <c r="GB47" i="71"/>
  <c r="GC47" i="71"/>
  <c r="GD47" i="71"/>
  <c r="GE47" i="71"/>
  <c r="GF47" i="71"/>
  <c r="GG47" i="71"/>
  <c r="GH47" i="71"/>
  <c r="GI47" i="71"/>
  <c r="GJ47" i="71"/>
  <c r="GK47" i="71"/>
  <c r="GL47" i="71"/>
  <c r="GM47" i="71"/>
  <c r="GN47" i="71"/>
  <c r="GO47" i="71"/>
  <c r="GP47" i="71"/>
  <c r="GQ47" i="71"/>
  <c r="GR47" i="71"/>
  <c r="GS47" i="71"/>
  <c r="GT47" i="71"/>
  <c r="GU47" i="71"/>
  <c r="GV47" i="71"/>
  <c r="GW47" i="71"/>
  <c r="GX47" i="71"/>
  <c r="GY47" i="71"/>
  <c r="GZ47" i="71"/>
  <c r="HA47" i="71"/>
  <c r="HB47" i="71"/>
  <c r="HC47" i="71"/>
  <c r="HD47" i="71"/>
  <c r="HE47" i="71"/>
  <c r="HF47" i="71"/>
  <c r="HG47" i="71"/>
  <c r="HH47" i="71"/>
  <c r="HI47" i="71"/>
  <c r="HJ47" i="71"/>
  <c r="HK47" i="71"/>
  <c r="HL47" i="71"/>
  <c r="HM47" i="71"/>
  <c r="HN47" i="71"/>
  <c r="HO47" i="71"/>
  <c r="HP47" i="71"/>
  <c r="HQ47" i="71"/>
  <c r="HR47" i="71"/>
  <c r="HS47" i="71"/>
  <c r="HT47" i="71"/>
  <c r="HU47" i="71"/>
  <c r="HV47" i="71"/>
  <c r="HW47" i="71"/>
  <c r="HX47" i="71"/>
  <c r="HY47" i="71"/>
  <c r="HZ47" i="71"/>
  <c r="IA47" i="71"/>
  <c r="IB47" i="71"/>
  <c r="IC47" i="71"/>
  <c r="ID47" i="71"/>
  <c r="IE47" i="71"/>
  <c r="IF47" i="71"/>
  <c r="IG47" i="71"/>
  <c r="IH47" i="71"/>
  <c r="II47" i="71"/>
  <c r="IJ47" i="71"/>
  <c r="IK47" i="71"/>
  <c r="IL47" i="71"/>
  <c r="IM47" i="71"/>
  <c r="IN47" i="71"/>
  <c r="IO47" i="71"/>
  <c r="IP47" i="71"/>
  <c r="IQ47" i="71"/>
  <c r="IR47" i="71"/>
  <c r="IS47" i="71"/>
  <c r="IT47" i="71"/>
  <c r="IU47" i="71"/>
  <c r="IV47" i="71"/>
  <c r="IW47" i="71"/>
  <c r="IX47" i="71"/>
  <c r="IY47" i="71"/>
  <c r="IZ47" i="71"/>
  <c r="JA47" i="71"/>
  <c r="JB47" i="71"/>
  <c r="JC47" i="71"/>
  <c r="JD47" i="71"/>
  <c r="JE47" i="71"/>
  <c r="JF47" i="71"/>
  <c r="JG47" i="71"/>
  <c r="JH47" i="71"/>
  <c r="JI47" i="71"/>
  <c r="JJ47" i="71"/>
  <c r="JK47" i="71"/>
  <c r="JL47" i="71"/>
  <c r="JM47" i="71"/>
  <c r="JN47" i="71"/>
  <c r="JO47" i="71"/>
  <c r="JP47" i="71"/>
  <c r="JQ47" i="71"/>
  <c r="JR47" i="71"/>
  <c r="JS47" i="71"/>
  <c r="JT47" i="71"/>
  <c r="JU47" i="71"/>
  <c r="JV47" i="71"/>
  <c r="JW47" i="71"/>
  <c r="JX47" i="71"/>
  <c r="JY47" i="71"/>
  <c r="JZ47" i="71"/>
  <c r="KA47" i="71"/>
  <c r="KB47" i="71"/>
  <c r="KC47" i="71"/>
  <c r="KD47" i="71"/>
  <c r="KE47" i="71"/>
  <c r="KF47" i="71"/>
  <c r="KG47" i="71"/>
  <c r="KH47" i="71"/>
  <c r="KI47" i="71"/>
  <c r="KJ47" i="71"/>
  <c r="KK47" i="71"/>
  <c r="KL47" i="71"/>
  <c r="KM47" i="71"/>
  <c r="KN47" i="71"/>
  <c r="KO47" i="71"/>
  <c r="KP47" i="71"/>
  <c r="KQ47" i="71"/>
  <c r="KR47" i="71"/>
  <c r="KS47" i="71"/>
  <c r="KT47" i="71"/>
  <c r="KU47" i="71"/>
  <c r="KV47" i="71"/>
  <c r="KW47" i="71"/>
  <c r="KX47" i="71"/>
  <c r="KY47" i="71"/>
  <c r="KZ47" i="71"/>
  <c r="LA47" i="71"/>
  <c r="LB47" i="71"/>
  <c r="LC47" i="71"/>
  <c r="LD47" i="71"/>
  <c r="LE47" i="71"/>
  <c r="LF47" i="71"/>
  <c r="LG47" i="71"/>
  <c r="LH47" i="71"/>
  <c r="LI47" i="71"/>
  <c r="LJ47" i="71"/>
  <c r="LK47" i="71"/>
  <c r="LL47" i="71"/>
  <c r="LM47" i="71"/>
  <c r="LN47" i="71"/>
  <c r="LO47" i="71"/>
  <c r="LP47" i="71"/>
  <c r="LQ47" i="71"/>
  <c r="LR47" i="71"/>
  <c r="LS47" i="71"/>
  <c r="LT47" i="71"/>
  <c r="LU47" i="71"/>
  <c r="LV47" i="71"/>
  <c r="LW47" i="71"/>
  <c r="LX47" i="71"/>
  <c r="LY47" i="71"/>
  <c r="LZ47" i="71"/>
  <c r="MA47" i="71"/>
  <c r="MB47" i="71"/>
  <c r="MC47" i="71"/>
  <c r="MD47" i="71"/>
  <c r="ME47" i="71"/>
  <c r="MF47" i="71"/>
  <c r="MG47" i="71"/>
  <c r="MH47" i="71"/>
  <c r="MI47" i="71"/>
  <c r="MJ47" i="71"/>
  <c r="MK47" i="71"/>
  <c r="ML47" i="71"/>
  <c r="MM47" i="71"/>
  <c r="D69" i="71"/>
  <c r="E69" i="71"/>
  <c r="M69" i="71"/>
  <c r="N69" i="71"/>
  <c r="O69" i="71"/>
  <c r="R69" i="71"/>
  <c r="S69" i="71"/>
  <c r="T69" i="71"/>
  <c r="U69" i="71"/>
  <c r="W69" i="71"/>
  <c r="X69" i="71"/>
  <c r="Y69" i="71"/>
  <c r="Z69" i="71"/>
  <c r="AA69" i="71"/>
  <c r="AB69" i="71"/>
  <c r="AC69" i="71"/>
  <c r="AD69" i="71"/>
  <c r="AE69" i="71"/>
  <c r="AH69" i="71"/>
  <c r="AI69" i="71"/>
  <c r="AJ69" i="71"/>
  <c r="AK69" i="71"/>
  <c r="AL69" i="71"/>
  <c r="AM69" i="71"/>
  <c r="AN69" i="71"/>
  <c r="AO69" i="71"/>
  <c r="AP69" i="71"/>
  <c r="AQ69" i="71"/>
  <c r="AR69" i="71"/>
  <c r="AS69" i="71"/>
  <c r="AT69" i="71"/>
  <c r="AU69" i="71"/>
  <c r="AV69" i="71"/>
  <c r="AW69" i="71"/>
  <c r="AX69" i="71"/>
  <c r="AY69" i="71"/>
  <c r="AZ69" i="71"/>
  <c r="BA69" i="71"/>
  <c r="BB69" i="71"/>
  <c r="BC69" i="71"/>
  <c r="BD69" i="71"/>
  <c r="BE69" i="71"/>
  <c r="BF69" i="71"/>
  <c r="BG69" i="71"/>
  <c r="BH69" i="71"/>
  <c r="BI69" i="71"/>
  <c r="BJ69" i="71"/>
  <c r="BK69" i="71"/>
  <c r="BL69" i="71"/>
  <c r="BM69" i="71"/>
  <c r="BN69" i="71"/>
  <c r="BO69" i="71"/>
  <c r="BP69" i="71"/>
  <c r="BQ69" i="71"/>
  <c r="BR69" i="71"/>
  <c r="BS69" i="71"/>
  <c r="BT69" i="71"/>
  <c r="BU69" i="71"/>
  <c r="BV69" i="71"/>
  <c r="BW69" i="71"/>
  <c r="BX69" i="71"/>
  <c r="BY69" i="71"/>
  <c r="BZ69" i="71"/>
  <c r="CA69" i="71"/>
  <c r="CB69" i="71"/>
  <c r="CC69" i="71"/>
  <c r="CD69" i="71"/>
  <c r="CE69" i="71"/>
  <c r="CF69" i="71"/>
  <c r="CG69" i="71"/>
  <c r="CH69" i="71"/>
  <c r="CI69" i="71"/>
  <c r="CJ69" i="71"/>
  <c r="CK69" i="71"/>
  <c r="CL69" i="71"/>
  <c r="CM69" i="71"/>
  <c r="CN69" i="71"/>
  <c r="CO69" i="71"/>
  <c r="CP69" i="71"/>
  <c r="CQ69" i="71"/>
  <c r="CR69" i="71"/>
  <c r="CS69" i="71"/>
  <c r="CT69" i="71"/>
  <c r="CU69" i="71"/>
  <c r="CV69" i="71"/>
  <c r="CW69" i="71"/>
  <c r="CX69" i="71"/>
  <c r="CY69" i="71"/>
  <c r="CZ69" i="71"/>
  <c r="DA69" i="71"/>
  <c r="DB69" i="71"/>
  <c r="DC69" i="71"/>
  <c r="DD69" i="71"/>
  <c r="DE69" i="71"/>
  <c r="DF69" i="71"/>
  <c r="DG69" i="71"/>
  <c r="DH69" i="71"/>
  <c r="DI69" i="71"/>
  <c r="DJ69" i="71"/>
  <c r="DK69" i="71"/>
  <c r="DL69" i="71"/>
  <c r="DM69" i="71"/>
  <c r="DN69" i="71"/>
  <c r="DO69" i="71"/>
  <c r="DP69" i="71"/>
  <c r="DQ69" i="71"/>
  <c r="DR69" i="71"/>
  <c r="DS69" i="71"/>
  <c r="DT69" i="71"/>
  <c r="DU69" i="71"/>
  <c r="DV69" i="71"/>
  <c r="DW69" i="71"/>
  <c r="DX69" i="71"/>
  <c r="DY69" i="71"/>
  <c r="DZ69" i="71"/>
  <c r="EA69" i="71"/>
  <c r="EB69" i="71"/>
  <c r="EC69" i="71"/>
  <c r="ED69" i="71"/>
  <c r="EE69" i="71"/>
  <c r="EF69" i="71"/>
  <c r="EG69" i="71"/>
  <c r="EH69" i="71"/>
  <c r="EI69" i="71"/>
  <c r="EJ69" i="71"/>
  <c r="EK69" i="71"/>
  <c r="EL69" i="71"/>
  <c r="EM69" i="71"/>
  <c r="EN69" i="71"/>
  <c r="EO69" i="71"/>
  <c r="EP69" i="71"/>
  <c r="EQ69" i="71"/>
  <c r="ER69" i="71"/>
  <c r="ES69" i="71"/>
  <c r="ET69" i="71"/>
  <c r="EU69" i="71"/>
  <c r="EV69" i="71"/>
  <c r="EW69" i="71"/>
  <c r="EX69" i="71"/>
  <c r="EY69" i="71"/>
  <c r="EZ69" i="71"/>
  <c r="FA69" i="71"/>
  <c r="FB69" i="71"/>
  <c r="FC69" i="71"/>
  <c r="FD69" i="71"/>
  <c r="FE69" i="71"/>
  <c r="FF69" i="71"/>
  <c r="FG69" i="71"/>
  <c r="FH69" i="71"/>
  <c r="FI69" i="71"/>
  <c r="FJ69" i="71"/>
  <c r="FK69" i="71"/>
  <c r="FL69" i="71"/>
  <c r="FM69" i="71"/>
  <c r="FN69" i="71"/>
  <c r="FO69" i="71"/>
  <c r="FP69" i="71"/>
  <c r="FQ69" i="71"/>
  <c r="FR69" i="71"/>
  <c r="FS69" i="71"/>
  <c r="FT69" i="71"/>
  <c r="FU69" i="71"/>
  <c r="FV69" i="71"/>
  <c r="FW69" i="71"/>
  <c r="FX69" i="71"/>
  <c r="FY69" i="71"/>
  <c r="FZ69" i="71"/>
  <c r="GA69" i="71"/>
  <c r="GB69" i="71"/>
  <c r="GC69" i="71"/>
  <c r="GD69" i="71"/>
  <c r="GE69" i="71"/>
  <c r="GF69" i="71"/>
  <c r="GG69" i="71"/>
  <c r="GH69" i="71"/>
  <c r="GI69" i="71"/>
  <c r="GJ69" i="71"/>
  <c r="GK69" i="71"/>
  <c r="GL69" i="71"/>
  <c r="GM69" i="71"/>
  <c r="GN69" i="71"/>
  <c r="GO69" i="71"/>
  <c r="GP69" i="71"/>
  <c r="GQ69" i="71"/>
  <c r="GR69" i="71"/>
  <c r="GS69" i="71"/>
  <c r="GT69" i="71"/>
  <c r="GU69" i="71"/>
  <c r="GV69" i="71"/>
  <c r="GW69" i="71"/>
  <c r="GX69" i="71"/>
  <c r="GY69" i="71"/>
  <c r="GZ69" i="71"/>
  <c r="HA69" i="71"/>
  <c r="HB69" i="71"/>
  <c r="HC69" i="71"/>
  <c r="HD69" i="71"/>
  <c r="HE69" i="71"/>
  <c r="HF69" i="71"/>
  <c r="HG69" i="71"/>
  <c r="HH69" i="71"/>
  <c r="HI69" i="71"/>
  <c r="HJ69" i="71"/>
  <c r="HK69" i="71"/>
  <c r="HT69" i="71"/>
  <c r="HU69" i="71"/>
  <c r="HV69" i="71"/>
  <c r="HW69" i="71"/>
  <c r="HX69" i="71"/>
  <c r="HY69" i="71"/>
  <c r="HZ69" i="71"/>
  <c r="IA69" i="71"/>
  <c r="IB69" i="71"/>
  <c r="IC69" i="71"/>
  <c r="ID69" i="71"/>
  <c r="IE69" i="71"/>
  <c r="IF69" i="71"/>
  <c r="IG69" i="71"/>
  <c r="IH69" i="71"/>
  <c r="II69" i="71"/>
  <c r="IJ69" i="71"/>
  <c r="IK69" i="71"/>
  <c r="IL69" i="71"/>
  <c r="IM69" i="71"/>
  <c r="IN69" i="71"/>
  <c r="IO69" i="71"/>
  <c r="IP69" i="71"/>
  <c r="IQ69" i="71"/>
  <c r="IR69" i="71"/>
  <c r="IS69" i="71"/>
  <c r="IT69" i="71"/>
  <c r="IU69" i="71"/>
  <c r="IV69" i="71"/>
  <c r="IW69" i="71"/>
  <c r="IX69" i="71"/>
  <c r="IY69" i="71"/>
  <c r="IZ69" i="71"/>
  <c r="JA69" i="71"/>
  <c r="JB69" i="71"/>
  <c r="JC69" i="71"/>
  <c r="JD69" i="71"/>
  <c r="JE69" i="71"/>
  <c r="JF69" i="71"/>
  <c r="JG69" i="71"/>
  <c r="JH69" i="71"/>
  <c r="JI69" i="71"/>
  <c r="JJ69" i="71"/>
  <c r="JK69" i="71"/>
  <c r="JL69" i="71"/>
  <c r="JM69" i="71"/>
  <c r="JN69" i="71"/>
  <c r="JO69" i="71"/>
  <c r="JP69" i="71"/>
  <c r="JQ69" i="71"/>
  <c r="JR69" i="71"/>
  <c r="JS69" i="71"/>
  <c r="JT69" i="71"/>
  <c r="JU69" i="71"/>
  <c r="JV69" i="71"/>
  <c r="JW69" i="71"/>
  <c r="JX69" i="71"/>
  <c r="JY69" i="71"/>
  <c r="JZ69" i="71"/>
  <c r="KA69" i="71"/>
  <c r="KB69" i="71"/>
  <c r="KC69" i="71"/>
  <c r="KD69" i="71"/>
  <c r="KE69" i="71"/>
  <c r="KF69" i="71"/>
  <c r="KG69" i="71"/>
  <c r="KH69" i="71"/>
  <c r="KI69" i="71"/>
  <c r="KJ69" i="71"/>
  <c r="KK69" i="71"/>
  <c r="KL69" i="71"/>
  <c r="KM69" i="71"/>
  <c r="KN69" i="71"/>
  <c r="KO69" i="71"/>
  <c r="KP69" i="71"/>
  <c r="KQ69" i="71"/>
  <c r="KR69" i="71"/>
  <c r="KS69" i="71"/>
  <c r="KT69" i="71"/>
  <c r="KU69" i="71"/>
  <c r="KV69" i="71"/>
  <c r="KW69" i="71"/>
  <c r="KX69" i="71"/>
  <c r="KY69" i="71"/>
  <c r="KZ69" i="71"/>
  <c r="LA69" i="71"/>
  <c r="LB69" i="71"/>
  <c r="LC69" i="71"/>
  <c r="LD69" i="71"/>
  <c r="LE69" i="71"/>
  <c r="LF69" i="71"/>
  <c r="LG69" i="71"/>
  <c r="LH69" i="71"/>
  <c r="LI69" i="71"/>
  <c r="LJ69" i="71"/>
  <c r="LK69" i="71"/>
  <c r="LL69" i="71"/>
  <c r="LM69" i="71"/>
  <c r="LN69" i="71"/>
  <c r="LO69" i="71"/>
  <c r="LP69" i="71"/>
  <c r="LQ69" i="71"/>
  <c r="LR69" i="71"/>
  <c r="LS69" i="71"/>
  <c r="LT69" i="71"/>
  <c r="LU69" i="71"/>
  <c r="LV69" i="71"/>
  <c r="LW69" i="71"/>
  <c r="LX69" i="71"/>
  <c r="LY69" i="71"/>
  <c r="LZ69" i="71"/>
  <c r="MA69" i="71"/>
  <c r="MB69" i="71"/>
  <c r="MC69" i="71"/>
  <c r="MD69" i="71"/>
  <c r="ME69" i="71"/>
  <c r="MF69" i="71"/>
  <c r="MG69" i="71"/>
  <c r="MH69" i="71"/>
  <c r="MI69" i="71"/>
  <c r="MJ69" i="71"/>
  <c r="MK69" i="71"/>
  <c r="ML69" i="71"/>
  <c r="MM69" i="71"/>
  <c r="D59" i="71"/>
  <c r="E59" i="71"/>
  <c r="M59" i="71"/>
  <c r="N59" i="71"/>
  <c r="O59" i="71"/>
  <c r="R59" i="71"/>
  <c r="S59" i="71"/>
  <c r="T59" i="71"/>
  <c r="V59" i="71"/>
  <c r="W59" i="71"/>
  <c r="X59" i="71"/>
  <c r="Y59" i="71"/>
  <c r="Z59" i="71"/>
  <c r="AA59" i="71"/>
  <c r="AB59" i="71"/>
  <c r="AC59" i="71"/>
  <c r="AD59" i="71"/>
  <c r="AE59" i="71"/>
  <c r="AF59" i="71"/>
  <c r="AG59" i="71"/>
  <c r="AH59" i="71"/>
  <c r="AI59" i="71"/>
  <c r="AJ59" i="71"/>
  <c r="AK59" i="71"/>
  <c r="AL59" i="71"/>
  <c r="AM59" i="71"/>
  <c r="AN59" i="71"/>
  <c r="AO59" i="71"/>
  <c r="AP59" i="71"/>
  <c r="AQ59" i="71"/>
  <c r="AR59" i="71"/>
  <c r="AS59" i="71"/>
  <c r="AT59" i="71"/>
  <c r="AU59" i="71"/>
  <c r="AV59" i="71"/>
  <c r="AW59" i="71"/>
  <c r="AX59" i="71"/>
  <c r="AY59" i="71"/>
  <c r="AZ59" i="71"/>
  <c r="BA59" i="71"/>
  <c r="BB59" i="71"/>
  <c r="BC59" i="71"/>
  <c r="BD59" i="71"/>
  <c r="BE59" i="71"/>
  <c r="BF59" i="71"/>
  <c r="BG59" i="71"/>
  <c r="BH59" i="71"/>
  <c r="BI59" i="71"/>
  <c r="BJ59" i="71"/>
  <c r="BK59" i="71"/>
  <c r="BL59" i="71"/>
  <c r="BM59" i="71"/>
  <c r="BN59" i="71"/>
  <c r="BO59" i="71"/>
  <c r="BP59" i="71"/>
  <c r="BQ59" i="71"/>
  <c r="BR59" i="71"/>
  <c r="BS59" i="71"/>
  <c r="BT59" i="71"/>
  <c r="BU59" i="71"/>
  <c r="BV59" i="71"/>
  <c r="BW59" i="71"/>
  <c r="BX59" i="71"/>
  <c r="BY59" i="71"/>
  <c r="BZ59" i="71"/>
  <c r="CA59" i="71"/>
  <c r="CB59" i="71"/>
  <c r="CC59" i="71"/>
  <c r="CD59" i="71"/>
  <c r="CE59" i="71"/>
  <c r="CF59" i="71"/>
  <c r="CG59" i="71"/>
  <c r="CH59" i="71"/>
  <c r="CI59" i="71"/>
  <c r="CJ59" i="71"/>
  <c r="CK59" i="71"/>
  <c r="CL59" i="71"/>
  <c r="CM59" i="71"/>
  <c r="CN59" i="71"/>
  <c r="CO59" i="71"/>
  <c r="CP59" i="71"/>
  <c r="CQ59" i="71"/>
  <c r="CR59" i="71"/>
  <c r="CS59" i="71"/>
  <c r="CT59" i="71"/>
  <c r="CU59" i="71"/>
  <c r="CV59" i="71"/>
  <c r="CW59" i="71"/>
  <c r="CX59" i="71"/>
  <c r="CY59" i="71"/>
  <c r="CZ59" i="71"/>
  <c r="DA59" i="71"/>
  <c r="DB59" i="71"/>
  <c r="DC59" i="71"/>
  <c r="DD59" i="71"/>
  <c r="DE59" i="71"/>
  <c r="DF59" i="71"/>
  <c r="DG59" i="71"/>
  <c r="DH59" i="71"/>
  <c r="DI59" i="71"/>
  <c r="DJ59" i="71"/>
  <c r="DK59" i="71"/>
  <c r="DL59" i="71"/>
  <c r="DM59" i="71"/>
  <c r="DN59" i="71"/>
  <c r="DO59" i="71"/>
  <c r="DP59" i="71"/>
  <c r="DQ59" i="71"/>
  <c r="DR59" i="71"/>
  <c r="DS59" i="71"/>
  <c r="DT59" i="71"/>
  <c r="DU59" i="71"/>
  <c r="DV59" i="71"/>
  <c r="DW59" i="71"/>
  <c r="DX59" i="71"/>
  <c r="DY59" i="71"/>
  <c r="DZ59" i="71"/>
  <c r="EA59" i="71"/>
  <c r="EB59" i="71"/>
  <c r="EC59" i="71"/>
  <c r="ED59" i="71"/>
  <c r="EE59" i="71"/>
  <c r="EF59" i="71"/>
  <c r="EG59" i="71"/>
  <c r="EH59" i="71"/>
  <c r="EI59" i="71"/>
  <c r="EJ59" i="71"/>
  <c r="EK59" i="71"/>
  <c r="EL59" i="71"/>
  <c r="EM59" i="71"/>
  <c r="EN59" i="71"/>
  <c r="EO59" i="71"/>
  <c r="EP59" i="71"/>
  <c r="EQ59" i="71"/>
  <c r="ER59" i="71"/>
  <c r="ES59" i="71"/>
  <c r="ET59" i="71"/>
  <c r="EU59" i="71"/>
  <c r="EV59" i="71"/>
  <c r="EW59" i="71"/>
  <c r="EX59" i="71"/>
  <c r="EY59" i="71"/>
  <c r="EZ59" i="71"/>
  <c r="FA59" i="71"/>
  <c r="FB59" i="71"/>
  <c r="FC59" i="71"/>
  <c r="FD59" i="71"/>
  <c r="FE59" i="71"/>
  <c r="FF59" i="71"/>
  <c r="FG59" i="71"/>
  <c r="FH59" i="71"/>
  <c r="FI59" i="71"/>
  <c r="FJ59" i="71"/>
  <c r="FK59" i="71"/>
  <c r="FL59" i="71"/>
  <c r="FM59" i="71"/>
  <c r="FN59" i="71"/>
  <c r="FO59" i="71"/>
  <c r="FP59" i="71"/>
  <c r="FQ59" i="71"/>
  <c r="FR59" i="71"/>
  <c r="FS59" i="71"/>
  <c r="FT59" i="71"/>
  <c r="FU59" i="71"/>
  <c r="FV59" i="71"/>
  <c r="FW59" i="71"/>
  <c r="FX59" i="71"/>
  <c r="FY59" i="71"/>
  <c r="FZ59" i="71"/>
  <c r="GA59" i="71"/>
  <c r="GB59" i="71"/>
  <c r="GC59" i="71"/>
  <c r="GD59" i="71"/>
  <c r="GE59" i="71"/>
  <c r="GF59" i="71"/>
  <c r="GG59" i="71"/>
  <c r="GH59" i="71"/>
  <c r="GI59" i="71"/>
  <c r="GJ59" i="71"/>
  <c r="GK59" i="71"/>
  <c r="GL59" i="71"/>
  <c r="GM59" i="71"/>
  <c r="GN59" i="71"/>
  <c r="GO59" i="71"/>
  <c r="GP59" i="71"/>
  <c r="GQ59" i="71"/>
  <c r="GR59" i="71"/>
  <c r="GS59" i="71"/>
  <c r="GT59" i="71"/>
  <c r="GU59" i="71"/>
  <c r="GV59" i="71"/>
  <c r="GW59" i="71"/>
  <c r="GX59" i="71"/>
  <c r="GY59" i="71"/>
  <c r="GZ59" i="71"/>
  <c r="HA59" i="71"/>
  <c r="HB59" i="71"/>
  <c r="HC59" i="71"/>
  <c r="HD59" i="71"/>
  <c r="HE59" i="71"/>
  <c r="HF59" i="71"/>
  <c r="HG59" i="71"/>
  <c r="HH59" i="71"/>
  <c r="HI59" i="71"/>
  <c r="HJ59" i="71"/>
  <c r="HK59" i="71"/>
  <c r="HL59" i="71"/>
  <c r="GZ51" i="67" s="1"/>
  <c r="HM59" i="71"/>
  <c r="HA51" i="67" s="1"/>
  <c r="HN59" i="71"/>
  <c r="HB51" i="67" s="1"/>
  <c r="HO59" i="71"/>
  <c r="HC51" i="67" s="1"/>
  <c r="HP59" i="71"/>
  <c r="HD51" i="67" s="1"/>
  <c r="HQ59" i="71"/>
  <c r="HE51" i="67" s="1"/>
  <c r="HR59" i="71"/>
  <c r="HF51" i="67" s="1"/>
  <c r="HS59" i="71"/>
  <c r="HG51" i="67" s="1"/>
  <c r="HT59" i="71"/>
  <c r="HU59" i="71"/>
  <c r="HV59" i="71"/>
  <c r="HW59" i="71"/>
  <c r="HX59" i="71"/>
  <c r="HY59" i="71"/>
  <c r="HZ59" i="71"/>
  <c r="IA59" i="71"/>
  <c r="IB59" i="71"/>
  <c r="IC59" i="71"/>
  <c r="ID59" i="71"/>
  <c r="IE59" i="71"/>
  <c r="IF59" i="71"/>
  <c r="IG59" i="71"/>
  <c r="IH59" i="71"/>
  <c r="II59" i="71"/>
  <c r="IJ59" i="71"/>
  <c r="IK59" i="71"/>
  <c r="IL59" i="71"/>
  <c r="IM59" i="71"/>
  <c r="IN59" i="71"/>
  <c r="IO59" i="71"/>
  <c r="IP59" i="71"/>
  <c r="IQ59" i="71"/>
  <c r="IR59" i="71"/>
  <c r="IS59" i="71"/>
  <c r="IT59" i="71"/>
  <c r="IU59" i="71"/>
  <c r="IV59" i="71"/>
  <c r="IW59" i="71"/>
  <c r="IX59" i="71"/>
  <c r="IY59" i="71"/>
  <c r="IZ59" i="71"/>
  <c r="JA59" i="71"/>
  <c r="JB59" i="71"/>
  <c r="JC59" i="71"/>
  <c r="JD59" i="71"/>
  <c r="JE59" i="71"/>
  <c r="JF59" i="71"/>
  <c r="JG59" i="71"/>
  <c r="JH59" i="71"/>
  <c r="JI59" i="71"/>
  <c r="JJ59" i="71"/>
  <c r="JK59" i="71"/>
  <c r="JL59" i="71"/>
  <c r="JM59" i="71"/>
  <c r="JN59" i="71"/>
  <c r="JO59" i="71"/>
  <c r="JP59" i="71"/>
  <c r="JQ59" i="71"/>
  <c r="JR59" i="71"/>
  <c r="JS59" i="71"/>
  <c r="JT59" i="71"/>
  <c r="JU59" i="71"/>
  <c r="JV59" i="71"/>
  <c r="JW59" i="71"/>
  <c r="JX59" i="71"/>
  <c r="JY59" i="71"/>
  <c r="JZ59" i="71"/>
  <c r="KA59" i="71"/>
  <c r="KB59" i="71"/>
  <c r="KC59" i="71"/>
  <c r="KD59" i="71"/>
  <c r="KE59" i="71"/>
  <c r="KF59" i="71"/>
  <c r="KG59" i="71"/>
  <c r="KH59" i="71"/>
  <c r="KI59" i="71"/>
  <c r="KJ59" i="71"/>
  <c r="KK59" i="71"/>
  <c r="KL59" i="71"/>
  <c r="KM59" i="71"/>
  <c r="KN59" i="71"/>
  <c r="KO59" i="71"/>
  <c r="KP59" i="71"/>
  <c r="KQ59" i="71"/>
  <c r="KR59" i="71"/>
  <c r="KS59" i="71"/>
  <c r="KT59" i="71"/>
  <c r="KU59" i="71"/>
  <c r="KV59" i="71"/>
  <c r="KW59" i="71"/>
  <c r="KX59" i="71"/>
  <c r="KY59" i="71"/>
  <c r="KZ59" i="71"/>
  <c r="LA59" i="71"/>
  <c r="LB59" i="71"/>
  <c r="LC59" i="71"/>
  <c r="LD59" i="71"/>
  <c r="LE59" i="71"/>
  <c r="LF59" i="71"/>
  <c r="LG59" i="71"/>
  <c r="LH59" i="71"/>
  <c r="LI59" i="71"/>
  <c r="LJ59" i="71"/>
  <c r="LK59" i="71"/>
  <c r="LL59" i="71"/>
  <c r="LM59" i="71"/>
  <c r="LN59" i="71"/>
  <c r="LO59" i="71"/>
  <c r="LP59" i="71"/>
  <c r="LQ59" i="71"/>
  <c r="LR59" i="71"/>
  <c r="LS59" i="71"/>
  <c r="LT59" i="71"/>
  <c r="LU59" i="71"/>
  <c r="LV59" i="71"/>
  <c r="LW59" i="71"/>
  <c r="LX59" i="71"/>
  <c r="LY59" i="71"/>
  <c r="LZ59" i="71"/>
  <c r="MA59" i="71"/>
  <c r="MB59" i="71"/>
  <c r="MC59" i="71"/>
  <c r="ME59" i="71"/>
  <c r="MF59" i="71"/>
  <c r="MG59" i="71"/>
  <c r="MH59" i="71"/>
  <c r="MI59" i="71"/>
  <c r="MJ59" i="71"/>
  <c r="MK59" i="71"/>
  <c r="ML59" i="71"/>
  <c r="MM59" i="71"/>
  <c r="D15" i="71"/>
  <c r="E15" i="71"/>
  <c r="M15" i="71"/>
  <c r="N15" i="71"/>
  <c r="O15" i="71"/>
  <c r="R15" i="71"/>
  <c r="S15" i="71"/>
  <c r="T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BB15" i="71"/>
  <c r="BC15" i="71"/>
  <c r="BD15" i="71"/>
  <c r="BE15" i="71"/>
  <c r="BF15" i="71"/>
  <c r="BG15" i="71"/>
  <c r="BH15" i="71"/>
  <c r="BI15" i="71"/>
  <c r="BJ15" i="71"/>
  <c r="BK15" i="71"/>
  <c r="BL15" i="71"/>
  <c r="BM15" i="71"/>
  <c r="BN15" i="71"/>
  <c r="BO15" i="71"/>
  <c r="BP15" i="71"/>
  <c r="BQ15" i="71"/>
  <c r="BR15" i="71"/>
  <c r="BS15" i="71"/>
  <c r="BT15" i="71"/>
  <c r="BU15" i="71"/>
  <c r="BV15" i="71"/>
  <c r="BW15" i="71"/>
  <c r="BX15" i="71"/>
  <c r="BY15" i="71"/>
  <c r="BZ15" i="71"/>
  <c r="CA15" i="71"/>
  <c r="CB15" i="71"/>
  <c r="CC15" i="71"/>
  <c r="CD15" i="71"/>
  <c r="CE15" i="71"/>
  <c r="CF15" i="71"/>
  <c r="CG15" i="71"/>
  <c r="CH15" i="71"/>
  <c r="CI15" i="71"/>
  <c r="CJ15" i="71"/>
  <c r="CK15" i="71"/>
  <c r="CL15" i="71"/>
  <c r="CM15" i="71"/>
  <c r="CN15" i="71"/>
  <c r="CO15" i="71"/>
  <c r="CP15" i="71"/>
  <c r="CQ15" i="71"/>
  <c r="CR15" i="71"/>
  <c r="CS15" i="71"/>
  <c r="CT15" i="71"/>
  <c r="CU15" i="71"/>
  <c r="CV15" i="71"/>
  <c r="CW15" i="71"/>
  <c r="CX15" i="71"/>
  <c r="CY15" i="71"/>
  <c r="CZ15" i="71"/>
  <c r="DA15" i="71"/>
  <c r="DB15" i="71"/>
  <c r="DC15" i="71"/>
  <c r="DD15" i="71"/>
  <c r="DE15" i="71"/>
  <c r="DF15" i="71"/>
  <c r="DG15" i="71"/>
  <c r="DH15" i="71"/>
  <c r="DI15" i="71"/>
  <c r="DJ15" i="71"/>
  <c r="DK15" i="71"/>
  <c r="DL15" i="71"/>
  <c r="DM15" i="71"/>
  <c r="DN15" i="71"/>
  <c r="DO15" i="71"/>
  <c r="DP15" i="71"/>
  <c r="DQ15" i="71"/>
  <c r="DR15" i="71"/>
  <c r="DS15" i="71"/>
  <c r="DT15" i="71"/>
  <c r="DU15" i="71"/>
  <c r="DV15" i="71"/>
  <c r="DW15" i="71"/>
  <c r="DX15" i="71"/>
  <c r="DY15" i="71"/>
  <c r="DZ15" i="71"/>
  <c r="EA15" i="71"/>
  <c r="EB15" i="71"/>
  <c r="EC15" i="71"/>
  <c r="ED15" i="71"/>
  <c r="EE15" i="71"/>
  <c r="EF15" i="71"/>
  <c r="EG15" i="71"/>
  <c r="EH15" i="71"/>
  <c r="EI15" i="71"/>
  <c r="EJ15" i="71"/>
  <c r="EK15" i="71"/>
  <c r="EL15" i="71"/>
  <c r="EM15" i="71"/>
  <c r="EN15" i="71"/>
  <c r="EO15" i="71"/>
  <c r="EP15" i="71"/>
  <c r="EQ15" i="71"/>
  <c r="ER15" i="71"/>
  <c r="ES15" i="71"/>
  <c r="ET15" i="71"/>
  <c r="EU15" i="71"/>
  <c r="EV15" i="71"/>
  <c r="EW15" i="71"/>
  <c r="EX15" i="71"/>
  <c r="EY15" i="71"/>
  <c r="EZ15" i="71"/>
  <c r="FA15" i="71"/>
  <c r="FB15" i="71"/>
  <c r="FC15" i="71"/>
  <c r="FD15" i="71"/>
  <c r="FE15" i="71"/>
  <c r="FF15" i="71"/>
  <c r="FG15" i="71"/>
  <c r="FH15" i="71"/>
  <c r="FI15" i="71"/>
  <c r="FJ15" i="71"/>
  <c r="FK15" i="71"/>
  <c r="FL15" i="71"/>
  <c r="FM15" i="71"/>
  <c r="FN15" i="71"/>
  <c r="FO15" i="71"/>
  <c r="FP15" i="71"/>
  <c r="FQ15" i="71"/>
  <c r="FR15" i="71"/>
  <c r="FS15" i="71"/>
  <c r="FT15" i="71"/>
  <c r="FU15" i="71"/>
  <c r="FV15" i="71"/>
  <c r="FW15" i="71"/>
  <c r="FX15" i="71"/>
  <c r="FY15" i="71"/>
  <c r="FZ15" i="71"/>
  <c r="GA15" i="71"/>
  <c r="GB15" i="71"/>
  <c r="GD15" i="71"/>
  <c r="GE15" i="71"/>
  <c r="GF15" i="71"/>
  <c r="GG15" i="71"/>
  <c r="GH15" i="71"/>
  <c r="GI15" i="71"/>
  <c r="GJ15" i="71"/>
  <c r="GM15" i="71"/>
  <c r="GN15" i="71"/>
  <c r="GO15" i="71"/>
  <c r="GP15" i="71"/>
  <c r="GQ15" i="71"/>
  <c r="GR15" i="71"/>
  <c r="GS15" i="71"/>
  <c r="GT15" i="71"/>
  <c r="GU15" i="71"/>
  <c r="GV15" i="71"/>
  <c r="GW15" i="71"/>
  <c r="GX15" i="71"/>
  <c r="GY15" i="71"/>
  <c r="GZ15" i="71"/>
  <c r="HA15" i="71"/>
  <c r="HB15" i="71"/>
  <c r="HC15" i="71"/>
  <c r="HD15" i="71"/>
  <c r="HE15" i="71"/>
  <c r="HF15" i="71"/>
  <c r="HG15" i="71"/>
  <c r="HH15" i="71"/>
  <c r="HI15" i="71"/>
  <c r="HJ15" i="71"/>
  <c r="HK15" i="71"/>
  <c r="HL15" i="71"/>
  <c r="HM15" i="71"/>
  <c r="HN15" i="71"/>
  <c r="HO15" i="71"/>
  <c r="HP15" i="71"/>
  <c r="HQ15" i="71"/>
  <c r="HR15" i="71"/>
  <c r="HS15" i="71"/>
  <c r="HT15" i="71"/>
  <c r="HU15" i="71"/>
  <c r="HV15" i="71"/>
  <c r="HW15" i="71"/>
  <c r="HX15" i="71"/>
  <c r="HY15" i="71"/>
  <c r="HZ15" i="71"/>
  <c r="IA15" i="71"/>
  <c r="IB15" i="71"/>
  <c r="IC15" i="71"/>
  <c r="ID15" i="71"/>
  <c r="IE15" i="71"/>
  <c r="IF15" i="71"/>
  <c r="IG15" i="71"/>
  <c r="IH15" i="71"/>
  <c r="II15" i="71"/>
  <c r="IJ15" i="71"/>
  <c r="IK15" i="71"/>
  <c r="IL15" i="71"/>
  <c r="IM15" i="71"/>
  <c r="IN15" i="71"/>
  <c r="IO15" i="71"/>
  <c r="IP15" i="71"/>
  <c r="IQ15" i="71"/>
  <c r="IR15" i="71"/>
  <c r="IS15" i="71"/>
  <c r="IT15" i="71"/>
  <c r="IU15" i="71"/>
  <c r="IV15" i="71"/>
  <c r="IW15" i="71"/>
  <c r="IX15" i="71"/>
  <c r="IY15" i="71"/>
  <c r="IZ15" i="71"/>
  <c r="JA15" i="71"/>
  <c r="JB15" i="71"/>
  <c r="JC15" i="71"/>
  <c r="JD15" i="71"/>
  <c r="JE15" i="71"/>
  <c r="JF15" i="71"/>
  <c r="JG15" i="71"/>
  <c r="JH15" i="71"/>
  <c r="JI15" i="71"/>
  <c r="JJ15" i="71"/>
  <c r="JK15" i="71"/>
  <c r="JL15" i="71"/>
  <c r="JM15" i="71"/>
  <c r="JN15" i="71"/>
  <c r="JO15" i="71"/>
  <c r="JP15" i="71"/>
  <c r="JQ15" i="71"/>
  <c r="JR15" i="71"/>
  <c r="JS15" i="71"/>
  <c r="JT15" i="71"/>
  <c r="JU15" i="71"/>
  <c r="JV15" i="71"/>
  <c r="JW15" i="71"/>
  <c r="JX15" i="71"/>
  <c r="JY15" i="71"/>
  <c r="JZ15" i="71"/>
  <c r="KA15" i="71"/>
  <c r="KB15" i="71"/>
  <c r="KC15" i="71"/>
  <c r="KD15" i="71"/>
  <c r="KE15" i="71"/>
  <c r="KF15" i="71"/>
  <c r="KG15" i="71"/>
  <c r="KH15" i="71"/>
  <c r="KI15" i="71"/>
  <c r="KJ15" i="71"/>
  <c r="KK15" i="71"/>
  <c r="KL15" i="71"/>
  <c r="KM15" i="71"/>
  <c r="KN15" i="71"/>
  <c r="KO15" i="71"/>
  <c r="KP15" i="71"/>
  <c r="KQ15" i="71"/>
  <c r="KR15" i="71"/>
  <c r="KS15" i="71"/>
  <c r="KT15" i="71"/>
  <c r="KU15" i="71"/>
  <c r="KV15" i="71"/>
  <c r="KW15" i="71"/>
  <c r="KX15" i="71"/>
  <c r="KY15" i="71"/>
  <c r="KZ15" i="71"/>
  <c r="LA15" i="71"/>
  <c r="LB15" i="71"/>
  <c r="LC15" i="71"/>
  <c r="LD15" i="71"/>
  <c r="LE15" i="71"/>
  <c r="LF15" i="71"/>
  <c r="LG15" i="71"/>
  <c r="LH15" i="71"/>
  <c r="LI15" i="71"/>
  <c r="LJ15" i="71"/>
  <c r="LK15" i="71"/>
  <c r="LL15" i="71"/>
  <c r="LM15" i="71"/>
  <c r="LN15" i="71"/>
  <c r="LO15" i="71"/>
  <c r="LP15" i="71"/>
  <c r="LQ15" i="71"/>
  <c r="LR15" i="71"/>
  <c r="LS15" i="71"/>
  <c r="LT15" i="71"/>
  <c r="LU15" i="71"/>
  <c r="LV15" i="71"/>
  <c r="LW15" i="71"/>
  <c r="LX15" i="71"/>
  <c r="LY15" i="71"/>
  <c r="LZ15" i="71"/>
  <c r="MA15" i="71"/>
  <c r="MB15" i="71"/>
  <c r="MC15" i="71"/>
  <c r="MD15" i="71"/>
  <c r="ME15" i="71"/>
  <c r="MF15" i="71"/>
  <c r="MG15" i="71"/>
  <c r="MH15" i="71"/>
  <c r="MI15" i="71"/>
  <c r="MJ15" i="71"/>
  <c r="MK15" i="71"/>
  <c r="ML15" i="71"/>
  <c r="MM15" i="71"/>
  <c r="D52" i="71"/>
  <c r="E52" i="71"/>
  <c r="M52" i="71"/>
  <c r="N52" i="71"/>
  <c r="O52" i="71"/>
  <c r="R52" i="71"/>
  <c r="S52" i="71"/>
  <c r="T52" i="71"/>
  <c r="U52" i="71"/>
  <c r="V52" i="71"/>
  <c r="W52" i="71"/>
  <c r="X52" i="71"/>
  <c r="Y52" i="71"/>
  <c r="Z52" i="71"/>
  <c r="AA52" i="71"/>
  <c r="AB52" i="71"/>
  <c r="AC52" i="71"/>
  <c r="AD52" i="71"/>
  <c r="AE52" i="71"/>
  <c r="AF52" i="71"/>
  <c r="AG52" i="71"/>
  <c r="AH52" i="71"/>
  <c r="AI52" i="71"/>
  <c r="AJ52" i="71"/>
  <c r="AK52" i="71"/>
  <c r="AL52" i="71"/>
  <c r="AM52" i="71"/>
  <c r="AN52" i="71"/>
  <c r="AO52" i="71"/>
  <c r="AP52" i="71"/>
  <c r="AQ52" i="71"/>
  <c r="AR52" i="71"/>
  <c r="AS52" i="71"/>
  <c r="AT52" i="71"/>
  <c r="AU52" i="71"/>
  <c r="AV52" i="71"/>
  <c r="AW52" i="71"/>
  <c r="AX52" i="71"/>
  <c r="AY52" i="71"/>
  <c r="AZ52" i="71"/>
  <c r="BA52" i="71"/>
  <c r="BB52" i="71"/>
  <c r="BC52" i="71"/>
  <c r="BD52" i="71"/>
  <c r="BE52" i="71"/>
  <c r="BF52" i="71"/>
  <c r="BG52" i="71"/>
  <c r="BH52" i="71"/>
  <c r="BI52" i="71"/>
  <c r="BJ52" i="71"/>
  <c r="BK52" i="71"/>
  <c r="BL52" i="71"/>
  <c r="BM52" i="71"/>
  <c r="BN52" i="71"/>
  <c r="BO52" i="71"/>
  <c r="BP52" i="71"/>
  <c r="BQ52" i="71"/>
  <c r="BR52" i="71"/>
  <c r="BS52" i="71"/>
  <c r="BT52" i="71"/>
  <c r="BU52" i="71"/>
  <c r="BV52" i="71"/>
  <c r="BW52" i="71"/>
  <c r="BX52" i="71"/>
  <c r="BY52" i="71"/>
  <c r="BZ52" i="71"/>
  <c r="CA52" i="71"/>
  <c r="CB52" i="71"/>
  <c r="CC52" i="71"/>
  <c r="CD52" i="71"/>
  <c r="CE52" i="71"/>
  <c r="CF52" i="71"/>
  <c r="CG52" i="71"/>
  <c r="CH52" i="71"/>
  <c r="CI52" i="71"/>
  <c r="CJ52" i="71"/>
  <c r="CK52" i="71"/>
  <c r="CL52" i="71"/>
  <c r="CM52" i="71"/>
  <c r="CN52" i="71"/>
  <c r="CO52" i="71"/>
  <c r="CP52" i="71"/>
  <c r="CQ52" i="71"/>
  <c r="CR52" i="71"/>
  <c r="CS52" i="71"/>
  <c r="CT52" i="71"/>
  <c r="CU52" i="71"/>
  <c r="CV52" i="71"/>
  <c r="CW52" i="71"/>
  <c r="CX52" i="71"/>
  <c r="CY52" i="71"/>
  <c r="CZ52" i="71"/>
  <c r="DA52" i="71"/>
  <c r="DB52" i="71"/>
  <c r="DC52" i="71"/>
  <c r="DD52" i="71"/>
  <c r="DE52" i="71"/>
  <c r="DF52" i="71"/>
  <c r="DG52" i="71"/>
  <c r="DH52" i="71"/>
  <c r="DI52" i="71"/>
  <c r="DJ52" i="71"/>
  <c r="DK52" i="71"/>
  <c r="DL52" i="71"/>
  <c r="DM52" i="71"/>
  <c r="DN52" i="71"/>
  <c r="DO52" i="71"/>
  <c r="DP52" i="71"/>
  <c r="DQ52" i="71"/>
  <c r="DR52" i="71"/>
  <c r="DS52" i="71"/>
  <c r="DT52" i="71"/>
  <c r="DU52" i="71"/>
  <c r="DV52" i="71"/>
  <c r="DW52" i="71"/>
  <c r="DX52" i="71"/>
  <c r="DY52" i="71"/>
  <c r="DZ52" i="71"/>
  <c r="EA52" i="71"/>
  <c r="EB52" i="71"/>
  <c r="EC52" i="71"/>
  <c r="ED52" i="71"/>
  <c r="EE52" i="71"/>
  <c r="EF52" i="71"/>
  <c r="EG52" i="71"/>
  <c r="EH52" i="71"/>
  <c r="EI52" i="71"/>
  <c r="EJ52" i="71"/>
  <c r="EK52" i="71"/>
  <c r="EL52" i="71"/>
  <c r="EM52" i="71"/>
  <c r="EN52" i="71"/>
  <c r="EO52" i="71"/>
  <c r="EP52" i="71"/>
  <c r="EQ52" i="71"/>
  <c r="ER52" i="71"/>
  <c r="ES52" i="71"/>
  <c r="ET52" i="71"/>
  <c r="EU52" i="71"/>
  <c r="EV52" i="71"/>
  <c r="EW52" i="71"/>
  <c r="EX52" i="71"/>
  <c r="EY52" i="71"/>
  <c r="EZ52" i="71"/>
  <c r="FA52" i="71"/>
  <c r="FB52" i="71"/>
  <c r="FC52" i="71"/>
  <c r="FD52" i="71"/>
  <c r="FE52" i="71"/>
  <c r="FF52" i="71"/>
  <c r="FG52" i="71"/>
  <c r="FH52" i="71"/>
  <c r="FI52" i="71"/>
  <c r="FJ52" i="71"/>
  <c r="FK52" i="71"/>
  <c r="FL52" i="71"/>
  <c r="FM52" i="71"/>
  <c r="FN52" i="71"/>
  <c r="FO52" i="71"/>
  <c r="FP52" i="71"/>
  <c r="FQ52" i="71"/>
  <c r="FR52" i="71"/>
  <c r="FS52" i="71"/>
  <c r="FT52" i="71"/>
  <c r="FU52" i="71"/>
  <c r="FV52" i="71"/>
  <c r="FW52" i="71"/>
  <c r="FX52" i="71"/>
  <c r="FY52" i="71"/>
  <c r="FZ52" i="71"/>
  <c r="GA52" i="71"/>
  <c r="GB52" i="71"/>
  <c r="GC52" i="71"/>
  <c r="GD52" i="71"/>
  <c r="GE52" i="71"/>
  <c r="GF52" i="71"/>
  <c r="GG52" i="71"/>
  <c r="GH52" i="71"/>
  <c r="GI52" i="71"/>
  <c r="GJ52" i="71"/>
  <c r="GK52" i="71"/>
  <c r="GL52" i="71"/>
  <c r="GM52" i="71"/>
  <c r="GN52" i="71"/>
  <c r="GO52" i="71"/>
  <c r="GP52" i="71"/>
  <c r="GQ52" i="71"/>
  <c r="GR52" i="71"/>
  <c r="GS52" i="71"/>
  <c r="GT52" i="71"/>
  <c r="GU52" i="71"/>
  <c r="GV52" i="71"/>
  <c r="GW52" i="71"/>
  <c r="GX52" i="71"/>
  <c r="GY52" i="71"/>
  <c r="GZ52" i="71"/>
  <c r="HA52" i="71"/>
  <c r="HB52" i="71"/>
  <c r="HC52" i="71"/>
  <c r="HD52" i="71"/>
  <c r="HE52" i="71"/>
  <c r="HF52" i="71"/>
  <c r="HG52" i="71"/>
  <c r="HH52" i="71"/>
  <c r="HI52" i="71"/>
  <c r="HJ52" i="71"/>
  <c r="HK52" i="71"/>
  <c r="HT52" i="71"/>
  <c r="HU52" i="71"/>
  <c r="HV52" i="71"/>
  <c r="HW52" i="71"/>
  <c r="HX52" i="71"/>
  <c r="HY52" i="71"/>
  <c r="HZ52" i="71"/>
  <c r="IA52" i="71"/>
  <c r="IB52" i="71"/>
  <c r="IC52" i="71"/>
  <c r="ID52" i="71"/>
  <c r="IE52" i="71"/>
  <c r="IF52" i="71"/>
  <c r="IG52" i="71"/>
  <c r="IH52" i="71"/>
  <c r="II52" i="71"/>
  <c r="IJ52" i="71"/>
  <c r="IK52" i="71"/>
  <c r="IL52" i="71"/>
  <c r="IM52" i="71"/>
  <c r="IN52" i="71"/>
  <c r="IO52" i="71"/>
  <c r="IP52" i="71"/>
  <c r="IQ52" i="71"/>
  <c r="IR52" i="71"/>
  <c r="IS52" i="71"/>
  <c r="IT52" i="71"/>
  <c r="IU52" i="71"/>
  <c r="IV52" i="71"/>
  <c r="IW52" i="71"/>
  <c r="IX52" i="71"/>
  <c r="IY52" i="71"/>
  <c r="IZ52" i="71"/>
  <c r="JA52" i="71"/>
  <c r="JB52" i="71"/>
  <c r="JC52" i="71"/>
  <c r="JD52" i="71"/>
  <c r="JE52" i="71"/>
  <c r="JF52" i="71"/>
  <c r="JG52" i="71"/>
  <c r="JH52" i="71"/>
  <c r="JI52" i="71"/>
  <c r="JJ52" i="71"/>
  <c r="JK52" i="71"/>
  <c r="JL52" i="71"/>
  <c r="JM52" i="71"/>
  <c r="JN52" i="71"/>
  <c r="JO52" i="71"/>
  <c r="JP52" i="71"/>
  <c r="JQ52" i="71"/>
  <c r="JR52" i="71"/>
  <c r="JS52" i="71"/>
  <c r="JT52" i="71"/>
  <c r="JU52" i="71"/>
  <c r="JV52" i="71"/>
  <c r="JW52" i="71"/>
  <c r="JX52" i="71"/>
  <c r="JY52" i="71"/>
  <c r="JZ52" i="71"/>
  <c r="KA52" i="71"/>
  <c r="KB52" i="71"/>
  <c r="KC52" i="71"/>
  <c r="KD52" i="71"/>
  <c r="KE52" i="71"/>
  <c r="KF52" i="71"/>
  <c r="KG52" i="71"/>
  <c r="KH52" i="71"/>
  <c r="KI52" i="71"/>
  <c r="KJ52" i="71"/>
  <c r="KK52" i="71"/>
  <c r="KL52" i="71"/>
  <c r="KM52" i="71"/>
  <c r="KN52" i="71"/>
  <c r="KO52" i="71"/>
  <c r="KP52" i="71"/>
  <c r="KQ52" i="71"/>
  <c r="KR52" i="71"/>
  <c r="KS52" i="71"/>
  <c r="KT52" i="71"/>
  <c r="KU52" i="71"/>
  <c r="KV52" i="71"/>
  <c r="KW52" i="71"/>
  <c r="KX52" i="71"/>
  <c r="KY52" i="71"/>
  <c r="KZ52" i="71"/>
  <c r="LA52" i="71"/>
  <c r="LB52" i="71"/>
  <c r="LC52" i="71"/>
  <c r="LD52" i="71"/>
  <c r="LE52" i="71"/>
  <c r="LF52" i="71"/>
  <c r="LG52" i="71"/>
  <c r="LH52" i="71"/>
  <c r="LI52" i="71"/>
  <c r="LJ52" i="71"/>
  <c r="LK52" i="71"/>
  <c r="LL52" i="71"/>
  <c r="LM52" i="71"/>
  <c r="LN52" i="71"/>
  <c r="LO52" i="71"/>
  <c r="LP52" i="71"/>
  <c r="LQ52" i="71"/>
  <c r="LR52" i="71"/>
  <c r="LS52" i="71"/>
  <c r="LT52" i="71"/>
  <c r="LU52" i="71"/>
  <c r="LV52" i="71"/>
  <c r="LW52" i="71"/>
  <c r="LX52" i="71"/>
  <c r="LY52" i="71"/>
  <c r="LZ52" i="71"/>
  <c r="MA52" i="71"/>
  <c r="MB52" i="71"/>
  <c r="MC52" i="71"/>
  <c r="ME52" i="71"/>
  <c r="MF52" i="71"/>
  <c r="MG52" i="71"/>
  <c r="MH52" i="71"/>
  <c r="MI52" i="71"/>
  <c r="MJ52" i="71"/>
  <c r="MK52" i="71"/>
  <c r="ML52" i="71"/>
  <c r="MM52" i="71"/>
  <c r="D53" i="71"/>
  <c r="A67" i="67" s="1"/>
  <c r="E53" i="71"/>
  <c r="B67" i="67" s="1"/>
  <c r="M53" i="71"/>
  <c r="C67" i="67" s="1"/>
  <c r="N53" i="71"/>
  <c r="D67" i="67" s="1"/>
  <c r="O53" i="71"/>
  <c r="E67" i="67" s="1"/>
  <c r="R53" i="71"/>
  <c r="F67" i="67" s="1"/>
  <c r="S53" i="71"/>
  <c r="G67" i="67" s="1"/>
  <c r="T53" i="71"/>
  <c r="H67" i="67" s="1"/>
  <c r="U53" i="71"/>
  <c r="I67" i="67" s="1"/>
  <c r="V53" i="71"/>
  <c r="J67" i="67" s="1"/>
  <c r="W53" i="71"/>
  <c r="K67" i="67" s="1"/>
  <c r="X53" i="71"/>
  <c r="L67" i="67" s="1"/>
  <c r="Y53" i="71"/>
  <c r="M67" i="67" s="1"/>
  <c r="Z53" i="71"/>
  <c r="N67" i="67" s="1"/>
  <c r="AA53" i="71"/>
  <c r="O67" i="67" s="1"/>
  <c r="AB53" i="71"/>
  <c r="P67" i="67" s="1"/>
  <c r="AC53" i="71"/>
  <c r="Q67" i="67" s="1"/>
  <c r="AD53" i="71"/>
  <c r="R67" i="67" s="1"/>
  <c r="AE53" i="71"/>
  <c r="S67" i="67" s="1"/>
  <c r="AF53" i="71"/>
  <c r="T67" i="67" s="1"/>
  <c r="AG53" i="71"/>
  <c r="U67" i="67" s="1"/>
  <c r="AH53" i="71"/>
  <c r="V67" i="67" s="1"/>
  <c r="AI53" i="71"/>
  <c r="W67" i="67" s="1"/>
  <c r="AJ53" i="71"/>
  <c r="X67" i="67" s="1"/>
  <c r="AK53" i="71"/>
  <c r="Y67" i="67" s="1"/>
  <c r="AL53" i="71"/>
  <c r="Z67" i="67" s="1"/>
  <c r="AM53" i="71"/>
  <c r="AA67" i="67" s="1"/>
  <c r="AN53" i="71"/>
  <c r="AB67" i="67" s="1"/>
  <c r="AO53" i="71"/>
  <c r="AC67" i="67" s="1"/>
  <c r="AP53" i="71"/>
  <c r="AD67" i="67" s="1"/>
  <c r="AQ53" i="71"/>
  <c r="AE67" i="67" s="1"/>
  <c r="AR53" i="71"/>
  <c r="AF67" i="67" s="1"/>
  <c r="AS53" i="71"/>
  <c r="AT53" i="71"/>
  <c r="AH67" i="67" s="1"/>
  <c r="AU53" i="71"/>
  <c r="AI67" i="67" s="1"/>
  <c r="AV53" i="71"/>
  <c r="AJ67" i="67" s="1"/>
  <c r="AW53" i="71"/>
  <c r="AK67" i="67" s="1"/>
  <c r="AX53" i="71"/>
  <c r="AL67" i="67" s="1"/>
  <c r="AY53" i="71"/>
  <c r="AM67" i="67" s="1"/>
  <c r="AZ53" i="71"/>
  <c r="AN67" i="67" s="1"/>
  <c r="BA53" i="71"/>
  <c r="AO67" i="67" s="1"/>
  <c r="BB53" i="71"/>
  <c r="AP67" i="67" s="1"/>
  <c r="BC53" i="71"/>
  <c r="AQ67" i="67" s="1"/>
  <c r="BD53" i="71"/>
  <c r="AR67" i="67" s="1"/>
  <c r="BE53" i="71"/>
  <c r="AS67" i="67" s="1"/>
  <c r="BF53" i="71"/>
  <c r="AT67" i="67" s="1"/>
  <c r="BG53" i="71"/>
  <c r="AU67" i="67" s="1"/>
  <c r="BH53" i="71"/>
  <c r="AV67" i="67" s="1"/>
  <c r="BI53" i="71"/>
  <c r="AW67" i="67" s="1"/>
  <c r="BJ53" i="71"/>
  <c r="AX67" i="67" s="1"/>
  <c r="BK53" i="71"/>
  <c r="AY67" i="67" s="1"/>
  <c r="BL53" i="71"/>
  <c r="AZ67" i="67" s="1"/>
  <c r="BM53" i="71"/>
  <c r="BA67" i="67" s="1"/>
  <c r="BN53" i="71"/>
  <c r="BB67" i="67" s="1"/>
  <c r="BO53" i="71"/>
  <c r="BC67" i="67" s="1"/>
  <c r="BP53" i="71"/>
  <c r="BD67" i="67" s="1"/>
  <c r="BQ53" i="71"/>
  <c r="BE67" i="67" s="1"/>
  <c r="BR53" i="71"/>
  <c r="BF67" i="67" s="1"/>
  <c r="BS53" i="71"/>
  <c r="BG67" i="67" s="1"/>
  <c r="BT53" i="71"/>
  <c r="BH67" i="67" s="1"/>
  <c r="BU53" i="71"/>
  <c r="BI67" i="67" s="1"/>
  <c r="BV53" i="71"/>
  <c r="BJ67" i="67" s="1"/>
  <c r="BW53" i="71"/>
  <c r="BK67" i="67" s="1"/>
  <c r="BX53" i="71"/>
  <c r="BL67" i="67" s="1"/>
  <c r="BY53" i="71"/>
  <c r="BM67" i="67" s="1"/>
  <c r="BZ53" i="71"/>
  <c r="BN67" i="67" s="1"/>
  <c r="CA53" i="71"/>
  <c r="BO67" i="67" s="1"/>
  <c r="CB53" i="71"/>
  <c r="BP67" i="67" s="1"/>
  <c r="CC53" i="71"/>
  <c r="BQ67" i="67" s="1"/>
  <c r="CD53" i="71"/>
  <c r="BR67" i="67" s="1"/>
  <c r="CE53" i="71"/>
  <c r="BS67" i="67" s="1"/>
  <c r="CF53" i="71"/>
  <c r="BT67" i="67" s="1"/>
  <c r="CG53" i="71"/>
  <c r="BU67" i="67" s="1"/>
  <c r="CH53" i="71"/>
  <c r="BV67" i="67" s="1"/>
  <c r="CI53" i="71"/>
  <c r="BW67" i="67" s="1"/>
  <c r="CJ53" i="71"/>
  <c r="BX67" i="67" s="1"/>
  <c r="CK53" i="71"/>
  <c r="BY67" i="67" s="1"/>
  <c r="CL53" i="71"/>
  <c r="BZ67" i="67" s="1"/>
  <c r="CM53" i="71"/>
  <c r="CA67" i="67" s="1"/>
  <c r="CN53" i="71"/>
  <c r="CB67" i="67" s="1"/>
  <c r="CO53" i="71"/>
  <c r="CC67" i="67" s="1"/>
  <c r="CP53" i="71"/>
  <c r="CD67" i="67" s="1"/>
  <c r="CQ53" i="71"/>
  <c r="CE67" i="67" s="1"/>
  <c r="CR53" i="71"/>
  <c r="CF67" i="67" s="1"/>
  <c r="CS53" i="71"/>
  <c r="CG67" i="67" s="1"/>
  <c r="CT53" i="71"/>
  <c r="CH67" i="67" s="1"/>
  <c r="CU53" i="71"/>
  <c r="CI67" i="67" s="1"/>
  <c r="CV53" i="71"/>
  <c r="CJ67" i="67" s="1"/>
  <c r="CW53" i="71"/>
  <c r="CK67" i="67" s="1"/>
  <c r="CX53" i="71"/>
  <c r="CL67" i="67" s="1"/>
  <c r="CY53" i="71"/>
  <c r="CM67" i="67" s="1"/>
  <c r="CZ53" i="71"/>
  <c r="CN67" i="67" s="1"/>
  <c r="DA53" i="71"/>
  <c r="CO67" i="67" s="1"/>
  <c r="DB53" i="71"/>
  <c r="CP67" i="67" s="1"/>
  <c r="DC53" i="71"/>
  <c r="CQ67" i="67" s="1"/>
  <c r="DD53" i="71"/>
  <c r="CR67" i="67" s="1"/>
  <c r="DE53" i="71"/>
  <c r="CS67" i="67" s="1"/>
  <c r="DF53" i="71"/>
  <c r="CT67" i="67" s="1"/>
  <c r="DG53" i="71"/>
  <c r="CU67" i="67" s="1"/>
  <c r="DH53" i="71"/>
  <c r="CV67" i="67" s="1"/>
  <c r="DI53" i="71"/>
  <c r="CW67" i="67" s="1"/>
  <c r="DJ53" i="71"/>
  <c r="CX67" i="67" s="1"/>
  <c r="DK53" i="71"/>
  <c r="CY67" i="67" s="1"/>
  <c r="DL53" i="71"/>
  <c r="CZ67" i="67" s="1"/>
  <c r="DM53" i="71"/>
  <c r="DA67" i="67" s="1"/>
  <c r="DN53" i="71"/>
  <c r="DB67" i="67" s="1"/>
  <c r="DO53" i="71"/>
  <c r="DC67" i="67" s="1"/>
  <c r="DP53" i="71"/>
  <c r="DD67" i="67" s="1"/>
  <c r="DQ53" i="71"/>
  <c r="DE67" i="67" s="1"/>
  <c r="DR53" i="71"/>
  <c r="DF67" i="67" s="1"/>
  <c r="DS53" i="71"/>
  <c r="DG67" i="67" s="1"/>
  <c r="DT53" i="71"/>
  <c r="DH67" i="67" s="1"/>
  <c r="DU53" i="71"/>
  <c r="DI67" i="67" s="1"/>
  <c r="DV53" i="71"/>
  <c r="DJ67" i="67" s="1"/>
  <c r="DW53" i="71"/>
  <c r="DK67" i="67" s="1"/>
  <c r="DX53" i="71"/>
  <c r="DL67" i="67" s="1"/>
  <c r="DY53" i="71"/>
  <c r="DM67" i="67" s="1"/>
  <c r="DZ53" i="71"/>
  <c r="DN67" i="67" s="1"/>
  <c r="EA53" i="71"/>
  <c r="DO67" i="67" s="1"/>
  <c r="EB53" i="71"/>
  <c r="DP67" i="67" s="1"/>
  <c r="EC53" i="71"/>
  <c r="DQ67" i="67" s="1"/>
  <c r="ED53" i="71"/>
  <c r="DR67" i="67" s="1"/>
  <c r="EE53" i="71"/>
  <c r="DS67" i="67" s="1"/>
  <c r="EF53" i="71"/>
  <c r="DT67" i="67" s="1"/>
  <c r="EG53" i="71"/>
  <c r="DU67" i="67" s="1"/>
  <c r="EH53" i="71"/>
  <c r="DV67" i="67" s="1"/>
  <c r="EI53" i="71"/>
  <c r="DW67" i="67" s="1"/>
  <c r="EJ53" i="71"/>
  <c r="DX67" i="67" s="1"/>
  <c r="EK53" i="71"/>
  <c r="DY67" i="67" s="1"/>
  <c r="EL53" i="71"/>
  <c r="DZ67" i="67" s="1"/>
  <c r="EM53" i="71"/>
  <c r="EA67" i="67" s="1"/>
  <c r="EN53" i="71"/>
  <c r="EB67" i="67" s="1"/>
  <c r="EO53" i="71"/>
  <c r="EC67" i="67" s="1"/>
  <c r="EP53" i="71"/>
  <c r="ED67" i="67" s="1"/>
  <c r="EQ53" i="71"/>
  <c r="EE67" i="67" s="1"/>
  <c r="ER53" i="71"/>
  <c r="EF67" i="67" s="1"/>
  <c r="ES53" i="71"/>
  <c r="EG67" i="67" s="1"/>
  <c r="ET53" i="71"/>
  <c r="EH67" i="67" s="1"/>
  <c r="EU53" i="71"/>
  <c r="EI67" i="67" s="1"/>
  <c r="EV53" i="71"/>
  <c r="EJ67" i="67" s="1"/>
  <c r="EW53" i="71"/>
  <c r="EK67" i="67" s="1"/>
  <c r="EX53" i="71"/>
  <c r="EL67" i="67" s="1"/>
  <c r="EY53" i="71"/>
  <c r="EM67" i="67" s="1"/>
  <c r="EZ53" i="71"/>
  <c r="EN67" i="67" s="1"/>
  <c r="FA53" i="71"/>
  <c r="EO67" i="67" s="1"/>
  <c r="FB53" i="71"/>
  <c r="EP67" i="67" s="1"/>
  <c r="FC53" i="71"/>
  <c r="EQ67" i="67" s="1"/>
  <c r="FD53" i="71"/>
  <c r="ER67" i="67" s="1"/>
  <c r="FE53" i="71"/>
  <c r="ES67" i="67" s="1"/>
  <c r="FF53" i="71"/>
  <c r="ET67" i="67" s="1"/>
  <c r="FG53" i="71"/>
  <c r="EU67" i="67" s="1"/>
  <c r="FH53" i="71"/>
  <c r="EV67" i="67" s="1"/>
  <c r="FI53" i="71"/>
  <c r="EW67" i="67" s="1"/>
  <c r="FJ53" i="71"/>
  <c r="EX67" i="67" s="1"/>
  <c r="FK53" i="71"/>
  <c r="EY67" i="67" s="1"/>
  <c r="FL53" i="71"/>
  <c r="EZ67" i="67" s="1"/>
  <c r="FM53" i="71"/>
  <c r="FA67" i="67" s="1"/>
  <c r="FN53" i="71"/>
  <c r="FB67" i="67" s="1"/>
  <c r="FO53" i="71"/>
  <c r="FC67" i="67" s="1"/>
  <c r="FP53" i="71"/>
  <c r="FD67" i="67" s="1"/>
  <c r="FQ53" i="71"/>
  <c r="FE67" i="67" s="1"/>
  <c r="FR53" i="71"/>
  <c r="FF67" i="67" s="1"/>
  <c r="FS53" i="71"/>
  <c r="FG67" i="67" s="1"/>
  <c r="FT53" i="71"/>
  <c r="FH67" i="67" s="1"/>
  <c r="FU53" i="71"/>
  <c r="FI67" i="67" s="1"/>
  <c r="FV53" i="71"/>
  <c r="FJ67" i="67" s="1"/>
  <c r="FW53" i="71"/>
  <c r="FK67" i="67" s="1"/>
  <c r="FX53" i="71"/>
  <c r="FL67" i="67" s="1"/>
  <c r="FY53" i="71"/>
  <c r="FM67" i="67" s="1"/>
  <c r="FZ53" i="71"/>
  <c r="FN67" i="67" s="1"/>
  <c r="GA53" i="71"/>
  <c r="FO67" i="67" s="1"/>
  <c r="GB53" i="71"/>
  <c r="FP67" i="67" s="1"/>
  <c r="GC53" i="71"/>
  <c r="FQ67" i="67" s="1"/>
  <c r="GD53" i="71"/>
  <c r="FR67" i="67" s="1"/>
  <c r="GE53" i="71"/>
  <c r="FS67" i="67" s="1"/>
  <c r="GF53" i="71"/>
  <c r="FT67" i="67" s="1"/>
  <c r="GG53" i="71"/>
  <c r="FU67" i="67" s="1"/>
  <c r="GH53" i="71"/>
  <c r="FV67" i="67" s="1"/>
  <c r="GI53" i="71"/>
  <c r="FW67" i="67" s="1"/>
  <c r="GJ53" i="71"/>
  <c r="FX67" i="67" s="1"/>
  <c r="GK53" i="71"/>
  <c r="FY67" i="67" s="1"/>
  <c r="GL53" i="71"/>
  <c r="FZ67" i="67" s="1"/>
  <c r="GM53" i="71"/>
  <c r="GA67" i="67" s="1"/>
  <c r="GN53" i="71"/>
  <c r="GB67" i="67" s="1"/>
  <c r="GO53" i="71"/>
  <c r="GC67" i="67" s="1"/>
  <c r="GP53" i="71"/>
  <c r="GD67" i="67" s="1"/>
  <c r="GQ53" i="71"/>
  <c r="GE67" i="67" s="1"/>
  <c r="GR53" i="71"/>
  <c r="GF67" i="67" s="1"/>
  <c r="GS53" i="71"/>
  <c r="GG67" i="67" s="1"/>
  <c r="GT53" i="71"/>
  <c r="GH67" i="67" s="1"/>
  <c r="GU53" i="71"/>
  <c r="GI67" i="67" s="1"/>
  <c r="GV53" i="71"/>
  <c r="GJ67" i="67" s="1"/>
  <c r="GW53" i="71"/>
  <c r="GK67" i="67" s="1"/>
  <c r="GX53" i="71"/>
  <c r="GL67" i="67" s="1"/>
  <c r="GY53" i="71"/>
  <c r="GM67" i="67" s="1"/>
  <c r="GZ53" i="71"/>
  <c r="GN67" i="67" s="1"/>
  <c r="HA53" i="71"/>
  <c r="GO67" i="67" s="1"/>
  <c r="HB53" i="71"/>
  <c r="GP67" i="67" s="1"/>
  <c r="HC53" i="71"/>
  <c r="GQ67" i="67" s="1"/>
  <c r="HD53" i="71"/>
  <c r="GR67" i="67" s="1"/>
  <c r="HE53" i="71"/>
  <c r="GS67" i="67" s="1"/>
  <c r="HF53" i="71"/>
  <c r="GT67" i="67" s="1"/>
  <c r="HG53" i="71"/>
  <c r="GU67" i="67" s="1"/>
  <c r="HH53" i="71"/>
  <c r="GV67" i="67" s="1"/>
  <c r="HI53" i="71"/>
  <c r="GW67" i="67" s="1"/>
  <c r="HJ53" i="71"/>
  <c r="GX67" i="67" s="1"/>
  <c r="HK53" i="71"/>
  <c r="GY67" i="67" s="1"/>
  <c r="HT53" i="71"/>
  <c r="HH67" i="67" s="1"/>
  <c r="HU53" i="71"/>
  <c r="HI67" i="67" s="1"/>
  <c r="HV53" i="71"/>
  <c r="HJ67" i="67" s="1"/>
  <c r="HW53" i="71"/>
  <c r="HK67" i="67" s="1"/>
  <c r="HX53" i="71"/>
  <c r="HL67" i="67" s="1"/>
  <c r="HY53" i="71"/>
  <c r="HM67" i="67" s="1"/>
  <c r="HZ53" i="71"/>
  <c r="HN67" i="67" s="1"/>
  <c r="IA53" i="71"/>
  <c r="HO67" i="67" s="1"/>
  <c r="IB53" i="71"/>
  <c r="HP67" i="67" s="1"/>
  <c r="IC53" i="71"/>
  <c r="HQ67" i="67" s="1"/>
  <c r="ID53" i="71"/>
  <c r="HR67" i="67" s="1"/>
  <c r="IE53" i="71"/>
  <c r="HS67" i="67" s="1"/>
  <c r="IF53" i="71"/>
  <c r="HT67" i="67" s="1"/>
  <c r="IG53" i="71"/>
  <c r="HU67" i="67" s="1"/>
  <c r="IH53" i="71"/>
  <c r="HV67" i="67" s="1"/>
  <c r="II53" i="71"/>
  <c r="HW67" i="67" s="1"/>
  <c r="IJ53" i="71"/>
  <c r="HX67" i="67" s="1"/>
  <c r="IK53" i="71"/>
  <c r="HY67" i="67" s="1"/>
  <c r="IL53" i="71"/>
  <c r="HZ67" i="67" s="1"/>
  <c r="IM53" i="71"/>
  <c r="IA67" i="67" s="1"/>
  <c r="IN53" i="71"/>
  <c r="IB67" i="67" s="1"/>
  <c r="IO53" i="71"/>
  <c r="IC67" i="67" s="1"/>
  <c r="IP53" i="71"/>
  <c r="ID67" i="67" s="1"/>
  <c r="IQ53" i="71"/>
  <c r="IE67" i="67" s="1"/>
  <c r="IR53" i="71"/>
  <c r="IF67" i="67" s="1"/>
  <c r="IS53" i="71"/>
  <c r="IG67" i="67" s="1"/>
  <c r="IT53" i="71"/>
  <c r="IH67" i="67" s="1"/>
  <c r="IU53" i="71"/>
  <c r="II67" i="67" s="1"/>
  <c r="IV53" i="71"/>
  <c r="IJ67" i="67" s="1"/>
  <c r="IW53" i="71"/>
  <c r="IK67" i="67" s="1"/>
  <c r="IX53" i="71"/>
  <c r="IL67" i="67" s="1"/>
  <c r="IY53" i="71"/>
  <c r="IM67" i="67" s="1"/>
  <c r="IZ53" i="71"/>
  <c r="IN67" i="67" s="1"/>
  <c r="JA53" i="71"/>
  <c r="IO67" i="67" s="1"/>
  <c r="JB53" i="71"/>
  <c r="IP67" i="67" s="1"/>
  <c r="JC53" i="71"/>
  <c r="IQ67" i="67" s="1"/>
  <c r="JD53" i="71"/>
  <c r="IR67" i="67" s="1"/>
  <c r="JE53" i="71"/>
  <c r="IS67" i="67" s="1"/>
  <c r="JF53" i="71"/>
  <c r="IT67" i="67" s="1"/>
  <c r="JG53" i="71"/>
  <c r="IU67" i="67" s="1"/>
  <c r="JH53" i="71"/>
  <c r="IV67" i="67" s="1"/>
  <c r="JI53" i="71"/>
  <c r="IW67" i="67" s="1"/>
  <c r="JJ53" i="71"/>
  <c r="IX67" i="67" s="1"/>
  <c r="JK53" i="71"/>
  <c r="IY67" i="67" s="1"/>
  <c r="JL53" i="71"/>
  <c r="IZ67" i="67" s="1"/>
  <c r="JM53" i="71"/>
  <c r="JA67" i="67" s="1"/>
  <c r="JN53" i="71"/>
  <c r="JB67" i="67" s="1"/>
  <c r="JO53" i="71"/>
  <c r="JC67" i="67" s="1"/>
  <c r="JP53" i="71"/>
  <c r="JD67" i="67" s="1"/>
  <c r="JQ53" i="71"/>
  <c r="JE67" i="67" s="1"/>
  <c r="JR53" i="71"/>
  <c r="JF67" i="67" s="1"/>
  <c r="JS53" i="71"/>
  <c r="JG67" i="67" s="1"/>
  <c r="JT53" i="71"/>
  <c r="JH67" i="67" s="1"/>
  <c r="JU53" i="71"/>
  <c r="JI67" i="67" s="1"/>
  <c r="JV53" i="71"/>
  <c r="JJ67" i="67" s="1"/>
  <c r="JW53" i="71"/>
  <c r="JK67" i="67" s="1"/>
  <c r="JX53" i="71"/>
  <c r="JL67" i="67" s="1"/>
  <c r="JY53" i="71"/>
  <c r="JM67" i="67" s="1"/>
  <c r="JZ53" i="71"/>
  <c r="JN67" i="67" s="1"/>
  <c r="KA53" i="71"/>
  <c r="JO67" i="67" s="1"/>
  <c r="KB53" i="71"/>
  <c r="JP67" i="67" s="1"/>
  <c r="KC53" i="71"/>
  <c r="JQ67" i="67" s="1"/>
  <c r="KD53" i="71"/>
  <c r="JR67" i="67" s="1"/>
  <c r="KE53" i="71"/>
  <c r="JS67" i="67" s="1"/>
  <c r="KF53" i="71"/>
  <c r="JT67" i="67" s="1"/>
  <c r="KG53" i="71"/>
  <c r="JU67" i="67" s="1"/>
  <c r="KH53" i="71"/>
  <c r="JV67" i="67" s="1"/>
  <c r="KI53" i="71"/>
  <c r="JW67" i="67" s="1"/>
  <c r="KJ53" i="71"/>
  <c r="JX67" i="67" s="1"/>
  <c r="KK53" i="71"/>
  <c r="JY67" i="67" s="1"/>
  <c r="KL53" i="71"/>
  <c r="JZ67" i="67" s="1"/>
  <c r="KM53" i="71"/>
  <c r="KA67" i="67" s="1"/>
  <c r="KN53" i="71"/>
  <c r="KB67" i="67" s="1"/>
  <c r="KO53" i="71"/>
  <c r="KC67" i="67" s="1"/>
  <c r="KP53" i="71"/>
  <c r="KD67" i="67" s="1"/>
  <c r="KQ53" i="71"/>
  <c r="KE67" i="67" s="1"/>
  <c r="KR53" i="71"/>
  <c r="KF67" i="67" s="1"/>
  <c r="KS53" i="71"/>
  <c r="KG67" i="67" s="1"/>
  <c r="KT53" i="71"/>
  <c r="KH67" i="67" s="1"/>
  <c r="KU53" i="71"/>
  <c r="KI67" i="67" s="1"/>
  <c r="KV53" i="71"/>
  <c r="KJ67" i="67" s="1"/>
  <c r="KW53" i="71"/>
  <c r="KK67" i="67" s="1"/>
  <c r="KX53" i="71"/>
  <c r="KL67" i="67" s="1"/>
  <c r="KY53" i="71"/>
  <c r="KM67" i="67" s="1"/>
  <c r="KZ53" i="71"/>
  <c r="KN67" i="67" s="1"/>
  <c r="LA53" i="71"/>
  <c r="KO67" i="67" s="1"/>
  <c r="LB53" i="71"/>
  <c r="KP67" i="67" s="1"/>
  <c r="LC53" i="71"/>
  <c r="KQ67" i="67" s="1"/>
  <c r="LD53" i="71"/>
  <c r="KR67" i="67" s="1"/>
  <c r="LE53" i="71"/>
  <c r="KS67" i="67" s="1"/>
  <c r="LF53" i="71"/>
  <c r="KT67" i="67" s="1"/>
  <c r="LG53" i="71"/>
  <c r="KU67" i="67" s="1"/>
  <c r="LH53" i="71"/>
  <c r="KV67" i="67" s="1"/>
  <c r="LI53" i="71"/>
  <c r="KW67" i="67" s="1"/>
  <c r="LJ53" i="71"/>
  <c r="KX67" i="67" s="1"/>
  <c r="LK53" i="71"/>
  <c r="KY67" i="67" s="1"/>
  <c r="LL53" i="71"/>
  <c r="KZ67" i="67" s="1"/>
  <c r="LM53" i="71"/>
  <c r="LA67" i="67" s="1"/>
  <c r="LN53" i="71"/>
  <c r="LB67" i="67" s="1"/>
  <c r="LO53" i="71"/>
  <c r="LC67" i="67" s="1"/>
  <c r="LP53" i="71"/>
  <c r="LD67" i="67" s="1"/>
  <c r="LQ53" i="71"/>
  <c r="LE67" i="67" s="1"/>
  <c r="LR53" i="71"/>
  <c r="LF67" i="67" s="1"/>
  <c r="LS53" i="71"/>
  <c r="LG67" i="67" s="1"/>
  <c r="LT53" i="71"/>
  <c r="LH67" i="67" s="1"/>
  <c r="LU53" i="71"/>
  <c r="LI67" i="67" s="1"/>
  <c r="LV53" i="71"/>
  <c r="LJ67" i="67" s="1"/>
  <c r="LW53" i="71"/>
  <c r="LK67" i="67" s="1"/>
  <c r="LX53" i="71"/>
  <c r="LL67" i="67" s="1"/>
  <c r="LY53" i="71"/>
  <c r="LM67" i="67" s="1"/>
  <c r="LZ53" i="71"/>
  <c r="LN67" i="67" s="1"/>
  <c r="MA53" i="71"/>
  <c r="LO67" i="67" s="1"/>
  <c r="MB53" i="71"/>
  <c r="LP67" i="67" s="1"/>
  <c r="MC53" i="71"/>
  <c r="LQ67" i="67" s="1"/>
  <c r="ME53" i="71"/>
  <c r="LS67" i="67" s="1"/>
  <c r="MF53" i="71"/>
  <c r="LT67" i="67" s="1"/>
  <c r="MG53" i="71"/>
  <c r="LU67" i="67" s="1"/>
  <c r="MH53" i="71"/>
  <c r="LV67" i="67" s="1"/>
  <c r="MI53" i="71"/>
  <c r="LW67" i="67" s="1"/>
  <c r="MJ53" i="71"/>
  <c r="LX67" i="67" s="1"/>
  <c r="MK53" i="71"/>
  <c r="LY67" i="67" s="1"/>
  <c r="ML53" i="71"/>
  <c r="LZ67" i="67" s="1"/>
  <c r="MM53" i="71"/>
  <c r="D4" i="71"/>
  <c r="E4" i="71"/>
  <c r="M4" i="71"/>
  <c r="N4" i="71"/>
  <c r="O4" i="71"/>
  <c r="R4" i="71"/>
  <c r="S4" i="71"/>
  <c r="T4" i="71"/>
  <c r="U4" i="71"/>
  <c r="V4" i="71"/>
  <c r="W4" i="71"/>
  <c r="X4" i="71"/>
  <c r="Y4" i="71"/>
  <c r="Z4" i="71"/>
  <c r="AA4" i="71"/>
  <c r="AB4" i="71"/>
  <c r="AC4" i="71"/>
  <c r="AD4" i="71"/>
  <c r="AE4" i="71"/>
  <c r="AF4" i="71"/>
  <c r="AG4" i="71"/>
  <c r="AH4" i="71"/>
  <c r="AI4" i="71"/>
  <c r="AJ4" i="71"/>
  <c r="AK4" i="71"/>
  <c r="AL4" i="71"/>
  <c r="AM4" i="71"/>
  <c r="AN4" i="71"/>
  <c r="AO4" i="71"/>
  <c r="AP4" i="71"/>
  <c r="AQ4" i="71"/>
  <c r="AR4" i="71"/>
  <c r="AS4" i="71"/>
  <c r="AT4" i="71"/>
  <c r="AU4" i="71"/>
  <c r="AV4" i="71"/>
  <c r="AW4" i="71"/>
  <c r="AX4" i="71"/>
  <c r="AY4" i="71"/>
  <c r="AZ4" i="71"/>
  <c r="BA4" i="71"/>
  <c r="BB4" i="71"/>
  <c r="BC4" i="71"/>
  <c r="BD4" i="71"/>
  <c r="BE4" i="71"/>
  <c r="BF4" i="71"/>
  <c r="BG4" i="71"/>
  <c r="BH4" i="71"/>
  <c r="BI4" i="71"/>
  <c r="BJ4" i="71"/>
  <c r="BK4" i="71"/>
  <c r="BL4" i="71"/>
  <c r="BM4" i="71"/>
  <c r="BN4" i="71"/>
  <c r="BO4" i="71"/>
  <c r="BP4" i="71"/>
  <c r="BQ4" i="71"/>
  <c r="BR4" i="71"/>
  <c r="BS4" i="71"/>
  <c r="BT4" i="71"/>
  <c r="BU4" i="71"/>
  <c r="BV4" i="71"/>
  <c r="BW4" i="71"/>
  <c r="BX4" i="71"/>
  <c r="BY4" i="71"/>
  <c r="BZ4" i="71"/>
  <c r="CA4" i="71"/>
  <c r="CB4" i="71"/>
  <c r="CC4" i="71"/>
  <c r="CD4" i="71"/>
  <c r="CE4" i="71"/>
  <c r="CF4" i="71"/>
  <c r="CG4" i="71"/>
  <c r="CH4" i="71"/>
  <c r="CI4" i="71"/>
  <c r="CJ4" i="71"/>
  <c r="CK4" i="71"/>
  <c r="CL4" i="71"/>
  <c r="CM4" i="71"/>
  <c r="CN4" i="71"/>
  <c r="CO4" i="71"/>
  <c r="CP4" i="71"/>
  <c r="CQ4" i="71"/>
  <c r="CR4" i="71"/>
  <c r="CS4" i="71"/>
  <c r="CT4" i="71"/>
  <c r="CU4" i="71"/>
  <c r="CV4" i="71"/>
  <c r="CW4" i="71"/>
  <c r="CX4" i="71"/>
  <c r="CY4" i="71"/>
  <c r="CZ4" i="71"/>
  <c r="DA4" i="71"/>
  <c r="DB4" i="71"/>
  <c r="DC4" i="71"/>
  <c r="DD4" i="71"/>
  <c r="DE4" i="71"/>
  <c r="DF4" i="71"/>
  <c r="DG4" i="71"/>
  <c r="DH4" i="71"/>
  <c r="DI4" i="71"/>
  <c r="DJ4" i="71"/>
  <c r="DK4" i="71"/>
  <c r="DL4" i="71"/>
  <c r="DM4" i="71"/>
  <c r="DN4" i="71"/>
  <c r="DO4" i="71"/>
  <c r="DP4" i="71"/>
  <c r="DQ4" i="71"/>
  <c r="DR4" i="71"/>
  <c r="DS4" i="71"/>
  <c r="DT4" i="71"/>
  <c r="DU4" i="71"/>
  <c r="DV4" i="71"/>
  <c r="DW4" i="71"/>
  <c r="DX4" i="71"/>
  <c r="DY4" i="71"/>
  <c r="DZ4" i="71"/>
  <c r="EA4" i="71"/>
  <c r="EB4" i="71"/>
  <c r="EC4" i="71"/>
  <c r="ED4" i="71"/>
  <c r="EE4" i="71"/>
  <c r="EF4" i="71"/>
  <c r="EG4" i="71"/>
  <c r="EH4" i="71"/>
  <c r="EI4" i="71"/>
  <c r="EJ4" i="71"/>
  <c r="EK4" i="71"/>
  <c r="EL4" i="71"/>
  <c r="EM4" i="71"/>
  <c r="EN4" i="71"/>
  <c r="EO4" i="71"/>
  <c r="EP4" i="71"/>
  <c r="EQ4" i="71"/>
  <c r="ER4" i="71"/>
  <c r="ES4" i="71"/>
  <c r="ET4" i="71"/>
  <c r="EU4" i="71"/>
  <c r="EV4" i="71"/>
  <c r="EW4" i="71"/>
  <c r="EX4" i="71"/>
  <c r="EY4" i="71"/>
  <c r="EZ4" i="71"/>
  <c r="FA4" i="71"/>
  <c r="FB4" i="71"/>
  <c r="FC4" i="71"/>
  <c r="FD4" i="71"/>
  <c r="FE4" i="71"/>
  <c r="FF4" i="71"/>
  <c r="FG4" i="71"/>
  <c r="FH4" i="71"/>
  <c r="FI4" i="71"/>
  <c r="FJ4" i="71"/>
  <c r="FK4" i="71"/>
  <c r="FL4" i="71"/>
  <c r="FM4" i="71"/>
  <c r="FN4" i="71"/>
  <c r="FO4" i="71"/>
  <c r="FP4" i="71"/>
  <c r="FQ4" i="71"/>
  <c r="FR4" i="71"/>
  <c r="FS4" i="71"/>
  <c r="FT4" i="71"/>
  <c r="FU4" i="71"/>
  <c r="FV4" i="71"/>
  <c r="FW4" i="71"/>
  <c r="FX4" i="71"/>
  <c r="FY4" i="71"/>
  <c r="FZ4" i="71"/>
  <c r="GA4" i="71"/>
  <c r="GB4" i="71"/>
  <c r="GC4" i="71"/>
  <c r="GD4" i="71"/>
  <c r="GE4" i="71"/>
  <c r="GF4" i="71"/>
  <c r="GG4" i="71"/>
  <c r="GH4" i="71"/>
  <c r="GI4" i="71"/>
  <c r="GJ4" i="71"/>
  <c r="GK4" i="71"/>
  <c r="GL4" i="71"/>
  <c r="GM4" i="71"/>
  <c r="GN4" i="71"/>
  <c r="GO4" i="71"/>
  <c r="GP4" i="71"/>
  <c r="GQ4" i="71"/>
  <c r="GR4" i="71"/>
  <c r="GS4" i="71"/>
  <c r="GT4" i="71"/>
  <c r="GU4" i="71"/>
  <c r="GV4" i="71"/>
  <c r="GW4" i="71"/>
  <c r="GX4" i="71"/>
  <c r="GY4" i="71"/>
  <c r="GZ4" i="71"/>
  <c r="HA4" i="71"/>
  <c r="HB4" i="71"/>
  <c r="HC4" i="71"/>
  <c r="HD4" i="71"/>
  <c r="HE4" i="71"/>
  <c r="HF4" i="71"/>
  <c r="HG4" i="71"/>
  <c r="HH4" i="71"/>
  <c r="HI4" i="71"/>
  <c r="HJ4" i="71"/>
  <c r="HK4" i="71"/>
  <c r="HL4" i="71"/>
  <c r="HM4" i="71"/>
  <c r="HN4" i="71"/>
  <c r="HO4" i="71"/>
  <c r="HP4" i="71"/>
  <c r="HQ4" i="71"/>
  <c r="HR4" i="71"/>
  <c r="HS4" i="71"/>
  <c r="HT4" i="71"/>
  <c r="HU4" i="71"/>
  <c r="HV4" i="71"/>
  <c r="HW4" i="71"/>
  <c r="HX4" i="71"/>
  <c r="HY4" i="71"/>
  <c r="HZ4" i="71"/>
  <c r="IA4" i="71"/>
  <c r="IB4" i="71"/>
  <c r="IC4" i="71"/>
  <c r="ID4" i="71"/>
  <c r="IE4" i="71"/>
  <c r="IF4" i="71"/>
  <c r="IG4" i="71"/>
  <c r="IH4" i="71"/>
  <c r="II4" i="71"/>
  <c r="IJ4" i="71"/>
  <c r="IK4" i="71"/>
  <c r="IL4" i="71"/>
  <c r="IM4" i="71"/>
  <c r="IN4" i="71"/>
  <c r="IO4" i="71"/>
  <c r="IP4" i="71"/>
  <c r="IQ4" i="71"/>
  <c r="IR4" i="71"/>
  <c r="IS4" i="71"/>
  <c r="IT4" i="71"/>
  <c r="IU4" i="71"/>
  <c r="IV4" i="71"/>
  <c r="IW4" i="71"/>
  <c r="IX4" i="71"/>
  <c r="IY4" i="71"/>
  <c r="IZ4" i="71"/>
  <c r="JA4" i="71"/>
  <c r="JB4" i="71"/>
  <c r="JC4" i="71"/>
  <c r="JD4" i="71"/>
  <c r="JE4" i="71"/>
  <c r="JF4" i="71"/>
  <c r="JG4" i="71"/>
  <c r="JH4" i="71"/>
  <c r="JI4" i="71"/>
  <c r="JJ4" i="71"/>
  <c r="JK4" i="71"/>
  <c r="JL4" i="71"/>
  <c r="JM4" i="71"/>
  <c r="JN4" i="71"/>
  <c r="JO4" i="71"/>
  <c r="JP4" i="71"/>
  <c r="JQ4" i="71"/>
  <c r="JR4" i="71"/>
  <c r="JS4" i="71"/>
  <c r="JT4" i="71"/>
  <c r="JU4" i="71"/>
  <c r="JV4" i="71"/>
  <c r="JW4" i="71"/>
  <c r="JX4" i="71"/>
  <c r="JY4" i="71"/>
  <c r="JZ4" i="71"/>
  <c r="KA4" i="71"/>
  <c r="KB4" i="71"/>
  <c r="KC4" i="71"/>
  <c r="KD4" i="71"/>
  <c r="KE4" i="71"/>
  <c r="KF4" i="71"/>
  <c r="KG4" i="71"/>
  <c r="KH4" i="71"/>
  <c r="KI4" i="71"/>
  <c r="KJ4" i="71"/>
  <c r="KK4" i="71"/>
  <c r="KL4" i="71"/>
  <c r="KM4" i="71"/>
  <c r="KN4" i="71"/>
  <c r="KO4" i="71"/>
  <c r="KP4" i="71"/>
  <c r="KQ4" i="71"/>
  <c r="KR4" i="71"/>
  <c r="KS4" i="71"/>
  <c r="KT4" i="71"/>
  <c r="KU4" i="71"/>
  <c r="KV4" i="71"/>
  <c r="KW4" i="71"/>
  <c r="KX4" i="71"/>
  <c r="KY4" i="71"/>
  <c r="KZ4" i="71"/>
  <c r="LA4" i="71"/>
  <c r="LB4" i="71"/>
  <c r="LC4" i="71"/>
  <c r="LD4" i="71"/>
  <c r="LE4" i="71"/>
  <c r="LF4" i="71"/>
  <c r="LG4" i="71"/>
  <c r="LH4" i="71"/>
  <c r="LI4" i="71"/>
  <c r="LJ4" i="71"/>
  <c r="LK4" i="71"/>
  <c r="LL4" i="71"/>
  <c r="LM4" i="71"/>
  <c r="LN4" i="71"/>
  <c r="LO4" i="71"/>
  <c r="LP4" i="71"/>
  <c r="LQ4" i="71"/>
  <c r="LR4" i="71"/>
  <c r="LS4" i="71"/>
  <c r="LT4" i="71"/>
  <c r="LU4" i="71"/>
  <c r="LV4" i="71"/>
  <c r="LW4" i="71"/>
  <c r="LX4" i="71"/>
  <c r="LY4" i="71"/>
  <c r="LZ4" i="71"/>
  <c r="MA4" i="71"/>
  <c r="MB4" i="71"/>
  <c r="MC4" i="71"/>
  <c r="MD4" i="71"/>
  <c r="ME4" i="71"/>
  <c r="MF4" i="71"/>
  <c r="MG4" i="71"/>
  <c r="MH4" i="71"/>
  <c r="MI4" i="71"/>
  <c r="MJ4" i="71"/>
  <c r="MK4" i="71"/>
  <c r="ML4" i="71"/>
  <c r="MM4" i="71"/>
  <c r="D3" i="71"/>
  <c r="E3" i="71"/>
  <c r="M3" i="71"/>
  <c r="N3" i="71"/>
  <c r="O3" i="71"/>
  <c r="R3" i="71"/>
  <c r="S3" i="71"/>
  <c r="T3" i="71"/>
  <c r="U3" i="71"/>
  <c r="V3" i="71"/>
  <c r="W3" i="71"/>
  <c r="X3" i="71"/>
  <c r="Y3" i="71"/>
  <c r="Z3" i="71"/>
  <c r="AA3" i="71"/>
  <c r="AB3" i="71"/>
  <c r="AC3" i="71"/>
  <c r="AD3" i="71"/>
  <c r="AE3" i="71"/>
  <c r="AF3" i="71"/>
  <c r="AG3" i="71"/>
  <c r="AH3" i="71"/>
  <c r="AI3" i="71"/>
  <c r="AJ3" i="71"/>
  <c r="AK3" i="71"/>
  <c r="AL3" i="71"/>
  <c r="AM3" i="71"/>
  <c r="AN3" i="71"/>
  <c r="AO3" i="71"/>
  <c r="AP3" i="71"/>
  <c r="AQ3" i="71"/>
  <c r="AR3" i="71"/>
  <c r="AS3" i="71"/>
  <c r="AT3" i="71"/>
  <c r="AU3" i="71"/>
  <c r="AV3" i="71"/>
  <c r="AW3" i="71"/>
  <c r="AX3" i="71"/>
  <c r="AY3" i="71"/>
  <c r="AZ3" i="71"/>
  <c r="BA3" i="71"/>
  <c r="BB3" i="71"/>
  <c r="BC3" i="71"/>
  <c r="BD3" i="71"/>
  <c r="BE3" i="71"/>
  <c r="BF3" i="71"/>
  <c r="BG3" i="71"/>
  <c r="BH3" i="71"/>
  <c r="BI3" i="71"/>
  <c r="BJ3" i="71"/>
  <c r="BK3" i="71"/>
  <c r="BL3" i="71"/>
  <c r="BM3" i="71"/>
  <c r="BN3" i="71"/>
  <c r="BO3" i="71"/>
  <c r="BP3" i="71"/>
  <c r="BQ3" i="71"/>
  <c r="BR3" i="71"/>
  <c r="BS3" i="71"/>
  <c r="BT3" i="71"/>
  <c r="BU3" i="71"/>
  <c r="BV3" i="71"/>
  <c r="BW3" i="71"/>
  <c r="BX3" i="71"/>
  <c r="BY3" i="71"/>
  <c r="BZ3" i="71"/>
  <c r="CA3" i="71"/>
  <c r="CB3" i="71"/>
  <c r="CC3" i="71"/>
  <c r="CD3" i="71"/>
  <c r="CE3" i="71"/>
  <c r="CF3" i="71"/>
  <c r="CG3" i="71"/>
  <c r="CH3" i="71"/>
  <c r="CI3" i="71"/>
  <c r="CJ3" i="71"/>
  <c r="CK3" i="71"/>
  <c r="CL3" i="71"/>
  <c r="CM3" i="71"/>
  <c r="CN3" i="71"/>
  <c r="CO3" i="71"/>
  <c r="CP3" i="71"/>
  <c r="CQ3" i="71"/>
  <c r="CR3" i="71"/>
  <c r="CS3" i="71"/>
  <c r="CT3" i="71"/>
  <c r="CU3" i="71"/>
  <c r="CV3" i="71"/>
  <c r="CW3" i="71"/>
  <c r="CX3" i="71"/>
  <c r="CY3" i="71"/>
  <c r="CZ3" i="71"/>
  <c r="DA3" i="71"/>
  <c r="DB3" i="71"/>
  <c r="DC3" i="71"/>
  <c r="DD3" i="71"/>
  <c r="DE3" i="71"/>
  <c r="DF3" i="71"/>
  <c r="DG3" i="71"/>
  <c r="DH3" i="71"/>
  <c r="DI3" i="71"/>
  <c r="DJ3" i="71"/>
  <c r="DK3" i="71"/>
  <c r="DL3" i="71"/>
  <c r="DM3" i="71"/>
  <c r="DN3" i="71"/>
  <c r="DO3" i="71"/>
  <c r="DP3" i="71"/>
  <c r="DQ3" i="71"/>
  <c r="DR3" i="71"/>
  <c r="DS3" i="71"/>
  <c r="DT3" i="71"/>
  <c r="DU3" i="71"/>
  <c r="DV3" i="71"/>
  <c r="DW3" i="71"/>
  <c r="DX3" i="71"/>
  <c r="DY3" i="71"/>
  <c r="DZ3" i="71"/>
  <c r="EA3" i="71"/>
  <c r="EB3" i="71"/>
  <c r="EC3" i="71"/>
  <c r="ED3" i="71"/>
  <c r="EE3" i="71"/>
  <c r="EF3" i="71"/>
  <c r="EG3" i="71"/>
  <c r="EH3" i="71"/>
  <c r="EI3" i="71"/>
  <c r="EJ3" i="71"/>
  <c r="EK3" i="71"/>
  <c r="EL3" i="71"/>
  <c r="EM3" i="71"/>
  <c r="EN3" i="71"/>
  <c r="EO3" i="71"/>
  <c r="EP3" i="71"/>
  <c r="EQ3" i="71"/>
  <c r="ER3" i="71"/>
  <c r="ES3" i="71"/>
  <c r="ET3" i="71"/>
  <c r="EU3" i="71"/>
  <c r="EV3" i="71"/>
  <c r="EW3" i="71"/>
  <c r="EX3" i="71"/>
  <c r="EY3" i="71"/>
  <c r="EZ3" i="71"/>
  <c r="FA3" i="71"/>
  <c r="FB3" i="71"/>
  <c r="FC3" i="71"/>
  <c r="FD3" i="71"/>
  <c r="FE3" i="71"/>
  <c r="FF3" i="71"/>
  <c r="FG3" i="71"/>
  <c r="FH3" i="71"/>
  <c r="FI3" i="71"/>
  <c r="FJ3" i="71"/>
  <c r="FK3" i="71"/>
  <c r="FL3" i="71"/>
  <c r="FM3" i="71"/>
  <c r="FN3" i="71"/>
  <c r="FO3" i="71"/>
  <c r="FP3" i="71"/>
  <c r="FQ3" i="71"/>
  <c r="FR3" i="71"/>
  <c r="FS3" i="71"/>
  <c r="FT3" i="71"/>
  <c r="FU3" i="71"/>
  <c r="FV3" i="71"/>
  <c r="FW3" i="71"/>
  <c r="FX3" i="71"/>
  <c r="FY3" i="71"/>
  <c r="FZ3" i="71"/>
  <c r="GA3" i="71"/>
  <c r="GB3" i="71"/>
  <c r="GC3" i="71"/>
  <c r="GD3" i="71"/>
  <c r="GE3" i="71"/>
  <c r="GF3" i="71"/>
  <c r="GG3" i="71"/>
  <c r="GH3" i="71"/>
  <c r="GI3" i="71"/>
  <c r="GJ3" i="71"/>
  <c r="GK3" i="71"/>
  <c r="GL3" i="71"/>
  <c r="GM3" i="71"/>
  <c r="GN3" i="71"/>
  <c r="GO3" i="71"/>
  <c r="GP3" i="71"/>
  <c r="GQ3" i="71"/>
  <c r="GR3" i="71"/>
  <c r="GS3" i="71"/>
  <c r="GT3" i="71"/>
  <c r="GU3" i="71"/>
  <c r="GV3" i="71"/>
  <c r="GW3" i="71"/>
  <c r="GX3" i="71"/>
  <c r="GY3" i="71"/>
  <c r="GZ3" i="71"/>
  <c r="HA3" i="71"/>
  <c r="HB3" i="71"/>
  <c r="HC3" i="71"/>
  <c r="HD3" i="71"/>
  <c r="HE3" i="71"/>
  <c r="HF3" i="71"/>
  <c r="HG3" i="71"/>
  <c r="HH3" i="71"/>
  <c r="HI3" i="71"/>
  <c r="HJ3" i="71"/>
  <c r="HK3" i="71"/>
  <c r="HL3" i="71"/>
  <c r="GZ59" i="67" s="1"/>
  <c r="HM3" i="71"/>
  <c r="HA59" i="67" s="1"/>
  <c r="HN3" i="71"/>
  <c r="HB59" i="67" s="1"/>
  <c r="HO3" i="71"/>
  <c r="HC59" i="67" s="1"/>
  <c r="HP3" i="71"/>
  <c r="HD59" i="67" s="1"/>
  <c r="HQ3" i="71"/>
  <c r="HR3" i="71"/>
  <c r="HF59" i="67" s="1"/>
  <c r="HS3" i="71"/>
  <c r="HG59" i="67" s="1"/>
  <c r="HT3" i="71"/>
  <c r="HU3" i="71"/>
  <c r="HV3" i="71"/>
  <c r="HW3" i="71"/>
  <c r="HX3" i="71"/>
  <c r="HY3" i="71"/>
  <c r="HZ3" i="71"/>
  <c r="IA3" i="71"/>
  <c r="IB3" i="71"/>
  <c r="IC3" i="71"/>
  <c r="ID3" i="71"/>
  <c r="IE3" i="71"/>
  <c r="IF3" i="71"/>
  <c r="IG3" i="71"/>
  <c r="IH3" i="71"/>
  <c r="II3" i="71"/>
  <c r="IY3" i="71"/>
  <c r="JL3" i="71"/>
  <c r="JT3" i="71"/>
  <c r="JU3" i="71"/>
  <c r="JV3" i="71"/>
  <c r="JW3" i="71"/>
  <c r="JX3" i="71"/>
  <c r="JY3" i="71"/>
  <c r="JZ3" i="71"/>
  <c r="KA3" i="71"/>
  <c r="KB3" i="71"/>
  <c r="KC3" i="71"/>
  <c r="KD3" i="71"/>
  <c r="KE3" i="71"/>
  <c r="KP3" i="71"/>
  <c r="KQ3" i="71"/>
  <c r="LE3" i="71"/>
  <c r="LM3" i="71"/>
  <c r="LZ3" i="71"/>
  <c r="MB3" i="71"/>
  <c r="MC3" i="71"/>
  <c r="MD3" i="71"/>
  <c r="ME3" i="71"/>
  <c r="MF3" i="71"/>
  <c r="MG3" i="71"/>
  <c r="MH3" i="71"/>
  <c r="MI3" i="71"/>
  <c r="MJ3" i="71"/>
  <c r="MK3" i="71"/>
  <c r="ML3" i="71"/>
  <c r="D55" i="71"/>
  <c r="E55" i="71"/>
  <c r="M55" i="71"/>
  <c r="N55" i="71"/>
  <c r="O55" i="71"/>
  <c r="R55" i="71"/>
  <c r="S55" i="71"/>
  <c r="T55" i="71"/>
  <c r="U55" i="71"/>
  <c r="W55" i="71"/>
  <c r="X55" i="71"/>
  <c r="Y55" i="71"/>
  <c r="Z55" i="71"/>
  <c r="AA55" i="71"/>
  <c r="AB55" i="71"/>
  <c r="AC55" i="71"/>
  <c r="AD55" i="71"/>
  <c r="AE55" i="71"/>
  <c r="AF55" i="71"/>
  <c r="AG55" i="71"/>
  <c r="AH55" i="71"/>
  <c r="AI55" i="71"/>
  <c r="AJ55" i="71"/>
  <c r="AK55" i="71"/>
  <c r="AL55" i="71"/>
  <c r="AM55" i="71"/>
  <c r="AN55" i="71"/>
  <c r="AO55" i="71"/>
  <c r="AP55" i="71"/>
  <c r="AQ55" i="71"/>
  <c r="AR55" i="71"/>
  <c r="AS55" i="71"/>
  <c r="AT55" i="71"/>
  <c r="AU55" i="71"/>
  <c r="AV55" i="71"/>
  <c r="AW55" i="71"/>
  <c r="AX55" i="71"/>
  <c r="AY55" i="71"/>
  <c r="AZ55" i="71"/>
  <c r="BA55" i="71"/>
  <c r="BB55" i="71"/>
  <c r="BC55" i="71"/>
  <c r="BD55" i="71"/>
  <c r="BE55" i="71"/>
  <c r="BF55" i="71"/>
  <c r="BG55" i="71"/>
  <c r="BH55" i="71"/>
  <c r="BI55" i="71"/>
  <c r="BJ55" i="71"/>
  <c r="BK55" i="71"/>
  <c r="BL55" i="71"/>
  <c r="BM55" i="71"/>
  <c r="BN55" i="71"/>
  <c r="BO55" i="71"/>
  <c r="BP55" i="71"/>
  <c r="BQ55" i="71"/>
  <c r="BR55" i="71"/>
  <c r="BS55" i="71"/>
  <c r="BT55" i="71"/>
  <c r="BU55" i="71"/>
  <c r="BV55" i="71"/>
  <c r="BW55" i="71"/>
  <c r="BX55" i="71"/>
  <c r="BY55" i="71"/>
  <c r="BZ55" i="71"/>
  <c r="CA55" i="71"/>
  <c r="CB55" i="71"/>
  <c r="CC55" i="71"/>
  <c r="CD55" i="71"/>
  <c r="CE55" i="71"/>
  <c r="CF55" i="71"/>
  <c r="CG55" i="71"/>
  <c r="CH55" i="71"/>
  <c r="CI55" i="71"/>
  <c r="CJ55" i="71"/>
  <c r="CK55" i="71"/>
  <c r="CL55" i="71"/>
  <c r="CM55" i="71"/>
  <c r="CN55" i="71"/>
  <c r="CO55" i="71"/>
  <c r="CP55" i="71"/>
  <c r="CQ55" i="71"/>
  <c r="CR55" i="71"/>
  <c r="CS55" i="71"/>
  <c r="CT55" i="71"/>
  <c r="CU55" i="71"/>
  <c r="CV55" i="71"/>
  <c r="CW55" i="71"/>
  <c r="CX55" i="71"/>
  <c r="CY55" i="71"/>
  <c r="CZ55" i="71"/>
  <c r="DA55" i="71"/>
  <c r="DB55" i="71"/>
  <c r="DC55" i="71"/>
  <c r="DD55" i="71"/>
  <c r="DE55" i="71"/>
  <c r="DF55" i="71"/>
  <c r="DG55" i="71"/>
  <c r="DH55" i="71"/>
  <c r="DI55" i="71"/>
  <c r="DJ55" i="71"/>
  <c r="DK55" i="71"/>
  <c r="DL55" i="71"/>
  <c r="DM55" i="71"/>
  <c r="DN55" i="71"/>
  <c r="DO55" i="71"/>
  <c r="DP55" i="71"/>
  <c r="DQ55" i="71"/>
  <c r="DR55" i="71"/>
  <c r="DS55" i="71"/>
  <c r="DT55" i="71"/>
  <c r="DU55" i="71"/>
  <c r="DV55" i="71"/>
  <c r="DW55" i="71"/>
  <c r="DX55" i="71"/>
  <c r="DY55" i="71"/>
  <c r="DZ55" i="71"/>
  <c r="EA55" i="71"/>
  <c r="EB55" i="71"/>
  <c r="EC55" i="71"/>
  <c r="ED55" i="71"/>
  <c r="EE55" i="71"/>
  <c r="EF55" i="71"/>
  <c r="EG55" i="71"/>
  <c r="EH55" i="71"/>
  <c r="EI55" i="71"/>
  <c r="EJ55" i="71"/>
  <c r="EK55" i="71"/>
  <c r="EL55" i="71"/>
  <c r="EM55" i="71"/>
  <c r="EN55" i="71"/>
  <c r="EO55" i="71"/>
  <c r="EP55" i="71"/>
  <c r="EQ55" i="71"/>
  <c r="ER55" i="71"/>
  <c r="ES55" i="71"/>
  <c r="ET55" i="71"/>
  <c r="EU55" i="71"/>
  <c r="EV55" i="71"/>
  <c r="EW55" i="71"/>
  <c r="EX55" i="71"/>
  <c r="EY55" i="71"/>
  <c r="EZ55" i="71"/>
  <c r="FA55" i="71"/>
  <c r="FB55" i="71"/>
  <c r="FC55" i="71"/>
  <c r="FD55" i="71"/>
  <c r="FE55" i="71"/>
  <c r="FF55" i="71"/>
  <c r="FG55" i="71"/>
  <c r="FH55" i="71"/>
  <c r="FI55" i="71"/>
  <c r="FJ55" i="71"/>
  <c r="FK55" i="71"/>
  <c r="FL55" i="71"/>
  <c r="FM55" i="71"/>
  <c r="FN55" i="71"/>
  <c r="FO55" i="71"/>
  <c r="FP55" i="71"/>
  <c r="FQ55" i="71"/>
  <c r="FR55" i="71"/>
  <c r="FS55" i="71"/>
  <c r="FT55" i="71"/>
  <c r="FU55" i="71"/>
  <c r="FV55" i="71"/>
  <c r="FW55" i="71"/>
  <c r="FX55" i="71"/>
  <c r="FY55" i="71"/>
  <c r="FZ55" i="71"/>
  <c r="GA55" i="71"/>
  <c r="GB55" i="71"/>
  <c r="GC55" i="71"/>
  <c r="GD55" i="71"/>
  <c r="GE55" i="71"/>
  <c r="GF55" i="71"/>
  <c r="GG55" i="71"/>
  <c r="GH55" i="71"/>
  <c r="GI55" i="71"/>
  <c r="GJ55" i="71"/>
  <c r="GK55" i="71"/>
  <c r="GL55" i="71"/>
  <c r="GM55" i="71"/>
  <c r="GN55" i="71"/>
  <c r="GO55" i="71"/>
  <c r="GP55" i="71"/>
  <c r="GQ55" i="71"/>
  <c r="GR55" i="71"/>
  <c r="GS55" i="71"/>
  <c r="GT55" i="71"/>
  <c r="GU55" i="71"/>
  <c r="GV55" i="71"/>
  <c r="GW55" i="71"/>
  <c r="GX55" i="71"/>
  <c r="GY55" i="71"/>
  <c r="GZ55" i="71"/>
  <c r="HA55" i="71"/>
  <c r="HB55" i="71"/>
  <c r="HC55" i="71"/>
  <c r="HD55" i="71"/>
  <c r="HE55" i="71"/>
  <c r="HF55" i="71"/>
  <c r="HG55" i="71"/>
  <c r="HH55" i="71"/>
  <c r="HI55" i="71"/>
  <c r="HJ55" i="71"/>
  <c r="HK55" i="71"/>
  <c r="HT55" i="71"/>
  <c r="HU55" i="71"/>
  <c r="HV55" i="71"/>
  <c r="HW55" i="71"/>
  <c r="HX55" i="71"/>
  <c r="HY55" i="71"/>
  <c r="HZ55" i="71"/>
  <c r="IA55" i="71"/>
  <c r="IB55" i="71"/>
  <c r="IC55" i="71"/>
  <c r="ID55" i="71"/>
  <c r="IE55" i="71"/>
  <c r="IF55" i="71"/>
  <c r="IG55" i="71"/>
  <c r="IH55" i="71"/>
  <c r="II55" i="71"/>
  <c r="IJ55" i="71"/>
  <c r="IK55" i="71"/>
  <c r="IL55" i="71"/>
  <c r="IM55" i="71"/>
  <c r="IN55" i="71"/>
  <c r="IO55" i="71"/>
  <c r="IP55" i="71"/>
  <c r="IQ55" i="71"/>
  <c r="IR55" i="71"/>
  <c r="IS55" i="71"/>
  <c r="IT55" i="71"/>
  <c r="IU55" i="71"/>
  <c r="IV55" i="71"/>
  <c r="IW55" i="71"/>
  <c r="IX55" i="71"/>
  <c r="IY55" i="71"/>
  <c r="IZ55" i="71"/>
  <c r="JA55" i="71"/>
  <c r="JB55" i="71"/>
  <c r="JC55" i="71"/>
  <c r="JD55" i="71"/>
  <c r="JE55" i="71"/>
  <c r="JF55" i="71"/>
  <c r="JG55" i="71"/>
  <c r="JH55" i="71"/>
  <c r="JI55" i="71"/>
  <c r="JJ55" i="71"/>
  <c r="JK55" i="71"/>
  <c r="JL55" i="71"/>
  <c r="JM55" i="71"/>
  <c r="JN55" i="71"/>
  <c r="JO55" i="71"/>
  <c r="JP55" i="71"/>
  <c r="JQ55" i="71"/>
  <c r="JR55" i="71"/>
  <c r="JS55" i="71"/>
  <c r="JT55" i="71"/>
  <c r="JU55" i="71"/>
  <c r="JV55" i="71"/>
  <c r="JW55" i="71"/>
  <c r="JX55" i="71"/>
  <c r="JY55" i="71"/>
  <c r="JZ55" i="71"/>
  <c r="KA55" i="71"/>
  <c r="KB55" i="71"/>
  <c r="KC55" i="71"/>
  <c r="KD55" i="71"/>
  <c r="KE55" i="71"/>
  <c r="KF55" i="71"/>
  <c r="KG55" i="71"/>
  <c r="KH55" i="71"/>
  <c r="KI55" i="71"/>
  <c r="KJ55" i="71"/>
  <c r="KK55" i="71"/>
  <c r="KL55" i="71"/>
  <c r="KM55" i="71"/>
  <c r="KN55" i="71"/>
  <c r="KO55" i="71"/>
  <c r="KP55" i="71"/>
  <c r="KQ55" i="71"/>
  <c r="KR55" i="71"/>
  <c r="KS55" i="71"/>
  <c r="KT55" i="71"/>
  <c r="KU55" i="71"/>
  <c r="KV55" i="71"/>
  <c r="KW55" i="71"/>
  <c r="KX55" i="71"/>
  <c r="KY55" i="71"/>
  <c r="KZ55" i="71"/>
  <c r="LA55" i="71"/>
  <c r="LB55" i="71"/>
  <c r="LC55" i="71"/>
  <c r="LD55" i="71"/>
  <c r="LE55" i="71"/>
  <c r="LF55" i="71"/>
  <c r="LG55" i="71"/>
  <c r="LH55" i="71"/>
  <c r="LI55" i="71"/>
  <c r="LJ55" i="71"/>
  <c r="LK55" i="71"/>
  <c r="LL55" i="71"/>
  <c r="LM55" i="71"/>
  <c r="LN55" i="71"/>
  <c r="LO55" i="71"/>
  <c r="LP55" i="71"/>
  <c r="LQ55" i="71"/>
  <c r="LR55" i="71"/>
  <c r="LS55" i="71"/>
  <c r="LT55" i="71"/>
  <c r="LU55" i="71"/>
  <c r="LV55" i="71"/>
  <c r="LW55" i="71"/>
  <c r="LX55" i="71"/>
  <c r="LY55" i="71"/>
  <c r="LZ55" i="71"/>
  <c r="MA55" i="71"/>
  <c r="MB55" i="71"/>
  <c r="MC55" i="71"/>
  <c r="MD55" i="71"/>
  <c r="ME55" i="71"/>
  <c r="MF55" i="71"/>
  <c r="MG55" i="71"/>
  <c r="MH55" i="71"/>
  <c r="MI55" i="71"/>
  <c r="MJ55" i="71"/>
  <c r="MK55" i="71"/>
  <c r="ML55" i="71"/>
  <c r="MM55" i="71"/>
  <c r="D68" i="71"/>
  <c r="E68" i="71"/>
  <c r="M68" i="71"/>
  <c r="N68" i="71"/>
  <c r="O68" i="71"/>
  <c r="R68" i="71"/>
  <c r="S68" i="71"/>
  <c r="T68" i="71"/>
  <c r="U68" i="71"/>
  <c r="J46" i="67"/>
  <c r="W68" i="71"/>
  <c r="X68" i="71"/>
  <c r="Y68" i="71"/>
  <c r="Z68" i="71"/>
  <c r="AA68" i="71"/>
  <c r="AB68" i="71"/>
  <c r="AC68" i="71"/>
  <c r="AD68" i="71"/>
  <c r="AE68" i="71"/>
  <c r="AH68" i="71"/>
  <c r="AI68" i="71"/>
  <c r="AJ68" i="71"/>
  <c r="AK68" i="71"/>
  <c r="AL68" i="71"/>
  <c r="AM68" i="71"/>
  <c r="AN68" i="71"/>
  <c r="AO68" i="71"/>
  <c r="AP68" i="71"/>
  <c r="AQ68" i="71"/>
  <c r="AR68" i="71"/>
  <c r="AS68" i="71"/>
  <c r="AT68" i="71"/>
  <c r="AU68" i="71"/>
  <c r="AV68" i="71"/>
  <c r="AW68" i="71"/>
  <c r="AX68" i="71"/>
  <c r="AY68" i="71"/>
  <c r="AZ68" i="71"/>
  <c r="BA68" i="71"/>
  <c r="BB68" i="71"/>
  <c r="BC68" i="71"/>
  <c r="BD68" i="71"/>
  <c r="BE68" i="71"/>
  <c r="BF68" i="71"/>
  <c r="BG68" i="71"/>
  <c r="BH68" i="71"/>
  <c r="BI68" i="71"/>
  <c r="BJ68" i="71"/>
  <c r="BK68" i="71"/>
  <c r="BL68" i="71"/>
  <c r="BM68" i="71"/>
  <c r="BN68" i="71"/>
  <c r="BO68" i="71"/>
  <c r="BP68" i="71"/>
  <c r="BQ68" i="71"/>
  <c r="BR68" i="71"/>
  <c r="BS68" i="71"/>
  <c r="BT68" i="71"/>
  <c r="BU68" i="71"/>
  <c r="BV68" i="71"/>
  <c r="BW68" i="71"/>
  <c r="BX68" i="71"/>
  <c r="BY68" i="71"/>
  <c r="BZ68" i="71"/>
  <c r="CA68" i="71"/>
  <c r="CB68" i="71"/>
  <c r="CC68" i="71"/>
  <c r="CD68" i="71"/>
  <c r="CE68" i="71"/>
  <c r="CF68" i="71"/>
  <c r="CG68" i="71"/>
  <c r="CH68" i="71"/>
  <c r="CI68" i="71"/>
  <c r="CJ68" i="71"/>
  <c r="CK68" i="71"/>
  <c r="CL68" i="71"/>
  <c r="CM68" i="71"/>
  <c r="CN68" i="71"/>
  <c r="CO68" i="71"/>
  <c r="CP68" i="71"/>
  <c r="CQ68" i="71"/>
  <c r="CR68" i="71"/>
  <c r="CS68" i="71"/>
  <c r="CT68" i="71"/>
  <c r="CU68" i="71"/>
  <c r="CV68" i="71"/>
  <c r="CW68" i="71"/>
  <c r="CX68" i="71"/>
  <c r="CY68" i="71"/>
  <c r="CZ68" i="71"/>
  <c r="DA68" i="71"/>
  <c r="DB68" i="71"/>
  <c r="DC68" i="71"/>
  <c r="DD68" i="71"/>
  <c r="DE68" i="71"/>
  <c r="DF68" i="71"/>
  <c r="DG68" i="71"/>
  <c r="DH68" i="71"/>
  <c r="DI68" i="71"/>
  <c r="DJ68" i="71"/>
  <c r="DK68" i="71"/>
  <c r="DL68" i="71"/>
  <c r="DM68" i="71"/>
  <c r="DN68" i="71"/>
  <c r="DO68" i="71"/>
  <c r="DP68" i="71"/>
  <c r="DQ68" i="71"/>
  <c r="DR68" i="71"/>
  <c r="DS68" i="71"/>
  <c r="DT68" i="71"/>
  <c r="DU68" i="71"/>
  <c r="DV68" i="71"/>
  <c r="DW68" i="71"/>
  <c r="DX68" i="71"/>
  <c r="DY68" i="71"/>
  <c r="DZ68" i="71"/>
  <c r="EA68" i="71"/>
  <c r="EB68" i="71"/>
  <c r="EC68" i="71"/>
  <c r="ED68" i="71"/>
  <c r="EE68" i="71"/>
  <c r="EF68" i="71"/>
  <c r="EG68" i="71"/>
  <c r="EH68" i="71"/>
  <c r="EI68" i="71"/>
  <c r="EJ68" i="71"/>
  <c r="EK68" i="71"/>
  <c r="EL68" i="71"/>
  <c r="EM68" i="71"/>
  <c r="EN68" i="71"/>
  <c r="EO68" i="71"/>
  <c r="EP68" i="71"/>
  <c r="EQ68" i="71"/>
  <c r="ER68" i="71"/>
  <c r="ES68" i="71"/>
  <c r="ET68" i="71"/>
  <c r="EU68" i="71"/>
  <c r="EV68" i="71"/>
  <c r="EW68" i="71"/>
  <c r="EX68" i="71"/>
  <c r="EY68" i="71"/>
  <c r="EZ68" i="71"/>
  <c r="FA68" i="71"/>
  <c r="FB68" i="71"/>
  <c r="FC68" i="71"/>
  <c r="FD68" i="71"/>
  <c r="FE68" i="71"/>
  <c r="FF68" i="71"/>
  <c r="FG68" i="71"/>
  <c r="FH68" i="71"/>
  <c r="FI68" i="71"/>
  <c r="FJ68" i="71"/>
  <c r="FK68" i="71"/>
  <c r="FL68" i="71"/>
  <c r="FM68" i="71"/>
  <c r="FN68" i="71"/>
  <c r="FO68" i="71"/>
  <c r="FP68" i="71"/>
  <c r="FQ68" i="71"/>
  <c r="FR68" i="71"/>
  <c r="FS68" i="71"/>
  <c r="FT68" i="71"/>
  <c r="FU68" i="71"/>
  <c r="FV68" i="71"/>
  <c r="FW68" i="71"/>
  <c r="FX68" i="71"/>
  <c r="FY68" i="71"/>
  <c r="FZ68" i="71"/>
  <c r="GA68" i="71"/>
  <c r="GB68" i="71"/>
  <c r="GC68" i="71"/>
  <c r="GD68" i="71"/>
  <c r="GE68" i="71"/>
  <c r="GF68" i="71"/>
  <c r="GG68" i="71"/>
  <c r="GH68" i="71"/>
  <c r="GI68" i="71"/>
  <c r="GJ68" i="71"/>
  <c r="GK68" i="71"/>
  <c r="GL68" i="71"/>
  <c r="GM68" i="71"/>
  <c r="GN68" i="71"/>
  <c r="GO68" i="71"/>
  <c r="GP68" i="71"/>
  <c r="GQ68" i="71"/>
  <c r="GR68" i="71"/>
  <c r="GS68" i="71"/>
  <c r="GT68" i="71"/>
  <c r="GU68" i="71"/>
  <c r="GV68" i="71"/>
  <c r="GW68" i="71"/>
  <c r="GX68" i="71"/>
  <c r="GY68" i="71"/>
  <c r="GZ68" i="71"/>
  <c r="HA68" i="71"/>
  <c r="HB68" i="71"/>
  <c r="HC68" i="71"/>
  <c r="HD68" i="71"/>
  <c r="HE68" i="71"/>
  <c r="HF68" i="71"/>
  <c r="HG68" i="71"/>
  <c r="HH68" i="71"/>
  <c r="HI68" i="71"/>
  <c r="HJ68" i="71"/>
  <c r="HK68" i="71"/>
  <c r="HT68" i="71"/>
  <c r="HU68" i="71"/>
  <c r="HV68" i="71"/>
  <c r="HW68" i="71"/>
  <c r="HX68" i="71"/>
  <c r="HY68" i="71"/>
  <c r="HZ68" i="71"/>
  <c r="IA68" i="71"/>
  <c r="IB68" i="71"/>
  <c r="IC68" i="71"/>
  <c r="ID68" i="71"/>
  <c r="IE68" i="71"/>
  <c r="IF68" i="71"/>
  <c r="IG68" i="71"/>
  <c r="IH68" i="71"/>
  <c r="II68" i="71"/>
  <c r="IJ68" i="71"/>
  <c r="IK68" i="71"/>
  <c r="IL68" i="71"/>
  <c r="IM68" i="71"/>
  <c r="IN68" i="71"/>
  <c r="IO68" i="71"/>
  <c r="IP68" i="71"/>
  <c r="IQ68" i="71"/>
  <c r="IR68" i="71"/>
  <c r="IS68" i="71"/>
  <c r="IT68" i="71"/>
  <c r="IU68" i="71"/>
  <c r="IV68" i="71"/>
  <c r="IW68" i="71"/>
  <c r="IX68" i="71"/>
  <c r="IY68" i="71"/>
  <c r="IZ68" i="71"/>
  <c r="JA68" i="71"/>
  <c r="JB68" i="71"/>
  <c r="JC68" i="71"/>
  <c r="JD68" i="71"/>
  <c r="JE68" i="71"/>
  <c r="JF68" i="71"/>
  <c r="JG68" i="71"/>
  <c r="JH68" i="71"/>
  <c r="JI68" i="71"/>
  <c r="JJ68" i="71"/>
  <c r="JK68" i="71"/>
  <c r="JL68" i="71"/>
  <c r="JM68" i="71"/>
  <c r="JN68" i="71"/>
  <c r="JO68" i="71"/>
  <c r="JP68" i="71"/>
  <c r="JQ68" i="71"/>
  <c r="JR68" i="71"/>
  <c r="JS68" i="71"/>
  <c r="JT68" i="71"/>
  <c r="JV68" i="71"/>
  <c r="JW68" i="71"/>
  <c r="JX68" i="71"/>
  <c r="JY68" i="71"/>
  <c r="JZ68" i="71"/>
  <c r="KA68" i="71"/>
  <c r="KB68" i="71"/>
  <c r="KD68" i="71"/>
  <c r="KF68" i="71"/>
  <c r="KG68" i="71"/>
  <c r="KH68" i="71"/>
  <c r="KI68" i="71"/>
  <c r="KJ68" i="71"/>
  <c r="KK68" i="71"/>
  <c r="KL68" i="71"/>
  <c r="KM68" i="71"/>
  <c r="KN68" i="71"/>
  <c r="KO68" i="71"/>
  <c r="KP68" i="71"/>
  <c r="KQ68" i="71"/>
  <c r="KR68" i="71"/>
  <c r="KS68" i="71"/>
  <c r="KT68" i="71"/>
  <c r="KU68" i="71"/>
  <c r="KV68" i="71"/>
  <c r="KW68" i="71"/>
  <c r="KX68" i="71"/>
  <c r="KY68" i="71"/>
  <c r="KZ68" i="71"/>
  <c r="LA68" i="71"/>
  <c r="LB68" i="71"/>
  <c r="LC68" i="71"/>
  <c r="LD68" i="71"/>
  <c r="LE68" i="71"/>
  <c r="LF68" i="71"/>
  <c r="LG68" i="71"/>
  <c r="LH68" i="71"/>
  <c r="LI68" i="71"/>
  <c r="LJ68" i="71"/>
  <c r="LK68" i="71"/>
  <c r="LL68" i="71"/>
  <c r="LM68" i="71"/>
  <c r="LN68" i="71"/>
  <c r="LO68" i="71"/>
  <c r="LP68" i="71"/>
  <c r="LQ68" i="71"/>
  <c r="LR68" i="71"/>
  <c r="LS68" i="71"/>
  <c r="LT68" i="71"/>
  <c r="LU68" i="71"/>
  <c r="LV68" i="71"/>
  <c r="LW68" i="71"/>
  <c r="LX68" i="71"/>
  <c r="LY68" i="71"/>
  <c r="LZ68" i="71"/>
  <c r="MA68" i="71"/>
  <c r="MB68" i="71"/>
  <c r="MC68" i="71"/>
  <c r="MD68" i="71"/>
  <c r="ME68" i="71"/>
  <c r="MF68" i="71"/>
  <c r="MG68" i="71"/>
  <c r="MH68" i="71"/>
  <c r="MI68" i="71"/>
  <c r="MJ68" i="71"/>
  <c r="MK68" i="71"/>
  <c r="ML68" i="71"/>
  <c r="MM68" i="71"/>
  <c r="D37" i="71"/>
  <c r="E37" i="71"/>
  <c r="M37" i="71"/>
  <c r="N37" i="71"/>
  <c r="O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BB37" i="71"/>
  <c r="BC37" i="71"/>
  <c r="BD37" i="71"/>
  <c r="BE37" i="71"/>
  <c r="BF37" i="71"/>
  <c r="BG37" i="71"/>
  <c r="BH37" i="71"/>
  <c r="BI37" i="71"/>
  <c r="BJ37" i="71"/>
  <c r="BK37" i="71"/>
  <c r="BL37" i="71"/>
  <c r="BM37" i="71"/>
  <c r="BN37" i="71"/>
  <c r="BO37" i="71"/>
  <c r="BP37" i="71"/>
  <c r="BQ37" i="71"/>
  <c r="BR37" i="71"/>
  <c r="BS37" i="71"/>
  <c r="BT37" i="71"/>
  <c r="BU37" i="71"/>
  <c r="BV37" i="71"/>
  <c r="BW37" i="71"/>
  <c r="BX37" i="71"/>
  <c r="BY37" i="71"/>
  <c r="BZ37" i="71"/>
  <c r="CA37" i="71"/>
  <c r="CB37" i="71"/>
  <c r="CC37" i="71"/>
  <c r="CD37" i="71"/>
  <c r="CE37" i="71"/>
  <c r="CF37" i="71"/>
  <c r="CG37" i="71"/>
  <c r="CH37" i="71"/>
  <c r="CI37" i="71"/>
  <c r="CJ37" i="71"/>
  <c r="CK37" i="71"/>
  <c r="CL37" i="71"/>
  <c r="CM37" i="71"/>
  <c r="CN37" i="71"/>
  <c r="CO37" i="71"/>
  <c r="CP37" i="71"/>
  <c r="CQ37" i="71"/>
  <c r="CR37" i="71"/>
  <c r="CS37" i="71"/>
  <c r="CT37" i="71"/>
  <c r="CU37" i="71"/>
  <c r="CV37" i="71"/>
  <c r="CW37" i="71"/>
  <c r="CX37" i="71"/>
  <c r="CY37" i="71"/>
  <c r="CZ37" i="71"/>
  <c r="DA37" i="71"/>
  <c r="DB37" i="71"/>
  <c r="DC37" i="71"/>
  <c r="DD37" i="71"/>
  <c r="DE37" i="71"/>
  <c r="DF37" i="71"/>
  <c r="DG37" i="71"/>
  <c r="DH37" i="71"/>
  <c r="DI37" i="71"/>
  <c r="DJ37" i="71"/>
  <c r="DK37" i="71"/>
  <c r="DL37" i="71"/>
  <c r="DM37" i="71"/>
  <c r="DN37" i="71"/>
  <c r="DO37" i="71"/>
  <c r="DP37" i="71"/>
  <c r="DQ37" i="71"/>
  <c r="DR37" i="71"/>
  <c r="DS37" i="71"/>
  <c r="DT37" i="71"/>
  <c r="DU37" i="71"/>
  <c r="DV37" i="71"/>
  <c r="DW37" i="71"/>
  <c r="DX37" i="71"/>
  <c r="DY37" i="71"/>
  <c r="DZ37" i="71"/>
  <c r="EA37" i="71"/>
  <c r="EB37" i="71"/>
  <c r="EC37" i="71"/>
  <c r="ED37" i="71"/>
  <c r="EE37" i="71"/>
  <c r="EF37" i="71"/>
  <c r="EG37" i="71"/>
  <c r="EH37" i="71"/>
  <c r="EI37" i="71"/>
  <c r="EJ37" i="71"/>
  <c r="EK37" i="71"/>
  <c r="EL37" i="71"/>
  <c r="EM37" i="71"/>
  <c r="EN37" i="71"/>
  <c r="EO37" i="71"/>
  <c r="EP37" i="71"/>
  <c r="EQ37" i="71"/>
  <c r="ER37" i="71"/>
  <c r="ES37" i="71"/>
  <c r="ET37" i="71"/>
  <c r="EU37" i="71"/>
  <c r="EV37" i="71"/>
  <c r="EW37" i="71"/>
  <c r="EX37" i="71"/>
  <c r="EY37" i="71"/>
  <c r="EZ37" i="71"/>
  <c r="FA37" i="71"/>
  <c r="FB37" i="71"/>
  <c r="FC37" i="71"/>
  <c r="FD37" i="71"/>
  <c r="FE37" i="71"/>
  <c r="FF37" i="71"/>
  <c r="FG37" i="71"/>
  <c r="FH37" i="71"/>
  <c r="FI37" i="71"/>
  <c r="FJ37" i="71"/>
  <c r="FK37" i="71"/>
  <c r="FL37" i="71"/>
  <c r="FM37" i="71"/>
  <c r="FN37" i="71"/>
  <c r="FO37" i="71"/>
  <c r="FP37" i="71"/>
  <c r="FR37" i="71"/>
  <c r="FS37" i="71"/>
  <c r="FT37" i="71"/>
  <c r="FU37" i="71"/>
  <c r="FV37" i="71"/>
  <c r="FW37" i="71"/>
  <c r="FY37" i="71"/>
  <c r="GA37" i="71"/>
  <c r="GB37" i="71"/>
  <c r="GC37" i="71"/>
  <c r="GD37" i="71"/>
  <c r="GE37" i="71"/>
  <c r="GF37" i="71"/>
  <c r="GG37" i="71"/>
  <c r="GH37" i="71"/>
  <c r="GI37" i="71"/>
  <c r="GJ37" i="71"/>
  <c r="GK37" i="71"/>
  <c r="GL37" i="71"/>
  <c r="GM37" i="71"/>
  <c r="GN37" i="71"/>
  <c r="GO37" i="71"/>
  <c r="GP37" i="71"/>
  <c r="GQ37" i="71"/>
  <c r="GR37" i="71"/>
  <c r="GS37" i="71"/>
  <c r="GT37" i="71"/>
  <c r="GU37" i="71"/>
  <c r="GV37" i="71"/>
  <c r="GW37" i="71"/>
  <c r="GX37" i="71"/>
  <c r="GY37" i="71"/>
  <c r="GZ37" i="71"/>
  <c r="HA37" i="71"/>
  <c r="HB37" i="71"/>
  <c r="HC37" i="71"/>
  <c r="HD37" i="71"/>
  <c r="HE37" i="71"/>
  <c r="HF37" i="71"/>
  <c r="HG37" i="71"/>
  <c r="HH37" i="71"/>
  <c r="HI37" i="71"/>
  <c r="HJ37" i="71"/>
  <c r="HK37" i="71"/>
  <c r="HL37" i="71"/>
  <c r="HM37" i="71"/>
  <c r="HN37" i="71"/>
  <c r="HO37" i="71"/>
  <c r="HP37" i="71"/>
  <c r="HQ37" i="71"/>
  <c r="HR37" i="71"/>
  <c r="HS37" i="71"/>
  <c r="HT37" i="71"/>
  <c r="HU37" i="71"/>
  <c r="HV37" i="71"/>
  <c r="HW37" i="71"/>
  <c r="HX37" i="71"/>
  <c r="HY37" i="71"/>
  <c r="HZ37" i="71"/>
  <c r="IA37" i="71"/>
  <c r="IB37" i="71"/>
  <c r="IC37" i="71"/>
  <c r="ID37" i="71"/>
  <c r="IE37" i="71"/>
  <c r="IF37" i="71"/>
  <c r="IG37" i="71"/>
  <c r="IH37" i="71"/>
  <c r="II37" i="71"/>
  <c r="IY37" i="71"/>
  <c r="JL37" i="71"/>
  <c r="JT37" i="71"/>
  <c r="KE37" i="71"/>
  <c r="KP37" i="71"/>
  <c r="KQ37" i="71"/>
  <c r="KS37" i="71"/>
  <c r="KT37" i="71"/>
  <c r="KU37" i="71"/>
  <c r="KV37" i="71"/>
  <c r="KW37" i="71"/>
  <c r="KX37" i="71"/>
  <c r="KY37" i="71"/>
  <c r="KZ37" i="71"/>
  <c r="LA37" i="71"/>
  <c r="LB37" i="71"/>
  <c r="LC37" i="71"/>
  <c r="LD37" i="71"/>
  <c r="LE37" i="71"/>
  <c r="LF37" i="71"/>
  <c r="LG37" i="71"/>
  <c r="LH37" i="71"/>
  <c r="LI37" i="71"/>
  <c r="LJ37" i="71"/>
  <c r="LK37" i="71"/>
  <c r="LL37" i="71"/>
  <c r="LM37" i="71"/>
  <c r="LO37" i="71"/>
  <c r="LP37" i="71"/>
  <c r="LQ37" i="71"/>
  <c r="LR37" i="71"/>
  <c r="LS37" i="71"/>
  <c r="LT37" i="71"/>
  <c r="LU37" i="71"/>
  <c r="LV37" i="71"/>
  <c r="LW37" i="71"/>
  <c r="LX37" i="71"/>
  <c r="LY37" i="71"/>
  <c r="LZ37" i="71"/>
  <c r="MA37" i="71"/>
  <c r="MB37" i="71"/>
  <c r="MC37" i="71"/>
  <c r="MD37" i="71"/>
  <c r="ME37" i="71"/>
  <c r="MF37" i="71"/>
  <c r="MG37" i="71"/>
  <c r="MH37" i="71"/>
  <c r="MI37" i="71"/>
  <c r="MJ37" i="71"/>
  <c r="MK37" i="71"/>
  <c r="ML37" i="71"/>
  <c r="D49" i="71"/>
  <c r="E49" i="71"/>
  <c r="M49" i="71"/>
  <c r="N49" i="71"/>
  <c r="O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BB49" i="71"/>
  <c r="BC49" i="71"/>
  <c r="BD49" i="71"/>
  <c r="BE49" i="71"/>
  <c r="BF49" i="71"/>
  <c r="BG49" i="71"/>
  <c r="BH49" i="71"/>
  <c r="BI49" i="71"/>
  <c r="BJ49" i="71"/>
  <c r="BK49" i="71"/>
  <c r="BL49" i="71"/>
  <c r="BM49" i="71"/>
  <c r="BN49" i="71"/>
  <c r="BO49" i="71"/>
  <c r="BP49" i="71"/>
  <c r="BQ49" i="71"/>
  <c r="BR49" i="71"/>
  <c r="BS49" i="71"/>
  <c r="BT49" i="71"/>
  <c r="BU49" i="71"/>
  <c r="BV49" i="71"/>
  <c r="BW49" i="71"/>
  <c r="BX49" i="71"/>
  <c r="BY49" i="71"/>
  <c r="BZ49" i="71"/>
  <c r="CA49" i="71"/>
  <c r="CB49" i="71"/>
  <c r="CC49" i="71"/>
  <c r="CD49" i="71"/>
  <c r="CE49" i="71"/>
  <c r="CF49" i="71"/>
  <c r="CG49" i="71"/>
  <c r="CH49" i="71"/>
  <c r="CI49" i="71"/>
  <c r="CJ49" i="71"/>
  <c r="CK49" i="71"/>
  <c r="CL49" i="71"/>
  <c r="CM49" i="71"/>
  <c r="CN49" i="71"/>
  <c r="CO49" i="71"/>
  <c r="CP49" i="71"/>
  <c r="CQ49" i="71"/>
  <c r="CR49" i="71"/>
  <c r="CS49" i="71"/>
  <c r="CT49" i="71"/>
  <c r="CU49" i="71"/>
  <c r="CV49" i="71"/>
  <c r="CW49" i="71"/>
  <c r="CX49" i="71"/>
  <c r="CY49" i="71"/>
  <c r="CZ49" i="71"/>
  <c r="DA49" i="71"/>
  <c r="DB49" i="71"/>
  <c r="DC49" i="71"/>
  <c r="DD49" i="71"/>
  <c r="DE49" i="71"/>
  <c r="DF49" i="71"/>
  <c r="DG49" i="71"/>
  <c r="DH49" i="71"/>
  <c r="DI49" i="71"/>
  <c r="DJ49" i="71"/>
  <c r="DK49" i="71"/>
  <c r="DL49" i="71"/>
  <c r="DM49" i="71"/>
  <c r="DN49" i="71"/>
  <c r="DO49" i="71"/>
  <c r="DP49" i="71"/>
  <c r="DQ49" i="71"/>
  <c r="DR49" i="71"/>
  <c r="DS49" i="71"/>
  <c r="DT49" i="71"/>
  <c r="DU49" i="71"/>
  <c r="DV49" i="71"/>
  <c r="DW49" i="71"/>
  <c r="DX49" i="71"/>
  <c r="DY49" i="71"/>
  <c r="DZ49" i="71"/>
  <c r="EA49" i="71"/>
  <c r="EB49" i="71"/>
  <c r="EC49" i="71"/>
  <c r="ED49" i="71"/>
  <c r="EE49" i="71"/>
  <c r="EF49" i="71"/>
  <c r="EG49" i="71"/>
  <c r="EH49" i="71"/>
  <c r="EI49" i="71"/>
  <c r="EJ49" i="71"/>
  <c r="EK49" i="71"/>
  <c r="EL49" i="71"/>
  <c r="EM49" i="71"/>
  <c r="EN49" i="71"/>
  <c r="EO49" i="71"/>
  <c r="EP49" i="71"/>
  <c r="EQ49" i="71"/>
  <c r="ER49" i="71"/>
  <c r="ES49" i="71"/>
  <c r="ET49" i="71"/>
  <c r="EU49" i="71"/>
  <c r="EV49" i="71"/>
  <c r="EW49" i="71"/>
  <c r="EX49" i="71"/>
  <c r="EY49" i="71"/>
  <c r="EZ49" i="71"/>
  <c r="FA49" i="71"/>
  <c r="FB49" i="71"/>
  <c r="FC49" i="71"/>
  <c r="FD49" i="71"/>
  <c r="FE49" i="71"/>
  <c r="FF49" i="71"/>
  <c r="FG49" i="71"/>
  <c r="FH49" i="71"/>
  <c r="FI49" i="71"/>
  <c r="FJ49" i="71"/>
  <c r="FK49" i="71"/>
  <c r="FL49" i="71"/>
  <c r="FM49" i="71"/>
  <c r="FN49" i="71"/>
  <c r="FO49" i="71"/>
  <c r="FP49" i="71"/>
  <c r="FQ49" i="71"/>
  <c r="FR49" i="71"/>
  <c r="FS49" i="71"/>
  <c r="FT49" i="71"/>
  <c r="FU49" i="71"/>
  <c r="FV49" i="71"/>
  <c r="FW49" i="71"/>
  <c r="FX49" i="71"/>
  <c r="FY49" i="71"/>
  <c r="FZ49" i="71"/>
  <c r="GA49" i="71"/>
  <c r="GB49" i="71"/>
  <c r="GC49" i="71"/>
  <c r="GD49" i="71"/>
  <c r="GE49" i="71"/>
  <c r="GF49" i="71"/>
  <c r="GG49" i="71"/>
  <c r="GH49" i="71"/>
  <c r="GI49" i="71"/>
  <c r="GJ49" i="71"/>
  <c r="GK49" i="71"/>
  <c r="GL49" i="71"/>
  <c r="GM49" i="71"/>
  <c r="GN49" i="71"/>
  <c r="GO49" i="71"/>
  <c r="GP49" i="71"/>
  <c r="GQ49" i="71"/>
  <c r="GR49" i="71"/>
  <c r="GS49" i="71"/>
  <c r="GT49" i="71"/>
  <c r="GU49" i="71"/>
  <c r="GV49" i="71"/>
  <c r="GW49" i="71"/>
  <c r="GX49" i="71"/>
  <c r="GY49" i="71"/>
  <c r="GZ49" i="71"/>
  <c r="HA49" i="71"/>
  <c r="HB49" i="71"/>
  <c r="HC49" i="71"/>
  <c r="HD49" i="71"/>
  <c r="HE49" i="71"/>
  <c r="HF49" i="71"/>
  <c r="HG49" i="71"/>
  <c r="HH49" i="71"/>
  <c r="HI49" i="71"/>
  <c r="HJ49" i="71"/>
  <c r="HK49" i="71"/>
  <c r="HL49" i="71"/>
  <c r="HM49" i="71"/>
  <c r="HN49" i="71"/>
  <c r="HO49" i="71"/>
  <c r="HP49" i="71"/>
  <c r="HQ49" i="71"/>
  <c r="HR49" i="71"/>
  <c r="HS49" i="71"/>
  <c r="HT49" i="71"/>
  <c r="HU49" i="71"/>
  <c r="HV49" i="71"/>
  <c r="HW49" i="71"/>
  <c r="HX49" i="71"/>
  <c r="HY49" i="71"/>
  <c r="HZ49" i="71"/>
  <c r="IA49" i="71"/>
  <c r="IB49" i="71"/>
  <c r="IC49" i="71"/>
  <c r="ID49" i="71"/>
  <c r="IE49" i="71"/>
  <c r="IF49" i="71"/>
  <c r="IG49" i="71"/>
  <c r="IH49" i="71"/>
  <c r="II49" i="71"/>
  <c r="IJ49" i="71"/>
  <c r="IK49" i="71"/>
  <c r="IL49" i="71"/>
  <c r="IM49" i="71"/>
  <c r="IN49" i="71"/>
  <c r="IO49" i="71"/>
  <c r="IP49" i="71"/>
  <c r="IQ49" i="71"/>
  <c r="IR49" i="71"/>
  <c r="IS49" i="71"/>
  <c r="IT49" i="71"/>
  <c r="IU49" i="71"/>
  <c r="IV49" i="71"/>
  <c r="IW49" i="71"/>
  <c r="IX49" i="71"/>
  <c r="IY49" i="71"/>
  <c r="IZ49" i="71"/>
  <c r="JA49" i="71"/>
  <c r="JB49" i="71"/>
  <c r="JC49" i="71"/>
  <c r="JD49" i="71"/>
  <c r="JE49" i="71"/>
  <c r="JF49" i="71"/>
  <c r="JG49" i="71"/>
  <c r="JH49" i="71"/>
  <c r="JI49" i="71"/>
  <c r="JJ49" i="71"/>
  <c r="JK49" i="71"/>
  <c r="JL49" i="71"/>
  <c r="JM49" i="71"/>
  <c r="JN49" i="71"/>
  <c r="JO49" i="71"/>
  <c r="JP49" i="71"/>
  <c r="JQ49" i="71"/>
  <c r="JR49" i="71"/>
  <c r="JS49" i="71"/>
  <c r="JT49" i="71"/>
  <c r="JU49" i="71"/>
  <c r="JV49" i="71"/>
  <c r="JW49" i="71"/>
  <c r="JX49" i="71"/>
  <c r="JY49" i="71"/>
  <c r="JZ49" i="71"/>
  <c r="KA49" i="71"/>
  <c r="KB49" i="71"/>
  <c r="KC49" i="71"/>
  <c r="KD49" i="71"/>
  <c r="KE49" i="71"/>
  <c r="KF49" i="71"/>
  <c r="KG49" i="71"/>
  <c r="KH49" i="71"/>
  <c r="KI49" i="71"/>
  <c r="KJ49" i="71"/>
  <c r="KK49" i="71"/>
  <c r="KL49" i="71"/>
  <c r="KM49" i="71"/>
  <c r="KN49" i="71"/>
  <c r="KO49" i="71"/>
  <c r="KP49" i="71"/>
  <c r="KQ49" i="71"/>
  <c r="KR49" i="71"/>
  <c r="KS49" i="71"/>
  <c r="KT49" i="71"/>
  <c r="KU49" i="71"/>
  <c r="KV49" i="71"/>
  <c r="KW49" i="71"/>
  <c r="KX49" i="71"/>
  <c r="KY49" i="71"/>
  <c r="KZ49" i="71"/>
  <c r="LA49" i="71"/>
  <c r="LB49" i="71"/>
  <c r="LC49" i="71"/>
  <c r="LD49" i="71"/>
  <c r="LE49" i="71"/>
  <c r="LF49" i="71"/>
  <c r="LG49" i="71"/>
  <c r="LH49" i="71"/>
  <c r="LI49" i="71"/>
  <c r="LJ49" i="71"/>
  <c r="LK49" i="71"/>
  <c r="LL49" i="71"/>
  <c r="LM49" i="71"/>
  <c r="LN49" i="71"/>
  <c r="LO49" i="71"/>
  <c r="LP49" i="71"/>
  <c r="LQ49" i="71"/>
  <c r="LR49" i="71"/>
  <c r="LS49" i="71"/>
  <c r="LT49" i="71"/>
  <c r="LU49" i="71"/>
  <c r="LV49" i="71"/>
  <c r="LW49" i="71"/>
  <c r="LX49" i="71"/>
  <c r="LY49" i="71"/>
  <c r="LZ49" i="71"/>
  <c r="MA49" i="71"/>
  <c r="MB49" i="71"/>
  <c r="MC49" i="71"/>
  <c r="ME49" i="71"/>
  <c r="MF49" i="71"/>
  <c r="MG49" i="71"/>
  <c r="MH49" i="71"/>
  <c r="MI49" i="71"/>
  <c r="MJ49" i="71"/>
  <c r="MK49" i="71"/>
  <c r="ML49" i="71"/>
  <c r="MM49" i="71"/>
  <c r="D48" i="71"/>
  <c r="E48" i="71"/>
  <c r="M48" i="71"/>
  <c r="N48" i="71"/>
  <c r="O48" i="71"/>
  <c r="R48" i="71"/>
  <c r="S48" i="71"/>
  <c r="T48" i="71"/>
  <c r="U48" i="71"/>
  <c r="I48" i="67" s="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BB48" i="71"/>
  <c r="BC48" i="71"/>
  <c r="BD48" i="71"/>
  <c r="BE48" i="71"/>
  <c r="BF48" i="71"/>
  <c r="BG48" i="71"/>
  <c r="BH48" i="71"/>
  <c r="BI48" i="71"/>
  <c r="BJ48" i="71"/>
  <c r="BK48" i="71"/>
  <c r="BL48" i="71"/>
  <c r="BM48" i="71"/>
  <c r="BN48" i="71"/>
  <c r="BO48" i="71"/>
  <c r="BP48" i="71"/>
  <c r="BQ48" i="71"/>
  <c r="BR48" i="71"/>
  <c r="BS48" i="71"/>
  <c r="BT48" i="71"/>
  <c r="BU48" i="71"/>
  <c r="BV48" i="71"/>
  <c r="BW48" i="71"/>
  <c r="BX48" i="71"/>
  <c r="BY48" i="71"/>
  <c r="BZ48" i="71"/>
  <c r="CA48" i="71"/>
  <c r="CB48" i="71"/>
  <c r="CC48" i="71"/>
  <c r="CD48" i="71"/>
  <c r="CE48" i="71"/>
  <c r="CF48" i="71"/>
  <c r="CG48" i="71"/>
  <c r="CH48" i="71"/>
  <c r="CI48" i="71"/>
  <c r="CJ48" i="71"/>
  <c r="CK48" i="71"/>
  <c r="CL48" i="71"/>
  <c r="CM48" i="71"/>
  <c r="CN48" i="71"/>
  <c r="CO48" i="71"/>
  <c r="CP48" i="71"/>
  <c r="CQ48" i="71"/>
  <c r="CR48" i="71"/>
  <c r="CS48" i="71"/>
  <c r="CT48" i="71"/>
  <c r="CU48" i="71"/>
  <c r="CV48" i="71"/>
  <c r="CW48" i="71"/>
  <c r="CX48" i="71"/>
  <c r="CY48" i="71"/>
  <c r="CZ48" i="71"/>
  <c r="DA48" i="71"/>
  <c r="DB48" i="71"/>
  <c r="DC48" i="71"/>
  <c r="DD48" i="71"/>
  <c r="DE48" i="71"/>
  <c r="DF48" i="71"/>
  <c r="DG48" i="71"/>
  <c r="DH48" i="71"/>
  <c r="DI48" i="71"/>
  <c r="DJ48" i="71"/>
  <c r="DK48" i="71"/>
  <c r="DL48" i="71"/>
  <c r="DM48" i="71"/>
  <c r="DN48" i="71"/>
  <c r="DO48" i="71"/>
  <c r="DP48" i="71"/>
  <c r="DQ48" i="71"/>
  <c r="DR48" i="71"/>
  <c r="DS48" i="71"/>
  <c r="DT48" i="71"/>
  <c r="DU48" i="71"/>
  <c r="DV48" i="71"/>
  <c r="DW48" i="71"/>
  <c r="DX48" i="71"/>
  <c r="DY48" i="71"/>
  <c r="DZ48" i="71"/>
  <c r="EA48" i="71"/>
  <c r="EB48" i="71"/>
  <c r="EC48" i="71"/>
  <c r="ED48" i="71"/>
  <c r="EE48" i="71"/>
  <c r="EF48" i="71"/>
  <c r="EG48" i="71"/>
  <c r="EH48" i="71"/>
  <c r="EI48" i="71"/>
  <c r="EJ48" i="71"/>
  <c r="EK48" i="71"/>
  <c r="EL48" i="71"/>
  <c r="EM48" i="71"/>
  <c r="EN48" i="71"/>
  <c r="EO48" i="71"/>
  <c r="EP48" i="71"/>
  <c r="EQ48" i="71"/>
  <c r="ER48" i="71"/>
  <c r="ES48" i="71"/>
  <c r="ET48" i="71"/>
  <c r="EU48" i="71"/>
  <c r="EV48" i="71"/>
  <c r="EW48" i="71"/>
  <c r="EX48" i="71"/>
  <c r="EY48" i="71"/>
  <c r="EZ48" i="71"/>
  <c r="FA48" i="71"/>
  <c r="FB48" i="71"/>
  <c r="FC48" i="71"/>
  <c r="FD48" i="71"/>
  <c r="FE48" i="71"/>
  <c r="FF48" i="71"/>
  <c r="FG48" i="71"/>
  <c r="FH48" i="71"/>
  <c r="FI48" i="71"/>
  <c r="FJ48" i="71"/>
  <c r="FK48" i="71"/>
  <c r="FL48" i="71"/>
  <c r="FM48" i="71"/>
  <c r="FN48" i="71"/>
  <c r="FO48" i="71"/>
  <c r="FP48" i="71"/>
  <c r="FQ48" i="71"/>
  <c r="FR48" i="71"/>
  <c r="FS48" i="71"/>
  <c r="FT48" i="71"/>
  <c r="FU48" i="71"/>
  <c r="FV48" i="71"/>
  <c r="FW48" i="71"/>
  <c r="FX48" i="71"/>
  <c r="FY48" i="71"/>
  <c r="FZ48" i="71"/>
  <c r="GA48" i="71"/>
  <c r="GB48" i="71"/>
  <c r="GC48" i="71"/>
  <c r="GD48" i="71"/>
  <c r="GE48" i="71"/>
  <c r="GF48" i="71"/>
  <c r="GG48" i="71"/>
  <c r="GH48" i="71"/>
  <c r="GI48" i="71"/>
  <c r="GJ48" i="71"/>
  <c r="GK48" i="71"/>
  <c r="GL48" i="71"/>
  <c r="GM48" i="71"/>
  <c r="GN48" i="71"/>
  <c r="GO48" i="71"/>
  <c r="GP48" i="71"/>
  <c r="GQ48" i="71"/>
  <c r="GR48" i="71"/>
  <c r="GS48" i="71"/>
  <c r="GT48" i="71"/>
  <c r="GU48" i="71"/>
  <c r="GV48" i="71"/>
  <c r="GW48" i="71"/>
  <c r="GX48" i="71"/>
  <c r="GY48" i="71"/>
  <c r="GZ48" i="71"/>
  <c r="HA48" i="71"/>
  <c r="HB48" i="71"/>
  <c r="HC48" i="71"/>
  <c r="HD48" i="71"/>
  <c r="HE48" i="71"/>
  <c r="HF48" i="71"/>
  <c r="HG48" i="71"/>
  <c r="HH48" i="71"/>
  <c r="HI48" i="71"/>
  <c r="HJ48" i="71"/>
  <c r="HK48" i="71"/>
  <c r="HT48" i="71"/>
  <c r="HU48" i="71"/>
  <c r="HV48" i="71"/>
  <c r="HW48" i="71"/>
  <c r="HX48" i="71"/>
  <c r="HY48" i="71"/>
  <c r="HZ48" i="71"/>
  <c r="IA48" i="71"/>
  <c r="IB48" i="71"/>
  <c r="IC48" i="71"/>
  <c r="ID48" i="71"/>
  <c r="IE48" i="71"/>
  <c r="IF48" i="71"/>
  <c r="IG48" i="71"/>
  <c r="IH48" i="71"/>
  <c r="II48" i="71"/>
  <c r="IJ48" i="71"/>
  <c r="IK48" i="71"/>
  <c r="IL48" i="71"/>
  <c r="IM48" i="71"/>
  <c r="IN48" i="71"/>
  <c r="IO48" i="71"/>
  <c r="IP48" i="71"/>
  <c r="IQ48" i="71"/>
  <c r="IR48" i="71"/>
  <c r="IS48" i="71"/>
  <c r="IT48" i="71"/>
  <c r="IU48" i="71"/>
  <c r="IV48" i="71"/>
  <c r="IW48" i="71"/>
  <c r="IX48" i="71"/>
  <c r="IY48" i="71"/>
  <c r="IZ48" i="71"/>
  <c r="JA48" i="71"/>
  <c r="JB48" i="71"/>
  <c r="IP48" i="67" s="1"/>
  <c r="JC48" i="71"/>
  <c r="JD48" i="71"/>
  <c r="JE48" i="71"/>
  <c r="JF48" i="71"/>
  <c r="JG48" i="71"/>
  <c r="JH48" i="71"/>
  <c r="JI48" i="71"/>
  <c r="JJ48" i="71"/>
  <c r="IX48" i="67" s="1"/>
  <c r="JK48" i="71"/>
  <c r="JL48" i="71"/>
  <c r="JM48" i="71"/>
  <c r="JN48" i="71"/>
  <c r="JO48" i="71"/>
  <c r="JP48" i="71"/>
  <c r="JQ48" i="71"/>
  <c r="JR48" i="71"/>
  <c r="JS48" i="71"/>
  <c r="JT48" i="71"/>
  <c r="JU48" i="71"/>
  <c r="JV48" i="71"/>
  <c r="JW48" i="71"/>
  <c r="JX48" i="71"/>
  <c r="JY48" i="71"/>
  <c r="JZ48" i="71"/>
  <c r="KA48" i="71"/>
  <c r="KB48" i="71"/>
  <c r="KC48" i="71"/>
  <c r="KD48" i="71"/>
  <c r="KE48" i="71"/>
  <c r="KF48" i="71"/>
  <c r="KG48" i="71"/>
  <c r="KH48" i="71"/>
  <c r="KI48" i="71"/>
  <c r="KJ48" i="71"/>
  <c r="KK48" i="71"/>
  <c r="KL48" i="71"/>
  <c r="KM48" i="71"/>
  <c r="KN48" i="71"/>
  <c r="KO48" i="71"/>
  <c r="KP48" i="71"/>
  <c r="KQ48" i="71"/>
  <c r="KR48" i="71"/>
  <c r="KS48" i="71"/>
  <c r="KT48" i="71"/>
  <c r="KU48" i="71"/>
  <c r="KV48" i="71"/>
  <c r="KW48" i="71"/>
  <c r="KX48" i="71"/>
  <c r="KY48" i="71"/>
  <c r="KZ48" i="71"/>
  <c r="LA48" i="71"/>
  <c r="LB48" i="71"/>
  <c r="LC48" i="71"/>
  <c r="LD48" i="71"/>
  <c r="LE48" i="71"/>
  <c r="LF48" i="71"/>
  <c r="LG48" i="71"/>
  <c r="LH48" i="71"/>
  <c r="LI48" i="71"/>
  <c r="LJ48" i="71"/>
  <c r="LK48" i="71"/>
  <c r="LL48" i="71"/>
  <c r="LM48" i="71"/>
  <c r="LN48" i="71"/>
  <c r="LO48" i="71"/>
  <c r="LP48" i="71"/>
  <c r="LQ48" i="71"/>
  <c r="LR48" i="71"/>
  <c r="LS48" i="71"/>
  <c r="LT48" i="71"/>
  <c r="LU48" i="71"/>
  <c r="LV48" i="71"/>
  <c r="LW48" i="71"/>
  <c r="LX48" i="71"/>
  <c r="LY48" i="71"/>
  <c r="LZ48" i="71"/>
  <c r="MA48" i="71"/>
  <c r="MB48" i="71"/>
  <c r="MC48" i="71"/>
  <c r="ME48" i="71"/>
  <c r="MF48" i="71"/>
  <c r="MG48" i="71"/>
  <c r="MH48" i="71"/>
  <c r="MI48" i="71"/>
  <c r="MJ48" i="71"/>
  <c r="MK48" i="71"/>
  <c r="ML48" i="71"/>
  <c r="MM48" i="71"/>
  <c r="D16" i="71"/>
  <c r="E16" i="71"/>
  <c r="M16" i="71"/>
  <c r="N16" i="71"/>
  <c r="O16" i="71"/>
  <c r="R16" i="71"/>
  <c r="S16" i="71"/>
  <c r="T16" i="71"/>
  <c r="J17" i="67"/>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BB16" i="71"/>
  <c r="BC16" i="71"/>
  <c r="BD16" i="71"/>
  <c r="BE16" i="71"/>
  <c r="BF16" i="71"/>
  <c r="BG16" i="71"/>
  <c r="BH16" i="71"/>
  <c r="BI16" i="71"/>
  <c r="BJ16" i="71"/>
  <c r="BK16" i="71"/>
  <c r="BL16" i="71"/>
  <c r="BM16" i="71"/>
  <c r="BN16" i="71"/>
  <c r="BO16" i="71"/>
  <c r="BP16" i="71"/>
  <c r="BQ16" i="71"/>
  <c r="BR16" i="71"/>
  <c r="BS16" i="71"/>
  <c r="BT16" i="71"/>
  <c r="BU16" i="71"/>
  <c r="BV16" i="71"/>
  <c r="BW16" i="71"/>
  <c r="BX16" i="71"/>
  <c r="BY16" i="71"/>
  <c r="BZ16" i="71"/>
  <c r="CA16" i="71"/>
  <c r="CB16" i="71"/>
  <c r="CC16" i="71"/>
  <c r="CG16" i="71"/>
  <c r="CH16" i="71"/>
  <c r="CI16" i="71"/>
  <c r="CJ16" i="71"/>
  <c r="CK16" i="71"/>
  <c r="CL16" i="71"/>
  <c r="CM16" i="71"/>
  <c r="CN16" i="71"/>
  <c r="CO16" i="71"/>
  <c r="CP16" i="71"/>
  <c r="CR16" i="71"/>
  <c r="CS16" i="71"/>
  <c r="CU16" i="71"/>
  <c r="CV16" i="71"/>
  <c r="CW16" i="71"/>
  <c r="CX16" i="71"/>
  <c r="CY16" i="71"/>
  <c r="CZ16" i="71"/>
  <c r="DA16" i="71"/>
  <c r="DB16" i="71"/>
  <c r="DC16" i="71"/>
  <c r="DD16" i="71"/>
  <c r="DE16" i="71"/>
  <c r="DF16" i="71"/>
  <c r="DG16" i="71"/>
  <c r="DH16" i="71"/>
  <c r="DI16" i="71"/>
  <c r="DJ16" i="71"/>
  <c r="DK16" i="71"/>
  <c r="DL16" i="71"/>
  <c r="DM16" i="71"/>
  <c r="DN16" i="71"/>
  <c r="DO16" i="71"/>
  <c r="DP16" i="71"/>
  <c r="DQ16" i="71"/>
  <c r="DR16" i="71"/>
  <c r="DS16" i="71"/>
  <c r="DT16" i="71"/>
  <c r="DU16" i="71"/>
  <c r="DV16" i="71"/>
  <c r="DW16" i="71"/>
  <c r="DX16" i="71"/>
  <c r="DY16" i="71"/>
  <c r="DZ16" i="71"/>
  <c r="EA16" i="71"/>
  <c r="EB16" i="71"/>
  <c r="EC16" i="71"/>
  <c r="ED16" i="71"/>
  <c r="EE16" i="71"/>
  <c r="EF16" i="71"/>
  <c r="EG16" i="71"/>
  <c r="EH16" i="71"/>
  <c r="EI16" i="71"/>
  <c r="EJ16" i="71"/>
  <c r="EK16" i="71"/>
  <c r="EL16" i="71"/>
  <c r="EM16" i="71"/>
  <c r="EN16" i="71"/>
  <c r="EO16" i="71"/>
  <c r="EP16" i="71"/>
  <c r="EQ16" i="71"/>
  <c r="ER16" i="71"/>
  <c r="ES16" i="71"/>
  <c r="ET16" i="71"/>
  <c r="EU16" i="71"/>
  <c r="EV16" i="71"/>
  <c r="EW16" i="71"/>
  <c r="EX16" i="71"/>
  <c r="EY16" i="71"/>
  <c r="EZ16" i="71"/>
  <c r="FA16" i="71"/>
  <c r="FB16" i="71"/>
  <c r="FC16" i="71"/>
  <c r="FD16" i="71"/>
  <c r="FE16" i="71"/>
  <c r="FF16" i="71"/>
  <c r="FG16" i="71"/>
  <c r="FH16" i="71"/>
  <c r="FI16" i="71"/>
  <c r="FJ16" i="71"/>
  <c r="FK16" i="71"/>
  <c r="FL16" i="71"/>
  <c r="FM16" i="71"/>
  <c r="FN16" i="71"/>
  <c r="FO16" i="71"/>
  <c r="FP16" i="71"/>
  <c r="FQ16" i="71"/>
  <c r="FR16" i="71"/>
  <c r="FS16" i="71"/>
  <c r="FT16" i="71"/>
  <c r="FU16" i="71"/>
  <c r="FV16" i="71"/>
  <c r="FW16" i="71"/>
  <c r="FX16" i="71"/>
  <c r="FY16" i="71"/>
  <c r="FZ16" i="71"/>
  <c r="GA16" i="71"/>
  <c r="GB16" i="71"/>
  <c r="GC16" i="71"/>
  <c r="GD16" i="71"/>
  <c r="GE16" i="71"/>
  <c r="GF16" i="71"/>
  <c r="GG16" i="71"/>
  <c r="GH16" i="71"/>
  <c r="GI16" i="71"/>
  <c r="GJ16" i="71"/>
  <c r="GK16" i="71"/>
  <c r="GL16" i="71"/>
  <c r="GM16" i="71"/>
  <c r="GN16" i="71"/>
  <c r="GO16" i="71"/>
  <c r="GP16" i="71"/>
  <c r="GQ16" i="71"/>
  <c r="GR16" i="71"/>
  <c r="GS16" i="71"/>
  <c r="GT16" i="71"/>
  <c r="GU16" i="71"/>
  <c r="GV16" i="71"/>
  <c r="GW16" i="71"/>
  <c r="GX16" i="71"/>
  <c r="GY16" i="71"/>
  <c r="GZ16" i="71"/>
  <c r="HA16" i="71"/>
  <c r="HB16" i="71"/>
  <c r="HC16" i="71"/>
  <c r="HD16" i="71"/>
  <c r="HE16" i="71"/>
  <c r="HF16" i="71"/>
  <c r="HG16" i="71"/>
  <c r="HH16" i="71"/>
  <c r="HI16" i="71"/>
  <c r="HJ16" i="71"/>
  <c r="HK16" i="71"/>
  <c r="HL16" i="71"/>
  <c r="HM16" i="71"/>
  <c r="HN16" i="71"/>
  <c r="HO16" i="71"/>
  <c r="HP16" i="71"/>
  <c r="HQ16" i="71"/>
  <c r="HR16" i="71"/>
  <c r="HS16" i="71"/>
  <c r="HT16" i="71"/>
  <c r="HU16" i="71"/>
  <c r="HV16" i="71"/>
  <c r="HW16" i="71"/>
  <c r="HX16" i="71"/>
  <c r="HY16" i="71"/>
  <c r="HZ16" i="71"/>
  <c r="IA16" i="71"/>
  <c r="IB16" i="71"/>
  <c r="IC16" i="71"/>
  <c r="ID16" i="71"/>
  <c r="IE16" i="71"/>
  <c r="IF16" i="71"/>
  <c r="IG16" i="71"/>
  <c r="IH16" i="71"/>
  <c r="II16" i="71"/>
  <c r="IJ16" i="71"/>
  <c r="IK16" i="71"/>
  <c r="IL16" i="71"/>
  <c r="IM16" i="71"/>
  <c r="IN16" i="71"/>
  <c r="IO16" i="71"/>
  <c r="IP16" i="71"/>
  <c r="IQ16" i="71"/>
  <c r="IR16" i="71"/>
  <c r="IS16" i="71"/>
  <c r="IT16" i="71"/>
  <c r="IU16" i="71"/>
  <c r="IV16" i="71"/>
  <c r="IW16" i="71"/>
  <c r="IX16" i="71"/>
  <c r="IY16" i="71"/>
  <c r="IZ16" i="71"/>
  <c r="JA16" i="71"/>
  <c r="JB16" i="71"/>
  <c r="JC16" i="71"/>
  <c r="JD16" i="71"/>
  <c r="JE16" i="71"/>
  <c r="JF16" i="71"/>
  <c r="JG16" i="71"/>
  <c r="JH16" i="71"/>
  <c r="JI16" i="71"/>
  <c r="JJ16" i="71"/>
  <c r="JK16" i="71"/>
  <c r="JL16" i="71"/>
  <c r="JO16" i="71"/>
  <c r="JP16" i="71"/>
  <c r="JR16" i="71"/>
  <c r="JS16" i="71"/>
  <c r="JU16" i="71"/>
  <c r="JV16" i="71"/>
  <c r="JW16" i="71"/>
  <c r="JX16" i="71"/>
  <c r="JY16" i="71"/>
  <c r="JZ16" i="71"/>
  <c r="KA16" i="71"/>
  <c r="KB16" i="71"/>
  <c r="KC16" i="71"/>
  <c r="KD16" i="71"/>
  <c r="KE16" i="71"/>
  <c r="KF16" i="71"/>
  <c r="KG16" i="71"/>
  <c r="KH16" i="71"/>
  <c r="KI16" i="71"/>
  <c r="KJ16" i="71"/>
  <c r="KK16" i="71"/>
  <c r="KL16" i="71"/>
  <c r="KM16" i="71"/>
  <c r="KN16" i="71"/>
  <c r="KO16" i="71"/>
  <c r="KP16" i="71"/>
  <c r="KQ16" i="71"/>
  <c r="KR16" i="71"/>
  <c r="KS16" i="71"/>
  <c r="KT16" i="71"/>
  <c r="KU16" i="71"/>
  <c r="KV16" i="71"/>
  <c r="KW16" i="71"/>
  <c r="KX16" i="71"/>
  <c r="KY16" i="71"/>
  <c r="KZ16" i="71"/>
  <c r="LA16" i="71"/>
  <c r="LB16" i="71"/>
  <c r="LC16" i="71"/>
  <c r="LD16" i="71"/>
  <c r="LE16" i="71"/>
  <c r="LF16" i="71"/>
  <c r="LG16" i="71"/>
  <c r="LH16" i="71"/>
  <c r="LI16" i="71"/>
  <c r="LJ16" i="71"/>
  <c r="LK16" i="71"/>
  <c r="LL16" i="71"/>
  <c r="LM16" i="71"/>
  <c r="LN16" i="71"/>
  <c r="LO16" i="71"/>
  <c r="LP16" i="71"/>
  <c r="LQ16" i="71"/>
  <c r="LR16" i="71"/>
  <c r="LS16" i="71"/>
  <c r="LT16" i="71"/>
  <c r="LU16" i="71"/>
  <c r="LV16" i="71"/>
  <c r="LW16" i="71"/>
  <c r="LX16" i="71"/>
  <c r="LY16" i="71"/>
  <c r="LZ16" i="71"/>
  <c r="MA16" i="71"/>
  <c r="MB16" i="71"/>
  <c r="MC16" i="71"/>
  <c r="LR17" i="67"/>
  <c r="ME16" i="71"/>
  <c r="MF16" i="71"/>
  <c r="MG16" i="71"/>
  <c r="MH16" i="71"/>
  <c r="MI16" i="71"/>
  <c r="MJ16" i="71"/>
  <c r="MK16" i="71"/>
  <c r="ML16" i="71"/>
  <c r="MM16" i="71"/>
  <c r="D13" i="71"/>
  <c r="E13" i="71"/>
  <c r="M13" i="71"/>
  <c r="N13" i="71"/>
  <c r="O13" i="71"/>
  <c r="R13" i="71"/>
  <c r="S13" i="71"/>
  <c r="T13" i="71"/>
  <c r="W13" i="71"/>
  <c r="X13" i="71"/>
  <c r="Y13" i="71"/>
  <c r="Z13" i="71"/>
  <c r="AA13" i="71"/>
  <c r="AB13" i="71"/>
  <c r="AC13" i="71"/>
  <c r="AD13" i="71"/>
  <c r="AE13" i="71"/>
  <c r="AF13" i="71"/>
  <c r="T58" i="67" s="1"/>
  <c r="AG13" i="71"/>
  <c r="U58" i="67" s="1"/>
  <c r="AH13" i="71"/>
  <c r="AI13" i="71"/>
  <c r="AJ13" i="71"/>
  <c r="AK13" i="71"/>
  <c r="AL13" i="71"/>
  <c r="AM13" i="71"/>
  <c r="AN13" i="71"/>
  <c r="AO13" i="71"/>
  <c r="AP13" i="71"/>
  <c r="AQ13" i="71"/>
  <c r="AR13" i="71"/>
  <c r="AS13" i="71"/>
  <c r="AT13" i="71"/>
  <c r="AU13" i="71"/>
  <c r="AV13" i="71"/>
  <c r="AW13" i="71"/>
  <c r="AX13" i="71"/>
  <c r="AY13" i="71"/>
  <c r="AZ13" i="71"/>
  <c r="BA13" i="71"/>
  <c r="BB13" i="71"/>
  <c r="BC13" i="71"/>
  <c r="BD13" i="71"/>
  <c r="BE13" i="71"/>
  <c r="BF13" i="71"/>
  <c r="BG13" i="71"/>
  <c r="BH13" i="71"/>
  <c r="BI13" i="71"/>
  <c r="BJ13" i="71"/>
  <c r="BK13" i="71"/>
  <c r="BL13" i="71"/>
  <c r="BM13" i="71"/>
  <c r="BN13" i="71"/>
  <c r="BO13" i="71"/>
  <c r="BP13" i="71"/>
  <c r="BQ13" i="71"/>
  <c r="BR13" i="71"/>
  <c r="BS13" i="71"/>
  <c r="BT13" i="71"/>
  <c r="BU13" i="71"/>
  <c r="BV13" i="71"/>
  <c r="BW13" i="71"/>
  <c r="BX13" i="71"/>
  <c r="BY13" i="71"/>
  <c r="BZ13" i="71"/>
  <c r="CA13" i="71"/>
  <c r="CB13" i="71"/>
  <c r="CC13" i="71"/>
  <c r="CD13" i="71"/>
  <c r="CE13" i="71"/>
  <c r="CF13" i="71"/>
  <c r="CG13" i="71"/>
  <c r="CH13" i="71"/>
  <c r="CI13" i="71"/>
  <c r="CJ13" i="71"/>
  <c r="CK13" i="71"/>
  <c r="CL13" i="71"/>
  <c r="CM13" i="71"/>
  <c r="CN13" i="71"/>
  <c r="CO13" i="71"/>
  <c r="CP13" i="71"/>
  <c r="CQ13" i="71"/>
  <c r="CR13" i="71"/>
  <c r="CS13" i="71"/>
  <c r="CT13" i="71"/>
  <c r="CU13" i="71"/>
  <c r="CV13" i="71"/>
  <c r="CW13" i="71"/>
  <c r="CX13" i="71"/>
  <c r="CY13" i="71"/>
  <c r="CZ13" i="71"/>
  <c r="DA13" i="71"/>
  <c r="DB13" i="71"/>
  <c r="DC13" i="71"/>
  <c r="DD13" i="71"/>
  <c r="DE13" i="71"/>
  <c r="DF13" i="71"/>
  <c r="DG13" i="71"/>
  <c r="DH13" i="71"/>
  <c r="DI13" i="71"/>
  <c r="DJ13" i="71"/>
  <c r="DK13" i="71"/>
  <c r="DL13" i="71"/>
  <c r="DM13" i="71"/>
  <c r="DN13" i="71"/>
  <c r="DO13" i="71"/>
  <c r="DP13" i="71"/>
  <c r="DQ13" i="71"/>
  <c r="DR13" i="71"/>
  <c r="DS13" i="71"/>
  <c r="DT13" i="71"/>
  <c r="DU13" i="71"/>
  <c r="DV13" i="71"/>
  <c r="DW13" i="71"/>
  <c r="DX13" i="71"/>
  <c r="DY13" i="71"/>
  <c r="DZ13" i="71"/>
  <c r="EA13" i="71"/>
  <c r="EB13" i="71"/>
  <c r="EC13" i="71"/>
  <c r="ED13" i="71"/>
  <c r="EE13" i="71"/>
  <c r="EF13" i="71"/>
  <c r="EG13" i="71"/>
  <c r="EH13" i="71"/>
  <c r="EI13" i="71"/>
  <c r="EJ13" i="71"/>
  <c r="EK13" i="71"/>
  <c r="EL13" i="71"/>
  <c r="EM13" i="71"/>
  <c r="EN13" i="71"/>
  <c r="EO13" i="71"/>
  <c r="EP13" i="71"/>
  <c r="EQ13" i="71"/>
  <c r="ER13" i="71"/>
  <c r="ES13" i="71"/>
  <c r="ET13" i="71"/>
  <c r="EU13" i="71"/>
  <c r="EV13" i="71"/>
  <c r="EW13" i="71"/>
  <c r="EX13" i="71"/>
  <c r="EY13" i="71"/>
  <c r="EZ13" i="71"/>
  <c r="FA13" i="71"/>
  <c r="FB13" i="71"/>
  <c r="FC13" i="71"/>
  <c r="FD13" i="71"/>
  <c r="FE13" i="71"/>
  <c r="FF13" i="71"/>
  <c r="FG13" i="71"/>
  <c r="FH13" i="71"/>
  <c r="FI13" i="71"/>
  <c r="FJ13" i="71"/>
  <c r="FK13" i="71"/>
  <c r="FL13" i="71"/>
  <c r="FM13" i="71"/>
  <c r="FN13" i="71"/>
  <c r="FO13" i="71"/>
  <c r="FP13" i="71"/>
  <c r="FQ13" i="71"/>
  <c r="FR13" i="71"/>
  <c r="FS13" i="71"/>
  <c r="FT13" i="71"/>
  <c r="FU13" i="71"/>
  <c r="FV13" i="71"/>
  <c r="FW13" i="71"/>
  <c r="FX13" i="71"/>
  <c r="FY13" i="71"/>
  <c r="FZ13" i="71"/>
  <c r="GA13" i="71"/>
  <c r="GB13" i="71"/>
  <c r="GC13" i="71"/>
  <c r="GD13" i="71"/>
  <c r="GE13" i="71"/>
  <c r="GF13" i="71"/>
  <c r="GG13" i="71"/>
  <c r="GH13" i="71"/>
  <c r="GI13" i="71"/>
  <c r="GJ13" i="71"/>
  <c r="GK13" i="71"/>
  <c r="GL13" i="71"/>
  <c r="GM13" i="71"/>
  <c r="GN13" i="71"/>
  <c r="GO13" i="71"/>
  <c r="GP13" i="71"/>
  <c r="GQ13" i="71"/>
  <c r="GR13" i="71"/>
  <c r="GS13" i="71"/>
  <c r="GT13" i="71"/>
  <c r="GU13" i="71"/>
  <c r="GV13" i="71"/>
  <c r="GW13" i="71"/>
  <c r="GX13" i="71"/>
  <c r="GY13" i="71"/>
  <c r="GZ13" i="71"/>
  <c r="HA13" i="71"/>
  <c r="HB13" i="71"/>
  <c r="HC13" i="71"/>
  <c r="HD13" i="71"/>
  <c r="HE13" i="71"/>
  <c r="HF13" i="71"/>
  <c r="HG13" i="71"/>
  <c r="HH13" i="71"/>
  <c r="HI13" i="71"/>
  <c r="HJ13" i="71"/>
  <c r="HK13" i="71"/>
  <c r="HL13" i="71"/>
  <c r="HM13" i="71"/>
  <c r="HN13" i="71"/>
  <c r="HO13" i="71"/>
  <c r="HP13" i="71"/>
  <c r="HQ13" i="71"/>
  <c r="HR13" i="71"/>
  <c r="HS13" i="71"/>
  <c r="HG58" i="67" s="1"/>
  <c r="HT13" i="71"/>
  <c r="HU13" i="71"/>
  <c r="HV13" i="71"/>
  <c r="HW13" i="71"/>
  <c r="HX13" i="71"/>
  <c r="HY13" i="71"/>
  <c r="HZ13" i="71"/>
  <c r="IA13" i="71"/>
  <c r="IB13" i="71"/>
  <c r="IC13" i="71"/>
  <c r="ID13" i="71"/>
  <c r="IE13" i="71"/>
  <c r="IF13" i="71"/>
  <c r="IG13" i="71"/>
  <c r="IH13" i="71"/>
  <c r="II13" i="71"/>
  <c r="IJ13" i="71"/>
  <c r="IK13" i="71"/>
  <c r="IL13" i="71"/>
  <c r="IM13" i="71"/>
  <c r="IN13" i="71"/>
  <c r="IO13" i="71"/>
  <c r="IP13" i="71"/>
  <c r="IQ13" i="71"/>
  <c r="IR13" i="71"/>
  <c r="IS13" i="71"/>
  <c r="IT13" i="71"/>
  <c r="IU13" i="71"/>
  <c r="IV13" i="71"/>
  <c r="IW13" i="71"/>
  <c r="IX13" i="71"/>
  <c r="IY13" i="71"/>
  <c r="IZ13" i="71"/>
  <c r="JA13" i="71"/>
  <c r="JB13" i="71"/>
  <c r="JC13" i="71"/>
  <c r="JD13" i="71"/>
  <c r="JE13" i="71"/>
  <c r="JF13" i="71"/>
  <c r="JG13" i="71"/>
  <c r="JH13" i="71"/>
  <c r="JI13" i="71"/>
  <c r="JJ13" i="71"/>
  <c r="JK13" i="71"/>
  <c r="JL13" i="71"/>
  <c r="JM13" i="71"/>
  <c r="JN13" i="71"/>
  <c r="JO13" i="71"/>
  <c r="JP13" i="71"/>
  <c r="JQ13" i="71"/>
  <c r="JR13" i="71"/>
  <c r="JS13" i="71"/>
  <c r="JT13" i="71"/>
  <c r="JU13" i="71"/>
  <c r="JV13" i="71"/>
  <c r="JW13" i="71"/>
  <c r="JX13" i="71"/>
  <c r="JY13" i="71"/>
  <c r="JZ13" i="71"/>
  <c r="KA13" i="71"/>
  <c r="KB13" i="71"/>
  <c r="KC13" i="71"/>
  <c r="KD13" i="71"/>
  <c r="KE13" i="71"/>
  <c r="KF13" i="71"/>
  <c r="KG13" i="71"/>
  <c r="KH13" i="71"/>
  <c r="KI13" i="71"/>
  <c r="KJ13" i="71"/>
  <c r="KK13" i="71"/>
  <c r="KL13" i="71"/>
  <c r="KM13" i="71"/>
  <c r="KN13" i="71"/>
  <c r="KO13" i="71"/>
  <c r="KP13" i="71"/>
  <c r="KQ13" i="71"/>
  <c r="KR13" i="71"/>
  <c r="KS13" i="71"/>
  <c r="KT13" i="71"/>
  <c r="KU13" i="71"/>
  <c r="KV13" i="71"/>
  <c r="KW13" i="71"/>
  <c r="KX13" i="71"/>
  <c r="KY13" i="71"/>
  <c r="KZ13" i="71"/>
  <c r="LA13" i="71"/>
  <c r="LB13" i="71"/>
  <c r="LC13" i="71"/>
  <c r="LD13" i="71"/>
  <c r="LE13" i="71"/>
  <c r="LF13" i="71"/>
  <c r="LG13" i="71"/>
  <c r="LH13" i="71"/>
  <c r="LI13" i="71"/>
  <c r="LJ13" i="71"/>
  <c r="LK13" i="71"/>
  <c r="LL13" i="71"/>
  <c r="LM13" i="71"/>
  <c r="LN13" i="71"/>
  <c r="LO13" i="71"/>
  <c r="LP13" i="71"/>
  <c r="LQ13" i="71"/>
  <c r="LR13" i="71"/>
  <c r="LS13" i="71"/>
  <c r="LT13" i="71"/>
  <c r="LU13" i="71"/>
  <c r="LV13" i="71"/>
  <c r="LW13" i="71"/>
  <c r="LX13" i="71"/>
  <c r="LY13" i="71"/>
  <c r="LZ13" i="71"/>
  <c r="MA13" i="71"/>
  <c r="MB13" i="71"/>
  <c r="MC13" i="71"/>
  <c r="MD13" i="71"/>
  <c r="LR58" i="67" s="1"/>
  <c r="ME13" i="71"/>
  <c r="MF13" i="71"/>
  <c r="MG13" i="71"/>
  <c r="MH13" i="71"/>
  <c r="MI13" i="71"/>
  <c r="MJ13" i="71"/>
  <c r="MK13" i="71"/>
  <c r="ML13" i="71"/>
  <c r="MM13" i="71"/>
  <c r="GN48" i="67"/>
  <c r="GO48" i="67"/>
  <c r="GP48" i="67"/>
  <c r="GQ48" i="67"/>
  <c r="GR48" i="67"/>
  <c r="GS48" i="67"/>
  <c r="GT48" i="67"/>
  <c r="GU48" i="67"/>
  <c r="GV48" i="67"/>
  <c r="GW48" i="67"/>
  <c r="GX48" i="67"/>
  <c r="GZ48" i="67"/>
  <c r="HA48" i="67"/>
  <c r="HB48" i="67"/>
  <c r="HC48" i="67"/>
  <c r="HD48" i="67"/>
  <c r="HE48" i="67"/>
  <c r="HF48" i="67"/>
  <c r="IO48" i="67"/>
  <c r="IQ48" i="67"/>
  <c r="IR48" i="67"/>
  <c r="IS48" i="67"/>
  <c r="IT48" i="67"/>
  <c r="IU48" i="67"/>
  <c r="IV48" i="67"/>
  <c r="IW48" i="67"/>
  <c r="IY48" i="67"/>
  <c r="D26" i="71"/>
  <c r="E26" i="71"/>
  <c r="M26" i="71"/>
  <c r="N26" i="71"/>
  <c r="O26" i="71"/>
  <c r="R26" i="71"/>
  <c r="S26" i="71"/>
  <c r="T26" i="71"/>
  <c r="U26" i="71"/>
  <c r="V26" i="71"/>
  <c r="W26" i="71"/>
  <c r="X26" i="71"/>
  <c r="Y26" i="71"/>
  <c r="Z26" i="71"/>
  <c r="AA26" i="71"/>
  <c r="AB26" i="71"/>
  <c r="AC26" i="71"/>
  <c r="AD26" i="71"/>
  <c r="AE26" i="71"/>
  <c r="AH26" i="71"/>
  <c r="AI26" i="71"/>
  <c r="AJ26" i="71"/>
  <c r="AK26" i="71"/>
  <c r="AL26" i="71"/>
  <c r="AM26" i="71"/>
  <c r="AN26" i="71"/>
  <c r="AO26" i="71"/>
  <c r="AP26" i="71"/>
  <c r="AQ26" i="71"/>
  <c r="AR26" i="71"/>
  <c r="AS26" i="71"/>
  <c r="AT26" i="71"/>
  <c r="AU26" i="71"/>
  <c r="AV26" i="71"/>
  <c r="AW26" i="71"/>
  <c r="AX26" i="71"/>
  <c r="AY26" i="71"/>
  <c r="AZ26" i="71"/>
  <c r="BA26" i="71"/>
  <c r="BB26" i="71"/>
  <c r="BC26" i="71"/>
  <c r="BD26" i="71"/>
  <c r="BE26" i="71"/>
  <c r="BF26" i="71"/>
  <c r="BG26" i="71"/>
  <c r="BH26" i="71"/>
  <c r="BI26" i="71"/>
  <c r="BJ26" i="71"/>
  <c r="BK26" i="71"/>
  <c r="BL26" i="71"/>
  <c r="BM26" i="71"/>
  <c r="BN26" i="71"/>
  <c r="BO26" i="71"/>
  <c r="BP26" i="71"/>
  <c r="BQ26" i="71"/>
  <c r="BR26" i="71"/>
  <c r="BS26" i="71"/>
  <c r="BT26" i="71"/>
  <c r="BU26" i="71"/>
  <c r="BV26" i="71"/>
  <c r="BW26" i="71"/>
  <c r="BX26" i="71"/>
  <c r="BY26" i="71"/>
  <c r="BZ26" i="71"/>
  <c r="CA26" i="71"/>
  <c r="CB26" i="71"/>
  <c r="CC26" i="71"/>
  <c r="CD26" i="71"/>
  <c r="CE26" i="71"/>
  <c r="CF26" i="71"/>
  <c r="CG26" i="71"/>
  <c r="CH26" i="71"/>
  <c r="CI26" i="71"/>
  <c r="CJ26" i="71"/>
  <c r="CK26" i="71"/>
  <c r="CL26" i="71"/>
  <c r="CM26" i="71"/>
  <c r="CN26" i="71"/>
  <c r="CO26" i="71"/>
  <c r="CP26" i="71"/>
  <c r="CQ26" i="71"/>
  <c r="CR26" i="71"/>
  <c r="CS26" i="71"/>
  <c r="CT26" i="71"/>
  <c r="CU26" i="71"/>
  <c r="CV26" i="71"/>
  <c r="CW26" i="71"/>
  <c r="CX26" i="71"/>
  <c r="CY26" i="71"/>
  <c r="CZ26" i="71"/>
  <c r="DA26" i="71"/>
  <c r="DB26" i="71"/>
  <c r="DC26" i="71"/>
  <c r="DD26" i="71"/>
  <c r="DE26" i="71"/>
  <c r="DF26" i="71"/>
  <c r="DG26" i="71"/>
  <c r="DH26" i="71"/>
  <c r="DI26" i="71"/>
  <c r="DJ26" i="71"/>
  <c r="DK26" i="71"/>
  <c r="DL26" i="71"/>
  <c r="DM26" i="71"/>
  <c r="DN26" i="71"/>
  <c r="DO26" i="71"/>
  <c r="DP26" i="71"/>
  <c r="DQ26" i="71"/>
  <c r="DR26" i="71"/>
  <c r="DS26" i="71"/>
  <c r="DT26" i="71"/>
  <c r="DU26" i="71"/>
  <c r="DV26" i="71"/>
  <c r="DW26" i="71"/>
  <c r="DX26" i="71"/>
  <c r="DY26" i="71"/>
  <c r="DZ26" i="71"/>
  <c r="EA26" i="71"/>
  <c r="EB26" i="71"/>
  <c r="EC26" i="71"/>
  <c r="ED26" i="71"/>
  <c r="EE26" i="71"/>
  <c r="EF26" i="71"/>
  <c r="EG26" i="71"/>
  <c r="EH26" i="71"/>
  <c r="EI26" i="71"/>
  <c r="EJ26" i="71"/>
  <c r="EK26" i="71"/>
  <c r="EL26" i="71"/>
  <c r="EM26" i="71"/>
  <c r="EN26" i="71"/>
  <c r="EO26" i="71"/>
  <c r="EP26" i="71"/>
  <c r="EQ26" i="71"/>
  <c r="ER26" i="71"/>
  <c r="ES26" i="71"/>
  <c r="ET26" i="71"/>
  <c r="EU26" i="71"/>
  <c r="EV26" i="71"/>
  <c r="EW26" i="71"/>
  <c r="EX26" i="71"/>
  <c r="EY26" i="71"/>
  <c r="EZ26" i="71"/>
  <c r="FA26" i="71"/>
  <c r="FB26" i="71"/>
  <c r="FC26" i="71"/>
  <c r="FD26" i="71"/>
  <c r="FE26" i="71"/>
  <c r="FF26" i="71"/>
  <c r="FG26" i="71"/>
  <c r="FH26" i="71"/>
  <c r="FI26" i="71"/>
  <c r="FJ26" i="71"/>
  <c r="FK26" i="71"/>
  <c r="FL26" i="71"/>
  <c r="FM26" i="71"/>
  <c r="FN26" i="71"/>
  <c r="FO26" i="71"/>
  <c r="FP26" i="71"/>
  <c r="FQ26" i="71"/>
  <c r="FR26" i="71"/>
  <c r="FS26" i="71"/>
  <c r="FT26" i="71"/>
  <c r="FU26" i="71"/>
  <c r="FV26" i="71"/>
  <c r="FW26" i="71"/>
  <c r="FX26" i="71"/>
  <c r="FY26" i="71"/>
  <c r="FZ26" i="71"/>
  <c r="GA26" i="71"/>
  <c r="GB26" i="71"/>
  <c r="GC26" i="71"/>
  <c r="GD26" i="71"/>
  <c r="GE26" i="71"/>
  <c r="GF26" i="71"/>
  <c r="GG26" i="71"/>
  <c r="GH26" i="71"/>
  <c r="GI26" i="71"/>
  <c r="GJ26" i="71"/>
  <c r="GK26" i="71"/>
  <c r="GL26" i="71"/>
  <c r="GM26" i="71"/>
  <c r="GN26" i="71"/>
  <c r="GO26" i="71"/>
  <c r="GP26" i="71"/>
  <c r="GQ26" i="71"/>
  <c r="GR26" i="71"/>
  <c r="GS26" i="71"/>
  <c r="GT26" i="71"/>
  <c r="GU26" i="71"/>
  <c r="GV26" i="71"/>
  <c r="GW26" i="71"/>
  <c r="GX26" i="71"/>
  <c r="GY26" i="71"/>
  <c r="GZ26" i="71"/>
  <c r="HA26" i="71"/>
  <c r="HB26" i="71"/>
  <c r="HC26" i="71"/>
  <c r="HD26" i="71"/>
  <c r="HE26" i="71"/>
  <c r="HF26" i="71"/>
  <c r="HG26" i="71"/>
  <c r="HH26" i="71"/>
  <c r="HI26" i="71"/>
  <c r="HJ26" i="71"/>
  <c r="HK26" i="71"/>
  <c r="HL26" i="71"/>
  <c r="GZ66" i="67" s="1"/>
  <c r="HM26" i="71"/>
  <c r="HA66" i="67" s="1"/>
  <c r="HN26" i="71"/>
  <c r="HB66" i="67" s="1"/>
  <c r="HO26" i="71"/>
  <c r="HC66" i="67" s="1"/>
  <c r="HP26" i="71"/>
  <c r="HD66" i="67" s="1"/>
  <c r="HQ26" i="71"/>
  <c r="HE66" i="67" s="1"/>
  <c r="HR26" i="71"/>
  <c r="HF66" i="67" s="1"/>
  <c r="HS26" i="71"/>
  <c r="HT26" i="71"/>
  <c r="HU26" i="71"/>
  <c r="HV26" i="71"/>
  <c r="HW26" i="71"/>
  <c r="HX26" i="71"/>
  <c r="HY26" i="71"/>
  <c r="HZ26" i="71"/>
  <c r="IA26" i="71"/>
  <c r="IB26" i="71"/>
  <c r="IC26" i="71"/>
  <c r="ID26" i="71"/>
  <c r="IE26" i="71"/>
  <c r="IF26" i="71"/>
  <c r="IG26" i="71"/>
  <c r="IH26" i="71"/>
  <c r="II26" i="71"/>
  <c r="IJ26" i="71"/>
  <c r="IK26" i="71"/>
  <c r="IL26" i="71"/>
  <c r="IM26" i="71"/>
  <c r="IN26" i="71"/>
  <c r="IO26" i="71"/>
  <c r="IP26" i="71"/>
  <c r="IQ26" i="71"/>
  <c r="IR26" i="71"/>
  <c r="IS26" i="71"/>
  <c r="IT26" i="71"/>
  <c r="IU26" i="71"/>
  <c r="IV26" i="71"/>
  <c r="IW26" i="71"/>
  <c r="IX26" i="71"/>
  <c r="IY26" i="71"/>
  <c r="IZ26" i="71"/>
  <c r="JA26" i="71"/>
  <c r="JB26" i="71"/>
  <c r="JC26" i="71"/>
  <c r="JD26" i="71"/>
  <c r="JE26" i="71"/>
  <c r="JF26" i="71"/>
  <c r="JG26" i="71"/>
  <c r="JH26" i="71"/>
  <c r="JI26" i="71"/>
  <c r="JJ26" i="71"/>
  <c r="JK26" i="71"/>
  <c r="JL26" i="71"/>
  <c r="JM26" i="71"/>
  <c r="JN26" i="71"/>
  <c r="JO26" i="71"/>
  <c r="JP26" i="71"/>
  <c r="JQ26" i="71"/>
  <c r="JR26" i="71"/>
  <c r="JS26" i="71"/>
  <c r="JT26" i="71"/>
  <c r="JU26" i="71"/>
  <c r="JV26" i="71"/>
  <c r="JW26" i="71"/>
  <c r="JX26" i="71"/>
  <c r="JY26" i="71"/>
  <c r="JZ26" i="71"/>
  <c r="KA26" i="71"/>
  <c r="KB26" i="71"/>
  <c r="KC26" i="71"/>
  <c r="KD26" i="71"/>
  <c r="KE26" i="71"/>
  <c r="KF26" i="71"/>
  <c r="KG26" i="71"/>
  <c r="KH26" i="71"/>
  <c r="KI26" i="71"/>
  <c r="KJ26" i="71"/>
  <c r="KK26" i="71"/>
  <c r="KL26" i="71"/>
  <c r="KM26" i="71"/>
  <c r="KN26" i="71"/>
  <c r="KO26" i="71"/>
  <c r="KP26" i="71"/>
  <c r="KQ26" i="71"/>
  <c r="KR26" i="71"/>
  <c r="KS26" i="71"/>
  <c r="KT26" i="71"/>
  <c r="KU26" i="71"/>
  <c r="KV26" i="71"/>
  <c r="KW26" i="71"/>
  <c r="KX26" i="71"/>
  <c r="KY26" i="71"/>
  <c r="KZ26" i="71"/>
  <c r="LA26" i="71"/>
  <c r="LB26" i="71"/>
  <c r="LC26" i="71"/>
  <c r="LD26" i="71"/>
  <c r="LE26" i="71"/>
  <c r="LF26" i="71"/>
  <c r="LG26" i="71"/>
  <c r="LH26" i="71"/>
  <c r="LI26" i="71"/>
  <c r="LJ26" i="71"/>
  <c r="LK26" i="71"/>
  <c r="LL26" i="71"/>
  <c r="LM26" i="71"/>
  <c r="LN26" i="71"/>
  <c r="LO26" i="71"/>
  <c r="LP26" i="71"/>
  <c r="LQ26" i="71"/>
  <c r="LR26" i="71"/>
  <c r="LS26" i="71"/>
  <c r="LT26" i="71"/>
  <c r="LU26" i="71"/>
  <c r="LV26" i="71"/>
  <c r="LW26" i="71"/>
  <c r="LX26" i="71"/>
  <c r="LY26" i="71"/>
  <c r="LZ26" i="71"/>
  <c r="MA26" i="71"/>
  <c r="MB26" i="71"/>
  <c r="MC26" i="71"/>
  <c r="MD26" i="71"/>
  <c r="ME26" i="71"/>
  <c r="MF26" i="71"/>
  <c r="MG26" i="71"/>
  <c r="MH26" i="71"/>
  <c r="MI26" i="71"/>
  <c r="MJ26" i="71"/>
  <c r="MK26" i="71"/>
  <c r="ML26" i="71"/>
  <c r="MM26" i="71"/>
  <c r="D21" i="71"/>
  <c r="E21" i="71"/>
  <c r="M21" i="71"/>
  <c r="N21" i="71"/>
  <c r="O21" i="71"/>
  <c r="R21" i="71"/>
  <c r="S21" i="71"/>
  <c r="T21" i="71"/>
  <c r="W21" i="71"/>
  <c r="X21" i="71"/>
  <c r="Y21" i="71"/>
  <c r="Z21" i="71"/>
  <c r="AA21" i="71"/>
  <c r="AB21" i="71"/>
  <c r="AC21" i="71"/>
  <c r="AD21" i="71"/>
  <c r="AE21" i="71"/>
  <c r="AH21" i="71"/>
  <c r="AI21" i="71"/>
  <c r="AJ21" i="71"/>
  <c r="AK21" i="71"/>
  <c r="AL21" i="71"/>
  <c r="AM21" i="71"/>
  <c r="AN21" i="71"/>
  <c r="AO21" i="71"/>
  <c r="AP21" i="71"/>
  <c r="AQ21" i="71"/>
  <c r="AR21" i="71"/>
  <c r="AS21" i="71"/>
  <c r="AT21" i="71"/>
  <c r="AU21" i="71"/>
  <c r="AV21" i="71"/>
  <c r="AW21" i="71"/>
  <c r="AX21" i="71"/>
  <c r="AY21" i="71"/>
  <c r="AZ21" i="71"/>
  <c r="BA21" i="71"/>
  <c r="BB21" i="71"/>
  <c r="BC21" i="71"/>
  <c r="BD21" i="71"/>
  <c r="BE21" i="71"/>
  <c r="BF21" i="71"/>
  <c r="BG21" i="71"/>
  <c r="BH21" i="71"/>
  <c r="BI21" i="71"/>
  <c r="BJ21" i="71"/>
  <c r="BK21" i="71"/>
  <c r="BL21" i="71"/>
  <c r="BM21" i="71"/>
  <c r="BN21" i="71"/>
  <c r="BO21" i="71"/>
  <c r="BP21" i="71"/>
  <c r="BQ21" i="71"/>
  <c r="BR21" i="71"/>
  <c r="BS21" i="71"/>
  <c r="BT21" i="71"/>
  <c r="BU21" i="71"/>
  <c r="BV21" i="71"/>
  <c r="BW21" i="71"/>
  <c r="BX21" i="71"/>
  <c r="BY21" i="71"/>
  <c r="BZ21" i="71"/>
  <c r="CA21" i="71"/>
  <c r="CB21" i="71"/>
  <c r="CC21" i="71"/>
  <c r="CD21" i="71"/>
  <c r="CE21" i="71"/>
  <c r="CF21" i="71"/>
  <c r="CG21" i="71"/>
  <c r="CH21" i="71"/>
  <c r="CI21" i="71"/>
  <c r="CJ21" i="71"/>
  <c r="CK21" i="71"/>
  <c r="CL21" i="71"/>
  <c r="CM21" i="71"/>
  <c r="CN21" i="71"/>
  <c r="CO21" i="71"/>
  <c r="CP21" i="71"/>
  <c r="CQ21" i="71"/>
  <c r="CR21" i="71"/>
  <c r="CS21" i="71"/>
  <c r="CT21" i="71"/>
  <c r="CU21" i="71"/>
  <c r="CV21" i="71"/>
  <c r="CW21" i="71"/>
  <c r="CX21" i="71"/>
  <c r="CY21" i="71"/>
  <c r="CZ21" i="71"/>
  <c r="DA21" i="71"/>
  <c r="DB21" i="71"/>
  <c r="DC21" i="71"/>
  <c r="DD21" i="71"/>
  <c r="DE21" i="71"/>
  <c r="DF21" i="71"/>
  <c r="DG21" i="71"/>
  <c r="DH21" i="71"/>
  <c r="DI21" i="71"/>
  <c r="DJ21" i="71"/>
  <c r="DK21" i="71"/>
  <c r="DL21" i="71"/>
  <c r="DM21" i="71"/>
  <c r="DN21" i="71"/>
  <c r="DO21" i="71"/>
  <c r="DP21" i="71"/>
  <c r="DQ21" i="71"/>
  <c r="DR21" i="71"/>
  <c r="DS21" i="71"/>
  <c r="DT21" i="71"/>
  <c r="DU21" i="71"/>
  <c r="DV21" i="71"/>
  <c r="DW21" i="71"/>
  <c r="DX21" i="71"/>
  <c r="DY21" i="71"/>
  <c r="DZ21" i="71"/>
  <c r="EA21" i="71"/>
  <c r="EB21" i="71"/>
  <c r="EC21" i="71"/>
  <c r="ED21" i="71"/>
  <c r="EE21" i="71"/>
  <c r="EF21" i="71"/>
  <c r="EG21" i="71"/>
  <c r="EH21" i="71"/>
  <c r="EI21" i="71"/>
  <c r="EJ21" i="71"/>
  <c r="EK21" i="71"/>
  <c r="EL21" i="71"/>
  <c r="EM21" i="71"/>
  <c r="EN21" i="71"/>
  <c r="EO21" i="71"/>
  <c r="EP21" i="71"/>
  <c r="EQ21" i="71"/>
  <c r="ER21" i="71"/>
  <c r="ES21" i="71"/>
  <c r="ET21" i="71"/>
  <c r="EU21" i="71"/>
  <c r="EV21" i="71"/>
  <c r="EW21" i="71"/>
  <c r="EX21" i="71"/>
  <c r="EY21" i="71"/>
  <c r="EZ21" i="71"/>
  <c r="FA21" i="71"/>
  <c r="FB21" i="71"/>
  <c r="FC21" i="71"/>
  <c r="FD21" i="71"/>
  <c r="FE21" i="71"/>
  <c r="FF21" i="71"/>
  <c r="FG21" i="71"/>
  <c r="FH21" i="71"/>
  <c r="FI21" i="71"/>
  <c r="FJ21" i="71"/>
  <c r="FK21" i="71"/>
  <c r="FL21" i="71"/>
  <c r="FM21" i="71"/>
  <c r="FN21" i="71"/>
  <c r="FO21" i="71"/>
  <c r="FP21" i="71"/>
  <c r="FQ21" i="71"/>
  <c r="FR21" i="71"/>
  <c r="FS21" i="71"/>
  <c r="FT21" i="71"/>
  <c r="FU21" i="71"/>
  <c r="FV21" i="71"/>
  <c r="FW21" i="71"/>
  <c r="FX21" i="71"/>
  <c r="FY21" i="71"/>
  <c r="FZ21" i="71"/>
  <c r="GA21" i="71"/>
  <c r="GB21" i="71"/>
  <c r="GC21" i="71"/>
  <c r="GD21" i="71"/>
  <c r="GE21" i="71"/>
  <c r="GF21" i="71"/>
  <c r="GG21" i="71"/>
  <c r="GH21" i="71"/>
  <c r="GI21" i="71"/>
  <c r="GJ21" i="71"/>
  <c r="GK21" i="71"/>
  <c r="GL21" i="71"/>
  <c r="GM21" i="71"/>
  <c r="GN21" i="71"/>
  <c r="GO21" i="71"/>
  <c r="GP21" i="71"/>
  <c r="GQ21" i="71"/>
  <c r="GR21" i="71"/>
  <c r="GS21" i="71"/>
  <c r="GT21" i="71"/>
  <c r="GU21" i="71"/>
  <c r="GV21" i="71"/>
  <c r="GW21" i="71"/>
  <c r="GX21" i="71"/>
  <c r="GY21" i="71"/>
  <c r="GZ21" i="71"/>
  <c r="HA21" i="71"/>
  <c r="HB21" i="71"/>
  <c r="HC21" i="71"/>
  <c r="HD21" i="71"/>
  <c r="HE21" i="71"/>
  <c r="HF21" i="71"/>
  <c r="HG21" i="71"/>
  <c r="HH21" i="71"/>
  <c r="HI21" i="71"/>
  <c r="HJ21" i="71"/>
  <c r="HK21" i="71"/>
  <c r="HL21" i="71"/>
  <c r="HM21" i="71"/>
  <c r="HN21" i="71"/>
  <c r="HO21" i="71"/>
  <c r="HP21" i="71"/>
  <c r="HQ21" i="71"/>
  <c r="HR21" i="71"/>
  <c r="HS21" i="71"/>
  <c r="HT21" i="71"/>
  <c r="HU21" i="71"/>
  <c r="HV21" i="71"/>
  <c r="HW21" i="71"/>
  <c r="HX21" i="71"/>
  <c r="HY21" i="71"/>
  <c r="HZ21" i="71"/>
  <c r="IA21" i="71"/>
  <c r="IB21" i="71"/>
  <c r="IC21" i="71"/>
  <c r="ID21" i="71"/>
  <c r="IE21" i="71"/>
  <c r="IF21" i="71"/>
  <c r="IG21" i="71"/>
  <c r="IH21" i="71"/>
  <c r="II21" i="71"/>
  <c r="IJ21" i="71"/>
  <c r="IK21" i="71"/>
  <c r="IL21" i="71"/>
  <c r="IM21" i="71"/>
  <c r="IN21" i="71"/>
  <c r="IO21" i="71"/>
  <c r="IP21" i="71"/>
  <c r="IQ21" i="71"/>
  <c r="IR21" i="71"/>
  <c r="IS21" i="71"/>
  <c r="IT21" i="71"/>
  <c r="IU21" i="71"/>
  <c r="IV21" i="71"/>
  <c r="IW21" i="71"/>
  <c r="IX21" i="71"/>
  <c r="IY21" i="71"/>
  <c r="IZ21" i="71"/>
  <c r="JA21" i="71"/>
  <c r="JB21" i="71"/>
  <c r="JC21" i="71"/>
  <c r="JD21" i="71"/>
  <c r="JE21" i="71"/>
  <c r="JF21" i="71"/>
  <c r="JG21" i="71"/>
  <c r="JH21" i="71"/>
  <c r="JI21" i="71"/>
  <c r="JJ21" i="71"/>
  <c r="JK21" i="71"/>
  <c r="JL21" i="71"/>
  <c r="JM21" i="71"/>
  <c r="JN21" i="71"/>
  <c r="JO21" i="71"/>
  <c r="JP21" i="71"/>
  <c r="JQ21" i="71"/>
  <c r="JR21" i="71"/>
  <c r="JS21" i="71"/>
  <c r="JT21" i="71"/>
  <c r="JU21" i="71"/>
  <c r="JV21" i="71"/>
  <c r="JW21" i="71"/>
  <c r="JX21" i="71"/>
  <c r="JY21" i="71"/>
  <c r="JZ21" i="71"/>
  <c r="KA21" i="71"/>
  <c r="KB21" i="71"/>
  <c r="KC21" i="71"/>
  <c r="KD21" i="71"/>
  <c r="KE21" i="71"/>
  <c r="KF21" i="71"/>
  <c r="KG21" i="71"/>
  <c r="KH21" i="71"/>
  <c r="KI21" i="71"/>
  <c r="KJ21" i="71"/>
  <c r="KK21" i="71"/>
  <c r="KL21" i="71"/>
  <c r="KM21" i="71"/>
  <c r="KN21" i="71"/>
  <c r="KO21" i="71"/>
  <c r="KP21" i="71"/>
  <c r="KQ21" i="71"/>
  <c r="KR21" i="71"/>
  <c r="KS21" i="71"/>
  <c r="KT21" i="71"/>
  <c r="KU21" i="71"/>
  <c r="KV21" i="71"/>
  <c r="KW21" i="71"/>
  <c r="KX21" i="71"/>
  <c r="KY21" i="71"/>
  <c r="KZ21" i="71"/>
  <c r="LA21" i="71"/>
  <c r="LB21" i="71"/>
  <c r="LC21" i="71"/>
  <c r="LD21" i="71"/>
  <c r="LE21" i="71"/>
  <c r="LF21" i="71"/>
  <c r="LG21" i="71"/>
  <c r="LH21" i="71"/>
  <c r="LI21" i="71"/>
  <c r="LJ21" i="71"/>
  <c r="LK21" i="71"/>
  <c r="LL21" i="71"/>
  <c r="LM21" i="71"/>
  <c r="LN21" i="71"/>
  <c r="LO21" i="71"/>
  <c r="LP21" i="71"/>
  <c r="LQ21" i="71"/>
  <c r="LR21" i="71"/>
  <c r="LS21" i="71"/>
  <c r="LT21" i="71"/>
  <c r="LU21" i="71"/>
  <c r="LV21" i="71"/>
  <c r="LW21" i="71"/>
  <c r="LX21" i="71"/>
  <c r="LY21" i="71"/>
  <c r="LZ21" i="71"/>
  <c r="MA21" i="71"/>
  <c r="MB21" i="71"/>
  <c r="MC21" i="71"/>
  <c r="MD21" i="71"/>
  <c r="ME21" i="71"/>
  <c r="MF21" i="71"/>
  <c r="MG21" i="71"/>
  <c r="MH21" i="71"/>
  <c r="MI21" i="71"/>
  <c r="MJ21" i="71"/>
  <c r="MK21" i="71"/>
  <c r="ML21" i="71"/>
  <c r="D25" i="71"/>
  <c r="E25" i="71"/>
  <c r="M25" i="71"/>
  <c r="N25" i="71"/>
  <c r="O25" i="71"/>
  <c r="R25" i="71"/>
  <c r="S25" i="71"/>
  <c r="T25" i="71"/>
  <c r="V25" i="71"/>
  <c r="J10" i="67" s="1"/>
  <c r="W25" i="71"/>
  <c r="X25" i="71"/>
  <c r="Y25" i="71"/>
  <c r="Z25" i="71"/>
  <c r="AA25" i="71"/>
  <c r="AB25" i="71"/>
  <c r="AC25" i="71"/>
  <c r="AD25" i="71"/>
  <c r="AE25" i="71"/>
  <c r="AF25" i="71"/>
  <c r="AG25" i="71"/>
  <c r="AH25" i="71"/>
  <c r="AI25" i="71"/>
  <c r="AJ25" i="71"/>
  <c r="AK25" i="71"/>
  <c r="AL25" i="71"/>
  <c r="AM25" i="71"/>
  <c r="AN25" i="71"/>
  <c r="AO25" i="71"/>
  <c r="AP25" i="71"/>
  <c r="AQ25" i="71"/>
  <c r="AR25" i="71"/>
  <c r="AS25" i="71"/>
  <c r="AT25" i="71"/>
  <c r="AU25" i="71"/>
  <c r="AV25" i="71"/>
  <c r="AW25" i="71"/>
  <c r="AX25" i="71"/>
  <c r="AY25" i="71"/>
  <c r="AZ25" i="71"/>
  <c r="BA25" i="71"/>
  <c r="BB25" i="71"/>
  <c r="BC25" i="71"/>
  <c r="BD25" i="71"/>
  <c r="BE25" i="71"/>
  <c r="BF25" i="71"/>
  <c r="BG25" i="71"/>
  <c r="BH25" i="71"/>
  <c r="BI25" i="71"/>
  <c r="BJ25" i="71"/>
  <c r="BK25" i="71"/>
  <c r="BL25" i="71"/>
  <c r="BM25" i="71"/>
  <c r="BN25" i="71"/>
  <c r="BO25" i="71"/>
  <c r="BP25" i="71"/>
  <c r="BQ25" i="71"/>
  <c r="BR25" i="71"/>
  <c r="BS25" i="71"/>
  <c r="BT25" i="71"/>
  <c r="BU25" i="71"/>
  <c r="BV25" i="71"/>
  <c r="BW25" i="71"/>
  <c r="BX25" i="71"/>
  <c r="BY25" i="71"/>
  <c r="BZ25" i="71"/>
  <c r="CA25" i="71"/>
  <c r="CB25" i="71"/>
  <c r="CC25" i="71"/>
  <c r="CD25" i="71"/>
  <c r="CE25" i="71"/>
  <c r="CF25" i="71"/>
  <c r="CG25" i="71"/>
  <c r="CH25" i="71"/>
  <c r="CI25" i="71"/>
  <c r="CJ25" i="71"/>
  <c r="CK25" i="71"/>
  <c r="CL25" i="71"/>
  <c r="CM25" i="71"/>
  <c r="CN25" i="71"/>
  <c r="CO25" i="71"/>
  <c r="CP25" i="71"/>
  <c r="CQ25" i="71"/>
  <c r="CR25" i="71"/>
  <c r="CS25" i="71"/>
  <c r="CT25" i="71"/>
  <c r="CU25" i="71"/>
  <c r="CV25" i="71"/>
  <c r="CW25" i="71"/>
  <c r="CX25" i="71"/>
  <c r="CY25" i="71"/>
  <c r="CZ25" i="71"/>
  <c r="DA25" i="71"/>
  <c r="DB25" i="71"/>
  <c r="DC25" i="71"/>
  <c r="DD25" i="71"/>
  <c r="DE25" i="71"/>
  <c r="DF25" i="71"/>
  <c r="DG25" i="71"/>
  <c r="DH25" i="71"/>
  <c r="DI25" i="71"/>
  <c r="DJ25" i="71"/>
  <c r="DK25" i="71"/>
  <c r="DL25" i="71"/>
  <c r="DM25" i="71"/>
  <c r="DN25" i="71"/>
  <c r="DO25" i="71"/>
  <c r="DP25" i="71"/>
  <c r="DQ25" i="71"/>
  <c r="DR25" i="71"/>
  <c r="DS25" i="71"/>
  <c r="DT25" i="71"/>
  <c r="DU25" i="71"/>
  <c r="DV25" i="71"/>
  <c r="DW25" i="71"/>
  <c r="DX25" i="71"/>
  <c r="DY25" i="71"/>
  <c r="DZ25" i="71"/>
  <c r="EA25" i="71"/>
  <c r="EB25" i="71"/>
  <c r="EC25" i="71"/>
  <c r="ED25" i="71"/>
  <c r="EE25" i="71"/>
  <c r="EF25" i="71"/>
  <c r="EG25" i="71"/>
  <c r="EH25" i="71"/>
  <c r="EI25" i="71"/>
  <c r="EJ25" i="71"/>
  <c r="EK25" i="71"/>
  <c r="EL25" i="71"/>
  <c r="EM25" i="71"/>
  <c r="EN25" i="71"/>
  <c r="EO25" i="71"/>
  <c r="EP25" i="71"/>
  <c r="EQ25" i="71"/>
  <c r="ER25" i="71"/>
  <c r="ES25" i="71"/>
  <c r="ET25" i="71"/>
  <c r="EU25" i="71"/>
  <c r="EV25" i="71"/>
  <c r="EW25" i="71"/>
  <c r="EX25" i="71"/>
  <c r="EY25" i="71"/>
  <c r="EZ25" i="71"/>
  <c r="FA25" i="71"/>
  <c r="FB25" i="71"/>
  <c r="FC25" i="71"/>
  <c r="FD25" i="71"/>
  <c r="FE25" i="71"/>
  <c r="FF25" i="71"/>
  <c r="FG25" i="71"/>
  <c r="FH25" i="71"/>
  <c r="FI25" i="71"/>
  <c r="FJ25" i="71"/>
  <c r="FK25" i="71"/>
  <c r="FL25" i="71"/>
  <c r="FM25" i="71"/>
  <c r="FN25" i="71"/>
  <c r="FO25" i="71"/>
  <c r="FP25" i="71"/>
  <c r="FQ25" i="71"/>
  <c r="FR25" i="71"/>
  <c r="FS25" i="71"/>
  <c r="FT25" i="71"/>
  <c r="FU25" i="71"/>
  <c r="FV25" i="71"/>
  <c r="FW25" i="71"/>
  <c r="FX25" i="71"/>
  <c r="FY25" i="71"/>
  <c r="FZ25" i="71"/>
  <c r="GA25" i="71"/>
  <c r="GB25" i="71"/>
  <c r="GC25" i="71"/>
  <c r="GD25" i="71"/>
  <c r="GE25" i="71"/>
  <c r="GF25" i="71"/>
  <c r="GG25" i="71"/>
  <c r="GH25" i="71"/>
  <c r="GI25" i="71"/>
  <c r="GJ25" i="71"/>
  <c r="GK25" i="71"/>
  <c r="GL25" i="71"/>
  <c r="GM25" i="71"/>
  <c r="GN25" i="71"/>
  <c r="GO25" i="71"/>
  <c r="GP25" i="71"/>
  <c r="GQ25" i="71"/>
  <c r="GR25" i="71"/>
  <c r="GS25" i="71"/>
  <c r="GT25" i="71"/>
  <c r="GU25" i="71"/>
  <c r="GV25" i="71"/>
  <c r="GW25" i="71"/>
  <c r="GX25" i="71"/>
  <c r="GY25" i="71"/>
  <c r="HK25" i="71"/>
  <c r="HS25" i="71"/>
  <c r="HT25" i="71"/>
  <c r="HU25" i="71"/>
  <c r="HV25" i="71"/>
  <c r="HW25" i="71"/>
  <c r="HX25" i="71"/>
  <c r="HY25" i="71"/>
  <c r="HZ25" i="71"/>
  <c r="IA25" i="71"/>
  <c r="IB25" i="71"/>
  <c r="IC25" i="71"/>
  <c r="ID25" i="71"/>
  <c r="IE25" i="71"/>
  <c r="IF25" i="71"/>
  <c r="IG25" i="71"/>
  <c r="IH25" i="71"/>
  <c r="II25" i="71"/>
  <c r="IJ25" i="71"/>
  <c r="IK25" i="71"/>
  <c r="IL25" i="71"/>
  <c r="IM25" i="71"/>
  <c r="IN25" i="71"/>
  <c r="IO25" i="71"/>
  <c r="IP25" i="71"/>
  <c r="IQ25" i="71"/>
  <c r="IR25" i="71"/>
  <c r="IS25" i="71"/>
  <c r="IT25" i="71"/>
  <c r="IU25" i="71"/>
  <c r="IV25" i="71"/>
  <c r="IW25" i="71"/>
  <c r="IX25" i="71"/>
  <c r="IY25" i="71"/>
  <c r="IZ25" i="71"/>
  <c r="JL25" i="71"/>
  <c r="JM25" i="71"/>
  <c r="JN25" i="71"/>
  <c r="JO25" i="71"/>
  <c r="JP25" i="71"/>
  <c r="JQ25" i="71"/>
  <c r="JR25" i="71"/>
  <c r="JS25" i="71"/>
  <c r="JT25" i="71"/>
  <c r="JU25" i="71"/>
  <c r="JV25" i="71"/>
  <c r="JW25" i="71"/>
  <c r="JX25" i="71"/>
  <c r="JY25" i="71"/>
  <c r="JZ25" i="71"/>
  <c r="KA25" i="71"/>
  <c r="KB25" i="71"/>
  <c r="KC25" i="71"/>
  <c r="KD25" i="71"/>
  <c r="KE25" i="71"/>
  <c r="KF25" i="71"/>
  <c r="KG25" i="71"/>
  <c r="KH25" i="71"/>
  <c r="KI25" i="71"/>
  <c r="KJ25" i="71"/>
  <c r="KK25" i="71"/>
  <c r="KL25" i="71"/>
  <c r="KM25" i="71"/>
  <c r="KN25" i="71"/>
  <c r="KO25" i="71"/>
  <c r="KP25" i="71"/>
  <c r="KQ25" i="71"/>
  <c r="KR25" i="71"/>
  <c r="KS25" i="71"/>
  <c r="KT25" i="71"/>
  <c r="KU25" i="71"/>
  <c r="KV25" i="71"/>
  <c r="KW25" i="71"/>
  <c r="KX25" i="71"/>
  <c r="KY25" i="71"/>
  <c r="KZ25" i="71"/>
  <c r="LA25" i="71"/>
  <c r="LB25" i="71"/>
  <c r="LC25" i="71"/>
  <c r="LD25" i="71"/>
  <c r="LE25" i="71"/>
  <c r="LF25" i="71"/>
  <c r="LG25" i="71"/>
  <c r="LH25" i="71"/>
  <c r="LI25" i="71"/>
  <c r="LJ25" i="71"/>
  <c r="LK25" i="71"/>
  <c r="LL25" i="71"/>
  <c r="LM25" i="71"/>
  <c r="LN25" i="71"/>
  <c r="LO25" i="71"/>
  <c r="LP25" i="71"/>
  <c r="LQ25" i="71"/>
  <c r="LR25" i="71"/>
  <c r="LS25" i="71"/>
  <c r="LT25" i="71"/>
  <c r="LU25" i="71"/>
  <c r="LV25" i="71"/>
  <c r="LW25" i="71"/>
  <c r="LX25" i="71"/>
  <c r="LY25" i="71"/>
  <c r="LZ25" i="71"/>
  <c r="MA25" i="71"/>
  <c r="MB25" i="71"/>
  <c r="MC25" i="71"/>
  <c r="MD25" i="71"/>
  <c r="LR50" i="67" s="1"/>
  <c r="ME25" i="71"/>
  <c r="MF25" i="71"/>
  <c r="MG25" i="71"/>
  <c r="MH25" i="71"/>
  <c r="MI25" i="71"/>
  <c r="MJ25" i="71"/>
  <c r="MK25" i="71"/>
  <c r="ML25" i="71"/>
  <c r="MM25" i="71"/>
  <c r="D24" i="71"/>
  <c r="E24" i="71"/>
  <c r="M24" i="71"/>
  <c r="N24" i="71"/>
  <c r="O24" i="71"/>
  <c r="R24" i="71"/>
  <c r="S24" i="71"/>
  <c r="T24" i="71"/>
  <c r="V24" i="71"/>
  <c r="W24" i="71"/>
  <c r="X24" i="71"/>
  <c r="Y24" i="71"/>
  <c r="Z24" i="71"/>
  <c r="AA24" i="71"/>
  <c r="AB24" i="71"/>
  <c r="AC24" i="71"/>
  <c r="AD24" i="71"/>
  <c r="AE24" i="71"/>
  <c r="AF24" i="71"/>
  <c r="AG24" i="71"/>
  <c r="AI24" i="71"/>
  <c r="AJ24" i="71"/>
  <c r="AK24" i="71"/>
  <c r="AL24" i="71"/>
  <c r="AM24" i="71"/>
  <c r="AN24" i="71"/>
  <c r="AO24" i="71"/>
  <c r="AP24" i="71"/>
  <c r="AQ24" i="71"/>
  <c r="AR24" i="71"/>
  <c r="AS24" i="71"/>
  <c r="AT24" i="71"/>
  <c r="AU24" i="71"/>
  <c r="AV24" i="71"/>
  <c r="AW24" i="71"/>
  <c r="AX24" i="71"/>
  <c r="AY24" i="71"/>
  <c r="AZ24" i="71"/>
  <c r="BA24" i="71"/>
  <c r="BB24" i="71"/>
  <c r="BC24" i="71"/>
  <c r="BD24" i="71"/>
  <c r="BE24" i="71"/>
  <c r="BF24" i="71"/>
  <c r="BG24" i="71"/>
  <c r="BH24" i="71"/>
  <c r="BI24" i="71"/>
  <c r="BJ24" i="71"/>
  <c r="BK24" i="71"/>
  <c r="BL24" i="71"/>
  <c r="BM24" i="71"/>
  <c r="BN24" i="71"/>
  <c r="BO24" i="71"/>
  <c r="BP24" i="71"/>
  <c r="BQ24" i="71"/>
  <c r="BR24" i="71"/>
  <c r="BS24" i="71"/>
  <c r="BT24" i="71"/>
  <c r="BU24" i="71"/>
  <c r="BV24" i="71"/>
  <c r="BW24" i="71"/>
  <c r="BX24" i="71"/>
  <c r="BY24" i="71"/>
  <c r="BZ24" i="71"/>
  <c r="CA24" i="71"/>
  <c r="CB24" i="71"/>
  <c r="CC24" i="71"/>
  <c r="CD24" i="71"/>
  <c r="CE24" i="71"/>
  <c r="CF24" i="71"/>
  <c r="CG24" i="71"/>
  <c r="CH24" i="71"/>
  <c r="CI24" i="71"/>
  <c r="CJ24" i="71"/>
  <c r="CK24" i="71"/>
  <c r="CL24" i="71"/>
  <c r="CM24" i="71"/>
  <c r="CN24" i="71"/>
  <c r="CO24" i="71"/>
  <c r="CP24" i="71"/>
  <c r="CQ24" i="71"/>
  <c r="CR24" i="71"/>
  <c r="CS24" i="71"/>
  <c r="CT24" i="71"/>
  <c r="CU24" i="71"/>
  <c r="CV24" i="71"/>
  <c r="CW24" i="71"/>
  <c r="CX24" i="71"/>
  <c r="CY24" i="71"/>
  <c r="CZ24" i="71"/>
  <c r="DA24" i="71"/>
  <c r="DB24" i="71"/>
  <c r="DC24" i="71"/>
  <c r="DD24" i="71"/>
  <c r="DE24" i="71"/>
  <c r="DF24" i="71"/>
  <c r="DG24" i="71"/>
  <c r="DH24" i="71"/>
  <c r="DI24" i="71"/>
  <c r="DJ24" i="71"/>
  <c r="DK24" i="71"/>
  <c r="DL24" i="71"/>
  <c r="DM24" i="71"/>
  <c r="DN24" i="71"/>
  <c r="DO24" i="71"/>
  <c r="DP24" i="71"/>
  <c r="DQ24" i="71"/>
  <c r="DR24" i="71"/>
  <c r="DS24" i="71"/>
  <c r="DT24" i="71"/>
  <c r="DU24" i="71"/>
  <c r="DV24" i="71"/>
  <c r="DW24" i="71"/>
  <c r="DX24" i="71"/>
  <c r="DY24" i="71"/>
  <c r="DZ24" i="71"/>
  <c r="EA24" i="71"/>
  <c r="EB24" i="71"/>
  <c r="EC24" i="71"/>
  <c r="ED24" i="71"/>
  <c r="EE24" i="71"/>
  <c r="EF24" i="71"/>
  <c r="EG24" i="71"/>
  <c r="EH24" i="71"/>
  <c r="EI24" i="71"/>
  <c r="EJ24" i="71"/>
  <c r="EK24" i="71"/>
  <c r="EL24" i="71"/>
  <c r="EM24" i="71"/>
  <c r="EN24" i="71"/>
  <c r="EO24" i="71"/>
  <c r="EP24" i="71"/>
  <c r="EQ24" i="71"/>
  <c r="ER24" i="71"/>
  <c r="ES24" i="71"/>
  <c r="ET24" i="71"/>
  <c r="EU24" i="71"/>
  <c r="EV24" i="71"/>
  <c r="EW24" i="71"/>
  <c r="EX24" i="71"/>
  <c r="EY24" i="71"/>
  <c r="EZ24" i="71"/>
  <c r="FA24" i="71"/>
  <c r="FB24" i="71"/>
  <c r="FC24" i="71"/>
  <c r="FD24" i="71"/>
  <c r="FE24" i="71"/>
  <c r="FF24" i="71"/>
  <c r="FG24" i="71"/>
  <c r="FH24" i="71"/>
  <c r="FI24" i="71"/>
  <c r="FJ24" i="71"/>
  <c r="FK24" i="71"/>
  <c r="FL24" i="71"/>
  <c r="FM24" i="71"/>
  <c r="FN24" i="71"/>
  <c r="FO24" i="71"/>
  <c r="FP24" i="71"/>
  <c r="FQ24" i="71"/>
  <c r="FR24" i="71"/>
  <c r="FS24" i="71"/>
  <c r="FT24" i="71"/>
  <c r="FU24" i="71"/>
  <c r="FV24" i="71"/>
  <c r="FW24" i="71"/>
  <c r="FX24" i="71"/>
  <c r="FY24" i="71"/>
  <c r="FZ24" i="71"/>
  <c r="GA24" i="71"/>
  <c r="GB24" i="71"/>
  <c r="GC24" i="71"/>
  <c r="GD24" i="71"/>
  <c r="GE24" i="71"/>
  <c r="GF24" i="71"/>
  <c r="GG24" i="71"/>
  <c r="GH24" i="71"/>
  <c r="GI24" i="71"/>
  <c r="GJ24" i="71"/>
  <c r="GK24" i="71"/>
  <c r="GL24" i="71"/>
  <c r="GM24" i="71"/>
  <c r="GN24" i="71"/>
  <c r="GO24" i="71"/>
  <c r="GP24" i="71"/>
  <c r="GQ24" i="71"/>
  <c r="GR24" i="71"/>
  <c r="GS24" i="71"/>
  <c r="GT24" i="71"/>
  <c r="GU24" i="71"/>
  <c r="GV24" i="71"/>
  <c r="GW24" i="71"/>
  <c r="GX24" i="71"/>
  <c r="GY24" i="71"/>
  <c r="HK24" i="71"/>
  <c r="HS24" i="71"/>
  <c r="HT24" i="71"/>
  <c r="HU24" i="71"/>
  <c r="HV24" i="71"/>
  <c r="HW24" i="71"/>
  <c r="HX24" i="71"/>
  <c r="HY24" i="71"/>
  <c r="HZ24" i="71"/>
  <c r="IA24" i="71"/>
  <c r="IB24" i="71"/>
  <c r="IC24" i="71"/>
  <c r="ID24" i="71"/>
  <c r="IE24" i="71"/>
  <c r="IF24" i="71"/>
  <c r="IG24" i="71"/>
  <c r="IH24" i="71"/>
  <c r="II24" i="71"/>
  <c r="IJ24" i="71"/>
  <c r="IK24" i="71"/>
  <c r="IL24" i="71"/>
  <c r="IM24" i="71"/>
  <c r="IN24" i="71"/>
  <c r="IO24" i="71"/>
  <c r="IP24" i="71"/>
  <c r="IQ24" i="71"/>
  <c r="IR24" i="71"/>
  <c r="IS24" i="71"/>
  <c r="IT24" i="71"/>
  <c r="IU24" i="71"/>
  <c r="IV24" i="71"/>
  <c r="IW24" i="71"/>
  <c r="IX24" i="71"/>
  <c r="IY24" i="71"/>
  <c r="IZ24" i="71"/>
  <c r="JL24" i="71"/>
  <c r="JM24" i="71"/>
  <c r="JN24" i="71"/>
  <c r="JO24" i="71"/>
  <c r="JP24" i="71"/>
  <c r="JQ24" i="71"/>
  <c r="JR24" i="71"/>
  <c r="JS24" i="71"/>
  <c r="JT24" i="71"/>
  <c r="JU24" i="71"/>
  <c r="JV24" i="71"/>
  <c r="JW24" i="71"/>
  <c r="JX24" i="71"/>
  <c r="JY24" i="71"/>
  <c r="JZ24" i="71"/>
  <c r="KA24" i="71"/>
  <c r="KB24" i="71"/>
  <c r="KC24" i="71"/>
  <c r="KD24" i="71"/>
  <c r="KE24" i="71"/>
  <c r="KF24" i="71"/>
  <c r="KG24" i="71"/>
  <c r="KH24" i="71"/>
  <c r="KI24" i="71"/>
  <c r="KJ24" i="71"/>
  <c r="KK24" i="71"/>
  <c r="KL24" i="71"/>
  <c r="KM24" i="71"/>
  <c r="KN24" i="71"/>
  <c r="KO24" i="71"/>
  <c r="KP24" i="71"/>
  <c r="KQ24" i="71"/>
  <c r="KR24" i="71"/>
  <c r="KS24" i="71"/>
  <c r="KT24" i="71"/>
  <c r="KU24" i="71"/>
  <c r="KV24" i="71"/>
  <c r="KW24" i="71"/>
  <c r="KX24" i="71"/>
  <c r="KY24" i="71"/>
  <c r="KZ24" i="71"/>
  <c r="LA24" i="71"/>
  <c r="LB24" i="71"/>
  <c r="LC24" i="71"/>
  <c r="LD24" i="71"/>
  <c r="LE24" i="71"/>
  <c r="LF24" i="71"/>
  <c r="LG24" i="71"/>
  <c r="LH24" i="71"/>
  <c r="LI24" i="71"/>
  <c r="LJ24" i="71"/>
  <c r="LK24" i="71"/>
  <c r="LL24" i="71"/>
  <c r="LM24" i="71"/>
  <c r="LN24" i="71"/>
  <c r="LO24" i="71"/>
  <c r="LP24" i="71"/>
  <c r="LQ24" i="71"/>
  <c r="LR24" i="71"/>
  <c r="LS24" i="71"/>
  <c r="LT24" i="71"/>
  <c r="LU24" i="71"/>
  <c r="LV24" i="71"/>
  <c r="LW24" i="71"/>
  <c r="LX24" i="71"/>
  <c r="LY24" i="71"/>
  <c r="LZ24" i="71"/>
  <c r="MA24" i="71"/>
  <c r="MB24" i="71"/>
  <c r="MC24" i="71"/>
  <c r="MD24" i="71"/>
  <c r="LR31" i="67" s="1"/>
  <c r="ME24" i="71"/>
  <c r="MF24" i="71"/>
  <c r="MG24" i="71"/>
  <c r="MH24" i="71"/>
  <c r="MI24" i="71"/>
  <c r="MJ24" i="71"/>
  <c r="MK24" i="71"/>
  <c r="ML24" i="71"/>
  <c r="MM24" i="71"/>
  <c r="MA48" i="67" s="1"/>
  <c r="D23" i="71"/>
  <c r="E23" i="71"/>
  <c r="M23" i="71"/>
  <c r="N23" i="71"/>
  <c r="O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BB23" i="71"/>
  <c r="BC23" i="71"/>
  <c r="BD23" i="71"/>
  <c r="BE23" i="71"/>
  <c r="BF23" i="71"/>
  <c r="BG23" i="71"/>
  <c r="BH23" i="71"/>
  <c r="BI23" i="71"/>
  <c r="BJ23" i="71"/>
  <c r="BK23" i="71"/>
  <c r="BL23" i="71"/>
  <c r="BM23" i="71"/>
  <c r="BN23" i="71"/>
  <c r="BO23" i="71"/>
  <c r="BP23" i="71"/>
  <c r="BQ23" i="71"/>
  <c r="BR23" i="71"/>
  <c r="BS23" i="71"/>
  <c r="BT23" i="71"/>
  <c r="BU23" i="71"/>
  <c r="BV23" i="71"/>
  <c r="BW23" i="71"/>
  <c r="BX23" i="71"/>
  <c r="BY23" i="71"/>
  <c r="BZ23" i="71"/>
  <c r="CA23" i="71"/>
  <c r="CB23" i="71"/>
  <c r="CC23" i="71"/>
  <c r="CD23" i="71"/>
  <c r="CE23" i="71"/>
  <c r="CF23" i="71"/>
  <c r="CG23" i="71"/>
  <c r="CH23" i="71"/>
  <c r="CI23" i="71"/>
  <c r="CJ23" i="71"/>
  <c r="CK23" i="71"/>
  <c r="CL23" i="71"/>
  <c r="CM23" i="71"/>
  <c r="CN23" i="71"/>
  <c r="CO23" i="71"/>
  <c r="CP23" i="71"/>
  <c r="CQ23" i="71"/>
  <c r="CR23" i="71"/>
  <c r="CS23" i="71"/>
  <c r="CT23" i="71"/>
  <c r="CU23" i="71"/>
  <c r="CV23" i="71"/>
  <c r="CW23" i="71"/>
  <c r="CX23" i="71"/>
  <c r="CY23" i="71"/>
  <c r="CZ23" i="71"/>
  <c r="DA23" i="71"/>
  <c r="DB23" i="71"/>
  <c r="DC23" i="71"/>
  <c r="DD23" i="71"/>
  <c r="DE23" i="71"/>
  <c r="DF23" i="71"/>
  <c r="DG23" i="71"/>
  <c r="DH23" i="71"/>
  <c r="DI23" i="71"/>
  <c r="DJ23" i="71"/>
  <c r="DK23" i="71"/>
  <c r="DL23" i="71"/>
  <c r="DM23" i="71"/>
  <c r="DN23" i="71"/>
  <c r="DO23" i="71"/>
  <c r="DP23" i="71"/>
  <c r="DQ23" i="71"/>
  <c r="DR23" i="71"/>
  <c r="DS23" i="71"/>
  <c r="DT23" i="71"/>
  <c r="DU23" i="71"/>
  <c r="DV23" i="71"/>
  <c r="DW23" i="71"/>
  <c r="DX23" i="71"/>
  <c r="DY23" i="71"/>
  <c r="DZ23" i="71"/>
  <c r="EA23" i="71"/>
  <c r="EB23" i="71"/>
  <c r="EC23" i="71"/>
  <c r="ED23" i="71"/>
  <c r="EE23" i="71"/>
  <c r="EF23" i="71"/>
  <c r="EG23" i="71"/>
  <c r="EH23" i="71"/>
  <c r="EI23" i="71"/>
  <c r="EJ23" i="71"/>
  <c r="EK23" i="71"/>
  <c r="EL23" i="71"/>
  <c r="EM23" i="71"/>
  <c r="EN23" i="71"/>
  <c r="EO23" i="71"/>
  <c r="EP23" i="71"/>
  <c r="EQ23" i="71"/>
  <c r="ER23" i="71"/>
  <c r="ES23" i="71"/>
  <c r="ET23" i="71"/>
  <c r="EU23" i="71"/>
  <c r="EV23" i="71"/>
  <c r="EW23" i="71"/>
  <c r="EX23" i="71"/>
  <c r="EY23" i="71"/>
  <c r="EZ23" i="71"/>
  <c r="FA23" i="71"/>
  <c r="FB23" i="71"/>
  <c r="FC23" i="71"/>
  <c r="FD23" i="71"/>
  <c r="FE23" i="71"/>
  <c r="FF23" i="71"/>
  <c r="FG23" i="71"/>
  <c r="FH23" i="71"/>
  <c r="FI23" i="71"/>
  <c r="FJ23" i="71"/>
  <c r="FK23" i="71"/>
  <c r="FL23" i="71"/>
  <c r="FM23" i="71"/>
  <c r="FN23" i="71"/>
  <c r="FO23" i="71"/>
  <c r="FP23" i="71"/>
  <c r="FQ23" i="71"/>
  <c r="FR23" i="71"/>
  <c r="FS23" i="71"/>
  <c r="FT23" i="71"/>
  <c r="FU23" i="71"/>
  <c r="FV23" i="71"/>
  <c r="FW23" i="71"/>
  <c r="FX23" i="71"/>
  <c r="FY23" i="71"/>
  <c r="FZ23" i="71"/>
  <c r="GA23" i="71"/>
  <c r="GB23" i="71"/>
  <c r="GC23" i="71"/>
  <c r="GD23" i="71"/>
  <c r="GE23" i="71"/>
  <c r="GF23" i="71"/>
  <c r="GG23" i="71"/>
  <c r="GH23" i="71"/>
  <c r="GI23" i="71"/>
  <c r="GJ23" i="71"/>
  <c r="GK23" i="71"/>
  <c r="GL23" i="71"/>
  <c r="GM23" i="71"/>
  <c r="GN23" i="71"/>
  <c r="GO23" i="71"/>
  <c r="GP23" i="71"/>
  <c r="GQ23" i="71"/>
  <c r="GR23" i="71"/>
  <c r="GS23" i="71"/>
  <c r="GT23" i="71"/>
  <c r="GU23" i="71"/>
  <c r="GV23" i="71"/>
  <c r="GW23" i="71"/>
  <c r="GX23" i="71"/>
  <c r="GY23" i="71"/>
  <c r="HK23" i="71"/>
  <c r="HS23" i="71"/>
  <c r="HT23" i="71"/>
  <c r="HU23" i="71"/>
  <c r="HV23" i="71"/>
  <c r="HW23" i="71"/>
  <c r="HX23" i="71"/>
  <c r="HY23" i="71"/>
  <c r="HZ23" i="71"/>
  <c r="IA23" i="71"/>
  <c r="IB23" i="71"/>
  <c r="IC23" i="71"/>
  <c r="ID23" i="71"/>
  <c r="IE23" i="71"/>
  <c r="IF23" i="71"/>
  <c r="IG23" i="71"/>
  <c r="IH23" i="71"/>
  <c r="II23" i="71"/>
  <c r="IJ23" i="71"/>
  <c r="IK23" i="71"/>
  <c r="IL23" i="71"/>
  <c r="IM23" i="71"/>
  <c r="IN23" i="71"/>
  <c r="IO23" i="71"/>
  <c r="IP23" i="71"/>
  <c r="IQ23" i="71"/>
  <c r="IR23" i="71"/>
  <c r="IS23" i="71"/>
  <c r="IT23" i="71"/>
  <c r="IU23" i="71"/>
  <c r="IV23" i="71"/>
  <c r="IW23" i="71"/>
  <c r="IX23" i="71"/>
  <c r="IY23" i="71"/>
  <c r="IZ23" i="71"/>
  <c r="JL23" i="71"/>
  <c r="JM23" i="71"/>
  <c r="JN23" i="71"/>
  <c r="JO23" i="71"/>
  <c r="JP23" i="71"/>
  <c r="JQ23" i="71"/>
  <c r="JR23" i="71"/>
  <c r="JS23" i="71"/>
  <c r="JT23" i="71"/>
  <c r="JU23" i="71"/>
  <c r="JV23" i="71"/>
  <c r="JW23" i="71"/>
  <c r="JX23" i="71"/>
  <c r="JY23" i="71"/>
  <c r="JZ23" i="71"/>
  <c r="KA23" i="71"/>
  <c r="KB23" i="71"/>
  <c r="KC23" i="71"/>
  <c r="KD23" i="71"/>
  <c r="KE23" i="71"/>
  <c r="KF23" i="71"/>
  <c r="KG23" i="71"/>
  <c r="KH23" i="71"/>
  <c r="KI23" i="71"/>
  <c r="KJ23" i="71"/>
  <c r="KK23" i="71"/>
  <c r="KL23" i="71"/>
  <c r="KM23" i="71"/>
  <c r="KN23" i="71"/>
  <c r="KO23" i="71"/>
  <c r="KP23" i="71"/>
  <c r="KQ23" i="71"/>
  <c r="KR23" i="71"/>
  <c r="KS23" i="71"/>
  <c r="KT23" i="71"/>
  <c r="KU23" i="71"/>
  <c r="KV23" i="71"/>
  <c r="KW23" i="71"/>
  <c r="KX23" i="71"/>
  <c r="KY23" i="71"/>
  <c r="KZ23" i="71"/>
  <c r="LA23" i="71"/>
  <c r="LB23" i="71"/>
  <c r="LC23" i="71"/>
  <c r="LD23" i="71"/>
  <c r="LE23" i="71"/>
  <c r="LF23" i="71"/>
  <c r="LG23" i="71"/>
  <c r="LH23" i="71"/>
  <c r="LI23" i="71"/>
  <c r="LJ23" i="71"/>
  <c r="LK23" i="71"/>
  <c r="LL23" i="71"/>
  <c r="LM23" i="71"/>
  <c r="LN23" i="71"/>
  <c r="LO23" i="71"/>
  <c r="LP23" i="71"/>
  <c r="LQ23" i="71"/>
  <c r="LR23" i="71"/>
  <c r="LS23" i="71"/>
  <c r="LT23" i="71"/>
  <c r="LU23" i="71"/>
  <c r="LV23" i="71"/>
  <c r="LW23" i="71"/>
  <c r="LX23" i="71"/>
  <c r="LY23" i="71"/>
  <c r="LZ23" i="71"/>
  <c r="MA23" i="71"/>
  <c r="MB23" i="71"/>
  <c r="MC23" i="71"/>
  <c r="MD23" i="71"/>
  <c r="ME23" i="71"/>
  <c r="MF23" i="71"/>
  <c r="MG23" i="71"/>
  <c r="MH23" i="71"/>
  <c r="MI23" i="71"/>
  <c r="MJ23" i="71"/>
  <c r="MK23" i="71"/>
  <c r="ML23" i="71"/>
  <c r="MM23" i="71"/>
  <c r="D20" i="71"/>
  <c r="E20" i="71"/>
  <c r="M20" i="71"/>
  <c r="N20" i="71"/>
  <c r="O20" i="71"/>
  <c r="R20" i="71"/>
  <c r="S20" i="71"/>
  <c r="T20" i="71"/>
  <c r="W20" i="71"/>
  <c r="X20" i="71"/>
  <c r="Y20" i="71"/>
  <c r="Z20" i="71"/>
  <c r="AA20" i="71"/>
  <c r="AB20" i="71"/>
  <c r="AC20" i="71"/>
  <c r="AD20" i="71"/>
  <c r="AE20" i="71"/>
  <c r="AF20" i="71"/>
  <c r="AG20" i="71"/>
  <c r="AH20" i="71"/>
  <c r="AI20" i="71"/>
  <c r="AJ20" i="71"/>
  <c r="AK20" i="71"/>
  <c r="AL20" i="71"/>
  <c r="AM20" i="71"/>
  <c r="AN20" i="71"/>
  <c r="AO20" i="71"/>
  <c r="AP20" i="71"/>
  <c r="AQ20" i="71"/>
  <c r="AR20" i="71"/>
  <c r="AS20" i="71"/>
  <c r="AT20" i="71"/>
  <c r="AU20" i="71"/>
  <c r="AV20" i="71"/>
  <c r="AW20" i="71"/>
  <c r="AX20" i="71"/>
  <c r="AY20" i="71"/>
  <c r="AZ20" i="71"/>
  <c r="BA20" i="71"/>
  <c r="BB20" i="71"/>
  <c r="BC20" i="71"/>
  <c r="BD20" i="71"/>
  <c r="BE20" i="71"/>
  <c r="BF20" i="71"/>
  <c r="BG20" i="71"/>
  <c r="BH20" i="71"/>
  <c r="BI20" i="71"/>
  <c r="BJ20" i="71"/>
  <c r="BK20" i="71"/>
  <c r="BL20" i="71"/>
  <c r="BM20" i="71"/>
  <c r="BN20" i="71"/>
  <c r="BO20" i="71"/>
  <c r="BP20" i="71"/>
  <c r="BQ20" i="71"/>
  <c r="BR20" i="71"/>
  <c r="BS20" i="71"/>
  <c r="BT20" i="71"/>
  <c r="BU20" i="71"/>
  <c r="BV20" i="71"/>
  <c r="BW20" i="71"/>
  <c r="BX20" i="71"/>
  <c r="BY20" i="71"/>
  <c r="BZ20" i="71"/>
  <c r="CA20" i="71"/>
  <c r="CB20" i="71"/>
  <c r="CC20" i="71"/>
  <c r="CD20" i="71"/>
  <c r="CE20" i="71"/>
  <c r="CF20" i="71"/>
  <c r="CG20" i="71"/>
  <c r="CH20" i="71"/>
  <c r="CI20" i="71"/>
  <c r="CJ20" i="71"/>
  <c r="CK20" i="71"/>
  <c r="CL20" i="71"/>
  <c r="CM20" i="71"/>
  <c r="CN20" i="71"/>
  <c r="CO20" i="71"/>
  <c r="CP20" i="71"/>
  <c r="CQ20" i="71"/>
  <c r="CR20" i="71"/>
  <c r="CS20" i="71"/>
  <c r="CT20" i="71"/>
  <c r="CU20" i="71"/>
  <c r="CV20" i="71"/>
  <c r="CW20" i="71"/>
  <c r="CX20" i="71"/>
  <c r="CY20" i="71"/>
  <c r="CZ20" i="71"/>
  <c r="DA20" i="71"/>
  <c r="DB20" i="71"/>
  <c r="DC20" i="71"/>
  <c r="DD20" i="71"/>
  <c r="DE20" i="71"/>
  <c r="DF20" i="71"/>
  <c r="DG20" i="71"/>
  <c r="DH20" i="71"/>
  <c r="DI20" i="71"/>
  <c r="DJ20" i="71"/>
  <c r="DK20" i="71"/>
  <c r="DL20" i="71"/>
  <c r="DM20" i="71"/>
  <c r="DN20" i="71"/>
  <c r="DO20" i="71"/>
  <c r="DP20" i="71"/>
  <c r="DQ20" i="71"/>
  <c r="DR20" i="71"/>
  <c r="DS20" i="71"/>
  <c r="DT20" i="71"/>
  <c r="DU20" i="71"/>
  <c r="DV20" i="71"/>
  <c r="DW20" i="71"/>
  <c r="DX20" i="71"/>
  <c r="DY20" i="71"/>
  <c r="DZ20" i="71"/>
  <c r="EA20" i="71"/>
  <c r="EB20" i="71"/>
  <c r="EC20" i="71"/>
  <c r="ED20" i="71"/>
  <c r="EE20" i="71"/>
  <c r="EF20" i="71"/>
  <c r="EG20" i="71"/>
  <c r="EH20" i="71"/>
  <c r="EI20" i="71"/>
  <c r="EJ20" i="71"/>
  <c r="EK20" i="71"/>
  <c r="EL20" i="71"/>
  <c r="EM20" i="71"/>
  <c r="EN20" i="71"/>
  <c r="EO20" i="71"/>
  <c r="EP20" i="71"/>
  <c r="EQ20" i="71"/>
  <c r="ER20" i="71"/>
  <c r="ES20" i="71"/>
  <c r="ET20" i="71"/>
  <c r="EU20" i="71"/>
  <c r="EV20" i="71"/>
  <c r="EW20" i="71"/>
  <c r="EX20" i="71"/>
  <c r="EY20" i="71"/>
  <c r="EZ20" i="71"/>
  <c r="FA20" i="71"/>
  <c r="FB20" i="71"/>
  <c r="FC20" i="71"/>
  <c r="FD20" i="71"/>
  <c r="FE20" i="71"/>
  <c r="FF20" i="71"/>
  <c r="FG20" i="71"/>
  <c r="FH20" i="71"/>
  <c r="FI20" i="71"/>
  <c r="FJ20" i="71"/>
  <c r="FK20" i="71"/>
  <c r="FL20" i="71"/>
  <c r="FM20" i="71"/>
  <c r="FN20" i="71"/>
  <c r="FO20" i="71"/>
  <c r="FP20" i="71"/>
  <c r="FQ20" i="71"/>
  <c r="FR20" i="71"/>
  <c r="FS20" i="71"/>
  <c r="FT20" i="71"/>
  <c r="FU20" i="71"/>
  <c r="FV20" i="71"/>
  <c r="FW20" i="71"/>
  <c r="FX20" i="71"/>
  <c r="FY20" i="71"/>
  <c r="FZ20" i="71"/>
  <c r="GA20" i="71"/>
  <c r="GB20" i="71"/>
  <c r="GC20" i="71"/>
  <c r="GD20" i="71"/>
  <c r="GE20" i="71"/>
  <c r="GF20" i="71"/>
  <c r="GG20" i="71"/>
  <c r="GH20" i="71"/>
  <c r="GI20" i="71"/>
  <c r="GJ20" i="71"/>
  <c r="GK20" i="71"/>
  <c r="GL20" i="71"/>
  <c r="GM20" i="71"/>
  <c r="GN20" i="71"/>
  <c r="GO20" i="71"/>
  <c r="GP20" i="71"/>
  <c r="GQ20" i="71"/>
  <c r="GR20" i="71"/>
  <c r="GS20" i="71"/>
  <c r="GT20" i="71"/>
  <c r="GU20" i="71"/>
  <c r="GV20" i="71"/>
  <c r="GW20" i="71"/>
  <c r="GX20" i="71"/>
  <c r="GY20" i="71"/>
  <c r="GZ20" i="71"/>
  <c r="HA20" i="71"/>
  <c r="HB20" i="71"/>
  <c r="HC20" i="71"/>
  <c r="HD20" i="71"/>
  <c r="HE20" i="71"/>
  <c r="HF20" i="71"/>
  <c r="HG20" i="71"/>
  <c r="HH20" i="71"/>
  <c r="HI20" i="71"/>
  <c r="HJ20" i="71"/>
  <c r="HK20" i="71"/>
  <c r="HL20" i="71"/>
  <c r="HM20" i="71"/>
  <c r="HN20" i="71"/>
  <c r="HO20" i="71"/>
  <c r="HP20" i="71"/>
  <c r="HQ20" i="71"/>
  <c r="HR20" i="71"/>
  <c r="HS20" i="71"/>
  <c r="HT20" i="71"/>
  <c r="HU20" i="71"/>
  <c r="HV20" i="71"/>
  <c r="HW20" i="71"/>
  <c r="HX20" i="71"/>
  <c r="HY20" i="71"/>
  <c r="HZ20" i="71"/>
  <c r="IA20" i="71"/>
  <c r="IB20" i="71"/>
  <c r="IC20" i="71"/>
  <c r="ID20" i="71"/>
  <c r="IE20" i="71"/>
  <c r="IF20" i="71"/>
  <c r="IG20" i="71"/>
  <c r="IH20" i="71"/>
  <c r="II20" i="71"/>
  <c r="IJ20" i="71"/>
  <c r="IK20" i="71"/>
  <c r="IL20" i="71"/>
  <c r="IM20" i="71"/>
  <c r="IN20" i="71"/>
  <c r="IO20" i="71"/>
  <c r="IP20" i="71"/>
  <c r="IQ20" i="71"/>
  <c r="IR20" i="71"/>
  <c r="IS20" i="71"/>
  <c r="IT20" i="71"/>
  <c r="IU20" i="71"/>
  <c r="IV20" i="71"/>
  <c r="IW20" i="71"/>
  <c r="IX20" i="71"/>
  <c r="IY20" i="71"/>
  <c r="IZ20" i="71"/>
  <c r="JA20" i="71"/>
  <c r="JB20" i="71"/>
  <c r="JC20" i="71"/>
  <c r="JD20" i="71"/>
  <c r="JE20" i="71"/>
  <c r="JF20" i="71"/>
  <c r="JG20" i="71"/>
  <c r="JH20" i="71"/>
  <c r="JI20" i="71"/>
  <c r="JJ20" i="71"/>
  <c r="JK20" i="71"/>
  <c r="JL20" i="71"/>
  <c r="JM20" i="71"/>
  <c r="JN20" i="71"/>
  <c r="JO20" i="71"/>
  <c r="JP20" i="71"/>
  <c r="JQ20" i="71"/>
  <c r="JR20" i="71"/>
  <c r="JS20" i="71"/>
  <c r="JT20" i="71"/>
  <c r="JU20" i="71"/>
  <c r="JV20" i="71"/>
  <c r="JW20" i="71"/>
  <c r="JX20" i="71"/>
  <c r="JY20" i="71"/>
  <c r="JZ20" i="71"/>
  <c r="KA20" i="71"/>
  <c r="KB20" i="71"/>
  <c r="KC20" i="71"/>
  <c r="KD20" i="71"/>
  <c r="KE20" i="71"/>
  <c r="KF20" i="71"/>
  <c r="KG20" i="71"/>
  <c r="KH20" i="71"/>
  <c r="KI20" i="71"/>
  <c r="KJ20" i="71"/>
  <c r="KK20" i="71"/>
  <c r="KL20" i="71"/>
  <c r="KM20" i="71"/>
  <c r="KN20" i="71"/>
  <c r="KO20" i="71"/>
  <c r="KP20" i="71"/>
  <c r="KQ20" i="71"/>
  <c r="KR20" i="71"/>
  <c r="KS20" i="71"/>
  <c r="KT20" i="71"/>
  <c r="KU20" i="71"/>
  <c r="KV20" i="71"/>
  <c r="KW20" i="71"/>
  <c r="KX20" i="71"/>
  <c r="KY20" i="71"/>
  <c r="KZ20" i="71"/>
  <c r="LA20" i="71"/>
  <c r="LB20" i="71"/>
  <c r="LC20" i="71"/>
  <c r="LD20" i="71"/>
  <c r="LE20" i="71"/>
  <c r="LF20" i="71"/>
  <c r="LG20" i="71"/>
  <c r="LH20" i="71"/>
  <c r="LI20" i="71"/>
  <c r="LJ20" i="71"/>
  <c r="LK20" i="71"/>
  <c r="LL20" i="71"/>
  <c r="LM20" i="71"/>
  <c r="LN20" i="71"/>
  <c r="LO20" i="71"/>
  <c r="LP20" i="71"/>
  <c r="LQ20" i="71"/>
  <c r="LR20" i="71"/>
  <c r="LS20" i="71"/>
  <c r="LT20" i="71"/>
  <c r="LU20" i="71"/>
  <c r="LV20" i="71"/>
  <c r="LW20" i="71"/>
  <c r="LX20" i="71"/>
  <c r="LY20" i="71"/>
  <c r="LZ20" i="71"/>
  <c r="MA20" i="71"/>
  <c r="MB20" i="71"/>
  <c r="MC20" i="71"/>
  <c r="MD20" i="71"/>
  <c r="LR23" i="67" s="1"/>
  <c r="ME20" i="71"/>
  <c r="MF20" i="71"/>
  <c r="MG20" i="71"/>
  <c r="MH20" i="71"/>
  <c r="MI20" i="71"/>
  <c r="MJ20" i="71"/>
  <c r="MK20" i="71"/>
  <c r="ML20" i="71"/>
  <c r="MM20" i="71"/>
  <c r="D18" i="71"/>
  <c r="E18" i="71"/>
  <c r="M18" i="71"/>
  <c r="N18" i="71"/>
  <c r="O18" i="71"/>
  <c r="R18" i="71"/>
  <c r="S18" i="71"/>
  <c r="T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BB18" i="71"/>
  <c r="BC18" i="71"/>
  <c r="BD18" i="71"/>
  <c r="BE18" i="71"/>
  <c r="BF18" i="71"/>
  <c r="BG18" i="71"/>
  <c r="BH18" i="71"/>
  <c r="BI18" i="71"/>
  <c r="BJ18" i="71"/>
  <c r="BK18" i="71"/>
  <c r="BL18" i="71"/>
  <c r="BM18" i="71"/>
  <c r="BN18" i="71"/>
  <c r="BO18" i="71"/>
  <c r="BP18" i="71"/>
  <c r="BQ18" i="71"/>
  <c r="BR18" i="71"/>
  <c r="BS18" i="71"/>
  <c r="BT18" i="71"/>
  <c r="BU18" i="71"/>
  <c r="BV18" i="71"/>
  <c r="BW18" i="71"/>
  <c r="BX18" i="71"/>
  <c r="BY18" i="71"/>
  <c r="BZ18" i="71"/>
  <c r="CA18" i="71"/>
  <c r="CB18" i="71"/>
  <c r="CC18" i="71"/>
  <c r="CD18" i="71"/>
  <c r="CE18" i="71"/>
  <c r="CF18" i="71"/>
  <c r="CG18" i="71"/>
  <c r="CH18" i="71"/>
  <c r="CI18" i="71"/>
  <c r="CJ18" i="71"/>
  <c r="CK18" i="71"/>
  <c r="CL18" i="71"/>
  <c r="CM18" i="71"/>
  <c r="CN18" i="71"/>
  <c r="CO18" i="71"/>
  <c r="CP18" i="71"/>
  <c r="CQ18" i="71"/>
  <c r="CR18" i="71"/>
  <c r="CS18" i="71"/>
  <c r="CT18" i="71"/>
  <c r="CU18" i="71"/>
  <c r="CV18" i="71"/>
  <c r="CW18" i="71"/>
  <c r="CX18" i="71"/>
  <c r="CY18" i="71"/>
  <c r="CZ18" i="71"/>
  <c r="DA18" i="71"/>
  <c r="DB18" i="71"/>
  <c r="DC18" i="71"/>
  <c r="DD18" i="71"/>
  <c r="DE18" i="71"/>
  <c r="DF18" i="71"/>
  <c r="DG18" i="71"/>
  <c r="DH18" i="71"/>
  <c r="DI18" i="71"/>
  <c r="DJ18" i="71"/>
  <c r="DK18" i="71"/>
  <c r="DL18" i="71"/>
  <c r="DM18" i="71"/>
  <c r="DN18" i="71"/>
  <c r="DO18" i="71"/>
  <c r="DP18" i="71"/>
  <c r="DQ18" i="71"/>
  <c r="DR18" i="71"/>
  <c r="DS18" i="71"/>
  <c r="DT18" i="71"/>
  <c r="DU18" i="71"/>
  <c r="DV18" i="71"/>
  <c r="DW18" i="71"/>
  <c r="DX18" i="71"/>
  <c r="DY18" i="71"/>
  <c r="DZ18" i="71"/>
  <c r="EA18" i="71"/>
  <c r="EB18" i="71"/>
  <c r="EC18" i="71"/>
  <c r="ED18" i="71"/>
  <c r="EE18" i="71"/>
  <c r="EF18" i="71"/>
  <c r="EG18" i="71"/>
  <c r="EH18" i="71"/>
  <c r="EI18" i="71"/>
  <c r="EJ18" i="71"/>
  <c r="EK18" i="71"/>
  <c r="EL18" i="71"/>
  <c r="EM18" i="71"/>
  <c r="EN18" i="71"/>
  <c r="EO18" i="71"/>
  <c r="EP18" i="71"/>
  <c r="EQ18" i="71"/>
  <c r="ER18" i="71"/>
  <c r="ES18" i="71"/>
  <c r="ET18" i="71"/>
  <c r="EU18" i="71"/>
  <c r="EV18" i="71"/>
  <c r="EW18" i="71"/>
  <c r="EX18" i="71"/>
  <c r="EY18" i="71"/>
  <c r="EZ18" i="71"/>
  <c r="FA18" i="71"/>
  <c r="FB18" i="71"/>
  <c r="FC18" i="71"/>
  <c r="FD18" i="71"/>
  <c r="FE18" i="71"/>
  <c r="FF18" i="71"/>
  <c r="FG18" i="71"/>
  <c r="FH18" i="71"/>
  <c r="FI18" i="71"/>
  <c r="FJ18" i="71"/>
  <c r="FK18" i="71"/>
  <c r="FL18" i="71"/>
  <c r="FM18" i="71"/>
  <c r="FN18" i="71"/>
  <c r="FO18" i="71"/>
  <c r="FP18" i="71"/>
  <c r="FQ18" i="71"/>
  <c r="FR18" i="71"/>
  <c r="FS18" i="71"/>
  <c r="FT18" i="71"/>
  <c r="FU18" i="71"/>
  <c r="FV18" i="71"/>
  <c r="FW18" i="71"/>
  <c r="FX18" i="71"/>
  <c r="FY18" i="71"/>
  <c r="FZ18" i="71"/>
  <c r="GA18" i="71"/>
  <c r="GB18" i="71"/>
  <c r="GC18" i="71"/>
  <c r="GD18" i="71"/>
  <c r="GE18" i="71"/>
  <c r="GF18" i="71"/>
  <c r="GG18" i="71"/>
  <c r="GH18" i="71"/>
  <c r="GI18" i="71"/>
  <c r="GJ18" i="71"/>
  <c r="GK18" i="71"/>
  <c r="GL18" i="71"/>
  <c r="GM18" i="71"/>
  <c r="GN18" i="71"/>
  <c r="GO18" i="71"/>
  <c r="GP18" i="71"/>
  <c r="GQ18" i="71"/>
  <c r="GR18" i="71"/>
  <c r="GS18" i="71"/>
  <c r="GT18" i="71"/>
  <c r="GU18" i="71"/>
  <c r="GV18" i="71"/>
  <c r="GW18" i="71"/>
  <c r="GX18" i="71"/>
  <c r="GY18" i="71"/>
  <c r="HK18" i="71"/>
  <c r="HA24" i="67"/>
  <c r="HB24" i="67"/>
  <c r="HE24" i="67"/>
  <c r="HF24" i="67"/>
  <c r="HS18" i="71"/>
  <c r="HT18" i="71"/>
  <c r="HU18" i="71"/>
  <c r="HV18" i="71"/>
  <c r="HW18" i="71"/>
  <c r="HX18" i="71"/>
  <c r="HY18" i="71"/>
  <c r="HZ18" i="71"/>
  <c r="IA18" i="71"/>
  <c r="IB18" i="71"/>
  <c r="IC18" i="71"/>
  <c r="ID18" i="71"/>
  <c r="IE18" i="71"/>
  <c r="IF18" i="71"/>
  <c r="IG18" i="71"/>
  <c r="IH18" i="71"/>
  <c r="II18" i="71"/>
  <c r="IJ18" i="71"/>
  <c r="IK18" i="71"/>
  <c r="IL18" i="71"/>
  <c r="IM18" i="71"/>
  <c r="IN18" i="71"/>
  <c r="IO18" i="71"/>
  <c r="IP18" i="71"/>
  <c r="IQ18" i="71"/>
  <c r="IR18" i="71"/>
  <c r="IS18" i="71"/>
  <c r="IT18" i="71"/>
  <c r="IU18" i="71"/>
  <c r="IV18" i="71"/>
  <c r="IW18" i="71"/>
  <c r="IX18" i="71"/>
  <c r="IY18" i="71"/>
  <c r="IZ18" i="71"/>
  <c r="JL18" i="71"/>
  <c r="JM18" i="71"/>
  <c r="JN18" i="71"/>
  <c r="JO18" i="71"/>
  <c r="JP18" i="71"/>
  <c r="JQ18" i="71"/>
  <c r="JR18" i="71"/>
  <c r="JS18" i="71"/>
  <c r="JT18" i="71"/>
  <c r="JU18" i="71"/>
  <c r="JV18" i="71"/>
  <c r="JW18" i="71"/>
  <c r="JX18" i="71"/>
  <c r="JY18" i="71"/>
  <c r="JZ18" i="71"/>
  <c r="KA18" i="71"/>
  <c r="KB18" i="71"/>
  <c r="KC18" i="71"/>
  <c r="KD18" i="71"/>
  <c r="KE18" i="71"/>
  <c r="KF18" i="71"/>
  <c r="KG18" i="71"/>
  <c r="KH18" i="71"/>
  <c r="KI18" i="71"/>
  <c r="KJ18" i="71"/>
  <c r="KK18" i="71"/>
  <c r="KL18" i="71"/>
  <c r="KM18" i="71"/>
  <c r="KN18" i="71"/>
  <c r="KO18" i="71"/>
  <c r="KP18" i="71"/>
  <c r="KQ18" i="71"/>
  <c r="KR18" i="71"/>
  <c r="KS18" i="71"/>
  <c r="KT18" i="71"/>
  <c r="KU18" i="71"/>
  <c r="KV18" i="71"/>
  <c r="KW18" i="71"/>
  <c r="KX18" i="71"/>
  <c r="KY18" i="71"/>
  <c r="KZ18" i="71"/>
  <c r="LA18" i="71"/>
  <c r="LB18" i="71"/>
  <c r="LC18" i="71"/>
  <c r="LD18" i="71"/>
  <c r="LE18" i="71"/>
  <c r="LF18" i="71"/>
  <c r="LG18" i="71"/>
  <c r="LH18" i="71"/>
  <c r="LI18" i="71"/>
  <c r="LJ18" i="71"/>
  <c r="LK18" i="71"/>
  <c r="LL18" i="71"/>
  <c r="LM18" i="71"/>
  <c r="LN18" i="71"/>
  <c r="LO18" i="71"/>
  <c r="LP18" i="71"/>
  <c r="LQ18" i="71"/>
  <c r="LR18" i="71"/>
  <c r="LS18" i="71"/>
  <c r="LT18" i="71"/>
  <c r="LU18" i="71"/>
  <c r="LV18" i="71"/>
  <c r="LW18" i="71"/>
  <c r="LX18" i="71"/>
  <c r="LY18" i="71"/>
  <c r="LZ18" i="71"/>
  <c r="MA18" i="71"/>
  <c r="MB18" i="71"/>
  <c r="MC18" i="71"/>
  <c r="MD18" i="71"/>
  <c r="LR24" i="67" s="1"/>
  <c r="ME18" i="71"/>
  <c r="MF18" i="71"/>
  <c r="MG18" i="71"/>
  <c r="MH18" i="71"/>
  <c r="MI18" i="71"/>
  <c r="MJ18" i="71"/>
  <c r="MK18" i="71"/>
  <c r="ML18" i="71"/>
  <c r="MM18" i="71"/>
  <c r="D19" i="71"/>
  <c r="E19" i="71"/>
  <c r="M19" i="71"/>
  <c r="N19" i="71"/>
  <c r="O19" i="71"/>
  <c r="R19" i="71"/>
  <c r="S19" i="71"/>
  <c r="T19" i="71"/>
  <c r="V19" i="71"/>
  <c r="J48" i="67" s="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BB19" i="71"/>
  <c r="BC19" i="71"/>
  <c r="BD19" i="71"/>
  <c r="BE19" i="71"/>
  <c r="BF19" i="71"/>
  <c r="BG19" i="71"/>
  <c r="BH19" i="71"/>
  <c r="BI19" i="71"/>
  <c r="BJ19" i="71"/>
  <c r="BK19" i="71"/>
  <c r="BL19" i="71"/>
  <c r="BM19" i="71"/>
  <c r="BN19" i="71"/>
  <c r="BO19" i="71"/>
  <c r="BP19" i="71"/>
  <c r="BQ19" i="71"/>
  <c r="BR19" i="71"/>
  <c r="BS19" i="71"/>
  <c r="BT19" i="71"/>
  <c r="BU19" i="71"/>
  <c r="BV19" i="71"/>
  <c r="BW19" i="71"/>
  <c r="BX19" i="71"/>
  <c r="BY19" i="71"/>
  <c r="BZ19" i="71"/>
  <c r="CA19" i="71"/>
  <c r="CB19" i="71"/>
  <c r="CC19" i="71"/>
  <c r="CD19" i="71"/>
  <c r="CE19" i="71"/>
  <c r="CF19" i="71"/>
  <c r="CG19" i="71"/>
  <c r="CH19" i="71"/>
  <c r="CI19" i="71"/>
  <c r="CJ19" i="71"/>
  <c r="CK19" i="71"/>
  <c r="CL19" i="71"/>
  <c r="CM19" i="71"/>
  <c r="CN19" i="71"/>
  <c r="CO19" i="71"/>
  <c r="CP19" i="71"/>
  <c r="CQ19" i="71"/>
  <c r="CR19" i="71"/>
  <c r="CS19" i="71"/>
  <c r="CT19" i="71"/>
  <c r="CU19" i="71"/>
  <c r="CV19" i="71"/>
  <c r="CW19" i="71"/>
  <c r="CX19" i="71"/>
  <c r="CY19" i="71"/>
  <c r="CZ19" i="71"/>
  <c r="DA19" i="71"/>
  <c r="DB19" i="71"/>
  <c r="DC19" i="71"/>
  <c r="DD19" i="71"/>
  <c r="DE19" i="71"/>
  <c r="DF19" i="71"/>
  <c r="DG19" i="71"/>
  <c r="DH19" i="71"/>
  <c r="DI19" i="71"/>
  <c r="DJ19" i="71"/>
  <c r="DK19" i="71"/>
  <c r="DL19" i="71"/>
  <c r="DM19" i="71"/>
  <c r="DN19" i="71"/>
  <c r="DO19" i="71"/>
  <c r="DP19" i="71"/>
  <c r="DQ19" i="71"/>
  <c r="DR19" i="71"/>
  <c r="DS19" i="71"/>
  <c r="DT19" i="71"/>
  <c r="DU19" i="71"/>
  <c r="DV19" i="71"/>
  <c r="DW19" i="71"/>
  <c r="DX19" i="71"/>
  <c r="DY19" i="71"/>
  <c r="DZ19" i="71"/>
  <c r="EA19" i="71"/>
  <c r="EB19" i="71"/>
  <c r="EC19" i="71"/>
  <c r="ED19" i="71"/>
  <c r="EE19" i="71"/>
  <c r="EF19" i="71"/>
  <c r="EG19" i="71"/>
  <c r="EH19" i="71"/>
  <c r="EI19" i="71"/>
  <c r="EJ19" i="71"/>
  <c r="EK19" i="71"/>
  <c r="EL19" i="71"/>
  <c r="EM19" i="71"/>
  <c r="EN19" i="71"/>
  <c r="EO19" i="71"/>
  <c r="EP19" i="71"/>
  <c r="EQ19" i="71"/>
  <c r="ER19" i="71"/>
  <c r="ES19" i="71"/>
  <c r="ET19" i="71"/>
  <c r="EU19" i="71"/>
  <c r="EV19" i="71"/>
  <c r="EW19" i="71"/>
  <c r="EX19" i="71"/>
  <c r="EY19" i="71"/>
  <c r="EZ19" i="71"/>
  <c r="FA19" i="71"/>
  <c r="FB19" i="71"/>
  <c r="FC19" i="71"/>
  <c r="FD19" i="71"/>
  <c r="FE19" i="71"/>
  <c r="FF19" i="71"/>
  <c r="FG19" i="71"/>
  <c r="FH19" i="71"/>
  <c r="FI19" i="71"/>
  <c r="FJ19" i="71"/>
  <c r="FK19" i="71"/>
  <c r="FL19" i="71"/>
  <c r="FM19" i="71"/>
  <c r="FN19" i="71"/>
  <c r="FO19" i="71"/>
  <c r="FP19" i="71"/>
  <c r="FQ19" i="71"/>
  <c r="FR19" i="71"/>
  <c r="FS19" i="71"/>
  <c r="FT19" i="71"/>
  <c r="FU19" i="71"/>
  <c r="FV19" i="71"/>
  <c r="FW19" i="71"/>
  <c r="FX19" i="71"/>
  <c r="FY19" i="71"/>
  <c r="FZ19" i="71"/>
  <c r="GA19" i="71"/>
  <c r="GB19" i="71"/>
  <c r="GC19" i="71"/>
  <c r="GD19" i="71"/>
  <c r="GE19" i="71"/>
  <c r="GF19" i="71"/>
  <c r="GG19" i="71"/>
  <c r="GH19" i="71"/>
  <c r="GI19" i="71"/>
  <c r="GJ19" i="71"/>
  <c r="GK19" i="71"/>
  <c r="GL19" i="71"/>
  <c r="GM19" i="71"/>
  <c r="GN19" i="71"/>
  <c r="GO19" i="71"/>
  <c r="GP19" i="71"/>
  <c r="GQ19" i="71"/>
  <c r="GR19" i="71"/>
  <c r="GS19" i="71"/>
  <c r="GT19" i="71"/>
  <c r="GU19" i="71"/>
  <c r="GV19" i="71"/>
  <c r="GW19" i="71"/>
  <c r="GX19" i="71"/>
  <c r="GY19" i="71"/>
  <c r="HK19" i="71"/>
  <c r="HS19" i="71"/>
  <c r="HT19" i="71"/>
  <c r="HU19" i="71"/>
  <c r="HV19" i="71"/>
  <c r="HW19" i="71"/>
  <c r="HX19" i="71"/>
  <c r="HY19" i="71"/>
  <c r="HZ19" i="71"/>
  <c r="IA19" i="71"/>
  <c r="IB19" i="71"/>
  <c r="IC19" i="71"/>
  <c r="ID19" i="71"/>
  <c r="IE19" i="71"/>
  <c r="IF19" i="71"/>
  <c r="IG19" i="71"/>
  <c r="IH19" i="71"/>
  <c r="II19" i="71"/>
  <c r="IJ19" i="71"/>
  <c r="IK19" i="71"/>
  <c r="IL19" i="71"/>
  <c r="IM19" i="71"/>
  <c r="IN19" i="71"/>
  <c r="IO19" i="71"/>
  <c r="IP19" i="71"/>
  <c r="IQ19" i="71"/>
  <c r="IR19" i="71"/>
  <c r="IS19" i="71"/>
  <c r="IT19" i="71"/>
  <c r="IU19" i="71"/>
  <c r="IV19" i="71"/>
  <c r="IW19" i="71"/>
  <c r="IX19" i="71"/>
  <c r="IY19" i="71"/>
  <c r="IZ19" i="71"/>
  <c r="JL19" i="71"/>
  <c r="JM19" i="71"/>
  <c r="JN19" i="71"/>
  <c r="JO19" i="71"/>
  <c r="JP19" i="71"/>
  <c r="JQ19" i="71"/>
  <c r="JR19" i="71"/>
  <c r="JS19" i="71"/>
  <c r="JT19" i="71"/>
  <c r="JU19" i="71"/>
  <c r="JV19" i="71"/>
  <c r="JW19" i="71"/>
  <c r="JX19" i="71"/>
  <c r="JY19" i="71"/>
  <c r="JZ19" i="71"/>
  <c r="KA19" i="71"/>
  <c r="KB19" i="71"/>
  <c r="KC19" i="71"/>
  <c r="KD19" i="71"/>
  <c r="KE19" i="71"/>
  <c r="KF19" i="71"/>
  <c r="KG19" i="71"/>
  <c r="KH19" i="71"/>
  <c r="KI19" i="71"/>
  <c r="KJ19" i="71"/>
  <c r="KK19" i="71"/>
  <c r="KL19" i="71"/>
  <c r="KM19" i="71"/>
  <c r="KN19" i="71"/>
  <c r="KO19" i="71"/>
  <c r="KP19" i="71"/>
  <c r="KQ19" i="71"/>
  <c r="KR19" i="71"/>
  <c r="KS19" i="71"/>
  <c r="KT19" i="71"/>
  <c r="KU19" i="71"/>
  <c r="KV19" i="71"/>
  <c r="KW19" i="71"/>
  <c r="KX19" i="71"/>
  <c r="KY19" i="71"/>
  <c r="KZ19" i="71"/>
  <c r="LA19" i="71"/>
  <c r="LB19" i="71"/>
  <c r="LC19" i="71"/>
  <c r="LD19" i="71"/>
  <c r="LE19" i="71"/>
  <c r="LF19" i="71"/>
  <c r="LG19" i="71"/>
  <c r="LH19" i="71"/>
  <c r="LI19" i="71"/>
  <c r="LJ19" i="71"/>
  <c r="LK19" i="71"/>
  <c r="LL19" i="71"/>
  <c r="LM19" i="71"/>
  <c r="LN19" i="71"/>
  <c r="LO19" i="71"/>
  <c r="LP19" i="71"/>
  <c r="LQ19" i="71"/>
  <c r="LR19" i="71"/>
  <c r="LS19" i="71"/>
  <c r="LT19" i="71"/>
  <c r="LU19" i="71"/>
  <c r="LV19" i="71"/>
  <c r="LW19" i="71"/>
  <c r="LX19" i="71"/>
  <c r="LY19" i="71"/>
  <c r="LZ19" i="71"/>
  <c r="MA19" i="71"/>
  <c r="MB19" i="71"/>
  <c r="MC19" i="71"/>
  <c r="MD19" i="71"/>
  <c r="ME19" i="71"/>
  <c r="MF19" i="71"/>
  <c r="MG19" i="71"/>
  <c r="MH19" i="71"/>
  <c r="MI19" i="71"/>
  <c r="MJ19" i="71"/>
  <c r="MK19" i="71"/>
  <c r="ML19" i="71"/>
  <c r="D58" i="71"/>
  <c r="E58" i="71"/>
  <c r="M58" i="71"/>
  <c r="N58" i="71"/>
  <c r="O58" i="71"/>
  <c r="R58" i="71"/>
  <c r="S58" i="71"/>
  <c r="T58" i="71"/>
  <c r="U58" i="71"/>
  <c r="V58" i="71"/>
  <c r="W58" i="71"/>
  <c r="X58" i="71"/>
  <c r="Y58" i="71"/>
  <c r="Z58" i="71"/>
  <c r="AA58" i="71"/>
  <c r="AB58" i="71"/>
  <c r="AC58" i="71"/>
  <c r="AD58" i="71"/>
  <c r="AE58" i="71"/>
  <c r="T26" i="67"/>
  <c r="U26" i="67"/>
  <c r="AH58" i="71"/>
  <c r="AI58" i="71"/>
  <c r="AJ58" i="71"/>
  <c r="AK58" i="71"/>
  <c r="AL58" i="71"/>
  <c r="AM58" i="71"/>
  <c r="AN58" i="71"/>
  <c r="AO58" i="71"/>
  <c r="AP58" i="71"/>
  <c r="AQ58" i="71"/>
  <c r="AR58" i="71"/>
  <c r="AS58" i="71"/>
  <c r="AT58" i="71"/>
  <c r="AU58" i="71"/>
  <c r="AV58" i="71"/>
  <c r="AW58" i="71"/>
  <c r="AX58" i="71"/>
  <c r="AY58" i="71"/>
  <c r="AZ58" i="71"/>
  <c r="BA58" i="71"/>
  <c r="BB58" i="71"/>
  <c r="BC58" i="71"/>
  <c r="BD58" i="71"/>
  <c r="BE58" i="71"/>
  <c r="BF58" i="71"/>
  <c r="BG58" i="71"/>
  <c r="BH58" i="71"/>
  <c r="BI58" i="71"/>
  <c r="BJ58" i="71"/>
  <c r="BK58" i="71"/>
  <c r="BL58" i="71"/>
  <c r="BM58" i="71"/>
  <c r="BN58" i="71"/>
  <c r="BO58" i="71"/>
  <c r="BP58" i="71"/>
  <c r="BQ58" i="71"/>
  <c r="BR58" i="71"/>
  <c r="BS58" i="71"/>
  <c r="BT58" i="71"/>
  <c r="BU58" i="71"/>
  <c r="BV58" i="71"/>
  <c r="BW58" i="71"/>
  <c r="BX58" i="71"/>
  <c r="BY58" i="71"/>
  <c r="BZ58" i="71"/>
  <c r="CA58" i="71"/>
  <c r="CB58" i="71"/>
  <c r="CC58" i="71"/>
  <c r="CD58" i="71"/>
  <c r="CE58" i="71"/>
  <c r="CF58" i="71"/>
  <c r="CG58" i="71"/>
  <c r="CH58" i="71"/>
  <c r="CI58" i="71"/>
  <c r="CJ58" i="71"/>
  <c r="CK58" i="71"/>
  <c r="CL58" i="71"/>
  <c r="CM58" i="71"/>
  <c r="CN58" i="71"/>
  <c r="CO58" i="71"/>
  <c r="CP58" i="71"/>
  <c r="CQ58" i="71"/>
  <c r="CR58" i="71"/>
  <c r="CS58" i="71"/>
  <c r="CT58" i="71"/>
  <c r="CU58" i="71"/>
  <c r="CV58" i="71"/>
  <c r="CW58" i="71"/>
  <c r="CX58" i="71"/>
  <c r="CY58" i="71"/>
  <c r="CZ58" i="71"/>
  <c r="DA58" i="71"/>
  <c r="DB58" i="71"/>
  <c r="DC58" i="71"/>
  <c r="DD58" i="71"/>
  <c r="DE58" i="71"/>
  <c r="DF58" i="71"/>
  <c r="DG58" i="71"/>
  <c r="DH58" i="71"/>
  <c r="DI58" i="71"/>
  <c r="DJ58" i="71"/>
  <c r="DK58" i="71"/>
  <c r="DL58" i="71"/>
  <c r="DM58" i="71"/>
  <c r="DN58" i="71"/>
  <c r="DO58" i="71"/>
  <c r="DP58" i="71"/>
  <c r="DQ58" i="71"/>
  <c r="DR58" i="71"/>
  <c r="DS58" i="71"/>
  <c r="DT58" i="71"/>
  <c r="DU58" i="71"/>
  <c r="DV58" i="71"/>
  <c r="DW58" i="71"/>
  <c r="DX58" i="71"/>
  <c r="DY58" i="71"/>
  <c r="DZ58" i="71"/>
  <c r="EA58" i="71"/>
  <c r="EB58" i="71"/>
  <c r="EC58" i="71"/>
  <c r="ED58" i="71"/>
  <c r="EE58" i="71"/>
  <c r="EF58" i="71"/>
  <c r="EG58" i="71"/>
  <c r="EH58" i="71"/>
  <c r="EI58" i="71"/>
  <c r="EJ58" i="71"/>
  <c r="EK58" i="71"/>
  <c r="EL58" i="71"/>
  <c r="EM58" i="71"/>
  <c r="EN58" i="71"/>
  <c r="EO58" i="71"/>
  <c r="EP58" i="71"/>
  <c r="EQ58" i="71"/>
  <c r="ER58" i="71"/>
  <c r="ES58" i="71"/>
  <c r="ET58" i="71"/>
  <c r="EU58" i="71"/>
  <c r="EV58" i="71"/>
  <c r="EW58" i="71"/>
  <c r="EX58" i="71"/>
  <c r="EY58" i="71"/>
  <c r="EZ58" i="71"/>
  <c r="FA58" i="71"/>
  <c r="FB58" i="71"/>
  <c r="FC58" i="71"/>
  <c r="FD58" i="71"/>
  <c r="FE58" i="71"/>
  <c r="FF58" i="71"/>
  <c r="FG58" i="71"/>
  <c r="FH58" i="71"/>
  <c r="FI58" i="71"/>
  <c r="FJ58" i="71"/>
  <c r="FK58" i="71"/>
  <c r="FL58" i="71"/>
  <c r="FM58" i="71"/>
  <c r="FN58" i="71"/>
  <c r="FO58" i="71"/>
  <c r="FP58" i="71"/>
  <c r="FQ58" i="71"/>
  <c r="FR58" i="71"/>
  <c r="FS58" i="71"/>
  <c r="FT58" i="71"/>
  <c r="FU58" i="71"/>
  <c r="FV58" i="71"/>
  <c r="FW58" i="71"/>
  <c r="FX58" i="71"/>
  <c r="FY58" i="71"/>
  <c r="FZ58" i="71"/>
  <c r="GA58" i="71"/>
  <c r="GB58" i="71"/>
  <c r="GC58" i="71"/>
  <c r="GD58" i="71"/>
  <c r="GE58" i="71"/>
  <c r="GF58" i="71"/>
  <c r="GG58" i="71"/>
  <c r="GH58" i="71"/>
  <c r="GI58" i="71"/>
  <c r="GJ58" i="71"/>
  <c r="GK58" i="71"/>
  <c r="GL58" i="71"/>
  <c r="GM58" i="71"/>
  <c r="GN58" i="71"/>
  <c r="GO58" i="71"/>
  <c r="GP58" i="71"/>
  <c r="GQ58" i="71"/>
  <c r="GR58" i="71"/>
  <c r="GS58" i="71"/>
  <c r="GT58" i="71"/>
  <c r="GU58" i="71"/>
  <c r="GV58" i="71"/>
  <c r="GW58" i="71"/>
  <c r="GX58" i="71"/>
  <c r="GY58" i="71"/>
  <c r="GZ58" i="71"/>
  <c r="HA58" i="71"/>
  <c r="HB58" i="71"/>
  <c r="HC58" i="71"/>
  <c r="HD58" i="71"/>
  <c r="HE58" i="71"/>
  <c r="HF58" i="71"/>
  <c r="HG58" i="71"/>
  <c r="HH58" i="71"/>
  <c r="HI58" i="71"/>
  <c r="HJ58" i="71"/>
  <c r="HK58" i="71"/>
  <c r="HL58" i="71"/>
  <c r="HM58" i="71"/>
  <c r="HN58" i="71"/>
  <c r="HO58" i="71"/>
  <c r="HP58" i="71"/>
  <c r="HQ58" i="71"/>
  <c r="HR58" i="71"/>
  <c r="HT58" i="71"/>
  <c r="HU58" i="71"/>
  <c r="HV58" i="71"/>
  <c r="HW58" i="71"/>
  <c r="HX58" i="71"/>
  <c r="HY58" i="71"/>
  <c r="HZ58" i="71"/>
  <c r="IA58" i="71"/>
  <c r="IB58" i="71"/>
  <c r="IC58" i="71"/>
  <c r="ID58" i="71"/>
  <c r="IE58" i="71"/>
  <c r="IF58" i="71"/>
  <c r="IG58" i="71"/>
  <c r="IH58" i="71"/>
  <c r="II58" i="71"/>
  <c r="IJ58" i="71"/>
  <c r="IK58" i="71"/>
  <c r="IL58" i="71"/>
  <c r="IM58" i="71"/>
  <c r="IN58" i="71"/>
  <c r="IO58" i="71"/>
  <c r="IP58" i="71"/>
  <c r="IQ58" i="71"/>
  <c r="IR58" i="71"/>
  <c r="IS58" i="71"/>
  <c r="IT58" i="71"/>
  <c r="IU58" i="71"/>
  <c r="IV58" i="71"/>
  <c r="IW58" i="71"/>
  <c r="IX58" i="71"/>
  <c r="IY58" i="71"/>
  <c r="IZ58" i="71"/>
  <c r="JA58" i="71"/>
  <c r="JB58" i="71"/>
  <c r="JC58" i="71"/>
  <c r="JD58" i="71"/>
  <c r="JE58" i="71"/>
  <c r="JF58" i="71"/>
  <c r="JG58" i="71"/>
  <c r="JH58" i="71"/>
  <c r="JI58" i="71"/>
  <c r="JJ58" i="71"/>
  <c r="JK58" i="71"/>
  <c r="JL58" i="71"/>
  <c r="JM58" i="71"/>
  <c r="JN58" i="71"/>
  <c r="JO58" i="71"/>
  <c r="JP58" i="71"/>
  <c r="JQ58" i="71"/>
  <c r="JR58" i="71"/>
  <c r="JS58" i="71"/>
  <c r="JT58" i="71"/>
  <c r="JU58" i="71"/>
  <c r="JV58" i="71"/>
  <c r="JW58" i="71"/>
  <c r="JX58" i="71"/>
  <c r="JY58" i="71"/>
  <c r="JZ58" i="71"/>
  <c r="KA58" i="71"/>
  <c r="KB58" i="71"/>
  <c r="KC58" i="71"/>
  <c r="KD58" i="71"/>
  <c r="KE58" i="71"/>
  <c r="KF58" i="71"/>
  <c r="KG58" i="71"/>
  <c r="KH58" i="71"/>
  <c r="KI58" i="71"/>
  <c r="KJ58" i="71"/>
  <c r="KK58" i="71"/>
  <c r="KL58" i="71"/>
  <c r="KM58" i="71"/>
  <c r="KN58" i="71"/>
  <c r="KO58" i="71"/>
  <c r="KP58" i="71"/>
  <c r="KQ58" i="71"/>
  <c r="KR58" i="71"/>
  <c r="KS58" i="71"/>
  <c r="KT58" i="71"/>
  <c r="KU58" i="71"/>
  <c r="KV58" i="71"/>
  <c r="KW58" i="71"/>
  <c r="KX58" i="71"/>
  <c r="KY58" i="71"/>
  <c r="KZ58" i="71"/>
  <c r="LA58" i="71"/>
  <c r="LB58" i="71"/>
  <c r="LC58" i="71"/>
  <c r="LD58" i="71"/>
  <c r="LE58" i="71"/>
  <c r="LF58" i="71"/>
  <c r="LG58" i="71"/>
  <c r="LH58" i="71"/>
  <c r="LI58" i="71"/>
  <c r="LJ58" i="71"/>
  <c r="LK58" i="71"/>
  <c r="LL58" i="71"/>
  <c r="LM58" i="71"/>
  <c r="LN58" i="71"/>
  <c r="LO58" i="71"/>
  <c r="LP58" i="71"/>
  <c r="LQ58" i="71"/>
  <c r="LR58" i="71"/>
  <c r="LS58" i="71"/>
  <c r="LT58" i="71"/>
  <c r="LU58" i="71"/>
  <c r="LV58" i="71"/>
  <c r="LW58" i="71"/>
  <c r="LX58" i="71"/>
  <c r="LY58" i="71"/>
  <c r="LZ58" i="71"/>
  <c r="MA58" i="71"/>
  <c r="MB58" i="71"/>
  <c r="MC58" i="71"/>
  <c r="ME58" i="71"/>
  <c r="MF58" i="71"/>
  <c r="MG58" i="71"/>
  <c r="MH58" i="71"/>
  <c r="MI58" i="71"/>
  <c r="MJ58" i="71"/>
  <c r="MK58" i="71"/>
  <c r="ML58" i="71"/>
  <c r="MM58" i="71"/>
  <c r="D56" i="71"/>
  <c r="A27" i="67" s="1"/>
  <c r="E56" i="71"/>
  <c r="B27" i="67" s="1"/>
  <c r="M56" i="71"/>
  <c r="C27" i="67" s="1"/>
  <c r="N56" i="71"/>
  <c r="D27" i="67" s="1"/>
  <c r="O56" i="71"/>
  <c r="E27" i="67" s="1"/>
  <c r="R56" i="71"/>
  <c r="F27" i="67" s="1"/>
  <c r="S56" i="71"/>
  <c r="G27" i="67" s="1"/>
  <c r="T56" i="71"/>
  <c r="H27" i="67" s="1"/>
  <c r="U56" i="71"/>
  <c r="I27" i="67" s="1"/>
  <c r="V56" i="71"/>
  <c r="W56" i="71"/>
  <c r="K27" i="67" s="1"/>
  <c r="X56" i="71"/>
  <c r="L27" i="67" s="1"/>
  <c r="Y56" i="71"/>
  <c r="M27" i="67" s="1"/>
  <c r="Z56" i="71"/>
  <c r="N27" i="67" s="1"/>
  <c r="AA56" i="71"/>
  <c r="O27" i="67" s="1"/>
  <c r="AB56" i="71"/>
  <c r="P27" i="67" s="1"/>
  <c r="AC56" i="71"/>
  <c r="Q27" i="67" s="1"/>
  <c r="AD56" i="71"/>
  <c r="R27" i="67" s="1"/>
  <c r="AE56" i="71"/>
  <c r="S27" i="67" s="1"/>
  <c r="AF56" i="71"/>
  <c r="T27" i="67" s="1"/>
  <c r="AG56" i="71"/>
  <c r="U27" i="67" s="1"/>
  <c r="AH56" i="71"/>
  <c r="V27" i="67" s="1"/>
  <c r="AI56" i="71"/>
  <c r="W27" i="67" s="1"/>
  <c r="AJ56" i="71"/>
  <c r="X27" i="67" s="1"/>
  <c r="AK56" i="71"/>
  <c r="Y27" i="67" s="1"/>
  <c r="AL56" i="71"/>
  <c r="Z27" i="67" s="1"/>
  <c r="AM56" i="71"/>
  <c r="AA27" i="67" s="1"/>
  <c r="AN56" i="71"/>
  <c r="AB27" i="67" s="1"/>
  <c r="AO56" i="71"/>
  <c r="AC27" i="67" s="1"/>
  <c r="AP56" i="71"/>
  <c r="AD27" i="67" s="1"/>
  <c r="AQ56" i="71"/>
  <c r="AE27" i="67" s="1"/>
  <c r="AR56" i="71"/>
  <c r="AF27" i="67" s="1"/>
  <c r="AS56" i="71"/>
  <c r="AT56" i="71"/>
  <c r="AH27" i="67" s="1"/>
  <c r="AU56" i="71"/>
  <c r="AI27" i="67" s="1"/>
  <c r="AV56" i="71"/>
  <c r="AJ27" i="67" s="1"/>
  <c r="AW56" i="71"/>
  <c r="AK27" i="67" s="1"/>
  <c r="AX56" i="71"/>
  <c r="AL27" i="67" s="1"/>
  <c r="AY56" i="71"/>
  <c r="AM27" i="67" s="1"/>
  <c r="AZ56" i="71"/>
  <c r="AN27" i="67" s="1"/>
  <c r="BA56" i="71"/>
  <c r="AO27" i="67" s="1"/>
  <c r="BB56" i="71"/>
  <c r="AP27" i="67" s="1"/>
  <c r="BC56" i="71"/>
  <c r="AQ27" i="67" s="1"/>
  <c r="BD56" i="71"/>
  <c r="AR27" i="67" s="1"/>
  <c r="BE56" i="71"/>
  <c r="AS27" i="67" s="1"/>
  <c r="BF56" i="71"/>
  <c r="AT27" i="67" s="1"/>
  <c r="BG56" i="71"/>
  <c r="AU27" i="67" s="1"/>
  <c r="BH56" i="71"/>
  <c r="AV27" i="67" s="1"/>
  <c r="BI56" i="71"/>
  <c r="AW27" i="67" s="1"/>
  <c r="BJ56" i="71"/>
  <c r="AX27" i="67" s="1"/>
  <c r="BK56" i="71"/>
  <c r="AY27" i="67" s="1"/>
  <c r="BL56" i="71"/>
  <c r="AZ27" i="67" s="1"/>
  <c r="BM56" i="71"/>
  <c r="BA27" i="67" s="1"/>
  <c r="BN56" i="71"/>
  <c r="BB27" i="67" s="1"/>
  <c r="BO56" i="71"/>
  <c r="BC27" i="67" s="1"/>
  <c r="BP56" i="71"/>
  <c r="BD27" i="67" s="1"/>
  <c r="BQ56" i="71"/>
  <c r="BE27" i="67" s="1"/>
  <c r="BR56" i="71"/>
  <c r="BF27" i="67" s="1"/>
  <c r="BS56" i="71"/>
  <c r="BG27" i="67" s="1"/>
  <c r="BT56" i="71"/>
  <c r="BH27" i="67" s="1"/>
  <c r="BU56" i="71"/>
  <c r="BI27" i="67" s="1"/>
  <c r="BV56" i="71"/>
  <c r="BJ27" i="67" s="1"/>
  <c r="BW56" i="71"/>
  <c r="BK27" i="67" s="1"/>
  <c r="BX56" i="71"/>
  <c r="BL27" i="67" s="1"/>
  <c r="BY56" i="71"/>
  <c r="BM27" i="67" s="1"/>
  <c r="BZ56" i="71"/>
  <c r="BN27" i="67" s="1"/>
  <c r="CA56" i="71"/>
  <c r="BO27" i="67" s="1"/>
  <c r="CB56" i="71"/>
  <c r="BP27" i="67" s="1"/>
  <c r="CC56" i="71"/>
  <c r="BQ27" i="67" s="1"/>
  <c r="CD56" i="71"/>
  <c r="BR27" i="67" s="1"/>
  <c r="CE56" i="71"/>
  <c r="BS27" i="67" s="1"/>
  <c r="CF56" i="71"/>
  <c r="BT27" i="67" s="1"/>
  <c r="CG56" i="71"/>
  <c r="BU27" i="67" s="1"/>
  <c r="CH56" i="71"/>
  <c r="BV27" i="67" s="1"/>
  <c r="CI56" i="71"/>
  <c r="BW27" i="67" s="1"/>
  <c r="CJ56" i="71"/>
  <c r="BX27" i="67" s="1"/>
  <c r="CK56" i="71"/>
  <c r="BY27" i="67" s="1"/>
  <c r="CL56" i="71"/>
  <c r="BZ27" i="67" s="1"/>
  <c r="CM56" i="71"/>
  <c r="CA27" i="67" s="1"/>
  <c r="CN56" i="71"/>
  <c r="CB27" i="67" s="1"/>
  <c r="CO56" i="71"/>
  <c r="CC27" i="67" s="1"/>
  <c r="CP56" i="71"/>
  <c r="CD27" i="67" s="1"/>
  <c r="CQ56" i="71"/>
  <c r="CE27" i="67" s="1"/>
  <c r="CR56" i="71"/>
  <c r="CF27" i="67" s="1"/>
  <c r="CS56" i="71"/>
  <c r="CG27" i="67" s="1"/>
  <c r="CT56" i="71"/>
  <c r="CH27" i="67" s="1"/>
  <c r="CU56" i="71"/>
  <c r="CI27" i="67" s="1"/>
  <c r="CV56" i="71"/>
  <c r="CJ27" i="67" s="1"/>
  <c r="CW56" i="71"/>
  <c r="CK27" i="67" s="1"/>
  <c r="CX56" i="71"/>
  <c r="CL27" i="67" s="1"/>
  <c r="CY56" i="71"/>
  <c r="CM27" i="67" s="1"/>
  <c r="CZ56" i="71"/>
  <c r="CN27" i="67" s="1"/>
  <c r="DA56" i="71"/>
  <c r="CO27" i="67" s="1"/>
  <c r="DB56" i="71"/>
  <c r="CP27" i="67" s="1"/>
  <c r="DC56" i="71"/>
  <c r="CQ27" i="67" s="1"/>
  <c r="DD56" i="71"/>
  <c r="CR27" i="67" s="1"/>
  <c r="DE56" i="71"/>
  <c r="CS27" i="67" s="1"/>
  <c r="DF56" i="71"/>
  <c r="CT27" i="67" s="1"/>
  <c r="DG56" i="71"/>
  <c r="CU27" i="67" s="1"/>
  <c r="DH56" i="71"/>
  <c r="CV27" i="67" s="1"/>
  <c r="DI56" i="71"/>
  <c r="CW27" i="67" s="1"/>
  <c r="DJ56" i="71"/>
  <c r="CX27" i="67" s="1"/>
  <c r="DK56" i="71"/>
  <c r="CY27" i="67" s="1"/>
  <c r="DL56" i="71"/>
  <c r="CZ27" i="67" s="1"/>
  <c r="DM56" i="71"/>
  <c r="DA27" i="67" s="1"/>
  <c r="DN56" i="71"/>
  <c r="DB27" i="67" s="1"/>
  <c r="DO56" i="71"/>
  <c r="DC27" i="67" s="1"/>
  <c r="DP56" i="71"/>
  <c r="DD27" i="67" s="1"/>
  <c r="DQ56" i="71"/>
  <c r="DE27" i="67" s="1"/>
  <c r="DR56" i="71"/>
  <c r="DF27" i="67" s="1"/>
  <c r="DS56" i="71"/>
  <c r="DG27" i="67" s="1"/>
  <c r="DT56" i="71"/>
  <c r="DH27" i="67" s="1"/>
  <c r="DU56" i="71"/>
  <c r="DI27" i="67" s="1"/>
  <c r="DV56" i="71"/>
  <c r="DJ27" i="67" s="1"/>
  <c r="DW56" i="71"/>
  <c r="DK27" i="67" s="1"/>
  <c r="DX56" i="71"/>
  <c r="DL27" i="67" s="1"/>
  <c r="DY56" i="71"/>
  <c r="DM27" i="67" s="1"/>
  <c r="DZ56" i="71"/>
  <c r="DN27" i="67" s="1"/>
  <c r="EA56" i="71"/>
  <c r="DO27" i="67" s="1"/>
  <c r="EB56" i="71"/>
  <c r="DP27" i="67" s="1"/>
  <c r="EC56" i="71"/>
  <c r="DQ27" i="67" s="1"/>
  <c r="ED56" i="71"/>
  <c r="DR27" i="67" s="1"/>
  <c r="EE56" i="71"/>
  <c r="DS27" i="67" s="1"/>
  <c r="EF56" i="71"/>
  <c r="DT27" i="67" s="1"/>
  <c r="EG56" i="71"/>
  <c r="DU27" i="67" s="1"/>
  <c r="EH56" i="71"/>
  <c r="DV27" i="67" s="1"/>
  <c r="EI56" i="71"/>
  <c r="DW27" i="67" s="1"/>
  <c r="EJ56" i="71"/>
  <c r="DX27" i="67" s="1"/>
  <c r="EK56" i="71"/>
  <c r="DY27" i="67" s="1"/>
  <c r="EL56" i="71"/>
  <c r="DZ27" i="67" s="1"/>
  <c r="EM56" i="71"/>
  <c r="EA27" i="67" s="1"/>
  <c r="EN56" i="71"/>
  <c r="EB27" i="67" s="1"/>
  <c r="EO56" i="71"/>
  <c r="EC27" i="67" s="1"/>
  <c r="EP56" i="71"/>
  <c r="ED27" i="67" s="1"/>
  <c r="EQ56" i="71"/>
  <c r="EE27" i="67" s="1"/>
  <c r="ER56" i="71"/>
  <c r="EF27" i="67" s="1"/>
  <c r="ES56" i="71"/>
  <c r="EG27" i="67" s="1"/>
  <c r="ET56" i="71"/>
  <c r="EH27" i="67" s="1"/>
  <c r="EU56" i="71"/>
  <c r="EI27" i="67" s="1"/>
  <c r="EV56" i="71"/>
  <c r="EJ27" i="67" s="1"/>
  <c r="EW56" i="71"/>
  <c r="EK27" i="67" s="1"/>
  <c r="EX56" i="71"/>
  <c r="EL27" i="67" s="1"/>
  <c r="EY56" i="71"/>
  <c r="EM27" i="67" s="1"/>
  <c r="EZ56" i="71"/>
  <c r="EN27" i="67" s="1"/>
  <c r="FA56" i="71"/>
  <c r="EO27" i="67" s="1"/>
  <c r="FB56" i="71"/>
  <c r="EP27" i="67" s="1"/>
  <c r="FC56" i="71"/>
  <c r="EQ27" i="67" s="1"/>
  <c r="FD56" i="71"/>
  <c r="ER27" i="67" s="1"/>
  <c r="FE56" i="71"/>
  <c r="ES27" i="67" s="1"/>
  <c r="FF56" i="71"/>
  <c r="ET27" i="67" s="1"/>
  <c r="FG56" i="71"/>
  <c r="EU27" i="67" s="1"/>
  <c r="FH56" i="71"/>
  <c r="EV27" i="67" s="1"/>
  <c r="FI56" i="71"/>
  <c r="EW27" i="67" s="1"/>
  <c r="FJ56" i="71"/>
  <c r="EX27" i="67" s="1"/>
  <c r="FK56" i="71"/>
  <c r="EY27" i="67" s="1"/>
  <c r="FL56" i="71"/>
  <c r="EZ27" i="67" s="1"/>
  <c r="FM56" i="71"/>
  <c r="FA27" i="67" s="1"/>
  <c r="FN56" i="71"/>
  <c r="FB27" i="67" s="1"/>
  <c r="FO56" i="71"/>
  <c r="FC27" i="67" s="1"/>
  <c r="FP56" i="71"/>
  <c r="FD27" i="67" s="1"/>
  <c r="FQ56" i="71"/>
  <c r="FE27" i="67" s="1"/>
  <c r="FR56" i="71"/>
  <c r="FF27" i="67" s="1"/>
  <c r="FS56" i="71"/>
  <c r="FG27" i="67" s="1"/>
  <c r="FT56" i="71"/>
  <c r="FH27" i="67" s="1"/>
  <c r="FU56" i="71"/>
  <c r="FI27" i="67" s="1"/>
  <c r="FV56" i="71"/>
  <c r="FJ27" i="67" s="1"/>
  <c r="FW56" i="71"/>
  <c r="FK27" i="67" s="1"/>
  <c r="FX56" i="71"/>
  <c r="FL27" i="67" s="1"/>
  <c r="FY56" i="71"/>
  <c r="FM27" i="67" s="1"/>
  <c r="FZ56" i="71"/>
  <c r="FN27" i="67" s="1"/>
  <c r="GA56" i="71"/>
  <c r="FO27" i="67" s="1"/>
  <c r="GB56" i="71"/>
  <c r="FP27" i="67" s="1"/>
  <c r="GC56" i="71"/>
  <c r="FQ27" i="67" s="1"/>
  <c r="GD56" i="71"/>
  <c r="FR27" i="67" s="1"/>
  <c r="GE56" i="71"/>
  <c r="FS27" i="67" s="1"/>
  <c r="GF56" i="71"/>
  <c r="FT27" i="67" s="1"/>
  <c r="GG56" i="71"/>
  <c r="FU27" i="67" s="1"/>
  <c r="GH56" i="71"/>
  <c r="FV27" i="67" s="1"/>
  <c r="GI56" i="71"/>
  <c r="FW27" i="67" s="1"/>
  <c r="GJ56" i="71"/>
  <c r="FX27" i="67" s="1"/>
  <c r="GK56" i="71"/>
  <c r="FY27" i="67" s="1"/>
  <c r="GL56" i="71"/>
  <c r="FZ27" i="67" s="1"/>
  <c r="GM56" i="71"/>
  <c r="GA27" i="67" s="1"/>
  <c r="GN56" i="71"/>
  <c r="GB27" i="67" s="1"/>
  <c r="GO56" i="71"/>
  <c r="GC27" i="67" s="1"/>
  <c r="GP56" i="71"/>
  <c r="GD27" i="67" s="1"/>
  <c r="GQ56" i="71"/>
  <c r="GE27" i="67" s="1"/>
  <c r="GR56" i="71"/>
  <c r="GF27" i="67" s="1"/>
  <c r="GS56" i="71"/>
  <c r="GG27" i="67" s="1"/>
  <c r="GT56" i="71"/>
  <c r="GH27" i="67" s="1"/>
  <c r="GU56" i="71"/>
  <c r="GI27" i="67" s="1"/>
  <c r="GV56" i="71"/>
  <c r="GJ27" i="67" s="1"/>
  <c r="GW56" i="71"/>
  <c r="GK27" i="67" s="1"/>
  <c r="GX56" i="71"/>
  <c r="GL27" i="67" s="1"/>
  <c r="GY56" i="71"/>
  <c r="GM27" i="67" s="1"/>
  <c r="GZ56" i="71"/>
  <c r="GN27" i="67" s="1"/>
  <c r="HA56" i="71"/>
  <c r="GO27" i="67" s="1"/>
  <c r="HB56" i="71"/>
  <c r="GP27" i="67" s="1"/>
  <c r="HC56" i="71"/>
  <c r="GQ27" i="67" s="1"/>
  <c r="HD56" i="71"/>
  <c r="GR27" i="67" s="1"/>
  <c r="HE56" i="71"/>
  <c r="GS27" i="67" s="1"/>
  <c r="HF56" i="71"/>
  <c r="GT27" i="67" s="1"/>
  <c r="HG56" i="71"/>
  <c r="GU27" i="67" s="1"/>
  <c r="HH56" i="71"/>
  <c r="GV27" i="67" s="1"/>
  <c r="HI56" i="71"/>
  <c r="GW27" i="67" s="1"/>
  <c r="HJ56" i="71"/>
  <c r="GX27" i="67" s="1"/>
  <c r="HK56" i="71"/>
  <c r="GY27" i="67" s="1"/>
  <c r="HL56" i="71"/>
  <c r="GZ27" i="67" s="1"/>
  <c r="HM56" i="71"/>
  <c r="HA27" i="67" s="1"/>
  <c r="HN56" i="71"/>
  <c r="HB27" i="67" s="1"/>
  <c r="HO56" i="71"/>
  <c r="HC27" i="67" s="1"/>
  <c r="HP56" i="71"/>
  <c r="HD27" i="67" s="1"/>
  <c r="HQ56" i="71"/>
  <c r="HE27" i="67" s="1"/>
  <c r="HR56" i="71"/>
  <c r="HF27" i="67" s="1"/>
  <c r="HS56" i="71"/>
  <c r="HG27" i="67" s="1"/>
  <c r="HT56" i="71"/>
  <c r="HH27" i="67" s="1"/>
  <c r="HU56" i="71"/>
  <c r="HI27" i="67" s="1"/>
  <c r="HV56" i="71"/>
  <c r="HJ27" i="67" s="1"/>
  <c r="HW56" i="71"/>
  <c r="HK27" i="67" s="1"/>
  <c r="HX56" i="71"/>
  <c r="HL27" i="67" s="1"/>
  <c r="HY56" i="71"/>
  <c r="HM27" i="67" s="1"/>
  <c r="HZ56" i="71"/>
  <c r="HN27" i="67" s="1"/>
  <c r="IA56" i="71"/>
  <c r="HO27" i="67" s="1"/>
  <c r="IB56" i="71"/>
  <c r="HP27" i="67" s="1"/>
  <c r="IC56" i="71"/>
  <c r="HQ27" i="67" s="1"/>
  <c r="ID56" i="71"/>
  <c r="HR27" i="67" s="1"/>
  <c r="IE56" i="71"/>
  <c r="HS27" i="67" s="1"/>
  <c r="IF56" i="71"/>
  <c r="HT27" i="67" s="1"/>
  <c r="IG56" i="71"/>
  <c r="HU27" i="67" s="1"/>
  <c r="IH56" i="71"/>
  <c r="HV27" i="67" s="1"/>
  <c r="II56" i="71"/>
  <c r="HW27" i="67" s="1"/>
  <c r="IJ56" i="71"/>
  <c r="HX27" i="67" s="1"/>
  <c r="IK56" i="71"/>
  <c r="HY27" i="67" s="1"/>
  <c r="IL56" i="71"/>
  <c r="HZ27" i="67" s="1"/>
  <c r="IM56" i="71"/>
  <c r="IA27" i="67" s="1"/>
  <c r="IN56" i="71"/>
  <c r="IB27" i="67" s="1"/>
  <c r="IO56" i="71"/>
  <c r="IC27" i="67" s="1"/>
  <c r="IP56" i="71"/>
  <c r="ID27" i="67" s="1"/>
  <c r="IQ56" i="71"/>
  <c r="IE27" i="67" s="1"/>
  <c r="IR56" i="71"/>
  <c r="IF27" i="67" s="1"/>
  <c r="IS56" i="71"/>
  <c r="IG27" i="67" s="1"/>
  <c r="IT56" i="71"/>
  <c r="IH27" i="67" s="1"/>
  <c r="IU56" i="71"/>
  <c r="II27" i="67" s="1"/>
  <c r="IV56" i="71"/>
  <c r="IJ27" i="67" s="1"/>
  <c r="IW56" i="71"/>
  <c r="IK27" i="67" s="1"/>
  <c r="IX56" i="71"/>
  <c r="IL27" i="67" s="1"/>
  <c r="IY56" i="71"/>
  <c r="IM27" i="67" s="1"/>
  <c r="IN27" i="67"/>
  <c r="IO27" i="67"/>
  <c r="IP27" i="67"/>
  <c r="IQ27" i="67"/>
  <c r="IR27" i="67"/>
  <c r="IS27" i="67"/>
  <c r="IT27" i="67"/>
  <c r="IU27" i="67"/>
  <c r="IV27" i="67"/>
  <c r="IW27" i="67"/>
  <c r="IX27" i="67"/>
  <c r="IY27" i="67"/>
  <c r="JL56" i="71"/>
  <c r="IZ27" i="67" s="1"/>
  <c r="JA27" i="67"/>
  <c r="JB27" i="67"/>
  <c r="JC27" i="67"/>
  <c r="JD27" i="67"/>
  <c r="JE27" i="67"/>
  <c r="JF27" i="67"/>
  <c r="JG27" i="67"/>
  <c r="JT56" i="71"/>
  <c r="JH27" i="67" s="1"/>
  <c r="JU56" i="71"/>
  <c r="JI27" i="67" s="1"/>
  <c r="JV56" i="71"/>
  <c r="JJ27" i="67" s="1"/>
  <c r="JW56" i="71"/>
  <c r="JK27" i="67" s="1"/>
  <c r="JX56" i="71"/>
  <c r="JL27" i="67" s="1"/>
  <c r="JY56" i="71"/>
  <c r="JM27" i="67" s="1"/>
  <c r="JZ56" i="71"/>
  <c r="JN27" i="67" s="1"/>
  <c r="KA56" i="71"/>
  <c r="JO27" i="67" s="1"/>
  <c r="KB56" i="71"/>
  <c r="JP27" i="67" s="1"/>
  <c r="KC56" i="71"/>
  <c r="JQ27" i="67" s="1"/>
  <c r="KD56" i="71"/>
  <c r="JR27" i="67" s="1"/>
  <c r="KE56" i="71"/>
  <c r="JS27" i="67" s="1"/>
  <c r="JT27" i="67"/>
  <c r="JU27" i="67"/>
  <c r="JV27" i="67"/>
  <c r="JW27" i="67"/>
  <c r="JX27" i="67"/>
  <c r="JY27" i="67"/>
  <c r="JZ27" i="67"/>
  <c r="KA27" i="67"/>
  <c r="KB27" i="67"/>
  <c r="KC27" i="67"/>
  <c r="KP56" i="71"/>
  <c r="KD27" i="67" s="1"/>
  <c r="KQ56" i="71"/>
  <c r="KE27" i="67" s="1"/>
  <c r="KF27" i="67"/>
  <c r="KG27" i="67"/>
  <c r="KH27" i="67"/>
  <c r="KI27" i="67"/>
  <c r="KJ27" i="67"/>
  <c r="KK27" i="67"/>
  <c r="KL27" i="67"/>
  <c r="KM27" i="67"/>
  <c r="KN27" i="67"/>
  <c r="KO27" i="67"/>
  <c r="KP27" i="67"/>
  <c r="KQ27" i="67"/>
  <c r="KR27" i="67"/>
  <c r="LE56" i="71"/>
  <c r="KS27" i="67" s="1"/>
  <c r="KT27" i="67"/>
  <c r="KU27" i="67"/>
  <c r="KV27" i="67"/>
  <c r="KW27" i="67"/>
  <c r="KX27" i="67"/>
  <c r="KY27" i="67"/>
  <c r="KZ27" i="67"/>
  <c r="LM56" i="71"/>
  <c r="LA27" i="67" s="1"/>
  <c r="LB27" i="67"/>
  <c r="LO56" i="71"/>
  <c r="LC27" i="67" s="1"/>
  <c r="LP56" i="71"/>
  <c r="LD27" i="67" s="1"/>
  <c r="LQ56" i="71"/>
  <c r="LE27" i="67" s="1"/>
  <c r="LR56" i="71"/>
  <c r="LF27" i="67" s="1"/>
  <c r="LS56" i="71"/>
  <c r="LG27" i="67" s="1"/>
  <c r="LT56" i="71"/>
  <c r="LH27" i="67" s="1"/>
  <c r="LU56" i="71"/>
  <c r="LI27" i="67" s="1"/>
  <c r="LV56" i="71"/>
  <c r="LJ27" i="67" s="1"/>
  <c r="LW56" i="71"/>
  <c r="LK27" i="67" s="1"/>
  <c r="LX56" i="71"/>
  <c r="LL27" i="67" s="1"/>
  <c r="LY56" i="71"/>
  <c r="LM27" i="67" s="1"/>
  <c r="LZ56" i="71"/>
  <c r="LN27" i="67" s="1"/>
  <c r="MA56" i="71"/>
  <c r="LO27" i="67" s="1"/>
  <c r="MB56" i="71"/>
  <c r="LP27" i="67" s="1"/>
  <c r="MC56" i="71"/>
  <c r="LQ27" i="67" s="1"/>
  <c r="LR27" i="67"/>
  <c r="ME56" i="71"/>
  <c r="LS27" i="67" s="1"/>
  <c r="MF56" i="71"/>
  <c r="LT27" i="67" s="1"/>
  <c r="MG56" i="71"/>
  <c r="LU27" i="67" s="1"/>
  <c r="MH56" i="71"/>
  <c r="LV27" i="67" s="1"/>
  <c r="MI56" i="71"/>
  <c r="LW27" i="67" s="1"/>
  <c r="MJ56" i="71"/>
  <c r="LX27" i="67" s="1"/>
  <c r="MK56" i="71"/>
  <c r="LY27" i="67" s="1"/>
  <c r="ML56" i="71"/>
  <c r="LZ27" i="67" s="1"/>
  <c r="MM56" i="71"/>
  <c r="MA27" i="67" s="1"/>
  <c r="D44" i="71"/>
  <c r="A61" i="67" s="1"/>
  <c r="E44" i="71"/>
  <c r="B61" i="67" s="1"/>
  <c r="M44" i="71"/>
  <c r="C61" i="67" s="1"/>
  <c r="N44" i="71"/>
  <c r="D61" i="67" s="1"/>
  <c r="O44" i="71"/>
  <c r="R44" i="71"/>
  <c r="F61" i="67" s="1"/>
  <c r="S44" i="71"/>
  <c r="G61" i="67" s="1"/>
  <c r="T44" i="71"/>
  <c r="H61" i="67" s="1"/>
  <c r="U44" i="71"/>
  <c r="V44" i="71"/>
  <c r="W44" i="71"/>
  <c r="K61" i="67" s="1"/>
  <c r="X44" i="71"/>
  <c r="L61" i="67" s="1"/>
  <c r="Y44" i="71"/>
  <c r="Z44" i="71"/>
  <c r="N61" i="67" s="1"/>
  <c r="AA44" i="71"/>
  <c r="O61" i="67" s="1"/>
  <c r="AB44" i="71"/>
  <c r="P61" i="67" s="1"/>
  <c r="AC44" i="71"/>
  <c r="Q61" i="67" s="1"/>
  <c r="AD44" i="71"/>
  <c r="R61" i="67" s="1"/>
  <c r="AE44" i="71"/>
  <c r="S61" i="67" s="1"/>
  <c r="AF44" i="71"/>
  <c r="T61" i="67" s="1"/>
  <c r="AG44" i="71"/>
  <c r="AH44" i="71"/>
  <c r="V61" i="67" s="1"/>
  <c r="AI44" i="71"/>
  <c r="W61" i="67" s="1"/>
  <c r="AJ44" i="71"/>
  <c r="X61" i="67" s="1"/>
  <c r="AK44" i="71"/>
  <c r="Y61" i="67" s="1"/>
  <c r="AL44" i="71"/>
  <c r="Z61" i="67" s="1"/>
  <c r="AM44" i="71"/>
  <c r="AA61" i="67" s="1"/>
  <c r="AN44" i="71"/>
  <c r="AB61" i="67" s="1"/>
  <c r="AO44" i="71"/>
  <c r="AP44" i="71"/>
  <c r="AD61" i="67" s="1"/>
  <c r="AQ44" i="71"/>
  <c r="AE61" i="67" s="1"/>
  <c r="AR44" i="71"/>
  <c r="AF61" i="67" s="1"/>
  <c r="AS44" i="71"/>
  <c r="AT44" i="71"/>
  <c r="AH61" i="67" s="1"/>
  <c r="AU44" i="71"/>
  <c r="AI61" i="67" s="1"/>
  <c r="AV44" i="71"/>
  <c r="AJ61" i="67" s="1"/>
  <c r="AW44" i="71"/>
  <c r="AX44" i="71"/>
  <c r="AL61" i="67" s="1"/>
  <c r="AY44" i="71"/>
  <c r="AM61" i="67" s="1"/>
  <c r="AZ44" i="71"/>
  <c r="AN61" i="67" s="1"/>
  <c r="BA44" i="71"/>
  <c r="AO61" i="67" s="1"/>
  <c r="BB44" i="71"/>
  <c r="AP61" i="67" s="1"/>
  <c r="BC44" i="71"/>
  <c r="AQ61" i="67" s="1"/>
  <c r="BD44" i="71"/>
  <c r="AR61" i="67" s="1"/>
  <c r="BE44" i="71"/>
  <c r="BF44" i="71"/>
  <c r="AT61" i="67" s="1"/>
  <c r="BG44" i="71"/>
  <c r="AU61" i="67" s="1"/>
  <c r="BH44" i="71"/>
  <c r="AV61" i="67" s="1"/>
  <c r="BI44" i="71"/>
  <c r="AW61" i="67" s="1"/>
  <c r="BJ44" i="71"/>
  <c r="AX61" i="67" s="1"/>
  <c r="BK44" i="71"/>
  <c r="AY61" i="67" s="1"/>
  <c r="BL44" i="71"/>
  <c r="AZ61" i="67" s="1"/>
  <c r="BM44" i="71"/>
  <c r="BN44" i="71"/>
  <c r="BB61" i="67" s="1"/>
  <c r="BO44" i="71"/>
  <c r="BC61" i="67" s="1"/>
  <c r="BP44" i="71"/>
  <c r="BD61" i="67" s="1"/>
  <c r="BQ44" i="71"/>
  <c r="BE61" i="67" s="1"/>
  <c r="BR44" i="71"/>
  <c r="BF61" i="67" s="1"/>
  <c r="BS44" i="71"/>
  <c r="BG61" i="67" s="1"/>
  <c r="BT44" i="71"/>
  <c r="BH61" i="67" s="1"/>
  <c r="BU44" i="71"/>
  <c r="BV44" i="71"/>
  <c r="BJ61" i="67" s="1"/>
  <c r="BW44" i="71"/>
  <c r="BK61" i="67" s="1"/>
  <c r="BX44" i="71"/>
  <c r="BL61" i="67" s="1"/>
  <c r="BY44" i="71"/>
  <c r="BM61" i="67" s="1"/>
  <c r="BZ44" i="71"/>
  <c r="BN61" i="67" s="1"/>
  <c r="CA44" i="71"/>
  <c r="BO61" i="67" s="1"/>
  <c r="CB44" i="71"/>
  <c r="BP61" i="67" s="1"/>
  <c r="CC44" i="71"/>
  <c r="CD44" i="71"/>
  <c r="BR61" i="67" s="1"/>
  <c r="CE44" i="71"/>
  <c r="BS61" i="67" s="1"/>
  <c r="CF44" i="71"/>
  <c r="BT61" i="67" s="1"/>
  <c r="CG44" i="71"/>
  <c r="BU61" i="67" s="1"/>
  <c r="CH44" i="71"/>
  <c r="BV61" i="67" s="1"/>
  <c r="CI44" i="71"/>
  <c r="BW61" i="67" s="1"/>
  <c r="CJ44" i="71"/>
  <c r="BX61" i="67" s="1"/>
  <c r="CK44" i="71"/>
  <c r="CL44" i="71"/>
  <c r="BZ61" i="67" s="1"/>
  <c r="CM44" i="71"/>
  <c r="CA61" i="67" s="1"/>
  <c r="CN44" i="71"/>
  <c r="CB61" i="67" s="1"/>
  <c r="CO44" i="71"/>
  <c r="CC61" i="67" s="1"/>
  <c r="CP44" i="71"/>
  <c r="CD61" i="67" s="1"/>
  <c r="CQ44" i="71"/>
  <c r="CE61" i="67" s="1"/>
  <c r="CR44" i="71"/>
  <c r="CF61" i="67" s="1"/>
  <c r="CS44" i="71"/>
  <c r="CT44" i="71"/>
  <c r="CH61" i="67" s="1"/>
  <c r="CU44" i="71"/>
  <c r="CI61" i="67" s="1"/>
  <c r="CV44" i="71"/>
  <c r="CJ61" i="67" s="1"/>
  <c r="CW44" i="71"/>
  <c r="CK61" i="67" s="1"/>
  <c r="CX44" i="71"/>
  <c r="CL61" i="67" s="1"/>
  <c r="CY44" i="71"/>
  <c r="CM61" i="67" s="1"/>
  <c r="CZ44" i="71"/>
  <c r="CN61" i="67" s="1"/>
  <c r="DA44" i="71"/>
  <c r="DB44" i="71"/>
  <c r="CP61" i="67" s="1"/>
  <c r="DC44" i="71"/>
  <c r="CQ61" i="67" s="1"/>
  <c r="DD44" i="71"/>
  <c r="CR61" i="67" s="1"/>
  <c r="DE44" i="71"/>
  <c r="CS61" i="67" s="1"/>
  <c r="DF44" i="71"/>
  <c r="CT61" i="67" s="1"/>
  <c r="DG44" i="71"/>
  <c r="CU61" i="67" s="1"/>
  <c r="DH44" i="71"/>
  <c r="CV61" i="67" s="1"/>
  <c r="DI44" i="71"/>
  <c r="DJ44" i="71"/>
  <c r="CX61" i="67" s="1"/>
  <c r="DK44" i="71"/>
  <c r="CY61" i="67" s="1"/>
  <c r="DL44" i="71"/>
  <c r="CZ61" i="67" s="1"/>
  <c r="DM44" i="71"/>
  <c r="DA61" i="67" s="1"/>
  <c r="DN44" i="71"/>
  <c r="DB61" i="67" s="1"/>
  <c r="DO44" i="71"/>
  <c r="DC61" i="67" s="1"/>
  <c r="DP44" i="71"/>
  <c r="DD61" i="67" s="1"/>
  <c r="DQ44" i="71"/>
  <c r="DR44" i="71"/>
  <c r="DF61" i="67" s="1"/>
  <c r="DS44" i="71"/>
  <c r="DG61" i="67" s="1"/>
  <c r="DT44" i="71"/>
  <c r="DH61" i="67" s="1"/>
  <c r="DU44" i="71"/>
  <c r="DI61" i="67" s="1"/>
  <c r="DV44" i="71"/>
  <c r="DJ61" i="67" s="1"/>
  <c r="DW44" i="71"/>
  <c r="DK61" i="67" s="1"/>
  <c r="DX44" i="71"/>
  <c r="DL61" i="67" s="1"/>
  <c r="DY44" i="71"/>
  <c r="DZ44" i="71"/>
  <c r="DN61" i="67" s="1"/>
  <c r="EA44" i="71"/>
  <c r="DO61" i="67" s="1"/>
  <c r="EB44" i="71"/>
  <c r="DP61" i="67" s="1"/>
  <c r="EC44" i="71"/>
  <c r="DQ61" i="67" s="1"/>
  <c r="ED44" i="71"/>
  <c r="DR61" i="67" s="1"/>
  <c r="EE44" i="71"/>
  <c r="DS61" i="67" s="1"/>
  <c r="EF44" i="71"/>
  <c r="DT61" i="67" s="1"/>
  <c r="EG44" i="71"/>
  <c r="EH44" i="71"/>
  <c r="DV61" i="67" s="1"/>
  <c r="EI44" i="71"/>
  <c r="DW61" i="67" s="1"/>
  <c r="EJ44" i="71"/>
  <c r="DX61" i="67" s="1"/>
  <c r="EK44" i="71"/>
  <c r="DY61" i="67" s="1"/>
  <c r="EL44" i="71"/>
  <c r="DZ61" i="67" s="1"/>
  <c r="EM44" i="71"/>
  <c r="EA61" i="67" s="1"/>
  <c r="EN44" i="71"/>
  <c r="EB61" i="67" s="1"/>
  <c r="EO44" i="71"/>
  <c r="EP44" i="71"/>
  <c r="ED61" i="67" s="1"/>
  <c r="EQ44" i="71"/>
  <c r="EE61" i="67" s="1"/>
  <c r="ER44" i="71"/>
  <c r="EF61" i="67" s="1"/>
  <c r="ES44" i="71"/>
  <c r="EG61" i="67" s="1"/>
  <c r="ET44" i="71"/>
  <c r="EH61" i="67" s="1"/>
  <c r="EU44" i="71"/>
  <c r="EI61" i="67" s="1"/>
  <c r="EV44" i="71"/>
  <c r="EJ61" i="67" s="1"/>
  <c r="EW44" i="71"/>
  <c r="EX44" i="71"/>
  <c r="EL61" i="67" s="1"/>
  <c r="EY44" i="71"/>
  <c r="EM61" i="67" s="1"/>
  <c r="EZ44" i="71"/>
  <c r="EN61" i="67" s="1"/>
  <c r="FA44" i="71"/>
  <c r="EO61" i="67" s="1"/>
  <c r="FB44" i="71"/>
  <c r="EP61" i="67" s="1"/>
  <c r="FC44" i="71"/>
  <c r="EQ61" i="67" s="1"/>
  <c r="FD44" i="71"/>
  <c r="ER61" i="67" s="1"/>
  <c r="FE44" i="71"/>
  <c r="FF44" i="71"/>
  <c r="ET61" i="67" s="1"/>
  <c r="FG44" i="71"/>
  <c r="EU61" i="67" s="1"/>
  <c r="FH44" i="71"/>
  <c r="EV61" i="67" s="1"/>
  <c r="FI44" i="71"/>
  <c r="EW61" i="67" s="1"/>
  <c r="FJ44" i="71"/>
  <c r="EX61" i="67" s="1"/>
  <c r="FK44" i="71"/>
  <c r="EY61" i="67" s="1"/>
  <c r="FL44" i="71"/>
  <c r="EZ61" i="67" s="1"/>
  <c r="FM44" i="71"/>
  <c r="FN44" i="71"/>
  <c r="FB61" i="67" s="1"/>
  <c r="FO44" i="71"/>
  <c r="FC61" i="67" s="1"/>
  <c r="FP44" i="71"/>
  <c r="FD61" i="67" s="1"/>
  <c r="FQ44" i="71"/>
  <c r="FE61" i="67" s="1"/>
  <c r="FR44" i="71"/>
  <c r="FF61" i="67" s="1"/>
  <c r="FS44" i="71"/>
  <c r="FG61" i="67" s="1"/>
  <c r="FT44" i="71"/>
  <c r="FH61" i="67" s="1"/>
  <c r="FU44" i="71"/>
  <c r="FV44" i="71"/>
  <c r="FJ61" i="67" s="1"/>
  <c r="FW44" i="71"/>
  <c r="FK61" i="67" s="1"/>
  <c r="FX44" i="71"/>
  <c r="FL61" i="67" s="1"/>
  <c r="FY44" i="71"/>
  <c r="FM61" i="67" s="1"/>
  <c r="FZ44" i="71"/>
  <c r="FN61" i="67" s="1"/>
  <c r="GA44" i="71"/>
  <c r="FO61" i="67" s="1"/>
  <c r="GB44" i="71"/>
  <c r="FP61" i="67" s="1"/>
  <c r="GC44" i="71"/>
  <c r="GD44" i="71"/>
  <c r="FR61" i="67" s="1"/>
  <c r="GE44" i="71"/>
  <c r="FS61" i="67" s="1"/>
  <c r="GF44" i="71"/>
  <c r="FT61" i="67" s="1"/>
  <c r="GG44" i="71"/>
  <c r="FU61" i="67" s="1"/>
  <c r="GH44" i="71"/>
  <c r="FV61" i="67" s="1"/>
  <c r="GI44" i="71"/>
  <c r="FW61" i="67" s="1"/>
  <c r="GJ44" i="71"/>
  <c r="FX61" i="67" s="1"/>
  <c r="GK44" i="71"/>
  <c r="GL44" i="71"/>
  <c r="FZ61" i="67" s="1"/>
  <c r="GM44" i="71"/>
  <c r="GA61" i="67" s="1"/>
  <c r="GN44" i="71"/>
  <c r="GB61" i="67" s="1"/>
  <c r="GO44" i="71"/>
  <c r="GC61" i="67" s="1"/>
  <c r="GP44" i="71"/>
  <c r="GD61" i="67" s="1"/>
  <c r="GQ44" i="71"/>
  <c r="GE61" i="67" s="1"/>
  <c r="GR44" i="71"/>
  <c r="GF61" i="67" s="1"/>
  <c r="GS44" i="71"/>
  <c r="GT44" i="71"/>
  <c r="GH61" i="67" s="1"/>
  <c r="GU44" i="71"/>
  <c r="GI61" i="67" s="1"/>
  <c r="GV44" i="71"/>
  <c r="GJ61" i="67" s="1"/>
  <c r="GW44" i="71"/>
  <c r="GK61" i="67" s="1"/>
  <c r="GX44" i="71"/>
  <c r="GL61" i="67" s="1"/>
  <c r="GY44" i="71"/>
  <c r="GM61" i="67" s="1"/>
  <c r="GZ44" i="71"/>
  <c r="GN61" i="67" s="1"/>
  <c r="HA44" i="71"/>
  <c r="HB44" i="71"/>
  <c r="GP61" i="67" s="1"/>
  <c r="HC44" i="71"/>
  <c r="GQ61" i="67" s="1"/>
  <c r="HD44" i="71"/>
  <c r="GR61" i="67" s="1"/>
  <c r="HE44" i="71"/>
  <c r="GS61" i="67" s="1"/>
  <c r="HF44" i="71"/>
  <c r="GT61" i="67" s="1"/>
  <c r="HG44" i="71"/>
  <c r="GU61" i="67" s="1"/>
  <c r="HH44" i="71"/>
  <c r="GV61" i="67" s="1"/>
  <c r="HI44" i="71"/>
  <c r="HJ44" i="71"/>
  <c r="GX61" i="67" s="1"/>
  <c r="HK44" i="71"/>
  <c r="GY61" i="67" s="1"/>
  <c r="HT44" i="71"/>
  <c r="HH61" i="67" s="1"/>
  <c r="HU44" i="71"/>
  <c r="HI61" i="67" s="1"/>
  <c r="HV44" i="71"/>
  <c r="HJ61" i="67" s="1"/>
  <c r="HW44" i="71"/>
  <c r="HK61" i="67" s="1"/>
  <c r="HX44" i="71"/>
  <c r="HL61" i="67" s="1"/>
  <c r="HY44" i="71"/>
  <c r="HZ44" i="71"/>
  <c r="HN61" i="67" s="1"/>
  <c r="IA44" i="71"/>
  <c r="HO61" i="67" s="1"/>
  <c r="IB44" i="71"/>
  <c r="HP61" i="67" s="1"/>
  <c r="IC44" i="71"/>
  <c r="HQ61" i="67" s="1"/>
  <c r="ID44" i="71"/>
  <c r="HR61" i="67" s="1"/>
  <c r="IE44" i="71"/>
  <c r="HS61" i="67" s="1"/>
  <c r="IF44" i="71"/>
  <c r="HT61" i="67" s="1"/>
  <c r="IG44" i="71"/>
  <c r="IH44" i="71"/>
  <c r="HV61" i="67" s="1"/>
  <c r="II44" i="71"/>
  <c r="HW61" i="67" s="1"/>
  <c r="IJ44" i="71"/>
  <c r="HX61" i="67" s="1"/>
  <c r="IK44" i="71"/>
  <c r="HY61" i="67" s="1"/>
  <c r="IL44" i="71"/>
  <c r="HZ61" i="67" s="1"/>
  <c r="IM44" i="71"/>
  <c r="IA61" i="67" s="1"/>
  <c r="IN44" i="71"/>
  <c r="IB61" i="67" s="1"/>
  <c r="IO44" i="71"/>
  <c r="IP44" i="71"/>
  <c r="ID61" i="67" s="1"/>
  <c r="IQ44" i="71"/>
  <c r="IE61" i="67" s="1"/>
  <c r="IR44" i="71"/>
  <c r="IF61" i="67" s="1"/>
  <c r="IS44" i="71"/>
  <c r="IG61" i="67" s="1"/>
  <c r="IT44" i="71"/>
  <c r="IH61" i="67" s="1"/>
  <c r="IU44" i="71"/>
  <c r="II61" i="67" s="1"/>
  <c r="IV44" i="71"/>
  <c r="IJ61" i="67" s="1"/>
  <c r="IW44" i="71"/>
  <c r="IX44" i="71"/>
  <c r="IL61" i="67" s="1"/>
  <c r="IY44" i="71"/>
  <c r="IM61" i="67" s="1"/>
  <c r="IZ44" i="71"/>
  <c r="IN61" i="67" s="1"/>
  <c r="JA44" i="71"/>
  <c r="IO61" i="67" s="1"/>
  <c r="JB44" i="71"/>
  <c r="IP61" i="67" s="1"/>
  <c r="JC44" i="71"/>
  <c r="IQ61" i="67" s="1"/>
  <c r="JD44" i="71"/>
  <c r="IR61" i="67" s="1"/>
  <c r="JE44" i="71"/>
  <c r="JF44" i="71"/>
  <c r="IT61" i="67" s="1"/>
  <c r="JG44" i="71"/>
  <c r="IU61" i="67" s="1"/>
  <c r="JH44" i="71"/>
  <c r="IV61" i="67" s="1"/>
  <c r="JI44" i="71"/>
  <c r="IW61" i="67" s="1"/>
  <c r="JJ44" i="71"/>
  <c r="IX61" i="67" s="1"/>
  <c r="JK44" i="71"/>
  <c r="IY61" i="67" s="1"/>
  <c r="JL44" i="71"/>
  <c r="IZ61" i="67" s="1"/>
  <c r="JM44" i="71"/>
  <c r="JN44" i="71"/>
  <c r="JB61" i="67" s="1"/>
  <c r="JO44" i="71"/>
  <c r="JC61" i="67" s="1"/>
  <c r="JP44" i="71"/>
  <c r="JD61" i="67" s="1"/>
  <c r="JQ44" i="71"/>
  <c r="JE61" i="67" s="1"/>
  <c r="JR44" i="71"/>
  <c r="JF61" i="67" s="1"/>
  <c r="JS44" i="71"/>
  <c r="JG61" i="67" s="1"/>
  <c r="JT44" i="71"/>
  <c r="JH61" i="67" s="1"/>
  <c r="JU44" i="71"/>
  <c r="JV44" i="71"/>
  <c r="JJ61" i="67" s="1"/>
  <c r="JW44" i="71"/>
  <c r="JK61" i="67" s="1"/>
  <c r="JX44" i="71"/>
  <c r="JL61" i="67" s="1"/>
  <c r="JY44" i="71"/>
  <c r="JM61" i="67" s="1"/>
  <c r="JZ44" i="71"/>
  <c r="JN61" i="67" s="1"/>
  <c r="KA44" i="71"/>
  <c r="JO61" i="67" s="1"/>
  <c r="KB44" i="71"/>
  <c r="JP61" i="67" s="1"/>
  <c r="KC44" i="71"/>
  <c r="KD44" i="71"/>
  <c r="JR61" i="67" s="1"/>
  <c r="KE44" i="71"/>
  <c r="JS61" i="67" s="1"/>
  <c r="KF44" i="71"/>
  <c r="JT61" i="67" s="1"/>
  <c r="KG44" i="71"/>
  <c r="JU61" i="67" s="1"/>
  <c r="KH44" i="71"/>
  <c r="JV61" i="67" s="1"/>
  <c r="KI44" i="71"/>
  <c r="JW61" i="67" s="1"/>
  <c r="KJ44" i="71"/>
  <c r="JX61" i="67" s="1"/>
  <c r="KK44" i="71"/>
  <c r="KL44" i="71"/>
  <c r="JZ61" i="67" s="1"/>
  <c r="KM44" i="71"/>
  <c r="KA61" i="67" s="1"/>
  <c r="KN44" i="71"/>
  <c r="KB61" i="67" s="1"/>
  <c r="KO44" i="71"/>
  <c r="KC61" i="67" s="1"/>
  <c r="KP44" i="71"/>
  <c r="KD61" i="67" s="1"/>
  <c r="KQ44" i="71"/>
  <c r="KE61" i="67" s="1"/>
  <c r="KR44" i="71"/>
  <c r="KF61" i="67" s="1"/>
  <c r="KS44" i="71"/>
  <c r="KT44" i="71"/>
  <c r="KH61" i="67" s="1"/>
  <c r="KU44" i="71"/>
  <c r="KI61" i="67" s="1"/>
  <c r="KV44" i="71"/>
  <c r="KJ61" i="67" s="1"/>
  <c r="KW44" i="71"/>
  <c r="KK61" i="67" s="1"/>
  <c r="KX44" i="71"/>
  <c r="KL61" i="67" s="1"/>
  <c r="KY44" i="71"/>
  <c r="KM61" i="67" s="1"/>
  <c r="KZ44" i="71"/>
  <c r="KN61" i="67" s="1"/>
  <c r="LA44" i="71"/>
  <c r="LB44" i="71"/>
  <c r="KP61" i="67" s="1"/>
  <c r="LC44" i="71"/>
  <c r="KQ61" i="67" s="1"/>
  <c r="LD44" i="71"/>
  <c r="KR61" i="67" s="1"/>
  <c r="LE44" i="71"/>
  <c r="KS61" i="67" s="1"/>
  <c r="LF44" i="71"/>
  <c r="KT61" i="67" s="1"/>
  <c r="LG44" i="71"/>
  <c r="KU61" i="67" s="1"/>
  <c r="LH44" i="71"/>
  <c r="KV61" i="67" s="1"/>
  <c r="LI44" i="71"/>
  <c r="LJ44" i="71"/>
  <c r="KX61" i="67" s="1"/>
  <c r="LK44" i="71"/>
  <c r="KY61" i="67" s="1"/>
  <c r="LL44" i="71"/>
  <c r="KZ61" i="67" s="1"/>
  <c r="LM44" i="71"/>
  <c r="LA61" i="67" s="1"/>
  <c r="LN44" i="71"/>
  <c r="LB61" i="67" s="1"/>
  <c r="LO44" i="71"/>
  <c r="LC61" i="67" s="1"/>
  <c r="LP44" i="71"/>
  <c r="LD61" i="67" s="1"/>
  <c r="LQ44" i="71"/>
  <c r="LR44" i="71"/>
  <c r="LF61" i="67" s="1"/>
  <c r="LS44" i="71"/>
  <c r="LG61" i="67" s="1"/>
  <c r="LT44" i="71"/>
  <c r="LH61" i="67" s="1"/>
  <c r="LU44" i="71"/>
  <c r="LI61" i="67" s="1"/>
  <c r="LV44" i="71"/>
  <c r="LJ61" i="67" s="1"/>
  <c r="LW44" i="71"/>
  <c r="LK61" i="67" s="1"/>
  <c r="LX44" i="71"/>
  <c r="LL61" i="67" s="1"/>
  <c r="LY44" i="71"/>
  <c r="LZ44" i="71"/>
  <c r="LN61" i="67" s="1"/>
  <c r="MA44" i="71"/>
  <c r="LO61" i="67" s="1"/>
  <c r="MB44" i="71"/>
  <c r="LP61" i="67" s="1"/>
  <c r="MC44" i="71"/>
  <c r="LQ61" i="67" s="1"/>
  <c r="LR28" i="67"/>
  <c r="ME44" i="71"/>
  <c r="LS61" i="67" s="1"/>
  <c r="MF44" i="71"/>
  <c r="LT61" i="67" s="1"/>
  <c r="MG44" i="71"/>
  <c r="LU61" i="67" s="1"/>
  <c r="MH44" i="71"/>
  <c r="MI44" i="71"/>
  <c r="LW61" i="67" s="1"/>
  <c r="MJ44" i="71"/>
  <c r="LX61" i="67" s="1"/>
  <c r="MK44" i="71"/>
  <c r="LY61" i="67" s="1"/>
  <c r="ML44" i="71"/>
  <c r="LZ61" i="67" s="1"/>
  <c r="MM44" i="71"/>
  <c r="MA61" i="67" s="1"/>
  <c r="D45" i="71"/>
  <c r="E45" i="71"/>
  <c r="M45" i="71"/>
  <c r="N45" i="71"/>
  <c r="O45" i="71"/>
  <c r="R45" i="71"/>
  <c r="S45" i="71"/>
  <c r="T45" i="71"/>
  <c r="U45" i="71"/>
  <c r="I24" i="67" s="1"/>
  <c r="V45" i="71"/>
  <c r="W45" i="71"/>
  <c r="X45" i="71"/>
  <c r="Y45" i="71"/>
  <c r="Z45" i="71"/>
  <c r="AA45" i="71"/>
  <c r="AB45" i="71"/>
  <c r="AC45" i="71"/>
  <c r="AD45" i="71"/>
  <c r="AE45" i="71"/>
  <c r="AF45" i="71"/>
  <c r="AG45" i="71"/>
  <c r="AH45" i="71"/>
  <c r="AI45" i="71"/>
  <c r="AJ45" i="71"/>
  <c r="AK45" i="71"/>
  <c r="AL45" i="71"/>
  <c r="AM45" i="71"/>
  <c r="AN45" i="71"/>
  <c r="AO45" i="71"/>
  <c r="AP45" i="71"/>
  <c r="AQ45" i="71"/>
  <c r="AR45" i="71"/>
  <c r="AS45" i="71"/>
  <c r="AT45" i="71"/>
  <c r="AU45" i="71"/>
  <c r="AV45" i="71"/>
  <c r="AW45" i="71"/>
  <c r="AX45" i="71"/>
  <c r="AY45" i="71"/>
  <c r="AZ45" i="71"/>
  <c r="BA45" i="71"/>
  <c r="BB45" i="71"/>
  <c r="BC45" i="71"/>
  <c r="BD45" i="71"/>
  <c r="BE45" i="71"/>
  <c r="BF45" i="71"/>
  <c r="BG45" i="71"/>
  <c r="BH45" i="71"/>
  <c r="BI45" i="71"/>
  <c r="BJ45" i="71"/>
  <c r="BK45" i="71"/>
  <c r="BL45" i="71"/>
  <c r="BM45" i="71"/>
  <c r="BN45" i="71"/>
  <c r="BO45" i="71"/>
  <c r="BP45" i="71"/>
  <c r="BQ45" i="71"/>
  <c r="BR45" i="71"/>
  <c r="BS45" i="71"/>
  <c r="BT45" i="71"/>
  <c r="BU45" i="71"/>
  <c r="BV45" i="71"/>
  <c r="BW45" i="71"/>
  <c r="BX45" i="71"/>
  <c r="BY45" i="71"/>
  <c r="BZ45" i="71"/>
  <c r="CA45" i="71"/>
  <c r="CB45" i="71"/>
  <c r="CC45" i="71"/>
  <c r="CD45" i="71"/>
  <c r="CE45" i="71"/>
  <c r="CF45" i="71"/>
  <c r="CG45" i="71"/>
  <c r="CH45" i="71"/>
  <c r="CI45" i="71"/>
  <c r="CJ45" i="71"/>
  <c r="CK45" i="71"/>
  <c r="CL45" i="71"/>
  <c r="CM45" i="71"/>
  <c r="CN45" i="71"/>
  <c r="CO45" i="71"/>
  <c r="CP45" i="71"/>
  <c r="CQ45" i="71"/>
  <c r="CR45" i="71"/>
  <c r="CS45" i="71"/>
  <c r="CT45" i="71"/>
  <c r="CU45" i="71"/>
  <c r="CV45" i="71"/>
  <c r="CW45" i="71"/>
  <c r="CX45" i="71"/>
  <c r="CY45" i="71"/>
  <c r="CZ45" i="71"/>
  <c r="DA45" i="71"/>
  <c r="DB45" i="71"/>
  <c r="DC45" i="71"/>
  <c r="DD45" i="71"/>
  <c r="DE45" i="71"/>
  <c r="DF45" i="71"/>
  <c r="DG45" i="71"/>
  <c r="DH45" i="71"/>
  <c r="DI45" i="71"/>
  <c r="DJ45" i="71"/>
  <c r="DK45" i="71"/>
  <c r="DL45" i="71"/>
  <c r="DM45" i="71"/>
  <c r="DN45" i="71"/>
  <c r="DO45" i="71"/>
  <c r="DP45" i="71"/>
  <c r="DQ45" i="71"/>
  <c r="DR45" i="71"/>
  <c r="DS45" i="71"/>
  <c r="DT45" i="71"/>
  <c r="DU45" i="71"/>
  <c r="DV45" i="71"/>
  <c r="DW45" i="71"/>
  <c r="DX45" i="71"/>
  <c r="DY45" i="71"/>
  <c r="DZ45" i="71"/>
  <c r="EA45" i="71"/>
  <c r="EB45" i="71"/>
  <c r="EC45" i="71"/>
  <c r="ED45" i="71"/>
  <c r="EE45" i="71"/>
  <c r="EF45" i="71"/>
  <c r="EG45" i="71"/>
  <c r="EH45" i="71"/>
  <c r="EI45" i="71"/>
  <c r="EJ45" i="71"/>
  <c r="EK45" i="71"/>
  <c r="EL45" i="71"/>
  <c r="EM45" i="71"/>
  <c r="EN45" i="71"/>
  <c r="EO45" i="71"/>
  <c r="EP45" i="71"/>
  <c r="EQ45" i="71"/>
  <c r="ER45" i="71"/>
  <c r="ES45" i="71"/>
  <c r="ET45" i="71"/>
  <c r="EU45" i="71"/>
  <c r="EV45" i="71"/>
  <c r="EW45" i="71"/>
  <c r="EX45" i="71"/>
  <c r="EY45" i="71"/>
  <c r="EZ45" i="71"/>
  <c r="FA45" i="71"/>
  <c r="FB45" i="71"/>
  <c r="FC45" i="71"/>
  <c r="FD45" i="71"/>
  <c r="FE45" i="71"/>
  <c r="FF45" i="71"/>
  <c r="FG45" i="71"/>
  <c r="FH45" i="71"/>
  <c r="FI45" i="71"/>
  <c r="FJ45" i="71"/>
  <c r="FK45" i="71"/>
  <c r="FL45" i="71"/>
  <c r="FM45" i="71"/>
  <c r="FN45" i="71"/>
  <c r="FO45" i="71"/>
  <c r="FP45" i="71"/>
  <c r="FQ45" i="71"/>
  <c r="FR45" i="71"/>
  <c r="FS45" i="71"/>
  <c r="FT45" i="71"/>
  <c r="FU45" i="71"/>
  <c r="FV45" i="71"/>
  <c r="FW45" i="71"/>
  <c r="FX45" i="71"/>
  <c r="FY45" i="71"/>
  <c r="FZ45" i="71"/>
  <c r="GA45" i="71"/>
  <c r="GB45" i="71"/>
  <c r="GC45" i="71"/>
  <c r="GD45" i="71"/>
  <c r="GE45" i="71"/>
  <c r="GF45" i="71"/>
  <c r="GG45" i="71"/>
  <c r="GH45" i="71"/>
  <c r="GI45" i="71"/>
  <c r="GJ45" i="71"/>
  <c r="GK45" i="71"/>
  <c r="GL45" i="71"/>
  <c r="GM45" i="71"/>
  <c r="GN45" i="71"/>
  <c r="GO45" i="71"/>
  <c r="GP45" i="71"/>
  <c r="GQ45" i="71"/>
  <c r="GR45" i="71"/>
  <c r="GS45" i="71"/>
  <c r="GT45" i="71"/>
  <c r="GU45" i="71"/>
  <c r="GV45" i="71"/>
  <c r="GW45" i="71"/>
  <c r="GX45" i="71"/>
  <c r="GY45" i="71"/>
  <c r="GZ45" i="71"/>
  <c r="HA45" i="71"/>
  <c r="HB45" i="71"/>
  <c r="HC45" i="71"/>
  <c r="HD45" i="71"/>
  <c r="HE45" i="71"/>
  <c r="HF45" i="71"/>
  <c r="HG45" i="71"/>
  <c r="HH45" i="71"/>
  <c r="HI45" i="71"/>
  <c r="HJ45" i="71"/>
  <c r="HK45" i="71"/>
  <c r="HT45" i="71"/>
  <c r="HU45" i="71"/>
  <c r="HV45" i="71"/>
  <c r="HW45" i="71"/>
  <c r="HX45" i="71"/>
  <c r="HY45" i="71"/>
  <c r="HZ45" i="71"/>
  <c r="IA45" i="71"/>
  <c r="IB45" i="71"/>
  <c r="IC45" i="71"/>
  <c r="ID45" i="71"/>
  <c r="IE45" i="71"/>
  <c r="IF45" i="71"/>
  <c r="IG45" i="71"/>
  <c r="IH45" i="71"/>
  <c r="II45" i="71"/>
  <c r="IJ45" i="71"/>
  <c r="IK45" i="71"/>
  <c r="IL45" i="71"/>
  <c r="IM45" i="71"/>
  <c r="IN45" i="71"/>
  <c r="IO45" i="71"/>
  <c r="IP45" i="71"/>
  <c r="IQ45" i="71"/>
  <c r="IR45" i="71"/>
  <c r="IS45" i="71"/>
  <c r="IT45" i="71"/>
  <c r="IU45" i="71"/>
  <c r="IV45" i="71"/>
  <c r="IW45" i="71"/>
  <c r="IX45" i="71"/>
  <c r="IY45" i="71"/>
  <c r="IZ45" i="71"/>
  <c r="JA45" i="71"/>
  <c r="JB45" i="71"/>
  <c r="JC45" i="71"/>
  <c r="JD45" i="71"/>
  <c r="JE45" i="71"/>
  <c r="JF45" i="71"/>
  <c r="JG45" i="71"/>
  <c r="JH45" i="71"/>
  <c r="JI45" i="71"/>
  <c r="JJ45" i="71"/>
  <c r="JK45" i="71"/>
  <c r="JL45" i="71"/>
  <c r="JM45" i="71"/>
  <c r="JN45" i="71"/>
  <c r="JO45" i="71"/>
  <c r="JP45" i="71"/>
  <c r="JQ45" i="71"/>
  <c r="JR45" i="71"/>
  <c r="JS45" i="71"/>
  <c r="JT45" i="71"/>
  <c r="JU45" i="71"/>
  <c r="JV45" i="71"/>
  <c r="JW45" i="71"/>
  <c r="JX45" i="71"/>
  <c r="JY45" i="71"/>
  <c r="JZ45" i="71"/>
  <c r="KA45" i="71"/>
  <c r="KB45" i="71"/>
  <c r="KC45" i="71"/>
  <c r="KD45" i="71"/>
  <c r="KE45" i="71"/>
  <c r="KF45" i="71"/>
  <c r="KG45" i="71"/>
  <c r="KH45" i="71"/>
  <c r="KI45" i="71"/>
  <c r="KJ45" i="71"/>
  <c r="KK45" i="71"/>
  <c r="KL45" i="71"/>
  <c r="KM45" i="71"/>
  <c r="KN45" i="71"/>
  <c r="KO45" i="71"/>
  <c r="KP45" i="71"/>
  <c r="KQ45" i="71"/>
  <c r="KR45" i="71"/>
  <c r="KS45" i="71"/>
  <c r="KT45" i="71"/>
  <c r="KU45" i="71"/>
  <c r="KV45" i="71"/>
  <c r="KW45" i="71"/>
  <c r="KX45" i="71"/>
  <c r="KY45" i="71"/>
  <c r="KZ45" i="71"/>
  <c r="LA45" i="71"/>
  <c r="LB45" i="71"/>
  <c r="LC45" i="71"/>
  <c r="LD45" i="71"/>
  <c r="LE45" i="71"/>
  <c r="LF45" i="71"/>
  <c r="LG45" i="71"/>
  <c r="LH45" i="71"/>
  <c r="LI45" i="71"/>
  <c r="LJ45" i="71"/>
  <c r="LK45" i="71"/>
  <c r="LL45" i="71"/>
  <c r="LM45" i="71"/>
  <c r="LN45" i="71"/>
  <c r="LO45" i="71"/>
  <c r="LP45" i="71"/>
  <c r="LQ45" i="71"/>
  <c r="LR45" i="71"/>
  <c r="LS45" i="71"/>
  <c r="LT45" i="71"/>
  <c r="LU45" i="71"/>
  <c r="LV45" i="71"/>
  <c r="LW45" i="71"/>
  <c r="LX45" i="71"/>
  <c r="LY45" i="71"/>
  <c r="LZ45" i="71"/>
  <c r="MA45" i="71"/>
  <c r="MB45" i="71"/>
  <c r="MC45" i="71"/>
  <c r="LR29" i="67"/>
  <c r="ME45" i="71"/>
  <c r="MF45" i="71"/>
  <c r="MG45" i="71"/>
  <c r="MH45" i="71"/>
  <c r="MI45" i="71"/>
  <c r="MJ45" i="71"/>
  <c r="MK45" i="71"/>
  <c r="ML45" i="71"/>
  <c r="MM45" i="71"/>
  <c r="D64" i="71"/>
  <c r="E64" i="71"/>
  <c r="M64" i="71"/>
  <c r="N64" i="71"/>
  <c r="O64" i="71"/>
  <c r="R64" i="71"/>
  <c r="S64" i="71"/>
  <c r="T64" i="71"/>
  <c r="U64" i="71"/>
  <c r="V64" i="71"/>
  <c r="W64" i="71"/>
  <c r="X64" i="71"/>
  <c r="Y64" i="71"/>
  <c r="Z64" i="71"/>
  <c r="AA64" i="71"/>
  <c r="AB64" i="71"/>
  <c r="AC64" i="71"/>
  <c r="AD64" i="71"/>
  <c r="AE64" i="71"/>
  <c r="AF64" i="71"/>
  <c r="AG64" i="71"/>
  <c r="AJ64" i="71"/>
  <c r="AK64" i="71"/>
  <c r="AL64" i="71"/>
  <c r="AM64" i="71"/>
  <c r="AN64" i="71"/>
  <c r="AO64" i="71"/>
  <c r="AP64" i="71"/>
  <c r="AQ64" i="71"/>
  <c r="AR64" i="71"/>
  <c r="AS64" i="71"/>
  <c r="AT64" i="71"/>
  <c r="AU64" i="71"/>
  <c r="AV64" i="71"/>
  <c r="AW64" i="71"/>
  <c r="AX64" i="71"/>
  <c r="AY64" i="71"/>
  <c r="AZ64" i="71"/>
  <c r="BA64" i="71"/>
  <c r="BB64" i="71"/>
  <c r="BC64" i="71"/>
  <c r="BD64" i="71"/>
  <c r="BE64" i="71"/>
  <c r="BF64" i="71"/>
  <c r="BG64" i="71"/>
  <c r="BH64" i="71"/>
  <c r="BI64" i="71"/>
  <c r="BJ64" i="71"/>
  <c r="BK64" i="71"/>
  <c r="BL64" i="71"/>
  <c r="BM64" i="71"/>
  <c r="BN64" i="71"/>
  <c r="BO64" i="71"/>
  <c r="BP64" i="71"/>
  <c r="BQ64" i="71"/>
  <c r="BR64" i="71"/>
  <c r="BS64" i="71"/>
  <c r="BT64" i="71"/>
  <c r="BU64" i="71"/>
  <c r="BV64" i="71"/>
  <c r="BW64" i="71"/>
  <c r="BX64" i="71"/>
  <c r="BY64" i="71"/>
  <c r="BZ64" i="71"/>
  <c r="CA64" i="71"/>
  <c r="CB64" i="71"/>
  <c r="CC64" i="71"/>
  <c r="CD64" i="71"/>
  <c r="CE64" i="71"/>
  <c r="CF64" i="71"/>
  <c r="CG64" i="71"/>
  <c r="CH64" i="71"/>
  <c r="CI64" i="71"/>
  <c r="CJ64" i="71"/>
  <c r="CK64" i="71"/>
  <c r="CL64" i="71"/>
  <c r="CM64" i="71"/>
  <c r="CN64" i="71"/>
  <c r="CO64" i="71"/>
  <c r="CP64" i="71"/>
  <c r="CQ64" i="71"/>
  <c r="CR64" i="71"/>
  <c r="CS64" i="71"/>
  <c r="CT64" i="71"/>
  <c r="CU64" i="71"/>
  <c r="CV64" i="71"/>
  <c r="CW64" i="71"/>
  <c r="CX64" i="71"/>
  <c r="CY64" i="71"/>
  <c r="CZ64" i="71"/>
  <c r="DA64" i="71"/>
  <c r="DB64" i="71"/>
  <c r="DC64" i="71"/>
  <c r="DD64" i="71"/>
  <c r="DE64" i="71"/>
  <c r="DF64" i="71"/>
  <c r="DG64" i="71"/>
  <c r="DH64" i="71"/>
  <c r="DI64" i="71"/>
  <c r="DJ64" i="71"/>
  <c r="DK64" i="71"/>
  <c r="DL64" i="71"/>
  <c r="DM64" i="71"/>
  <c r="DN64" i="71"/>
  <c r="DO64" i="71"/>
  <c r="DP64" i="71"/>
  <c r="DQ64" i="71"/>
  <c r="DR64" i="71"/>
  <c r="DS64" i="71"/>
  <c r="DT64" i="71"/>
  <c r="DU64" i="71"/>
  <c r="DV64" i="71"/>
  <c r="DW64" i="71"/>
  <c r="DX64" i="71"/>
  <c r="DY64" i="71"/>
  <c r="DZ64" i="71"/>
  <c r="EA64" i="71"/>
  <c r="EB64" i="71"/>
  <c r="EC64" i="71"/>
  <c r="ED64" i="71"/>
  <c r="EE64" i="71"/>
  <c r="EF64" i="71"/>
  <c r="EG64" i="71"/>
  <c r="EH64" i="71"/>
  <c r="EI64" i="71"/>
  <c r="EJ64" i="71"/>
  <c r="EK64" i="71"/>
  <c r="EL64" i="71"/>
  <c r="EM64" i="71"/>
  <c r="EN64" i="71"/>
  <c r="EO64" i="71"/>
  <c r="EP64" i="71"/>
  <c r="EQ64" i="71"/>
  <c r="ER64" i="71"/>
  <c r="ES64" i="71"/>
  <c r="ET64" i="71"/>
  <c r="EU64" i="71"/>
  <c r="EV64" i="71"/>
  <c r="EW64" i="71"/>
  <c r="EX64" i="71"/>
  <c r="EY64" i="71"/>
  <c r="EZ64" i="71"/>
  <c r="FA64" i="71"/>
  <c r="FB64" i="71"/>
  <c r="FC64" i="71"/>
  <c r="FD64" i="71"/>
  <c r="FE64" i="71"/>
  <c r="FF64" i="71"/>
  <c r="FG64" i="71"/>
  <c r="FH64" i="71"/>
  <c r="FI64" i="71"/>
  <c r="FJ64" i="71"/>
  <c r="FK64" i="71"/>
  <c r="FL64" i="71"/>
  <c r="FM64" i="71"/>
  <c r="FN64" i="71"/>
  <c r="FO64" i="71"/>
  <c r="FP64" i="71"/>
  <c r="FQ64" i="71"/>
  <c r="FR64" i="71"/>
  <c r="FS64" i="71"/>
  <c r="FT64" i="71"/>
  <c r="FU64" i="71"/>
  <c r="FV64" i="71"/>
  <c r="FW64" i="71"/>
  <c r="FX64" i="71"/>
  <c r="FY64" i="71"/>
  <c r="FZ64" i="71"/>
  <c r="GA64" i="71"/>
  <c r="GB64" i="71"/>
  <c r="GC64" i="71"/>
  <c r="GD64" i="71"/>
  <c r="GE64" i="71"/>
  <c r="GF64" i="71"/>
  <c r="GG64" i="71"/>
  <c r="GH64" i="71"/>
  <c r="GI64" i="71"/>
  <c r="GJ64" i="71"/>
  <c r="GK64" i="71"/>
  <c r="GL64" i="71"/>
  <c r="GM64" i="71"/>
  <c r="GN64" i="71"/>
  <c r="GO64" i="71"/>
  <c r="GP64" i="71"/>
  <c r="GQ64" i="71"/>
  <c r="GR64" i="71"/>
  <c r="GS64" i="71"/>
  <c r="GT64" i="71"/>
  <c r="GU64" i="71"/>
  <c r="GV64" i="71"/>
  <c r="GW64" i="71"/>
  <c r="GX64" i="71"/>
  <c r="GY64" i="71"/>
  <c r="GZ64" i="71"/>
  <c r="HA64" i="71"/>
  <c r="HB64" i="71"/>
  <c r="HC64" i="71"/>
  <c r="HD64" i="71"/>
  <c r="HE64" i="71"/>
  <c r="HF64" i="71"/>
  <c r="HG64" i="71"/>
  <c r="HH64" i="71"/>
  <c r="HI64" i="71"/>
  <c r="HJ64" i="71"/>
  <c r="HK64" i="71"/>
  <c r="HT64" i="71"/>
  <c r="HU64" i="71"/>
  <c r="HV64" i="71"/>
  <c r="HW64" i="71"/>
  <c r="HX64" i="71"/>
  <c r="HY64" i="71"/>
  <c r="HZ64" i="71"/>
  <c r="IA64" i="71"/>
  <c r="IB64" i="71"/>
  <c r="IC64" i="71"/>
  <c r="ID64" i="71"/>
  <c r="IE64" i="71"/>
  <c r="IF64" i="71"/>
  <c r="IG64" i="71"/>
  <c r="IH64" i="71"/>
  <c r="II64" i="71"/>
  <c r="IJ64" i="71"/>
  <c r="IK64" i="71"/>
  <c r="IL64" i="71"/>
  <c r="IM64" i="71"/>
  <c r="IN64" i="71"/>
  <c r="IO64" i="71"/>
  <c r="IP64" i="71"/>
  <c r="IQ64" i="71"/>
  <c r="IR64" i="71"/>
  <c r="IS64" i="71"/>
  <c r="IT64" i="71"/>
  <c r="IU64" i="71"/>
  <c r="IV64" i="71"/>
  <c r="IW64" i="71"/>
  <c r="IX64" i="71"/>
  <c r="IY64" i="71"/>
  <c r="IZ64" i="71"/>
  <c r="JA64" i="71"/>
  <c r="JB64" i="71"/>
  <c r="JC64" i="71"/>
  <c r="JD64" i="71"/>
  <c r="JE64" i="71"/>
  <c r="JF64" i="71"/>
  <c r="JG64" i="71"/>
  <c r="JH64" i="71"/>
  <c r="JI64" i="71"/>
  <c r="JJ64" i="71"/>
  <c r="JK64" i="71"/>
  <c r="JL64" i="71"/>
  <c r="JM64" i="71"/>
  <c r="JN64" i="71"/>
  <c r="JO64" i="71"/>
  <c r="JP64" i="71"/>
  <c r="JQ64" i="71"/>
  <c r="JR64" i="71"/>
  <c r="JS64" i="71"/>
  <c r="JU64" i="71"/>
  <c r="JV64" i="71"/>
  <c r="JW64" i="71"/>
  <c r="JX64" i="71"/>
  <c r="JY64" i="71"/>
  <c r="JZ64" i="71"/>
  <c r="KA64" i="71"/>
  <c r="KB64" i="71"/>
  <c r="KC64" i="71"/>
  <c r="KD64" i="71"/>
  <c r="KE64" i="71"/>
  <c r="KF64" i="71"/>
  <c r="KG64" i="71"/>
  <c r="KH64" i="71"/>
  <c r="KI64" i="71"/>
  <c r="KJ64" i="71"/>
  <c r="KK64" i="71"/>
  <c r="KL64" i="71"/>
  <c r="KM64" i="71"/>
  <c r="KN64" i="71"/>
  <c r="KO64" i="71"/>
  <c r="KP64" i="71"/>
  <c r="KQ64" i="71"/>
  <c r="KR64" i="71"/>
  <c r="KS64" i="71"/>
  <c r="KT64" i="71"/>
  <c r="KU64" i="71"/>
  <c r="KV64" i="71"/>
  <c r="KW64" i="71"/>
  <c r="KX64" i="71"/>
  <c r="KY64" i="71"/>
  <c r="KZ64" i="71"/>
  <c r="LA64" i="71"/>
  <c r="LB64" i="71"/>
  <c r="LC64" i="71"/>
  <c r="LD64" i="71"/>
  <c r="LE64" i="71"/>
  <c r="LF64" i="71"/>
  <c r="LG64" i="71"/>
  <c r="LH64" i="71"/>
  <c r="LI64" i="71"/>
  <c r="LJ64" i="71"/>
  <c r="LK64" i="71"/>
  <c r="LL64" i="71"/>
  <c r="LM64" i="71"/>
  <c r="LN64" i="71"/>
  <c r="LO64" i="71"/>
  <c r="LP64" i="71"/>
  <c r="LQ64" i="71"/>
  <c r="LR64" i="71"/>
  <c r="LS64" i="71"/>
  <c r="LT64" i="71"/>
  <c r="LU64" i="71"/>
  <c r="LV64" i="71"/>
  <c r="LW64" i="71"/>
  <c r="LX64" i="71"/>
  <c r="LY64" i="71"/>
  <c r="LZ64" i="71"/>
  <c r="MA64" i="71"/>
  <c r="MB64" i="71"/>
  <c r="MC64" i="71"/>
  <c r="LR30" i="67"/>
  <c r="ME64" i="71"/>
  <c r="MF64" i="71"/>
  <c r="MG64" i="71"/>
  <c r="MH64" i="71"/>
  <c r="MI64" i="71"/>
  <c r="MJ64" i="71"/>
  <c r="MK64" i="71"/>
  <c r="ML64" i="71"/>
  <c r="MM64" i="71"/>
  <c r="D14" i="71"/>
  <c r="E14" i="71"/>
  <c r="M14" i="71"/>
  <c r="N14" i="71"/>
  <c r="O14" i="71"/>
  <c r="R14" i="71"/>
  <c r="S14" i="71"/>
  <c r="T14" i="71"/>
  <c r="U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BB14" i="71"/>
  <c r="BC14" i="71"/>
  <c r="BD14" i="71"/>
  <c r="BE14" i="71"/>
  <c r="BF14" i="71"/>
  <c r="BG14" i="71"/>
  <c r="BH14" i="71"/>
  <c r="BI14" i="71"/>
  <c r="BJ14" i="71"/>
  <c r="BK14" i="71"/>
  <c r="BL14" i="71"/>
  <c r="BM14" i="71"/>
  <c r="BN14" i="71"/>
  <c r="BO14" i="71"/>
  <c r="BP14" i="71"/>
  <c r="BQ14" i="71"/>
  <c r="BR14" i="71"/>
  <c r="BS14" i="71"/>
  <c r="BT14" i="71"/>
  <c r="BU14" i="71"/>
  <c r="BV14" i="71"/>
  <c r="BW14" i="71"/>
  <c r="BX14" i="71"/>
  <c r="BY14" i="71"/>
  <c r="BZ14" i="71"/>
  <c r="CA14" i="71"/>
  <c r="CB14" i="71"/>
  <c r="CC14" i="71"/>
  <c r="CD14" i="71"/>
  <c r="CE14" i="71"/>
  <c r="CF14" i="71"/>
  <c r="CG14" i="71"/>
  <c r="CH14" i="71"/>
  <c r="CI14" i="71"/>
  <c r="CJ14" i="71"/>
  <c r="CK14" i="71"/>
  <c r="CL14" i="71"/>
  <c r="CM14" i="71"/>
  <c r="CN14" i="71"/>
  <c r="CO14" i="71"/>
  <c r="CP14" i="71"/>
  <c r="CQ14" i="71"/>
  <c r="CR14" i="71"/>
  <c r="CS14" i="71"/>
  <c r="CT14" i="71"/>
  <c r="CU14" i="71"/>
  <c r="CV14" i="71"/>
  <c r="CW14" i="71"/>
  <c r="CX14" i="71"/>
  <c r="CY14" i="71"/>
  <c r="CZ14" i="71"/>
  <c r="DA14" i="71"/>
  <c r="DB14" i="71"/>
  <c r="DC14" i="71"/>
  <c r="DD14" i="71"/>
  <c r="DE14" i="71"/>
  <c r="DF14" i="71"/>
  <c r="DG14" i="71"/>
  <c r="DH14" i="71"/>
  <c r="DI14" i="71"/>
  <c r="DJ14" i="71"/>
  <c r="DK14" i="71"/>
  <c r="DL14" i="71"/>
  <c r="DM14" i="71"/>
  <c r="DN14" i="71"/>
  <c r="DO14" i="71"/>
  <c r="DP14" i="71"/>
  <c r="DQ14" i="71"/>
  <c r="DR14" i="71"/>
  <c r="DS14" i="71"/>
  <c r="DT14" i="71"/>
  <c r="DU14" i="71"/>
  <c r="DV14" i="71"/>
  <c r="DW14" i="71"/>
  <c r="DX14" i="71"/>
  <c r="DY14" i="71"/>
  <c r="DZ14" i="71"/>
  <c r="EA14" i="71"/>
  <c r="EB14" i="71"/>
  <c r="EC14" i="71"/>
  <c r="ED14" i="71"/>
  <c r="EE14" i="71"/>
  <c r="EF14" i="71"/>
  <c r="EG14" i="71"/>
  <c r="EH14" i="71"/>
  <c r="EI14" i="71"/>
  <c r="EJ14" i="71"/>
  <c r="EK14" i="71"/>
  <c r="EL14" i="71"/>
  <c r="EM14" i="71"/>
  <c r="EN14" i="71"/>
  <c r="EO14" i="71"/>
  <c r="EP14" i="71"/>
  <c r="EQ14" i="71"/>
  <c r="ER14" i="71"/>
  <c r="ES14" i="71"/>
  <c r="ET14" i="71"/>
  <c r="EU14" i="71"/>
  <c r="EV14" i="71"/>
  <c r="EW14" i="71"/>
  <c r="EX14" i="71"/>
  <c r="EY14" i="71"/>
  <c r="EZ14" i="71"/>
  <c r="FA14" i="71"/>
  <c r="FB14" i="71"/>
  <c r="FC14" i="71"/>
  <c r="FD14" i="71"/>
  <c r="FE14" i="71"/>
  <c r="FF14" i="71"/>
  <c r="FG14" i="71"/>
  <c r="FH14" i="71"/>
  <c r="FI14" i="71"/>
  <c r="FJ14" i="71"/>
  <c r="FK14" i="71"/>
  <c r="FL14" i="71"/>
  <c r="FM14" i="71"/>
  <c r="FN14" i="71"/>
  <c r="FO14" i="71"/>
  <c r="FP14" i="71"/>
  <c r="FQ14" i="71"/>
  <c r="FR14" i="71"/>
  <c r="FS14" i="71"/>
  <c r="FT14" i="71"/>
  <c r="FU14" i="71"/>
  <c r="FV14" i="71"/>
  <c r="FW14" i="71"/>
  <c r="FX14" i="71"/>
  <c r="FY14" i="71"/>
  <c r="FZ14" i="71"/>
  <c r="GA14" i="71"/>
  <c r="GB14" i="71"/>
  <c r="GC14" i="71"/>
  <c r="GD14" i="71"/>
  <c r="GE14" i="71"/>
  <c r="GF14" i="71"/>
  <c r="GG14" i="71"/>
  <c r="GH14" i="71"/>
  <c r="GI14" i="71"/>
  <c r="GJ14" i="71"/>
  <c r="GK14" i="71"/>
  <c r="GL14" i="71"/>
  <c r="GM14" i="71"/>
  <c r="GN14" i="71"/>
  <c r="GO14" i="71"/>
  <c r="GP14" i="71"/>
  <c r="GQ14" i="71"/>
  <c r="GR14" i="71"/>
  <c r="GS14" i="71"/>
  <c r="GT14" i="71"/>
  <c r="GU14" i="71"/>
  <c r="GV14" i="71"/>
  <c r="GW14" i="71"/>
  <c r="GX14" i="71"/>
  <c r="GY14" i="71"/>
  <c r="GZ14" i="71"/>
  <c r="HA14" i="71"/>
  <c r="HB14" i="71"/>
  <c r="HC14" i="71"/>
  <c r="HD14" i="71"/>
  <c r="HE14" i="71"/>
  <c r="HF14" i="71"/>
  <c r="HG14" i="71"/>
  <c r="HH14" i="71"/>
  <c r="HI14" i="71"/>
  <c r="HJ14" i="71"/>
  <c r="HK14" i="71"/>
  <c r="HL14" i="71"/>
  <c r="GZ30" i="67" s="1"/>
  <c r="HM14" i="71"/>
  <c r="HA30" i="67" s="1"/>
  <c r="HN14" i="71"/>
  <c r="HO14" i="71"/>
  <c r="HC30" i="67" s="1"/>
  <c r="HP14" i="71"/>
  <c r="HD30" i="67" s="1"/>
  <c r="HQ14" i="71"/>
  <c r="HE30" i="67" s="1"/>
  <c r="HR14" i="71"/>
  <c r="HS14" i="71"/>
  <c r="HG30" i="67" s="1"/>
  <c r="HT14" i="71"/>
  <c r="HU14" i="71"/>
  <c r="HV14" i="71"/>
  <c r="HW14" i="71"/>
  <c r="HX14" i="71"/>
  <c r="HY14" i="71"/>
  <c r="HZ14" i="71"/>
  <c r="IA14" i="71"/>
  <c r="IB14" i="71"/>
  <c r="IC14" i="71"/>
  <c r="ID14" i="71"/>
  <c r="IE14" i="71"/>
  <c r="IF14" i="71"/>
  <c r="IG14" i="71"/>
  <c r="IH14" i="71"/>
  <c r="II14" i="71"/>
  <c r="IJ14" i="71"/>
  <c r="IK14" i="71"/>
  <c r="IL14" i="71"/>
  <c r="IM14" i="71"/>
  <c r="IN14" i="71"/>
  <c r="IO14" i="71"/>
  <c r="IP14" i="71"/>
  <c r="IQ14" i="71"/>
  <c r="IR14" i="71"/>
  <c r="IS14" i="71"/>
  <c r="IT14" i="71"/>
  <c r="IU14" i="71"/>
  <c r="IV14" i="71"/>
  <c r="IW14" i="71"/>
  <c r="IX14" i="71"/>
  <c r="IY14" i="71"/>
  <c r="IZ14" i="71"/>
  <c r="JA14" i="71"/>
  <c r="JB14" i="71"/>
  <c r="JC14" i="71"/>
  <c r="JD14" i="71"/>
  <c r="JE14" i="71"/>
  <c r="JF14" i="71"/>
  <c r="JG14" i="71"/>
  <c r="JH14" i="71"/>
  <c r="JI14" i="71"/>
  <c r="JJ14" i="71"/>
  <c r="JK14" i="71"/>
  <c r="JL14" i="71"/>
  <c r="JM14" i="71"/>
  <c r="JN14" i="71"/>
  <c r="JO14" i="71"/>
  <c r="JP14" i="71"/>
  <c r="JQ14" i="71"/>
  <c r="JR14" i="71"/>
  <c r="JS14" i="71"/>
  <c r="JT14" i="71"/>
  <c r="JH30" i="67" s="1"/>
  <c r="JU14" i="71"/>
  <c r="JV14" i="71"/>
  <c r="JW14" i="71"/>
  <c r="JX14" i="71"/>
  <c r="JY14" i="71"/>
  <c r="JZ14" i="71"/>
  <c r="KA14" i="71"/>
  <c r="KB14" i="71"/>
  <c r="KC14" i="71"/>
  <c r="KD14" i="71"/>
  <c r="KE14" i="71"/>
  <c r="KF14" i="71"/>
  <c r="KG14" i="71"/>
  <c r="KH14" i="71"/>
  <c r="KI14" i="71"/>
  <c r="KJ14" i="71"/>
  <c r="KK14" i="71"/>
  <c r="KL14" i="71"/>
  <c r="KM14" i="71"/>
  <c r="KN14" i="71"/>
  <c r="KO14" i="71"/>
  <c r="KP14" i="71"/>
  <c r="KQ14" i="71"/>
  <c r="KR14" i="71"/>
  <c r="KS14" i="71"/>
  <c r="KT14" i="71"/>
  <c r="KU14" i="71"/>
  <c r="KV14" i="71"/>
  <c r="KW14" i="71"/>
  <c r="KX14" i="71"/>
  <c r="KY14" i="71"/>
  <c r="KZ14" i="71"/>
  <c r="LA14" i="71"/>
  <c r="LB14" i="71"/>
  <c r="LC14" i="71"/>
  <c r="LD14" i="71"/>
  <c r="LE14" i="71"/>
  <c r="LF14" i="71"/>
  <c r="LG14" i="71"/>
  <c r="LH14" i="71"/>
  <c r="LI14" i="71"/>
  <c r="LJ14" i="71"/>
  <c r="LK14" i="71"/>
  <c r="LL14" i="71"/>
  <c r="LM14" i="71"/>
  <c r="LN14" i="71"/>
  <c r="LO14" i="71"/>
  <c r="LP14" i="71"/>
  <c r="LQ14" i="71"/>
  <c r="LR14" i="71"/>
  <c r="LS14" i="71"/>
  <c r="LT14" i="71"/>
  <c r="LU14" i="71"/>
  <c r="LV14" i="71"/>
  <c r="LW14" i="71"/>
  <c r="LX14" i="71"/>
  <c r="LY14" i="71"/>
  <c r="LZ14" i="71"/>
  <c r="MA14" i="71"/>
  <c r="MB14" i="71"/>
  <c r="MC14" i="71"/>
  <c r="ME14" i="71"/>
  <c r="MF14" i="71"/>
  <c r="MG14" i="71"/>
  <c r="MH14" i="71"/>
  <c r="MI14" i="71"/>
  <c r="MJ14" i="71"/>
  <c r="MK14" i="71"/>
  <c r="ML14" i="71"/>
  <c r="MM14" i="71"/>
  <c r="D12" i="71"/>
  <c r="E12" i="71"/>
  <c r="M12" i="71"/>
  <c r="N12" i="71"/>
  <c r="O12" i="71"/>
  <c r="R12" i="71"/>
  <c r="S12" i="71"/>
  <c r="T12" i="71"/>
  <c r="U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BB12" i="71"/>
  <c r="BC12" i="71"/>
  <c r="BD12" i="71"/>
  <c r="BE12" i="71"/>
  <c r="BF12" i="71"/>
  <c r="BG12" i="71"/>
  <c r="BH12" i="71"/>
  <c r="BI12" i="71"/>
  <c r="BJ12" i="71"/>
  <c r="BK12" i="71"/>
  <c r="BL12" i="71"/>
  <c r="BM12" i="71"/>
  <c r="BN12" i="71"/>
  <c r="BO12" i="71"/>
  <c r="BP12" i="71"/>
  <c r="BQ12" i="71"/>
  <c r="BR12" i="71"/>
  <c r="BS12" i="71"/>
  <c r="BT12" i="71"/>
  <c r="BU12" i="71"/>
  <c r="BV12" i="71"/>
  <c r="BW12" i="71"/>
  <c r="BX12" i="71"/>
  <c r="BY12" i="71"/>
  <c r="BZ12" i="71"/>
  <c r="CA12" i="71"/>
  <c r="CB12" i="71"/>
  <c r="CC12" i="71"/>
  <c r="CD12" i="71"/>
  <c r="CE12" i="71"/>
  <c r="CF12" i="71"/>
  <c r="CG12" i="71"/>
  <c r="CH12" i="71"/>
  <c r="CI12" i="71"/>
  <c r="CJ12" i="71"/>
  <c r="CK12" i="71"/>
  <c r="CL12" i="71"/>
  <c r="CM12" i="71"/>
  <c r="CN12" i="71"/>
  <c r="CO12" i="71"/>
  <c r="CP12" i="71"/>
  <c r="CQ12" i="71"/>
  <c r="CR12" i="71"/>
  <c r="CS12" i="71"/>
  <c r="CT12" i="71"/>
  <c r="CU12" i="71"/>
  <c r="CV12" i="71"/>
  <c r="CW12" i="71"/>
  <c r="CX12" i="71"/>
  <c r="CY12" i="71"/>
  <c r="CZ12" i="71"/>
  <c r="DA12" i="71"/>
  <c r="DB12" i="71"/>
  <c r="DC12" i="71"/>
  <c r="DD12" i="71"/>
  <c r="DE12" i="71"/>
  <c r="DF12" i="71"/>
  <c r="DG12" i="71"/>
  <c r="DH12" i="71"/>
  <c r="DI12" i="71"/>
  <c r="DJ12" i="71"/>
  <c r="DK12" i="71"/>
  <c r="DL12" i="71"/>
  <c r="DM12" i="71"/>
  <c r="DN12" i="71"/>
  <c r="DO12" i="71"/>
  <c r="DP12" i="71"/>
  <c r="DQ12" i="71"/>
  <c r="DR12" i="71"/>
  <c r="DS12" i="71"/>
  <c r="DT12" i="71"/>
  <c r="DU12" i="71"/>
  <c r="DV12" i="71"/>
  <c r="DW12" i="71"/>
  <c r="DX12" i="71"/>
  <c r="DY12" i="71"/>
  <c r="DZ12" i="71"/>
  <c r="EA12" i="71"/>
  <c r="EB12" i="71"/>
  <c r="EC12" i="71"/>
  <c r="ED12" i="71"/>
  <c r="EE12" i="71"/>
  <c r="EF12" i="71"/>
  <c r="EG12" i="71"/>
  <c r="EH12" i="71"/>
  <c r="EI12" i="71"/>
  <c r="EJ12" i="71"/>
  <c r="EK12" i="71"/>
  <c r="EL12" i="71"/>
  <c r="EM12" i="71"/>
  <c r="EN12" i="71"/>
  <c r="EO12" i="71"/>
  <c r="EP12" i="71"/>
  <c r="EQ12" i="71"/>
  <c r="ER12" i="71"/>
  <c r="ES12" i="71"/>
  <c r="ET12" i="71"/>
  <c r="EU12" i="71"/>
  <c r="EV12" i="71"/>
  <c r="EW12" i="71"/>
  <c r="EX12" i="71"/>
  <c r="EY12" i="71"/>
  <c r="EZ12" i="71"/>
  <c r="FA12" i="71"/>
  <c r="FB12" i="71"/>
  <c r="FC12" i="71"/>
  <c r="FD12" i="71"/>
  <c r="FE12" i="71"/>
  <c r="FF12" i="71"/>
  <c r="FG12" i="71"/>
  <c r="FH12" i="71"/>
  <c r="FI12" i="71"/>
  <c r="FJ12" i="71"/>
  <c r="FK12" i="71"/>
  <c r="FL12" i="71"/>
  <c r="FM12" i="71"/>
  <c r="FN12" i="71"/>
  <c r="FO12" i="71"/>
  <c r="FP12" i="71"/>
  <c r="FQ12" i="71"/>
  <c r="FR12" i="71"/>
  <c r="FS12" i="71"/>
  <c r="FT12" i="71"/>
  <c r="FU12" i="71"/>
  <c r="FV12" i="71"/>
  <c r="FW12" i="71"/>
  <c r="FX12" i="71"/>
  <c r="FY12" i="71"/>
  <c r="FZ12" i="71"/>
  <c r="GA12" i="71"/>
  <c r="GB12" i="71"/>
  <c r="GC12" i="71"/>
  <c r="GD12" i="71"/>
  <c r="GE12" i="71"/>
  <c r="GF12" i="71"/>
  <c r="GG12" i="71"/>
  <c r="GH12" i="71"/>
  <c r="GI12" i="71"/>
  <c r="GJ12" i="71"/>
  <c r="GK12" i="71"/>
  <c r="GL12" i="71"/>
  <c r="GM12" i="71"/>
  <c r="GN12" i="71"/>
  <c r="GO12" i="71"/>
  <c r="GP12" i="71"/>
  <c r="GQ12" i="71"/>
  <c r="GR12" i="71"/>
  <c r="GS12" i="71"/>
  <c r="GT12" i="71"/>
  <c r="GU12" i="71"/>
  <c r="GV12" i="71"/>
  <c r="GW12" i="71"/>
  <c r="GX12" i="71"/>
  <c r="GY12" i="71"/>
  <c r="GZ12" i="71"/>
  <c r="HA12" i="71"/>
  <c r="HB12" i="71"/>
  <c r="HC12" i="71"/>
  <c r="HD12" i="71"/>
  <c r="HE12" i="71"/>
  <c r="HF12" i="71"/>
  <c r="HG12" i="71"/>
  <c r="HH12" i="71"/>
  <c r="HI12" i="71"/>
  <c r="HJ12" i="71"/>
  <c r="HK12" i="71"/>
  <c r="HL12" i="71"/>
  <c r="GZ49" i="67" s="1"/>
  <c r="HM12" i="71"/>
  <c r="HA49" i="67" s="1"/>
  <c r="HN12" i="71"/>
  <c r="HB49" i="67" s="1"/>
  <c r="HO12" i="71"/>
  <c r="HC49" i="67" s="1"/>
  <c r="HP12" i="71"/>
  <c r="HD49" i="67" s="1"/>
  <c r="HQ12" i="71"/>
  <c r="HE49" i="67" s="1"/>
  <c r="HR12" i="71"/>
  <c r="HF49" i="67" s="1"/>
  <c r="HS12" i="71"/>
  <c r="HT12" i="71"/>
  <c r="HU12" i="71"/>
  <c r="HV12" i="71"/>
  <c r="HW12" i="71"/>
  <c r="HX12" i="71"/>
  <c r="HY12" i="71"/>
  <c r="HZ12" i="71"/>
  <c r="IA12" i="71"/>
  <c r="IB12" i="71"/>
  <c r="IC12" i="71"/>
  <c r="ID12" i="71"/>
  <c r="IE12" i="71"/>
  <c r="IF12" i="71"/>
  <c r="IG12" i="71"/>
  <c r="IH12" i="71"/>
  <c r="II12" i="71"/>
  <c r="IJ12" i="71"/>
  <c r="IK12" i="71"/>
  <c r="IL12" i="71"/>
  <c r="IM12" i="71"/>
  <c r="IN12" i="71"/>
  <c r="IO12" i="71"/>
  <c r="IP12" i="71"/>
  <c r="IQ12" i="71"/>
  <c r="IR12" i="71"/>
  <c r="IS12" i="71"/>
  <c r="IT12" i="71"/>
  <c r="IU12" i="71"/>
  <c r="IV12" i="71"/>
  <c r="IW12" i="71"/>
  <c r="IX12" i="71"/>
  <c r="IY12" i="71"/>
  <c r="IZ12" i="71"/>
  <c r="JA12" i="71"/>
  <c r="JB12" i="71"/>
  <c r="JC12" i="71"/>
  <c r="JD12" i="71"/>
  <c r="JE12" i="71"/>
  <c r="JF12" i="71"/>
  <c r="JG12" i="71"/>
  <c r="JH12" i="71"/>
  <c r="JI12" i="71"/>
  <c r="JJ12" i="71"/>
  <c r="JK12" i="71"/>
  <c r="JL12" i="71"/>
  <c r="JM12" i="71"/>
  <c r="JN12" i="71"/>
  <c r="JO12" i="71"/>
  <c r="JP12" i="71"/>
  <c r="JQ12" i="71"/>
  <c r="JR12" i="71"/>
  <c r="JS12" i="71"/>
  <c r="JT12" i="71"/>
  <c r="JU12" i="71"/>
  <c r="JV12" i="71"/>
  <c r="JW12" i="71"/>
  <c r="JX12" i="71"/>
  <c r="JY12" i="71"/>
  <c r="JZ12" i="71"/>
  <c r="KA12" i="71"/>
  <c r="KB12" i="71"/>
  <c r="KC12" i="71"/>
  <c r="KD12" i="71"/>
  <c r="KE12" i="71"/>
  <c r="KF12" i="71"/>
  <c r="KG12" i="71"/>
  <c r="KH12" i="71"/>
  <c r="KI12" i="71"/>
  <c r="KJ12" i="71"/>
  <c r="KK12" i="71"/>
  <c r="KL12" i="71"/>
  <c r="KM12" i="71"/>
  <c r="KN12" i="71"/>
  <c r="KO12" i="71"/>
  <c r="KP12" i="71"/>
  <c r="KQ12" i="71"/>
  <c r="KR12" i="71"/>
  <c r="KS12" i="71"/>
  <c r="KT12" i="71"/>
  <c r="KU12" i="71"/>
  <c r="KV12" i="71"/>
  <c r="KW12" i="71"/>
  <c r="KX12" i="71"/>
  <c r="KY12" i="71"/>
  <c r="KZ12" i="71"/>
  <c r="LA12" i="71"/>
  <c r="LB12" i="71"/>
  <c r="LC12" i="71"/>
  <c r="LD12" i="71"/>
  <c r="LE12" i="71"/>
  <c r="LF12" i="71"/>
  <c r="LG12" i="71"/>
  <c r="LH12" i="71"/>
  <c r="LI12" i="71"/>
  <c r="LJ12" i="71"/>
  <c r="LK12" i="71"/>
  <c r="LL12" i="71"/>
  <c r="LM12" i="71"/>
  <c r="LN12" i="71"/>
  <c r="LO12" i="71"/>
  <c r="LP12" i="71"/>
  <c r="LQ12" i="71"/>
  <c r="LR12" i="71"/>
  <c r="LS12" i="71"/>
  <c r="LT12" i="71"/>
  <c r="LU12" i="71"/>
  <c r="LV12" i="71"/>
  <c r="LW12" i="71"/>
  <c r="LX12" i="71"/>
  <c r="LY12" i="71"/>
  <c r="LZ12" i="71"/>
  <c r="MA12" i="71"/>
  <c r="MB12" i="71"/>
  <c r="MC12" i="71"/>
  <c r="LR32" i="67"/>
  <c r="ME12" i="71"/>
  <c r="MF12" i="71"/>
  <c r="MG12" i="71"/>
  <c r="MH12" i="71"/>
  <c r="MI12" i="71"/>
  <c r="MJ12" i="71"/>
  <c r="MK12" i="71"/>
  <c r="ML12" i="71"/>
  <c r="MM12" i="71"/>
  <c r="D57" i="71"/>
  <c r="E57" i="71"/>
  <c r="M57" i="71"/>
  <c r="N57" i="71"/>
  <c r="O57" i="71"/>
  <c r="R57" i="71"/>
  <c r="S57" i="71"/>
  <c r="T57" i="71"/>
  <c r="U57" i="71"/>
  <c r="V57" i="71"/>
  <c r="W57" i="71"/>
  <c r="X57" i="71"/>
  <c r="Y57" i="71"/>
  <c r="Z57" i="71"/>
  <c r="AA57" i="71"/>
  <c r="AB57" i="71"/>
  <c r="AC57" i="71"/>
  <c r="AD57" i="71"/>
  <c r="AE57" i="71"/>
  <c r="AF57" i="71"/>
  <c r="AG57" i="71"/>
  <c r="AH57" i="71"/>
  <c r="AI57" i="71"/>
  <c r="AJ57" i="71"/>
  <c r="AK57" i="71"/>
  <c r="AL57" i="71"/>
  <c r="AM57" i="71"/>
  <c r="AN57" i="71"/>
  <c r="AO57" i="71"/>
  <c r="AP57" i="71"/>
  <c r="AQ57" i="71"/>
  <c r="AR57" i="71"/>
  <c r="AS57" i="71"/>
  <c r="AT57" i="71"/>
  <c r="AU57" i="71"/>
  <c r="AV57" i="71"/>
  <c r="AW57" i="71"/>
  <c r="AX57" i="71"/>
  <c r="AY57" i="71"/>
  <c r="AZ57" i="71"/>
  <c r="BA57" i="71"/>
  <c r="BB57" i="71"/>
  <c r="BC57" i="71"/>
  <c r="BD57" i="71"/>
  <c r="BE57" i="71"/>
  <c r="BF57" i="71"/>
  <c r="BG57" i="71"/>
  <c r="BH57" i="71"/>
  <c r="BI57" i="71"/>
  <c r="BJ57" i="71"/>
  <c r="BK57" i="71"/>
  <c r="BL57" i="71"/>
  <c r="BM57" i="71"/>
  <c r="BN57" i="71"/>
  <c r="BO57" i="71"/>
  <c r="BP57" i="71"/>
  <c r="BQ57" i="71"/>
  <c r="BR57" i="71"/>
  <c r="BS57" i="71"/>
  <c r="BT57" i="71"/>
  <c r="BU57" i="71"/>
  <c r="BV57" i="71"/>
  <c r="BW57" i="71"/>
  <c r="BX57" i="71"/>
  <c r="BY57" i="71"/>
  <c r="BZ57" i="71"/>
  <c r="CA57" i="71"/>
  <c r="CB57" i="71"/>
  <c r="CC57" i="71"/>
  <c r="CD57" i="71"/>
  <c r="CE57" i="71"/>
  <c r="CF57" i="71"/>
  <c r="CG57" i="71"/>
  <c r="CH57" i="71"/>
  <c r="CI57" i="71"/>
  <c r="CJ57" i="71"/>
  <c r="CK57" i="71"/>
  <c r="CL57" i="71"/>
  <c r="CM57" i="71"/>
  <c r="CN57" i="71"/>
  <c r="CO57" i="71"/>
  <c r="CP57" i="71"/>
  <c r="CQ57" i="71"/>
  <c r="CR57" i="71"/>
  <c r="CS57" i="71"/>
  <c r="CT57" i="71"/>
  <c r="CU57" i="71"/>
  <c r="CV57" i="71"/>
  <c r="CW57" i="71"/>
  <c r="CX57" i="71"/>
  <c r="CY57" i="71"/>
  <c r="CZ57" i="71"/>
  <c r="DA57" i="71"/>
  <c r="DB57" i="71"/>
  <c r="DC57" i="71"/>
  <c r="DD57" i="71"/>
  <c r="DE57" i="71"/>
  <c r="DF57" i="71"/>
  <c r="DG57" i="71"/>
  <c r="DH57" i="71"/>
  <c r="DI57" i="71"/>
  <c r="DJ57" i="71"/>
  <c r="DK57" i="71"/>
  <c r="DL57" i="71"/>
  <c r="DM57" i="71"/>
  <c r="DN57" i="71"/>
  <c r="DO57" i="71"/>
  <c r="DP57" i="71"/>
  <c r="DQ57" i="71"/>
  <c r="DR57" i="71"/>
  <c r="DS57" i="71"/>
  <c r="DT57" i="71"/>
  <c r="DU57" i="71"/>
  <c r="DV57" i="71"/>
  <c r="DW57" i="71"/>
  <c r="DX57" i="71"/>
  <c r="DY57" i="71"/>
  <c r="DZ57" i="71"/>
  <c r="EA57" i="71"/>
  <c r="EB57" i="71"/>
  <c r="EC57" i="71"/>
  <c r="ED57" i="71"/>
  <c r="EE57" i="71"/>
  <c r="EF57" i="71"/>
  <c r="EG57" i="71"/>
  <c r="EH57" i="71"/>
  <c r="EI57" i="71"/>
  <c r="EJ57" i="71"/>
  <c r="EK57" i="71"/>
  <c r="EL57" i="71"/>
  <c r="EM57" i="71"/>
  <c r="EN57" i="71"/>
  <c r="EO57" i="71"/>
  <c r="EP57" i="71"/>
  <c r="EQ57" i="71"/>
  <c r="ER57" i="71"/>
  <c r="ES57" i="71"/>
  <c r="ET57" i="71"/>
  <c r="EU57" i="71"/>
  <c r="EV57" i="71"/>
  <c r="EW57" i="71"/>
  <c r="EX57" i="71"/>
  <c r="EY57" i="71"/>
  <c r="EZ57" i="71"/>
  <c r="FA57" i="71"/>
  <c r="FB57" i="71"/>
  <c r="FC57" i="71"/>
  <c r="FD57" i="71"/>
  <c r="FE57" i="71"/>
  <c r="FF57" i="71"/>
  <c r="FG57" i="71"/>
  <c r="FH57" i="71"/>
  <c r="FI57" i="71"/>
  <c r="FJ57" i="71"/>
  <c r="FK57" i="71"/>
  <c r="FL57" i="71"/>
  <c r="FM57" i="71"/>
  <c r="FN57" i="71"/>
  <c r="FO57" i="71"/>
  <c r="FP57" i="71"/>
  <c r="FQ57" i="71"/>
  <c r="FR57" i="71"/>
  <c r="FS57" i="71"/>
  <c r="FT57" i="71"/>
  <c r="FU57" i="71"/>
  <c r="FV57" i="71"/>
  <c r="FW57" i="71"/>
  <c r="FX57" i="71"/>
  <c r="FY57" i="71"/>
  <c r="FZ57" i="71"/>
  <c r="GA57" i="71"/>
  <c r="GB57" i="71"/>
  <c r="GC57" i="71"/>
  <c r="GD57" i="71"/>
  <c r="GE57" i="71"/>
  <c r="GF57" i="71"/>
  <c r="GG57" i="71"/>
  <c r="GH57" i="71"/>
  <c r="GI57" i="71"/>
  <c r="GJ57" i="71"/>
  <c r="GK57" i="71"/>
  <c r="GL57" i="71"/>
  <c r="GM57" i="71"/>
  <c r="GN57" i="71"/>
  <c r="GO57" i="71"/>
  <c r="GP57" i="71"/>
  <c r="GQ57" i="71"/>
  <c r="GR57" i="71"/>
  <c r="GS57" i="71"/>
  <c r="GT57" i="71"/>
  <c r="GU57" i="71"/>
  <c r="GV57" i="71"/>
  <c r="GW57" i="71"/>
  <c r="GX57" i="71"/>
  <c r="GY57" i="71"/>
  <c r="GZ57" i="71"/>
  <c r="HA57" i="71"/>
  <c r="HB57" i="71"/>
  <c r="HC57" i="71"/>
  <c r="HD57" i="71"/>
  <c r="HE57" i="71"/>
  <c r="HF57" i="71"/>
  <c r="HG57" i="71"/>
  <c r="HH57" i="71"/>
  <c r="HI57" i="71"/>
  <c r="HJ57" i="71"/>
  <c r="HK57" i="71"/>
  <c r="HL57" i="71"/>
  <c r="HM57" i="71"/>
  <c r="HN57" i="71"/>
  <c r="HO57" i="71"/>
  <c r="HP57" i="71"/>
  <c r="HQ57" i="71"/>
  <c r="HR57" i="71"/>
  <c r="HS57" i="71"/>
  <c r="HT57" i="71"/>
  <c r="HU57" i="71"/>
  <c r="HV57" i="71"/>
  <c r="HW57" i="71"/>
  <c r="HX57" i="71"/>
  <c r="HY57" i="71"/>
  <c r="HZ57" i="71"/>
  <c r="IA57" i="71"/>
  <c r="IB57" i="71"/>
  <c r="IC57" i="71"/>
  <c r="ID57" i="71"/>
  <c r="IE57" i="71"/>
  <c r="IF57" i="71"/>
  <c r="IG57" i="71"/>
  <c r="IH57" i="71"/>
  <c r="II57" i="71"/>
  <c r="IJ57" i="71"/>
  <c r="HX57" i="67" s="1"/>
  <c r="IK57" i="71"/>
  <c r="HY57" i="67" s="1"/>
  <c r="IL57" i="71"/>
  <c r="IM57" i="71"/>
  <c r="IA57" i="67" s="1"/>
  <c r="IN57" i="71"/>
  <c r="IO57" i="71"/>
  <c r="IC57" i="67" s="1"/>
  <c r="IP57" i="71"/>
  <c r="ID57" i="67" s="1"/>
  <c r="IQ57" i="71"/>
  <c r="IE57" i="67" s="1"/>
  <c r="IR57" i="71"/>
  <c r="IF57" i="67" s="1"/>
  <c r="IS57" i="71"/>
  <c r="IG57" i="67" s="1"/>
  <c r="IT57" i="71"/>
  <c r="IU57" i="71"/>
  <c r="II57" i="67" s="1"/>
  <c r="IV57" i="71"/>
  <c r="IW57" i="71"/>
  <c r="IK57" i="67" s="1"/>
  <c r="IX57" i="71"/>
  <c r="IL57" i="67" s="1"/>
  <c r="IY57" i="71"/>
  <c r="IZ57" i="71"/>
  <c r="IN57" i="67" s="1"/>
  <c r="JA57" i="71"/>
  <c r="IO57" i="67" s="1"/>
  <c r="JB57" i="71"/>
  <c r="IP57" i="67" s="1"/>
  <c r="JC57" i="71"/>
  <c r="IQ57" i="67" s="1"/>
  <c r="JD57" i="71"/>
  <c r="JE57" i="71"/>
  <c r="IS57" i="67" s="1"/>
  <c r="JF57" i="71"/>
  <c r="IT57" i="67" s="1"/>
  <c r="JG57" i="71"/>
  <c r="JH57" i="71"/>
  <c r="IV57" i="67" s="1"/>
  <c r="JI57" i="71"/>
  <c r="IW57" i="67" s="1"/>
  <c r="JJ57" i="71"/>
  <c r="IX57" i="67" s="1"/>
  <c r="JK57" i="71"/>
  <c r="IY57" i="67" s="1"/>
  <c r="JL57" i="71"/>
  <c r="JM57" i="71"/>
  <c r="JA57" i="67" s="1"/>
  <c r="JN57" i="71"/>
  <c r="JB57" i="67" s="1"/>
  <c r="JO57" i="71"/>
  <c r="JP57" i="71"/>
  <c r="JD57" i="67" s="1"/>
  <c r="JQ57" i="71"/>
  <c r="JE57" i="67" s="1"/>
  <c r="JR57" i="71"/>
  <c r="JF57" i="67" s="1"/>
  <c r="JS57" i="71"/>
  <c r="JG57" i="67" s="1"/>
  <c r="JT57" i="71"/>
  <c r="JU57" i="71"/>
  <c r="JI57" i="67" s="1"/>
  <c r="JV57" i="71"/>
  <c r="JJ57" i="67" s="1"/>
  <c r="JW57" i="71"/>
  <c r="JX57" i="71"/>
  <c r="JL57" i="67" s="1"/>
  <c r="JY57" i="71"/>
  <c r="JM57" i="67" s="1"/>
  <c r="JZ57" i="71"/>
  <c r="JN57" i="67" s="1"/>
  <c r="KA57" i="71"/>
  <c r="JO57" i="67" s="1"/>
  <c r="KB57" i="71"/>
  <c r="KC57" i="71"/>
  <c r="JQ57" i="67" s="1"/>
  <c r="KD57" i="71"/>
  <c r="JR57" i="67" s="1"/>
  <c r="KE57" i="71"/>
  <c r="KF57" i="71"/>
  <c r="JT57" i="67" s="1"/>
  <c r="KG57" i="71"/>
  <c r="JU57" i="67" s="1"/>
  <c r="KH57" i="71"/>
  <c r="JV57" i="67" s="1"/>
  <c r="KI57" i="71"/>
  <c r="JW57" i="67" s="1"/>
  <c r="KJ57" i="71"/>
  <c r="KK57" i="71"/>
  <c r="JY57" i="67" s="1"/>
  <c r="KL57" i="71"/>
  <c r="JZ57" i="67" s="1"/>
  <c r="KM57" i="71"/>
  <c r="KN57" i="71"/>
  <c r="KB57" i="67" s="1"/>
  <c r="KO57" i="71"/>
  <c r="KC57" i="67" s="1"/>
  <c r="KP57" i="71"/>
  <c r="KQ57" i="71"/>
  <c r="KR57" i="71"/>
  <c r="KS57" i="71"/>
  <c r="KT57" i="71"/>
  <c r="KU57" i="71"/>
  <c r="KV57" i="71"/>
  <c r="KW57" i="71"/>
  <c r="KX57" i="71"/>
  <c r="KY57" i="71"/>
  <c r="KZ57" i="71"/>
  <c r="LA57" i="71"/>
  <c r="LB57" i="71"/>
  <c r="LC57" i="71"/>
  <c r="LD57" i="71"/>
  <c r="LE57" i="71"/>
  <c r="LF57" i="71"/>
  <c r="LG57" i="71"/>
  <c r="LH57" i="71"/>
  <c r="LI57" i="71"/>
  <c r="LJ57" i="71"/>
  <c r="LK57" i="71"/>
  <c r="LL57" i="71"/>
  <c r="LM57" i="71"/>
  <c r="LN57" i="71"/>
  <c r="LO57" i="71"/>
  <c r="LP57" i="71"/>
  <c r="LQ57" i="71"/>
  <c r="LR57" i="71"/>
  <c r="LS57" i="71"/>
  <c r="LT57" i="71"/>
  <c r="LU57" i="71"/>
  <c r="LV57" i="71"/>
  <c r="LW57" i="71"/>
  <c r="LX57" i="71"/>
  <c r="LY57" i="71"/>
  <c r="LZ57" i="71"/>
  <c r="MA57" i="71"/>
  <c r="MB57" i="71"/>
  <c r="MC57" i="71"/>
  <c r="ME57" i="71"/>
  <c r="MF57" i="71"/>
  <c r="MG57" i="71"/>
  <c r="MH57" i="71"/>
  <c r="MI57" i="71"/>
  <c r="MJ57" i="71"/>
  <c r="MK57" i="71"/>
  <c r="ML57" i="71"/>
  <c r="MA33" i="67"/>
  <c r="D50" i="71"/>
  <c r="E50" i="71"/>
  <c r="M50" i="71"/>
  <c r="N50" i="71"/>
  <c r="O50" i="71"/>
  <c r="R50" i="71"/>
  <c r="S50" i="71"/>
  <c r="T50" i="71"/>
  <c r="U50" i="71"/>
  <c r="V50" i="71"/>
  <c r="J32" i="67" s="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BB50" i="71"/>
  <c r="BC50" i="71"/>
  <c r="BD50" i="71"/>
  <c r="BE50" i="71"/>
  <c r="BF50" i="71"/>
  <c r="BG50" i="71"/>
  <c r="BH50" i="71"/>
  <c r="BI50" i="71"/>
  <c r="BJ50" i="71"/>
  <c r="BK50" i="71"/>
  <c r="BL50" i="71"/>
  <c r="BM50" i="71"/>
  <c r="BN50" i="71"/>
  <c r="BO50" i="71"/>
  <c r="BP50" i="71"/>
  <c r="BQ50" i="71"/>
  <c r="BR50" i="71"/>
  <c r="BS50" i="71"/>
  <c r="BT50" i="71"/>
  <c r="BU50" i="71"/>
  <c r="BV50" i="71"/>
  <c r="BW50" i="71"/>
  <c r="BX50" i="71"/>
  <c r="BY50" i="71"/>
  <c r="BZ50" i="71"/>
  <c r="CA50" i="71"/>
  <c r="CB50" i="71"/>
  <c r="CC50" i="71"/>
  <c r="CD50" i="71"/>
  <c r="CE50" i="71"/>
  <c r="CF50" i="71"/>
  <c r="CG50" i="71"/>
  <c r="CH50" i="71"/>
  <c r="CI50" i="71"/>
  <c r="CJ50" i="71"/>
  <c r="CK50" i="71"/>
  <c r="CL50" i="71"/>
  <c r="CM50" i="71"/>
  <c r="CN50" i="71"/>
  <c r="CO50" i="71"/>
  <c r="CP50" i="71"/>
  <c r="CQ50" i="71"/>
  <c r="CR50" i="71"/>
  <c r="CS50" i="71"/>
  <c r="CT50" i="71"/>
  <c r="CU50" i="71"/>
  <c r="CV50" i="71"/>
  <c r="CW50" i="71"/>
  <c r="CX50" i="71"/>
  <c r="CY50" i="71"/>
  <c r="CZ50" i="71"/>
  <c r="DA50" i="71"/>
  <c r="DB50" i="71"/>
  <c r="DC50" i="71"/>
  <c r="DD50" i="71"/>
  <c r="DE50" i="71"/>
  <c r="DF50" i="71"/>
  <c r="DG50" i="71"/>
  <c r="DH50" i="71"/>
  <c r="DI50" i="71"/>
  <c r="DJ50" i="71"/>
  <c r="DK50" i="71"/>
  <c r="DL50" i="71"/>
  <c r="DM50" i="71"/>
  <c r="DN50" i="71"/>
  <c r="DO50" i="71"/>
  <c r="DP50" i="71"/>
  <c r="DQ50" i="71"/>
  <c r="DR50" i="71"/>
  <c r="DS50" i="71"/>
  <c r="DT50" i="71"/>
  <c r="DU50" i="71"/>
  <c r="DV50" i="71"/>
  <c r="DW50" i="71"/>
  <c r="DX50" i="71"/>
  <c r="DY50" i="71"/>
  <c r="DZ50" i="71"/>
  <c r="EA50" i="71"/>
  <c r="EB50" i="71"/>
  <c r="EC50" i="71"/>
  <c r="ED50" i="71"/>
  <c r="EE50" i="71"/>
  <c r="EF50" i="71"/>
  <c r="EG50" i="71"/>
  <c r="EH50" i="71"/>
  <c r="EI50" i="71"/>
  <c r="EJ50" i="71"/>
  <c r="EK50" i="71"/>
  <c r="EL50" i="71"/>
  <c r="EM50" i="71"/>
  <c r="EN50" i="71"/>
  <c r="EO50" i="71"/>
  <c r="EP50" i="71"/>
  <c r="EQ50" i="71"/>
  <c r="ER50" i="71"/>
  <c r="ES50" i="71"/>
  <c r="ET50" i="71"/>
  <c r="EU50" i="71"/>
  <c r="EV50" i="71"/>
  <c r="EW50" i="71"/>
  <c r="EX50" i="71"/>
  <c r="EY50" i="71"/>
  <c r="EZ50" i="71"/>
  <c r="FA50" i="71"/>
  <c r="FB50" i="71"/>
  <c r="FC50" i="71"/>
  <c r="FD50" i="71"/>
  <c r="FE50" i="71"/>
  <c r="FF50" i="71"/>
  <c r="FG50" i="71"/>
  <c r="FH50" i="71"/>
  <c r="FI50" i="71"/>
  <c r="FJ50" i="71"/>
  <c r="FK50" i="71"/>
  <c r="FL50" i="71"/>
  <c r="FM50" i="71"/>
  <c r="FN50" i="71"/>
  <c r="FO50" i="71"/>
  <c r="FP50" i="71"/>
  <c r="FQ50" i="71"/>
  <c r="FR50" i="71"/>
  <c r="FS50" i="71"/>
  <c r="FT50" i="71"/>
  <c r="FU50" i="71"/>
  <c r="FV50" i="71"/>
  <c r="FW50" i="71"/>
  <c r="FX50" i="71"/>
  <c r="FY50" i="71"/>
  <c r="FZ50" i="71"/>
  <c r="GA50" i="71"/>
  <c r="GB50" i="71"/>
  <c r="GC50" i="71"/>
  <c r="GD50" i="71"/>
  <c r="GE50" i="71"/>
  <c r="GF50" i="71"/>
  <c r="GG50" i="71"/>
  <c r="GH50" i="71"/>
  <c r="GI50" i="71"/>
  <c r="GJ50" i="71"/>
  <c r="GK50" i="71"/>
  <c r="GL50" i="71"/>
  <c r="GM50" i="71"/>
  <c r="GN50" i="71"/>
  <c r="GO50" i="71"/>
  <c r="GP50" i="71"/>
  <c r="GQ50" i="71"/>
  <c r="GR50" i="71"/>
  <c r="GS50" i="71"/>
  <c r="GT50" i="71"/>
  <c r="GU50" i="71"/>
  <c r="GV50" i="71"/>
  <c r="GW50" i="71"/>
  <c r="GX50" i="71"/>
  <c r="GY50" i="71"/>
  <c r="GZ50" i="71"/>
  <c r="HA50" i="71"/>
  <c r="HB50" i="71"/>
  <c r="HC50" i="71"/>
  <c r="HD50" i="71"/>
  <c r="HE50" i="71"/>
  <c r="HF50" i="71"/>
  <c r="HG50" i="71"/>
  <c r="HH50" i="71"/>
  <c r="HI50" i="71"/>
  <c r="HJ50" i="71"/>
  <c r="HK50" i="71"/>
  <c r="HL50" i="71"/>
  <c r="GZ29" i="67" s="1"/>
  <c r="HM50" i="71"/>
  <c r="HA29" i="67" s="1"/>
  <c r="HN50" i="71"/>
  <c r="HB29" i="67" s="1"/>
  <c r="HO50" i="71"/>
  <c r="HC29" i="67" s="1"/>
  <c r="HP50" i="71"/>
  <c r="HD29" i="67" s="1"/>
  <c r="HQ50" i="71"/>
  <c r="HE29" i="67" s="1"/>
  <c r="HR50" i="71"/>
  <c r="HF29" i="67" s="1"/>
  <c r="HS50" i="71"/>
  <c r="HG29" i="67" s="1"/>
  <c r="HT50" i="71"/>
  <c r="HU50" i="71"/>
  <c r="HV50" i="71"/>
  <c r="HW50" i="71"/>
  <c r="HX50" i="71"/>
  <c r="HY50" i="71"/>
  <c r="HZ50" i="71"/>
  <c r="IA50" i="71"/>
  <c r="IB50" i="71"/>
  <c r="IC50" i="71"/>
  <c r="ID50" i="71"/>
  <c r="IE50" i="71"/>
  <c r="IF50" i="71"/>
  <c r="IG50" i="71"/>
  <c r="IH50" i="71"/>
  <c r="II50" i="71"/>
  <c r="IJ50" i="71"/>
  <c r="IK50" i="71"/>
  <c r="IL50" i="71"/>
  <c r="IM50" i="71"/>
  <c r="IN50" i="71"/>
  <c r="IO50" i="71"/>
  <c r="IP50" i="71"/>
  <c r="IQ50" i="71"/>
  <c r="IR50" i="71"/>
  <c r="IS50" i="71"/>
  <c r="IT50" i="71"/>
  <c r="IU50" i="71"/>
  <c r="IV50" i="71"/>
  <c r="IW50" i="71"/>
  <c r="IX50" i="71"/>
  <c r="IY50" i="71"/>
  <c r="IZ50" i="71"/>
  <c r="JA50" i="71"/>
  <c r="JB50" i="71"/>
  <c r="JC50" i="71"/>
  <c r="JD50" i="71"/>
  <c r="JE50" i="71"/>
  <c r="JF50" i="71"/>
  <c r="JG50" i="71"/>
  <c r="JH50" i="71"/>
  <c r="JI50" i="71"/>
  <c r="JJ50" i="71"/>
  <c r="JK50" i="71"/>
  <c r="JL50" i="71"/>
  <c r="JM50" i="71"/>
  <c r="JN50" i="71"/>
  <c r="JO50" i="71"/>
  <c r="JP50" i="71"/>
  <c r="JQ50" i="71"/>
  <c r="JR50" i="71"/>
  <c r="JS50" i="71"/>
  <c r="JT50" i="71"/>
  <c r="JU50" i="71"/>
  <c r="JV50" i="71"/>
  <c r="JW50" i="71"/>
  <c r="JX50" i="71"/>
  <c r="JY50" i="71"/>
  <c r="JZ50" i="71"/>
  <c r="KA50" i="71"/>
  <c r="KB50" i="71"/>
  <c r="KC50" i="71"/>
  <c r="KD50" i="71"/>
  <c r="KE50" i="71"/>
  <c r="KF50" i="71"/>
  <c r="KG50" i="71"/>
  <c r="KH50" i="71"/>
  <c r="KI50" i="71"/>
  <c r="KJ50" i="71"/>
  <c r="KK50" i="71"/>
  <c r="KL50" i="71"/>
  <c r="KM50" i="71"/>
  <c r="KN50" i="71"/>
  <c r="KO50" i="71"/>
  <c r="KP50" i="71"/>
  <c r="KQ50" i="71"/>
  <c r="KR50" i="71"/>
  <c r="KS50" i="71"/>
  <c r="KT50" i="71"/>
  <c r="KU50" i="71"/>
  <c r="KV50" i="71"/>
  <c r="KW50" i="71"/>
  <c r="KX50" i="71"/>
  <c r="KY50" i="71"/>
  <c r="KZ50" i="71"/>
  <c r="LA50" i="71"/>
  <c r="LB50" i="71"/>
  <c r="LC50" i="71"/>
  <c r="LD50" i="71"/>
  <c r="LE50" i="71"/>
  <c r="LF50" i="71"/>
  <c r="LG50" i="71"/>
  <c r="LH50" i="71"/>
  <c r="LI50" i="71"/>
  <c r="LJ50" i="71"/>
  <c r="LK50" i="71"/>
  <c r="LL50" i="71"/>
  <c r="LM50" i="71"/>
  <c r="LN50" i="71"/>
  <c r="LO50" i="71"/>
  <c r="LP50" i="71"/>
  <c r="LQ50" i="71"/>
  <c r="LR50" i="71"/>
  <c r="LS50" i="71"/>
  <c r="LT50" i="71"/>
  <c r="LU50" i="71"/>
  <c r="LV50" i="71"/>
  <c r="LW50" i="71"/>
  <c r="LX50" i="71"/>
  <c r="LY50" i="71"/>
  <c r="LZ50" i="71"/>
  <c r="MA50" i="71"/>
  <c r="MB50" i="71"/>
  <c r="MC50" i="71"/>
  <c r="ME50" i="71"/>
  <c r="MF50" i="71"/>
  <c r="MG50" i="71"/>
  <c r="MH50" i="71"/>
  <c r="MI50" i="71"/>
  <c r="MJ50" i="71"/>
  <c r="MK50" i="71"/>
  <c r="ML50" i="71"/>
  <c r="MM50" i="71"/>
  <c r="MA43" i="67" s="1"/>
  <c r="D51" i="71"/>
  <c r="E51" i="71"/>
  <c r="M51" i="71"/>
  <c r="N51" i="71"/>
  <c r="O51" i="71"/>
  <c r="R51" i="71"/>
  <c r="S51" i="71"/>
  <c r="T51" i="71"/>
  <c r="U51" i="71"/>
  <c r="V51" i="71"/>
  <c r="J51" i="67" s="1"/>
  <c r="W51" i="71"/>
  <c r="X51" i="71"/>
  <c r="Y51" i="71"/>
  <c r="Z51" i="71"/>
  <c r="AA51" i="71"/>
  <c r="AB51" i="71"/>
  <c r="AC51" i="71"/>
  <c r="AD51" i="71"/>
  <c r="AE51" i="71"/>
  <c r="AF51" i="71"/>
  <c r="T51" i="67" s="1"/>
  <c r="AG51" i="71"/>
  <c r="U51" i="67" s="1"/>
  <c r="AH51" i="71"/>
  <c r="AI51" i="71"/>
  <c r="AJ51" i="71"/>
  <c r="AK51" i="71"/>
  <c r="AL51" i="71"/>
  <c r="AM51" i="71"/>
  <c r="AN51" i="71"/>
  <c r="AO51" i="71"/>
  <c r="AP51" i="71"/>
  <c r="AQ51" i="71"/>
  <c r="AR51" i="71"/>
  <c r="AS51" i="71"/>
  <c r="AT51" i="71"/>
  <c r="AU51" i="71"/>
  <c r="AV51" i="71"/>
  <c r="AW51" i="71"/>
  <c r="AX51" i="71"/>
  <c r="AY51" i="71"/>
  <c r="AZ51" i="71"/>
  <c r="BA51" i="71"/>
  <c r="BB51" i="71"/>
  <c r="BC51" i="71"/>
  <c r="BD51" i="71"/>
  <c r="BE51" i="71"/>
  <c r="BF51" i="71"/>
  <c r="BG51" i="71"/>
  <c r="BH51" i="71"/>
  <c r="BI51" i="71"/>
  <c r="BJ51" i="71"/>
  <c r="BK51" i="71"/>
  <c r="BL51" i="71"/>
  <c r="BM51" i="71"/>
  <c r="BN51" i="71"/>
  <c r="BO51" i="71"/>
  <c r="BP51" i="71"/>
  <c r="BQ51" i="71"/>
  <c r="BR51" i="71"/>
  <c r="BS51" i="71"/>
  <c r="BT51" i="71"/>
  <c r="BU51" i="71"/>
  <c r="BV51" i="71"/>
  <c r="BW51" i="71"/>
  <c r="BX51" i="71"/>
  <c r="BY51" i="71"/>
  <c r="BZ51" i="71"/>
  <c r="CA51" i="71"/>
  <c r="CB51" i="71"/>
  <c r="CC51" i="71"/>
  <c r="CD51" i="71"/>
  <c r="CE51" i="71"/>
  <c r="CF51" i="71"/>
  <c r="CG51" i="71"/>
  <c r="CH51" i="71"/>
  <c r="CI51" i="71"/>
  <c r="CJ51" i="71"/>
  <c r="CK51" i="71"/>
  <c r="CL51" i="71"/>
  <c r="CM51" i="71"/>
  <c r="CN51" i="71"/>
  <c r="CO51" i="71"/>
  <c r="CP51" i="71"/>
  <c r="CQ51" i="71"/>
  <c r="CR51" i="71"/>
  <c r="CS51" i="71"/>
  <c r="CT51" i="71"/>
  <c r="CU51" i="71"/>
  <c r="CV51" i="71"/>
  <c r="CW51" i="71"/>
  <c r="CX51" i="71"/>
  <c r="CY51" i="71"/>
  <c r="CZ51" i="71"/>
  <c r="DA51" i="71"/>
  <c r="DB51" i="71"/>
  <c r="DC51" i="71"/>
  <c r="DD51" i="71"/>
  <c r="DE51" i="71"/>
  <c r="DF51" i="71"/>
  <c r="DG51" i="71"/>
  <c r="DH51" i="71"/>
  <c r="DI51" i="71"/>
  <c r="DJ51" i="71"/>
  <c r="DK51" i="71"/>
  <c r="DL51" i="71"/>
  <c r="DM51" i="71"/>
  <c r="DN51" i="71"/>
  <c r="DO51" i="71"/>
  <c r="DP51" i="71"/>
  <c r="DQ51" i="71"/>
  <c r="DR51" i="71"/>
  <c r="DS51" i="71"/>
  <c r="DT51" i="71"/>
  <c r="DU51" i="71"/>
  <c r="DV51" i="71"/>
  <c r="DW51" i="71"/>
  <c r="DX51" i="71"/>
  <c r="DY51" i="71"/>
  <c r="DZ51" i="71"/>
  <c r="EA51" i="71"/>
  <c r="EB51" i="71"/>
  <c r="EC51" i="71"/>
  <c r="ED51" i="71"/>
  <c r="EE51" i="71"/>
  <c r="EF51" i="71"/>
  <c r="EG51" i="71"/>
  <c r="EH51" i="71"/>
  <c r="EI51" i="71"/>
  <c r="EJ51" i="71"/>
  <c r="EK51" i="71"/>
  <c r="EL51" i="71"/>
  <c r="EM51" i="71"/>
  <c r="EN51" i="71"/>
  <c r="EO51" i="71"/>
  <c r="EP51" i="71"/>
  <c r="EQ51" i="71"/>
  <c r="ER51" i="71"/>
  <c r="ES51" i="71"/>
  <c r="ET51" i="71"/>
  <c r="EU51" i="71"/>
  <c r="EV51" i="71"/>
  <c r="EW51" i="71"/>
  <c r="EX51" i="71"/>
  <c r="EY51" i="71"/>
  <c r="EZ51" i="71"/>
  <c r="FA51" i="71"/>
  <c r="FB51" i="71"/>
  <c r="FC51" i="71"/>
  <c r="FD51" i="71"/>
  <c r="FE51" i="71"/>
  <c r="FF51" i="71"/>
  <c r="FG51" i="71"/>
  <c r="FH51" i="71"/>
  <c r="FI51" i="71"/>
  <c r="FJ51" i="71"/>
  <c r="FK51" i="71"/>
  <c r="FL51" i="71"/>
  <c r="FM51" i="71"/>
  <c r="FN51" i="71"/>
  <c r="FO51" i="71"/>
  <c r="FP51" i="71"/>
  <c r="FQ51" i="71"/>
  <c r="FR51" i="71"/>
  <c r="FS51" i="71"/>
  <c r="FT51" i="71"/>
  <c r="FU51" i="71"/>
  <c r="FV51" i="71"/>
  <c r="FW51" i="71"/>
  <c r="FX51" i="71"/>
  <c r="FY51" i="71"/>
  <c r="FZ51" i="71"/>
  <c r="GA51" i="71"/>
  <c r="GB51" i="71"/>
  <c r="GC51" i="71"/>
  <c r="GD51" i="71"/>
  <c r="GE51" i="71"/>
  <c r="GF51" i="71"/>
  <c r="GG51" i="71"/>
  <c r="GH51" i="71"/>
  <c r="GI51" i="71"/>
  <c r="GJ51" i="71"/>
  <c r="GK51" i="71"/>
  <c r="GL51" i="71"/>
  <c r="GM51" i="71"/>
  <c r="GN51" i="71"/>
  <c r="GO51" i="71"/>
  <c r="GP51" i="71"/>
  <c r="GQ51" i="71"/>
  <c r="GR51" i="71"/>
  <c r="GS51" i="71"/>
  <c r="GT51" i="71"/>
  <c r="GU51" i="71"/>
  <c r="GV51" i="71"/>
  <c r="GW51" i="71"/>
  <c r="GX51" i="71"/>
  <c r="GY51" i="71"/>
  <c r="GZ51" i="71"/>
  <c r="HA51" i="71"/>
  <c r="HB51" i="71"/>
  <c r="HC51" i="71"/>
  <c r="HD51" i="71"/>
  <c r="HE51" i="71"/>
  <c r="HF51" i="71"/>
  <c r="HG51" i="71"/>
  <c r="HH51" i="71"/>
  <c r="HI51" i="71"/>
  <c r="HJ51" i="71"/>
  <c r="HK51" i="71"/>
  <c r="HT51" i="71"/>
  <c r="HU51" i="71"/>
  <c r="HV51" i="71"/>
  <c r="HW51" i="71"/>
  <c r="HX51" i="71"/>
  <c r="HY51" i="71"/>
  <c r="HZ51" i="71"/>
  <c r="IA51" i="71"/>
  <c r="IB51" i="71"/>
  <c r="IC51" i="71"/>
  <c r="ID51" i="71"/>
  <c r="IE51" i="71"/>
  <c r="IF51" i="71"/>
  <c r="IG51" i="71"/>
  <c r="IH51" i="71"/>
  <c r="II51" i="71"/>
  <c r="IJ51" i="71"/>
  <c r="HX59" i="67" s="1"/>
  <c r="IK51" i="71"/>
  <c r="HY59" i="67" s="1"/>
  <c r="IL51" i="71"/>
  <c r="HZ59" i="67" s="1"/>
  <c r="IM51" i="71"/>
  <c r="IA59" i="67" s="1"/>
  <c r="IN51" i="71"/>
  <c r="IB59" i="67" s="1"/>
  <c r="IO51" i="71"/>
  <c r="IC59" i="67" s="1"/>
  <c r="IP51" i="71"/>
  <c r="ID59" i="67" s="1"/>
  <c r="IQ51" i="71"/>
  <c r="IE59" i="67" s="1"/>
  <c r="IR51" i="71"/>
  <c r="IF59" i="67" s="1"/>
  <c r="IS51" i="71"/>
  <c r="IG59" i="67" s="1"/>
  <c r="IT51" i="71"/>
  <c r="IH59" i="67" s="1"/>
  <c r="IU51" i="71"/>
  <c r="II59" i="67" s="1"/>
  <c r="IV51" i="71"/>
  <c r="IJ59" i="67" s="1"/>
  <c r="IW51" i="71"/>
  <c r="IK59" i="67" s="1"/>
  <c r="IX51" i="71"/>
  <c r="IL59" i="67" s="1"/>
  <c r="IY51" i="71"/>
  <c r="IZ51" i="71"/>
  <c r="IN59" i="67" s="1"/>
  <c r="JA51" i="71"/>
  <c r="IO59" i="67" s="1"/>
  <c r="JB51" i="71"/>
  <c r="IP59" i="67" s="1"/>
  <c r="JC51" i="71"/>
  <c r="IQ59" i="67" s="1"/>
  <c r="JD51" i="71"/>
  <c r="IR59" i="67" s="1"/>
  <c r="JE51" i="71"/>
  <c r="IS59" i="67" s="1"/>
  <c r="JF51" i="71"/>
  <c r="IT59" i="67" s="1"/>
  <c r="JG51" i="71"/>
  <c r="IU59" i="67" s="1"/>
  <c r="JH51" i="71"/>
  <c r="IV59" i="67" s="1"/>
  <c r="JI51" i="71"/>
  <c r="IW59" i="67" s="1"/>
  <c r="JJ51" i="71"/>
  <c r="IX59" i="67" s="1"/>
  <c r="JK51" i="71"/>
  <c r="IY59" i="67" s="1"/>
  <c r="JL51" i="71"/>
  <c r="JM51" i="71"/>
  <c r="JA59" i="67" s="1"/>
  <c r="JN51" i="71"/>
  <c r="JB59" i="67" s="1"/>
  <c r="JO51" i="71"/>
  <c r="JC59" i="67" s="1"/>
  <c r="JP51" i="71"/>
  <c r="JD59" i="67" s="1"/>
  <c r="JQ51" i="71"/>
  <c r="JE59" i="67" s="1"/>
  <c r="JR51" i="71"/>
  <c r="JF59" i="67" s="1"/>
  <c r="JS51" i="71"/>
  <c r="JG59" i="67" s="1"/>
  <c r="JT51" i="71"/>
  <c r="JU51" i="71"/>
  <c r="JV51" i="71"/>
  <c r="JW51" i="71"/>
  <c r="JX51" i="71"/>
  <c r="JY51" i="71"/>
  <c r="JZ51" i="71"/>
  <c r="KA51" i="71"/>
  <c r="KB51" i="71"/>
  <c r="KC51" i="71"/>
  <c r="KD51" i="71"/>
  <c r="KE51" i="71"/>
  <c r="KF51" i="71"/>
  <c r="JT59" i="67" s="1"/>
  <c r="KG51" i="71"/>
  <c r="JU59" i="67" s="1"/>
  <c r="KH51" i="71"/>
  <c r="JV59" i="67" s="1"/>
  <c r="KI51" i="71"/>
  <c r="JW59" i="67" s="1"/>
  <c r="KJ51" i="71"/>
  <c r="JX59" i="67" s="1"/>
  <c r="KK51" i="71"/>
  <c r="JY59" i="67" s="1"/>
  <c r="KL51" i="71"/>
  <c r="JZ59" i="67" s="1"/>
  <c r="KM51" i="71"/>
  <c r="KA59" i="67" s="1"/>
  <c r="KN51" i="71"/>
  <c r="KB59" i="67" s="1"/>
  <c r="KO51" i="71"/>
  <c r="KC59" i="67" s="1"/>
  <c r="KP51" i="71"/>
  <c r="KQ51" i="71"/>
  <c r="KR51" i="71"/>
  <c r="KF59" i="67" s="1"/>
  <c r="KS51" i="71"/>
  <c r="KG59" i="67" s="1"/>
  <c r="KT51" i="71"/>
  <c r="KH59" i="67" s="1"/>
  <c r="KU51" i="71"/>
  <c r="KI59" i="67" s="1"/>
  <c r="KV51" i="71"/>
  <c r="KJ59" i="67" s="1"/>
  <c r="KW51" i="71"/>
  <c r="KK59" i="67" s="1"/>
  <c r="KX51" i="71"/>
  <c r="KL59" i="67" s="1"/>
  <c r="KY51" i="71"/>
  <c r="KM59" i="67" s="1"/>
  <c r="KZ51" i="71"/>
  <c r="KN59" i="67" s="1"/>
  <c r="LA51" i="71"/>
  <c r="KO59" i="67" s="1"/>
  <c r="LB51" i="71"/>
  <c r="KP59" i="67" s="1"/>
  <c r="LC51" i="71"/>
  <c r="KQ59" i="67" s="1"/>
  <c r="LD51" i="71"/>
  <c r="KR59" i="67" s="1"/>
  <c r="LE51" i="71"/>
  <c r="LF51" i="71"/>
  <c r="KT59" i="67" s="1"/>
  <c r="LG51" i="71"/>
  <c r="KU59" i="67" s="1"/>
  <c r="LH51" i="71"/>
  <c r="KV59" i="67" s="1"/>
  <c r="LI51" i="71"/>
  <c r="KW59" i="67" s="1"/>
  <c r="LJ51" i="71"/>
  <c r="KX59" i="67" s="1"/>
  <c r="LK51" i="71"/>
  <c r="KY59" i="67" s="1"/>
  <c r="LL51" i="71"/>
  <c r="KZ59" i="67" s="1"/>
  <c r="LM51" i="71"/>
  <c r="LN51" i="71"/>
  <c r="LB59" i="67" s="1"/>
  <c r="LO51" i="71"/>
  <c r="LC59" i="67" s="1"/>
  <c r="LP51" i="71"/>
  <c r="LD59" i="67" s="1"/>
  <c r="LQ51" i="71"/>
  <c r="LE59" i="67" s="1"/>
  <c r="LR51" i="71"/>
  <c r="LF59" i="67" s="1"/>
  <c r="LS51" i="71"/>
  <c r="LG59" i="67" s="1"/>
  <c r="LT51" i="71"/>
  <c r="LH59" i="67" s="1"/>
  <c r="LU51" i="71"/>
  <c r="LI59" i="67" s="1"/>
  <c r="LV51" i="71"/>
  <c r="LJ59" i="67" s="1"/>
  <c r="LW51" i="71"/>
  <c r="LK59" i="67" s="1"/>
  <c r="LX51" i="71"/>
  <c r="LL59" i="67" s="1"/>
  <c r="LY51" i="71"/>
  <c r="LM59" i="67" s="1"/>
  <c r="LZ51" i="71"/>
  <c r="MA51" i="71"/>
  <c r="LO59" i="67" s="1"/>
  <c r="MB51" i="71"/>
  <c r="MC51" i="71"/>
  <c r="ME51" i="71"/>
  <c r="MF51" i="71"/>
  <c r="MG51" i="71"/>
  <c r="MH51" i="71"/>
  <c r="MI51" i="71"/>
  <c r="MJ51" i="71"/>
  <c r="MK51" i="71"/>
  <c r="ML51" i="71"/>
  <c r="MM51" i="71"/>
  <c r="MA59" i="67" s="1"/>
  <c r="D17" i="71"/>
  <c r="A36" i="67" s="1"/>
  <c r="E17" i="71"/>
  <c r="M17" i="71"/>
  <c r="C36" i="67" s="1"/>
  <c r="N17" i="71"/>
  <c r="D36" i="67" s="1"/>
  <c r="O17" i="71"/>
  <c r="E36" i="67" s="1"/>
  <c r="R17" i="71"/>
  <c r="F36" i="67" s="1"/>
  <c r="S17" i="71"/>
  <c r="G36" i="67" s="1"/>
  <c r="T17" i="71"/>
  <c r="H36" i="67" s="1"/>
  <c r="U17" i="71"/>
  <c r="J36" i="67"/>
  <c r="W17" i="71"/>
  <c r="X17" i="71"/>
  <c r="L36" i="67" s="1"/>
  <c r="Y17" i="71"/>
  <c r="M36" i="67" s="1"/>
  <c r="Z17" i="71"/>
  <c r="N36" i="67" s="1"/>
  <c r="AA17" i="71"/>
  <c r="O36" i="67" s="1"/>
  <c r="AB17" i="71"/>
  <c r="P36" i="67" s="1"/>
  <c r="AC17" i="71"/>
  <c r="AD17" i="71"/>
  <c r="R36" i="67" s="1"/>
  <c r="AE17" i="71"/>
  <c r="AF17" i="71"/>
  <c r="AG17" i="71"/>
  <c r="AH17" i="71"/>
  <c r="V36" i="67" s="1"/>
  <c r="AI17" i="71"/>
  <c r="W36" i="67" s="1"/>
  <c r="AJ17" i="71"/>
  <c r="X36" i="67" s="1"/>
  <c r="AK17" i="71"/>
  <c r="Y36" i="67" s="1"/>
  <c r="AL17" i="71"/>
  <c r="Z36" i="67" s="1"/>
  <c r="AM17" i="71"/>
  <c r="AN17" i="71"/>
  <c r="AB36" i="67" s="1"/>
  <c r="AO17" i="71"/>
  <c r="AC36" i="67" s="1"/>
  <c r="AP17" i="71"/>
  <c r="AD36" i="67" s="1"/>
  <c r="AQ17" i="71"/>
  <c r="AE36" i="67" s="1"/>
  <c r="AR17" i="71"/>
  <c r="AF36" i="67" s="1"/>
  <c r="AS17" i="71"/>
  <c r="AT17" i="71"/>
  <c r="AH36" i="67" s="1"/>
  <c r="AU17" i="71"/>
  <c r="AV17" i="71"/>
  <c r="AJ36" i="67" s="1"/>
  <c r="AW17" i="71"/>
  <c r="AK36" i="67" s="1"/>
  <c r="AX17" i="71"/>
  <c r="AL36" i="67" s="1"/>
  <c r="AY17" i="71"/>
  <c r="AM36" i="67" s="1"/>
  <c r="AZ17" i="71"/>
  <c r="AN36" i="67" s="1"/>
  <c r="BA17" i="71"/>
  <c r="AO36" i="67" s="1"/>
  <c r="BB17" i="71"/>
  <c r="AP36" i="67" s="1"/>
  <c r="BC17" i="71"/>
  <c r="BD17" i="71"/>
  <c r="AR36" i="67" s="1"/>
  <c r="BE17" i="71"/>
  <c r="AS36" i="67" s="1"/>
  <c r="BF17" i="71"/>
  <c r="AT36" i="67" s="1"/>
  <c r="BG17" i="71"/>
  <c r="AU36" i="67" s="1"/>
  <c r="BH17" i="71"/>
  <c r="AV36" i="67" s="1"/>
  <c r="BI17" i="71"/>
  <c r="AW36" i="67" s="1"/>
  <c r="BJ17" i="71"/>
  <c r="AX36" i="67" s="1"/>
  <c r="BK17" i="71"/>
  <c r="BL17" i="71"/>
  <c r="AZ36" i="67" s="1"/>
  <c r="BM17" i="71"/>
  <c r="BA36" i="67" s="1"/>
  <c r="BN17" i="71"/>
  <c r="BB36" i="67" s="1"/>
  <c r="BO17" i="71"/>
  <c r="BC36" i="67" s="1"/>
  <c r="BP17" i="71"/>
  <c r="BD36" i="67" s="1"/>
  <c r="BQ17" i="71"/>
  <c r="BE36" i="67" s="1"/>
  <c r="BR17" i="71"/>
  <c r="BF36" i="67" s="1"/>
  <c r="BS17" i="71"/>
  <c r="BT17" i="71"/>
  <c r="BH36" i="67" s="1"/>
  <c r="BU17" i="71"/>
  <c r="BI36" i="67" s="1"/>
  <c r="BV17" i="71"/>
  <c r="BJ36" i="67" s="1"/>
  <c r="BW17" i="71"/>
  <c r="BK36" i="67" s="1"/>
  <c r="BX17" i="71"/>
  <c r="BL36" i="67" s="1"/>
  <c r="BY17" i="71"/>
  <c r="BM36" i="67" s="1"/>
  <c r="BZ17" i="71"/>
  <c r="BN36" i="67" s="1"/>
  <c r="CA17" i="71"/>
  <c r="CB17" i="71"/>
  <c r="BP36" i="67" s="1"/>
  <c r="CC17" i="71"/>
  <c r="BQ36" i="67" s="1"/>
  <c r="CD17" i="71"/>
  <c r="BR36" i="67" s="1"/>
  <c r="CE17" i="71"/>
  <c r="BS36" i="67" s="1"/>
  <c r="CF17" i="71"/>
  <c r="BT36" i="67" s="1"/>
  <c r="CG17" i="71"/>
  <c r="BU36" i="67" s="1"/>
  <c r="CH17" i="71"/>
  <c r="BV36" i="67" s="1"/>
  <c r="CI17" i="71"/>
  <c r="BW36" i="67" s="1"/>
  <c r="CJ17" i="71"/>
  <c r="BX36" i="67" s="1"/>
  <c r="CK17" i="71"/>
  <c r="BY36" i="67" s="1"/>
  <c r="CL17" i="71"/>
  <c r="CM17" i="71"/>
  <c r="CA36" i="67" s="1"/>
  <c r="CN17" i="71"/>
  <c r="CB36" i="67" s="1"/>
  <c r="CO17" i="71"/>
  <c r="CC36" i="67" s="1"/>
  <c r="CP17" i="71"/>
  <c r="CD36" i="67" s="1"/>
  <c r="CQ17" i="71"/>
  <c r="CE36" i="67" s="1"/>
  <c r="CR17" i="71"/>
  <c r="CF36" i="67" s="1"/>
  <c r="CS17" i="71"/>
  <c r="CG36" i="67" s="1"/>
  <c r="CT17" i="71"/>
  <c r="CH36" i="67" s="1"/>
  <c r="CU17" i="71"/>
  <c r="CI36" i="67" s="1"/>
  <c r="CV17" i="71"/>
  <c r="CJ36" i="67" s="1"/>
  <c r="CW17" i="71"/>
  <c r="CK36" i="67" s="1"/>
  <c r="CX17" i="71"/>
  <c r="CL36" i="67" s="1"/>
  <c r="CY17" i="71"/>
  <c r="CM36" i="67" s="1"/>
  <c r="CZ17" i="71"/>
  <c r="CN36" i="67" s="1"/>
  <c r="DA17" i="71"/>
  <c r="CO36" i="67" s="1"/>
  <c r="DB17" i="71"/>
  <c r="CP36" i="67" s="1"/>
  <c r="DC17" i="71"/>
  <c r="CQ36" i="67" s="1"/>
  <c r="DD17" i="71"/>
  <c r="CR36" i="67" s="1"/>
  <c r="DE17" i="71"/>
  <c r="CS36" i="67" s="1"/>
  <c r="DF17" i="71"/>
  <c r="CT36" i="67" s="1"/>
  <c r="DG17" i="71"/>
  <c r="CU36" i="67" s="1"/>
  <c r="DH17" i="71"/>
  <c r="CV36" i="67" s="1"/>
  <c r="DI17" i="71"/>
  <c r="CW36" i="67" s="1"/>
  <c r="DJ17" i="71"/>
  <c r="CX36" i="67" s="1"/>
  <c r="DK17" i="71"/>
  <c r="CY36" i="67" s="1"/>
  <c r="DL17" i="71"/>
  <c r="CZ36" i="67" s="1"/>
  <c r="DM17" i="71"/>
  <c r="DA36" i="67" s="1"/>
  <c r="DN17" i="71"/>
  <c r="DB36" i="67" s="1"/>
  <c r="DO17" i="71"/>
  <c r="DC36" i="67" s="1"/>
  <c r="DP17" i="71"/>
  <c r="DD36" i="67" s="1"/>
  <c r="DQ17" i="71"/>
  <c r="DE36" i="67" s="1"/>
  <c r="DR17" i="71"/>
  <c r="DF36" i="67" s="1"/>
  <c r="DS17" i="71"/>
  <c r="DG36" i="67" s="1"/>
  <c r="DT17" i="71"/>
  <c r="DH36" i="67" s="1"/>
  <c r="DU17" i="71"/>
  <c r="DI36" i="67" s="1"/>
  <c r="DV17" i="71"/>
  <c r="DJ36" i="67" s="1"/>
  <c r="DW17" i="71"/>
  <c r="DK36" i="67" s="1"/>
  <c r="DX17" i="71"/>
  <c r="DL36" i="67" s="1"/>
  <c r="DY17" i="71"/>
  <c r="DM36" i="67" s="1"/>
  <c r="DZ17" i="71"/>
  <c r="DN36" i="67" s="1"/>
  <c r="EA17" i="71"/>
  <c r="DO36" i="67" s="1"/>
  <c r="EB17" i="71"/>
  <c r="DP36" i="67" s="1"/>
  <c r="EC17" i="71"/>
  <c r="DQ36" i="67" s="1"/>
  <c r="ED17" i="71"/>
  <c r="DR36" i="67" s="1"/>
  <c r="EE17" i="71"/>
  <c r="DS36" i="67" s="1"/>
  <c r="EF17" i="71"/>
  <c r="DT36" i="67" s="1"/>
  <c r="EG17" i="71"/>
  <c r="DU36" i="67" s="1"/>
  <c r="EH17" i="71"/>
  <c r="DV36" i="67" s="1"/>
  <c r="EI17" i="71"/>
  <c r="DW36" i="67" s="1"/>
  <c r="EJ17" i="71"/>
  <c r="DX36" i="67" s="1"/>
  <c r="EK17" i="71"/>
  <c r="DY36" i="67" s="1"/>
  <c r="EL17" i="71"/>
  <c r="DZ36" i="67" s="1"/>
  <c r="EM17" i="71"/>
  <c r="EA36" i="67" s="1"/>
  <c r="EN17" i="71"/>
  <c r="EB36" i="67" s="1"/>
  <c r="EO17" i="71"/>
  <c r="EC36" i="67" s="1"/>
  <c r="EP17" i="71"/>
  <c r="ED36" i="67" s="1"/>
  <c r="EQ17" i="71"/>
  <c r="EE36" i="67" s="1"/>
  <c r="ER17" i="71"/>
  <c r="EF36" i="67" s="1"/>
  <c r="ES17" i="71"/>
  <c r="EG36" i="67" s="1"/>
  <c r="ET17" i="71"/>
  <c r="EH36" i="67" s="1"/>
  <c r="EU17" i="71"/>
  <c r="EI36" i="67" s="1"/>
  <c r="EV17" i="71"/>
  <c r="EJ36" i="67" s="1"/>
  <c r="EW17" i="71"/>
  <c r="EK36" i="67" s="1"/>
  <c r="EX17" i="71"/>
  <c r="EL36" i="67" s="1"/>
  <c r="EY17" i="71"/>
  <c r="EM36" i="67" s="1"/>
  <c r="EZ17" i="71"/>
  <c r="EN36" i="67" s="1"/>
  <c r="FA17" i="71"/>
  <c r="EO36" i="67" s="1"/>
  <c r="FB17" i="71"/>
  <c r="EP36" i="67" s="1"/>
  <c r="FC17" i="71"/>
  <c r="EQ36" i="67" s="1"/>
  <c r="FD17" i="71"/>
  <c r="ER36" i="67" s="1"/>
  <c r="FE17" i="71"/>
  <c r="ES36" i="67" s="1"/>
  <c r="FF17" i="71"/>
  <c r="ET36" i="67" s="1"/>
  <c r="FG17" i="71"/>
  <c r="EU36" i="67" s="1"/>
  <c r="FH17" i="71"/>
  <c r="EV36" i="67" s="1"/>
  <c r="FI17" i="71"/>
  <c r="EW36" i="67" s="1"/>
  <c r="FJ17" i="71"/>
  <c r="EX36" i="67" s="1"/>
  <c r="FK17" i="71"/>
  <c r="EY36" i="67" s="1"/>
  <c r="FL17" i="71"/>
  <c r="EZ36" i="67" s="1"/>
  <c r="FM17" i="71"/>
  <c r="FA36" i="67" s="1"/>
  <c r="FN17" i="71"/>
  <c r="FB36" i="67" s="1"/>
  <c r="FO17" i="71"/>
  <c r="FC36" i="67" s="1"/>
  <c r="FP17" i="71"/>
  <c r="FD36" i="67" s="1"/>
  <c r="FQ17" i="71"/>
  <c r="FE36" i="67" s="1"/>
  <c r="FR17" i="71"/>
  <c r="FF36" i="67" s="1"/>
  <c r="FS17" i="71"/>
  <c r="FG36" i="67" s="1"/>
  <c r="FT17" i="71"/>
  <c r="FH36" i="67" s="1"/>
  <c r="FU17" i="71"/>
  <c r="FI36" i="67" s="1"/>
  <c r="FV17" i="71"/>
  <c r="FJ36" i="67" s="1"/>
  <c r="FW17" i="71"/>
  <c r="FK36" i="67" s="1"/>
  <c r="FX17" i="71"/>
  <c r="FL36" i="67" s="1"/>
  <c r="FY17" i="71"/>
  <c r="FM36" i="67" s="1"/>
  <c r="FZ17" i="71"/>
  <c r="FN36" i="67" s="1"/>
  <c r="GA17" i="71"/>
  <c r="FO36" i="67" s="1"/>
  <c r="GB17" i="71"/>
  <c r="FP36" i="67" s="1"/>
  <c r="GC17" i="71"/>
  <c r="FQ36" i="67" s="1"/>
  <c r="GD17" i="71"/>
  <c r="FR36" i="67" s="1"/>
  <c r="GE17" i="71"/>
  <c r="FS36" i="67" s="1"/>
  <c r="GF17" i="71"/>
  <c r="FT36" i="67" s="1"/>
  <c r="GG17" i="71"/>
  <c r="FU36" i="67" s="1"/>
  <c r="GH17" i="71"/>
  <c r="FV36" i="67" s="1"/>
  <c r="GI17" i="71"/>
  <c r="FW36" i="67" s="1"/>
  <c r="GJ17" i="71"/>
  <c r="FX36" i="67" s="1"/>
  <c r="GK17" i="71"/>
  <c r="FY36" i="67" s="1"/>
  <c r="GL17" i="71"/>
  <c r="FZ36" i="67" s="1"/>
  <c r="GM17" i="71"/>
  <c r="GA36" i="67" s="1"/>
  <c r="GN17" i="71"/>
  <c r="GB36" i="67" s="1"/>
  <c r="GO17" i="71"/>
  <c r="GC36" i="67" s="1"/>
  <c r="GP17" i="71"/>
  <c r="GD36" i="67" s="1"/>
  <c r="GQ17" i="71"/>
  <c r="GE36" i="67" s="1"/>
  <c r="GR17" i="71"/>
  <c r="GF36" i="67" s="1"/>
  <c r="GS17" i="71"/>
  <c r="GG36" i="67" s="1"/>
  <c r="GT17" i="71"/>
  <c r="GH36" i="67" s="1"/>
  <c r="GU17" i="71"/>
  <c r="GI36" i="67" s="1"/>
  <c r="GV17" i="71"/>
  <c r="GJ36" i="67" s="1"/>
  <c r="GW17" i="71"/>
  <c r="GK36" i="67" s="1"/>
  <c r="GX17" i="71"/>
  <c r="GL36" i="67" s="1"/>
  <c r="GY17" i="71"/>
  <c r="GM36" i="67" s="1"/>
  <c r="GZ17" i="71"/>
  <c r="GN36" i="67" s="1"/>
  <c r="HA17" i="71"/>
  <c r="GO36" i="67" s="1"/>
  <c r="HB17" i="71"/>
  <c r="GP36" i="67" s="1"/>
  <c r="HC17" i="71"/>
  <c r="GQ36" i="67" s="1"/>
  <c r="HD17" i="71"/>
  <c r="GR36" i="67" s="1"/>
  <c r="HE17" i="71"/>
  <c r="GS36" i="67" s="1"/>
  <c r="HF17" i="71"/>
  <c r="GT36" i="67" s="1"/>
  <c r="HG17" i="71"/>
  <c r="GU36" i="67" s="1"/>
  <c r="HH17" i="71"/>
  <c r="GV36" i="67" s="1"/>
  <c r="HI17" i="71"/>
  <c r="GW36" i="67" s="1"/>
  <c r="HJ17" i="71"/>
  <c r="GX36" i="67" s="1"/>
  <c r="HK17" i="71"/>
  <c r="GY36" i="67" s="1"/>
  <c r="HL17" i="71"/>
  <c r="GZ36" i="67" s="1"/>
  <c r="HM17" i="71"/>
  <c r="HA36" i="67" s="1"/>
  <c r="HN17" i="71"/>
  <c r="HB36" i="67" s="1"/>
  <c r="HO17" i="71"/>
  <c r="HC36" i="67" s="1"/>
  <c r="HP17" i="71"/>
  <c r="HD36" i="67" s="1"/>
  <c r="HQ17" i="71"/>
  <c r="HE36" i="67" s="1"/>
  <c r="HR17" i="71"/>
  <c r="HF36" i="67" s="1"/>
  <c r="HS17" i="71"/>
  <c r="HG36" i="67" s="1"/>
  <c r="HT17" i="71"/>
  <c r="HH36" i="67" s="1"/>
  <c r="HU17" i="71"/>
  <c r="HI36" i="67" s="1"/>
  <c r="HV17" i="71"/>
  <c r="HJ36" i="67" s="1"/>
  <c r="HW17" i="71"/>
  <c r="HK36" i="67" s="1"/>
  <c r="HX17" i="71"/>
  <c r="HL36" i="67" s="1"/>
  <c r="HY17" i="71"/>
  <c r="HM36" i="67" s="1"/>
  <c r="HZ17" i="71"/>
  <c r="HN36" i="67" s="1"/>
  <c r="IA17" i="71"/>
  <c r="HO36" i="67" s="1"/>
  <c r="IB17" i="71"/>
  <c r="HP36" i="67" s="1"/>
  <c r="IC17" i="71"/>
  <c r="HQ36" i="67" s="1"/>
  <c r="ID17" i="71"/>
  <c r="HR36" i="67" s="1"/>
  <c r="IE17" i="71"/>
  <c r="HS36" i="67" s="1"/>
  <c r="IF17" i="71"/>
  <c r="HT36" i="67" s="1"/>
  <c r="IG17" i="71"/>
  <c r="HU36" i="67" s="1"/>
  <c r="IH17" i="71"/>
  <c r="HV36" i="67" s="1"/>
  <c r="II17" i="71"/>
  <c r="HW36" i="67" s="1"/>
  <c r="IJ17" i="71"/>
  <c r="HX36" i="67" s="1"/>
  <c r="IK17" i="71"/>
  <c r="HY36" i="67" s="1"/>
  <c r="IL17" i="71"/>
  <c r="HZ36" i="67" s="1"/>
  <c r="IM17" i="71"/>
  <c r="IA36" i="67" s="1"/>
  <c r="IN17" i="71"/>
  <c r="IB36" i="67" s="1"/>
  <c r="IO17" i="71"/>
  <c r="IC36" i="67" s="1"/>
  <c r="IP17" i="71"/>
  <c r="ID36" i="67" s="1"/>
  <c r="IQ17" i="71"/>
  <c r="IE36" i="67" s="1"/>
  <c r="IR17" i="71"/>
  <c r="IF36" i="67" s="1"/>
  <c r="IS17" i="71"/>
  <c r="IG36" i="67" s="1"/>
  <c r="IT17" i="71"/>
  <c r="IH36" i="67" s="1"/>
  <c r="IU17" i="71"/>
  <c r="II36" i="67" s="1"/>
  <c r="IV17" i="71"/>
  <c r="IJ36" i="67" s="1"/>
  <c r="IW17" i="71"/>
  <c r="IK36" i="67" s="1"/>
  <c r="IX17" i="71"/>
  <c r="IL36" i="67" s="1"/>
  <c r="IY17" i="71"/>
  <c r="IM36" i="67" s="1"/>
  <c r="IZ17" i="71"/>
  <c r="IN36" i="67" s="1"/>
  <c r="JA17" i="71"/>
  <c r="IO36" i="67" s="1"/>
  <c r="JB17" i="71"/>
  <c r="IP36" i="67" s="1"/>
  <c r="JC17" i="71"/>
  <c r="IQ36" i="67" s="1"/>
  <c r="JD17" i="71"/>
  <c r="IR36" i="67" s="1"/>
  <c r="JE17" i="71"/>
  <c r="IS36" i="67" s="1"/>
  <c r="JF17" i="71"/>
  <c r="IT36" i="67" s="1"/>
  <c r="JG17" i="71"/>
  <c r="IU36" i="67" s="1"/>
  <c r="JH17" i="71"/>
  <c r="IV36" i="67" s="1"/>
  <c r="JI17" i="71"/>
  <c r="IW36" i="67" s="1"/>
  <c r="JJ17" i="71"/>
  <c r="IX36" i="67" s="1"/>
  <c r="JK17" i="71"/>
  <c r="IY36" i="67" s="1"/>
  <c r="JL17" i="71"/>
  <c r="IZ36" i="67" s="1"/>
  <c r="JM17" i="71"/>
  <c r="JA36" i="67" s="1"/>
  <c r="JN17" i="71"/>
  <c r="JB36" i="67" s="1"/>
  <c r="JO17" i="71"/>
  <c r="JC36" i="67" s="1"/>
  <c r="JP17" i="71"/>
  <c r="JD36" i="67" s="1"/>
  <c r="JQ17" i="71"/>
  <c r="JE36" i="67" s="1"/>
  <c r="JR17" i="71"/>
  <c r="JF36" i="67" s="1"/>
  <c r="JS17" i="71"/>
  <c r="JT17" i="71"/>
  <c r="JH36" i="67" s="1"/>
  <c r="JU17" i="71"/>
  <c r="JI36" i="67" s="1"/>
  <c r="JV17" i="71"/>
  <c r="JJ36" i="67" s="1"/>
  <c r="JW17" i="71"/>
  <c r="JK36" i="67" s="1"/>
  <c r="JX17" i="71"/>
  <c r="JL36" i="67" s="1"/>
  <c r="JY17" i="71"/>
  <c r="JM36" i="67" s="1"/>
  <c r="JZ17" i="71"/>
  <c r="JN36" i="67" s="1"/>
  <c r="KA17" i="71"/>
  <c r="JO36" i="67" s="1"/>
  <c r="KB17" i="71"/>
  <c r="KC17" i="71"/>
  <c r="JQ36" i="67" s="1"/>
  <c r="KD17" i="71"/>
  <c r="JR36" i="67" s="1"/>
  <c r="KE17" i="71"/>
  <c r="JS36" i="67" s="1"/>
  <c r="KF17" i="71"/>
  <c r="JT36" i="67" s="1"/>
  <c r="KG17" i="71"/>
  <c r="JU36" i="67" s="1"/>
  <c r="KH17" i="71"/>
  <c r="JV36" i="67" s="1"/>
  <c r="KI17" i="71"/>
  <c r="JW36" i="67" s="1"/>
  <c r="KJ17" i="71"/>
  <c r="KK17" i="71"/>
  <c r="JY36" i="67" s="1"/>
  <c r="KL17" i="71"/>
  <c r="JZ36" i="67" s="1"/>
  <c r="KM17" i="71"/>
  <c r="KA36" i="67" s="1"/>
  <c r="KN17" i="71"/>
  <c r="KB36" i="67" s="1"/>
  <c r="KO17" i="71"/>
  <c r="KC36" i="67" s="1"/>
  <c r="KP17" i="71"/>
  <c r="KD36" i="67" s="1"/>
  <c r="KQ17" i="71"/>
  <c r="KE36" i="67" s="1"/>
  <c r="KR17" i="71"/>
  <c r="KS17" i="71"/>
  <c r="KG36" i="67" s="1"/>
  <c r="KT17" i="71"/>
  <c r="KH36" i="67" s="1"/>
  <c r="KU17" i="71"/>
  <c r="KI36" i="67" s="1"/>
  <c r="KV17" i="71"/>
  <c r="KJ36" i="67" s="1"/>
  <c r="KW17" i="71"/>
  <c r="KK36" i="67" s="1"/>
  <c r="KX17" i="71"/>
  <c r="KL36" i="67" s="1"/>
  <c r="KY17" i="71"/>
  <c r="KM36" i="67" s="1"/>
  <c r="KZ17" i="71"/>
  <c r="LA17" i="71"/>
  <c r="KO36" i="67" s="1"/>
  <c r="LB17" i="71"/>
  <c r="KP36" i="67" s="1"/>
  <c r="LC17" i="71"/>
  <c r="KQ36" i="67" s="1"/>
  <c r="LD17" i="71"/>
  <c r="KR36" i="67" s="1"/>
  <c r="LE17" i="71"/>
  <c r="KS36" i="67" s="1"/>
  <c r="LF17" i="71"/>
  <c r="KT36" i="67" s="1"/>
  <c r="LG17" i="71"/>
  <c r="KU36" i="67" s="1"/>
  <c r="LH17" i="71"/>
  <c r="LI17" i="71"/>
  <c r="KW36" i="67" s="1"/>
  <c r="LJ17" i="71"/>
  <c r="KX36" i="67" s="1"/>
  <c r="LK17" i="71"/>
  <c r="KY36" i="67" s="1"/>
  <c r="LL17" i="71"/>
  <c r="KZ36" i="67" s="1"/>
  <c r="LM17" i="71"/>
  <c r="LA36" i="67" s="1"/>
  <c r="LN17" i="71"/>
  <c r="LB36" i="67" s="1"/>
  <c r="LO17" i="71"/>
  <c r="LC36" i="67" s="1"/>
  <c r="LP17" i="71"/>
  <c r="LQ17" i="71"/>
  <c r="LE36" i="67" s="1"/>
  <c r="LR17" i="71"/>
  <c r="LF36" i="67" s="1"/>
  <c r="LS17" i="71"/>
  <c r="LG36" i="67" s="1"/>
  <c r="LT17" i="71"/>
  <c r="LH36" i="67" s="1"/>
  <c r="LU17" i="71"/>
  <c r="LI36" i="67" s="1"/>
  <c r="LV17" i="71"/>
  <c r="LJ36" i="67" s="1"/>
  <c r="LW17" i="71"/>
  <c r="LK36" i="67" s="1"/>
  <c r="LX17" i="71"/>
  <c r="LY17" i="71"/>
  <c r="LM36" i="67" s="1"/>
  <c r="LZ17" i="71"/>
  <c r="LN36" i="67" s="1"/>
  <c r="MA17" i="71"/>
  <c r="LO36" i="67" s="1"/>
  <c r="MB17" i="71"/>
  <c r="LP36" i="67" s="1"/>
  <c r="MC17" i="71"/>
  <c r="LQ36" i="67" s="1"/>
  <c r="LR36" i="67"/>
  <c r="ME17" i="71"/>
  <c r="LS36" i="67" s="1"/>
  <c r="MF17" i="71"/>
  <c r="MG17" i="71"/>
  <c r="LU36" i="67" s="1"/>
  <c r="MH17" i="71"/>
  <c r="LV36" i="67" s="1"/>
  <c r="MI17" i="71"/>
  <c r="LW36" i="67" s="1"/>
  <c r="MJ17" i="71"/>
  <c r="LX36" i="67" s="1"/>
  <c r="MK17" i="71"/>
  <c r="LY36" i="67" s="1"/>
  <c r="ML17" i="71"/>
  <c r="LZ36" i="67" s="1"/>
  <c r="MM17" i="71"/>
  <c r="MA36" i="67" s="1"/>
  <c r="A37" i="67"/>
  <c r="B37" i="67"/>
  <c r="C37" i="67"/>
  <c r="D37" i="67"/>
  <c r="E37" i="67"/>
  <c r="F37" i="67"/>
  <c r="G37" i="67"/>
  <c r="H37" i="67"/>
  <c r="I37" i="67"/>
  <c r="J37" i="67"/>
  <c r="K37" i="67"/>
  <c r="L37" i="67"/>
  <c r="M37" i="67"/>
  <c r="N37" i="67"/>
  <c r="O37" i="67"/>
  <c r="P37" i="67"/>
  <c r="Q37" i="67"/>
  <c r="R37" i="67"/>
  <c r="S37" i="67"/>
  <c r="T37" i="67"/>
  <c r="U37" i="67"/>
  <c r="V37" i="67"/>
  <c r="W37" i="67"/>
  <c r="X37" i="67"/>
  <c r="Y37" i="67"/>
  <c r="Z37" i="67"/>
  <c r="AA37" i="67"/>
  <c r="AB37" i="67"/>
  <c r="AC37" i="67"/>
  <c r="AD37" i="67"/>
  <c r="AE37" i="67"/>
  <c r="AF37" i="67"/>
  <c r="AH37" i="67"/>
  <c r="AI37" i="67"/>
  <c r="AJ37" i="67"/>
  <c r="AK37" i="67"/>
  <c r="AL37" i="67"/>
  <c r="AM37" i="67"/>
  <c r="AN37" i="67"/>
  <c r="AO37" i="67"/>
  <c r="AP37" i="67"/>
  <c r="AQ37" i="67"/>
  <c r="AR37" i="67"/>
  <c r="AS37" i="67"/>
  <c r="AT37" i="67"/>
  <c r="AU37" i="67"/>
  <c r="AV37" i="67"/>
  <c r="AW37" i="67"/>
  <c r="AX37" i="67"/>
  <c r="AY37" i="67"/>
  <c r="AZ37" i="67"/>
  <c r="BA37" i="67"/>
  <c r="BB37" i="67"/>
  <c r="BC37" i="67"/>
  <c r="BD37" i="67"/>
  <c r="BE37" i="67"/>
  <c r="BF37" i="67"/>
  <c r="BG37" i="67"/>
  <c r="BH37" i="67"/>
  <c r="BI37" i="67"/>
  <c r="BJ37" i="67"/>
  <c r="BK37" i="67"/>
  <c r="BL37" i="67"/>
  <c r="BM37" i="67"/>
  <c r="BN37" i="67"/>
  <c r="BO37" i="67"/>
  <c r="BP37" i="67"/>
  <c r="BQ37" i="67"/>
  <c r="BR37" i="67"/>
  <c r="BS37" i="67"/>
  <c r="BT37" i="67"/>
  <c r="BU37" i="67"/>
  <c r="BV37" i="67"/>
  <c r="BW37" i="67"/>
  <c r="BX37" i="67"/>
  <c r="BY37" i="67"/>
  <c r="BZ37" i="67"/>
  <c r="CA37" i="67"/>
  <c r="CB37" i="67"/>
  <c r="CC37" i="67"/>
  <c r="CD37" i="67"/>
  <c r="CE37" i="67"/>
  <c r="CF37" i="67"/>
  <c r="CG37" i="67"/>
  <c r="CH37" i="67"/>
  <c r="CI37" i="67"/>
  <c r="CJ37" i="67"/>
  <c r="CK37" i="67"/>
  <c r="CL37" i="67"/>
  <c r="CM37" i="67"/>
  <c r="CN37" i="67"/>
  <c r="CO37" i="67"/>
  <c r="CP37" i="67"/>
  <c r="CQ37" i="67"/>
  <c r="CR37" i="67"/>
  <c r="CS37" i="67"/>
  <c r="CT37" i="67"/>
  <c r="CU37" i="67"/>
  <c r="CV37" i="67"/>
  <c r="CW37" i="67"/>
  <c r="CX37" i="67"/>
  <c r="CY37" i="67"/>
  <c r="CZ37" i="67"/>
  <c r="DA37" i="67"/>
  <c r="DB37" i="67"/>
  <c r="DC37" i="67"/>
  <c r="DD37" i="67"/>
  <c r="DE37" i="67"/>
  <c r="DF37" i="67"/>
  <c r="DG37" i="67"/>
  <c r="DH37" i="67"/>
  <c r="DI37" i="67"/>
  <c r="DJ37" i="67"/>
  <c r="DK37" i="67"/>
  <c r="DL37" i="67"/>
  <c r="DM37" i="67"/>
  <c r="DN37" i="67"/>
  <c r="DO37" i="67"/>
  <c r="DP37" i="67"/>
  <c r="DQ37" i="67"/>
  <c r="DR37" i="67"/>
  <c r="DS37" i="67"/>
  <c r="DT37" i="67"/>
  <c r="DU37" i="67"/>
  <c r="DV37" i="67"/>
  <c r="DW37" i="67"/>
  <c r="DX37" i="67"/>
  <c r="DY37" i="67"/>
  <c r="DZ37" i="67"/>
  <c r="EA37" i="67"/>
  <c r="EB37" i="67"/>
  <c r="EC37" i="67"/>
  <c r="ED37" i="67"/>
  <c r="EE37" i="67"/>
  <c r="EF37" i="67"/>
  <c r="EG37" i="67"/>
  <c r="EH37" i="67"/>
  <c r="EI37" i="67"/>
  <c r="EJ37" i="67"/>
  <c r="EK37" i="67"/>
  <c r="EL37" i="67"/>
  <c r="EM37" i="67"/>
  <c r="EN37" i="67"/>
  <c r="EO37" i="67"/>
  <c r="EP37" i="67"/>
  <c r="EQ37" i="67"/>
  <c r="ER37" i="67"/>
  <c r="ES37" i="67"/>
  <c r="ET37" i="67"/>
  <c r="EU37" i="67"/>
  <c r="EV37" i="67"/>
  <c r="EW37" i="67"/>
  <c r="EX37" i="67"/>
  <c r="EY37" i="67"/>
  <c r="EZ37" i="67"/>
  <c r="FA37" i="67"/>
  <c r="FB37" i="67"/>
  <c r="FC37" i="67"/>
  <c r="FD37" i="67"/>
  <c r="FE37" i="67"/>
  <c r="FF37" i="67"/>
  <c r="FG37" i="67"/>
  <c r="FH37" i="67"/>
  <c r="FI37" i="67"/>
  <c r="FJ37" i="67"/>
  <c r="FK37" i="67"/>
  <c r="FL37" i="67"/>
  <c r="FM37" i="67"/>
  <c r="FN37" i="67"/>
  <c r="FO37" i="67"/>
  <c r="FP37" i="67"/>
  <c r="FQ37" i="67"/>
  <c r="FR37" i="67"/>
  <c r="FS37" i="67"/>
  <c r="FT37" i="67"/>
  <c r="FU37" i="67"/>
  <c r="FV37" i="67"/>
  <c r="FW37" i="67"/>
  <c r="FX37" i="67"/>
  <c r="FY37" i="67"/>
  <c r="FZ37" i="67"/>
  <c r="GA37" i="67"/>
  <c r="GB37" i="67"/>
  <c r="GC37" i="67"/>
  <c r="GD37" i="67"/>
  <c r="GE37" i="67"/>
  <c r="GF37" i="67"/>
  <c r="GG37" i="67"/>
  <c r="GH37" i="67"/>
  <c r="GI37" i="67"/>
  <c r="GJ37" i="67"/>
  <c r="GK37" i="67"/>
  <c r="GL37" i="67"/>
  <c r="GM37" i="67"/>
  <c r="GN37" i="67"/>
  <c r="GO37" i="67"/>
  <c r="GP37" i="67"/>
  <c r="GQ37" i="67"/>
  <c r="GR37" i="67"/>
  <c r="GS37" i="67"/>
  <c r="GT37" i="67"/>
  <c r="GU37" i="67"/>
  <c r="GV37" i="67"/>
  <c r="GW37" i="67"/>
  <c r="GX37" i="67"/>
  <c r="GY37" i="67"/>
  <c r="GZ37" i="67"/>
  <c r="HA37" i="67"/>
  <c r="HB37" i="67"/>
  <c r="HC37" i="67"/>
  <c r="HD37" i="67"/>
  <c r="HE37" i="67"/>
  <c r="HF37" i="67"/>
  <c r="HG37" i="67"/>
  <c r="HH37" i="67"/>
  <c r="HI37" i="67"/>
  <c r="HJ37" i="67"/>
  <c r="HK37" i="67"/>
  <c r="HL37" i="67"/>
  <c r="HM37" i="67"/>
  <c r="HN37" i="67"/>
  <c r="HO37" i="67"/>
  <c r="HP37" i="67"/>
  <c r="HQ37" i="67"/>
  <c r="HR37" i="67"/>
  <c r="HS37" i="67"/>
  <c r="HT37" i="67"/>
  <c r="HU37" i="67"/>
  <c r="HV37" i="67"/>
  <c r="HW37" i="67"/>
  <c r="HX37" i="67"/>
  <c r="HY37" i="67"/>
  <c r="HZ37" i="67"/>
  <c r="IA37" i="67"/>
  <c r="IB37" i="67"/>
  <c r="IC37" i="67"/>
  <c r="ID37" i="67"/>
  <c r="IE37" i="67"/>
  <c r="IF37" i="67"/>
  <c r="IG37" i="67"/>
  <c r="IH37" i="67"/>
  <c r="II37" i="67"/>
  <c r="IJ37" i="67"/>
  <c r="IK37" i="67"/>
  <c r="IL37" i="67"/>
  <c r="IM37" i="67"/>
  <c r="IN37" i="67"/>
  <c r="IO37" i="67"/>
  <c r="IP37" i="67"/>
  <c r="IQ37" i="67"/>
  <c r="IR37" i="67"/>
  <c r="IS37" i="67"/>
  <c r="IT37" i="67"/>
  <c r="IU37" i="67"/>
  <c r="IV37" i="67"/>
  <c r="IW37" i="67"/>
  <c r="IX37" i="67"/>
  <c r="IY37" i="67"/>
  <c r="IZ37" i="67"/>
  <c r="JA37" i="67"/>
  <c r="JB37" i="67"/>
  <c r="JC37" i="67"/>
  <c r="JD37" i="67"/>
  <c r="JE37" i="67"/>
  <c r="JF37" i="67"/>
  <c r="JG37" i="67"/>
  <c r="JH37" i="67"/>
  <c r="JI37" i="67"/>
  <c r="JJ37" i="67"/>
  <c r="JK37" i="67"/>
  <c r="JL37" i="67"/>
  <c r="JM37" i="67"/>
  <c r="JN37" i="67"/>
  <c r="JO37" i="67"/>
  <c r="JP37" i="67"/>
  <c r="JQ37" i="67"/>
  <c r="JR37" i="67"/>
  <c r="JS37" i="67"/>
  <c r="JT37" i="67"/>
  <c r="JU37" i="67"/>
  <c r="JV37" i="67"/>
  <c r="JW37" i="67"/>
  <c r="JX37" i="67"/>
  <c r="JY37" i="67"/>
  <c r="JZ37" i="67"/>
  <c r="KA37" i="67"/>
  <c r="KB37" i="67"/>
  <c r="KC37" i="67"/>
  <c r="KD37" i="67"/>
  <c r="KE37" i="67"/>
  <c r="KF37" i="67"/>
  <c r="KG37" i="67"/>
  <c r="KH37" i="67"/>
  <c r="KI37" i="67"/>
  <c r="KJ37" i="67"/>
  <c r="KK37" i="67"/>
  <c r="KL37" i="67"/>
  <c r="KM37" i="67"/>
  <c r="KN37" i="67"/>
  <c r="KO37" i="67"/>
  <c r="KP37" i="67"/>
  <c r="KQ37" i="67"/>
  <c r="KR37" i="67"/>
  <c r="KS37" i="67"/>
  <c r="KT37" i="67"/>
  <c r="KU37" i="67"/>
  <c r="KV37" i="67"/>
  <c r="KW37" i="67"/>
  <c r="KX37" i="67"/>
  <c r="KY37" i="67"/>
  <c r="KZ37" i="67"/>
  <c r="LA37" i="67"/>
  <c r="LB37" i="67"/>
  <c r="LC37" i="67"/>
  <c r="LD37" i="67"/>
  <c r="LE37" i="67"/>
  <c r="LF37" i="67"/>
  <c r="LG37" i="67"/>
  <c r="LH37" i="67"/>
  <c r="LI37" i="67"/>
  <c r="LJ37" i="67"/>
  <c r="LK37" i="67"/>
  <c r="LL37" i="67"/>
  <c r="LM37" i="67"/>
  <c r="LN37" i="67"/>
  <c r="LO37" i="67"/>
  <c r="LP37" i="67"/>
  <c r="LQ37" i="67"/>
  <c r="LR37" i="67"/>
  <c r="LS37" i="67"/>
  <c r="LT37" i="67"/>
  <c r="LU37" i="67"/>
  <c r="LV37" i="67"/>
  <c r="LW37" i="67"/>
  <c r="LX37" i="67"/>
  <c r="LY37" i="67"/>
  <c r="LZ37" i="67"/>
  <c r="MA37" i="67"/>
  <c r="LW58" i="67" l="1"/>
  <c r="E58" i="67"/>
  <c r="KU57" i="67"/>
  <c r="KM57" i="67"/>
  <c r="HW57" i="67"/>
  <c r="HO57" i="67"/>
  <c r="GY57" i="67"/>
  <c r="GQ57" i="67"/>
  <c r="GI57" i="67"/>
  <c r="GA57" i="67"/>
  <c r="FS57" i="67"/>
  <c r="FI57" i="67"/>
  <c r="AR57" i="67"/>
  <c r="AJ57" i="67"/>
  <c r="AB57" i="67"/>
  <c r="T57" i="67"/>
  <c r="L57" i="67"/>
  <c r="D57" i="67"/>
  <c r="LB57" i="67"/>
  <c r="IH57" i="67"/>
  <c r="HZ57" i="67"/>
  <c r="LV58" i="67"/>
  <c r="LN58" i="67"/>
  <c r="LF58" i="67"/>
  <c r="KX58" i="67"/>
  <c r="KP58" i="67"/>
  <c r="KH58" i="67"/>
  <c r="JZ58" i="67"/>
  <c r="JR58" i="67"/>
  <c r="JJ58" i="67"/>
  <c r="JB58" i="67"/>
  <c r="IT58" i="67"/>
  <c r="IL58" i="67"/>
  <c r="ID58" i="67"/>
  <c r="HV58" i="67"/>
  <c r="HN58" i="67"/>
  <c r="HF58" i="67"/>
  <c r="GX58" i="67"/>
  <c r="GP58" i="67"/>
  <c r="GH58" i="67"/>
  <c r="FZ58" i="67"/>
  <c r="FR58" i="67"/>
  <c r="FJ58" i="67"/>
  <c r="FB58" i="67"/>
  <c r="ET58" i="67"/>
  <c r="EL58" i="67"/>
  <c r="ED58" i="67"/>
  <c r="DV58" i="67"/>
  <c r="DN58" i="67"/>
  <c r="DF58" i="67"/>
  <c r="CX58" i="67"/>
  <c r="CP58" i="67"/>
  <c r="CH58" i="67"/>
  <c r="BZ58" i="67"/>
  <c r="BR58" i="67"/>
  <c r="BJ58" i="67"/>
  <c r="BB58" i="67"/>
  <c r="AT58" i="67"/>
  <c r="AL58" i="67"/>
  <c r="AD58" i="67"/>
  <c r="V58" i="67"/>
  <c r="N58" i="67"/>
  <c r="LS57" i="67"/>
  <c r="LK57" i="67"/>
  <c r="LC57" i="67"/>
  <c r="JS57" i="67"/>
  <c r="HV57" i="67"/>
  <c r="HN57" i="67"/>
  <c r="GX57" i="67"/>
  <c r="GP57" i="67"/>
  <c r="GH57" i="67"/>
  <c r="FZ57" i="67"/>
  <c r="FR57" i="67"/>
  <c r="EY57" i="67"/>
  <c r="EQ57" i="67"/>
  <c r="EI57" i="67"/>
  <c r="EA57" i="67"/>
  <c r="DS57" i="67"/>
  <c r="DK57" i="67"/>
  <c r="DC57" i="67"/>
  <c r="CU57" i="67"/>
  <c r="CM57" i="67"/>
  <c r="CE57" i="67"/>
  <c r="BW57" i="67"/>
  <c r="BO57" i="67"/>
  <c r="BG57" i="67"/>
  <c r="AY57" i="67"/>
  <c r="AQ57" i="67"/>
  <c r="AI57" i="67"/>
  <c r="AA57" i="67"/>
  <c r="S57" i="67"/>
  <c r="K57" i="67"/>
  <c r="C57" i="67"/>
  <c r="MA64" i="67"/>
  <c r="LU58" i="67"/>
  <c r="LM58" i="67"/>
  <c r="LE58" i="67"/>
  <c r="KW58" i="67"/>
  <c r="KO58" i="67"/>
  <c r="KG58" i="67"/>
  <c r="JY58" i="67"/>
  <c r="JQ58" i="67"/>
  <c r="JI58" i="67"/>
  <c r="JA58" i="67"/>
  <c r="IS58" i="67"/>
  <c r="IK58" i="67"/>
  <c r="IC58" i="67"/>
  <c r="HU58" i="67"/>
  <c r="HM58" i="67"/>
  <c r="HE58" i="67"/>
  <c r="GW58" i="67"/>
  <c r="GO58" i="67"/>
  <c r="GG58" i="67"/>
  <c r="FY58" i="67"/>
  <c r="FQ58" i="67"/>
  <c r="FI58" i="67"/>
  <c r="FA58" i="67"/>
  <c r="ES58" i="67"/>
  <c r="EK58" i="67"/>
  <c r="EC58" i="67"/>
  <c r="DU58" i="67"/>
  <c r="DM58" i="67"/>
  <c r="DE58" i="67"/>
  <c r="CW58" i="67"/>
  <c r="CO58" i="67"/>
  <c r="CG58" i="67"/>
  <c r="BY58" i="67"/>
  <c r="BQ58" i="67"/>
  <c r="BI58" i="67"/>
  <c r="BA58" i="67"/>
  <c r="AS58" i="67"/>
  <c r="AK58" i="67"/>
  <c r="AC58" i="67"/>
  <c r="M58" i="67"/>
  <c r="C58" i="67"/>
  <c r="LA57" i="67"/>
  <c r="KS57" i="67"/>
  <c r="KK57" i="67"/>
  <c r="HU57" i="67"/>
  <c r="HM57" i="67"/>
  <c r="GW57" i="67"/>
  <c r="GO57" i="67"/>
  <c r="GG57" i="67"/>
  <c r="FY57" i="67"/>
  <c r="FQ57" i="67"/>
  <c r="FG57" i="67"/>
  <c r="R57" i="67"/>
  <c r="J57" i="67"/>
  <c r="B57" i="67"/>
  <c r="MA50" i="67"/>
  <c r="LT58" i="67"/>
  <c r="LL58" i="67"/>
  <c r="LD58" i="67"/>
  <c r="KV58" i="67"/>
  <c r="KN58" i="67"/>
  <c r="KF58" i="67"/>
  <c r="JX58" i="67"/>
  <c r="JP58" i="67"/>
  <c r="JH58" i="67"/>
  <c r="IZ58" i="67"/>
  <c r="IR58" i="67"/>
  <c r="IJ58" i="67"/>
  <c r="IB58" i="67"/>
  <c r="HT58" i="67"/>
  <c r="HL58" i="67"/>
  <c r="HD58" i="67"/>
  <c r="GV58" i="67"/>
  <c r="GN58" i="67"/>
  <c r="GF58" i="67"/>
  <c r="FX58" i="67"/>
  <c r="FP58" i="67"/>
  <c r="FH58" i="67"/>
  <c r="EZ58" i="67"/>
  <c r="ER58" i="67"/>
  <c r="EJ58" i="67"/>
  <c r="EB58" i="67"/>
  <c r="DT58" i="67"/>
  <c r="DL58" i="67"/>
  <c r="DD58" i="67"/>
  <c r="CV58" i="67"/>
  <c r="CN58" i="67"/>
  <c r="CF58" i="67"/>
  <c r="BX58" i="67"/>
  <c r="BP58" i="67"/>
  <c r="BH58" i="67"/>
  <c r="AZ58" i="67"/>
  <c r="AR58" i="67"/>
  <c r="AJ58" i="67"/>
  <c r="AB58" i="67"/>
  <c r="L58" i="67"/>
  <c r="B58" i="67"/>
  <c r="LY57" i="67"/>
  <c r="LQ57" i="67"/>
  <c r="LI57" i="67"/>
  <c r="KZ57" i="67"/>
  <c r="KR57" i="67"/>
  <c r="KJ57" i="67"/>
  <c r="EW57" i="67"/>
  <c r="EO57" i="67"/>
  <c r="EG57" i="67"/>
  <c r="DY57" i="67"/>
  <c r="DQ57" i="67"/>
  <c r="DI57" i="67"/>
  <c r="DA57" i="67"/>
  <c r="CS57" i="67"/>
  <c r="CK57" i="67"/>
  <c r="CC57" i="67"/>
  <c r="BU57" i="67"/>
  <c r="BM57" i="67"/>
  <c r="BE57" i="67"/>
  <c r="AW57" i="67"/>
  <c r="AO57" i="67"/>
  <c r="Y57" i="67"/>
  <c r="Q57" i="67"/>
  <c r="I57" i="67"/>
  <c r="A57" i="67"/>
  <c r="KA57" i="67"/>
  <c r="JK57" i="67"/>
  <c r="JC57" i="67"/>
  <c r="IU57" i="67"/>
  <c r="MA58" i="67"/>
  <c r="LS58" i="67"/>
  <c r="LK58" i="67"/>
  <c r="LC58" i="67"/>
  <c r="KU58" i="67"/>
  <c r="KM58" i="67"/>
  <c r="KE58" i="67"/>
  <c r="JW58" i="67"/>
  <c r="JO58" i="67"/>
  <c r="JG58" i="67"/>
  <c r="IY58" i="67"/>
  <c r="IQ58" i="67"/>
  <c r="II58" i="67"/>
  <c r="IA58" i="67"/>
  <c r="HS58" i="67"/>
  <c r="HK58" i="67"/>
  <c r="HC58" i="67"/>
  <c r="GU58" i="67"/>
  <c r="GM58" i="67"/>
  <c r="GE58" i="67"/>
  <c r="FW58" i="67"/>
  <c r="FO58" i="67"/>
  <c r="FG58" i="67"/>
  <c r="EY58" i="67"/>
  <c r="EQ58" i="67"/>
  <c r="EI58" i="67"/>
  <c r="EA58" i="67"/>
  <c r="DS58" i="67"/>
  <c r="DK58" i="67"/>
  <c r="DC58" i="67"/>
  <c r="CU58" i="67"/>
  <c r="CM58" i="67"/>
  <c r="CE58" i="67"/>
  <c r="BW58" i="67"/>
  <c r="BO58" i="67"/>
  <c r="BG58" i="67"/>
  <c r="AY58" i="67"/>
  <c r="AQ58" i="67"/>
  <c r="AI58" i="67"/>
  <c r="AA58" i="67"/>
  <c r="S58" i="67"/>
  <c r="K58" i="67"/>
  <c r="A58" i="67"/>
  <c r="LX57" i="67"/>
  <c r="LP57" i="67"/>
  <c r="LH57" i="67"/>
  <c r="HS57" i="67"/>
  <c r="HK57" i="67"/>
  <c r="GU57" i="67"/>
  <c r="GM57" i="67"/>
  <c r="GE57" i="67"/>
  <c r="FW57" i="67"/>
  <c r="FO57" i="67"/>
  <c r="FD57" i="67"/>
  <c r="EV57" i="67"/>
  <c r="EN57" i="67"/>
  <c r="EF57" i="67"/>
  <c r="DX57" i="67"/>
  <c r="DP57" i="67"/>
  <c r="DH57" i="67"/>
  <c r="CZ57" i="67"/>
  <c r="CR57" i="67"/>
  <c r="CJ57" i="67"/>
  <c r="CB57" i="67"/>
  <c r="BT57" i="67"/>
  <c r="BL57" i="67"/>
  <c r="BD57" i="67"/>
  <c r="AV57" i="67"/>
  <c r="AN57" i="67"/>
  <c r="LZ58" i="67"/>
  <c r="LJ58" i="67"/>
  <c r="LB58" i="67"/>
  <c r="KT58" i="67"/>
  <c r="KL58" i="67"/>
  <c r="KD58" i="67"/>
  <c r="JV58" i="67"/>
  <c r="JN58" i="67"/>
  <c r="JF58" i="67"/>
  <c r="IX58" i="67"/>
  <c r="IP58" i="67"/>
  <c r="IH58" i="67"/>
  <c r="HZ58" i="67"/>
  <c r="HR58" i="67"/>
  <c r="HJ58" i="67"/>
  <c r="HB58" i="67"/>
  <c r="GT58" i="67"/>
  <c r="GL58" i="67"/>
  <c r="GD58" i="67"/>
  <c r="FV58" i="67"/>
  <c r="FN58" i="67"/>
  <c r="FF58" i="67"/>
  <c r="EX58" i="67"/>
  <c r="EP58" i="67"/>
  <c r="EH58" i="67"/>
  <c r="DZ58" i="67"/>
  <c r="DR58" i="67"/>
  <c r="DJ58" i="67"/>
  <c r="DB58" i="67"/>
  <c r="CT58" i="67"/>
  <c r="CL58" i="67"/>
  <c r="CD58" i="67"/>
  <c r="BV58" i="67"/>
  <c r="BN58" i="67"/>
  <c r="BF58" i="67"/>
  <c r="AX58" i="67"/>
  <c r="AP58" i="67"/>
  <c r="AH58" i="67"/>
  <c r="Z58" i="67"/>
  <c r="R58" i="67"/>
  <c r="H58" i="67"/>
  <c r="KX57" i="67"/>
  <c r="KP57" i="67"/>
  <c r="KH57" i="67"/>
  <c r="FM57" i="67"/>
  <c r="LY58" i="67"/>
  <c r="LQ58" i="67"/>
  <c r="LI58" i="67"/>
  <c r="LA58" i="67"/>
  <c r="KS58" i="67"/>
  <c r="KK58" i="67"/>
  <c r="KC58" i="67"/>
  <c r="JU58" i="67"/>
  <c r="JM58" i="67"/>
  <c r="JE58" i="67"/>
  <c r="IW58" i="67"/>
  <c r="IO58" i="67"/>
  <c r="IG58" i="67"/>
  <c r="HY58" i="67"/>
  <c r="HQ58" i="67"/>
  <c r="HI58" i="67"/>
  <c r="HA58" i="67"/>
  <c r="GS58" i="67"/>
  <c r="GK58" i="67"/>
  <c r="GC58" i="67"/>
  <c r="FU58" i="67"/>
  <c r="FM58" i="67"/>
  <c r="FE58" i="67"/>
  <c r="EW58" i="67"/>
  <c r="EO58" i="67"/>
  <c r="EG58" i="67"/>
  <c r="DY58" i="67"/>
  <c r="DQ58" i="67"/>
  <c r="DI58" i="67"/>
  <c r="DA58" i="67"/>
  <c r="CS58" i="67"/>
  <c r="CK58" i="67"/>
  <c r="CC58" i="67"/>
  <c r="BU58" i="67"/>
  <c r="BM58" i="67"/>
  <c r="BE58" i="67"/>
  <c r="AW58" i="67"/>
  <c r="AO58" i="67"/>
  <c r="Y58" i="67"/>
  <c r="Q58" i="67"/>
  <c r="J58" i="67"/>
  <c r="LV57" i="67"/>
  <c r="LN57" i="67"/>
  <c r="LF57" i="67"/>
  <c r="KW57" i="67"/>
  <c r="KO57" i="67"/>
  <c r="KG57" i="67"/>
  <c r="HQ57" i="67"/>
  <c r="HI57" i="67"/>
  <c r="GS57" i="67"/>
  <c r="GK57" i="67"/>
  <c r="GC57" i="67"/>
  <c r="FU57" i="67"/>
  <c r="FB57" i="67"/>
  <c r="ET57" i="67"/>
  <c r="EL57" i="67"/>
  <c r="ED57" i="67"/>
  <c r="DV57" i="67"/>
  <c r="DN57" i="67"/>
  <c r="DF57" i="67"/>
  <c r="CX57" i="67"/>
  <c r="CP57" i="67"/>
  <c r="CH57" i="67"/>
  <c r="BZ57" i="67"/>
  <c r="BR57" i="67"/>
  <c r="BJ57" i="67"/>
  <c r="BB57" i="67"/>
  <c r="AT57" i="67"/>
  <c r="AL57" i="67"/>
  <c r="AD57" i="67"/>
  <c r="V57" i="67"/>
  <c r="N57" i="67"/>
  <c r="F57" i="67"/>
  <c r="LP58" i="67"/>
  <c r="LH58" i="67"/>
  <c r="KZ58" i="67"/>
  <c r="KR58" i="67"/>
  <c r="KJ58" i="67"/>
  <c r="KB58" i="67"/>
  <c r="JT58" i="67"/>
  <c r="JL58" i="67"/>
  <c r="JD58" i="67"/>
  <c r="IV58" i="67"/>
  <c r="IN58" i="67"/>
  <c r="IF58" i="67"/>
  <c r="HX58" i="67"/>
  <c r="HP58" i="67"/>
  <c r="HH58" i="67"/>
  <c r="GZ58" i="67"/>
  <c r="GR58" i="67"/>
  <c r="GJ58" i="67"/>
  <c r="GB58" i="67"/>
  <c r="FT58" i="67"/>
  <c r="FL58" i="67"/>
  <c r="FD58" i="67"/>
  <c r="EV58" i="67"/>
  <c r="EN58" i="67"/>
  <c r="EF58" i="67"/>
  <c r="DX58" i="67"/>
  <c r="DP58" i="67"/>
  <c r="DH58" i="67"/>
  <c r="CZ58" i="67"/>
  <c r="CR58" i="67"/>
  <c r="CJ58" i="67"/>
  <c r="CB58" i="67"/>
  <c r="BT58" i="67"/>
  <c r="BL58" i="67"/>
  <c r="BD58" i="67"/>
  <c r="AV58" i="67"/>
  <c r="AN58" i="67"/>
  <c r="AF58" i="67"/>
  <c r="X58" i="67"/>
  <c r="P58" i="67"/>
  <c r="F58" i="67"/>
  <c r="LU57" i="67"/>
  <c r="LM57" i="67"/>
  <c r="LE57" i="67"/>
  <c r="KE57" i="67"/>
  <c r="HP57" i="67"/>
  <c r="HH57" i="67"/>
  <c r="GR57" i="67"/>
  <c r="GJ57" i="67"/>
  <c r="GB57" i="67"/>
  <c r="FT57" i="67"/>
  <c r="FJ57" i="67"/>
  <c r="FA57" i="67"/>
  <c r="ES57" i="67"/>
  <c r="EK57" i="67"/>
  <c r="EC57" i="67"/>
  <c r="DU57" i="67"/>
  <c r="DM57" i="67"/>
  <c r="DE57" i="67"/>
  <c r="CW57" i="67"/>
  <c r="CO57" i="67"/>
  <c r="CG57" i="67"/>
  <c r="BY57" i="67"/>
  <c r="BQ57" i="67"/>
  <c r="BI57" i="67"/>
  <c r="BA57" i="67"/>
  <c r="AS57" i="67"/>
  <c r="AK57" i="67"/>
  <c r="AC57" i="67"/>
  <c r="U57" i="67"/>
  <c r="M57" i="67"/>
  <c r="E57" i="67"/>
  <c r="LR49" i="67"/>
  <c r="LR69" i="67"/>
  <c r="I69" i="67"/>
  <c r="D58" i="67"/>
  <c r="KD57" i="67"/>
  <c r="IM57" i="67"/>
  <c r="EX57" i="67"/>
  <c r="EP57" i="67"/>
  <c r="EH57" i="67"/>
  <c r="DZ57" i="67"/>
  <c r="DR57" i="67"/>
  <c r="DJ57" i="67"/>
  <c r="DB57" i="67"/>
  <c r="CT57" i="67"/>
  <c r="CL57" i="67"/>
  <c r="CD57" i="67"/>
  <c r="BV57" i="67"/>
  <c r="BN57" i="67"/>
  <c r="BF57" i="67"/>
  <c r="AX57" i="67"/>
  <c r="AH57" i="67"/>
  <c r="Z57" i="67"/>
  <c r="LZ57" i="67"/>
  <c r="LJ57" i="67"/>
  <c r="KT57" i="67"/>
  <c r="KL57" i="67"/>
  <c r="FF57" i="67"/>
  <c r="HR57" i="67"/>
  <c r="HJ57" i="67"/>
  <c r="GT57" i="67"/>
  <c r="GL57" i="67"/>
  <c r="GD57" i="67"/>
  <c r="FV57" i="67"/>
  <c r="FC57" i="67"/>
  <c r="EU57" i="67"/>
  <c r="EM57" i="67"/>
  <c r="EE57" i="67"/>
  <c r="DW57" i="67"/>
  <c r="DO57" i="67"/>
  <c r="DG57" i="67"/>
  <c r="CY57" i="67"/>
  <c r="CQ57" i="67"/>
  <c r="CI57" i="67"/>
  <c r="CA57" i="67"/>
  <c r="BS57" i="67"/>
  <c r="BK57" i="67"/>
  <c r="BC57" i="67"/>
  <c r="AU57" i="67"/>
  <c r="AM57" i="67"/>
  <c r="LR59" i="67"/>
  <c r="HE59" i="67"/>
  <c r="LW57" i="67"/>
  <c r="LO57" i="67"/>
  <c r="LG57" i="67"/>
  <c r="KY57" i="67"/>
  <c r="KQ57" i="67"/>
  <c r="KI57" i="67"/>
  <c r="FK57" i="67"/>
  <c r="LQ30" i="67"/>
  <c r="LI30" i="67"/>
  <c r="LA30" i="67"/>
  <c r="KS30" i="67"/>
  <c r="KK30" i="67"/>
  <c r="KC30" i="67"/>
  <c r="JA30" i="67"/>
  <c r="IS30" i="67"/>
  <c r="IK30" i="67"/>
  <c r="IC30" i="67"/>
  <c r="HU30" i="67"/>
  <c r="HM30" i="67"/>
  <c r="LM30" i="67"/>
  <c r="LE30" i="67"/>
  <c r="KW30" i="67"/>
  <c r="KO30" i="67"/>
  <c r="KG30" i="67"/>
  <c r="JY30" i="67"/>
  <c r="JQ30" i="67"/>
  <c r="JI30" i="67"/>
  <c r="LQ50" i="67"/>
  <c r="LI50" i="67"/>
  <c r="LA50" i="67"/>
  <c r="KS50" i="67"/>
  <c r="KK50" i="67"/>
  <c r="KC50" i="67"/>
  <c r="JU50" i="67"/>
  <c r="JM50" i="67"/>
  <c r="JE50" i="67"/>
  <c r="IW50" i="67"/>
  <c r="IO50" i="67"/>
  <c r="IG50" i="67"/>
  <c r="HY50" i="67"/>
  <c r="HQ50" i="67"/>
  <c r="HI50" i="67"/>
  <c r="HA50" i="67"/>
  <c r="GS50" i="67"/>
  <c r="GK50" i="67"/>
  <c r="GC50" i="67"/>
  <c r="FU50" i="67"/>
  <c r="FM50" i="67"/>
  <c r="FE50" i="67"/>
  <c r="EW50" i="67"/>
  <c r="EO50" i="67"/>
  <c r="EG50" i="67"/>
  <c r="DY50" i="67"/>
  <c r="DQ50" i="67"/>
  <c r="DI50" i="67"/>
  <c r="DA50" i="67"/>
  <c r="CS50" i="67"/>
  <c r="CK50" i="67"/>
  <c r="CC50" i="67"/>
  <c r="BU50" i="67"/>
  <c r="BM50" i="67"/>
  <c r="BE50" i="67"/>
  <c r="AW50" i="67"/>
  <c r="AO50" i="67"/>
  <c r="Y50" i="67"/>
  <c r="Q50" i="67"/>
  <c r="I50" i="67"/>
  <c r="LY50" i="67"/>
  <c r="LP50" i="67"/>
  <c r="LH50" i="67"/>
  <c r="KZ50" i="67"/>
  <c r="KR50" i="67"/>
  <c r="KJ50" i="67"/>
  <c r="KB50" i="67"/>
  <c r="JT50" i="67"/>
  <c r="JL50" i="67"/>
  <c r="JD50" i="67"/>
  <c r="IV50" i="67"/>
  <c r="IN50" i="67"/>
  <c r="IF50" i="67"/>
  <c r="HX50" i="67"/>
  <c r="HP50" i="67"/>
  <c r="HH50" i="67"/>
  <c r="GZ50" i="67"/>
  <c r="GR50" i="67"/>
  <c r="GJ50" i="67"/>
  <c r="GB50" i="67"/>
  <c r="FT50" i="67"/>
  <c r="FL50" i="67"/>
  <c r="FD50" i="67"/>
  <c r="EV50" i="67"/>
  <c r="EN50" i="67"/>
  <c r="EF50" i="67"/>
  <c r="DX50" i="67"/>
  <c r="DP50" i="67"/>
  <c r="DH50" i="67"/>
  <c r="CZ50" i="67"/>
  <c r="CR50" i="67"/>
  <c r="CJ50" i="67"/>
  <c r="CB50" i="67"/>
  <c r="BT50" i="67"/>
  <c r="BL50" i="67"/>
  <c r="BD50" i="67"/>
  <c r="AV50" i="67"/>
  <c r="AN50" i="67"/>
  <c r="AF50" i="67"/>
  <c r="X50" i="67"/>
  <c r="P50" i="67"/>
  <c r="H50" i="67"/>
  <c r="LX50" i="67"/>
  <c r="LO50" i="67"/>
  <c r="LG50" i="67"/>
  <c r="KY50" i="67"/>
  <c r="KQ50" i="67"/>
  <c r="KI50" i="67"/>
  <c r="KA50" i="67"/>
  <c r="JS50" i="67"/>
  <c r="JK50" i="67"/>
  <c r="JC50" i="67"/>
  <c r="IU50" i="67"/>
  <c r="IM50" i="67"/>
  <c r="IE50" i="67"/>
  <c r="HW50" i="67"/>
  <c r="HO50" i="67"/>
  <c r="HG50" i="67"/>
  <c r="GY50" i="67"/>
  <c r="GQ50" i="67"/>
  <c r="GI50" i="67"/>
  <c r="GA50" i="67"/>
  <c r="FS50" i="67"/>
  <c r="FK50" i="67"/>
  <c r="FC50" i="67"/>
  <c r="EU50" i="67"/>
  <c r="EM50" i="67"/>
  <c r="EE50" i="67"/>
  <c r="DW50" i="67"/>
  <c r="DO50" i="67"/>
  <c r="DG50" i="67"/>
  <c r="CY50" i="67"/>
  <c r="CQ50" i="67"/>
  <c r="CI50" i="67"/>
  <c r="CA50" i="67"/>
  <c r="BS50" i="67"/>
  <c r="BK50" i="67"/>
  <c r="BC50" i="67"/>
  <c r="AU50" i="67"/>
  <c r="AM50" i="67"/>
  <c r="AE50" i="67"/>
  <c r="W50" i="67"/>
  <c r="O50" i="67"/>
  <c r="G50" i="67"/>
  <c r="LU30" i="67"/>
  <c r="GV30" i="67"/>
  <c r="GN30" i="67"/>
  <c r="GF30" i="67"/>
  <c r="FX30" i="67"/>
  <c r="FP30" i="67"/>
  <c r="FH30" i="67"/>
  <c r="EZ30" i="67"/>
  <c r="ER30" i="67"/>
  <c r="EJ30" i="67"/>
  <c r="EB30" i="67"/>
  <c r="DT30" i="67"/>
  <c r="DL30" i="67"/>
  <c r="DD30" i="67"/>
  <c r="CV30" i="67"/>
  <c r="CN30" i="67"/>
  <c r="CF30" i="67"/>
  <c r="BX30" i="67"/>
  <c r="BP30" i="67"/>
  <c r="BH30" i="67"/>
  <c r="AZ30" i="67"/>
  <c r="AR30" i="67"/>
  <c r="AJ30" i="67"/>
  <c r="AB30" i="67"/>
  <c r="LW50" i="67"/>
  <c r="LN50" i="67"/>
  <c r="LF50" i="67"/>
  <c r="KX50" i="67"/>
  <c r="KP50" i="67"/>
  <c r="KH50" i="67"/>
  <c r="JZ50" i="67"/>
  <c r="JR50" i="67"/>
  <c r="JJ50" i="67"/>
  <c r="JB50" i="67"/>
  <c r="IT50" i="67"/>
  <c r="IL50" i="67"/>
  <c r="ID50" i="67"/>
  <c r="HV50" i="67"/>
  <c r="HN50" i="67"/>
  <c r="HF50" i="67"/>
  <c r="GX50" i="67"/>
  <c r="GP50" i="67"/>
  <c r="GH50" i="67"/>
  <c r="FZ50" i="67"/>
  <c r="FR50" i="67"/>
  <c r="FJ50" i="67"/>
  <c r="FB50" i="67"/>
  <c r="ET50" i="67"/>
  <c r="EL50" i="67"/>
  <c r="ED50" i="67"/>
  <c r="DV50" i="67"/>
  <c r="DN50" i="67"/>
  <c r="DF50" i="67"/>
  <c r="CX50" i="67"/>
  <c r="CP50" i="67"/>
  <c r="CH50" i="67"/>
  <c r="BZ50" i="67"/>
  <c r="BR50" i="67"/>
  <c r="BJ50" i="67"/>
  <c r="BB50" i="67"/>
  <c r="AT50" i="67"/>
  <c r="AL50" i="67"/>
  <c r="AD50" i="67"/>
  <c r="V50" i="67"/>
  <c r="N50" i="67"/>
  <c r="F50" i="67"/>
  <c r="LV50" i="67"/>
  <c r="LM50" i="67"/>
  <c r="LE50" i="67"/>
  <c r="KW50" i="67"/>
  <c r="KO50" i="67"/>
  <c r="KG50" i="67"/>
  <c r="JY50" i="67"/>
  <c r="JQ50" i="67"/>
  <c r="JI50" i="67"/>
  <c r="JA50" i="67"/>
  <c r="IS50" i="67"/>
  <c r="IK50" i="67"/>
  <c r="IC50" i="67"/>
  <c r="HU50" i="67"/>
  <c r="HM50" i="67"/>
  <c r="HE50" i="67"/>
  <c r="GW50" i="67"/>
  <c r="GO50" i="67"/>
  <c r="GG50" i="67"/>
  <c r="FY50" i="67"/>
  <c r="FQ50" i="67"/>
  <c r="FI50" i="67"/>
  <c r="FA50" i="67"/>
  <c r="ES50" i="67"/>
  <c r="EK50" i="67"/>
  <c r="EC50" i="67"/>
  <c r="DU50" i="67"/>
  <c r="DM50" i="67"/>
  <c r="DE50" i="67"/>
  <c r="CW50" i="67"/>
  <c r="CO50" i="67"/>
  <c r="CG50" i="67"/>
  <c r="BY50" i="67"/>
  <c r="BQ50" i="67"/>
  <c r="BI50" i="67"/>
  <c r="BA50" i="67"/>
  <c r="AS50" i="67"/>
  <c r="AK50" i="67"/>
  <c r="AC50" i="67"/>
  <c r="U50" i="67"/>
  <c r="M50" i="67"/>
  <c r="E50" i="67"/>
  <c r="LU50" i="67"/>
  <c r="LL50" i="67"/>
  <c r="LD50" i="67"/>
  <c r="KV50" i="67"/>
  <c r="KN50" i="67"/>
  <c r="KF50" i="67"/>
  <c r="JX50" i="67"/>
  <c r="JP50" i="67"/>
  <c r="JH50" i="67"/>
  <c r="IZ50" i="67"/>
  <c r="IR50" i="67"/>
  <c r="IJ50" i="67"/>
  <c r="IB50" i="67"/>
  <c r="HT50" i="67"/>
  <c r="HL50" i="67"/>
  <c r="HD50" i="67"/>
  <c r="GV50" i="67"/>
  <c r="GN50" i="67"/>
  <c r="GF50" i="67"/>
  <c r="FX50" i="67"/>
  <c r="FP50" i="67"/>
  <c r="FH50" i="67"/>
  <c r="EZ50" i="67"/>
  <c r="ER50" i="67"/>
  <c r="EJ50" i="67"/>
  <c r="EB50" i="67"/>
  <c r="DT50" i="67"/>
  <c r="DL50" i="67"/>
  <c r="DD50" i="67"/>
  <c r="CV50" i="67"/>
  <c r="CN50" i="67"/>
  <c r="CF50" i="67"/>
  <c r="BX50" i="67"/>
  <c r="BP50" i="67"/>
  <c r="BH50" i="67"/>
  <c r="AZ50" i="67"/>
  <c r="AR50" i="67"/>
  <c r="AJ50" i="67"/>
  <c r="AB50" i="67"/>
  <c r="T50" i="67"/>
  <c r="L50" i="67"/>
  <c r="D50" i="67"/>
  <c r="LT50" i="67"/>
  <c r="LK50" i="67"/>
  <c r="LC50" i="67"/>
  <c r="KU50" i="67"/>
  <c r="KM50" i="67"/>
  <c r="KE50" i="67"/>
  <c r="JW50" i="67"/>
  <c r="JO50" i="67"/>
  <c r="JG50" i="67"/>
  <c r="IY50" i="67"/>
  <c r="IQ50" i="67"/>
  <c r="II50" i="67"/>
  <c r="IA50" i="67"/>
  <c r="HS50" i="67"/>
  <c r="HK50" i="67"/>
  <c r="HC50" i="67"/>
  <c r="GU50" i="67"/>
  <c r="GM50" i="67"/>
  <c r="GE50" i="67"/>
  <c r="FW50" i="67"/>
  <c r="FO50" i="67"/>
  <c r="FG50" i="67"/>
  <c r="EY50" i="67"/>
  <c r="EQ50" i="67"/>
  <c r="EI50" i="67"/>
  <c r="EA50" i="67"/>
  <c r="DS50" i="67"/>
  <c r="DK50" i="67"/>
  <c r="DC50" i="67"/>
  <c r="CU50" i="67"/>
  <c r="CM50" i="67"/>
  <c r="CE50" i="67"/>
  <c r="BW50" i="67"/>
  <c r="BO50" i="67"/>
  <c r="BG50" i="67"/>
  <c r="AY50" i="67"/>
  <c r="AQ50" i="67"/>
  <c r="AI50" i="67"/>
  <c r="AA50" i="67"/>
  <c r="S50" i="67"/>
  <c r="K50" i="67"/>
  <c r="C50" i="67"/>
  <c r="LS50" i="67"/>
  <c r="B50" i="67"/>
  <c r="LQ31" i="67"/>
  <c r="LI31" i="67"/>
  <c r="LA31" i="67"/>
  <c r="KS31" i="67"/>
  <c r="KK31" i="67"/>
  <c r="KC31" i="67"/>
  <c r="JU31" i="67"/>
  <c r="JM31" i="67"/>
  <c r="IW31" i="67"/>
  <c r="IO31" i="67"/>
  <c r="IG31" i="67"/>
  <c r="HY31" i="67"/>
  <c r="HQ31" i="67"/>
  <c r="HI31" i="67"/>
  <c r="GS31" i="67"/>
  <c r="GK31" i="67"/>
  <c r="GC31" i="67"/>
  <c r="FU31" i="67"/>
  <c r="FM31" i="67"/>
  <c r="FE31" i="67"/>
  <c r="EW31" i="67"/>
  <c r="EO31" i="67"/>
  <c r="EG31" i="67"/>
  <c r="DY31" i="67"/>
  <c r="DQ31" i="67"/>
  <c r="DI31" i="67"/>
  <c r="DA31" i="67"/>
  <c r="CS31" i="67"/>
  <c r="CK31" i="67"/>
  <c r="CC31" i="67"/>
  <c r="BU31" i="67"/>
  <c r="BM31" i="67"/>
  <c r="BE31" i="67"/>
  <c r="AW31" i="67"/>
  <c r="AO31" i="67"/>
  <c r="Y31" i="67"/>
  <c r="Q31" i="67"/>
  <c r="MA30" i="67"/>
  <c r="LS30" i="67"/>
  <c r="LK30" i="67"/>
  <c r="LC30" i="67"/>
  <c r="KU30" i="67"/>
  <c r="KM30" i="67"/>
  <c r="KE30" i="67"/>
  <c r="LY31" i="67"/>
  <c r="LP31" i="67"/>
  <c r="LH31" i="67"/>
  <c r="KZ31" i="67"/>
  <c r="KR31" i="67"/>
  <c r="KJ31" i="67"/>
  <c r="KB31" i="67"/>
  <c r="JT31" i="67"/>
  <c r="JL31" i="67"/>
  <c r="JD31" i="67"/>
  <c r="IV31" i="67"/>
  <c r="IN31" i="67"/>
  <c r="IF31" i="67"/>
  <c r="HX31" i="67"/>
  <c r="HP31" i="67"/>
  <c r="HH31" i="67"/>
  <c r="GR31" i="67"/>
  <c r="GJ31" i="67"/>
  <c r="GB31" i="67"/>
  <c r="FT31" i="67"/>
  <c r="FL31" i="67"/>
  <c r="FD31" i="67"/>
  <c r="EV31" i="67"/>
  <c r="EN31" i="67"/>
  <c r="EF31" i="67"/>
  <c r="DX31" i="67"/>
  <c r="DP31" i="67"/>
  <c r="DH31" i="67"/>
  <c r="CZ31" i="67"/>
  <c r="CR31" i="67"/>
  <c r="CJ31" i="67"/>
  <c r="CB31" i="67"/>
  <c r="BL31" i="67"/>
  <c r="BD31" i="67"/>
  <c r="LX31" i="67"/>
  <c r="LO31" i="67"/>
  <c r="LG31" i="67"/>
  <c r="KY31" i="67"/>
  <c r="KQ31" i="67"/>
  <c r="KI31" i="67"/>
  <c r="KA31" i="67"/>
  <c r="JS31" i="67"/>
  <c r="JK31" i="67"/>
  <c r="JC31" i="67"/>
  <c r="IU31" i="67"/>
  <c r="IM31" i="67"/>
  <c r="IE31" i="67"/>
  <c r="HW31" i="67"/>
  <c r="HO31" i="67"/>
  <c r="GY31" i="67"/>
  <c r="GQ31" i="67"/>
  <c r="GI31" i="67"/>
  <c r="GA31" i="67"/>
  <c r="FS31" i="67"/>
  <c r="FK31" i="67"/>
  <c r="FC31" i="67"/>
  <c r="EU31" i="67"/>
  <c r="EM31" i="67"/>
  <c r="EE31" i="67"/>
  <c r="DW31" i="67"/>
  <c r="DO31" i="67"/>
  <c r="DG31" i="67"/>
  <c r="CY31" i="67"/>
  <c r="CQ31" i="67"/>
  <c r="CI31" i="67"/>
  <c r="CA31" i="67"/>
  <c r="BK31" i="67"/>
  <c r="BC31" i="67"/>
  <c r="AU31" i="67"/>
  <c r="AM31" i="67"/>
  <c r="AE31" i="67"/>
  <c r="W31" i="67"/>
  <c r="O31" i="67"/>
  <c r="F31" i="67"/>
  <c r="LY30" i="67"/>
  <c r="GU30" i="67"/>
  <c r="GM30" i="67"/>
  <c r="GE30" i="67"/>
  <c r="FW30" i="67"/>
  <c r="FO30" i="67"/>
  <c r="FG30" i="67"/>
  <c r="EY30" i="67"/>
  <c r="EQ30" i="67"/>
  <c r="EI30" i="67"/>
  <c r="EA30" i="67"/>
  <c r="DS30" i="67"/>
  <c r="DK30" i="67"/>
  <c r="DC30" i="67"/>
  <c r="CU30" i="67"/>
  <c r="CM30" i="67"/>
  <c r="CE30" i="67"/>
  <c r="BW30" i="67"/>
  <c r="BO30" i="67"/>
  <c r="BG30" i="67"/>
  <c r="AY30" i="67"/>
  <c r="AQ30" i="67"/>
  <c r="AI30" i="67"/>
  <c r="AA30" i="67"/>
  <c r="R30" i="67"/>
  <c r="B30" i="67"/>
  <c r="LW31" i="67"/>
  <c r="LN31" i="67"/>
  <c r="LF31" i="67"/>
  <c r="KX31" i="67"/>
  <c r="KP31" i="67"/>
  <c r="KH31" i="67"/>
  <c r="JZ31" i="67"/>
  <c r="JR31" i="67"/>
  <c r="JJ31" i="67"/>
  <c r="IT31" i="67"/>
  <c r="IL31" i="67"/>
  <c r="ID31" i="67"/>
  <c r="HV31" i="67"/>
  <c r="HN31" i="67"/>
  <c r="GX31" i="67"/>
  <c r="GP31" i="67"/>
  <c r="GH31" i="67"/>
  <c r="FZ31" i="67"/>
  <c r="FR31" i="67"/>
  <c r="FJ31" i="67"/>
  <c r="FB31" i="67"/>
  <c r="ET31" i="67"/>
  <c r="EL31" i="67"/>
  <c r="ED31" i="67"/>
  <c r="DV31" i="67"/>
  <c r="DN31" i="67"/>
  <c r="DF31" i="67"/>
  <c r="CX31" i="67"/>
  <c r="CP31" i="67"/>
  <c r="BZ31" i="67"/>
  <c r="BJ31" i="67"/>
  <c r="BB31" i="67"/>
  <c r="AT31" i="67"/>
  <c r="AL31" i="67"/>
  <c r="AD31" i="67"/>
  <c r="V31" i="67"/>
  <c r="N31" i="67"/>
  <c r="E31" i="67"/>
  <c r="LX30" i="67"/>
  <c r="LP30" i="67"/>
  <c r="LH30" i="67"/>
  <c r="KZ30" i="67"/>
  <c r="KR30" i="67"/>
  <c r="KJ30" i="67"/>
  <c r="KB30" i="67"/>
  <c r="JT30" i="67"/>
  <c r="JL30" i="67"/>
  <c r="JD30" i="67"/>
  <c r="IV30" i="67"/>
  <c r="IN30" i="67"/>
  <c r="IF30" i="67"/>
  <c r="HX30" i="67"/>
  <c r="HP30" i="67"/>
  <c r="HH30" i="67"/>
  <c r="LV31" i="67"/>
  <c r="LM31" i="67"/>
  <c r="LE31" i="67"/>
  <c r="KW31" i="67"/>
  <c r="KO31" i="67"/>
  <c r="KG31" i="67"/>
  <c r="JY31" i="67"/>
  <c r="JQ31" i="67"/>
  <c r="JI31" i="67"/>
  <c r="IS31" i="67"/>
  <c r="IK31" i="67"/>
  <c r="IC31" i="67"/>
  <c r="HU31" i="67"/>
  <c r="HM31" i="67"/>
  <c r="GW31" i="67"/>
  <c r="GO31" i="67"/>
  <c r="GG31" i="67"/>
  <c r="FY31" i="67"/>
  <c r="FQ31" i="67"/>
  <c r="FI31" i="67"/>
  <c r="FA31" i="67"/>
  <c r="ES31" i="67"/>
  <c r="EK31" i="67"/>
  <c r="EC31" i="67"/>
  <c r="DU31" i="67"/>
  <c r="DM31" i="67"/>
  <c r="DE31" i="67"/>
  <c r="CW31" i="67"/>
  <c r="CO31" i="67"/>
  <c r="CG31" i="67"/>
  <c r="BY31" i="67"/>
  <c r="BQ31" i="67"/>
  <c r="BI31" i="67"/>
  <c r="BA31" i="67"/>
  <c r="AS31" i="67"/>
  <c r="AK31" i="67"/>
  <c r="AC31" i="67"/>
  <c r="LU31" i="67"/>
  <c r="LL31" i="67"/>
  <c r="LD31" i="67"/>
  <c r="KV31" i="67"/>
  <c r="KN31" i="67"/>
  <c r="KF31" i="67"/>
  <c r="JX31" i="67"/>
  <c r="JP31" i="67"/>
  <c r="IZ31" i="67"/>
  <c r="IR31" i="67"/>
  <c r="IJ31" i="67"/>
  <c r="IB31" i="67"/>
  <c r="HT31" i="67"/>
  <c r="HL31" i="67"/>
  <c r="GV31" i="67"/>
  <c r="GN31" i="67"/>
  <c r="GF31" i="67"/>
  <c r="FX31" i="67"/>
  <c r="FP31" i="67"/>
  <c r="FH31" i="67"/>
  <c r="EZ31" i="67"/>
  <c r="ER31" i="67"/>
  <c r="EJ31" i="67"/>
  <c r="EB31" i="67"/>
  <c r="DT31" i="67"/>
  <c r="DL31" i="67"/>
  <c r="LT31" i="67"/>
  <c r="GY30" i="67"/>
  <c r="GQ30" i="67"/>
  <c r="GI30" i="67"/>
  <c r="GA30" i="67"/>
  <c r="FS30" i="67"/>
  <c r="FK30" i="67"/>
  <c r="FC30" i="67"/>
  <c r="EU30" i="67"/>
  <c r="EM30" i="67"/>
  <c r="EE30" i="67"/>
  <c r="DW30" i="67"/>
  <c r="DO30" i="67"/>
  <c r="DG30" i="67"/>
  <c r="CY30" i="67"/>
  <c r="CQ30" i="67"/>
  <c r="CI30" i="67"/>
  <c r="CA30" i="67"/>
  <c r="BS30" i="67"/>
  <c r="BK30" i="67"/>
  <c r="BC30" i="67"/>
  <c r="AU30" i="67"/>
  <c r="AM30" i="67"/>
  <c r="AE30" i="67"/>
  <c r="W30" i="67"/>
  <c r="F30" i="67"/>
  <c r="HB28" i="67"/>
  <c r="HB30" i="67"/>
  <c r="A31" i="67"/>
  <c r="LT30" i="67"/>
  <c r="LL30" i="67"/>
  <c r="LD30" i="67"/>
  <c r="KV30" i="67"/>
  <c r="KN30" i="67"/>
  <c r="KF30" i="67"/>
  <c r="JX30" i="67"/>
  <c r="JP30" i="67"/>
  <c r="IZ30" i="67"/>
  <c r="IR30" i="67"/>
  <c r="IJ30" i="67"/>
  <c r="IB30" i="67"/>
  <c r="HT30" i="67"/>
  <c r="HL30" i="67"/>
  <c r="DD31" i="67"/>
  <c r="CV31" i="67"/>
  <c r="CN31" i="67"/>
  <c r="CF31" i="67"/>
  <c r="BX31" i="67"/>
  <c r="BP31" i="67"/>
  <c r="BH31" i="67"/>
  <c r="AZ31" i="67"/>
  <c r="AR31" i="67"/>
  <c r="AJ31" i="67"/>
  <c r="AB31" i="67"/>
  <c r="T31" i="67"/>
  <c r="L31" i="67"/>
  <c r="GW30" i="67"/>
  <c r="GO30" i="67"/>
  <c r="GG30" i="67"/>
  <c r="FY30" i="67"/>
  <c r="FQ30" i="67"/>
  <c r="FI30" i="67"/>
  <c r="FA30" i="67"/>
  <c r="ES30" i="67"/>
  <c r="EK30" i="67"/>
  <c r="EC30" i="67"/>
  <c r="DU30" i="67"/>
  <c r="DM30" i="67"/>
  <c r="DE30" i="67"/>
  <c r="CW30" i="67"/>
  <c r="CO30" i="67"/>
  <c r="CG30" i="67"/>
  <c r="BY30" i="67"/>
  <c r="BQ30" i="67"/>
  <c r="BI30" i="67"/>
  <c r="BA30" i="67"/>
  <c r="AS30" i="67"/>
  <c r="AK30" i="67"/>
  <c r="AC30" i="67"/>
  <c r="L30" i="67"/>
  <c r="D30" i="67"/>
  <c r="HF30" i="67"/>
  <c r="V30" i="67"/>
  <c r="LS48" i="67"/>
  <c r="LJ48" i="67"/>
  <c r="LB48" i="67"/>
  <c r="KT48" i="67"/>
  <c r="KL48" i="67"/>
  <c r="KD48" i="67"/>
  <c r="JV48" i="67"/>
  <c r="JN48" i="67"/>
  <c r="JF48" i="67"/>
  <c r="IH48" i="67"/>
  <c r="HZ48" i="67"/>
  <c r="HR48" i="67"/>
  <c r="HJ48" i="67"/>
  <c r="GL48" i="67"/>
  <c r="GD48" i="67"/>
  <c r="FV48" i="67"/>
  <c r="FN48" i="67"/>
  <c r="FF48" i="67"/>
  <c r="EX48" i="67"/>
  <c r="EP48" i="67"/>
  <c r="EH48" i="67"/>
  <c r="DZ48" i="67"/>
  <c r="DR48" i="67"/>
  <c r="DJ48" i="67"/>
  <c r="DB48" i="67"/>
  <c r="CT48" i="67"/>
  <c r="CL48" i="67"/>
  <c r="CD48" i="67"/>
  <c r="BV48" i="67"/>
  <c r="BN48" i="67"/>
  <c r="BF48" i="67"/>
  <c r="AX48" i="67"/>
  <c r="AP48" i="67"/>
  <c r="AH48" i="67"/>
  <c r="Z48" i="67"/>
  <c r="R48" i="67"/>
  <c r="H48" i="67"/>
  <c r="FE57" i="67"/>
  <c r="LZ48" i="67"/>
  <c r="LQ48" i="67"/>
  <c r="LI48" i="67"/>
  <c r="LA48" i="67"/>
  <c r="KS48" i="67"/>
  <c r="KK48" i="67"/>
  <c r="KC48" i="67"/>
  <c r="JU48" i="67"/>
  <c r="JM48" i="67"/>
  <c r="JE48" i="67"/>
  <c r="IG48" i="67"/>
  <c r="HY48" i="67"/>
  <c r="HQ48" i="67"/>
  <c r="HI48" i="67"/>
  <c r="GK48" i="67"/>
  <c r="GC48" i="67"/>
  <c r="FU48" i="67"/>
  <c r="FM48" i="67"/>
  <c r="FE48" i="67"/>
  <c r="EW48" i="67"/>
  <c r="EO48" i="67"/>
  <c r="EG48" i="67"/>
  <c r="DY48" i="67"/>
  <c r="DQ48" i="67"/>
  <c r="DI48" i="67"/>
  <c r="DA48" i="67"/>
  <c r="CS48" i="67"/>
  <c r="CK48" i="67"/>
  <c r="CC48" i="67"/>
  <c r="BU48" i="67"/>
  <c r="BM48" i="67"/>
  <c r="BE48" i="67"/>
  <c r="AW48" i="67"/>
  <c r="AO48" i="67"/>
  <c r="AG48" i="67"/>
  <c r="Y48" i="67"/>
  <c r="Q48" i="67"/>
  <c r="G48" i="67"/>
  <c r="FL57" i="67"/>
  <c r="LY48" i="67"/>
  <c r="LP48" i="67"/>
  <c r="LH48" i="67"/>
  <c r="KZ48" i="67"/>
  <c r="KR48" i="67"/>
  <c r="KJ48" i="67"/>
  <c r="KB48" i="67"/>
  <c r="JT48" i="67"/>
  <c r="JL48" i="67"/>
  <c r="JD48" i="67"/>
  <c r="IN48" i="67"/>
  <c r="IF48" i="67"/>
  <c r="HX48" i="67"/>
  <c r="HP48" i="67"/>
  <c r="HH48" i="67"/>
  <c r="GJ48" i="67"/>
  <c r="GB48" i="67"/>
  <c r="FT48" i="67"/>
  <c r="FL48" i="67"/>
  <c r="FD48" i="67"/>
  <c r="EV48" i="67"/>
  <c r="EN48" i="67"/>
  <c r="EF48" i="67"/>
  <c r="DX48" i="67"/>
  <c r="DP48" i="67"/>
  <c r="DH48" i="67"/>
  <c r="CZ48" i="67"/>
  <c r="CR48" i="67"/>
  <c r="CJ48" i="67"/>
  <c r="CB48" i="67"/>
  <c r="BT48" i="67"/>
  <c r="BL48" i="67"/>
  <c r="BD48" i="67"/>
  <c r="AV48" i="67"/>
  <c r="AN48" i="67"/>
  <c r="AF48" i="67"/>
  <c r="X48" i="67"/>
  <c r="P48" i="67"/>
  <c r="F48" i="67"/>
  <c r="JW30" i="67"/>
  <c r="JO30" i="67"/>
  <c r="JG30" i="67"/>
  <c r="IY30" i="67"/>
  <c r="IQ30" i="67"/>
  <c r="II30" i="67"/>
  <c r="IA30" i="67"/>
  <c r="HS30" i="67"/>
  <c r="HK30" i="67"/>
  <c r="GT30" i="67"/>
  <c r="GL30" i="67"/>
  <c r="GD30" i="67"/>
  <c r="FV30" i="67"/>
  <c r="FN30" i="67"/>
  <c r="FF30" i="67"/>
  <c r="EX30" i="67"/>
  <c r="EP30" i="67"/>
  <c r="EH30" i="67"/>
  <c r="DZ30" i="67"/>
  <c r="DR30" i="67"/>
  <c r="DJ30" i="67"/>
  <c r="DB30" i="67"/>
  <c r="CT30" i="67"/>
  <c r="CL30" i="67"/>
  <c r="CD30" i="67"/>
  <c r="BV30" i="67"/>
  <c r="BN30" i="67"/>
  <c r="BF30" i="67"/>
  <c r="AX30" i="67"/>
  <c r="AP30" i="67"/>
  <c r="AH30" i="67"/>
  <c r="Z30" i="67"/>
  <c r="Q30" i="67"/>
  <c r="A30" i="67"/>
  <c r="LX48" i="67"/>
  <c r="LO48" i="67"/>
  <c r="LG48" i="67"/>
  <c r="KY48" i="67"/>
  <c r="KQ48" i="67"/>
  <c r="KI48" i="67"/>
  <c r="KA48" i="67"/>
  <c r="JS48" i="67"/>
  <c r="JK48" i="67"/>
  <c r="JC48" i="67"/>
  <c r="IM48" i="67"/>
  <c r="IE48" i="67"/>
  <c r="HW48" i="67"/>
  <c r="HO48" i="67"/>
  <c r="HG48" i="67"/>
  <c r="GY48" i="67"/>
  <c r="GI48" i="67"/>
  <c r="GA48" i="67"/>
  <c r="FS48" i="67"/>
  <c r="FK48" i="67"/>
  <c r="FC48" i="67"/>
  <c r="EU48" i="67"/>
  <c r="EM48" i="67"/>
  <c r="EE48" i="67"/>
  <c r="DW48" i="67"/>
  <c r="DO48" i="67"/>
  <c r="DG48" i="67"/>
  <c r="CY48" i="67"/>
  <c r="CQ48" i="67"/>
  <c r="CI48" i="67"/>
  <c r="CA48" i="67"/>
  <c r="BS48" i="67"/>
  <c r="BK48" i="67"/>
  <c r="BC48" i="67"/>
  <c r="AU48" i="67"/>
  <c r="AM48" i="67"/>
  <c r="AE48" i="67"/>
  <c r="W48" i="67"/>
  <c r="O48" i="67"/>
  <c r="E48" i="67"/>
  <c r="AV31" i="67"/>
  <c r="AN31" i="67"/>
  <c r="AF31" i="67"/>
  <c r="X31" i="67"/>
  <c r="P31" i="67"/>
  <c r="G31" i="67"/>
  <c r="LZ30" i="67"/>
  <c r="LJ30" i="67"/>
  <c r="LB30" i="67"/>
  <c r="KT30" i="67"/>
  <c r="KL30" i="67"/>
  <c r="KD30" i="67"/>
  <c r="JV30" i="67"/>
  <c r="JN30" i="67"/>
  <c r="JF30" i="67"/>
  <c r="IX30" i="67"/>
  <c r="IP30" i="67"/>
  <c r="IH30" i="67"/>
  <c r="HZ30" i="67"/>
  <c r="HR30" i="67"/>
  <c r="HJ30" i="67"/>
  <c r="GS30" i="67"/>
  <c r="GK30" i="67"/>
  <c r="GC30" i="67"/>
  <c r="FU30" i="67"/>
  <c r="FM30" i="67"/>
  <c r="FE30" i="67"/>
  <c r="EW30" i="67"/>
  <c r="EO30" i="67"/>
  <c r="EG30" i="67"/>
  <c r="DY30" i="67"/>
  <c r="DQ30" i="67"/>
  <c r="DI30" i="67"/>
  <c r="DA30" i="67"/>
  <c r="CS30" i="67"/>
  <c r="CK30" i="67"/>
  <c r="CC30" i="67"/>
  <c r="BU30" i="67"/>
  <c r="BM30" i="67"/>
  <c r="BE30" i="67"/>
  <c r="AW30" i="67"/>
  <c r="AO30" i="67"/>
  <c r="Y30" i="67"/>
  <c r="P30" i="67"/>
  <c r="H30" i="67"/>
  <c r="LW48" i="67"/>
  <c r="LN48" i="67"/>
  <c r="LF48" i="67"/>
  <c r="KX48" i="67"/>
  <c r="KP48" i="67"/>
  <c r="KH48" i="67"/>
  <c r="JZ48" i="67"/>
  <c r="JR48" i="67"/>
  <c r="JJ48" i="67"/>
  <c r="JB48" i="67"/>
  <c r="IL48" i="67"/>
  <c r="ID48" i="67"/>
  <c r="HV48" i="67"/>
  <c r="HN48" i="67"/>
  <c r="GH48" i="67"/>
  <c r="FZ48" i="67"/>
  <c r="FR48" i="67"/>
  <c r="FJ48" i="67"/>
  <c r="FB48" i="67"/>
  <c r="ET48" i="67"/>
  <c r="EL48" i="67"/>
  <c r="ED48" i="67"/>
  <c r="DV48" i="67"/>
  <c r="DN48" i="67"/>
  <c r="DF48" i="67"/>
  <c r="CX48" i="67"/>
  <c r="CP48" i="67"/>
  <c r="CH48" i="67"/>
  <c r="BZ48" i="67"/>
  <c r="BR48" i="67"/>
  <c r="BJ48" i="67"/>
  <c r="BB48" i="67"/>
  <c r="AT48" i="67"/>
  <c r="AL48" i="67"/>
  <c r="AD48" i="67"/>
  <c r="V48" i="67"/>
  <c r="N48" i="67"/>
  <c r="D48" i="67"/>
  <c r="LR51" i="67"/>
  <c r="JU30" i="67"/>
  <c r="JM30" i="67"/>
  <c r="JE30" i="67"/>
  <c r="IW30" i="67"/>
  <c r="IO30" i="67"/>
  <c r="IG30" i="67"/>
  <c r="HY30" i="67"/>
  <c r="HQ30" i="67"/>
  <c r="HI30" i="67"/>
  <c r="GR30" i="67"/>
  <c r="GJ30" i="67"/>
  <c r="GB30" i="67"/>
  <c r="FT30" i="67"/>
  <c r="FL30" i="67"/>
  <c r="FD30" i="67"/>
  <c r="EV30" i="67"/>
  <c r="EN30" i="67"/>
  <c r="EF30" i="67"/>
  <c r="DX30" i="67"/>
  <c r="DP30" i="67"/>
  <c r="DH30" i="67"/>
  <c r="CZ30" i="67"/>
  <c r="CR30" i="67"/>
  <c r="CJ30" i="67"/>
  <c r="CB30" i="67"/>
  <c r="BT30" i="67"/>
  <c r="BL30" i="67"/>
  <c r="BD30" i="67"/>
  <c r="AV30" i="67"/>
  <c r="AN30" i="67"/>
  <c r="AF30" i="67"/>
  <c r="X30" i="67"/>
  <c r="O30" i="67"/>
  <c r="G30" i="67"/>
  <c r="LV48" i="67"/>
  <c r="LM48" i="67"/>
  <c r="LE48" i="67"/>
  <c r="KW48" i="67"/>
  <c r="KO48" i="67"/>
  <c r="KG48" i="67"/>
  <c r="JY48" i="67"/>
  <c r="JQ48" i="67"/>
  <c r="JI48" i="67"/>
  <c r="JA48" i="67"/>
  <c r="IK48" i="67"/>
  <c r="IC48" i="67"/>
  <c r="HU48" i="67"/>
  <c r="HM48" i="67"/>
  <c r="GG48" i="67"/>
  <c r="FY48" i="67"/>
  <c r="FQ48" i="67"/>
  <c r="FI48" i="67"/>
  <c r="FA48" i="67"/>
  <c r="ES48" i="67"/>
  <c r="EK48" i="67"/>
  <c r="EC48" i="67"/>
  <c r="DU48" i="67"/>
  <c r="DM48" i="67"/>
  <c r="DE48" i="67"/>
  <c r="CW48" i="67"/>
  <c r="CO48" i="67"/>
  <c r="CG48" i="67"/>
  <c r="BY48" i="67"/>
  <c r="BQ48" i="67"/>
  <c r="BI48" i="67"/>
  <c r="BA48" i="67"/>
  <c r="AS48" i="67"/>
  <c r="AK48" i="67"/>
  <c r="AC48" i="67"/>
  <c r="U48" i="67"/>
  <c r="M48" i="67"/>
  <c r="C48" i="67"/>
  <c r="LR25" i="67"/>
  <c r="LR48" i="67"/>
  <c r="LU48" i="67"/>
  <c r="LL48" i="67"/>
  <c r="LD48" i="67"/>
  <c r="KV48" i="67"/>
  <c r="KN48" i="67"/>
  <c r="KF48" i="67"/>
  <c r="JX48" i="67"/>
  <c r="JP48" i="67"/>
  <c r="JH48" i="67"/>
  <c r="IZ48" i="67"/>
  <c r="IJ48" i="67"/>
  <c r="IB48" i="67"/>
  <c r="HT48" i="67"/>
  <c r="HL48" i="67"/>
  <c r="GF48" i="67"/>
  <c r="FX48" i="67"/>
  <c r="FP48" i="67"/>
  <c r="FH48" i="67"/>
  <c r="EZ48" i="67"/>
  <c r="ER48" i="67"/>
  <c r="EJ48" i="67"/>
  <c r="EB48" i="67"/>
  <c r="DT48" i="67"/>
  <c r="DL48" i="67"/>
  <c r="DD48" i="67"/>
  <c r="CV48" i="67"/>
  <c r="CN48" i="67"/>
  <c r="CF48" i="67"/>
  <c r="BX48" i="67"/>
  <c r="BP48" i="67"/>
  <c r="BH48" i="67"/>
  <c r="AZ48" i="67"/>
  <c r="AR48" i="67"/>
  <c r="AJ48" i="67"/>
  <c r="AB48" i="67"/>
  <c r="T48" i="67"/>
  <c r="L48" i="67"/>
  <c r="B48" i="67"/>
  <c r="MA57" i="67"/>
  <c r="U31" i="67"/>
  <c r="M31" i="67"/>
  <c r="D31" i="67"/>
  <c r="LW30" i="67"/>
  <c r="LO30" i="67"/>
  <c r="LG30" i="67"/>
  <c r="KY30" i="67"/>
  <c r="KQ30" i="67"/>
  <c r="KI30" i="67"/>
  <c r="KA30" i="67"/>
  <c r="JS30" i="67"/>
  <c r="JK30" i="67"/>
  <c r="JC30" i="67"/>
  <c r="IU30" i="67"/>
  <c r="IM30" i="67"/>
  <c r="IE30" i="67"/>
  <c r="HW30" i="67"/>
  <c r="HO30" i="67"/>
  <c r="M30" i="67"/>
  <c r="E30" i="67"/>
  <c r="LT48" i="67"/>
  <c r="LK48" i="67"/>
  <c r="LC48" i="67"/>
  <c r="KU48" i="67"/>
  <c r="KM48" i="67"/>
  <c r="KE48" i="67"/>
  <c r="JW48" i="67"/>
  <c r="JO48" i="67"/>
  <c r="JG48" i="67"/>
  <c r="II48" i="67"/>
  <c r="IA48" i="67"/>
  <c r="HS48" i="67"/>
  <c r="HK48" i="67"/>
  <c r="GM48" i="67"/>
  <c r="GE48" i="67"/>
  <c r="FW48" i="67"/>
  <c r="FO48" i="67"/>
  <c r="FG48" i="67"/>
  <c r="EY48" i="67"/>
  <c r="EQ48" i="67"/>
  <c r="EI48" i="67"/>
  <c r="EA48" i="67"/>
  <c r="DS48" i="67"/>
  <c r="DK48" i="67"/>
  <c r="DC48" i="67"/>
  <c r="CU48" i="67"/>
  <c r="CM48" i="67"/>
  <c r="CE48" i="67"/>
  <c r="BW48" i="67"/>
  <c r="BO48" i="67"/>
  <c r="BG48" i="67"/>
  <c r="AY48" i="67"/>
  <c r="AQ48" i="67"/>
  <c r="AI48" i="67"/>
  <c r="AA48" i="67"/>
  <c r="S48" i="67"/>
  <c r="K48" i="67"/>
  <c r="A48" i="67"/>
  <c r="FN57" i="67"/>
  <c r="LU59" i="67"/>
  <c r="JQ59" i="67"/>
  <c r="JI59" i="67"/>
  <c r="HU59" i="67"/>
  <c r="HM59" i="67"/>
  <c r="GW59" i="67"/>
  <c r="GO59" i="67"/>
  <c r="GG59" i="67"/>
  <c r="FY59" i="67"/>
  <c r="FQ59" i="67"/>
  <c r="FI59" i="67"/>
  <c r="FA59" i="67"/>
  <c r="ES59" i="67"/>
  <c r="EK59" i="67"/>
  <c r="EC59" i="67"/>
  <c r="DU59" i="67"/>
  <c r="DM59" i="67"/>
  <c r="DE59" i="67"/>
  <c r="CW59" i="67"/>
  <c r="CO59" i="67"/>
  <c r="CG59" i="67"/>
  <c r="BY59" i="67"/>
  <c r="BQ59" i="67"/>
  <c r="BI59" i="67"/>
  <c r="BA59" i="67"/>
  <c r="AS59" i="67"/>
  <c r="AK59" i="67"/>
  <c r="AC59" i="67"/>
  <c r="U59" i="67"/>
  <c r="M59" i="67"/>
  <c r="E59" i="67"/>
  <c r="HF63" i="67"/>
  <c r="LT59" i="67"/>
  <c r="JP59" i="67"/>
  <c r="JH59" i="67"/>
  <c r="IZ59" i="67"/>
  <c r="HT59" i="67"/>
  <c r="HL59" i="67"/>
  <c r="GV59" i="67"/>
  <c r="GN59" i="67"/>
  <c r="GF59" i="67"/>
  <c r="FX59" i="67"/>
  <c r="FP59" i="67"/>
  <c r="FH59" i="67"/>
  <c r="EZ59" i="67"/>
  <c r="ER59" i="67"/>
  <c r="EJ59" i="67"/>
  <c r="EB59" i="67"/>
  <c r="DT59" i="67"/>
  <c r="DL59" i="67"/>
  <c r="DD59" i="67"/>
  <c r="CV59" i="67"/>
  <c r="CN59" i="67"/>
  <c r="CF59" i="67"/>
  <c r="BX59" i="67"/>
  <c r="BP59" i="67"/>
  <c r="BH59" i="67"/>
  <c r="AZ59" i="67"/>
  <c r="AR59" i="67"/>
  <c r="AJ59" i="67"/>
  <c r="AB59" i="67"/>
  <c r="T59" i="67"/>
  <c r="L59" i="67"/>
  <c r="D59" i="67"/>
  <c r="HE63" i="67"/>
  <c r="LS59" i="67"/>
  <c r="KE59" i="67"/>
  <c r="JO59" i="67"/>
  <c r="HS59" i="67"/>
  <c r="HK59" i="67"/>
  <c r="GU59" i="67"/>
  <c r="GM59" i="67"/>
  <c r="GE59" i="67"/>
  <c r="FW59" i="67"/>
  <c r="FO59" i="67"/>
  <c r="FG59" i="67"/>
  <c r="EY59" i="67"/>
  <c r="EQ59" i="67"/>
  <c r="EI59" i="67"/>
  <c r="EA59" i="67"/>
  <c r="DS59" i="67"/>
  <c r="DK59" i="67"/>
  <c r="DC59" i="67"/>
  <c r="CU59" i="67"/>
  <c r="CM59" i="67"/>
  <c r="CE59" i="67"/>
  <c r="BW59" i="67"/>
  <c r="BO59" i="67"/>
  <c r="BG59" i="67"/>
  <c r="AY59" i="67"/>
  <c r="AQ59" i="67"/>
  <c r="AI59" i="67"/>
  <c r="AA59" i="67"/>
  <c r="S59" i="67"/>
  <c r="K59" i="67"/>
  <c r="C59" i="67"/>
  <c r="J56" i="67"/>
  <c r="HD63" i="67"/>
  <c r="LZ59" i="67"/>
  <c r="KD59" i="67"/>
  <c r="JN59" i="67"/>
  <c r="HR59" i="67"/>
  <c r="HJ59" i="67"/>
  <c r="GT59" i="67"/>
  <c r="GL59" i="67"/>
  <c r="GD59" i="67"/>
  <c r="FV59" i="67"/>
  <c r="FN59" i="67"/>
  <c r="FF59" i="67"/>
  <c r="EX59" i="67"/>
  <c r="EP59" i="67"/>
  <c r="EH59" i="67"/>
  <c r="DZ59" i="67"/>
  <c r="DR59" i="67"/>
  <c r="DJ59" i="67"/>
  <c r="DB59" i="67"/>
  <c r="CT59" i="67"/>
  <c r="CL59" i="67"/>
  <c r="CD59" i="67"/>
  <c r="BV59" i="67"/>
  <c r="BN59" i="67"/>
  <c r="BF59" i="67"/>
  <c r="AX59" i="67"/>
  <c r="AP59" i="67"/>
  <c r="AH59" i="67"/>
  <c r="Z59" i="67"/>
  <c r="R59" i="67"/>
  <c r="J59" i="67"/>
  <c r="B59" i="67"/>
  <c r="HC63" i="67"/>
  <c r="LY59" i="67"/>
  <c r="LQ59" i="67"/>
  <c r="LA59" i="67"/>
  <c r="KS59" i="67"/>
  <c r="JM59" i="67"/>
  <c r="HQ59" i="67"/>
  <c r="HI59" i="67"/>
  <c r="GS59" i="67"/>
  <c r="GK59" i="67"/>
  <c r="GC59" i="67"/>
  <c r="FU59" i="67"/>
  <c r="FM59" i="67"/>
  <c r="FE59" i="67"/>
  <c r="EW59" i="67"/>
  <c r="EO59" i="67"/>
  <c r="EG59" i="67"/>
  <c r="DY59" i="67"/>
  <c r="DQ59" i="67"/>
  <c r="DI59" i="67"/>
  <c r="DA59" i="67"/>
  <c r="CS59" i="67"/>
  <c r="CK59" i="67"/>
  <c r="CC59" i="67"/>
  <c r="BU59" i="67"/>
  <c r="BM59" i="67"/>
  <c r="BE59" i="67"/>
  <c r="AW59" i="67"/>
  <c r="AO59" i="67"/>
  <c r="Y59" i="67"/>
  <c r="Q59" i="67"/>
  <c r="I59" i="67"/>
  <c r="A59" i="67"/>
  <c r="HB63" i="67"/>
  <c r="G58" i="67"/>
  <c r="LX59" i="67"/>
  <c r="LP59" i="67"/>
  <c r="JL59" i="67"/>
  <c r="HP59" i="67"/>
  <c r="HH59" i="67"/>
  <c r="GR59" i="67"/>
  <c r="GJ59" i="67"/>
  <c r="GB59" i="67"/>
  <c r="FT59" i="67"/>
  <c r="FL59" i="67"/>
  <c r="FD59" i="67"/>
  <c r="EV59" i="67"/>
  <c r="EN59" i="67"/>
  <c r="EF59" i="67"/>
  <c r="DX59" i="67"/>
  <c r="DP59" i="67"/>
  <c r="DH59" i="67"/>
  <c r="CZ59" i="67"/>
  <c r="CR59" i="67"/>
  <c r="CJ59" i="67"/>
  <c r="CB59" i="67"/>
  <c r="BT59" i="67"/>
  <c r="BL59" i="67"/>
  <c r="BD59" i="67"/>
  <c r="AV59" i="67"/>
  <c r="AN59" i="67"/>
  <c r="AF59" i="67"/>
  <c r="X59" i="67"/>
  <c r="P59" i="67"/>
  <c r="H59" i="67"/>
  <c r="HA63" i="67"/>
  <c r="I30" i="67"/>
  <c r="I56" i="67"/>
  <c r="LX58" i="67"/>
  <c r="I16" i="67"/>
  <c r="I58" i="67"/>
  <c r="LW59" i="67"/>
  <c r="JS59" i="67"/>
  <c r="JK59" i="67"/>
  <c r="IM59" i="67"/>
  <c r="HW59" i="67"/>
  <c r="HO59" i="67"/>
  <c r="GY59" i="67"/>
  <c r="GQ59" i="67"/>
  <c r="GI59" i="67"/>
  <c r="GA59" i="67"/>
  <c r="FS59" i="67"/>
  <c r="FK59" i="67"/>
  <c r="FC59" i="67"/>
  <c r="EU59" i="67"/>
  <c r="EM59" i="67"/>
  <c r="EE59" i="67"/>
  <c r="DW59" i="67"/>
  <c r="DO59" i="67"/>
  <c r="DG59" i="67"/>
  <c r="CY59" i="67"/>
  <c r="CQ59" i="67"/>
  <c r="CI59" i="67"/>
  <c r="CA59" i="67"/>
  <c r="BS59" i="67"/>
  <c r="BK59" i="67"/>
  <c r="BC59" i="67"/>
  <c r="AU59" i="67"/>
  <c r="AM59" i="67"/>
  <c r="AE59" i="67"/>
  <c r="W59" i="67"/>
  <c r="O59" i="67"/>
  <c r="G59" i="67"/>
  <c r="GZ63" i="67"/>
  <c r="LO58" i="67"/>
  <c r="LG58" i="67"/>
  <c r="KY58" i="67"/>
  <c r="KQ58" i="67"/>
  <c r="KI58" i="67"/>
  <c r="KA58" i="67"/>
  <c r="JS58" i="67"/>
  <c r="JK58" i="67"/>
  <c r="JC58" i="67"/>
  <c r="IU58" i="67"/>
  <c r="IM58" i="67"/>
  <c r="IE58" i="67"/>
  <c r="HW58" i="67"/>
  <c r="HO58" i="67"/>
  <c r="GY58" i="67"/>
  <c r="GQ58" i="67"/>
  <c r="GI58" i="67"/>
  <c r="GA58" i="67"/>
  <c r="FS58" i="67"/>
  <c r="FK58" i="67"/>
  <c r="FC58" i="67"/>
  <c r="EU58" i="67"/>
  <c r="EM58" i="67"/>
  <c r="EE58" i="67"/>
  <c r="DW58" i="67"/>
  <c r="DO58" i="67"/>
  <c r="DG58" i="67"/>
  <c r="CY58" i="67"/>
  <c r="CQ58" i="67"/>
  <c r="CI58" i="67"/>
  <c r="CA58" i="67"/>
  <c r="BS58" i="67"/>
  <c r="BK58" i="67"/>
  <c r="BC58" i="67"/>
  <c r="AU58" i="67"/>
  <c r="AM58" i="67"/>
  <c r="AE58" i="67"/>
  <c r="W58" i="67"/>
  <c r="O58" i="67"/>
  <c r="LV59" i="67"/>
  <c r="LN59" i="67"/>
  <c r="JR59" i="67"/>
  <c r="JJ59" i="67"/>
  <c r="HV59" i="67"/>
  <c r="HN59" i="67"/>
  <c r="GX59" i="67"/>
  <c r="GP59" i="67"/>
  <c r="GH59" i="67"/>
  <c r="FZ59" i="67"/>
  <c r="FR59" i="67"/>
  <c r="FJ59" i="67"/>
  <c r="FB59" i="67"/>
  <c r="ET59" i="67"/>
  <c r="EL59" i="67"/>
  <c r="ED59" i="67"/>
  <c r="DV59" i="67"/>
  <c r="DN59" i="67"/>
  <c r="DF59" i="67"/>
  <c r="CX59" i="67"/>
  <c r="CP59" i="67"/>
  <c r="CH59" i="67"/>
  <c r="BZ59" i="67"/>
  <c r="BR59" i="67"/>
  <c r="BJ59" i="67"/>
  <c r="BB59" i="67"/>
  <c r="AT59" i="67"/>
  <c r="AL59" i="67"/>
  <c r="AD59" i="67"/>
  <c r="V59" i="67"/>
  <c r="N59" i="67"/>
  <c r="F59" i="67"/>
  <c r="HG63" i="67"/>
  <c r="LV51" i="67"/>
  <c r="LN51" i="67"/>
  <c r="LF51" i="67"/>
  <c r="KX51" i="67"/>
  <c r="KP51" i="67"/>
  <c r="KH51" i="67"/>
  <c r="JZ51" i="67"/>
  <c r="JR51" i="67"/>
  <c r="JJ51" i="67"/>
  <c r="JB51" i="67"/>
  <c r="IT51" i="67"/>
  <c r="IL51" i="67"/>
  <c r="ID51" i="67"/>
  <c r="HV51" i="67"/>
  <c r="HN51" i="67"/>
  <c r="GX51" i="67"/>
  <c r="GP51" i="67"/>
  <c r="GH51" i="67"/>
  <c r="FZ51" i="67"/>
  <c r="FR51" i="67"/>
  <c r="FJ51" i="67"/>
  <c r="FB51" i="67"/>
  <c r="ET51" i="67"/>
  <c r="EL51" i="67"/>
  <c r="ED51" i="67"/>
  <c r="DV51" i="67"/>
  <c r="DN51" i="67"/>
  <c r="DF51" i="67"/>
  <c r="CX51" i="67"/>
  <c r="CP51" i="67"/>
  <c r="CH51" i="67"/>
  <c r="BZ51" i="67"/>
  <c r="BR51" i="67"/>
  <c r="BJ51" i="67"/>
  <c r="BB51" i="67"/>
  <c r="AT51" i="67"/>
  <c r="AL51" i="67"/>
  <c r="AD51" i="67"/>
  <c r="L51" i="67"/>
  <c r="C51" i="67"/>
  <c r="LU51" i="67"/>
  <c r="LM51" i="67"/>
  <c r="LE51" i="67"/>
  <c r="KW51" i="67"/>
  <c r="KO51" i="67"/>
  <c r="KG51" i="67"/>
  <c r="JY51" i="67"/>
  <c r="JA51" i="67"/>
  <c r="IS51" i="67"/>
  <c r="IK51" i="67"/>
  <c r="IC51" i="67"/>
  <c r="HU51" i="67"/>
  <c r="HM51" i="67"/>
  <c r="GW51" i="67"/>
  <c r="GO51" i="67"/>
  <c r="GG51" i="67"/>
  <c r="FY51" i="67"/>
  <c r="FQ51" i="67"/>
  <c r="FI51" i="67"/>
  <c r="FA51" i="67"/>
  <c r="ES51" i="67"/>
  <c r="EK51" i="67"/>
  <c r="EC51" i="67"/>
  <c r="DU51" i="67"/>
  <c r="DM51" i="67"/>
  <c r="DE51" i="67"/>
  <c r="CW51" i="67"/>
  <c r="CO51" i="67"/>
  <c r="CG51" i="67"/>
  <c r="BY51" i="67"/>
  <c r="BQ51" i="67"/>
  <c r="BI51" i="67"/>
  <c r="BA51" i="67"/>
  <c r="AS51" i="67"/>
  <c r="AK51" i="67"/>
  <c r="AC51" i="67"/>
  <c r="S51" i="67"/>
  <c r="K51" i="67"/>
  <c r="B51" i="67"/>
  <c r="LT51" i="67"/>
  <c r="LL51" i="67"/>
  <c r="LD51" i="67"/>
  <c r="KV51" i="67"/>
  <c r="KN51" i="67"/>
  <c r="KF51" i="67"/>
  <c r="JX51" i="67"/>
  <c r="JP51" i="67"/>
  <c r="JH51" i="67"/>
  <c r="IZ51" i="67"/>
  <c r="IR51" i="67"/>
  <c r="IJ51" i="67"/>
  <c r="IB51" i="67"/>
  <c r="HT51" i="67"/>
  <c r="HL51" i="67"/>
  <c r="GV51" i="67"/>
  <c r="GN51" i="67"/>
  <c r="GF51" i="67"/>
  <c r="FX51" i="67"/>
  <c r="FP51" i="67"/>
  <c r="FH51" i="67"/>
  <c r="EZ51" i="67"/>
  <c r="ER51" i="67"/>
  <c r="EJ51" i="67"/>
  <c r="EB51" i="67"/>
  <c r="DT51" i="67"/>
  <c r="DL51" i="67"/>
  <c r="DD51" i="67"/>
  <c r="CV51" i="67"/>
  <c r="CN51" i="67"/>
  <c r="CF51" i="67"/>
  <c r="BX51" i="67"/>
  <c r="BP51" i="67"/>
  <c r="BH51" i="67"/>
  <c r="AZ51" i="67"/>
  <c r="AR51" i="67"/>
  <c r="AJ51" i="67"/>
  <c r="AB51" i="67"/>
  <c r="R51" i="67"/>
  <c r="I51" i="67"/>
  <c r="A51" i="67"/>
  <c r="HG49" i="67"/>
  <c r="LS51" i="67"/>
  <c r="LK51" i="67"/>
  <c r="LC51" i="67"/>
  <c r="KU51" i="67"/>
  <c r="KM51" i="67"/>
  <c r="KE51" i="67"/>
  <c r="JW51" i="67"/>
  <c r="JO51" i="67"/>
  <c r="JG51" i="67"/>
  <c r="IY51" i="67"/>
  <c r="IQ51" i="67"/>
  <c r="II51" i="67"/>
  <c r="IA51" i="67"/>
  <c r="HS51" i="67"/>
  <c r="HK51" i="67"/>
  <c r="GU51" i="67"/>
  <c r="GM51" i="67"/>
  <c r="GE51" i="67"/>
  <c r="FW51" i="67"/>
  <c r="FO51" i="67"/>
  <c r="FG51" i="67"/>
  <c r="EY51" i="67"/>
  <c r="EQ51" i="67"/>
  <c r="EI51" i="67"/>
  <c r="EA51" i="67"/>
  <c r="DS51" i="67"/>
  <c r="DK51" i="67"/>
  <c r="DC51" i="67"/>
  <c r="CU51" i="67"/>
  <c r="CM51" i="67"/>
  <c r="CE51" i="67"/>
  <c r="BW51" i="67"/>
  <c r="BO51" i="67"/>
  <c r="BG51" i="67"/>
  <c r="AY51" i="67"/>
  <c r="AQ51" i="67"/>
  <c r="AI51" i="67"/>
  <c r="AA51" i="67"/>
  <c r="Q51" i="67"/>
  <c r="H51" i="67"/>
  <c r="LZ51" i="67"/>
  <c r="LJ51" i="67"/>
  <c r="LB51" i="67"/>
  <c r="KT51" i="67"/>
  <c r="KL51" i="67"/>
  <c r="KD51" i="67"/>
  <c r="JV51" i="67"/>
  <c r="JN51" i="67"/>
  <c r="JF51" i="67"/>
  <c r="IX51" i="67"/>
  <c r="IP51" i="67"/>
  <c r="IH51" i="67"/>
  <c r="HZ51" i="67"/>
  <c r="HR51" i="67"/>
  <c r="HJ51" i="67"/>
  <c r="GT51" i="67"/>
  <c r="GL51" i="67"/>
  <c r="GD51" i="67"/>
  <c r="FV51" i="67"/>
  <c r="FN51" i="67"/>
  <c r="FF51" i="67"/>
  <c r="EX51" i="67"/>
  <c r="EP51" i="67"/>
  <c r="EH51" i="67"/>
  <c r="DZ51" i="67"/>
  <c r="DR51" i="67"/>
  <c r="DJ51" i="67"/>
  <c r="DB51" i="67"/>
  <c r="CT51" i="67"/>
  <c r="CL51" i="67"/>
  <c r="CD51" i="67"/>
  <c r="BV51" i="67"/>
  <c r="BN51" i="67"/>
  <c r="BF51" i="67"/>
  <c r="AX51" i="67"/>
  <c r="AP51" i="67"/>
  <c r="AH51" i="67"/>
  <c r="Z51" i="67"/>
  <c r="P51" i="67"/>
  <c r="G51" i="67"/>
  <c r="LY51" i="67"/>
  <c r="LQ51" i="67"/>
  <c r="LI51" i="67"/>
  <c r="LA51" i="67"/>
  <c r="KS51" i="67"/>
  <c r="KK51" i="67"/>
  <c r="KC51" i="67"/>
  <c r="JU51" i="67"/>
  <c r="JM51" i="67"/>
  <c r="JE51" i="67"/>
  <c r="IW51" i="67"/>
  <c r="IO51" i="67"/>
  <c r="IG51" i="67"/>
  <c r="HY51" i="67"/>
  <c r="HQ51" i="67"/>
  <c r="HI51" i="67"/>
  <c r="GS51" i="67"/>
  <c r="GK51" i="67"/>
  <c r="GC51" i="67"/>
  <c r="FU51" i="67"/>
  <c r="FM51" i="67"/>
  <c r="FE51" i="67"/>
  <c r="EW51" i="67"/>
  <c r="EO51" i="67"/>
  <c r="EG51" i="67"/>
  <c r="DY51" i="67"/>
  <c r="DQ51" i="67"/>
  <c r="DI51" i="67"/>
  <c r="DA51" i="67"/>
  <c r="CS51" i="67"/>
  <c r="CK51" i="67"/>
  <c r="CC51" i="67"/>
  <c r="BU51" i="67"/>
  <c r="BM51" i="67"/>
  <c r="BE51" i="67"/>
  <c r="AW51" i="67"/>
  <c r="AO51" i="67"/>
  <c r="Y51" i="67"/>
  <c r="O51" i="67"/>
  <c r="F51" i="67"/>
  <c r="LX51" i="67"/>
  <c r="LP51" i="67"/>
  <c r="LH51" i="67"/>
  <c r="KZ51" i="67"/>
  <c r="KR51" i="67"/>
  <c r="KJ51" i="67"/>
  <c r="KB51" i="67"/>
  <c r="JT51" i="67"/>
  <c r="JL51" i="67"/>
  <c r="JD51" i="67"/>
  <c r="IV51" i="67"/>
  <c r="IN51" i="67"/>
  <c r="IF51" i="67"/>
  <c r="HX51" i="67"/>
  <c r="HP51" i="67"/>
  <c r="HH51" i="67"/>
  <c r="GR51" i="67"/>
  <c r="GJ51" i="67"/>
  <c r="GB51" i="67"/>
  <c r="FT51" i="67"/>
  <c r="FL51" i="67"/>
  <c r="FD51" i="67"/>
  <c r="EV51" i="67"/>
  <c r="EN51" i="67"/>
  <c r="EF51" i="67"/>
  <c r="DX51" i="67"/>
  <c r="DP51" i="67"/>
  <c r="DH51" i="67"/>
  <c r="CZ51" i="67"/>
  <c r="CR51" i="67"/>
  <c r="CJ51" i="67"/>
  <c r="CB51" i="67"/>
  <c r="BT51" i="67"/>
  <c r="BL51" i="67"/>
  <c r="BD51" i="67"/>
  <c r="AV51" i="67"/>
  <c r="AN51" i="67"/>
  <c r="AF51" i="67"/>
  <c r="X51" i="67"/>
  <c r="N51" i="67"/>
  <c r="E51" i="67"/>
  <c r="LW51" i="67"/>
  <c r="LO51" i="67"/>
  <c r="LG51" i="67"/>
  <c r="KY51" i="67"/>
  <c r="KQ51" i="67"/>
  <c r="KI51" i="67"/>
  <c r="KA51" i="67"/>
  <c r="JK51" i="67"/>
  <c r="JC51" i="67"/>
  <c r="IU51" i="67"/>
  <c r="IM51" i="67"/>
  <c r="IE51" i="67"/>
  <c r="HW51" i="67"/>
  <c r="HO51" i="67"/>
  <c r="GY51" i="67"/>
  <c r="GQ51" i="67"/>
  <c r="GI51" i="67"/>
  <c r="GA51" i="67"/>
  <c r="FS51" i="67"/>
  <c r="FK51" i="67"/>
  <c r="FC51" i="67"/>
  <c r="EU51" i="67"/>
  <c r="EM51" i="67"/>
  <c r="EE51" i="67"/>
  <c r="DW51" i="67"/>
  <c r="DO51" i="67"/>
  <c r="DG51" i="67"/>
  <c r="CY51" i="67"/>
  <c r="CQ51" i="67"/>
  <c r="CI51" i="67"/>
  <c r="CA51" i="67"/>
  <c r="BS51" i="67"/>
  <c r="BK51" i="67"/>
  <c r="BC51" i="67"/>
  <c r="AU51" i="67"/>
  <c r="AM51" i="67"/>
  <c r="AE51" i="67"/>
  <c r="M51" i="67"/>
  <c r="D51" i="67"/>
  <c r="J27" i="67"/>
  <c r="J31" i="67"/>
  <c r="BZ36" i="67"/>
  <c r="LT36" i="67"/>
  <c r="LL36" i="67"/>
  <c r="LD36" i="67"/>
  <c r="KV36" i="67"/>
  <c r="KN36" i="67"/>
  <c r="KF36" i="67"/>
  <c r="JX36" i="67"/>
  <c r="JP36" i="67"/>
  <c r="LJ50" i="67"/>
  <c r="LB50" i="67"/>
  <c r="KT50" i="67"/>
  <c r="KL50" i="67"/>
  <c r="KD50" i="67"/>
  <c r="JV50" i="67"/>
  <c r="JN50" i="67"/>
  <c r="JF50" i="67"/>
  <c r="IX50" i="67"/>
  <c r="IP50" i="67"/>
  <c r="IH50" i="67"/>
  <c r="HZ50" i="67"/>
  <c r="HR50" i="67"/>
  <c r="HJ50" i="67"/>
  <c r="HB50" i="67"/>
  <c r="GT50" i="67"/>
  <c r="GL50" i="67"/>
  <c r="GD50" i="67"/>
  <c r="FV50" i="67"/>
  <c r="FN50" i="67"/>
  <c r="FF50" i="67"/>
  <c r="EX50" i="67"/>
  <c r="EP50" i="67"/>
  <c r="EH50" i="67"/>
  <c r="DZ50" i="67"/>
  <c r="DR50" i="67"/>
  <c r="DJ50" i="67"/>
  <c r="DB50" i="67"/>
  <c r="CT50" i="67"/>
  <c r="CL50" i="67"/>
  <c r="CD50" i="67"/>
  <c r="BV50" i="67"/>
  <c r="BN50" i="67"/>
  <c r="BF50" i="67"/>
  <c r="AX50" i="67"/>
  <c r="AP50" i="67"/>
  <c r="JG36" i="67"/>
  <c r="BO36" i="67"/>
  <c r="BG36" i="67"/>
  <c r="AY36" i="67"/>
  <c r="AQ36" i="67"/>
  <c r="AI36" i="67"/>
  <c r="AA36" i="67"/>
  <c r="S36" i="67"/>
  <c r="K36" i="67"/>
  <c r="LZ50" i="67"/>
  <c r="A50" i="67"/>
  <c r="B36" i="67"/>
  <c r="EZ57" i="67"/>
  <c r="ER57" i="67"/>
  <c r="EJ57" i="67"/>
  <c r="EB57" i="67"/>
  <c r="DT57" i="67"/>
  <c r="DL57" i="67"/>
  <c r="DD57" i="67"/>
  <c r="CV57" i="67"/>
  <c r="CN57" i="67"/>
  <c r="CF57" i="67"/>
  <c r="BX57" i="67"/>
  <c r="BP57" i="67"/>
  <c r="BH57" i="67"/>
  <c r="AZ57" i="67"/>
  <c r="LV61" i="67"/>
  <c r="FH57" i="67"/>
  <c r="CC64" i="67"/>
  <c r="BU64" i="67"/>
  <c r="BM64" i="67"/>
  <c r="BE64" i="67"/>
  <c r="AW64" i="67"/>
  <c r="AO64" i="67"/>
  <c r="Y64" i="67"/>
  <c r="Q64" i="67"/>
  <c r="I64" i="67"/>
  <c r="A64" i="67"/>
  <c r="AH50" i="67"/>
  <c r="Z50" i="67"/>
  <c r="R50" i="67"/>
  <c r="J50" i="67"/>
  <c r="LM61" i="67"/>
  <c r="LE61" i="67"/>
  <c r="KW61" i="67"/>
  <c r="KO61" i="67"/>
  <c r="KG61" i="67"/>
  <c r="JY61" i="67"/>
  <c r="JQ61" i="67"/>
  <c r="JI61" i="67"/>
  <c r="JA61" i="67"/>
  <c r="IS61" i="67"/>
  <c r="IK61" i="67"/>
  <c r="IC61" i="67"/>
  <c r="HU61" i="67"/>
  <c r="HM61" i="67"/>
  <c r="GW61" i="67"/>
  <c r="GO61" i="67"/>
  <c r="GG61" i="67"/>
  <c r="FY61" i="67"/>
  <c r="FQ61" i="67"/>
  <c r="FI61" i="67"/>
  <c r="FA61" i="67"/>
  <c r="ES61" i="67"/>
  <c r="EK61" i="67"/>
  <c r="EC61" i="67"/>
  <c r="DU61" i="67"/>
  <c r="DM61" i="67"/>
  <c r="DE61" i="67"/>
  <c r="CW61" i="67"/>
  <c r="CO61" i="67"/>
  <c r="CG61" i="67"/>
  <c r="BY61" i="67"/>
  <c r="BQ61" i="67"/>
  <c r="BI61" i="67"/>
  <c r="BA61" i="67"/>
  <c r="AS61" i="67"/>
  <c r="AK61" i="67"/>
  <c r="AC61" i="67"/>
  <c r="U61" i="67"/>
  <c r="M61" i="67"/>
  <c r="E61" i="67"/>
  <c r="AP57" i="67"/>
  <c r="LX64" i="67"/>
  <c r="LP64" i="67"/>
  <c r="LH64" i="67"/>
  <c r="KZ64" i="67"/>
  <c r="KR64" i="67"/>
  <c r="KJ64" i="67"/>
  <c r="KB64" i="67"/>
  <c r="JT64" i="67"/>
  <c r="JL64" i="67"/>
  <c r="JD64" i="67"/>
  <c r="IV64" i="67"/>
  <c r="IN64" i="67"/>
  <c r="IF64" i="67"/>
  <c r="HX64" i="67"/>
  <c r="HP64" i="67"/>
  <c r="HH64" i="67"/>
  <c r="GZ64" i="67"/>
  <c r="GR64" i="67"/>
  <c r="GJ64" i="67"/>
  <c r="GB64" i="67"/>
  <c r="FT64" i="67"/>
  <c r="FL64" i="67"/>
  <c r="FD64" i="67"/>
  <c r="EV64" i="67"/>
  <c r="EN64" i="67"/>
  <c r="EF64" i="67"/>
  <c r="DX64" i="67"/>
  <c r="DP64" i="67"/>
  <c r="DH64" i="67"/>
  <c r="CZ64" i="67"/>
  <c r="CR64" i="67"/>
  <c r="CJ64" i="67"/>
  <c r="CB64" i="67"/>
  <c r="BT64" i="67"/>
  <c r="BL64" i="67"/>
  <c r="BD64" i="67"/>
  <c r="AV64" i="67"/>
  <c r="AN64" i="67"/>
  <c r="AF64" i="67"/>
  <c r="X64" i="67"/>
  <c r="LT57" i="67"/>
  <c r="LL57" i="67"/>
  <c r="LD57" i="67"/>
  <c r="KV57" i="67"/>
  <c r="KN57" i="67"/>
  <c r="KF57" i="67"/>
  <c r="JX57" i="67"/>
  <c r="JP57" i="67"/>
  <c r="JH57" i="67"/>
  <c r="IZ57" i="67"/>
  <c r="IR57" i="67"/>
  <c r="IJ57" i="67"/>
  <c r="IB57" i="67"/>
  <c r="HT57" i="67"/>
  <c r="HL57" i="67"/>
  <c r="GV57" i="67"/>
  <c r="GN57" i="67"/>
  <c r="GF57" i="67"/>
  <c r="FX57" i="67"/>
  <c r="FP57" i="67"/>
  <c r="AF57" i="67"/>
  <c r="X57" i="67"/>
  <c r="P57" i="67"/>
  <c r="H57" i="67"/>
  <c r="LK31" i="67"/>
  <c r="LC31" i="67"/>
  <c r="KU31" i="67"/>
  <c r="KM31" i="67"/>
  <c r="KE31" i="67"/>
  <c r="JW31" i="67"/>
  <c r="JO31" i="67"/>
  <c r="JG31" i="67"/>
  <c r="IY31" i="67"/>
  <c r="IQ31" i="67"/>
  <c r="II31" i="67"/>
  <c r="IA31" i="67"/>
  <c r="HS31" i="67"/>
  <c r="HK31" i="67"/>
  <c r="GU31" i="67"/>
  <c r="GM31" i="67"/>
  <c r="GE31" i="67"/>
  <c r="FW31" i="67"/>
  <c r="FO31" i="67"/>
  <c r="FG31" i="67"/>
  <c r="EY31" i="67"/>
  <c r="EQ31" i="67"/>
  <c r="EI31" i="67"/>
  <c r="EA31" i="67"/>
  <c r="DS31" i="67"/>
  <c r="DK31" i="67"/>
  <c r="DC31" i="67"/>
  <c r="CU31" i="67"/>
  <c r="CM31" i="67"/>
  <c r="BW31" i="67"/>
  <c r="BO31" i="67"/>
  <c r="BG31" i="67"/>
  <c r="AY31" i="67"/>
  <c r="AQ31" i="67"/>
  <c r="AI31" i="67"/>
  <c r="AA31" i="67"/>
  <c r="S31" i="67"/>
  <c r="K31" i="67"/>
  <c r="C31" i="67"/>
  <c r="AE57" i="67"/>
  <c r="W57" i="67"/>
  <c r="O57" i="67"/>
  <c r="G57" i="67"/>
  <c r="MA31" i="67"/>
  <c r="LS31" i="67"/>
  <c r="R31" i="67"/>
  <c r="B31" i="67"/>
  <c r="S30" i="67"/>
  <c r="K30" i="67"/>
  <c r="C30" i="67"/>
  <c r="GZ24" i="67"/>
  <c r="HG24" i="67"/>
  <c r="HD24" i="67"/>
  <c r="HC24" i="67"/>
  <c r="HD31" i="67"/>
  <c r="HD28" i="67"/>
  <c r="AG36" i="67"/>
  <c r="L17" i="71"/>
  <c r="HC31" i="67"/>
  <c r="HC28" i="67"/>
  <c r="L12" i="71"/>
  <c r="LV29" i="67"/>
  <c r="LN29" i="67"/>
  <c r="LF29" i="67"/>
  <c r="KX29" i="67"/>
  <c r="KP29" i="67"/>
  <c r="KH29" i="67"/>
  <c r="JZ29" i="67"/>
  <c r="JR29" i="67"/>
  <c r="JJ29" i="67"/>
  <c r="JB29" i="67"/>
  <c r="IT29" i="67"/>
  <c r="IL29" i="67"/>
  <c r="ID29" i="67"/>
  <c r="HV29" i="67"/>
  <c r="HN29" i="67"/>
  <c r="L51" i="71"/>
  <c r="HA31" i="67"/>
  <c r="HA28" i="67"/>
  <c r="AG31" i="67"/>
  <c r="L14" i="71"/>
  <c r="GZ31" i="67"/>
  <c r="GZ28" i="67"/>
  <c r="U36" i="67"/>
  <c r="U42" i="67"/>
  <c r="L50" i="71"/>
  <c r="HG31" i="67"/>
  <c r="HG28" i="67"/>
  <c r="T36" i="67"/>
  <c r="T42" i="67"/>
  <c r="HF31" i="67"/>
  <c r="HF28" i="67"/>
  <c r="AG37" i="67"/>
  <c r="AG50" i="67"/>
  <c r="L57" i="71"/>
  <c r="HE31" i="67"/>
  <c r="HE28" i="67"/>
  <c r="LY29" i="67"/>
  <c r="LQ29" i="67"/>
  <c r="LI29" i="67"/>
  <c r="LA29" i="67"/>
  <c r="KS29" i="67"/>
  <c r="KK29" i="67"/>
  <c r="KC29" i="67"/>
  <c r="JU29" i="67"/>
  <c r="JM29" i="67"/>
  <c r="JE29" i="67"/>
  <c r="IW29" i="67"/>
  <c r="IO29" i="67"/>
  <c r="IG29" i="67"/>
  <c r="HY29" i="67"/>
  <c r="HQ29" i="67"/>
  <c r="HI29" i="67"/>
  <c r="GS29" i="67"/>
  <c r="GK29" i="67"/>
  <c r="GC29" i="67"/>
  <c r="FU29" i="67"/>
  <c r="FM29" i="67"/>
  <c r="FE29" i="67"/>
  <c r="EW29" i="67"/>
  <c r="EO29" i="67"/>
  <c r="EG29" i="67"/>
  <c r="DY29" i="67"/>
  <c r="DQ29" i="67"/>
  <c r="DI29" i="67"/>
  <c r="DA29" i="67"/>
  <c r="CS29" i="67"/>
  <c r="CK29" i="67"/>
  <c r="CC29" i="67"/>
  <c r="BU29" i="67"/>
  <c r="BM29" i="67"/>
  <c r="BE29" i="67"/>
  <c r="AW29" i="67"/>
  <c r="AO29" i="67"/>
  <c r="AG29" i="67"/>
  <c r="L45" i="71"/>
  <c r="Y29" i="67"/>
  <c r="Q29" i="67"/>
  <c r="A29" i="67"/>
  <c r="HB25" i="67"/>
  <c r="HB47" i="67"/>
  <c r="LT24" i="67"/>
  <c r="LL24" i="67"/>
  <c r="LD24" i="67"/>
  <c r="KV24" i="67"/>
  <c r="KN24" i="67"/>
  <c r="KF24" i="67"/>
  <c r="JX24" i="67"/>
  <c r="JP24" i="67"/>
  <c r="JH24" i="67"/>
  <c r="IZ24" i="67"/>
  <c r="IR24" i="67"/>
  <c r="IJ24" i="67"/>
  <c r="IB24" i="67"/>
  <c r="HT24" i="67"/>
  <c r="HL24" i="67"/>
  <c r="LX29" i="67"/>
  <c r="LP29" i="67"/>
  <c r="LH29" i="67"/>
  <c r="KZ29" i="67"/>
  <c r="KR29" i="67"/>
  <c r="KJ29" i="67"/>
  <c r="KB29" i="67"/>
  <c r="JT29" i="67"/>
  <c r="JL29" i="67"/>
  <c r="JD29" i="67"/>
  <c r="IV29" i="67"/>
  <c r="IN29" i="67"/>
  <c r="IF29" i="67"/>
  <c r="HX29" i="67"/>
  <c r="HP29" i="67"/>
  <c r="HH29" i="67"/>
  <c r="GR29" i="67"/>
  <c r="GJ29" i="67"/>
  <c r="GB29" i="67"/>
  <c r="FT29" i="67"/>
  <c r="FL29" i="67"/>
  <c r="FD29" i="67"/>
  <c r="EV29" i="67"/>
  <c r="EN29" i="67"/>
  <c r="EF29" i="67"/>
  <c r="DX29" i="67"/>
  <c r="DP29" i="67"/>
  <c r="DH29" i="67"/>
  <c r="CZ29" i="67"/>
  <c r="CR29" i="67"/>
  <c r="CJ29" i="67"/>
  <c r="CB29" i="67"/>
  <c r="BT29" i="67"/>
  <c r="BL29" i="67"/>
  <c r="BD29" i="67"/>
  <c r="AV29" i="67"/>
  <c r="AN29" i="67"/>
  <c r="AF29" i="67"/>
  <c r="X29" i="67"/>
  <c r="P29" i="67"/>
  <c r="H29" i="67"/>
  <c r="HA25" i="67"/>
  <c r="HA47" i="67"/>
  <c r="L19" i="71"/>
  <c r="LS24" i="67"/>
  <c r="LK24" i="67"/>
  <c r="LC24" i="67"/>
  <c r="KU24" i="67"/>
  <c r="KM24" i="67"/>
  <c r="KE24" i="67"/>
  <c r="JW24" i="67"/>
  <c r="LW29" i="67"/>
  <c r="LO29" i="67"/>
  <c r="LG29" i="67"/>
  <c r="KY29" i="67"/>
  <c r="KQ29" i="67"/>
  <c r="KI29" i="67"/>
  <c r="KA29" i="67"/>
  <c r="JS29" i="67"/>
  <c r="JK29" i="67"/>
  <c r="JC29" i="67"/>
  <c r="IU29" i="67"/>
  <c r="IM29" i="67"/>
  <c r="IE29" i="67"/>
  <c r="HW29" i="67"/>
  <c r="HO29" i="67"/>
  <c r="GY29" i="67"/>
  <c r="GQ29" i="67"/>
  <c r="GI29" i="67"/>
  <c r="GA29" i="67"/>
  <c r="FS29" i="67"/>
  <c r="FK29" i="67"/>
  <c r="FC29" i="67"/>
  <c r="EU29" i="67"/>
  <c r="EM29" i="67"/>
  <c r="EE29" i="67"/>
  <c r="DW29" i="67"/>
  <c r="DO29" i="67"/>
  <c r="DG29" i="67"/>
  <c r="CY29" i="67"/>
  <c r="CQ29" i="67"/>
  <c r="CI29" i="67"/>
  <c r="CA29" i="67"/>
  <c r="BS29" i="67"/>
  <c r="BK29" i="67"/>
  <c r="BC29" i="67"/>
  <c r="AU29" i="67"/>
  <c r="AM29" i="67"/>
  <c r="AE29" i="67"/>
  <c r="W29" i="67"/>
  <c r="O29" i="67"/>
  <c r="G29" i="67"/>
  <c r="GX29" i="67"/>
  <c r="GP29" i="67"/>
  <c r="GH29" i="67"/>
  <c r="FZ29" i="67"/>
  <c r="FR29" i="67"/>
  <c r="FJ29" i="67"/>
  <c r="FB29" i="67"/>
  <c r="ET29" i="67"/>
  <c r="EL29" i="67"/>
  <c r="ED29" i="67"/>
  <c r="DV29" i="67"/>
  <c r="DN29" i="67"/>
  <c r="DF29" i="67"/>
  <c r="CX29" i="67"/>
  <c r="CP29" i="67"/>
  <c r="CH29" i="67"/>
  <c r="BZ29" i="67"/>
  <c r="BR29" i="67"/>
  <c r="BJ29" i="67"/>
  <c r="BB29" i="67"/>
  <c r="AT29" i="67"/>
  <c r="AL29" i="67"/>
  <c r="AD29" i="67"/>
  <c r="V29" i="67"/>
  <c r="N29" i="67"/>
  <c r="F29" i="67"/>
  <c r="AG61" i="67"/>
  <c r="L44" i="71"/>
  <c r="HG25" i="67"/>
  <c r="HG47" i="67"/>
  <c r="LU29" i="67"/>
  <c r="LM29" i="67"/>
  <c r="LE29" i="67"/>
  <c r="KW29" i="67"/>
  <c r="KO29" i="67"/>
  <c r="KG29" i="67"/>
  <c r="JY29" i="67"/>
  <c r="JQ29" i="67"/>
  <c r="JI29" i="67"/>
  <c r="JA29" i="67"/>
  <c r="IS29" i="67"/>
  <c r="IK29" i="67"/>
  <c r="IC29" i="67"/>
  <c r="HU29" i="67"/>
  <c r="HM29" i="67"/>
  <c r="GW29" i="67"/>
  <c r="GO29" i="67"/>
  <c r="GG29" i="67"/>
  <c r="FY29" i="67"/>
  <c r="FQ29" i="67"/>
  <c r="FI29" i="67"/>
  <c r="FA29" i="67"/>
  <c r="ES29" i="67"/>
  <c r="EK29" i="67"/>
  <c r="EC29" i="67"/>
  <c r="DU29" i="67"/>
  <c r="DM29" i="67"/>
  <c r="DE29" i="67"/>
  <c r="CW29" i="67"/>
  <c r="CO29" i="67"/>
  <c r="CG29" i="67"/>
  <c r="BY29" i="67"/>
  <c r="BQ29" i="67"/>
  <c r="BI29" i="67"/>
  <c r="BA29" i="67"/>
  <c r="AS29" i="67"/>
  <c r="AK29" i="67"/>
  <c r="AC29" i="67"/>
  <c r="U29" i="67"/>
  <c r="M29" i="67"/>
  <c r="E29" i="67"/>
  <c r="HF25" i="67"/>
  <c r="HF47" i="67"/>
  <c r="LT29" i="67"/>
  <c r="LL29" i="67"/>
  <c r="LD29" i="67"/>
  <c r="KV29" i="67"/>
  <c r="KN29" i="67"/>
  <c r="KF29" i="67"/>
  <c r="JX29" i="67"/>
  <c r="JP29" i="67"/>
  <c r="JH29" i="67"/>
  <c r="IZ29" i="67"/>
  <c r="IR29" i="67"/>
  <c r="IJ29" i="67"/>
  <c r="IB29" i="67"/>
  <c r="HT29" i="67"/>
  <c r="HL29" i="67"/>
  <c r="GV29" i="67"/>
  <c r="GN29" i="67"/>
  <c r="GF29" i="67"/>
  <c r="FX29" i="67"/>
  <c r="FP29" i="67"/>
  <c r="FH29" i="67"/>
  <c r="EZ29" i="67"/>
  <c r="ER29" i="67"/>
  <c r="EJ29" i="67"/>
  <c r="EB29" i="67"/>
  <c r="DT29" i="67"/>
  <c r="DL29" i="67"/>
  <c r="DD29" i="67"/>
  <c r="CV29" i="67"/>
  <c r="CN29" i="67"/>
  <c r="CF29" i="67"/>
  <c r="BX29" i="67"/>
  <c r="BP29" i="67"/>
  <c r="BH29" i="67"/>
  <c r="AZ29" i="67"/>
  <c r="AR29" i="67"/>
  <c r="AJ29" i="67"/>
  <c r="AB29" i="67"/>
  <c r="T29" i="67"/>
  <c r="L29" i="67"/>
  <c r="D29" i="67"/>
  <c r="HE25" i="67"/>
  <c r="HE47" i="67"/>
  <c r="AG30" i="67"/>
  <c r="L64" i="71"/>
  <c r="MA29" i="67"/>
  <c r="LS29" i="67"/>
  <c r="LK29" i="67"/>
  <c r="LC29" i="67"/>
  <c r="KU29" i="67"/>
  <c r="KM29" i="67"/>
  <c r="KE29" i="67"/>
  <c r="JW29" i="67"/>
  <c r="JO29" i="67"/>
  <c r="JG29" i="67"/>
  <c r="IY29" i="67"/>
  <c r="IQ29" i="67"/>
  <c r="II29" i="67"/>
  <c r="IA29" i="67"/>
  <c r="HS29" i="67"/>
  <c r="HK29" i="67"/>
  <c r="GU29" i="67"/>
  <c r="GM29" i="67"/>
  <c r="GE29" i="67"/>
  <c r="FW29" i="67"/>
  <c r="FO29" i="67"/>
  <c r="FG29" i="67"/>
  <c r="EY29" i="67"/>
  <c r="EQ29" i="67"/>
  <c r="EI29" i="67"/>
  <c r="EA29" i="67"/>
  <c r="DS29" i="67"/>
  <c r="DK29" i="67"/>
  <c r="DC29" i="67"/>
  <c r="CU29" i="67"/>
  <c r="CM29" i="67"/>
  <c r="CE29" i="67"/>
  <c r="BW29" i="67"/>
  <c r="BO29" i="67"/>
  <c r="BG29" i="67"/>
  <c r="AY29" i="67"/>
  <c r="AQ29" i="67"/>
  <c r="AI29" i="67"/>
  <c r="AA29" i="67"/>
  <c r="S29" i="67"/>
  <c r="K29" i="67"/>
  <c r="C29" i="67"/>
  <c r="AG27" i="67"/>
  <c r="L56" i="71"/>
  <c r="J23" i="67"/>
  <c r="HD25" i="67"/>
  <c r="HD47" i="67"/>
  <c r="E24" i="67"/>
  <c r="LZ29" i="67"/>
  <c r="LJ29" i="67"/>
  <c r="LB29" i="67"/>
  <c r="KT29" i="67"/>
  <c r="KL29" i="67"/>
  <c r="KD29" i="67"/>
  <c r="JV29" i="67"/>
  <c r="JN29" i="67"/>
  <c r="JF29" i="67"/>
  <c r="IX29" i="67"/>
  <c r="IP29" i="67"/>
  <c r="IH29" i="67"/>
  <c r="HZ29" i="67"/>
  <c r="HR29" i="67"/>
  <c r="HJ29" i="67"/>
  <c r="GT29" i="67"/>
  <c r="GL29" i="67"/>
  <c r="GD29" i="67"/>
  <c r="FV29" i="67"/>
  <c r="FN29" i="67"/>
  <c r="FF29" i="67"/>
  <c r="EX29" i="67"/>
  <c r="EP29" i="67"/>
  <c r="EH29" i="67"/>
  <c r="DZ29" i="67"/>
  <c r="DR29" i="67"/>
  <c r="DJ29" i="67"/>
  <c r="DB29" i="67"/>
  <c r="CT29" i="67"/>
  <c r="CL29" i="67"/>
  <c r="CD29" i="67"/>
  <c r="BV29" i="67"/>
  <c r="BN29" i="67"/>
  <c r="BF29" i="67"/>
  <c r="AX29" i="67"/>
  <c r="AP29" i="67"/>
  <c r="AH29" i="67"/>
  <c r="Z29" i="67"/>
  <c r="R29" i="67"/>
  <c r="J29" i="67"/>
  <c r="B29" i="67"/>
  <c r="L58" i="71"/>
  <c r="I23" i="67"/>
  <c r="HC25" i="67"/>
  <c r="HC47" i="67"/>
  <c r="LU24" i="67"/>
  <c r="LM24" i="67"/>
  <c r="LE24" i="67"/>
  <c r="KW24" i="67"/>
  <c r="KO24" i="67"/>
  <c r="KG24" i="67"/>
  <c r="JY24" i="67"/>
  <c r="JQ24" i="67"/>
  <c r="JI24" i="67"/>
  <c r="JA24" i="67"/>
  <c r="IS24" i="67"/>
  <c r="IK24" i="67"/>
  <c r="IC24" i="67"/>
  <c r="HU24" i="67"/>
  <c r="HM24" i="67"/>
  <c r="GW24" i="67"/>
  <c r="GO24" i="67"/>
  <c r="GG24" i="67"/>
  <c r="FY24" i="67"/>
  <c r="FQ24" i="67"/>
  <c r="FI24" i="67"/>
  <c r="FA24" i="67"/>
  <c r="ES24" i="67"/>
  <c r="EK24" i="67"/>
  <c r="EC24" i="67"/>
  <c r="DU24" i="67"/>
  <c r="DM24" i="67"/>
  <c r="DE24" i="67"/>
  <c r="CW24" i="67"/>
  <c r="CO24" i="67"/>
  <c r="CG24" i="67"/>
  <c r="BY24" i="67"/>
  <c r="BQ24" i="67"/>
  <c r="BI24" i="67"/>
  <c r="BA24" i="67"/>
  <c r="AS24" i="67"/>
  <c r="AK24" i="67"/>
  <c r="AC24" i="67"/>
  <c r="U24" i="67"/>
  <c r="M24" i="67"/>
  <c r="JO24" i="67"/>
  <c r="JG24" i="67"/>
  <c r="IY24" i="67"/>
  <c r="IQ24" i="67"/>
  <c r="II24" i="67"/>
  <c r="IA24" i="67"/>
  <c r="HS24" i="67"/>
  <c r="HK24" i="67"/>
  <c r="GU24" i="67"/>
  <c r="GM24" i="67"/>
  <c r="GE24" i="67"/>
  <c r="FW24" i="67"/>
  <c r="FO24" i="67"/>
  <c r="FG24" i="67"/>
  <c r="EY24" i="67"/>
  <c r="EQ24" i="67"/>
  <c r="EI24" i="67"/>
  <c r="EA24" i="67"/>
  <c r="DS24" i="67"/>
  <c r="DK24" i="67"/>
  <c r="DC24" i="67"/>
  <c r="CU24" i="67"/>
  <c r="CM24" i="67"/>
  <c r="CE24" i="67"/>
  <c r="BW24" i="67"/>
  <c r="BO24" i="67"/>
  <c r="BG24" i="67"/>
  <c r="AY24" i="67"/>
  <c r="AQ24" i="67"/>
  <c r="AI24" i="67"/>
  <c r="AA24" i="67"/>
  <c r="S24" i="67"/>
  <c r="K24" i="67"/>
  <c r="C24" i="67"/>
  <c r="AG57" i="67"/>
  <c r="L37" i="71"/>
  <c r="LT66" i="67"/>
  <c r="LL66" i="67"/>
  <c r="LD66" i="67"/>
  <c r="KV66" i="67"/>
  <c r="KN66" i="67"/>
  <c r="KF66" i="67"/>
  <c r="JX66" i="67"/>
  <c r="JN66" i="67"/>
  <c r="JE66" i="67"/>
  <c r="IW66" i="67"/>
  <c r="IO66" i="67"/>
  <c r="IG66" i="67"/>
  <c r="HY66" i="67"/>
  <c r="HQ66" i="67"/>
  <c r="HI66" i="67"/>
  <c r="GS66" i="67"/>
  <c r="GK66" i="67"/>
  <c r="GC66" i="67"/>
  <c r="FU66" i="67"/>
  <c r="FM66" i="67"/>
  <c r="FE66" i="67"/>
  <c r="EW66" i="67"/>
  <c r="EO66" i="67"/>
  <c r="EG66" i="67"/>
  <c r="DY66" i="67"/>
  <c r="DQ66" i="67"/>
  <c r="DI66" i="67"/>
  <c r="DA66" i="67"/>
  <c r="CS66" i="67"/>
  <c r="CK66" i="67"/>
  <c r="CC66" i="67"/>
  <c r="BU66" i="67"/>
  <c r="BM66" i="67"/>
  <c r="BE66" i="67"/>
  <c r="AW66" i="67"/>
  <c r="AO66" i="67"/>
  <c r="AG66" i="67"/>
  <c r="L68" i="71"/>
  <c r="Y66" i="67"/>
  <c r="O66" i="67"/>
  <c r="G66" i="67"/>
  <c r="GZ25" i="67"/>
  <c r="GZ47" i="67"/>
  <c r="LZ24" i="67"/>
  <c r="LJ24" i="67"/>
  <c r="LB24" i="67"/>
  <c r="KT24" i="67"/>
  <c r="KL24" i="67"/>
  <c r="KD24" i="67"/>
  <c r="JV24" i="67"/>
  <c r="JN24" i="67"/>
  <c r="JF24" i="67"/>
  <c r="IX24" i="67"/>
  <c r="IP24" i="67"/>
  <c r="IH24" i="67"/>
  <c r="HZ24" i="67"/>
  <c r="HR24" i="67"/>
  <c r="HJ24" i="67"/>
  <c r="GT24" i="67"/>
  <c r="GL24" i="67"/>
  <c r="GD24" i="67"/>
  <c r="FV24" i="67"/>
  <c r="FN24" i="67"/>
  <c r="FF24" i="67"/>
  <c r="EX24" i="67"/>
  <c r="EP24" i="67"/>
  <c r="EH24" i="67"/>
  <c r="DZ24" i="67"/>
  <c r="DR24" i="67"/>
  <c r="DJ24" i="67"/>
  <c r="DB24" i="67"/>
  <c r="CT24" i="67"/>
  <c r="CL24" i="67"/>
  <c r="CD24" i="67"/>
  <c r="BV24" i="67"/>
  <c r="BN24" i="67"/>
  <c r="BF24" i="67"/>
  <c r="AX24" i="67"/>
  <c r="AP24" i="67"/>
  <c r="AH24" i="67"/>
  <c r="Z24" i="67"/>
  <c r="R24" i="67"/>
  <c r="J24" i="67"/>
  <c r="B24" i="67"/>
  <c r="L24" i="71"/>
  <c r="L49" i="71"/>
  <c r="MA66" i="67"/>
  <c r="LS66" i="67"/>
  <c r="LK66" i="67"/>
  <c r="LC66" i="67"/>
  <c r="KU66" i="67"/>
  <c r="KM66" i="67"/>
  <c r="KE66" i="67"/>
  <c r="JW66" i="67"/>
  <c r="JM66" i="67"/>
  <c r="JD66" i="67"/>
  <c r="IV66" i="67"/>
  <c r="IN66" i="67"/>
  <c r="IF66" i="67"/>
  <c r="HX66" i="67"/>
  <c r="HP66" i="67"/>
  <c r="HH66" i="67"/>
  <c r="GR66" i="67"/>
  <c r="GJ66" i="67"/>
  <c r="GB66" i="67"/>
  <c r="FT66" i="67"/>
  <c r="FL66" i="67"/>
  <c r="FD66" i="67"/>
  <c r="EV66" i="67"/>
  <c r="EN66" i="67"/>
  <c r="EF66" i="67"/>
  <c r="DX66" i="67"/>
  <c r="DP66" i="67"/>
  <c r="DH66" i="67"/>
  <c r="CZ66" i="67"/>
  <c r="CR66" i="67"/>
  <c r="CJ66" i="67"/>
  <c r="CB66" i="67"/>
  <c r="BT66" i="67"/>
  <c r="BL66" i="67"/>
  <c r="BD66" i="67"/>
  <c r="AV66" i="67"/>
  <c r="AN66" i="67"/>
  <c r="AF66" i="67"/>
  <c r="X66" i="67"/>
  <c r="N66" i="67"/>
  <c r="F66" i="67"/>
  <c r="LY24" i="67"/>
  <c r="LQ24" i="67"/>
  <c r="LI24" i="67"/>
  <c r="LA24" i="67"/>
  <c r="KS24" i="67"/>
  <c r="KK24" i="67"/>
  <c r="KC24" i="67"/>
  <c r="JU24" i="67"/>
  <c r="JM24" i="67"/>
  <c r="JE24" i="67"/>
  <c r="IW24" i="67"/>
  <c r="IO24" i="67"/>
  <c r="IG24" i="67"/>
  <c r="HY24" i="67"/>
  <c r="HQ24" i="67"/>
  <c r="HI24" i="67"/>
  <c r="GS24" i="67"/>
  <c r="GK24" i="67"/>
  <c r="GC24" i="67"/>
  <c r="FU24" i="67"/>
  <c r="FM24" i="67"/>
  <c r="FE24" i="67"/>
  <c r="EW24" i="67"/>
  <c r="EO24" i="67"/>
  <c r="EG24" i="67"/>
  <c r="DY24" i="67"/>
  <c r="DQ24" i="67"/>
  <c r="DI24" i="67"/>
  <c r="DA24" i="67"/>
  <c r="CS24" i="67"/>
  <c r="CK24" i="67"/>
  <c r="CC24" i="67"/>
  <c r="BU24" i="67"/>
  <c r="BM24" i="67"/>
  <c r="BE24" i="67"/>
  <c r="AW24" i="67"/>
  <c r="AO24" i="67"/>
  <c r="AG24" i="67"/>
  <c r="L18" i="71"/>
  <c r="Y24" i="67"/>
  <c r="Q24" i="67"/>
  <c r="A24" i="67"/>
  <c r="LZ66" i="67"/>
  <c r="LJ66" i="67"/>
  <c r="LB66" i="67"/>
  <c r="KT66" i="67"/>
  <c r="KL66" i="67"/>
  <c r="KD66" i="67"/>
  <c r="JV66" i="67"/>
  <c r="JL66" i="67"/>
  <c r="JC66" i="67"/>
  <c r="IU66" i="67"/>
  <c r="IM66" i="67"/>
  <c r="IE66" i="67"/>
  <c r="HW66" i="67"/>
  <c r="HO66" i="67"/>
  <c r="GY66" i="67"/>
  <c r="GQ66" i="67"/>
  <c r="GI66" i="67"/>
  <c r="GA66" i="67"/>
  <c r="FS66" i="67"/>
  <c r="FK66" i="67"/>
  <c r="FC66" i="67"/>
  <c r="EU66" i="67"/>
  <c r="EM66" i="67"/>
  <c r="EE66" i="67"/>
  <c r="DW66" i="67"/>
  <c r="DO66" i="67"/>
  <c r="DG66" i="67"/>
  <c r="CY66" i="67"/>
  <c r="CQ66" i="67"/>
  <c r="CI66" i="67"/>
  <c r="CA66" i="67"/>
  <c r="BS66" i="67"/>
  <c r="BK66" i="67"/>
  <c r="BC66" i="67"/>
  <c r="AU66" i="67"/>
  <c r="AM66" i="67"/>
  <c r="AE66" i="67"/>
  <c r="W66" i="67"/>
  <c r="M66" i="67"/>
  <c r="E66" i="67"/>
  <c r="LX24" i="67"/>
  <c r="LP24" i="67"/>
  <c r="LH24" i="67"/>
  <c r="KZ24" i="67"/>
  <c r="KR24" i="67"/>
  <c r="KJ24" i="67"/>
  <c r="KB24" i="67"/>
  <c r="JT24" i="67"/>
  <c r="JL24" i="67"/>
  <c r="JD24" i="67"/>
  <c r="IV24" i="67"/>
  <c r="IN24" i="67"/>
  <c r="IF24" i="67"/>
  <c r="HX24" i="67"/>
  <c r="HP24" i="67"/>
  <c r="HH24" i="67"/>
  <c r="GR24" i="67"/>
  <c r="GJ24" i="67"/>
  <c r="GB24" i="67"/>
  <c r="FT24" i="67"/>
  <c r="FL24" i="67"/>
  <c r="FD24" i="67"/>
  <c r="EV24" i="67"/>
  <c r="EN24" i="67"/>
  <c r="EF24" i="67"/>
  <c r="DX24" i="67"/>
  <c r="DP24" i="67"/>
  <c r="DH24" i="67"/>
  <c r="CZ24" i="67"/>
  <c r="CR24" i="67"/>
  <c r="CJ24" i="67"/>
  <c r="CB24" i="67"/>
  <c r="BT24" i="67"/>
  <c r="BL24" i="67"/>
  <c r="BD24" i="67"/>
  <c r="AV24" i="67"/>
  <c r="AN24" i="67"/>
  <c r="AF24" i="67"/>
  <c r="X24" i="67"/>
  <c r="P24" i="67"/>
  <c r="H24" i="67"/>
  <c r="LY66" i="67"/>
  <c r="LQ66" i="67"/>
  <c r="LI66" i="67"/>
  <c r="LA66" i="67"/>
  <c r="KS66" i="67"/>
  <c r="KK66" i="67"/>
  <c r="KC66" i="67"/>
  <c r="JU66" i="67"/>
  <c r="JK66" i="67"/>
  <c r="JB66" i="67"/>
  <c r="IT66" i="67"/>
  <c r="IL66" i="67"/>
  <c r="ID66" i="67"/>
  <c r="HV66" i="67"/>
  <c r="HN66" i="67"/>
  <c r="GX66" i="67"/>
  <c r="GP66" i="67"/>
  <c r="GH66" i="67"/>
  <c r="FZ66" i="67"/>
  <c r="FZ46" i="67"/>
  <c r="FR66" i="67"/>
  <c r="FJ66" i="67"/>
  <c r="FB66" i="67"/>
  <c r="ET66" i="67"/>
  <c r="EL66" i="67"/>
  <c r="ED66" i="67"/>
  <c r="DV66" i="67"/>
  <c r="DN66" i="67"/>
  <c r="DF66" i="67"/>
  <c r="CX66" i="67"/>
  <c r="CP66" i="67"/>
  <c r="CH66" i="67"/>
  <c r="BZ66" i="67"/>
  <c r="BR66" i="67"/>
  <c r="BJ66" i="67"/>
  <c r="BB66" i="67"/>
  <c r="AT66" i="67"/>
  <c r="AL66" i="67"/>
  <c r="AD66" i="67"/>
  <c r="V66" i="67"/>
  <c r="L66" i="67"/>
  <c r="LW24" i="67"/>
  <c r="LO24" i="67"/>
  <c r="LG24" i="67"/>
  <c r="KY24" i="67"/>
  <c r="KQ24" i="67"/>
  <c r="KI24" i="67"/>
  <c r="KA24" i="67"/>
  <c r="JS24" i="67"/>
  <c r="JK24" i="67"/>
  <c r="JC24" i="67"/>
  <c r="IU24" i="67"/>
  <c r="IM24" i="67"/>
  <c r="IE24" i="67"/>
  <c r="HW24" i="67"/>
  <c r="HO24" i="67"/>
  <c r="GY24" i="67"/>
  <c r="GQ24" i="67"/>
  <c r="GI24" i="67"/>
  <c r="GA24" i="67"/>
  <c r="FS24" i="67"/>
  <c r="FK24" i="67"/>
  <c r="FC24" i="67"/>
  <c r="EU24" i="67"/>
  <c r="EM24" i="67"/>
  <c r="EE24" i="67"/>
  <c r="DW24" i="67"/>
  <c r="DO24" i="67"/>
  <c r="DG24" i="67"/>
  <c r="CY24" i="67"/>
  <c r="CQ24" i="67"/>
  <c r="CI24" i="67"/>
  <c r="CA24" i="67"/>
  <c r="BS24" i="67"/>
  <c r="BK24" i="67"/>
  <c r="BC24" i="67"/>
  <c r="AU24" i="67"/>
  <c r="AM24" i="67"/>
  <c r="AE24" i="67"/>
  <c r="W24" i="67"/>
  <c r="O24" i="67"/>
  <c r="G24" i="67"/>
  <c r="LX66" i="67"/>
  <c r="LP66" i="67"/>
  <c r="LH66" i="67"/>
  <c r="KZ66" i="67"/>
  <c r="KR66" i="67"/>
  <c r="KJ66" i="67"/>
  <c r="KB66" i="67"/>
  <c r="JT66" i="67"/>
  <c r="JJ66" i="67"/>
  <c r="JA66" i="67"/>
  <c r="IS66" i="67"/>
  <c r="IK66" i="67"/>
  <c r="IC66" i="67"/>
  <c r="HU66" i="67"/>
  <c r="LV24" i="67"/>
  <c r="LN24" i="67"/>
  <c r="LF24" i="67"/>
  <c r="KX24" i="67"/>
  <c r="KP24" i="67"/>
  <c r="KH24" i="67"/>
  <c r="JZ24" i="67"/>
  <c r="JR24" i="67"/>
  <c r="JJ24" i="67"/>
  <c r="JB24" i="67"/>
  <c r="IT24" i="67"/>
  <c r="IL24" i="67"/>
  <c r="ID24" i="67"/>
  <c r="HV24" i="67"/>
  <c r="HN24" i="67"/>
  <c r="GX24" i="67"/>
  <c r="GP24" i="67"/>
  <c r="GH24" i="67"/>
  <c r="FZ24" i="67"/>
  <c r="FR24" i="67"/>
  <c r="FJ24" i="67"/>
  <c r="FB24" i="67"/>
  <c r="ET24" i="67"/>
  <c r="EL24" i="67"/>
  <c r="ED24" i="67"/>
  <c r="DV24" i="67"/>
  <c r="DN24" i="67"/>
  <c r="DF24" i="67"/>
  <c r="CX24" i="67"/>
  <c r="CP24" i="67"/>
  <c r="CH24" i="67"/>
  <c r="BZ24" i="67"/>
  <c r="BR24" i="67"/>
  <c r="BJ24" i="67"/>
  <c r="BB24" i="67"/>
  <c r="AT24" i="67"/>
  <c r="AL24" i="67"/>
  <c r="AD24" i="67"/>
  <c r="V24" i="67"/>
  <c r="N24" i="67"/>
  <c r="F24" i="67"/>
  <c r="L20" i="71"/>
  <c r="L25" i="71"/>
  <c r="L26" i="71"/>
  <c r="LW66" i="67"/>
  <c r="LO66" i="67"/>
  <c r="LG66" i="67"/>
  <c r="KY66" i="67"/>
  <c r="KQ66" i="67"/>
  <c r="KI66" i="67"/>
  <c r="KA66" i="67"/>
  <c r="JR66" i="67"/>
  <c r="JH66" i="67"/>
  <c r="IZ66" i="67"/>
  <c r="IR66" i="67"/>
  <c r="IJ66" i="67"/>
  <c r="IB66" i="67"/>
  <c r="HT66" i="67"/>
  <c r="HL66" i="67"/>
  <c r="GV66" i="67"/>
  <c r="GN66" i="67"/>
  <c r="GF66" i="67"/>
  <c r="FX66" i="67"/>
  <c r="FP66" i="67"/>
  <c r="FH66" i="67"/>
  <c r="EZ66" i="67"/>
  <c r="ER66" i="67"/>
  <c r="EJ66" i="67"/>
  <c r="EB66" i="67"/>
  <c r="DT66" i="67"/>
  <c r="DL66" i="67"/>
  <c r="DD66" i="67"/>
  <c r="CV66" i="67"/>
  <c r="CN66" i="67"/>
  <c r="CF66" i="67"/>
  <c r="BX66" i="67"/>
  <c r="BP66" i="67"/>
  <c r="BH66" i="67"/>
  <c r="AZ66" i="67"/>
  <c r="AR66" i="67"/>
  <c r="AJ66" i="67"/>
  <c r="AB66" i="67"/>
  <c r="R66" i="67"/>
  <c r="B66" i="67"/>
  <c r="L23" i="71"/>
  <c r="L21" i="71"/>
  <c r="AG58" i="67"/>
  <c r="L13" i="71"/>
  <c r="L16" i="71"/>
  <c r="LV66" i="67"/>
  <c r="LN66" i="67"/>
  <c r="LF66" i="67"/>
  <c r="KX66" i="67"/>
  <c r="KP66" i="67"/>
  <c r="KH66" i="67"/>
  <c r="JZ66" i="67"/>
  <c r="JP66" i="67"/>
  <c r="JG66" i="67"/>
  <c r="IY66" i="67"/>
  <c r="IQ66" i="67"/>
  <c r="II66" i="67"/>
  <c r="IA66" i="67"/>
  <c r="HS66" i="67"/>
  <c r="HK66" i="67"/>
  <c r="GU66" i="67"/>
  <c r="GM66" i="67"/>
  <c r="GE66" i="67"/>
  <c r="FW66" i="67"/>
  <c r="FO66" i="67"/>
  <c r="FG66" i="67"/>
  <c r="EY66" i="67"/>
  <c r="EQ66" i="67"/>
  <c r="EI66" i="67"/>
  <c r="EA66" i="67"/>
  <c r="DS66" i="67"/>
  <c r="DK66" i="67"/>
  <c r="DC66" i="67"/>
  <c r="CU66" i="67"/>
  <c r="CM66" i="67"/>
  <c r="CE66" i="67"/>
  <c r="BW66" i="67"/>
  <c r="BO66" i="67"/>
  <c r="BG66" i="67"/>
  <c r="AY66" i="67"/>
  <c r="AQ66" i="67"/>
  <c r="AI66" i="67"/>
  <c r="AA66" i="67"/>
  <c r="Q66" i="67"/>
  <c r="I66" i="67"/>
  <c r="I46" i="67"/>
  <c r="A66" i="67"/>
  <c r="GV24" i="67"/>
  <c r="GN24" i="67"/>
  <c r="GF24" i="67"/>
  <c r="FX24" i="67"/>
  <c r="FP24" i="67"/>
  <c r="FH24" i="67"/>
  <c r="EZ24" i="67"/>
  <c r="ER24" i="67"/>
  <c r="EJ24" i="67"/>
  <c r="EB24" i="67"/>
  <c r="DT24" i="67"/>
  <c r="DL24" i="67"/>
  <c r="DD24" i="67"/>
  <c r="CV24" i="67"/>
  <c r="CN24" i="67"/>
  <c r="CF24" i="67"/>
  <c r="BX24" i="67"/>
  <c r="BP24" i="67"/>
  <c r="BH24" i="67"/>
  <c r="AZ24" i="67"/>
  <c r="AR24" i="67"/>
  <c r="AJ24" i="67"/>
  <c r="AB24" i="67"/>
  <c r="T24" i="67"/>
  <c r="L24" i="67"/>
  <c r="D24" i="67"/>
  <c r="HG66" i="67"/>
  <c r="L48" i="71"/>
  <c r="LU66" i="67"/>
  <c r="LM66" i="67"/>
  <c r="LE66" i="67"/>
  <c r="KW66" i="67"/>
  <c r="KO66" i="67"/>
  <c r="KG66" i="67"/>
  <c r="JY66" i="67"/>
  <c r="JO66" i="67"/>
  <c r="JF66" i="67"/>
  <c r="IX66" i="67"/>
  <c r="IP66" i="67"/>
  <c r="IH66" i="67"/>
  <c r="HZ66" i="67"/>
  <c r="HR66" i="67"/>
  <c r="HJ66" i="67"/>
  <c r="GT66" i="67"/>
  <c r="GL66" i="67"/>
  <c r="GD66" i="67"/>
  <c r="FV66" i="67"/>
  <c r="FN66" i="67"/>
  <c r="FF66" i="67"/>
  <c r="EX66" i="67"/>
  <c r="EP66" i="67"/>
  <c r="EH66" i="67"/>
  <c r="DZ66" i="67"/>
  <c r="DR66" i="67"/>
  <c r="DJ66" i="67"/>
  <c r="DB66" i="67"/>
  <c r="CT66" i="67"/>
  <c r="CL66" i="67"/>
  <c r="CD66" i="67"/>
  <c r="BV66" i="67"/>
  <c r="BN66" i="67"/>
  <c r="BF66" i="67"/>
  <c r="AX66" i="67"/>
  <c r="AP66" i="67"/>
  <c r="AH66" i="67"/>
  <c r="Z66" i="67"/>
  <c r="P66" i="67"/>
  <c r="H66" i="67"/>
  <c r="AG67" i="67"/>
  <c r="L53" i="71"/>
  <c r="LT69" i="67"/>
  <c r="LT56" i="67"/>
  <c r="LK69" i="67"/>
  <c r="LK56" i="67"/>
  <c r="LC69" i="67"/>
  <c r="LC56" i="67"/>
  <c r="KU69" i="67"/>
  <c r="KU56" i="67"/>
  <c r="KM69" i="67"/>
  <c r="KM56" i="67"/>
  <c r="KE69" i="67"/>
  <c r="KE56" i="67"/>
  <c r="JW69" i="67"/>
  <c r="JW56" i="67"/>
  <c r="JO69" i="67"/>
  <c r="JO56" i="67"/>
  <c r="JG69" i="67"/>
  <c r="JG56" i="67"/>
  <c r="IY69" i="67"/>
  <c r="IY56" i="67"/>
  <c r="IQ69" i="67"/>
  <c r="IQ56" i="67"/>
  <c r="II69" i="67"/>
  <c r="II56" i="67"/>
  <c r="IA69" i="67"/>
  <c r="IA56" i="67"/>
  <c r="HS69" i="67"/>
  <c r="HS56" i="67"/>
  <c r="HK69" i="67"/>
  <c r="HK56" i="67"/>
  <c r="HC69" i="67"/>
  <c r="HC56" i="67"/>
  <c r="GU69" i="67"/>
  <c r="GU56" i="67"/>
  <c r="GM69" i="67"/>
  <c r="GM56" i="67"/>
  <c r="GE69" i="67"/>
  <c r="GE56" i="67"/>
  <c r="FW69" i="67"/>
  <c r="FW56" i="67"/>
  <c r="FO69" i="67"/>
  <c r="FO56" i="67"/>
  <c r="FG69" i="67"/>
  <c r="FG56" i="67"/>
  <c r="EY69" i="67"/>
  <c r="EY56" i="67"/>
  <c r="EQ69" i="67"/>
  <c r="EQ56" i="67"/>
  <c r="EI69" i="67"/>
  <c r="EI56" i="67"/>
  <c r="EA69" i="67"/>
  <c r="EA56" i="67"/>
  <c r="DS69" i="67"/>
  <c r="DS56" i="67"/>
  <c r="DK69" i="67"/>
  <c r="DK56" i="67"/>
  <c r="DC69" i="67"/>
  <c r="DC56" i="67"/>
  <c r="CU69" i="67"/>
  <c r="CU56" i="67"/>
  <c r="CM69" i="67"/>
  <c r="CM56" i="67"/>
  <c r="CE69" i="67"/>
  <c r="CE56" i="67"/>
  <c r="BW69" i="67"/>
  <c r="BW56" i="67"/>
  <c r="BO69" i="67"/>
  <c r="BO56" i="67"/>
  <c r="BG69" i="67"/>
  <c r="BG56" i="67"/>
  <c r="AY69" i="67"/>
  <c r="AY56" i="67"/>
  <c r="AQ69" i="67"/>
  <c r="AQ56" i="67"/>
  <c r="AI69" i="67"/>
  <c r="AI56" i="67"/>
  <c r="AA69" i="67"/>
  <c r="AA56" i="67"/>
  <c r="S69" i="67"/>
  <c r="S56" i="67"/>
  <c r="K69" i="67"/>
  <c r="K56" i="67"/>
  <c r="B69" i="67"/>
  <c r="B56" i="67"/>
  <c r="HE62" i="67"/>
  <c r="L27" i="71"/>
  <c r="L55" i="71"/>
  <c r="LV64" i="67"/>
  <c r="LN64" i="67"/>
  <c r="LF64" i="67"/>
  <c r="KX64" i="67"/>
  <c r="KP64" i="67"/>
  <c r="KH64" i="67"/>
  <c r="JZ64" i="67"/>
  <c r="JR64" i="67"/>
  <c r="JJ64" i="67"/>
  <c r="JB64" i="67"/>
  <c r="IT64" i="67"/>
  <c r="IL64" i="67"/>
  <c r="ID64" i="67"/>
  <c r="HV64" i="67"/>
  <c r="HN64" i="67"/>
  <c r="HF64" i="67"/>
  <c r="GX64" i="67"/>
  <c r="GP64" i="67"/>
  <c r="GH64" i="67"/>
  <c r="FZ64" i="67"/>
  <c r="FR64" i="67"/>
  <c r="FJ64" i="67"/>
  <c r="FB64" i="67"/>
  <c r="ET64" i="67"/>
  <c r="EL64" i="67"/>
  <c r="ED64" i="67"/>
  <c r="DV64" i="67"/>
  <c r="DN64" i="67"/>
  <c r="DF64" i="67"/>
  <c r="CX64" i="67"/>
  <c r="CP64" i="67"/>
  <c r="CH64" i="67"/>
  <c r="BZ64" i="67"/>
  <c r="BR64" i="67"/>
  <c r="BJ64" i="67"/>
  <c r="BB64" i="67"/>
  <c r="AT64" i="67"/>
  <c r="AL64" i="67"/>
  <c r="AD64" i="67"/>
  <c r="V64" i="67"/>
  <c r="N64" i="67"/>
  <c r="F64" i="67"/>
  <c r="MA69" i="67"/>
  <c r="MA56" i="67"/>
  <c r="LS69" i="67"/>
  <c r="LS56" i="67"/>
  <c r="LJ69" i="67"/>
  <c r="LJ56" i="67"/>
  <c r="LB69" i="67"/>
  <c r="LB56" i="67"/>
  <c r="KT69" i="67"/>
  <c r="KT56" i="67"/>
  <c r="KL69" i="67"/>
  <c r="KL56" i="67"/>
  <c r="KD69" i="67"/>
  <c r="KD56" i="67"/>
  <c r="JV69" i="67"/>
  <c r="JV56" i="67"/>
  <c r="JN69" i="67"/>
  <c r="JN56" i="67"/>
  <c r="JF69" i="67"/>
  <c r="JF56" i="67"/>
  <c r="IX69" i="67"/>
  <c r="IX56" i="67"/>
  <c r="IP69" i="67"/>
  <c r="IP56" i="67"/>
  <c r="IH69" i="67"/>
  <c r="IH56" i="67"/>
  <c r="HZ69" i="67"/>
  <c r="HZ56" i="67"/>
  <c r="HR69" i="67"/>
  <c r="HR56" i="67"/>
  <c r="HJ69" i="67"/>
  <c r="HJ56" i="67"/>
  <c r="HB69" i="67"/>
  <c r="HB56" i="67"/>
  <c r="GT69" i="67"/>
  <c r="GT56" i="67"/>
  <c r="GL69" i="67"/>
  <c r="GL56" i="67"/>
  <c r="GD69" i="67"/>
  <c r="GD56" i="67"/>
  <c r="FV69" i="67"/>
  <c r="FV56" i="67"/>
  <c r="FN69" i="67"/>
  <c r="FN56" i="67"/>
  <c r="FF69" i="67"/>
  <c r="FF56" i="67"/>
  <c r="EX69" i="67"/>
  <c r="EX56" i="67"/>
  <c r="EP69" i="67"/>
  <c r="EP56" i="67"/>
  <c r="EH69" i="67"/>
  <c r="EH56" i="67"/>
  <c r="DZ69" i="67"/>
  <c r="DZ56" i="67"/>
  <c r="DR69" i="67"/>
  <c r="DR56" i="67"/>
  <c r="DJ69" i="67"/>
  <c r="DJ56" i="67"/>
  <c r="DB69" i="67"/>
  <c r="DB56" i="67"/>
  <c r="CT69" i="67"/>
  <c r="CT56" i="67"/>
  <c r="CL69" i="67"/>
  <c r="CL56" i="67"/>
  <c r="CD69" i="67"/>
  <c r="CD56" i="67"/>
  <c r="BV69" i="67"/>
  <c r="BV56" i="67"/>
  <c r="BN69" i="67"/>
  <c r="BN56" i="67"/>
  <c r="BF69" i="67"/>
  <c r="BF56" i="67"/>
  <c r="AX69" i="67"/>
  <c r="AX56" i="67"/>
  <c r="AP69" i="67"/>
  <c r="AP56" i="67"/>
  <c r="AH69" i="67"/>
  <c r="AH56" i="67"/>
  <c r="Z69" i="67"/>
  <c r="Z56" i="67"/>
  <c r="R69" i="67"/>
  <c r="R56" i="67"/>
  <c r="A69" i="67"/>
  <c r="A56" i="67"/>
  <c r="HD62" i="67"/>
  <c r="LU64" i="67"/>
  <c r="LM64" i="67"/>
  <c r="LE64" i="67"/>
  <c r="KW64" i="67"/>
  <c r="KO64" i="67"/>
  <c r="KG64" i="67"/>
  <c r="JY64" i="67"/>
  <c r="JQ64" i="67"/>
  <c r="JI64" i="67"/>
  <c r="JA64" i="67"/>
  <c r="IS64" i="67"/>
  <c r="IK64" i="67"/>
  <c r="IC64" i="67"/>
  <c r="HU64" i="67"/>
  <c r="HM64" i="67"/>
  <c r="HE64" i="67"/>
  <c r="GW64" i="67"/>
  <c r="GO64" i="67"/>
  <c r="GG64" i="67"/>
  <c r="FY64" i="67"/>
  <c r="FQ64" i="67"/>
  <c r="FI64" i="67"/>
  <c r="FA64" i="67"/>
  <c r="ES64" i="67"/>
  <c r="EK64" i="67"/>
  <c r="EC64" i="67"/>
  <c r="DU64" i="67"/>
  <c r="DM64" i="67"/>
  <c r="DE64" i="67"/>
  <c r="CW64" i="67"/>
  <c r="CO64" i="67"/>
  <c r="CG64" i="67"/>
  <c r="BY64" i="67"/>
  <c r="BQ64" i="67"/>
  <c r="BI64" i="67"/>
  <c r="BA64" i="67"/>
  <c r="AS64" i="67"/>
  <c r="AK64" i="67"/>
  <c r="AC64" i="67"/>
  <c r="U64" i="67"/>
  <c r="M64" i="67"/>
  <c r="E64" i="67"/>
  <c r="L52" i="71"/>
  <c r="L15" i="71"/>
  <c r="LZ69" i="67"/>
  <c r="LZ56" i="67"/>
  <c r="LQ69" i="67"/>
  <c r="LQ56" i="67"/>
  <c r="LI69" i="67"/>
  <c r="LI56" i="67"/>
  <c r="LA69" i="67"/>
  <c r="LA56" i="67"/>
  <c r="KS69" i="67"/>
  <c r="KS56" i="67"/>
  <c r="KK69" i="67"/>
  <c r="KK56" i="67"/>
  <c r="KC69" i="67"/>
  <c r="KC56" i="67"/>
  <c r="JU69" i="67"/>
  <c r="JU56" i="67"/>
  <c r="JM69" i="67"/>
  <c r="JM56" i="67"/>
  <c r="JE69" i="67"/>
  <c r="JE56" i="67"/>
  <c r="IW69" i="67"/>
  <c r="IW56" i="67"/>
  <c r="IO69" i="67"/>
  <c r="IO56" i="67"/>
  <c r="IG69" i="67"/>
  <c r="IG56" i="67"/>
  <c r="HY69" i="67"/>
  <c r="HY56" i="67"/>
  <c r="HQ69" i="67"/>
  <c r="HQ56" i="67"/>
  <c r="HI69" i="67"/>
  <c r="HI56" i="67"/>
  <c r="HA69" i="67"/>
  <c r="HA56" i="67"/>
  <c r="GS69" i="67"/>
  <c r="GS56" i="67"/>
  <c r="GK69" i="67"/>
  <c r="GK56" i="67"/>
  <c r="GC69" i="67"/>
  <c r="GC56" i="67"/>
  <c r="FU69" i="67"/>
  <c r="FU56" i="67"/>
  <c r="FM69" i="67"/>
  <c r="FM56" i="67"/>
  <c r="FE69" i="67"/>
  <c r="FE56" i="67"/>
  <c r="EW69" i="67"/>
  <c r="EW56" i="67"/>
  <c r="EO69" i="67"/>
  <c r="EO56" i="67"/>
  <c r="EG69" i="67"/>
  <c r="EG56" i="67"/>
  <c r="DY69" i="67"/>
  <c r="DY56" i="67"/>
  <c r="DQ69" i="67"/>
  <c r="DQ56" i="67"/>
  <c r="DI69" i="67"/>
  <c r="DI56" i="67"/>
  <c r="DA69" i="67"/>
  <c r="DA56" i="67"/>
  <c r="CS69" i="67"/>
  <c r="CS56" i="67"/>
  <c r="CK69" i="67"/>
  <c r="CK56" i="67"/>
  <c r="CC69" i="67"/>
  <c r="CC56" i="67"/>
  <c r="BU69" i="67"/>
  <c r="BU56" i="67"/>
  <c r="BM69" i="67"/>
  <c r="BM56" i="67"/>
  <c r="BE69" i="67"/>
  <c r="BE56" i="67"/>
  <c r="AW69" i="67"/>
  <c r="AW56" i="67"/>
  <c r="AO69" i="67"/>
  <c r="AO56" i="67"/>
  <c r="AG69" i="67"/>
  <c r="L59" i="71"/>
  <c r="AG56" i="67"/>
  <c r="Y69" i="67"/>
  <c r="Y56" i="67"/>
  <c r="Q69" i="67"/>
  <c r="Q56" i="67"/>
  <c r="H69" i="67"/>
  <c r="H56" i="67"/>
  <c r="MA51" i="67"/>
  <c r="MA55" i="67"/>
  <c r="HC62" i="67"/>
  <c r="L46" i="71"/>
  <c r="AG59" i="67"/>
  <c r="L3" i="71"/>
  <c r="LT64" i="67"/>
  <c r="LL64" i="67"/>
  <c r="LD64" i="67"/>
  <c r="KV64" i="67"/>
  <c r="KN64" i="67"/>
  <c r="KF64" i="67"/>
  <c r="JX64" i="67"/>
  <c r="JP64" i="67"/>
  <c r="JH64" i="67"/>
  <c r="IZ64" i="67"/>
  <c r="IR64" i="67"/>
  <c r="IJ64" i="67"/>
  <c r="IB64" i="67"/>
  <c r="HT64" i="67"/>
  <c r="HL64" i="67"/>
  <c r="HD64" i="67"/>
  <c r="GV64" i="67"/>
  <c r="GN64" i="67"/>
  <c r="GF64" i="67"/>
  <c r="FX64" i="67"/>
  <c r="FP64" i="67"/>
  <c r="FH64" i="67"/>
  <c r="EZ64" i="67"/>
  <c r="ER64" i="67"/>
  <c r="EJ64" i="67"/>
  <c r="EB64" i="67"/>
  <c r="DT64" i="67"/>
  <c r="DL64" i="67"/>
  <c r="DD64" i="67"/>
  <c r="CV64" i="67"/>
  <c r="CN64" i="67"/>
  <c r="CF64" i="67"/>
  <c r="BX64" i="67"/>
  <c r="BP64" i="67"/>
  <c r="BH64" i="67"/>
  <c r="AZ64" i="67"/>
  <c r="AR64" i="67"/>
  <c r="AJ64" i="67"/>
  <c r="AB64" i="67"/>
  <c r="T64" i="67"/>
  <c r="L64" i="67"/>
  <c r="D64" i="67"/>
  <c r="LY69" i="67"/>
  <c r="LY56" i="67"/>
  <c r="LP69" i="67"/>
  <c r="LP56" i="67"/>
  <c r="LH69" i="67"/>
  <c r="LH56" i="67"/>
  <c r="KZ69" i="67"/>
  <c r="KZ56" i="67"/>
  <c r="KR69" i="67"/>
  <c r="KR56" i="67"/>
  <c r="KJ69" i="67"/>
  <c r="KJ56" i="67"/>
  <c r="KB69" i="67"/>
  <c r="KB56" i="67"/>
  <c r="JT69" i="67"/>
  <c r="JT56" i="67"/>
  <c r="JL69" i="67"/>
  <c r="JL56" i="67"/>
  <c r="JD69" i="67"/>
  <c r="JD56" i="67"/>
  <c r="IV69" i="67"/>
  <c r="IV56" i="67"/>
  <c r="IN69" i="67"/>
  <c r="IN56" i="67"/>
  <c r="IF69" i="67"/>
  <c r="IF56" i="67"/>
  <c r="HX69" i="67"/>
  <c r="HX56" i="67"/>
  <c r="HP69" i="67"/>
  <c r="HP56" i="67"/>
  <c r="HH69" i="67"/>
  <c r="HH56" i="67"/>
  <c r="GZ69" i="67"/>
  <c r="GZ56" i="67"/>
  <c r="GR69" i="67"/>
  <c r="GR56" i="67"/>
  <c r="GJ69" i="67"/>
  <c r="GJ56" i="67"/>
  <c r="GB69" i="67"/>
  <c r="GB56" i="67"/>
  <c r="FT69" i="67"/>
  <c r="FT56" i="67"/>
  <c r="FL69" i="67"/>
  <c r="FL56" i="67"/>
  <c r="FD69" i="67"/>
  <c r="FD56" i="67"/>
  <c r="EV69" i="67"/>
  <c r="EV56" i="67"/>
  <c r="EN69" i="67"/>
  <c r="EN56" i="67"/>
  <c r="EF69" i="67"/>
  <c r="EF56" i="67"/>
  <c r="DX69" i="67"/>
  <c r="DX56" i="67"/>
  <c r="DP69" i="67"/>
  <c r="DP56" i="67"/>
  <c r="DH69" i="67"/>
  <c r="DH56" i="67"/>
  <c r="CZ69" i="67"/>
  <c r="CZ56" i="67"/>
  <c r="CR69" i="67"/>
  <c r="CR56" i="67"/>
  <c r="CJ69" i="67"/>
  <c r="CJ56" i="67"/>
  <c r="CB69" i="67"/>
  <c r="CB56" i="67"/>
  <c r="BT69" i="67"/>
  <c r="BT56" i="67"/>
  <c r="BL69" i="67"/>
  <c r="BL56" i="67"/>
  <c r="BD69" i="67"/>
  <c r="BD56" i="67"/>
  <c r="AV69" i="67"/>
  <c r="AV56" i="67"/>
  <c r="AN69" i="67"/>
  <c r="AN56" i="67"/>
  <c r="AF69" i="67"/>
  <c r="AF56" i="67"/>
  <c r="X69" i="67"/>
  <c r="X56" i="67"/>
  <c r="P69" i="67"/>
  <c r="P56" i="67"/>
  <c r="G69" i="67"/>
  <c r="G56" i="67"/>
  <c r="LR62" i="67"/>
  <c r="HB62" i="67"/>
  <c r="HM66" i="67"/>
  <c r="GW66" i="67"/>
  <c r="GO66" i="67"/>
  <c r="GG66" i="67"/>
  <c r="FY66" i="67"/>
  <c r="FY46" i="67"/>
  <c r="FQ66" i="67"/>
  <c r="FQ46" i="67"/>
  <c r="FI66" i="67"/>
  <c r="FA66" i="67"/>
  <c r="ES66" i="67"/>
  <c r="EK66" i="67"/>
  <c r="EC66" i="67"/>
  <c r="DU66" i="67"/>
  <c r="DM66" i="67"/>
  <c r="DE66" i="67"/>
  <c r="CW66" i="67"/>
  <c r="CO66" i="67"/>
  <c r="CG66" i="67"/>
  <c r="BY66" i="67"/>
  <c r="BQ66" i="67"/>
  <c r="BI66" i="67"/>
  <c r="BA66" i="67"/>
  <c r="AS66" i="67"/>
  <c r="AK66" i="67"/>
  <c r="AC66" i="67"/>
  <c r="S66" i="67"/>
  <c r="K66" i="67"/>
  <c r="C66" i="67"/>
  <c r="V40" i="67"/>
  <c r="LS64" i="67"/>
  <c r="LK64" i="67"/>
  <c r="LC64" i="67"/>
  <c r="KU64" i="67"/>
  <c r="KM64" i="67"/>
  <c r="KE64" i="67"/>
  <c r="JW64" i="67"/>
  <c r="JO64" i="67"/>
  <c r="JG64" i="67"/>
  <c r="IY64" i="67"/>
  <c r="IQ64" i="67"/>
  <c r="II64" i="67"/>
  <c r="IA64" i="67"/>
  <c r="HS64" i="67"/>
  <c r="HK64" i="67"/>
  <c r="HC64" i="67"/>
  <c r="GU64" i="67"/>
  <c r="GM64" i="67"/>
  <c r="GE64" i="67"/>
  <c r="FW64" i="67"/>
  <c r="FO64" i="67"/>
  <c r="FG64" i="67"/>
  <c r="EY64" i="67"/>
  <c r="EQ64" i="67"/>
  <c r="EI64" i="67"/>
  <c r="EA64" i="67"/>
  <c r="DS64" i="67"/>
  <c r="DK64" i="67"/>
  <c r="DC64" i="67"/>
  <c r="CU64" i="67"/>
  <c r="CM64" i="67"/>
  <c r="CE64" i="67"/>
  <c r="BW64" i="67"/>
  <c r="BO64" i="67"/>
  <c r="BG64" i="67"/>
  <c r="AY64" i="67"/>
  <c r="AQ64" i="67"/>
  <c r="AI64" i="67"/>
  <c r="AA64" i="67"/>
  <c r="S64" i="67"/>
  <c r="K64" i="67"/>
  <c r="C64" i="67"/>
  <c r="LX69" i="67"/>
  <c r="LX56" i="67"/>
  <c r="LO69" i="67"/>
  <c r="LO56" i="67"/>
  <c r="LG69" i="67"/>
  <c r="LG56" i="67"/>
  <c r="KY69" i="67"/>
  <c r="KY56" i="67"/>
  <c r="KQ69" i="67"/>
  <c r="KQ56" i="67"/>
  <c r="KI69" i="67"/>
  <c r="KI56" i="67"/>
  <c r="KA69" i="67"/>
  <c r="KA56" i="67"/>
  <c r="JS69" i="67"/>
  <c r="JS56" i="67"/>
  <c r="JK69" i="67"/>
  <c r="JK56" i="67"/>
  <c r="JC69" i="67"/>
  <c r="JC56" i="67"/>
  <c r="IU69" i="67"/>
  <c r="IU56" i="67"/>
  <c r="IM69" i="67"/>
  <c r="IM56" i="67"/>
  <c r="IE69" i="67"/>
  <c r="IE56" i="67"/>
  <c r="HW69" i="67"/>
  <c r="HW56" i="67"/>
  <c r="HO69" i="67"/>
  <c r="HO56" i="67"/>
  <c r="HG69" i="67"/>
  <c r="HG56" i="67"/>
  <c r="GY69" i="67"/>
  <c r="GY56" i="67"/>
  <c r="GQ69" i="67"/>
  <c r="GQ56" i="67"/>
  <c r="GI69" i="67"/>
  <c r="GI56" i="67"/>
  <c r="GA69" i="67"/>
  <c r="GA56" i="67"/>
  <c r="FS69" i="67"/>
  <c r="FS56" i="67"/>
  <c r="FK69" i="67"/>
  <c r="FK56" i="67"/>
  <c r="FC69" i="67"/>
  <c r="FC56" i="67"/>
  <c r="EU69" i="67"/>
  <c r="EU56" i="67"/>
  <c r="EM69" i="67"/>
  <c r="EM56" i="67"/>
  <c r="EE69" i="67"/>
  <c r="EE56" i="67"/>
  <c r="DW69" i="67"/>
  <c r="DW56" i="67"/>
  <c r="DO69" i="67"/>
  <c r="DO56" i="67"/>
  <c r="DG69" i="67"/>
  <c r="DG56" i="67"/>
  <c r="CY69" i="67"/>
  <c r="CY56" i="67"/>
  <c r="CQ69" i="67"/>
  <c r="CQ56" i="67"/>
  <c r="CI69" i="67"/>
  <c r="CI56" i="67"/>
  <c r="CA69" i="67"/>
  <c r="CA56" i="67"/>
  <c r="BS69" i="67"/>
  <c r="BS56" i="67"/>
  <c r="BK69" i="67"/>
  <c r="BK56" i="67"/>
  <c r="BC69" i="67"/>
  <c r="BC56" i="67"/>
  <c r="AU69" i="67"/>
  <c r="AU56" i="67"/>
  <c r="AM69" i="67"/>
  <c r="AM56" i="67"/>
  <c r="AE69" i="67"/>
  <c r="AE56" i="67"/>
  <c r="W69" i="67"/>
  <c r="W56" i="67"/>
  <c r="O69" i="67"/>
  <c r="O56" i="67"/>
  <c r="F69" i="67"/>
  <c r="F56" i="67"/>
  <c r="AG51" i="67"/>
  <c r="L69" i="71"/>
  <c r="HA62" i="67"/>
  <c r="L47" i="71"/>
  <c r="LZ64" i="67"/>
  <c r="LR64" i="67"/>
  <c r="LJ64" i="67"/>
  <c r="LB64" i="67"/>
  <c r="KT64" i="67"/>
  <c r="KL64" i="67"/>
  <c r="KD64" i="67"/>
  <c r="JV64" i="67"/>
  <c r="JN64" i="67"/>
  <c r="JF64" i="67"/>
  <c r="IX64" i="67"/>
  <c r="IP64" i="67"/>
  <c r="IH64" i="67"/>
  <c r="HZ64" i="67"/>
  <c r="HR64" i="67"/>
  <c r="HJ64" i="67"/>
  <c r="HB64" i="67"/>
  <c r="GT64" i="67"/>
  <c r="GL64" i="67"/>
  <c r="GD64" i="67"/>
  <c r="FV64" i="67"/>
  <c r="FN64" i="67"/>
  <c r="FF64" i="67"/>
  <c r="EX64" i="67"/>
  <c r="EP64" i="67"/>
  <c r="EH64" i="67"/>
  <c r="DZ64" i="67"/>
  <c r="DR64" i="67"/>
  <c r="DJ64" i="67"/>
  <c r="DB64" i="67"/>
  <c r="CT64" i="67"/>
  <c r="CL64" i="67"/>
  <c r="CD64" i="67"/>
  <c r="BV64" i="67"/>
  <c r="BN64" i="67"/>
  <c r="BF64" i="67"/>
  <c r="AX64" i="67"/>
  <c r="AP64" i="67"/>
  <c r="AH64" i="67"/>
  <c r="Z64" i="67"/>
  <c r="R64" i="67"/>
  <c r="J64" i="67"/>
  <c r="B64" i="67"/>
  <c r="LW69" i="67"/>
  <c r="LW56" i="67"/>
  <c r="LN69" i="67"/>
  <c r="LN56" i="67"/>
  <c r="LF69" i="67"/>
  <c r="LF56" i="67"/>
  <c r="KX69" i="67"/>
  <c r="KX56" i="67"/>
  <c r="KP69" i="67"/>
  <c r="KP56" i="67"/>
  <c r="KH69" i="67"/>
  <c r="KH56" i="67"/>
  <c r="JZ69" i="67"/>
  <c r="JZ56" i="67"/>
  <c r="JR69" i="67"/>
  <c r="JR56" i="67"/>
  <c r="JJ69" i="67"/>
  <c r="JJ56" i="67"/>
  <c r="JB69" i="67"/>
  <c r="JB56" i="67"/>
  <c r="IT69" i="67"/>
  <c r="IT56" i="67"/>
  <c r="IL69" i="67"/>
  <c r="IL56" i="67"/>
  <c r="ID69" i="67"/>
  <c r="ID56" i="67"/>
  <c r="HV69" i="67"/>
  <c r="HV56" i="67"/>
  <c r="HN69" i="67"/>
  <c r="HN56" i="67"/>
  <c r="HF69" i="67"/>
  <c r="HF56" i="67"/>
  <c r="GX69" i="67"/>
  <c r="GX56" i="67"/>
  <c r="GP69" i="67"/>
  <c r="GP56" i="67"/>
  <c r="GH69" i="67"/>
  <c r="GH56" i="67"/>
  <c r="FZ69" i="67"/>
  <c r="FZ56" i="67"/>
  <c r="FR69" i="67"/>
  <c r="FR56" i="67"/>
  <c r="FJ69" i="67"/>
  <c r="FJ56" i="67"/>
  <c r="FB69" i="67"/>
  <c r="FB56" i="67"/>
  <c r="ET69" i="67"/>
  <c r="ET56" i="67"/>
  <c r="EL69" i="67"/>
  <c r="EL56" i="67"/>
  <c r="ED69" i="67"/>
  <c r="ED56" i="67"/>
  <c r="DV69" i="67"/>
  <c r="DV56" i="67"/>
  <c r="DN69" i="67"/>
  <c r="DN56" i="67"/>
  <c r="DF69" i="67"/>
  <c r="DF56" i="67"/>
  <c r="CX69" i="67"/>
  <c r="CX56" i="67"/>
  <c r="CP69" i="67"/>
  <c r="CP56" i="67"/>
  <c r="CH69" i="67"/>
  <c r="CH56" i="67"/>
  <c r="BZ69" i="67"/>
  <c r="BZ56" i="67"/>
  <c r="BR69" i="67"/>
  <c r="BR56" i="67"/>
  <c r="BJ69" i="67"/>
  <c r="BJ56" i="67"/>
  <c r="BB69" i="67"/>
  <c r="BB56" i="67"/>
  <c r="AT69" i="67"/>
  <c r="AT56" i="67"/>
  <c r="AL69" i="67"/>
  <c r="AL56" i="67"/>
  <c r="AD69" i="67"/>
  <c r="AD56" i="67"/>
  <c r="V69" i="67"/>
  <c r="V56" i="67"/>
  <c r="N69" i="67"/>
  <c r="N56" i="67"/>
  <c r="E69" i="67"/>
  <c r="E56" i="67"/>
  <c r="GZ62" i="67"/>
  <c r="L11" i="71"/>
  <c r="LY64" i="67"/>
  <c r="LQ64" i="67"/>
  <c r="LI64" i="67"/>
  <c r="LA64" i="67"/>
  <c r="KS64" i="67"/>
  <c r="KK64" i="67"/>
  <c r="KC64" i="67"/>
  <c r="JU64" i="67"/>
  <c r="JM64" i="67"/>
  <c r="JE64" i="67"/>
  <c r="IW64" i="67"/>
  <c r="IO64" i="67"/>
  <c r="IG64" i="67"/>
  <c r="HY64" i="67"/>
  <c r="HQ64" i="67"/>
  <c r="HI64" i="67"/>
  <c r="HA64" i="67"/>
  <c r="GS64" i="67"/>
  <c r="GK64" i="67"/>
  <c r="GC64" i="67"/>
  <c r="FU64" i="67"/>
  <c r="FM64" i="67"/>
  <c r="FE64" i="67"/>
  <c r="EW64" i="67"/>
  <c r="EO64" i="67"/>
  <c r="EG64" i="67"/>
  <c r="DY64" i="67"/>
  <c r="DQ64" i="67"/>
  <c r="DI64" i="67"/>
  <c r="DA64" i="67"/>
  <c r="CS64" i="67"/>
  <c r="CK64" i="67"/>
  <c r="AG64" i="67"/>
  <c r="L4" i="71"/>
  <c r="LV69" i="67"/>
  <c r="LV56" i="67"/>
  <c r="LM69" i="67"/>
  <c r="LM56" i="67"/>
  <c r="LE69" i="67"/>
  <c r="LE56" i="67"/>
  <c r="KW69" i="67"/>
  <c r="KW56" i="67"/>
  <c r="KO69" i="67"/>
  <c r="KO56" i="67"/>
  <c r="KG69" i="67"/>
  <c r="KG56" i="67"/>
  <c r="JY69" i="67"/>
  <c r="JY56" i="67"/>
  <c r="JQ69" i="67"/>
  <c r="JQ56" i="67"/>
  <c r="JI69" i="67"/>
  <c r="JI56" i="67"/>
  <c r="JA69" i="67"/>
  <c r="JA56" i="67"/>
  <c r="IS69" i="67"/>
  <c r="IS56" i="67"/>
  <c r="IK69" i="67"/>
  <c r="IK56" i="67"/>
  <c r="IC69" i="67"/>
  <c r="IC56" i="67"/>
  <c r="HU69" i="67"/>
  <c r="HU56" i="67"/>
  <c r="HM69" i="67"/>
  <c r="HM56" i="67"/>
  <c r="HE69" i="67"/>
  <c r="HE56" i="67"/>
  <c r="GW69" i="67"/>
  <c r="GW56" i="67"/>
  <c r="GO69" i="67"/>
  <c r="GO56" i="67"/>
  <c r="GG69" i="67"/>
  <c r="GG56" i="67"/>
  <c r="FY69" i="67"/>
  <c r="FY56" i="67"/>
  <c r="FQ69" i="67"/>
  <c r="FQ56" i="67"/>
  <c r="FI69" i="67"/>
  <c r="FI56" i="67"/>
  <c r="FA69" i="67"/>
  <c r="FA56" i="67"/>
  <c r="ES69" i="67"/>
  <c r="ES56" i="67"/>
  <c r="EK69" i="67"/>
  <c r="EK56" i="67"/>
  <c r="EC69" i="67"/>
  <c r="EC56" i="67"/>
  <c r="DU69" i="67"/>
  <c r="DU56" i="67"/>
  <c r="DM69" i="67"/>
  <c r="DM56" i="67"/>
  <c r="DE69" i="67"/>
  <c r="DE56" i="67"/>
  <c r="CW69" i="67"/>
  <c r="CW56" i="67"/>
  <c r="CO69" i="67"/>
  <c r="CO56" i="67"/>
  <c r="CG69" i="67"/>
  <c r="CG56" i="67"/>
  <c r="BY69" i="67"/>
  <c r="BY56" i="67"/>
  <c r="BQ69" i="67"/>
  <c r="BQ56" i="67"/>
  <c r="BI69" i="67"/>
  <c r="BI56" i="67"/>
  <c r="BA69" i="67"/>
  <c r="BA56" i="67"/>
  <c r="AS69" i="67"/>
  <c r="AS56" i="67"/>
  <c r="AK69" i="67"/>
  <c r="AK56" i="67"/>
  <c r="AC69" i="67"/>
  <c r="AC56" i="67"/>
  <c r="U69" i="67"/>
  <c r="U56" i="67"/>
  <c r="M69" i="67"/>
  <c r="M56" i="67"/>
  <c r="D69" i="67"/>
  <c r="D56" i="67"/>
  <c r="HG62" i="67"/>
  <c r="J5" i="67"/>
  <c r="P64" i="67"/>
  <c r="H64" i="67"/>
  <c r="LU69" i="67"/>
  <c r="LU56" i="67"/>
  <c r="LL69" i="67"/>
  <c r="LL56" i="67"/>
  <c r="LD69" i="67"/>
  <c r="LD56" i="67"/>
  <c r="KV69" i="67"/>
  <c r="KV56" i="67"/>
  <c r="KN69" i="67"/>
  <c r="KN56" i="67"/>
  <c r="KF69" i="67"/>
  <c r="KF56" i="67"/>
  <c r="JX69" i="67"/>
  <c r="JX56" i="67"/>
  <c r="JP69" i="67"/>
  <c r="JP56" i="67"/>
  <c r="JH69" i="67"/>
  <c r="JH56" i="67"/>
  <c r="IZ69" i="67"/>
  <c r="IZ56" i="67"/>
  <c r="IR69" i="67"/>
  <c r="IR56" i="67"/>
  <c r="IJ69" i="67"/>
  <c r="IJ56" i="67"/>
  <c r="IB69" i="67"/>
  <c r="IB56" i="67"/>
  <c r="HT69" i="67"/>
  <c r="HT56" i="67"/>
  <c r="HL69" i="67"/>
  <c r="HL56" i="67"/>
  <c r="HD69" i="67"/>
  <c r="HD56" i="67"/>
  <c r="GV69" i="67"/>
  <c r="GV56" i="67"/>
  <c r="GN69" i="67"/>
  <c r="GN56" i="67"/>
  <c r="GF69" i="67"/>
  <c r="GF56" i="67"/>
  <c r="FX69" i="67"/>
  <c r="FX56" i="67"/>
  <c r="FP69" i="67"/>
  <c r="FP56" i="67"/>
  <c r="FH69" i="67"/>
  <c r="FH56" i="67"/>
  <c r="EZ69" i="67"/>
  <c r="EZ56" i="67"/>
  <c r="ER69" i="67"/>
  <c r="ER56" i="67"/>
  <c r="EJ69" i="67"/>
  <c r="EJ56" i="67"/>
  <c r="EB69" i="67"/>
  <c r="EB56" i="67"/>
  <c r="DT69" i="67"/>
  <c r="DT56" i="67"/>
  <c r="DL69" i="67"/>
  <c r="DL56" i="67"/>
  <c r="DD69" i="67"/>
  <c r="DD56" i="67"/>
  <c r="CV69" i="67"/>
  <c r="CV56" i="67"/>
  <c r="CN69" i="67"/>
  <c r="CN56" i="67"/>
  <c r="CF69" i="67"/>
  <c r="CF56" i="67"/>
  <c r="BX69" i="67"/>
  <c r="BX56" i="67"/>
  <c r="BP69" i="67"/>
  <c r="BP56" i="67"/>
  <c r="BH69" i="67"/>
  <c r="BH56" i="67"/>
  <c r="AZ69" i="67"/>
  <c r="AZ56" i="67"/>
  <c r="AR69" i="67"/>
  <c r="AR56" i="67"/>
  <c r="AJ69" i="67"/>
  <c r="AJ56" i="67"/>
  <c r="AB69" i="67"/>
  <c r="AB56" i="67"/>
  <c r="T69" i="67"/>
  <c r="T56" i="67"/>
  <c r="L69" i="67"/>
  <c r="L56" i="67"/>
  <c r="C69" i="67"/>
  <c r="C56" i="67"/>
  <c r="HF62" i="67"/>
  <c r="L10" i="71"/>
  <c r="L22" i="71"/>
  <c r="I5" i="67"/>
  <c r="J16" i="67"/>
  <c r="I25" i="67"/>
  <c r="V21" i="67"/>
  <c r="HG16" i="67"/>
  <c r="MA16" i="67"/>
  <c r="LX60" i="67"/>
  <c r="LX46" i="67"/>
  <c r="LP60" i="67"/>
  <c r="LP46" i="67"/>
  <c r="LH60" i="67"/>
  <c r="LH46" i="67"/>
  <c r="KZ60" i="67"/>
  <c r="KZ46" i="67"/>
  <c r="KR60" i="67"/>
  <c r="KR46" i="67"/>
  <c r="KJ60" i="67"/>
  <c r="KJ46" i="67"/>
  <c r="KB60" i="67"/>
  <c r="KB46" i="67"/>
  <c r="JT60" i="67"/>
  <c r="JT46" i="67"/>
  <c r="JL60" i="67"/>
  <c r="JL46" i="67"/>
  <c r="JD60" i="67"/>
  <c r="JD46" i="67"/>
  <c r="IV60" i="67"/>
  <c r="IV46" i="67"/>
  <c r="IN60" i="67"/>
  <c r="IN46" i="67"/>
  <c r="IF60" i="67"/>
  <c r="IF46" i="67"/>
  <c r="HX60" i="67"/>
  <c r="HX46" i="67"/>
  <c r="HP60" i="67"/>
  <c r="HP46" i="67"/>
  <c r="HH60" i="67"/>
  <c r="HH46" i="67"/>
  <c r="GZ60" i="67"/>
  <c r="GZ46" i="67"/>
  <c r="GR60" i="67"/>
  <c r="GR46" i="67"/>
  <c r="GJ60" i="67"/>
  <c r="GJ46" i="67"/>
  <c r="GB60" i="67"/>
  <c r="GB46" i="67"/>
  <c r="FR60" i="67"/>
  <c r="FR46" i="67"/>
  <c r="FI60" i="67"/>
  <c r="FI46" i="67"/>
  <c r="FA60" i="67"/>
  <c r="FA46" i="67"/>
  <c r="ES60" i="67"/>
  <c r="ES46" i="67"/>
  <c r="EK60" i="67"/>
  <c r="EK46" i="67"/>
  <c r="EC60" i="67"/>
  <c r="EC46" i="67"/>
  <c r="DU60" i="67"/>
  <c r="DU46" i="67"/>
  <c r="DM60" i="67"/>
  <c r="DM46" i="67"/>
  <c r="DE60" i="67"/>
  <c r="DE46" i="67"/>
  <c r="CW60" i="67"/>
  <c r="CW46" i="67"/>
  <c r="CO60" i="67"/>
  <c r="CO46" i="67"/>
  <c r="CG60" i="67"/>
  <c r="CG46" i="67"/>
  <c r="BY60" i="67"/>
  <c r="BY46" i="67"/>
  <c r="BQ60" i="67"/>
  <c r="BQ46" i="67"/>
  <c r="BI60" i="67"/>
  <c r="BI46" i="67"/>
  <c r="BA60" i="67"/>
  <c r="BA46" i="67"/>
  <c r="AS60" i="67"/>
  <c r="AS46" i="67"/>
  <c r="AK60" i="67"/>
  <c r="AK46" i="67"/>
  <c r="AC60" i="67"/>
  <c r="AC46" i="67"/>
  <c r="U60" i="67"/>
  <c r="U46" i="67"/>
  <c r="M60" i="67"/>
  <c r="M46" i="67"/>
  <c r="C60" i="67"/>
  <c r="C46" i="67"/>
  <c r="LW62" i="67"/>
  <c r="LO62" i="67"/>
  <c r="LG62" i="67"/>
  <c r="KY62" i="67"/>
  <c r="KQ62" i="67"/>
  <c r="KI62" i="67"/>
  <c r="KA62" i="67"/>
  <c r="JS62" i="67"/>
  <c r="JK62" i="67"/>
  <c r="JC62" i="67"/>
  <c r="IU62" i="67"/>
  <c r="IM62" i="67"/>
  <c r="IE62" i="67"/>
  <c r="HW62" i="67"/>
  <c r="HO62" i="67"/>
  <c r="GY62" i="67"/>
  <c r="GQ62" i="67"/>
  <c r="GI62" i="67"/>
  <c r="GA62" i="67"/>
  <c r="FS62" i="67"/>
  <c r="FK62" i="67"/>
  <c r="FC62" i="67"/>
  <c r="EU62" i="67"/>
  <c r="EM62" i="67"/>
  <c r="EE62" i="67"/>
  <c r="DW62" i="67"/>
  <c r="DO62" i="67"/>
  <c r="DG62" i="67"/>
  <c r="CY62" i="67"/>
  <c r="CQ62" i="67"/>
  <c r="CI62" i="67"/>
  <c r="CA62" i="67"/>
  <c r="BS62" i="67"/>
  <c r="BK62" i="67"/>
  <c r="BC62" i="67"/>
  <c r="AU62" i="67"/>
  <c r="AM62" i="67"/>
  <c r="AE62" i="67"/>
  <c r="W62" i="67"/>
  <c r="O62" i="67"/>
  <c r="G62" i="67"/>
  <c r="H31" i="67"/>
  <c r="HF16" i="67"/>
  <c r="HE16" i="67"/>
  <c r="LW64" i="67"/>
  <c r="LO64" i="67"/>
  <c r="LG64" i="67"/>
  <c r="KY64" i="67"/>
  <c r="KQ64" i="67"/>
  <c r="KI64" i="67"/>
  <c r="KA64" i="67"/>
  <c r="JS64" i="67"/>
  <c r="JK64" i="67"/>
  <c r="JC64" i="67"/>
  <c r="IU64" i="67"/>
  <c r="IM64" i="67"/>
  <c r="HD16" i="67"/>
  <c r="HC16" i="67"/>
  <c r="LR66" i="67"/>
  <c r="LR47" i="67"/>
  <c r="LR16" i="67"/>
  <c r="HB16" i="67"/>
  <c r="U16" i="67"/>
  <c r="D66" i="67"/>
  <c r="LV30" i="67"/>
  <c r="LN30" i="67"/>
  <c r="LF30" i="67"/>
  <c r="KX30" i="67"/>
  <c r="KP30" i="67"/>
  <c r="KH30" i="67"/>
  <c r="JZ30" i="67"/>
  <c r="JR30" i="67"/>
  <c r="JJ30" i="67"/>
  <c r="JB30" i="67"/>
  <c r="IT30" i="67"/>
  <c r="IL30" i="67"/>
  <c r="ID30" i="67"/>
  <c r="HV30" i="67"/>
  <c r="HN30" i="67"/>
  <c r="GX30" i="67"/>
  <c r="GP30" i="67"/>
  <c r="GH30" i="67"/>
  <c r="FZ30" i="67"/>
  <c r="FR30" i="67"/>
  <c r="FJ30" i="67"/>
  <c r="FB30" i="67"/>
  <c r="ET30" i="67"/>
  <c r="EL30" i="67"/>
  <c r="ED30" i="67"/>
  <c r="DV30" i="67"/>
  <c r="DN30" i="67"/>
  <c r="DF30" i="67"/>
  <c r="CX30" i="67"/>
  <c r="CP30" i="67"/>
  <c r="CH30" i="67"/>
  <c r="BZ30" i="67"/>
  <c r="BR30" i="67"/>
  <c r="BJ30" i="67"/>
  <c r="BB30" i="67"/>
  <c r="AT30" i="67"/>
  <c r="AL30" i="67"/>
  <c r="AD30" i="67"/>
  <c r="N30" i="67"/>
  <c r="HA16" i="67"/>
  <c r="T16" i="67"/>
  <c r="LZ31" i="67"/>
  <c r="LJ31" i="67"/>
  <c r="LB31" i="67"/>
  <c r="KT31" i="67"/>
  <c r="KL31" i="67"/>
  <c r="KD31" i="67"/>
  <c r="JV31" i="67"/>
  <c r="JN31" i="67"/>
  <c r="JF31" i="67"/>
  <c r="IX31" i="67"/>
  <c r="IP31" i="67"/>
  <c r="IH31" i="67"/>
  <c r="HZ31" i="67"/>
  <c r="HR31" i="67"/>
  <c r="HJ31" i="67"/>
  <c r="HB31" i="67"/>
  <c r="GT31" i="67"/>
  <c r="GL31" i="67"/>
  <c r="GD31" i="67"/>
  <c r="FV31" i="67"/>
  <c r="FN31" i="67"/>
  <c r="FF31" i="67"/>
  <c r="EX31" i="67"/>
  <c r="EP31" i="67"/>
  <c r="EH31" i="67"/>
  <c r="DZ31" i="67"/>
  <c r="DR31" i="67"/>
  <c r="DJ31" i="67"/>
  <c r="DB31" i="67"/>
  <c r="CT31" i="67"/>
  <c r="CL31" i="67"/>
  <c r="CD31" i="67"/>
  <c r="BV31" i="67"/>
  <c r="BN31" i="67"/>
  <c r="BF31" i="67"/>
  <c r="AX31" i="67"/>
  <c r="AP31" i="67"/>
  <c r="AH31" i="67"/>
  <c r="Z31" i="67"/>
  <c r="GZ16" i="67"/>
  <c r="LW60" i="67"/>
  <c r="LW46" i="67"/>
  <c r="LO60" i="67"/>
  <c r="LO46" i="67"/>
  <c r="LG60" i="67"/>
  <c r="LG46" i="67"/>
  <c r="KY60" i="67"/>
  <c r="KY46" i="67"/>
  <c r="KQ60" i="67"/>
  <c r="KQ46" i="67"/>
  <c r="KI60" i="67"/>
  <c r="KI46" i="67"/>
  <c r="KA60" i="67"/>
  <c r="KA46" i="67"/>
  <c r="JS60" i="67"/>
  <c r="JS46" i="67"/>
  <c r="JK60" i="67"/>
  <c r="JK46" i="67"/>
  <c r="JC60" i="67"/>
  <c r="JC46" i="67"/>
  <c r="IU60" i="67"/>
  <c r="IU46" i="67"/>
  <c r="IM60" i="67"/>
  <c r="IM46" i="67"/>
  <c r="IE60" i="67"/>
  <c r="IE46" i="67"/>
  <c r="HW60" i="67"/>
  <c r="HW46" i="67"/>
  <c r="HO60" i="67"/>
  <c r="HO46" i="67"/>
  <c r="HG60" i="67"/>
  <c r="HG46" i="67"/>
  <c r="GY60" i="67"/>
  <c r="GY46" i="67"/>
  <c r="GQ60" i="67"/>
  <c r="GQ46" i="67"/>
  <c r="GI60" i="67"/>
  <c r="GI46" i="67"/>
  <c r="GA60" i="67"/>
  <c r="GA46" i="67"/>
  <c r="FP60" i="67"/>
  <c r="FP46" i="67"/>
  <c r="FH60" i="67"/>
  <c r="FH46" i="67"/>
  <c r="EZ60" i="67"/>
  <c r="EZ46" i="67"/>
  <c r="ER60" i="67"/>
  <c r="ER46" i="67"/>
  <c r="EJ60" i="67"/>
  <c r="EJ46" i="67"/>
  <c r="EB60" i="67"/>
  <c r="EB46" i="67"/>
  <c r="DT60" i="67"/>
  <c r="DT46" i="67"/>
  <c r="DL60" i="67"/>
  <c r="DL46" i="67"/>
  <c r="DD60" i="67"/>
  <c r="DD46" i="67"/>
  <c r="CV60" i="67"/>
  <c r="CV46" i="67"/>
  <c r="CN60" i="67"/>
  <c r="CN46" i="67"/>
  <c r="CF60" i="67"/>
  <c r="CF46" i="67"/>
  <c r="BX60" i="67"/>
  <c r="BX46" i="67"/>
  <c r="BP60" i="67"/>
  <c r="BP46" i="67"/>
  <c r="BH60" i="67"/>
  <c r="BH46" i="67"/>
  <c r="AZ60" i="67"/>
  <c r="AZ46" i="67"/>
  <c r="AR60" i="67"/>
  <c r="AR46" i="67"/>
  <c r="AJ60" i="67"/>
  <c r="AJ46" i="67"/>
  <c r="AB60" i="67"/>
  <c r="AB46" i="67"/>
  <c r="T60" i="67"/>
  <c r="T46" i="67"/>
  <c r="L60" i="67"/>
  <c r="L46" i="67"/>
  <c r="B60" i="67"/>
  <c r="B46" i="67"/>
  <c r="LV62" i="67"/>
  <c r="LN62" i="67"/>
  <c r="LF62" i="67"/>
  <c r="KX62" i="67"/>
  <c r="KP62" i="67"/>
  <c r="KH62" i="67"/>
  <c r="JZ62" i="67"/>
  <c r="JR62" i="67"/>
  <c r="JJ62" i="67"/>
  <c r="JB62" i="67"/>
  <c r="IT62" i="67"/>
  <c r="IL62" i="67"/>
  <c r="ID62" i="67"/>
  <c r="HV62" i="67"/>
  <c r="HN62" i="67"/>
  <c r="GX62" i="67"/>
  <c r="GP62" i="67"/>
  <c r="GH62" i="67"/>
  <c r="FZ62" i="67"/>
  <c r="FR62" i="67"/>
  <c r="FJ62" i="67"/>
  <c r="FB62" i="67"/>
  <c r="ET62" i="67"/>
  <c r="EL62" i="67"/>
  <c r="ED62" i="67"/>
  <c r="DV62" i="67"/>
  <c r="DN62" i="67"/>
  <c r="DF62" i="67"/>
  <c r="CX62" i="67"/>
  <c r="CP62" i="67"/>
  <c r="CH62" i="67"/>
  <c r="BZ62" i="67"/>
  <c r="BR62" i="67"/>
  <c r="BJ62" i="67"/>
  <c r="BB62" i="67"/>
  <c r="AT62" i="67"/>
  <c r="AL62" i="67"/>
  <c r="AD62" i="67"/>
  <c r="V62" i="67"/>
  <c r="N62" i="67"/>
  <c r="F62" i="67"/>
  <c r="IE64" i="67"/>
  <c r="HW64" i="67"/>
  <c r="HO64" i="67"/>
  <c r="HG64" i="67"/>
  <c r="GY64" i="67"/>
  <c r="GQ64" i="67"/>
  <c r="GI64" i="67"/>
  <c r="GA64" i="67"/>
  <c r="FS64" i="67"/>
  <c r="FK64" i="67"/>
  <c r="FC64" i="67"/>
  <c r="EU64" i="67"/>
  <c r="EM64" i="67"/>
  <c r="EE64" i="67"/>
  <c r="DW64" i="67"/>
  <c r="DO64" i="67"/>
  <c r="DG64" i="67"/>
  <c r="CY64" i="67"/>
  <c r="CQ64" i="67"/>
  <c r="CI64" i="67"/>
  <c r="CA64" i="67"/>
  <c r="BS64" i="67"/>
  <c r="BK64" i="67"/>
  <c r="BC64" i="67"/>
  <c r="AU64" i="67"/>
  <c r="AM64" i="67"/>
  <c r="AE64" i="67"/>
  <c r="W64" i="67"/>
  <c r="O64" i="67"/>
  <c r="G64" i="67"/>
  <c r="LV60" i="67"/>
  <c r="LV46" i="67"/>
  <c r="LN60" i="67"/>
  <c r="LN46" i="67"/>
  <c r="LF60" i="67"/>
  <c r="LF46" i="67"/>
  <c r="KX60" i="67"/>
  <c r="KX46" i="67"/>
  <c r="KP60" i="67"/>
  <c r="KP46" i="67"/>
  <c r="KH60" i="67"/>
  <c r="KH46" i="67"/>
  <c r="JZ60" i="67"/>
  <c r="JZ46" i="67"/>
  <c r="JR60" i="67"/>
  <c r="JR46" i="67"/>
  <c r="JJ60" i="67"/>
  <c r="JJ46" i="67"/>
  <c r="JB60" i="67"/>
  <c r="JB46" i="67"/>
  <c r="IT60" i="67"/>
  <c r="IT46" i="67"/>
  <c r="IL60" i="67"/>
  <c r="IL46" i="67"/>
  <c r="ID60" i="67"/>
  <c r="ID46" i="67"/>
  <c r="HV60" i="67"/>
  <c r="HV46" i="67"/>
  <c r="HN60" i="67"/>
  <c r="HN46" i="67"/>
  <c r="HF60" i="67"/>
  <c r="HF46" i="67"/>
  <c r="GX60" i="67"/>
  <c r="GX46" i="67"/>
  <c r="GP60" i="67"/>
  <c r="GP46" i="67"/>
  <c r="GH60" i="67"/>
  <c r="GH46" i="67"/>
  <c r="FX60" i="67"/>
  <c r="FX46" i="67"/>
  <c r="FO60" i="67"/>
  <c r="FO46" i="67"/>
  <c r="FG60" i="67"/>
  <c r="FG46" i="67"/>
  <c r="EY60" i="67"/>
  <c r="EY46" i="67"/>
  <c r="EQ60" i="67"/>
  <c r="EQ46" i="67"/>
  <c r="EI60" i="67"/>
  <c r="EI46" i="67"/>
  <c r="EA60" i="67"/>
  <c r="EA46" i="67"/>
  <c r="DS60" i="67"/>
  <c r="DS46" i="67"/>
  <c r="DK60" i="67"/>
  <c r="DK46" i="67"/>
  <c r="DC60" i="67"/>
  <c r="DC46" i="67"/>
  <c r="CU60" i="67"/>
  <c r="CU46" i="67"/>
  <c r="CM60" i="67"/>
  <c r="CM46" i="67"/>
  <c r="CE60" i="67"/>
  <c r="CE46" i="67"/>
  <c r="BW60" i="67"/>
  <c r="BW46" i="67"/>
  <c r="BO60" i="67"/>
  <c r="BO46" i="67"/>
  <c r="BG60" i="67"/>
  <c r="BG46" i="67"/>
  <c r="AY60" i="67"/>
  <c r="AY46" i="67"/>
  <c r="AQ60" i="67"/>
  <c r="AQ46" i="67"/>
  <c r="AI60" i="67"/>
  <c r="AI46" i="67"/>
  <c r="AA60" i="67"/>
  <c r="AA46" i="67"/>
  <c r="S60" i="67"/>
  <c r="S46" i="67"/>
  <c r="K60" i="67"/>
  <c r="K46" i="67"/>
  <c r="A60" i="67"/>
  <c r="A46" i="67"/>
  <c r="LU62" i="67"/>
  <c r="LM62" i="67"/>
  <c r="LE62" i="67"/>
  <c r="KW62" i="67"/>
  <c r="KO62" i="67"/>
  <c r="KG62" i="67"/>
  <c r="JY62" i="67"/>
  <c r="JQ62" i="67"/>
  <c r="JI62" i="67"/>
  <c r="JA62" i="67"/>
  <c r="IS62" i="67"/>
  <c r="IK62" i="67"/>
  <c r="IC62" i="67"/>
  <c r="HU62" i="67"/>
  <c r="HM62" i="67"/>
  <c r="GW62" i="67"/>
  <c r="GO62" i="67"/>
  <c r="GG62" i="67"/>
  <c r="FY62" i="67"/>
  <c r="FQ62" i="67"/>
  <c r="FI62" i="67"/>
  <c r="FA62" i="67"/>
  <c r="ES62" i="67"/>
  <c r="EK62" i="67"/>
  <c r="EC62" i="67"/>
  <c r="DU62" i="67"/>
  <c r="DM62" i="67"/>
  <c r="DE62" i="67"/>
  <c r="CW62" i="67"/>
  <c r="CO62" i="67"/>
  <c r="CG62" i="67"/>
  <c r="BY62" i="67"/>
  <c r="BQ62" i="67"/>
  <c r="BI62" i="67"/>
  <c r="BA62" i="67"/>
  <c r="AS62" i="67"/>
  <c r="AK62" i="67"/>
  <c r="AC62" i="67"/>
  <c r="U62" i="67"/>
  <c r="M62" i="67"/>
  <c r="E62" i="67"/>
  <c r="J47" i="67"/>
  <c r="LU60" i="67"/>
  <c r="LU46" i="67"/>
  <c r="LM60" i="67"/>
  <c r="LM46" i="67"/>
  <c r="LE60" i="67"/>
  <c r="LE46" i="67"/>
  <c r="KW60" i="67"/>
  <c r="KW46" i="67"/>
  <c r="KO60" i="67"/>
  <c r="KO46" i="67"/>
  <c r="KG60" i="67"/>
  <c r="KG46" i="67"/>
  <c r="JY60" i="67"/>
  <c r="JY46" i="67"/>
  <c r="JQ60" i="67"/>
  <c r="JQ46" i="67"/>
  <c r="JI60" i="67"/>
  <c r="JI46" i="67"/>
  <c r="JA60" i="67"/>
  <c r="JA46" i="67"/>
  <c r="IS60" i="67"/>
  <c r="IS46" i="67"/>
  <c r="IK60" i="67"/>
  <c r="IK46" i="67"/>
  <c r="IC60" i="67"/>
  <c r="IC46" i="67"/>
  <c r="HU60" i="67"/>
  <c r="HU46" i="67"/>
  <c r="HM60" i="67"/>
  <c r="HM46" i="67"/>
  <c r="HE60" i="67"/>
  <c r="HE46" i="67"/>
  <c r="GW60" i="67"/>
  <c r="GW46" i="67"/>
  <c r="GO60" i="67"/>
  <c r="GO46" i="67"/>
  <c r="GG60" i="67"/>
  <c r="GG46" i="67"/>
  <c r="FW60" i="67"/>
  <c r="FW46" i="67"/>
  <c r="FN60" i="67"/>
  <c r="FN46" i="67"/>
  <c r="FF60" i="67"/>
  <c r="FF46" i="67"/>
  <c r="EX60" i="67"/>
  <c r="EX46" i="67"/>
  <c r="EP60" i="67"/>
  <c r="EP46" i="67"/>
  <c r="EH60" i="67"/>
  <c r="EH46" i="67"/>
  <c r="DZ60" i="67"/>
  <c r="DZ46" i="67"/>
  <c r="DR60" i="67"/>
  <c r="DR46" i="67"/>
  <c r="DJ60" i="67"/>
  <c r="DJ46" i="67"/>
  <c r="DB60" i="67"/>
  <c r="DB46" i="67"/>
  <c r="CT60" i="67"/>
  <c r="CT46" i="67"/>
  <c r="CL60" i="67"/>
  <c r="CL46" i="67"/>
  <c r="CD60" i="67"/>
  <c r="CD46" i="67"/>
  <c r="BV60" i="67"/>
  <c r="BV46" i="67"/>
  <c r="BN60" i="67"/>
  <c r="BN46" i="67"/>
  <c r="BF60" i="67"/>
  <c r="BF46" i="67"/>
  <c r="AX60" i="67"/>
  <c r="AX46" i="67"/>
  <c r="AP60" i="67"/>
  <c r="AP46" i="67"/>
  <c r="AH60" i="67"/>
  <c r="AH46" i="67"/>
  <c r="Z60" i="67"/>
  <c r="Z46" i="67"/>
  <c r="R60" i="67"/>
  <c r="R46" i="67"/>
  <c r="H60" i="67"/>
  <c r="H46" i="67"/>
  <c r="LT62" i="67"/>
  <c r="LL62" i="67"/>
  <c r="LD62" i="67"/>
  <c r="KV62" i="67"/>
  <c r="KN62" i="67"/>
  <c r="KF62" i="67"/>
  <c r="JX62" i="67"/>
  <c r="JP62" i="67"/>
  <c r="JH62" i="67"/>
  <c r="IZ62" i="67"/>
  <c r="IR62" i="67"/>
  <c r="IJ62" i="67"/>
  <c r="IB62" i="67"/>
  <c r="HT62" i="67"/>
  <c r="HL62" i="67"/>
  <c r="GV62" i="67"/>
  <c r="GN62" i="67"/>
  <c r="GF62" i="67"/>
  <c r="FX62" i="67"/>
  <c r="FP62" i="67"/>
  <c r="FH62" i="67"/>
  <c r="EZ62" i="67"/>
  <c r="ER62" i="67"/>
  <c r="EJ62" i="67"/>
  <c r="EB62" i="67"/>
  <c r="DT62" i="67"/>
  <c r="DL62" i="67"/>
  <c r="DD62" i="67"/>
  <c r="CV62" i="67"/>
  <c r="CN62" i="67"/>
  <c r="CF62" i="67"/>
  <c r="BX62" i="67"/>
  <c r="BP62" i="67"/>
  <c r="BH62" i="67"/>
  <c r="AZ62" i="67"/>
  <c r="AR62" i="67"/>
  <c r="AJ62" i="67"/>
  <c r="AB62" i="67"/>
  <c r="T62" i="67"/>
  <c r="L62" i="67"/>
  <c r="D62" i="67"/>
  <c r="J60" i="67"/>
  <c r="LT60" i="67"/>
  <c r="LT46" i="67"/>
  <c r="LL60" i="67"/>
  <c r="LL46" i="67"/>
  <c r="LD60" i="67"/>
  <c r="LD46" i="67"/>
  <c r="KV60" i="67"/>
  <c r="KV46" i="67"/>
  <c r="KN60" i="67"/>
  <c r="KN46" i="67"/>
  <c r="KF60" i="67"/>
  <c r="KF46" i="67"/>
  <c r="JX60" i="67"/>
  <c r="JX46" i="67"/>
  <c r="JP60" i="67"/>
  <c r="JP46" i="67"/>
  <c r="JH60" i="67"/>
  <c r="JH46" i="67"/>
  <c r="IZ60" i="67"/>
  <c r="IZ46" i="67"/>
  <c r="IR60" i="67"/>
  <c r="IR46" i="67"/>
  <c r="IJ60" i="67"/>
  <c r="IJ46" i="67"/>
  <c r="IB60" i="67"/>
  <c r="IB46" i="67"/>
  <c r="HT60" i="67"/>
  <c r="HT46" i="67"/>
  <c r="HL60" i="67"/>
  <c r="HL46" i="67"/>
  <c r="HD60" i="67"/>
  <c r="HD46" i="67"/>
  <c r="GV60" i="67"/>
  <c r="GV46" i="67"/>
  <c r="GN60" i="67"/>
  <c r="GN46" i="67"/>
  <c r="GF60" i="67"/>
  <c r="GF46" i="67"/>
  <c r="FV60" i="67"/>
  <c r="FV46" i="67"/>
  <c r="FM60" i="67"/>
  <c r="FM46" i="67"/>
  <c r="FE60" i="67"/>
  <c r="FE46" i="67"/>
  <c r="EW60" i="67"/>
  <c r="EW46" i="67"/>
  <c r="EO60" i="67"/>
  <c r="EO46" i="67"/>
  <c r="EG60" i="67"/>
  <c r="EG46" i="67"/>
  <c r="DY60" i="67"/>
  <c r="DY46" i="67"/>
  <c r="DQ60" i="67"/>
  <c r="DQ46" i="67"/>
  <c r="DI60" i="67"/>
  <c r="DI46" i="67"/>
  <c r="DA60" i="67"/>
  <c r="DA46" i="67"/>
  <c r="CS60" i="67"/>
  <c r="CS46" i="67"/>
  <c r="CK60" i="67"/>
  <c r="CK46" i="67"/>
  <c r="CC60" i="67"/>
  <c r="CC46" i="67"/>
  <c r="BU60" i="67"/>
  <c r="BU46" i="67"/>
  <c r="BM60" i="67"/>
  <c r="BM46" i="67"/>
  <c r="BE60" i="67"/>
  <c r="BE46" i="67"/>
  <c r="AW60" i="67"/>
  <c r="AW46" i="67"/>
  <c r="AO60" i="67"/>
  <c r="AO46" i="67"/>
  <c r="AG60" i="67"/>
  <c r="AG46" i="67"/>
  <c r="Y60" i="67"/>
  <c r="Y46" i="67"/>
  <c r="Q60" i="67"/>
  <c r="Q46" i="67"/>
  <c r="G60" i="67"/>
  <c r="G46" i="67"/>
  <c r="MA62" i="67"/>
  <c r="LS62" i="67"/>
  <c r="LK62" i="67"/>
  <c r="LC62" i="67"/>
  <c r="KU62" i="67"/>
  <c r="KM62" i="67"/>
  <c r="KE62" i="67"/>
  <c r="JW62" i="67"/>
  <c r="JO62" i="67"/>
  <c r="JG62" i="67"/>
  <c r="IY62" i="67"/>
  <c r="IQ62" i="67"/>
  <c r="II62" i="67"/>
  <c r="IA62" i="67"/>
  <c r="HS62" i="67"/>
  <c r="HK62" i="67"/>
  <c r="GU62" i="67"/>
  <c r="GM62" i="67"/>
  <c r="GE62" i="67"/>
  <c r="FW62" i="67"/>
  <c r="FO62" i="67"/>
  <c r="FG62" i="67"/>
  <c r="EY62" i="67"/>
  <c r="EQ62" i="67"/>
  <c r="EI62" i="67"/>
  <c r="EA62" i="67"/>
  <c r="DS62" i="67"/>
  <c r="DK62" i="67"/>
  <c r="DC62" i="67"/>
  <c r="CU62" i="67"/>
  <c r="CM62" i="67"/>
  <c r="CE62" i="67"/>
  <c r="BW62" i="67"/>
  <c r="BO62" i="67"/>
  <c r="BG62" i="67"/>
  <c r="AY62" i="67"/>
  <c r="AQ62" i="67"/>
  <c r="AI62" i="67"/>
  <c r="AA62" i="67"/>
  <c r="S62" i="67"/>
  <c r="K62" i="67"/>
  <c r="C62" i="67"/>
  <c r="I60" i="67"/>
  <c r="MA60" i="67"/>
  <c r="MA46" i="67"/>
  <c r="LS60" i="67"/>
  <c r="LS46" i="67"/>
  <c r="LK60" i="67"/>
  <c r="LK46" i="67"/>
  <c r="LC60" i="67"/>
  <c r="LC46" i="67"/>
  <c r="KU60" i="67"/>
  <c r="KU46" i="67"/>
  <c r="KM60" i="67"/>
  <c r="KM46" i="67"/>
  <c r="KE60" i="67"/>
  <c r="KE46" i="67"/>
  <c r="JW60" i="67"/>
  <c r="JW46" i="67"/>
  <c r="JO60" i="67"/>
  <c r="JO46" i="67"/>
  <c r="JG60" i="67"/>
  <c r="JG46" i="67"/>
  <c r="IY60" i="67"/>
  <c r="IY46" i="67"/>
  <c r="IQ60" i="67"/>
  <c r="IQ46" i="67"/>
  <c r="II60" i="67"/>
  <c r="II46" i="67"/>
  <c r="IA60" i="67"/>
  <c r="IA46" i="67"/>
  <c r="HS60" i="67"/>
  <c r="HS46" i="67"/>
  <c r="HK60" i="67"/>
  <c r="HK46" i="67"/>
  <c r="HC60" i="67"/>
  <c r="HC46" i="67"/>
  <c r="GU60" i="67"/>
  <c r="GU46" i="67"/>
  <c r="GM60" i="67"/>
  <c r="GM46" i="67"/>
  <c r="GE60" i="67"/>
  <c r="GE46" i="67"/>
  <c r="FU60" i="67"/>
  <c r="FU46" i="67"/>
  <c r="FL60" i="67"/>
  <c r="FL46" i="67"/>
  <c r="FD60" i="67"/>
  <c r="FD46" i="67"/>
  <c r="EV60" i="67"/>
  <c r="EV46" i="67"/>
  <c r="EN60" i="67"/>
  <c r="EN46" i="67"/>
  <c r="EF60" i="67"/>
  <c r="EF46" i="67"/>
  <c r="DX60" i="67"/>
  <c r="DX46" i="67"/>
  <c r="DP60" i="67"/>
  <c r="DP46" i="67"/>
  <c r="DH60" i="67"/>
  <c r="DH46" i="67"/>
  <c r="CZ60" i="67"/>
  <c r="CZ46" i="67"/>
  <c r="CR60" i="67"/>
  <c r="CR46" i="67"/>
  <c r="CJ60" i="67"/>
  <c r="CJ46" i="67"/>
  <c r="CB60" i="67"/>
  <c r="CB46" i="67"/>
  <c r="BT60" i="67"/>
  <c r="BT46" i="67"/>
  <c r="BL60" i="67"/>
  <c r="BL46" i="67"/>
  <c r="BD60" i="67"/>
  <c r="BD46" i="67"/>
  <c r="AV60" i="67"/>
  <c r="AV46" i="67"/>
  <c r="AN60" i="67"/>
  <c r="AN46" i="67"/>
  <c r="AF60" i="67"/>
  <c r="AF46" i="67"/>
  <c r="X60" i="67"/>
  <c r="X46" i="67"/>
  <c r="P60" i="67"/>
  <c r="P46" i="67"/>
  <c r="F60" i="67"/>
  <c r="F46" i="67"/>
  <c r="LZ62" i="67"/>
  <c r="LJ62" i="67"/>
  <c r="LB62" i="67"/>
  <c r="KT62" i="67"/>
  <c r="KL62" i="67"/>
  <c r="KD62" i="67"/>
  <c r="JV62" i="67"/>
  <c r="JN62" i="67"/>
  <c r="JF62" i="67"/>
  <c r="IX62" i="67"/>
  <c r="IP62" i="67"/>
  <c r="IH62" i="67"/>
  <c r="HZ62" i="67"/>
  <c r="HR62" i="67"/>
  <c r="HJ62" i="67"/>
  <c r="GT62" i="67"/>
  <c r="GL62" i="67"/>
  <c r="GD62" i="67"/>
  <c r="FV62" i="67"/>
  <c r="FN62" i="67"/>
  <c r="FF62" i="67"/>
  <c r="EX62" i="67"/>
  <c r="EP62" i="67"/>
  <c r="EH62" i="67"/>
  <c r="DZ62" i="67"/>
  <c r="DR62" i="67"/>
  <c r="DJ62" i="67"/>
  <c r="DB62" i="67"/>
  <c r="CT62" i="67"/>
  <c r="CL62" i="67"/>
  <c r="CD62" i="67"/>
  <c r="BV62" i="67"/>
  <c r="BN62" i="67"/>
  <c r="BF62" i="67"/>
  <c r="AX62" i="67"/>
  <c r="AP62" i="67"/>
  <c r="AH62" i="67"/>
  <c r="Z62" i="67"/>
  <c r="R62" i="67"/>
  <c r="B62" i="67"/>
  <c r="LZ60" i="67"/>
  <c r="LZ46" i="67"/>
  <c r="LR60" i="67"/>
  <c r="LR46" i="67"/>
  <c r="LJ60" i="67"/>
  <c r="LJ46" i="67"/>
  <c r="LB60" i="67"/>
  <c r="LB46" i="67"/>
  <c r="KT60" i="67"/>
  <c r="KT46" i="67"/>
  <c r="KL60" i="67"/>
  <c r="KL46" i="67"/>
  <c r="KD60" i="67"/>
  <c r="KD46" i="67"/>
  <c r="JV60" i="67"/>
  <c r="JV46" i="67"/>
  <c r="JN60" i="67"/>
  <c r="JN46" i="67"/>
  <c r="JF60" i="67"/>
  <c r="JF46" i="67"/>
  <c r="IX60" i="67"/>
  <c r="IX46" i="67"/>
  <c r="IP60" i="67"/>
  <c r="IP46" i="67"/>
  <c r="IH60" i="67"/>
  <c r="IH46" i="67"/>
  <c r="HZ60" i="67"/>
  <c r="HZ46" i="67"/>
  <c r="HR60" i="67"/>
  <c r="HR46" i="67"/>
  <c r="HJ60" i="67"/>
  <c r="HJ46" i="67"/>
  <c r="HB60" i="67"/>
  <c r="HB46" i="67"/>
  <c r="GT60" i="67"/>
  <c r="GT46" i="67"/>
  <c r="GL60" i="67"/>
  <c r="GL46" i="67"/>
  <c r="GD60" i="67"/>
  <c r="GD46" i="67"/>
  <c r="FT60" i="67"/>
  <c r="FT46" i="67"/>
  <c r="FK60" i="67"/>
  <c r="FK46" i="67"/>
  <c r="FC60" i="67"/>
  <c r="FC46" i="67"/>
  <c r="EU60" i="67"/>
  <c r="EU46" i="67"/>
  <c r="EM60" i="67"/>
  <c r="EM46" i="67"/>
  <c r="EE60" i="67"/>
  <c r="EE46" i="67"/>
  <c r="DW60" i="67"/>
  <c r="DW46" i="67"/>
  <c r="DO60" i="67"/>
  <c r="DO46" i="67"/>
  <c r="DG60" i="67"/>
  <c r="DG46" i="67"/>
  <c r="CY60" i="67"/>
  <c r="CY46" i="67"/>
  <c r="CQ60" i="67"/>
  <c r="CQ46" i="67"/>
  <c r="CI60" i="67"/>
  <c r="CI46" i="67"/>
  <c r="CA60" i="67"/>
  <c r="CA46" i="67"/>
  <c r="BS60" i="67"/>
  <c r="BS46" i="67"/>
  <c r="BK60" i="67"/>
  <c r="BK46" i="67"/>
  <c r="BC60" i="67"/>
  <c r="BC46" i="67"/>
  <c r="AU60" i="67"/>
  <c r="AU46" i="67"/>
  <c r="AM60" i="67"/>
  <c r="AM46" i="67"/>
  <c r="AE60" i="67"/>
  <c r="AE46" i="67"/>
  <c r="W60" i="67"/>
  <c r="W46" i="67"/>
  <c r="O60" i="67"/>
  <c r="O46" i="67"/>
  <c r="E60" i="67"/>
  <c r="E46" i="67"/>
  <c r="LY62" i="67"/>
  <c r="LQ62" i="67"/>
  <c r="LI62" i="67"/>
  <c r="LA62" i="67"/>
  <c r="KS62" i="67"/>
  <c r="KK62" i="67"/>
  <c r="KC62" i="67"/>
  <c r="JU62" i="67"/>
  <c r="JM62" i="67"/>
  <c r="JE62" i="67"/>
  <c r="IW62" i="67"/>
  <c r="IO62" i="67"/>
  <c r="IG62" i="67"/>
  <c r="HY62" i="67"/>
  <c r="HQ62" i="67"/>
  <c r="HI62" i="67"/>
  <c r="GS62" i="67"/>
  <c r="GK62" i="67"/>
  <c r="GC62" i="67"/>
  <c r="FU62" i="67"/>
  <c r="FM62" i="67"/>
  <c r="FE62" i="67"/>
  <c r="EW62" i="67"/>
  <c r="EO62" i="67"/>
  <c r="EG62" i="67"/>
  <c r="DY62" i="67"/>
  <c r="DQ62" i="67"/>
  <c r="DI62" i="67"/>
  <c r="DA62" i="67"/>
  <c r="CS62" i="67"/>
  <c r="CK62" i="67"/>
  <c r="CC62" i="67"/>
  <c r="BU62" i="67"/>
  <c r="BM62" i="67"/>
  <c r="BE62" i="67"/>
  <c r="AW62" i="67"/>
  <c r="AO62" i="67"/>
  <c r="AG62" i="67"/>
  <c r="Y62" i="67"/>
  <c r="Q62" i="67"/>
  <c r="A62" i="67"/>
  <c r="LY60" i="67"/>
  <c r="LY46" i="67"/>
  <c r="LQ60" i="67"/>
  <c r="LQ46" i="67"/>
  <c r="LI60" i="67"/>
  <c r="LI46" i="67"/>
  <c r="LA60" i="67"/>
  <c r="LA46" i="67"/>
  <c r="KS60" i="67"/>
  <c r="KS46" i="67"/>
  <c r="KK60" i="67"/>
  <c r="KK46" i="67"/>
  <c r="KC60" i="67"/>
  <c r="KC46" i="67"/>
  <c r="JU60" i="67"/>
  <c r="JU46" i="67"/>
  <c r="JM60" i="67"/>
  <c r="JM46" i="67"/>
  <c r="JE60" i="67"/>
  <c r="JE46" i="67"/>
  <c r="IW60" i="67"/>
  <c r="IW46" i="67"/>
  <c r="IO60" i="67"/>
  <c r="IO46" i="67"/>
  <c r="IG60" i="67"/>
  <c r="IG46" i="67"/>
  <c r="HY60" i="67"/>
  <c r="HY46" i="67"/>
  <c r="HQ60" i="67"/>
  <c r="HQ46" i="67"/>
  <c r="HI60" i="67"/>
  <c r="HI46" i="67"/>
  <c r="HA60" i="67"/>
  <c r="HA46" i="67"/>
  <c r="GS60" i="67"/>
  <c r="GS46" i="67"/>
  <c r="GK60" i="67"/>
  <c r="GK46" i="67"/>
  <c r="GC60" i="67"/>
  <c r="GC46" i="67"/>
  <c r="FS60" i="67"/>
  <c r="FS46" i="67"/>
  <c r="FJ60" i="67"/>
  <c r="FJ46" i="67"/>
  <c r="FB60" i="67"/>
  <c r="FB46" i="67"/>
  <c r="ET60" i="67"/>
  <c r="ET46" i="67"/>
  <c r="EL60" i="67"/>
  <c r="EL46" i="67"/>
  <c r="ED60" i="67"/>
  <c r="ED46" i="67"/>
  <c r="DV60" i="67"/>
  <c r="DV46" i="67"/>
  <c r="DN60" i="67"/>
  <c r="DN46" i="67"/>
  <c r="DF60" i="67"/>
  <c r="DF46" i="67"/>
  <c r="CX60" i="67"/>
  <c r="CX46" i="67"/>
  <c r="CP60" i="67"/>
  <c r="CP46" i="67"/>
  <c r="CH60" i="67"/>
  <c r="CH46" i="67"/>
  <c r="BZ60" i="67"/>
  <c r="BZ46" i="67"/>
  <c r="BR60" i="67"/>
  <c r="BR46" i="67"/>
  <c r="BJ60" i="67"/>
  <c r="BJ46" i="67"/>
  <c r="BB60" i="67"/>
  <c r="BB46" i="67"/>
  <c r="AT60" i="67"/>
  <c r="AT46" i="67"/>
  <c r="AL60" i="67"/>
  <c r="AL46" i="67"/>
  <c r="AD60" i="67"/>
  <c r="AD46" i="67"/>
  <c r="V60" i="67"/>
  <c r="V46" i="67"/>
  <c r="N60" i="67"/>
  <c r="N46" i="67"/>
  <c r="D60" i="67"/>
  <c r="D46" i="67"/>
  <c r="LX62" i="67"/>
  <c r="LP62" i="67"/>
  <c r="LH62" i="67"/>
  <c r="KZ62" i="67"/>
  <c r="KR62" i="67"/>
  <c r="KJ62" i="67"/>
  <c r="KB62" i="67"/>
  <c r="JT62" i="67"/>
  <c r="JL62" i="67"/>
  <c r="JD62" i="67"/>
  <c r="IV62" i="67"/>
  <c r="IN62" i="67"/>
  <c r="IF62" i="67"/>
  <c r="HX62" i="67"/>
  <c r="HP62" i="67"/>
  <c r="HH62" i="67"/>
  <c r="GR62" i="67"/>
  <c r="GJ62" i="67"/>
  <c r="GB62" i="67"/>
  <c r="FT62" i="67"/>
  <c r="FL62" i="67"/>
  <c r="FD62" i="67"/>
  <c r="EV62" i="67"/>
  <c r="EN62" i="67"/>
  <c r="EF62" i="67"/>
  <c r="DX62" i="67"/>
  <c r="DP62" i="67"/>
  <c r="DH62" i="67"/>
  <c r="CZ62" i="67"/>
  <c r="CR62" i="67"/>
  <c r="CJ62" i="67"/>
  <c r="CB62" i="67"/>
  <c r="BT62" i="67"/>
  <c r="BL62" i="67"/>
  <c r="BD62" i="67"/>
  <c r="AV62" i="67"/>
  <c r="AN62" i="67"/>
  <c r="AF62" i="67"/>
  <c r="X62" i="67"/>
  <c r="P62" i="67"/>
  <c r="H62" i="67"/>
  <c r="JE31" i="67"/>
  <c r="JE17" i="67"/>
  <c r="I31" i="67"/>
  <c r="I17" i="67"/>
  <c r="J49" i="67"/>
  <c r="J61" i="67"/>
  <c r="BT31" i="67"/>
  <c r="BT17" i="67"/>
  <c r="I49" i="67"/>
  <c r="I61" i="67"/>
  <c r="LU23" i="67"/>
  <c r="LM23" i="67"/>
  <c r="LE23" i="67"/>
  <c r="KW23" i="67"/>
  <c r="KO23" i="67"/>
  <c r="KG23" i="67"/>
  <c r="JY23" i="67"/>
  <c r="JQ23" i="67"/>
  <c r="JI23" i="67"/>
  <c r="JA23" i="67"/>
  <c r="IS23" i="67"/>
  <c r="IK23" i="67"/>
  <c r="IC23" i="67"/>
  <c r="HU23" i="67"/>
  <c r="HM23" i="67"/>
  <c r="HE23" i="67"/>
  <c r="GW23" i="67"/>
  <c r="GO23" i="67"/>
  <c r="GG23" i="67"/>
  <c r="FY23" i="67"/>
  <c r="BS31" i="67"/>
  <c r="BS17" i="67"/>
  <c r="JB31" i="67"/>
  <c r="JB17" i="67"/>
  <c r="CH31" i="67"/>
  <c r="CH17" i="67"/>
  <c r="BR31" i="67"/>
  <c r="BR17" i="67"/>
  <c r="JA31" i="67"/>
  <c r="JA17" i="67"/>
  <c r="LZ23" i="67"/>
  <c r="LJ23" i="67"/>
  <c r="LB23" i="67"/>
  <c r="KT23" i="67"/>
  <c r="KL23" i="67"/>
  <c r="KD23" i="67"/>
  <c r="JV23" i="67"/>
  <c r="JN23" i="67"/>
  <c r="JF23" i="67"/>
  <c r="IX23" i="67"/>
  <c r="IP23" i="67"/>
  <c r="IH23" i="67"/>
  <c r="JH31" i="67"/>
  <c r="JH17" i="67"/>
  <c r="LY23" i="67"/>
  <c r="LQ23" i="67"/>
  <c r="LI23" i="67"/>
  <c r="LA23" i="67"/>
  <c r="KS23" i="67"/>
  <c r="KK23" i="67"/>
  <c r="KC23" i="67"/>
  <c r="JU23" i="67"/>
  <c r="JM23" i="67"/>
  <c r="JE23" i="67"/>
  <c r="IW23" i="67"/>
  <c r="IO23" i="67"/>
  <c r="IG23" i="67"/>
  <c r="HY23" i="67"/>
  <c r="HQ23" i="67"/>
  <c r="HI23" i="67"/>
  <c r="HA23" i="67"/>
  <c r="GS23" i="67"/>
  <c r="GK23" i="67"/>
  <c r="GC23" i="67"/>
  <c r="FU23" i="67"/>
  <c r="FM23" i="67"/>
  <c r="FE23" i="67"/>
  <c r="EW23" i="67"/>
  <c r="EO23" i="67"/>
  <c r="CE31" i="67"/>
  <c r="CE17" i="67"/>
  <c r="LX23" i="67"/>
  <c r="LP23" i="67"/>
  <c r="LH23" i="67"/>
  <c r="KZ23" i="67"/>
  <c r="KR23" i="67"/>
  <c r="KJ23" i="67"/>
  <c r="KB23" i="67"/>
  <c r="JT23" i="67"/>
  <c r="JL23" i="67"/>
  <c r="JD23" i="67"/>
  <c r="IV23" i="67"/>
  <c r="IN23" i="67"/>
  <c r="IF23" i="67"/>
  <c r="HX23" i="67"/>
  <c r="HP23" i="67"/>
  <c r="HH23" i="67"/>
  <c r="GZ23" i="67"/>
  <c r="GR23" i="67"/>
  <c r="GJ23" i="67"/>
  <c r="GB23" i="67"/>
  <c r="FT23" i="67"/>
  <c r="FL23" i="67"/>
  <c r="FD23" i="67"/>
  <c r="EV23" i="67"/>
  <c r="EN23" i="67"/>
  <c r="EF23" i="67"/>
  <c r="DX23" i="67"/>
  <c r="DP23" i="67"/>
  <c r="DH23" i="67"/>
  <c r="CZ23" i="67"/>
  <c r="CR23" i="67"/>
  <c r="CJ23" i="67"/>
  <c r="CB23" i="67"/>
  <c r="BT23" i="67"/>
  <c r="BL23" i="67"/>
  <c r="BD23" i="67"/>
  <c r="AV23" i="67"/>
  <c r="AN23" i="67"/>
  <c r="AF23" i="67"/>
  <c r="X23" i="67"/>
  <c r="P23" i="67"/>
  <c r="H23" i="67"/>
  <c r="LV17" i="67"/>
  <c r="LN17" i="67"/>
  <c r="LF17" i="67"/>
  <c r="KX17" i="67"/>
  <c r="IS17" i="67"/>
  <c r="IK17" i="67"/>
  <c r="IC17" i="67"/>
  <c r="HU17" i="67"/>
  <c r="HM17" i="67"/>
  <c r="HE17" i="67"/>
  <c r="GW17" i="67"/>
  <c r="GO17" i="67"/>
  <c r="GG17" i="67"/>
  <c r="FY17" i="67"/>
  <c r="FQ17" i="67"/>
  <c r="FI17" i="67"/>
  <c r="FA17" i="67"/>
  <c r="ES17" i="67"/>
  <c r="EK17" i="67"/>
  <c r="EC17" i="67"/>
  <c r="DU17" i="67"/>
  <c r="DM17" i="67"/>
  <c r="DE17" i="67"/>
  <c r="CW17" i="67"/>
  <c r="CO17" i="67"/>
  <c r="CF17" i="67"/>
  <c r="BX17" i="67"/>
  <c r="BO17" i="67"/>
  <c r="BG17" i="67"/>
  <c r="AY17" i="67"/>
  <c r="AQ17" i="67"/>
  <c r="AI17" i="67"/>
  <c r="AA17" i="67"/>
  <c r="S17" i="67"/>
  <c r="K17" i="67"/>
  <c r="C17" i="67"/>
  <c r="LV16" i="67"/>
  <c r="LN16" i="67"/>
  <c r="LF16" i="67"/>
  <c r="KX16" i="67"/>
  <c r="KP16" i="67"/>
  <c r="KH16" i="67"/>
  <c r="JZ16" i="67"/>
  <c r="JR16" i="67"/>
  <c r="JJ16" i="67"/>
  <c r="JB16" i="67"/>
  <c r="IT16" i="67"/>
  <c r="IL16" i="67"/>
  <c r="ID16" i="67"/>
  <c r="HV16" i="67"/>
  <c r="HN16" i="67"/>
  <c r="GT16" i="67"/>
  <c r="GL16" i="67"/>
  <c r="GD16" i="67"/>
  <c r="FV16" i="67"/>
  <c r="FN16" i="67"/>
  <c r="FF16" i="67"/>
  <c r="EX16" i="67"/>
  <c r="EP16" i="67"/>
  <c r="EH16" i="67"/>
  <c r="DZ16" i="67"/>
  <c r="DR16" i="67"/>
  <c r="DJ16" i="67"/>
  <c r="DB16" i="67"/>
  <c r="CT16" i="67"/>
  <c r="CL16" i="67"/>
  <c r="CD16" i="67"/>
  <c r="BV16" i="67"/>
  <c r="BN16" i="67"/>
  <c r="BF16" i="67"/>
  <c r="AX16" i="67"/>
  <c r="AP16" i="67"/>
  <c r="AH16" i="67"/>
  <c r="Z16" i="67"/>
  <c r="R16" i="67"/>
  <c r="B16" i="67"/>
  <c r="LW23" i="67"/>
  <c r="LO23" i="67"/>
  <c r="LG23" i="67"/>
  <c r="KY23" i="67"/>
  <c r="KQ23" i="67"/>
  <c r="KI23" i="67"/>
  <c r="KA23" i="67"/>
  <c r="JS23" i="67"/>
  <c r="JK23" i="67"/>
  <c r="JC23" i="67"/>
  <c r="IU23" i="67"/>
  <c r="IM23" i="67"/>
  <c r="IE23" i="67"/>
  <c r="HW23" i="67"/>
  <c r="HO23" i="67"/>
  <c r="HG23" i="67"/>
  <c r="GY23" i="67"/>
  <c r="GQ23" i="67"/>
  <c r="GI23" i="67"/>
  <c r="GA23" i="67"/>
  <c r="FS23" i="67"/>
  <c r="FK23" i="67"/>
  <c r="FC23" i="67"/>
  <c r="EU23" i="67"/>
  <c r="EM23" i="67"/>
  <c r="EE23" i="67"/>
  <c r="DW23" i="67"/>
  <c r="DO23" i="67"/>
  <c r="DG23" i="67"/>
  <c r="CY23" i="67"/>
  <c r="CQ23" i="67"/>
  <c r="CI23" i="67"/>
  <c r="CA23" i="67"/>
  <c r="BS23" i="67"/>
  <c r="BK23" i="67"/>
  <c r="BC23" i="67"/>
  <c r="AU23" i="67"/>
  <c r="AM23" i="67"/>
  <c r="AE23" i="67"/>
  <c r="W23" i="67"/>
  <c r="O23" i="67"/>
  <c r="G23" i="67"/>
  <c r="LU17" i="67"/>
  <c r="LM17" i="67"/>
  <c r="LE17" i="67"/>
  <c r="KW17" i="67"/>
  <c r="KO17" i="67"/>
  <c r="KG17" i="67"/>
  <c r="JY17" i="67"/>
  <c r="JQ17" i="67"/>
  <c r="JI17" i="67"/>
  <c r="IZ17" i="67"/>
  <c r="IR17" i="67"/>
  <c r="IJ17" i="67"/>
  <c r="IB17" i="67"/>
  <c r="HT17" i="67"/>
  <c r="HL17" i="67"/>
  <c r="HD17" i="67"/>
  <c r="GV17" i="67"/>
  <c r="GN17" i="67"/>
  <c r="GF17" i="67"/>
  <c r="FX17" i="67"/>
  <c r="FP17" i="67"/>
  <c r="FH17" i="67"/>
  <c r="EZ17" i="67"/>
  <c r="ER17" i="67"/>
  <c r="EJ17" i="67"/>
  <c r="EB17" i="67"/>
  <c r="DT17" i="67"/>
  <c r="DL17" i="67"/>
  <c r="DD17" i="67"/>
  <c r="CV17" i="67"/>
  <c r="CN17" i="67"/>
  <c r="BW17" i="67"/>
  <c r="LV23" i="67"/>
  <c r="LN23" i="67"/>
  <c r="LF23" i="67"/>
  <c r="KX23" i="67"/>
  <c r="KP23" i="67"/>
  <c r="KH23" i="67"/>
  <c r="JZ23" i="67"/>
  <c r="JR23" i="67"/>
  <c r="JJ23" i="67"/>
  <c r="JB23" i="67"/>
  <c r="IT23" i="67"/>
  <c r="IL23" i="67"/>
  <c r="ID23" i="67"/>
  <c r="HV23" i="67"/>
  <c r="HN23" i="67"/>
  <c r="HF23" i="67"/>
  <c r="GX23" i="67"/>
  <c r="GP23" i="67"/>
  <c r="GH23" i="67"/>
  <c r="FZ23" i="67"/>
  <c r="FR23" i="67"/>
  <c r="FJ23" i="67"/>
  <c r="FB23" i="67"/>
  <c r="ET23" i="67"/>
  <c r="EL23" i="67"/>
  <c r="ED23" i="67"/>
  <c r="DV23" i="67"/>
  <c r="DN23" i="67"/>
  <c r="DF23" i="67"/>
  <c r="CX23" i="67"/>
  <c r="CP23" i="67"/>
  <c r="CH23" i="67"/>
  <c r="BZ23" i="67"/>
  <c r="BR23" i="67"/>
  <c r="BJ23" i="67"/>
  <c r="BB23" i="67"/>
  <c r="AT23" i="67"/>
  <c r="AL23" i="67"/>
  <c r="AD23" i="67"/>
  <c r="V23" i="67"/>
  <c r="N23" i="67"/>
  <c r="F23" i="67"/>
  <c r="LT17" i="67"/>
  <c r="LL17" i="67"/>
  <c r="LD17" i="67"/>
  <c r="KV17" i="67"/>
  <c r="KN17" i="67"/>
  <c r="KF17" i="67"/>
  <c r="JX17" i="67"/>
  <c r="JP17" i="67"/>
  <c r="IY17" i="67"/>
  <c r="IQ17" i="67"/>
  <c r="II17" i="67"/>
  <c r="IA17" i="67"/>
  <c r="HS17" i="67"/>
  <c r="HK17" i="67"/>
  <c r="HC17" i="67"/>
  <c r="GU17" i="67"/>
  <c r="GM17" i="67"/>
  <c r="GE17" i="67"/>
  <c r="FW17" i="67"/>
  <c r="FO17" i="67"/>
  <c r="FG17" i="67"/>
  <c r="EY17" i="67"/>
  <c r="EQ17" i="67"/>
  <c r="EI17" i="67"/>
  <c r="EA17" i="67"/>
  <c r="DS17" i="67"/>
  <c r="DK17" i="67"/>
  <c r="DC17" i="67"/>
  <c r="CU17" i="67"/>
  <c r="CM17" i="67"/>
  <c r="BM17" i="67"/>
  <c r="BE17" i="67"/>
  <c r="AW17" i="67"/>
  <c r="AO17" i="67"/>
  <c r="AG17" i="67"/>
  <c r="Y17" i="67"/>
  <c r="Q17" i="67"/>
  <c r="A17" i="67"/>
  <c r="LT16" i="67"/>
  <c r="LL16" i="67"/>
  <c r="LD16" i="67"/>
  <c r="KV16" i="67"/>
  <c r="KN16" i="67"/>
  <c r="KF16" i="67"/>
  <c r="JX16" i="67"/>
  <c r="JP16" i="67"/>
  <c r="JH16" i="67"/>
  <c r="IZ16" i="67"/>
  <c r="IR16" i="67"/>
  <c r="IJ16" i="67"/>
  <c r="IB16" i="67"/>
  <c r="HT16" i="67"/>
  <c r="HL16" i="67"/>
  <c r="FQ23" i="67"/>
  <c r="FI23" i="67"/>
  <c r="FA23" i="67"/>
  <c r="ES23" i="67"/>
  <c r="EK23" i="67"/>
  <c r="EC23" i="67"/>
  <c r="DU23" i="67"/>
  <c r="DM23" i="67"/>
  <c r="DE23" i="67"/>
  <c r="CW23" i="67"/>
  <c r="CO23" i="67"/>
  <c r="CG23" i="67"/>
  <c r="BY23" i="67"/>
  <c r="BQ23" i="67"/>
  <c r="BI23" i="67"/>
  <c r="BA23" i="67"/>
  <c r="AS23" i="67"/>
  <c r="AK23" i="67"/>
  <c r="AC23" i="67"/>
  <c r="M23" i="67"/>
  <c r="E23" i="67"/>
  <c r="MA17" i="67"/>
  <c r="LS17" i="67"/>
  <c r="LK17" i="67"/>
  <c r="LC17" i="67"/>
  <c r="KU17" i="67"/>
  <c r="KM17" i="67"/>
  <c r="KE17" i="67"/>
  <c r="JW17" i="67"/>
  <c r="JO17" i="67"/>
  <c r="JG17" i="67"/>
  <c r="CC17" i="67"/>
  <c r="BU17" i="67"/>
  <c r="BL17" i="67"/>
  <c r="BD17" i="67"/>
  <c r="AV17" i="67"/>
  <c r="AN17" i="67"/>
  <c r="AF17" i="67"/>
  <c r="X17" i="67"/>
  <c r="P17" i="67"/>
  <c r="H17" i="67"/>
  <c r="LS16" i="67"/>
  <c r="LK16" i="67"/>
  <c r="LC16" i="67"/>
  <c r="KU16" i="67"/>
  <c r="KM16" i="67"/>
  <c r="KE16" i="67"/>
  <c r="JW16" i="67"/>
  <c r="JO16" i="67"/>
  <c r="JG16" i="67"/>
  <c r="IY16" i="67"/>
  <c r="IQ16" i="67"/>
  <c r="II16" i="67"/>
  <c r="IA16" i="67"/>
  <c r="HS16" i="67"/>
  <c r="HK16" i="67"/>
  <c r="GY16" i="67"/>
  <c r="GQ16" i="67"/>
  <c r="GI16" i="67"/>
  <c r="LT23" i="67"/>
  <c r="LL23" i="67"/>
  <c r="LD23" i="67"/>
  <c r="KV23" i="67"/>
  <c r="KN23" i="67"/>
  <c r="KF23" i="67"/>
  <c r="JX23" i="67"/>
  <c r="JP23" i="67"/>
  <c r="JH23" i="67"/>
  <c r="IZ23" i="67"/>
  <c r="IR23" i="67"/>
  <c r="IJ23" i="67"/>
  <c r="IB23" i="67"/>
  <c r="HT23" i="67"/>
  <c r="HL23" i="67"/>
  <c r="HD23" i="67"/>
  <c r="GV23" i="67"/>
  <c r="GN23" i="67"/>
  <c r="GF23" i="67"/>
  <c r="FX23" i="67"/>
  <c r="FP23" i="67"/>
  <c r="FH23" i="67"/>
  <c r="EZ23" i="67"/>
  <c r="ER23" i="67"/>
  <c r="EJ23" i="67"/>
  <c r="EB23" i="67"/>
  <c r="DT23" i="67"/>
  <c r="DL23" i="67"/>
  <c r="DD23" i="67"/>
  <c r="CV23" i="67"/>
  <c r="CN23" i="67"/>
  <c r="CF23" i="67"/>
  <c r="BX23" i="67"/>
  <c r="BP23" i="67"/>
  <c r="BH23" i="67"/>
  <c r="AZ23" i="67"/>
  <c r="AR23" i="67"/>
  <c r="AJ23" i="67"/>
  <c r="AB23" i="67"/>
  <c r="L23" i="67"/>
  <c r="D23" i="67"/>
  <c r="LZ17" i="67"/>
  <c r="LJ17" i="67"/>
  <c r="LB17" i="67"/>
  <c r="KT17" i="67"/>
  <c r="IW17" i="67"/>
  <c r="IO17" i="67"/>
  <c r="IG17" i="67"/>
  <c r="HY17" i="67"/>
  <c r="HQ17" i="67"/>
  <c r="HI17" i="67"/>
  <c r="HA17" i="67"/>
  <c r="GS17" i="67"/>
  <c r="GK17" i="67"/>
  <c r="GC17" i="67"/>
  <c r="FU17" i="67"/>
  <c r="FM17" i="67"/>
  <c r="FE17" i="67"/>
  <c r="EW17" i="67"/>
  <c r="EO17" i="67"/>
  <c r="EG17" i="67"/>
  <c r="DY17" i="67"/>
  <c r="DQ17" i="67"/>
  <c r="DI17" i="67"/>
  <c r="DA17" i="67"/>
  <c r="CS17" i="67"/>
  <c r="CK17" i="67"/>
  <c r="CB17" i="67"/>
  <c r="BK17" i="67"/>
  <c r="BC17" i="67"/>
  <c r="AU17" i="67"/>
  <c r="AM17" i="67"/>
  <c r="AE17" i="67"/>
  <c r="W17" i="67"/>
  <c r="O17" i="67"/>
  <c r="G17" i="67"/>
  <c r="LZ16" i="67"/>
  <c r="LJ16" i="67"/>
  <c r="LB16" i="67"/>
  <c r="KT16" i="67"/>
  <c r="KL16" i="67"/>
  <c r="KD16" i="67"/>
  <c r="JV16" i="67"/>
  <c r="JN16" i="67"/>
  <c r="JF16" i="67"/>
  <c r="IX16" i="67"/>
  <c r="IP16" i="67"/>
  <c r="IH16" i="67"/>
  <c r="HZ16" i="67"/>
  <c r="HR16" i="67"/>
  <c r="HJ16" i="67"/>
  <c r="GX16" i="67"/>
  <c r="GP16" i="67"/>
  <c r="GH16" i="67"/>
  <c r="MA23" i="67"/>
  <c r="LS23" i="67"/>
  <c r="LK23" i="67"/>
  <c r="LC23" i="67"/>
  <c r="KU23" i="67"/>
  <c r="KM23" i="67"/>
  <c r="KE23" i="67"/>
  <c r="JW23" i="67"/>
  <c r="JO23" i="67"/>
  <c r="JG23" i="67"/>
  <c r="IY23" i="67"/>
  <c r="IQ23" i="67"/>
  <c r="II23" i="67"/>
  <c r="IA23" i="67"/>
  <c r="HS23" i="67"/>
  <c r="HK23" i="67"/>
  <c r="HC23" i="67"/>
  <c r="GU23" i="67"/>
  <c r="GM23" i="67"/>
  <c r="GE23" i="67"/>
  <c r="FW23" i="67"/>
  <c r="FO23" i="67"/>
  <c r="FG23" i="67"/>
  <c r="EY23" i="67"/>
  <c r="EQ23" i="67"/>
  <c r="EI23" i="67"/>
  <c r="EA23" i="67"/>
  <c r="DS23" i="67"/>
  <c r="DK23" i="67"/>
  <c r="DC23" i="67"/>
  <c r="CU23" i="67"/>
  <c r="CM23" i="67"/>
  <c r="CE23" i="67"/>
  <c r="BW23" i="67"/>
  <c r="BO23" i="67"/>
  <c r="BG23" i="67"/>
  <c r="AY23" i="67"/>
  <c r="AQ23" i="67"/>
  <c r="AI23" i="67"/>
  <c r="AA23" i="67"/>
  <c r="S23" i="67"/>
  <c r="K23" i="67"/>
  <c r="C23" i="67"/>
  <c r="LY17" i="67"/>
  <c r="LQ17" i="67"/>
  <c r="LI17" i="67"/>
  <c r="LA17" i="67"/>
  <c r="KS17" i="67"/>
  <c r="KK17" i="67"/>
  <c r="KC17" i="67"/>
  <c r="JU17" i="67"/>
  <c r="JM17" i="67"/>
  <c r="IV17" i="67"/>
  <c r="IN17" i="67"/>
  <c r="IF17" i="67"/>
  <c r="HX17" i="67"/>
  <c r="HP17" i="67"/>
  <c r="HH17" i="67"/>
  <c r="GZ17" i="67"/>
  <c r="GR17" i="67"/>
  <c r="GJ17" i="67"/>
  <c r="GB17" i="67"/>
  <c r="FT17" i="67"/>
  <c r="FL17" i="67"/>
  <c r="FD17" i="67"/>
  <c r="EV17" i="67"/>
  <c r="EN17" i="67"/>
  <c r="EF17" i="67"/>
  <c r="DX17" i="67"/>
  <c r="DP17" i="67"/>
  <c r="DH17" i="67"/>
  <c r="CZ17" i="67"/>
  <c r="CR17" i="67"/>
  <c r="CJ17" i="67"/>
  <c r="CA17" i="67"/>
  <c r="HZ23" i="67"/>
  <c r="HR23" i="67"/>
  <c r="HJ23" i="67"/>
  <c r="HB23" i="67"/>
  <c r="GT23" i="67"/>
  <c r="GL23" i="67"/>
  <c r="GD23" i="67"/>
  <c r="FV23" i="67"/>
  <c r="FN23" i="67"/>
  <c r="FF23" i="67"/>
  <c r="EX23" i="67"/>
  <c r="EP23" i="67"/>
  <c r="EH23" i="67"/>
  <c r="DZ23" i="67"/>
  <c r="DR23" i="67"/>
  <c r="DJ23" i="67"/>
  <c r="DB23" i="67"/>
  <c r="CT23" i="67"/>
  <c r="CL23" i="67"/>
  <c r="CD23" i="67"/>
  <c r="BV23" i="67"/>
  <c r="BN23" i="67"/>
  <c r="BF23" i="67"/>
  <c r="AX23" i="67"/>
  <c r="AP23" i="67"/>
  <c r="AH23" i="67"/>
  <c r="Z23" i="67"/>
  <c r="R23" i="67"/>
  <c r="B23" i="67"/>
  <c r="LX17" i="67"/>
  <c r="LP17" i="67"/>
  <c r="LH17" i="67"/>
  <c r="KZ17" i="67"/>
  <c r="KR17" i="67"/>
  <c r="KJ17" i="67"/>
  <c r="KB17" i="67"/>
  <c r="JT17" i="67"/>
  <c r="JL17" i="67"/>
  <c r="JD17" i="67"/>
  <c r="IU17" i="67"/>
  <c r="IM17" i="67"/>
  <c r="IE17" i="67"/>
  <c r="HW17" i="67"/>
  <c r="HO17" i="67"/>
  <c r="HG17" i="67"/>
  <c r="GY17" i="67"/>
  <c r="GQ17" i="67"/>
  <c r="GI17" i="67"/>
  <c r="GA17" i="67"/>
  <c r="FS17" i="67"/>
  <c r="FK17" i="67"/>
  <c r="FC17" i="67"/>
  <c r="EU17" i="67"/>
  <c r="EM17" i="67"/>
  <c r="EE17" i="67"/>
  <c r="DW17" i="67"/>
  <c r="DO17" i="67"/>
  <c r="DG17" i="67"/>
  <c r="CY17" i="67"/>
  <c r="CQ17" i="67"/>
  <c r="CI17" i="67"/>
  <c r="BQ17" i="67"/>
  <c r="BI17" i="67"/>
  <c r="BA17" i="67"/>
  <c r="AS17" i="67"/>
  <c r="AK17" i="67"/>
  <c r="AC17" i="67"/>
  <c r="U17" i="67"/>
  <c r="M17" i="67"/>
  <c r="E17" i="67"/>
  <c r="LX16" i="67"/>
  <c r="LP16" i="67"/>
  <c r="LH16" i="67"/>
  <c r="KZ16" i="67"/>
  <c r="KR16" i="67"/>
  <c r="KJ16" i="67"/>
  <c r="KB16" i="67"/>
  <c r="JT16" i="67"/>
  <c r="JL16" i="67"/>
  <c r="JD16" i="67"/>
  <c r="IV16" i="67"/>
  <c r="IN16" i="67"/>
  <c r="IF16" i="67"/>
  <c r="HX16" i="67"/>
  <c r="EG23" i="67"/>
  <c r="DY23" i="67"/>
  <c r="DQ23" i="67"/>
  <c r="DI23" i="67"/>
  <c r="DA23" i="67"/>
  <c r="CS23" i="67"/>
  <c r="CK23" i="67"/>
  <c r="CC23" i="67"/>
  <c r="BU23" i="67"/>
  <c r="BM23" i="67"/>
  <c r="BE23" i="67"/>
  <c r="AW23" i="67"/>
  <c r="AO23" i="67"/>
  <c r="AG23" i="67"/>
  <c r="Y23" i="67"/>
  <c r="Q23" i="67"/>
  <c r="A23" i="67"/>
  <c r="LW17" i="67"/>
  <c r="LO17" i="67"/>
  <c r="LG17" i="67"/>
  <c r="KY17" i="67"/>
  <c r="KQ17" i="67"/>
  <c r="KI17" i="67"/>
  <c r="KA17" i="67"/>
  <c r="JS17" i="67"/>
  <c r="JK17" i="67"/>
  <c r="JC17" i="67"/>
  <c r="CG17" i="67"/>
  <c r="BY17" i="67"/>
  <c r="BP17" i="67"/>
  <c r="BH17" i="67"/>
  <c r="AZ17" i="67"/>
  <c r="AR17" i="67"/>
  <c r="AJ17" i="67"/>
  <c r="AB17" i="67"/>
  <c r="T17" i="67"/>
  <c r="L17" i="67"/>
  <c r="D17" i="67"/>
  <c r="LW16" i="67"/>
  <c r="LO16" i="67"/>
  <c r="LG16" i="67"/>
  <c r="KY16" i="67"/>
  <c r="KQ16" i="67"/>
  <c r="KI16" i="67"/>
  <c r="KA16" i="67"/>
  <c r="JS16" i="67"/>
  <c r="JK16" i="67"/>
  <c r="JC16" i="67"/>
  <c r="IU16" i="67"/>
  <c r="IM16" i="67"/>
  <c r="IE16" i="67"/>
  <c r="HW16" i="67"/>
  <c r="HO16" i="67"/>
  <c r="GU16" i="67"/>
  <c r="GM16" i="67"/>
  <c r="GE16" i="67"/>
  <c r="FW16" i="67"/>
  <c r="FO16" i="67"/>
  <c r="FG16" i="67"/>
  <c r="EY16" i="67"/>
  <c r="EQ16" i="67"/>
  <c r="EI16" i="67"/>
  <c r="EA16" i="67"/>
  <c r="DS16" i="67"/>
  <c r="DK16" i="67"/>
  <c r="DC16" i="67"/>
  <c r="CU16" i="67"/>
  <c r="CM16" i="67"/>
  <c r="CE16" i="67"/>
  <c r="BW16" i="67"/>
  <c r="BO16" i="67"/>
  <c r="BG16" i="67"/>
  <c r="AY16" i="67"/>
  <c r="AQ16" i="67"/>
  <c r="AI16" i="67"/>
  <c r="AA16" i="67"/>
  <c r="S16" i="67"/>
  <c r="K16" i="67"/>
  <c r="KP17" i="67"/>
  <c r="KH17" i="67"/>
  <c r="JZ17" i="67"/>
  <c r="JR17" i="67"/>
  <c r="JJ17" i="67"/>
  <c r="IT17" i="67"/>
  <c r="IL17" i="67"/>
  <c r="ID17" i="67"/>
  <c r="HV17" i="67"/>
  <c r="HN17" i="67"/>
  <c r="HF17" i="67"/>
  <c r="GX17" i="67"/>
  <c r="GP17" i="67"/>
  <c r="GH17" i="67"/>
  <c r="FZ17" i="67"/>
  <c r="FR17" i="67"/>
  <c r="FJ17" i="67"/>
  <c r="FB17" i="67"/>
  <c r="ET17" i="67"/>
  <c r="EL17" i="67"/>
  <c r="ED17" i="67"/>
  <c r="DV17" i="67"/>
  <c r="DN17" i="67"/>
  <c r="DF17" i="67"/>
  <c r="CX17" i="67"/>
  <c r="CP17" i="67"/>
  <c r="BZ17" i="67"/>
  <c r="BJ17" i="67"/>
  <c r="BB17" i="67"/>
  <c r="AT17" i="67"/>
  <c r="AL17" i="67"/>
  <c r="AD17" i="67"/>
  <c r="V17" i="67"/>
  <c r="N17" i="67"/>
  <c r="F17" i="67"/>
  <c r="LY16" i="67"/>
  <c r="LQ16" i="67"/>
  <c r="LI16" i="67"/>
  <c r="LA16" i="67"/>
  <c r="KS16" i="67"/>
  <c r="KK16" i="67"/>
  <c r="KC16" i="67"/>
  <c r="JU16" i="67"/>
  <c r="JM16" i="67"/>
  <c r="JE16" i="67"/>
  <c r="IW16" i="67"/>
  <c r="IO16" i="67"/>
  <c r="IG16" i="67"/>
  <c r="HY16" i="67"/>
  <c r="HQ16" i="67"/>
  <c r="HI16" i="67"/>
  <c r="GS16" i="67"/>
  <c r="GK16" i="67"/>
  <c r="GC16" i="67"/>
  <c r="FU16" i="67"/>
  <c r="FM16" i="67"/>
  <c r="FE16" i="67"/>
  <c r="EW16" i="67"/>
  <c r="EO16" i="67"/>
  <c r="EG16" i="67"/>
  <c r="DY16" i="67"/>
  <c r="DQ16" i="67"/>
  <c r="DI16" i="67"/>
  <c r="DA16" i="67"/>
  <c r="CS16" i="67"/>
  <c r="CK16" i="67"/>
  <c r="CC16" i="67"/>
  <c r="BU16" i="67"/>
  <c r="BM16" i="67"/>
  <c r="BE16" i="67"/>
  <c r="AW16" i="67"/>
  <c r="AO16" i="67"/>
  <c r="AG16" i="67"/>
  <c r="Y16" i="67"/>
  <c r="Q16" i="67"/>
  <c r="A16" i="67"/>
  <c r="HE57" i="67"/>
  <c r="HE68" i="67"/>
  <c r="LU68" i="67"/>
  <c r="LU47" i="67"/>
  <c r="LL68" i="67"/>
  <c r="LL47" i="67"/>
  <c r="LD68" i="67"/>
  <c r="LD47" i="67"/>
  <c r="KV68" i="67"/>
  <c r="KV47" i="67"/>
  <c r="KN68" i="67"/>
  <c r="KN47" i="67"/>
  <c r="KF68" i="67"/>
  <c r="KF47" i="67"/>
  <c r="JX68" i="67"/>
  <c r="JX47" i="67"/>
  <c r="JP68" i="67"/>
  <c r="JP47" i="67"/>
  <c r="JH68" i="67"/>
  <c r="JH47" i="67"/>
  <c r="IZ68" i="67"/>
  <c r="IZ47" i="67"/>
  <c r="IR68" i="67"/>
  <c r="IR47" i="67"/>
  <c r="IJ68" i="67"/>
  <c r="IJ47" i="67"/>
  <c r="IB68" i="67"/>
  <c r="IB47" i="67"/>
  <c r="HT68" i="67"/>
  <c r="HT47" i="67"/>
  <c r="HL68" i="67"/>
  <c r="HL47" i="67"/>
  <c r="GV68" i="67"/>
  <c r="GV47" i="67"/>
  <c r="GN68" i="67"/>
  <c r="GN47" i="67"/>
  <c r="GF68" i="67"/>
  <c r="GF47" i="67"/>
  <c r="FX68" i="67"/>
  <c r="FX47" i="67"/>
  <c r="FP68" i="67"/>
  <c r="FP47" i="67"/>
  <c r="FH68" i="67"/>
  <c r="FH47" i="67"/>
  <c r="EZ68" i="67"/>
  <c r="EZ47" i="67"/>
  <c r="ER68" i="67"/>
  <c r="ER47" i="67"/>
  <c r="EJ68" i="67"/>
  <c r="EJ47" i="67"/>
  <c r="EB68" i="67"/>
  <c r="EB47" i="67"/>
  <c r="DT68" i="67"/>
  <c r="DT47" i="67"/>
  <c r="DL68" i="67"/>
  <c r="DL47" i="67"/>
  <c r="DD68" i="67"/>
  <c r="DD47" i="67"/>
  <c r="CV68" i="67"/>
  <c r="CV47" i="67"/>
  <c r="CN68" i="67"/>
  <c r="CN47" i="67"/>
  <c r="CF68" i="67"/>
  <c r="CF47" i="67"/>
  <c r="BX68" i="67"/>
  <c r="BX47" i="67"/>
  <c r="BP68" i="67"/>
  <c r="BP47" i="67"/>
  <c r="BH68" i="67"/>
  <c r="BH47" i="67"/>
  <c r="AZ68" i="67"/>
  <c r="AZ47" i="67"/>
  <c r="AR68" i="67"/>
  <c r="AR47" i="67"/>
  <c r="AJ68" i="67"/>
  <c r="AJ47" i="67"/>
  <c r="AB68" i="67"/>
  <c r="AB47" i="67"/>
  <c r="T68" i="67"/>
  <c r="T47" i="67"/>
  <c r="L68" i="67"/>
  <c r="L47" i="67"/>
  <c r="D68" i="67"/>
  <c r="D47" i="67"/>
  <c r="JS51" i="67"/>
  <c r="JS66" i="67"/>
  <c r="LU65" i="67"/>
  <c r="LM65" i="67"/>
  <c r="LE65" i="67"/>
  <c r="KW65" i="67"/>
  <c r="KO65" i="67"/>
  <c r="KG65" i="67"/>
  <c r="JY65" i="67"/>
  <c r="JQ65" i="67"/>
  <c r="JI65" i="67"/>
  <c r="JA65" i="67"/>
  <c r="IS65" i="67"/>
  <c r="IK65" i="67"/>
  <c r="IC65" i="67"/>
  <c r="HU65" i="67"/>
  <c r="HM65" i="67"/>
  <c r="HE65" i="67"/>
  <c r="GW65" i="67"/>
  <c r="GO65" i="67"/>
  <c r="GG65" i="67"/>
  <c r="FY65" i="67"/>
  <c r="FY60" i="67"/>
  <c r="FQ65" i="67"/>
  <c r="FQ60" i="67"/>
  <c r="FI65" i="67"/>
  <c r="FA65" i="67"/>
  <c r="ES65" i="67"/>
  <c r="EK65" i="67"/>
  <c r="EC65" i="67"/>
  <c r="DU65" i="67"/>
  <c r="DM65" i="67"/>
  <c r="DE65" i="67"/>
  <c r="CW65" i="67"/>
  <c r="CO65" i="67"/>
  <c r="CG65" i="67"/>
  <c r="BY65" i="67"/>
  <c r="BQ65" i="67"/>
  <c r="BI65" i="67"/>
  <c r="BA65" i="67"/>
  <c r="AS65" i="67"/>
  <c r="AK65" i="67"/>
  <c r="AC65" i="67"/>
  <c r="U65" i="67"/>
  <c r="M65" i="67"/>
  <c r="E65" i="67"/>
  <c r="HP16" i="67"/>
  <c r="HH16" i="67"/>
  <c r="GR16" i="67"/>
  <c r="GJ16" i="67"/>
  <c r="GB16" i="67"/>
  <c r="FT16" i="67"/>
  <c r="FL16" i="67"/>
  <c r="FD16" i="67"/>
  <c r="EV16" i="67"/>
  <c r="EN16" i="67"/>
  <c r="EF16" i="67"/>
  <c r="DX16" i="67"/>
  <c r="DP16" i="67"/>
  <c r="DH16" i="67"/>
  <c r="CZ16" i="67"/>
  <c r="CR16" i="67"/>
  <c r="CJ16" i="67"/>
  <c r="CB16" i="67"/>
  <c r="BT16" i="67"/>
  <c r="BL16" i="67"/>
  <c r="BD16" i="67"/>
  <c r="AV16" i="67"/>
  <c r="AN16" i="67"/>
  <c r="AF16" i="67"/>
  <c r="X16" i="67"/>
  <c r="P16" i="67"/>
  <c r="H16" i="67"/>
  <c r="MA15" i="67"/>
  <c r="HD57" i="67"/>
  <c r="HD68" i="67"/>
  <c r="LT68" i="67"/>
  <c r="LT47" i="67"/>
  <c r="LK68" i="67"/>
  <c r="LK47" i="67"/>
  <c r="LC68" i="67"/>
  <c r="LC47" i="67"/>
  <c r="KU68" i="67"/>
  <c r="KU47" i="67"/>
  <c r="KM68" i="67"/>
  <c r="KM47" i="67"/>
  <c r="KE68" i="67"/>
  <c r="KE47" i="67"/>
  <c r="JW68" i="67"/>
  <c r="JW47" i="67"/>
  <c r="JO68" i="67"/>
  <c r="JO47" i="67"/>
  <c r="JG68" i="67"/>
  <c r="JG47" i="67"/>
  <c r="IY68" i="67"/>
  <c r="IY47" i="67"/>
  <c r="IQ68" i="67"/>
  <c r="IQ47" i="67"/>
  <c r="II68" i="67"/>
  <c r="II47" i="67"/>
  <c r="IA68" i="67"/>
  <c r="IA47" i="67"/>
  <c r="HS68" i="67"/>
  <c r="HS47" i="67"/>
  <c r="HK68" i="67"/>
  <c r="HK47" i="67"/>
  <c r="GU68" i="67"/>
  <c r="GU47" i="67"/>
  <c r="GM68" i="67"/>
  <c r="GM47" i="67"/>
  <c r="GE68" i="67"/>
  <c r="GE47" i="67"/>
  <c r="FW68" i="67"/>
  <c r="FW47" i="67"/>
  <c r="FO68" i="67"/>
  <c r="FO47" i="67"/>
  <c r="FG68" i="67"/>
  <c r="FG47" i="67"/>
  <c r="EY68" i="67"/>
  <c r="EY47" i="67"/>
  <c r="EQ68" i="67"/>
  <c r="EQ47" i="67"/>
  <c r="EI68" i="67"/>
  <c r="EI47" i="67"/>
  <c r="EA68" i="67"/>
  <c r="EA47" i="67"/>
  <c r="DS68" i="67"/>
  <c r="DS47" i="67"/>
  <c r="DK68" i="67"/>
  <c r="DK47" i="67"/>
  <c r="DC68" i="67"/>
  <c r="DC47" i="67"/>
  <c r="CU68" i="67"/>
  <c r="CU47" i="67"/>
  <c r="CM68" i="67"/>
  <c r="CM47" i="67"/>
  <c r="CE68" i="67"/>
  <c r="CE47" i="67"/>
  <c r="BW68" i="67"/>
  <c r="BW47" i="67"/>
  <c r="BO68" i="67"/>
  <c r="BO47" i="67"/>
  <c r="BG68" i="67"/>
  <c r="BG47" i="67"/>
  <c r="AY68" i="67"/>
  <c r="AY47" i="67"/>
  <c r="AQ68" i="67"/>
  <c r="AQ47" i="67"/>
  <c r="AI68" i="67"/>
  <c r="AI47" i="67"/>
  <c r="AA68" i="67"/>
  <c r="AA47" i="67"/>
  <c r="S68" i="67"/>
  <c r="S47" i="67"/>
  <c r="K68" i="67"/>
  <c r="K47" i="67"/>
  <c r="C68" i="67"/>
  <c r="C47" i="67"/>
  <c r="LT65" i="67"/>
  <c r="LL65" i="67"/>
  <c r="LD65" i="67"/>
  <c r="KV65" i="67"/>
  <c r="KN65" i="67"/>
  <c r="KF65" i="67"/>
  <c r="JX65" i="67"/>
  <c r="JP65" i="67"/>
  <c r="JH65" i="67"/>
  <c r="IZ65" i="67"/>
  <c r="IR65" i="67"/>
  <c r="IJ65" i="67"/>
  <c r="IB65" i="67"/>
  <c r="HT65" i="67"/>
  <c r="HL65" i="67"/>
  <c r="HD65" i="67"/>
  <c r="GV65" i="67"/>
  <c r="GN65" i="67"/>
  <c r="GF65" i="67"/>
  <c r="FX65" i="67"/>
  <c r="FP65" i="67"/>
  <c r="FH65" i="67"/>
  <c r="EZ65" i="67"/>
  <c r="ER65" i="67"/>
  <c r="EJ65" i="67"/>
  <c r="EB65" i="67"/>
  <c r="DT65" i="67"/>
  <c r="DL65" i="67"/>
  <c r="DD65" i="67"/>
  <c r="CV65" i="67"/>
  <c r="CN65" i="67"/>
  <c r="CF65" i="67"/>
  <c r="BX65" i="67"/>
  <c r="BP65" i="67"/>
  <c r="BH65" i="67"/>
  <c r="AZ65" i="67"/>
  <c r="AR65" i="67"/>
  <c r="AJ65" i="67"/>
  <c r="AB65" i="67"/>
  <c r="T65" i="67"/>
  <c r="L65" i="67"/>
  <c r="D65" i="67"/>
  <c r="GA16" i="67"/>
  <c r="FS16" i="67"/>
  <c r="FK16" i="67"/>
  <c r="FC16" i="67"/>
  <c r="EU16" i="67"/>
  <c r="EM16" i="67"/>
  <c r="EE16" i="67"/>
  <c r="DW16" i="67"/>
  <c r="DO16" i="67"/>
  <c r="DG16" i="67"/>
  <c r="CY16" i="67"/>
  <c r="CQ16" i="67"/>
  <c r="CI16" i="67"/>
  <c r="CA16" i="67"/>
  <c r="BS16" i="67"/>
  <c r="BK16" i="67"/>
  <c r="BC16" i="67"/>
  <c r="AU16" i="67"/>
  <c r="AM16" i="67"/>
  <c r="AE16" i="67"/>
  <c r="W16" i="67"/>
  <c r="O16" i="67"/>
  <c r="G16" i="67"/>
  <c r="HC57" i="67"/>
  <c r="HC68" i="67"/>
  <c r="MA68" i="67"/>
  <c r="MA47" i="67"/>
  <c r="LS68" i="67"/>
  <c r="LS47" i="67"/>
  <c r="LJ68" i="67"/>
  <c r="LJ47" i="67"/>
  <c r="LB68" i="67"/>
  <c r="LB47" i="67"/>
  <c r="KT68" i="67"/>
  <c r="KT47" i="67"/>
  <c r="KL68" i="67"/>
  <c r="KL47" i="67"/>
  <c r="KD68" i="67"/>
  <c r="KD47" i="67"/>
  <c r="JV68" i="67"/>
  <c r="JV47" i="67"/>
  <c r="JN68" i="67"/>
  <c r="JN47" i="67"/>
  <c r="JF68" i="67"/>
  <c r="JF47" i="67"/>
  <c r="IX68" i="67"/>
  <c r="IX47" i="67"/>
  <c r="IP68" i="67"/>
  <c r="IP47" i="67"/>
  <c r="IH68" i="67"/>
  <c r="IH47" i="67"/>
  <c r="HZ68" i="67"/>
  <c r="HZ47" i="67"/>
  <c r="HR68" i="67"/>
  <c r="HR47" i="67"/>
  <c r="HJ68" i="67"/>
  <c r="HJ47" i="67"/>
  <c r="GT68" i="67"/>
  <c r="GT47" i="67"/>
  <c r="GL68" i="67"/>
  <c r="GL47" i="67"/>
  <c r="GD68" i="67"/>
  <c r="GD47" i="67"/>
  <c r="FV68" i="67"/>
  <c r="FV47" i="67"/>
  <c r="FN68" i="67"/>
  <c r="FN47" i="67"/>
  <c r="FF68" i="67"/>
  <c r="FF47" i="67"/>
  <c r="EX68" i="67"/>
  <c r="EX47" i="67"/>
  <c r="EP68" i="67"/>
  <c r="EP47" i="67"/>
  <c r="EH68" i="67"/>
  <c r="EH47" i="67"/>
  <c r="DZ68" i="67"/>
  <c r="DZ47" i="67"/>
  <c r="DR68" i="67"/>
  <c r="DR47" i="67"/>
  <c r="DJ68" i="67"/>
  <c r="DJ47" i="67"/>
  <c r="DB68" i="67"/>
  <c r="DB47" i="67"/>
  <c r="CT68" i="67"/>
  <c r="CT47" i="67"/>
  <c r="CL68" i="67"/>
  <c r="CL47" i="67"/>
  <c r="CD68" i="67"/>
  <c r="CD47" i="67"/>
  <c r="BV68" i="67"/>
  <c r="BV47" i="67"/>
  <c r="BN68" i="67"/>
  <c r="BN47" i="67"/>
  <c r="BF68" i="67"/>
  <c r="BF47" i="67"/>
  <c r="AX68" i="67"/>
  <c r="AX47" i="67"/>
  <c r="AP68" i="67"/>
  <c r="AP47" i="67"/>
  <c r="AH68" i="67"/>
  <c r="AH47" i="67"/>
  <c r="Z68" i="67"/>
  <c r="Z47" i="67"/>
  <c r="R68" i="67"/>
  <c r="R47" i="67"/>
  <c r="B68" i="67"/>
  <c r="B47" i="67"/>
  <c r="JQ51" i="67"/>
  <c r="JQ66" i="67"/>
  <c r="JI51" i="67"/>
  <c r="JI66" i="67"/>
  <c r="MA65" i="67"/>
  <c r="LS65" i="67"/>
  <c r="LK65" i="67"/>
  <c r="LC65" i="67"/>
  <c r="KU65" i="67"/>
  <c r="KM65" i="67"/>
  <c r="KE65" i="67"/>
  <c r="JW65" i="67"/>
  <c r="JO65" i="67"/>
  <c r="JG65" i="67"/>
  <c r="IY65" i="67"/>
  <c r="IQ65" i="67"/>
  <c r="II65" i="67"/>
  <c r="IA65" i="67"/>
  <c r="HS65" i="67"/>
  <c r="HK65" i="67"/>
  <c r="HC65" i="67"/>
  <c r="GU65" i="67"/>
  <c r="GM65" i="67"/>
  <c r="GE65" i="67"/>
  <c r="FW65" i="67"/>
  <c r="FO65" i="67"/>
  <c r="FG65" i="67"/>
  <c r="EY65" i="67"/>
  <c r="EQ65" i="67"/>
  <c r="EI65" i="67"/>
  <c r="EA65" i="67"/>
  <c r="DS65" i="67"/>
  <c r="DK65" i="67"/>
  <c r="DC65" i="67"/>
  <c r="CU65" i="67"/>
  <c r="CM65" i="67"/>
  <c r="CE65" i="67"/>
  <c r="BW65" i="67"/>
  <c r="BO65" i="67"/>
  <c r="BG65" i="67"/>
  <c r="AY65" i="67"/>
  <c r="AQ65" i="67"/>
  <c r="AI65" i="67"/>
  <c r="AA65" i="67"/>
  <c r="S65" i="67"/>
  <c r="K65" i="67"/>
  <c r="C65" i="67"/>
  <c r="FZ16" i="67"/>
  <c r="FR16" i="67"/>
  <c r="FJ16" i="67"/>
  <c r="FB16" i="67"/>
  <c r="ET16" i="67"/>
  <c r="EL16" i="67"/>
  <c r="ED16" i="67"/>
  <c r="DV16" i="67"/>
  <c r="DN16" i="67"/>
  <c r="DF16" i="67"/>
  <c r="CX16" i="67"/>
  <c r="CP16" i="67"/>
  <c r="CH16" i="67"/>
  <c r="BZ16" i="67"/>
  <c r="BR16" i="67"/>
  <c r="BJ16" i="67"/>
  <c r="BB16" i="67"/>
  <c r="AT16" i="67"/>
  <c r="AL16" i="67"/>
  <c r="AD16" i="67"/>
  <c r="V16" i="67"/>
  <c r="N16" i="67"/>
  <c r="F16" i="67"/>
  <c r="LR57" i="67"/>
  <c r="LR68" i="67"/>
  <c r="HB57" i="67"/>
  <c r="HB68" i="67"/>
  <c r="LZ68" i="67"/>
  <c r="LZ47" i="67"/>
  <c r="LQ68" i="67"/>
  <c r="LQ47" i="67"/>
  <c r="LI68" i="67"/>
  <c r="LI47" i="67"/>
  <c r="LA68" i="67"/>
  <c r="LA47" i="67"/>
  <c r="KS68" i="67"/>
  <c r="KS47" i="67"/>
  <c r="KK68" i="67"/>
  <c r="KK47" i="67"/>
  <c r="KC68" i="67"/>
  <c r="KC47" i="67"/>
  <c r="JU68" i="67"/>
  <c r="JU47" i="67"/>
  <c r="JM68" i="67"/>
  <c r="JM47" i="67"/>
  <c r="JE68" i="67"/>
  <c r="JE47" i="67"/>
  <c r="IW68" i="67"/>
  <c r="IW47" i="67"/>
  <c r="IO68" i="67"/>
  <c r="IO47" i="67"/>
  <c r="IG68" i="67"/>
  <c r="IG47" i="67"/>
  <c r="HY68" i="67"/>
  <c r="HY47" i="67"/>
  <c r="HQ68" i="67"/>
  <c r="HQ47" i="67"/>
  <c r="HI68" i="67"/>
  <c r="HI47" i="67"/>
  <c r="GS68" i="67"/>
  <c r="GS47" i="67"/>
  <c r="GK68" i="67"/>
  <c r="GK47" i="67"/>
  <c r="GC68" i="67"/>
  <c r="GC47" i="67"/>
  <c r="FU68" i="67"/>
  <c r="FU47" i="67"/>
  <c r="FM68" i="67"/>
  <c r="FM47" i="67"/>
  <c r="FE68" i="67"/>
  <c r="FE47" i="67"/>
  <c r="EW68" i="67"/>
  <c r="EW47" i="67"/>
  <c r="EO68" i="67"/>
  <c r="EO47" i="67"/>
  <c r="EG68" i="67"/>
  <c r="EG47" i="67"/>
  <c r="DY68" i="67"/>
  <c r="DY47" i="67"/>
  <c r="DQ68" i="67"/>
  <c r="DQ47" i="67"/>
  <c r="DI68" i="67"/>
  <c r="DI47" i="67"/>
  <c r="DA68" i="67"/>
  <c r="DA47" i="67"/>
  <c r="CS68" i="67"/>
  <c r="CS47" i="67"/>
  <c r="CK68" i="67"/>
  <c r="CK47" i="67"/>
  <c r="CC68" i="67"/>
  <c r="CC47" i="67"/>
  <c r="BU68" i="67"/>
  <c r="BU47" i="67"/>
  <c r="BM68" i="67"/>
  <c r="BM47" i="67"/>
  <c r="BE68" i="67"/>
  <c r="BE47" i="67"/>
  <c r="AW68" i="67"/>
  <c r="AW47" i="67"/>
  <c r="AO68" i="67"/>
  <c r="AO47" i="67"/>
  <c r="AG68" i="67"/>
  <c r="AG47" i="67"/>
  <c r="Y68" i="67"/>
  <c r="Y47" i="67"/>
  <c r="Q68" i="67"/>
  <c r="Q47" i="67"/>
  <c r="I68" i="67"/>
  <c r="I47" i="67"/>
  <c r="A68" i="67"/>
  <c r="A47" i="67"/>
  <c r="LZ65" i="67"/>
  <c r="LR65" i="67"/>
  <c r="LJ65" i="67"/>
  <c r="LB65" i="67"/>
  <c r="KT65" i="67"/>
  <c r="KL65" i="67"/>
  <c r="KD65" i="67"/>
  <c r="JV65" i="67"/>
  <c r="JN65" i="67"/>
  <c r="JF65" i="67"/>
  <c r="IX65" i="67"/>
  <c r="IP65" i="67"/>
  <c r="IH65" i="67"/>
  <c r="HZ65" i="67"/>
  <c r="HR65" i="67"/>
  <c r="HJ65" i="67"/>
  <c r="HB65" i="67"/>
  <c r="GT65" i="67"/>
  <c r="GL65" i="67"/>
  <c r="GD65" i="67"/>
  <c r="FV65" i="67"/>
  <c r="FN65" i="67"/>
  <c r="FF65" i="67"/>
  <c r="EX65" i="67"/>
  <c r="EP65" i="67"/>
  <c r="EH65" i="67"/>
  <c r="DZ65" i="67"/>
  <c r="DR65" i="67"/>
  <c r="DJ65" i="67"/>
  <c r="DB65" i="67"/>
  <c r="CT65" i="67"/>
  <c r="CL65" i="67"/>
  <c r="CD65" i="67"/>
  <c r="BV65" i="67"/>
  <c r="BN65" i="67"/>
  <c r="BF65" i="67"/>
  <c r="AX65" i="67"/>
  <c r="AP65" i="67"/>
  <c r="AH65" i="67"/>
  <c r="Z65" i="67"/>
  <c r="R65" i="67"/>
  <c r="B65" i="67"/>
  <c r="KL17" i="67"/>
  <c r="KD17" i="67"/>
  <c r="JV17" i="67"/>
  <c r="JN17" i="67"/>
  <c r="JF17" i="67"/>
  <c r="IX17" i="67"/>
  <c r="IP17" i="67"/>
  <c r="IH17" i="67"/>
  <c r="HZ17" i="67"/>
  <c r="HR17" i="67"/>
  <c r="HJ17" i="67"/>
  <c r="HB17" i="67"/>
  <c r="GT17" i="67"/>
  <c r="GL17" i="67"/>
  <c r="GD17" i="67"/>
  <c r="FV17" i="67"/>
  <c r="FN17" i="67"/>
  <c r="FF17" i="67"/>
  <c r="EX17" i="67"/>
  <c r="EP17" i="67"/>
  <c r="EH17" i="67"/>
  <c r="DZ17" i="67"/>
  <c r="DR17" i="67"/>
  <c r="DJ17" i="67"/>
  <c r="DB17" i="67"/>
  <c r="CT17" i="67"/>
  <c r="CL17" i="67"/>
  <c r="CD17" i="67"/>
  <c r="BV17" i="67"/>
  <c r="BN17" i="67"/>
  <c r="BF17" i="67"/>
  <c r="AX17" i="67"/>
  <c r="AP17" i="67"/>
  <c r="AH17" i="67"/>
  <c r="Z17" i="67"/>
  <c r="R17" i="67"/>
  <c r="B17" i="67"/>
  <c r="LU16" i="67"/>
  <c r="LM16" i="67"/>
  <c r="LE16" i="67"/>
  <c r="KW16" i="67"/>
  <c r="KO16" i="67"/>
  <c r="KG16" i="67"/>
  <c r="JY16" i="67"/>
  <c r="JQ16" i="67"/>
  <c r="JI16" i="67"/>
  <c r="JA16" i="67"/>
  <c r="IS16" i="67"/>
  <c r="IK16" i="67"/>
  <c r="IC16" i="67"/>
  <c r="HU16" i="67"/>
  <c r="HM16" i="67"/>
  <c r="GW16" i="67"/>
  <c r="GO16" i="67"/>
  <c r="GG16" i="67"/>
  <c r="FY16" i="67"/>
  <c r="FQ16" i="67"/>
  <c r="FI16" i="67"/>
  <c r="FA16" i="67"/>
  <c r="ES16" i="67"/>
  <c r="EK16" i="67"/>
  <c r="EC16" i="67"/>
  <c r="DU16" i="67"/>
  <c r="DM16" i="67"/>
  <c r="DE16" i="67"/>
  <c r="CW16" i="67"/>
  <c r="CO16" i="67"/>
  <c r="CG16" i="67"/>
  <c r="BY16" i="67"/>
  <c r="BQ16" i="67"/>
  <c r="BI16" i="67"/>
  <c r="BA16" i="67"/>
  <c r="AS16" i="67"/>
  <c r="AK16" i="67"/>
  <c r="AC16" i="67"/>
  <c r="M16" i="67"/>
  <c r="E16" i="67"/>
  <c r="HA57" i="67"/>
  <c r="HA68" i="67"/>
  <c r="LY68" i="67"/>
  <c r="LY47" i="67"/>
  <c r="LP68" i="67"/>
  <c r="LP47" i="67"/>
  <c r="LH68" i="67"/>
  <c r="LH47" i="67"/>
  <c r="KZ68" i="67"/>
  <c r="KZ47" i="67"/>
  <c r="KR68" i="67"/>
  <c r="KR47" i="67"/>
  <c r="KJ68" i="67"/>
  <c r="KJ47" i="67"/>
  <c r="KB68" i="67"/>
  <c r="KB47" i="67"/>
  <c r="JT68" i="67"/>
  <c r="JT47" i="67"/>
  <c r="JL68" i="67"/>
  <c r="JL47" i="67"/>
  <c r="JD68" i="67"/>
  <c r="JD47" i="67"/>
  <c r="IV68" i="67"/>
  <c r="IV47" i="67"/>
  <c r="IN68" i="67"/>
  <c r="IN47" i="67"/>
  <c r="IF68" i="67"/>
  <c r="IF47" i="67"/>
  <c r="HX68" i="67"/>
  <c r="HX47" i="67"/>
  <c r="HP68" i="67"/>
  <c r="HP47" i="67"/>
  <c r="HH68" i="67"/>
  <c r="HH47" i="67"/>
  <c r="GR68" i="67"/>
  <c r="GR47" i="67"/>
  <c r="GJ68" i="67"/>
  <c r="GJ47" i="67"/>
  <c r="GB68" i="67"/>
  <c r="GB47" i="67"/>
  <c r="FT68" i="67"/>
  <c r="FT47" i="67"/>
  <c r="FL68" i="67"/>
  <c r="FL47" i="67"/>
  <c r="FD68" i="67"/>
  <c r="FD47" i="67"/>
  <c r="EV68" i="67"/>
  <c r="EV47" i="67"/>
  <c r="EN68" i="67"/>
  <c r="EN47" i="67"/>
  <c r="EF68" i="67"/>
  <c r="EF47" i="67"/>
  <c r="DX68" i="67"/>
  <c r="DX47" i="67"/>
  <c r="DP68" i="67"/>
  <c r="DP47" i="67"/>
  <c r="DH68" i="67"/>
  <c r="DH47" i="67"/>
  <c r="CZ68" i="67"/>
  <c r="CZ47" i="67"/>
  <c r="CR68" i="67"/>
  <c r="CR47" i="67"/>
  <c r="CJ68" i="67"/>
  <c r="CJ47" i="67"/>
  <c r="CB68" i="67"/>
  <c r="CB47" i="67"/>
  <c r="BT68" i="67"/>
  <c r="BT47" i="67"/>
  <c r="BL68" i="67"/>
  <c r="BL47" i="67"/>
  <c r="BD68" i="67"/>
  <c r="BD47" i="67"/>
  <c r="AV68" i="67"/>
  <c r="AV47" i="67"/>
  <c r="AN68" i="67"/>
  <c r="AN47" i="67"/>
  <c r="AF68" i="67"/>
  <c r="AF47" i="67"/>
  <c r="X68" i="67"/>
  <c r="X47" i="67"/>
  <c r="P68" i="67"/>
  <c r="P47" i="67"/>
  <c r="H68" i="67"/>
  <c r="H47" i="67"/>
  <c r="LY65" i="67"/>
  <c r="LQ65" i="67"/>
  <c r="LI65" i="67"/>
  <c r="LA65" i="67"/>
  <c r="KS65" i="67"/>
  <c r="KK65" i="67"/>
  <c r="KC65" i="67"/>
  <c r="JU65" i="67"/>
  <c r="JM65" i="67"/>
  <c r="JE65" i="67"/>
  <c r="IW65" i="67"/>
  <c r="IO65" i="67"/>
  <c r="IG65" i="67"/>
  <c r="HY65" i="67"/>
  <c r="HQ65" i="67"/>
  <c r="HI65" i="67"/>
  <c r="HA65" i="67"/>
  <c r="GS65" i="67"/>
  <c r="GK65" i="67"/>
  <c r="GC65" i="67"/>
  <c r="FU65" i="67"/>
  <c r="FM65" i="67"/>
  <c r="FE65" i="67"/>
  <c r="EW65" i="67"/>
  <c r="EO65" i="67"/>
  <c r="EG65" i="67"/>
  <c r="DY65" i="67"/>
  <c r="DQ65" i="67"/>
  <c r="DI65" i="67"/>
  <c r="DA65" i="67"/>
  <c r="CS65" i="67"/>
  <c r="CK65" i="67"/>
  <c r="CC65" i="67"/>
  <c r="BU65" i="67"/>
  <c r="BM65" i="67"/>
  <c r="BE65" i="67"/>
  <c r="AW65" i="67"/>
  <c r="AO65" i="67"/>
  <c r="AG65" i="67"/>
  <c r="Y65" i="67"/>
  <c r="Q65" i="67"/>
  <c r="A65" i="67"/>
  <c r="GV16" i="67"/>
  <c r="GN16" i="67"/>
  <c r="GF16" i="67"/>
  <c r="FX16" i="67"/>
  <c r="FP16" i="67"/>
  <c r="FH16" i="67"/>
  <c r="EZ16" i="67"/>
  <c r="ER16" i="67"/>
  <c r="EJ16" i="67"/>
  <c r="EB16" i="67"/>
  <c r="DT16" i="67"/>
  <c r="DL16" i="67"/>
  <c r="DD16" i="67"/>
  <c r="CV16" i="67"/>
  <c r="CN16" i="67"/>
  <c r="CF16" i="67"/>
  <c r="BX16" i="67"/>
  <c r="BP16" i="67"/>
  <c r="BH16" i="67"/>
  <c r="AZ16" i="67"/>
  <c r="AR16" i="67"/>
  <c r="AJ16" i="67"/>
  <c r="AB16" i="67"/>
  <c r="L16" i="67"/>
  <c r="D16" i="67"/>
  <c r="GZ57" i="67"/>
  <c r="GZ68" i="67"/>
  <c r="LX68" i="67"/>
  <c r="LX47" i="67"/>
  <c r="LO68" i="67"/>
  <c r="LO47" i="67"/>
  <c r="LG68" i="67"/>
  <c r="LG47" i="67"/>
  <c r="KY68" i="67"/>
  <c r="KY47" i="67"/>
  <c r="KQ68" i="67"/>
  <c r="KQ47" i="67"/>
  <c r="KI68" i="67"/>
  <c r="KI47" i="67"/>
  <c r="KA68" i="67"/>
  <c r="KA47" i="67"/>
  <c r="JS68" i="67"/>
  <c r="JS47" i="67"/>
  <c r="JK68" i="67"/>
  <c r="JK47" i="67"/>
  <c r="JC68" i="67"/>
  <c r="JC47" i="67"/>
  <c r="IU68" i="67"/>
  <c r="IU47" i="67"/>
  <c r="IM68" i="67"/>
  <c r="IM47" i="67"/>
  <c r="IE68" i="67"/>
  <c r="IE47" i="67"/>
  <c r="HW68" i="67"/>
  <c r="HW47" i="67"/>
  <c r="HO68" i="67"/>
  <c r="HO47" i="67"/>
  <c r="GY68" i="67"/>
  <c r="GY47" i="67"/>
  <c r="GQ68" i="67"/>
  <c r="GQ47" i="67"/>
  <c r="GI68" i="67"/>
  <c r="GI47" i="67"/>
  <c r="GA68" i="67"/>
  <c r="GA47" i="67"/>
  <c r="FS68" i="67"/>
  <c r="FS47" i="67"/>
  <c r="FK68" i="67"/>
  <c r="FK47" i="67"/>
  <c r="FC68" i="67"/>
  <c r="FC47" i="67"/>
  <c r="EU68" i="67"/>
  <c r="EU47" i="67"/>
  <c r="EM68" i="67"/>
  <c r="EM47" i="67"/>
  <c r="EE68" i="67"/>
  <c r="EE47" i="67"/>
  <c r="DW68" i="67"/>
  <c r="DW47" i="67"/>
  <c r="DO68" i="67"/>
  <c r="DO47" i="67"/>
  <c r="DG68" i="67"/>
  <c r="DG47" i="67"/>
  <c r="CY68" i="67"/>
  <c r="CY47" i="67"/>
  <c r="CQ68" i="67"/>
  <c r="CQ47" i="67"/>
  <c r="CI68" i="67"/>
  <c r="CI47" i="67"/>
  <c r="CA68" i="67"/>
  <c r="CA47" i="67"/>
  <c r="BS68" i="67"/>
  <c r="BS47" i="67"/>
  <c r="BK68" i="67"/>
  <c r="BK47" i="67"/>
  <c r="BC68" i="67"/>
  <c r="BC47" i="67"/>
  <c r="AU68" i="67"/>
  <c r="AU47" i="67"/>
  <c r="AM68" i="67"/>
  <c r="AM47" i="67"/>
  <c r="AE68" i="67"/>
  <c r="AE47" i="67"/>
  <c r="W68" i="67"/>
  <c r="W47" i="67"/>
  <c r="O68" i="67"/>
  <c r="O47" i="67"/>
  <c r="G68" i="67"/>
  <c r="G47" i="67"/>
  <c r="LX65" i="67"/>
  <c r="LP65" i="67"/>
  <c r="LH65" i="67"/>
  <c r="KZ65" i="67"/>
  <c r="KR65" i="67"/>
  <c r="KJ65" i="67"/>
  <c r="KB65" i="67"/>
  <c r="JT65" i="67"/>
  <c r="JL65" i="67"/>
  <c r="JD65" i="67"/>
  <c r="IV65" i="67"/>
  <c r="IN65" i="67"/>
  <c r="IF65" i="67"/>
  <c r="HX65" i="67"/>
  <c r="HP65" i="67"/>
  <c r="HH65" i="67"/>
  <c r="GZ65" i="67"/>
  <c r="GR65" i="67"/>
  <c r="GJ65" i="67"/>
  <c r="GB65" i="67"/>
  <c r="FT65" i="67"/>
  <c r="FL65" i="67"/>
  <c r="FD65" i="67"/>
  <c r="EV65" i="67"/>
  <c r="EN65" i="67"/>
  <c r="EF65" i="67"/>
  <c r="DX65" i="67"/>
  <c r="DP65" i="67"/>
  <c r="DH65" i="67"/>
  <c r="CZ65" i="67"/>
  <c r="CR65" i="67"/>
  <c r="CJ65" i="67"/>
  <c r="CB65" i="67"/>
  <c r="BT65" i="67"/>
  <c r="BL65" i="67"/>
  <c r="BD65" i="67"/>
  <c r="AV65" i="67"/>
  <c r="AN65" i="67"/>
  <c r="AF65" i="67"/>
  <c r="X65" i="67"/>
  <c r="P65" i="67"/>
  <c r="H65" i="67"/>
  <c r="C16" i="67"/>
  <c r="HG57" i="67"/>
  <c r="HG68" i="67"/>
  <c r="LW68" i="67"/>
  <c r="LW47" i="67"/>
  <c r="LN68" i="67"/>
  <c r="LN47" i="67"/>
  <c r="LF68" i="67"/>
  <c r="LF47" i="67"/>
  <c r="KX68" i="67"/>
  <c r="KX47" i="67"/>
  <c r="KP68" i="67"/>
  <c r="KP47" i="67"/>
  <c r="KH68" i="67"/>
  <c r="KH47" i="67"/>
  <c r="JZ68" i="67"/>
  <c r="JZ47" i="67"/>
  <c r="JR68" i="67"/>
  <c r="JR47" i="67"/>
  <c r="JJ68" i="67"/>
  <c r="JJ47" i="67"/>
  <c r="JB68" i="67"/>
  <c r="JB47" i="67"/>
  <c r="IT68" i="67"/>
  <c r="IT47" i="67"/>
  <c r="IL68" i="67"/>
  <c r="IL47" i="67"/>
  <c r="ID68" i="67"/>
  <c r="ID47" i="67"/>
  <c r="HV68" i="67"/>
  <c r="HV47" i="67"/>
  <c r="HN68" i="67"/>
  <c r="HN47" i="67"/>
  <c r="GX68" i="67"/>
  <c r="GX47" i="67"/>
  <c r="GP68" i="67"/>
  <c r="GP47" i="67"/>
  <c r="GH68" i="67"/>
  <c r="GH47" i="67"/>
  <c r="FZ68" i="67"/>
  <c r="FZ47" i="67"/>
  <c r="FR68" i="67"/>
  <c r="FR47" i="67"/>
  <c r="FJ68" i="67"/>
  <c r="FJ47" i="67"/>
  <c r="FB68" i="67"/>
  <c r="FB47" i="67"/>
  <c r="ET68" i="67"/>
  <c r="ET47" i="67"/>
  <c r="EL68" i="67"/>
  <c r="EL47" i="67"/>
  <c r="ED68" i="67"/>
  <c r="ED47" i="67"/>
  <c r="DV68" i="67"/>
  <c r="DV47" i="67"/>
  <c r="DN68" i="67"/>
  <c r="DN47" i="67"/>
  <c r="DF68" i="67"/>
  <c r="DF47" i="67"/>
  <c r="CX68" i="67"/>
  <c r="CX47" i="67"/>
  <c r="CP68" i="67"/>
  <c r="CP47" i="67"/>
  <c r="CH68" i="67"/>
  <c r="CH47" i="67"/>
  <c r="BZ68" i="67"/>
  <c r="BZ47" i="67"/>
  <c r="BR68" i="67"/>
  <c r="BR47" i="67"/>
  <c r="BJ68" i="67"/>
  <c r="BJ47" i="67"/>
  <c r="BB68" i="67"/>
  <c r="BB47" i="67"/>
  <c r="AT68" i="67"/>
  <c r="AT47" i="67"/>
  <c r="AL68" i="67"/>
  <c r="AL47" i="67"/>
  <c r="AD68" i="67"/>
  <c r="AD47" i="67"/>
  <c r="V68" i="67"/>
  <c r="V47" i="67"/>
  <c r="N68" i="67"/>
  <c r="N47" i="67"/>
  <c r="F68" i="67"/>
  <c r="F47" i="67"/>
  <c r="LW65" i="67"/>
  <c r="LO65" i="67"/>
  <c r="LG65" i="67"/>
  <c r="KY65" i="67"/>
  <c r="KQ65" i="67"/>
  <c r="KI65" i="67"/>
  <c r="KA65" i="67"/>
  <c r="JS65" i="67"/>
  <c r="JK65" i="67"/>
  <c r="JC65" i="67"/>
  <c r="IU65" i="67"/>
  <c r="IM65" i="67"/>
  <c r="IE65" i="67"/>
  <c r="HW65" i="67"/>
  <c r="HO65" i="67"/>
  <c r="HG65" i="67"/>
  <c r="GY65" i="67"/>
  <c r="GQ65" i="67"/>
  <c r="GI65" i="67"/>
  <c r="GA65" i="67"/>
  <c r="FS65" i="67"/>
  <c r="FK65" i="67"/>
  <c r="FC65" i="67"/>
  <c r="EU65" i="67"/>
  <c r="EM65" i="67"/>
  <c r="EE65" i="67"/>
  <c r="DW65" i="67"/>
  <c r="DO65" i="67"/>
  <c r="DG65" i="67"/>
  <c r="CY65" i="67"/>
  <c r="CQ65" i="67"/>
  <c r="CI65" i="67"/>
  <c r="CA65" i="67"/>
  <c r="BS65" i="67"/>
  <c r="BK65" i="67"/>
  <c r="BC65" i="67"/>
  <c r="AU65" i="67"/>
  <c r="AM65" i="67"/>
  <c r="AE65" i="67"/>
  <c r="W65" i="67"/>
  <c r="O65" i="67"/>
  <c r="G65" i="67"/>
  <c r="HF57" i="67"/>
  <c r="HF68" i="67"/>
  <c r="LV68" i="67"/>
  <c r="LV47" i="67"/>
  <c r="LM68" i="67"/>
  <c r="LM47" i="67"/>
  <c r="LE68" i="67"/>
  <c r="LE47" i="67"/>
  <c r="KW68" i="67"/>
  <c r="KW47" i="67"/>
  <c r="KO68" i="67"/>
  <c r="KO47" i="67"/>
  <c r="KG68" i="67"/>
  <c r="KG47" i="67"/>
  <c r="JY68" i="67"/>
  <c r="JY47" i="67"/>
  <c r="JQ68" i="67"/>
  <c r="JQ47" i="67"/>
  <c r="JI68" i="67"/>
  <c r="JI47" i="67"/>
  <c r="JA68" i="67"/>
  <c r="JA47" i="67"/>
  <c r="IS68" i="67"/>
  <c r="IS47" i="67"/>
  <c r="IK68" i="67"/>
  <c r="IK47" i="67"/>
  <c r="IC68" i="67"/>
  <c r="IC47" i="67"/>
  <c r="HU68" i="67"/>
  <c r="HU47" i="67"/>
  <c r="HM68" i="67"/>
  <c r="HM47" i="67"/>
  <c r="GW68" i="67"/>
  <c r="GW47" i="67"/>
  <c r="GO68" i="67"/>
  <c r="GO47" i="67"/>
  <c r="GG68" i="67"/>
  <c r="GG47" i="67"/>
  <c r="FY68" i="67"/>
  <c r="FY47" i="67"/>
  <c r="FQ68" i="67"/>
  <c r="FQ47" i="67"/>
  <c r="FI68" i="67"/>
  <c r="FI47" i="67"/>
  <c r="FA68" i="67"/>
  <c r="FA47" i="67"/>
  <c r="ES68" i="67"/>
  <c r="ES47" i="67"/>
  <c r="EK68" i="67"/>
  <c r="EK47" i="67"/>
  <c r="EC68" i="67"/>
  <c r="EC47" i="67"/>
  <c r="DU68" i="67"/>
  <c r="DU47" i="67"/>
  <c r="DM68" i="67"/>
  <c r="DM47" i="67"/>
  <c r="DE68" i="67"/>
  <c r="DE47" i="67"/>
  <c r="CW68" i="67"/>
  <c r="CW47" i="67"/>
  <c r="CO68" i="67"/>
  <c r="CO47" i="67"/>
  <c r="CG68" i="67"/>
  <c r="CG47" i="67"/>
  <c r="BY68" i="67"/>
  <c r="BY47" i="67"/>
  <c r="BQ68" i="67"/>
  <c r="BQ47" i="67"/>
  <c r="BI68" i="67"/>
  <c r="BI47" i="67"/>
  <c r="BA68" i="67"/>
  <c r="BA47" i="67"/>
  <c r="AS68" i="67"/>
  <c r="AS47" i="67"/>
  <c r="AK68" i="67"/>
  <c r="AK47" i="67"/>
  <c r="AC68" i="67"/>
  <c r="AC47" i="67"/>
  <c r="U68" i="67"/>
  <c r="U47" i="67"/>
  <c r="M68" i="67"/>
  <c r="M47" i="67"/>
  <c r="E68" i="67"/>
  <c r="E47" i="67"/>
  <c r="LV65" i="67"/>
  <c r="LN65" i="67"/>
  <c r="LF65" i="67"/>
  <c r="KX65" i="67"/>
  <c r="KP65" i="67"/>
  <c r="KH65" i="67"/>
  <c r="JZ65" i="67"/>
  <c r="JR65" i="67"/>
  <c r="JJ65" i="67"/>
  <c r="JB65" i="67"/>
  <c r="IT65" i="67"/>
  <c r="IL65" i="67"/>
  <c r="ID65" i="67"/>
  <c r="HV65" i="67"/>
  <c r="HN65" i="67"/>
  <c r="HF65" i="67"/>
  <c r="GX65" i="67"/>
  <c r="GP65" i="67"/>
  <c r="GH65" i="67"/>
  <c r="FZ65" i="67"/>
  <c r="FZ60" i="67"/>
  <c r="FR65" i="67"/>
  <c r="FJ65" i="67"/>
  <c r="FB65" i="67"/>
  <c r="ET65" i="67"/>
  <c r="EL65" i="67"/>
  <c r="ED65" i="67"/>
  <c r="DV65" i="67"/>
  <c r="DN65" i="67"/>
  <c r="DF65" i="67"/>
  <c r="CX65" i="67"/>
  <c r="CP65" i="67"/>
  <c r="CH65" i="67"/>
  <c r="BZ65" i="67"/>
  <c r="BR65" i="67"/>
  <c r="BJ65" i="67"/>
  <c r="BB65" i="67"/>
  <c r="AT65" i="67"/>
  <c r="AL65" i="67"/>
  <c r="AD65" i="67"/>
  <c r="V65" i="67"/>
  <c r="N65" i="67"/>
  <c r="F65" i="67"/>
  <c r="LM32" i="67"/>
  <c r="LE32" i="67"/>
  <c r="KW32" i="67"/>
  <c r="KO32" i="67"/>
  <c r="KG32" i="67"/>
  <c r="JY32" i="67"/>
  <c r="JQ32" i="67"/>
  <c r="JI32" i="67"/>
  <c r="JA32" i="67"/>
  <c r="IS32" i="67"/>
  <c r="IK32" i="67"/>
  <c r="IC32" i="67"/>
  <c r="HU32" i="67"/>
  <c r="HM32" i="67"/>
  <c r="HE32" i="67"/>
  <c r="GW32" i="67"/>
  <c r="GO32" i="67"/>
  <c r="GG32" i="67"/>
  <c r="FY32" i="67"/>
  <c r="FQ32" i="67"/>
  <c r="FI32" i="67"/>
  <c r="FA32" i="67"/>
  <c r="ES32" i="67"/>
  <c r="EK32" i="67"/>
  <c r="EC32" i="67"/>
  <c r="DU32" i="67"/>
  <c r="DM32" i="67"/>
  <c r="DE32" i="67"/>
  <c r="CW32" i="67"/>
  <c r="CO32" i="67"/>
  <c r="CG32" i="67"/>
  <c r="BY32" i="67"/>
  <c r="BQ32" i="67"/>
  <c r="BI32" i="67"/>
  <c r="BA32" i="67"/>
  <c r="AS32" i="67"/>
  <c r="AK32" i="67"/>
  <c r="AC32" i="67"/>
  <c r="U32" i="67"/>
  <c r="M32" i="67"/>
  <c r="Q36" i="67"/>
  <c r="I36" i="67"/>
  <c r="A32" i="67"/>
  <c r="LQ32" i="67"/>
  <c r="LI32" i="67"/>
  <c r="LA32" i="67"/>
  <c r="KS32" i="67"/>
  <c r="KK32" i="67"/>
  <c r="KC32" i="67"/>
  <c r="JU32" i="67"/>
  <c r="JM32" i="67"/>
  <c r="JE32" i="67"/>
  <c r="IW32" i="67"/>
  <c r="IO32" i="67"/>
  <c r="IG32" i="67"/>
  <c r="HY32" i="67"/>
  <c r="HQ32" i="67"/>
  <c r="HI32" i="67"/>
  <c r="HA32" i="67"/>
  <c r="GS32" i="67"/>
  <c r="GK32" i="67"/>
  <c r="GC32" i="67"/>
  <c r="FU32" i="67"/>
  <c r="FM32" i="67"/>
  <c r="FE32" i="67"/>
  <c r="EW32" i="67"/>
  <c r="EO32" i="67"/>
  <c r="EG32" i="67"/>
  <c r="DY32" i="67"/>
  <c r="DQ32" i="67"/>
  <c r="DI32" i="67"/>
  <c r="DA32" i="67"/>
  <c r="CS32" i="67"/>
  <c r="CK32" i="67"/>
  <c r="CC32" i="67"/>
  <c r="BU32" i="67"/>
  <c r="BM32" i="67"/>
  <c r="BE32" i="67"/>
  <c r="AW32" i="67"/>
  <c r="AO32" i="67"/>
  <c r="AG32" i="67"/>
  <c r="Y32" i="67"/>
  <c r="Q32" i="67"/>
  <c r="E32" i="67"/>
  <c r="LV32" i="67"/>
  <c r="LN32" i="67"/>
  <c r="LF32" i="67"/>
  <c r="KX32" i="67"/>
  <c r="KP32" i="67"/>
  <c r="KH32" i="67"/>
  <c r="JZ32" i="67"/>
  <c r="JR32" i="67"/>
  <c r="JJ32" i="67"/>
  <c r="JB32" i="67"/>
  <c r="IT32" i="67"/>
  <c r="IL32" i="67"/>
  <c r="ID32" i="67"/>
  <c r="HV32" i="67"/>
  <c r="HN32" i="67"/>
  <c r="HF32" i="67"/>
  <c r="GX32" i="67"/>
  <c r="GP32" i="67"/>
  <c r="GH32" i="67"/>
  <c r="FZ32" i="67"/>
  <c r="FR32" i="67"/>
  <c r="FJ32" i="67"/>
  <c r="FB32" i="67"/>
  <c r="ET32" i="67"/>
  <c r="EL32" i="67"/>
  <c r="ED32" i="67"/>
  <c r="DV32" i="67"/>
  <c r="DN32" i="67"/>
  <c r="DF32" i="67"/>
  <c r="CX32" i="67"/>
  <c r="CP32" i="67"/>
  <c r="CH32" i="67"/>
  <c r="BZ32" i="67"/>
  <c r="BR32" i="67"/>
  <c r="BJ32" i="67"/>
  <c r="BB32" i="67"/>
  <c r="AT32" i="67"/>
  <c r="AL32" i="67"/>
  <c r="AD32" i="67"/>
  <c r="V32" i="67"/>
  <c r="N32" i="67"/>
  <c r="F32" i="67"/>
  <c r="LZ28" i="67"/>
  <c r="LZ49" i="67"/>
  <c r="LJ28" i="67"/>
  <c r="LJ49" i="67"/>
  <c r="LB28" i="67"/>
  <c r="LB49" i="67"/>
  <c r="KT28" i="67"/>
  <c r="KT49" i="67"/>
  <c r="KL28" i="67"/>
  <c r="KL49" i="67"/>
  <c r="KD28" i="67"/>
  <c r="KD49" i="67"/>
  <c r="JV28" i="67"/>
  <c r="JV49" i="67"/>
  <c r="JN28" i="67"/>
  <c r="JN49" i="67"/>
  <c r="JF28" i="67"/>
  <c r="JF49" i="67"/>
  <c r="IX28" i="67"/>
  <c r="IX49" i="67"/>
  <c r="IP28" i="67"/>
  <c r="IP49" i="67"/>
  <c r="IH28" i="67"/>
  <c r="IH49" i="67"/>
  <c r="HZ28" i="67"/>
  <c r="HZ49" i="67"/>
  <c r="HR28" i="67"/>
  <c r="HR49" i="67"/>
  <c r="HJ28" i="67"/>
  <c r="HJ49" i="67"/>
  <c r="GT28" i="67"/>
  <c r="GT49" i="67"/>
  <c r="GL28" i="67"/>
  <c r="GL49" i="67"/>
  <c r="GD28" i="67"/>
  <c r="GD49" i="67"/>
  <c r="FV28" i="67"/>
  <c r="FV49" i="67"/>
  <c r="FN28" i="67"/>
  <c r="FN49" i="67"/>
  <c r="FF28" i="67"/>
  <c r="FF49" i="67"/>
  <c r="EX28" i="67"/>
  <c r="EX49" i="67"/>
  <c r="EP28" i="67"/>
  <c r="EP49" i="67"/>
  <c r="EH28" i="67"/>
  <c r="EH49" i="67"/>
  <c r="DZ28" i="67"/>
  <c r="DZ49" i="67"/>
  <c r="DR28" i="67"/>
  <c r="DR49" i="67"/>
  <c r="DJ28" i="67"/>
  <c r="DJ49" i="67"/>
  <c r="DB28" i="67"/>
  <c r="DB49" i="67"/>
  <c r="CT28" i="67"/>
  <c r="CT49" i="67"/>
  <c r="CL28" i="67"/>
  <c r="CL49" i="67"/>
  <c r="CD28" i="67"/>
  <c r="CD49" i="67"/>
  <c r="BV28" i="67"/>
  <c r="BV49" i="67"/>
  <c r="BN28" i="67"/>
  <c r="BN49" i="67"/>
  <c r="BF28" i="67"/>
  <c r="BF49" i="67"/>
  <c r="AX28" i="67"/>
  <c r="AX49" i="67"/>
  <c r="AP28" i="67"/>
  <c r="AP49" i="67"/>
  <c r="AH28" i="67"/>
  <c r="AH49" i="67"/>
  <c r="Z28" i="67"/>
  <c r="Z49" i="67"/>
  <c r="R28" i="67"/>
  <c r="R49" i="67"/>
  <c r="B28" i="67"/>
  <c r="B49" i="67"/>
  <c r="LZ25" i="67"/>
  <c r="LJ25" i="67"/>
  <c r="LB25" i="67"/>
  <c r="KT25" i="67"/>
  <c r="KL25" i="67"/>
  <c r="KD25" i="67"/>
  <c r="JV25" i="67"/>
  <c r="JN25" i="67"/>
  <c r="JF25" i="67"/>
  <c r="IX25" i="67"/>
  <c r="IP25" i="67"/>
  <c r="IH25" i="67"/>
  <c r="HZ25" i="67"/>
  <c r="HR25" i="67"/>
  <c r="HJ25" i="67"/>
  <c r="GT25" i="67"/>
  <c r="GL25" i="67"/>
  <c r="GD25" i="67"/>
  <c r="FV25" i="67"/>
  <c r="FN25" i="67"/>
  <c r="FF25" i="67"/>
  <c r="EX25" i="67"/>
  <c r="EP25" i="67"/>
  <c r="EH25" i="67"/>
  <c r="DZ25" i="67"/>
  <c r="DR25" i="67"/>
  <c r="DJ25" i="67"/>
  <c r="DB25" i="67"/>
  <c r="CT25" i="67"/>
  <c r="CL25" i="67"/>
  <c r="CD25" i="67"/>
  <c r="BV25" i="67"/>
  <c r="BN25" i="67"/>
  <c r="BF25" i="67"/>
  <c r="AX25" i="67"/>
  <c r="AP25" i="67"/>
  <c r="AH25" i="67"/>
  <c r="Z25" i="67"/>
  <c r="R25" i="67"/>
  <c r="J25" i="67"/>
  <c r="B25" i="67"/>
  <c r="LT14" i="67"/>
  <c r="LT63" i="67"/>
  <c r="LL14" i="67"/>
  <c r="LL63" i="67"/>
  <c r="LD14" i="67"/>
  <c r="LD63" i="67"/>
  <c r="KV14" i="67"/>
  <c r="KV63" i="67"/>
  <c r="KN14" i="67"/>
  <c r="KN63" i="67"/>
  <c r="KF14" i="67"/>
  <c r="KF63" i="67"/>
  <c r="JX14" i="67"/>
  <c r="JX63" i="67"/>
  <c r="JP14" i="67"/>
  <c r="JP63" i="67"/>
  <c r="JH14" i="67"/>
  <c r="JH63" i="67"/>
  <c r="IZ14" i="67"/>
  <c r="IZ63" i="67"/>
  <c r="IR14" i="67"/>
  <c r="IR63" i="67"/>
  <c r="IJ14" i="67"/>
  <c r="IJ63" i="67"/>
  <c r="IB14" i="67"/>
  <c r="IB63" i="67"/>
  <c r="HT14" i="67"/>
  <c r="HT63" i="67"/>
  <c r="HL14" i="67"/>
  <c r="HL63" i="67"/>
  <c r="HD14" i="67"/>
  <c r="GV14" i="67"/>
  <c r="GV63" i="67"/>
  <c r="GN14" i="67"/>
  <c r="GN63" i="67"/>
  <c r="GF14" i="67"/>
  <c r="GF63" i="67"/>
  <c r="FX14" i="67"/>
  <c r="FX63" i="67"/>
  <c r="FP14" i="67"/>
  <c r="FP63" i="67"/>
  <c r="FH14" i="67"/>
  <c r="FH63" i="67"/>
  <c r="EZ14" i="67"/>
  <c r="EZ63" i="67"/>
  <c r="ER14" i="67"/>
  <c r="ER63" i="67"/>
  <c r="EJ14" i="67"/>
  <c r="EJ63" i="67"/>
  <c r="EB14" i="67"/>
  <c r="EB63" i="67"/>
  <c r="DT14" i="67"/>
  <c r="DT63" i="67"/>
  <c r="DL14" i="67"/>
  <c r="DL63" i="67"/>
  <c r="DD14" i="67"/>
  <c r="DD63" i="67"/>
  <c r="CV14" i="67"/>
  <c r="CV63" i="67"/>
  <c r="CN14" i="67"/>
  <c r="CN63" i="67"/>
  <c r="CF14" i="67"/>
  <c r="CF63" i="67"/>
  <c r="BX14" i="67"/>
  <c r="BX63" i="67"/>
  <c r="BP14" i="67"/>
  <c r="BP63" i="67"/>
  <c r="BH14" i="67"/>
  <c r="BH63" i="67"/>
  <c r="AZ14" i="67"/>
  <c r="AZ63" i="67"/>
  <c r="AR14" i="67"/>
  <c r="AR63" i="67"/>
  <c r="AJ14" i="67"/>
  <c r="AJ63" i="67"/>
  <c r="AB14" i="67"/>
  <c r="AB63" i="67"/>
  <c r="T14" i="67"/>
  <c r="T63" i="67"/>
  <c r="L14" i="67"/>
  <c r="L63" i="67"/>
  <c r="D14" i="67"/>
  <c r="D63" i="67"/>
  <c r="I7" i="67"/>
  <c r="I62" i="67"/>
  <c r="LU32" i="67"/>
  <c r="LY28" i="67"/>
  <c r="LY49" i="67"/>
  <c r="LQ28" i="67"/>
  <c r="LQ49" i="67"/>
  <c r="LI28" i="67"/>
  <c r="LI49" i="67"/>
  <c r="LA28" i="67"/>
  <c r="LA49" i="67"/>
  <c r="KS28" i="67"/>
  <c r="KS49" i="67"/>
  <c r="KK28" i="67"/>
  <c r="KK49" i="67"/>
  <c r="KC28" i="67"/>
  <c r="KC49" i="67"/>
  <c r="JU28" i="67"/>
  <c r="JU49" i="67"/>
  <c r="JM28" i="67"/>
  <c r="JM49" i="67"/>
  <c r="JE28" i="67"/>
  <c r="JE49" i="67"/>
  <c r="IW28" i="67"/>
  <c r="IW49" i="67"/>
  <c r="IO28" i="67"/>
  <c r="IO49" i="67"/>
  <c r="IG28" i="67"/>
  <c r="IG49" i="67"/>
  <c r="HY28" i="67"/>
  <c r="HY49" i="67"/>
  <c r="HQ28" i="67"/>
  <c r="HQ49" i="67"/>
  <c r="HI28" i="67"/>
  <c r="HI49" i="67"/>
  <c r="GS28" i="67"/>
  <c r="GS49" i="67"/>
  <c r="GK28" i="67"/>
  <c r="GK49" i="67"/>
  <c r="GC28" i="67"/>
  <c r="GC49" i="67"/>
  <c r="FU28" i="67"/>
  <c r="FU49" i="67"/>
  <c r="FM28" i="67"/>
  <c r="FM49" i="67"/>
  <c r="FE28" i="67"/>
  <c r="FE49" i="67"/>
  <c r="EW28" i="67"/>
  <c r="EW49" i="67"/>
  <c r="EO28" i="67"/>
  <c r="EO49" i="67"/>
  <c r="EG28" i="67"/>
  <c r="EG49" i="67"/>
  <c r="DY28" i="67"/>
  <c r="DY49" i="67"/>
  <c r="DQ28" i="67"/>
  <c r="DQ49" i="67"/>
  <c r="DI28" i="67"/>
  <c r="DI49" i="67"/>
  <c r="DA28" i="67"/>
  <c r="DA49" i="67"/>
  <c r="CS28" i="67"/>
  <c r="CS49" i="67"/>
  <c r="CK28" i="67"/>
  <c r="CK49" i="67"/>
  <c r="CC28" i="67"/>
  <c r="CC49" i="67"/>
  <c r="BU28" i="67"/>
  <c r="BU49" i="67"/>
  <c r="BM28" i="67"/>
  <c r="BM49" i="67"/>
  <c r="BE28" i="67"/>
  <c r="BE49" i="67"/>
  <c r="AW28" i="67"/>
  <c r="AW49" i="67"/>
  <c r="AO28" i="67"/>
  <c r="AO49" i="67"/>
  <c r="AG28" i="67"/>
  <c r="AG49" i="67"/>
  <c r="Y28" i="67"/>
  <c r="Y49" i="67"/>
  <c r="Q28" i="67"/>
  <c r="Q49" i="67"/>
  <c r="A28" i="67"/>
  <c r="A49" i="67"/>
  <c r="LY25" i="67"/>
  <c r="LQ25" i="67"/>
  <c r="LI25" i="67"/>
  <c r="LA25" i="67"/>
  <c r="KS25" i="67"/>
  <c r="KK25" i="67"/>
  <c r="KC25" i="67"/>
  <c r="JU25" i="67"/>
  <c r="JM25" i="67"/>
  <c r="JE25" i="67"/>
  <c r="IW25" i="67"/>
  <c r="IO25" i="67"/>
  <c r="IG25" i="67"/>
  <c r="HY25" i="67"/>
  <c r="HQ25" i="67"/>
  <c r="HI25" i="67"/>
  <c r="GS25" i="67"/>
  <c r="GK25" i="67"/>
  <c r="GC25" i="67"/>
  <c r="FU25" i="67"/>
  <c r="FM25" i="67"/>
  <c r="FE25" i="67"/>
  <c r="EW25" i="67"/>
  <c r="EO25" i="67"/>
  <c r="EG25" i="67"/>
  <c r="DY25" i="67"/>
  <c r="DQ25" i="67"/>
  <c r="DI25" i="67"/>
  <c r="DA25" i="67"/>
  <c r="CS25" i="67"/>
  <c r="CK25" i="67"/>
  <c r="CC25" i="67"/>
  <c r="BU25" i="67"/>
  <c r="BM25" i="67"/>
  <c r="BE25" i="67"/>
  <c r="AW25" i="67"/>
  <c r="AO25" i="67"/>
  <c r="AG25" i="67"/>
  <c r="Y25" i="67"/>
  <c r="Q25" i="67"/>
  <c r="A25" i="67"/>
  <c r="MA14" i="67"/>
  <c r="MA63" i="67"/>
  <c r="LS14" i="67"/>
  <c r="LS63" i="67"/>
  <c r="LK14" i="67"/>
  <c r="LK63" i="67"/>
  <c r="LC14" i="67"/>
  <c r="LC63" i="67"/>
  <c r="KU14" i="67"/>
  <c r="KU63" i="67"/>
  <c r="KM14" i="67"/>
  <c r="KM63" i="67"/>
  <c r="KE14" i="67"/>
  <c r="KE63" i="67"/>
  <c r="JW14" i="67"/>
  <c r="JW63" i="67"/>
  <c r="JO14" i="67"/>
  <c r="JO63" i="67"/>
  <c r="JG14" i="67"/>
  <c r="JG63" i="67"/>
  <c r="IY14" i="67"/>
  <c r="IY63" i="67"/>
  <c r="IQ14" i="67"/>
  <c r="IQ63" i="67"/>
  <c r="II14" i="67"/>
  <c r="II63" i="67"/>
  <c r="IA14" i="67"/>
  <c r="IA63" i="67"/>
  <c r="HS14" i="67"/>
  <c r="HS63" i="67"/>
  <c r="HK14" i="67"/>
  <c r="HK63" i="67"/>
  <c r="HC14" i="67"/>
  <c r="GU14" i="67"/>
  <c r="GU63" i="67"/>
  <c r="GM14" i="67"/>
  <c r="GM63" i="67"/>
  <c r="GE14" i="67"/>
  <c r="GE63" i="67"/>
  <c r="FW14" i="67"/>
  <c r="FW63" i="67"/>
  <c r="FO14" i="67"/>
  <c r="FO63" i="67"/>
  <c r="FG14" i="67"/>
  <c r="FG63" i="67"/>
  <c r="EY14" i="67"/>
  <c r="EY63" i="67"/>
  <c r="EQ14" i="67"/>
  <c r="EQ63" i="67"/>
  <c r="EI14" i="67"/>
  <c r="EI63" i="67"/>
  <c r="EA14" i="67"/>
  <c r="EA63" i="67"/>
  <c r="DS14" i="67"/>
  <c r="DS63" i="67"/>
  <c r="DK14" i="67"/>
  <c r="DK63" i="67"/>
  <c r="DC14" i="67"/>
  <c r="DC63" i="67"/>
  <c r="CU14" i="67"/>
  <c r="CU63" i="67"/>
  <c r="CM14" i="67"/>
  <c r="CM63" i="67"/>
  <c r="CE14" i="67"/>
  <c r="CE63" i="67"/>
  <c r="BW14" i="67"/>
  <c r="BW63" i="67"/>
  <c r="BO14" i="67"/>
  <c r="BO63" i="67"/>
  <c r="BG14" i="67"/>
  <c r="BG63" i="67"/>
  <c r="AY14" i="67"/>
  <c r="AY63" i="67"/>
  <c r="AQ14" i="67"/>
  <c r="AQ63" i="67"/>
  <c r="AI14" i="67"/>
  <c r="AI63" i="67"/>
  <c r="AA14" i="67"/>
  <c r="AA63" i="67"/>
  <c r="S14" i="67"/>
  <c r="S63" i="67"/>
  <c r="K14" i="67"/>
  <c r="K63" i="67"/>
  <c r="C14" i="67"/>
  <c r="C63" i="67"/>
  <c r="LT32" i="67"/>
  <c r="LL32" i="67"/>
  <c r="LD32" i="67"/>
  <c r="KV32" i="67"/>
  <c r="KN32" i="67"/>
  <c r="KF32" i="67"/>
  <c r="JX32" i="67"/>
  <c r="JP32" i="67"/>
  <c r="JH32" i="67"/>
  <c r="IZ32" i="67"/>
  <c r="IR32" i="67"/>
  <c r="IJ32" i="67"/>
  <c r="IB32" i="67"/>
  <c r="HT32" i="67"/>
  <c r="HL32" i="67"/>
  <c r="HD32" i="67"/>
  <c r="GV32" i="67"/>
  <c r="GN32" i="67"/>
  <c r="GF32" i="67"/>
  <c r="FX32" i="67"/>
  <c r="FP32" i="67"/>
  <c r="FH32" i="67"/>
  <c r="EZ32" i="67"/>
  <c r="ER32" i="67"/>
  <c r="EJ32" i="67"/>
  <c r="EB32" i="67"/>
  <c r="DT32" i="67"/>
  <c r="DL32" i="67"/>
  <c r="DD32" i="67"/>
  <c r="CV32" i="67"/>
  <c r="CN32" i="67"/>
  <c r="CF32" i="67"/>
  <c r="BX32" i="67"/>
  <c r="BP32" i="67"/>
  <c r="BH32" i="67"/>
  <c r="AZ32" i="67"/>
  <c r="AR32" i="67"/>
  <c r="AJ32" i="67"/>
  <c r="AB32" i="67"/>
  <c r="T32" i="67"/>
  <c r="L32" i="67"/>
  <c r="D32" i="67"/>
  <c r="LX28" i="67"/>
  <c r="LX49" i="67"/>
  <c r="LP28" i="67"/>
  <c r="LP49" i="67"/>
  <c r="LH28" i="67"/>
  <c r="LH49" i="67"/>
  <c r="KZ28" i="67"/>
  <c r="KZ49" i="67"/>
  <c r="KR28" i="67"/>
  <c r="KR49" i="67"/>
  <c r="KJ28" i="67"/>
  <c r="KJ49" i="67"/>
  <c r="KB28" i="67"/>
  <c r="KB49" i="67"/>
  <c r="JT28" i="67"/>
  <c r="JT49" i="67"/>
  <c r="JL28" i="67"/>
  <c r="JL49" i="67"/>
  <c r="JD28" i="67"/>
  <c r="JD49" i="67"/>
  <c r="IV28" i="67"/>
  <c r="IV49" i="67"/>
  <c r="IN28" i="67"/>
  <c r="IN49" i="67"/>
  <c r="IF28" i="67"/>
  <c r="IF49" i="67"/>
  <c r="HX28" i="67"/>
  <c r="HX49" i="67"/>
  <c r="HP28" i="67"/>
  <c r="HP49" i="67"/>
  <c r="HH28" i="67"/>
  <c r="HH49" i="67"/>
  <c r="GR28" i="67"/>
  <c r="GR49" i="67"/>
  <c r="GJ28" i="67"/>
  <c r="GJ49" i="67"/>
  <c r="GB28" i="67"/>
  <c r="GB49" i="67"/>
  <c r="FT28" i="67"/>
  <c r="FT49" i="67"/>
  <c r="FL28" i="67"/>
  <c r="FL49" i="67"/>
  <c r="FD28" i="67"/>
  <c r="FD49" i="67"/>
  <c r="EV28" i="67"/>
  <c r="EV49" i="67"/>
  <c r="EN28" i="67"/>
  <c r="EN49" i="67"/>
  <c r="EF28" i="67"/>
  <c r="EF49" i="67"/>
  <c r="DX28" i="67"/>
  <c r="DX49" i="67"/>
  <c r="DP28" i="67"/>
  <c r="DP49" i="67"/>
  <c r="DH28" i="67"/>
  <c r="DH49" i="67"/>
  <c r="CZ28" i="67"/>
  <c r="CZ49" i="67"/>
  <c r="CR28" i="67"/>
  <c r="CR49" i="67"/>
  <c r="CJ28" i="67"/>
  <c r="CJ49" i="67"/>
  <c r="CB28" i="67"/>
  <c r="CB49" i="67"/>
  <c r="BT28" i="67"/>
  <c r="BT49" i="67"/>
  <c r="BL28" i="67"/>
  <c r="BL49" i="67"/>
  <c r="BD28" i="67"/>
  <c r="BD49" i="67"/>
  <c r="AV28" i="67"/>
  <c r="AV49" i="67"/>
  <c r="AN28" i="67"/>
  <c r="AN49" i="67"/>
  <c r="AF28" i="67"/>
  <c r="AF49" i="67"/>
  <c r="X28" i="67"/>
  <c r="X49" i="67"/>
  <c r="P28" i="67"/>
  <c r="P49" i="67"/>
  <c r="H28" i="67"/>
  <c r="H49" i="67"/>
  <c r="LX25" i="67"/>
  <c r="LP25" i="67"/>
  <c r="LH25" i="67"/>
  <c r="KZ25" i="67"/>
  <c r="KR25" i="67"/>
  <c r="KJ25" i="67"/>
  <c r="KB25" i="67"/>
  <c r="JT25" i="67"/>
  <c r="JL25" i="67"/>
  <c r="JD25" i="67"/>
  <c r="IV25" i="67"/>
  <c r="IN25" i="67"/>
  <c r="IF25" i="67"/>
  <c r="HX25" i="67"/>
  <c r="HP25" i="67"/>
  <c r="HH25" i="67"/>
  <c r="GR25" i="67"/>
  <c r="GJ25" i="67"/>
  <c r="GB25" i="67"/>
  <c r="FT25" i="67"/>
  <c r="FL25" i="67"/>
  <c r="FD25" i="67"/>
  <c r="EV25" i="67"/>
  <c r="EN25" i="67"/>
  <c r="EF25" i="67"/>
  <c r="DX25" i="67"/>
  <c r="DP25" i="67"/>
  <c r="DH25" i="67"/>
  <c r="CZ25" i="67"/>
  <c r="CR25" i="67"/>
  <c r="CJ25" i="67"/>
  <c r="CB25" i="67"/>
  <c r="BT25" i="67"/>
  <c r="BL25" i="67"/>
  <c r="BD25" i="67"/>
  <c r="AV25" i="67"/>
  <c r="AN25" i="67"/>
  <c r="AF25" i="67"/>
  <c r="X25" i="67"/>
  <c r="P25" i="67"/>
  <c r="H25" i="67"/>
  <c r="LZ14" i="67"/>
  <c r="LZ63" i="67"/>
  <c r="LR14" i="67"/>
  <c r="LR63" i="67"/>
  <c r="LJ14" i="67"/>
  <c r="LJ63" i="67"/>
  <c r="LB14" i="67"/>
  <c r="LB63" i="67"/>
  <c r="KT14" i="67"/>
  <c r="KT63" i="67"/>
  <c r="KL14" i="67"/>
  <c r="KL63" i="67"/>
  <c r="KD14" i="67"/>
  <c r="KD63" i="67"/>
  <c r="JV14" i="67"/>
  <c r="JV63" i="67"/>
  <c r="JN14" i="67"/>
  <c r="JN63" i="67"/>
  <c r="JF14" i="67"/>
  <c r="JF63" i="67"/>
  <c r="IX14" i="67"/>
  <c r="IX63" i="67"/>
  <c r="IP14" i="67"/>
  <c r="IP63" i="67"/>
  <c r="IH14" i="67"/>
  <c r="IH63" i="67"/>
  <c r="HZ14" i="67"/>
  <c r="HZ63" i="67"/>
  <c r="HR14" i="67"/>
  <c r="HR63" i="67"/>
  <c r="HJ14" i="67"/>
  <c r="HJ63" i="67"/>
  <c r="HB14" i="67"/>
  <c r="GT14" i="67"/>
  <c r="GT63" i="67"/>
  <c r="GL14" i="67"/>
  <c r="GL63" i="67"/>
  <c r="GD14" i="67"/>
  <c r="GD63" i="67"/>
  <c r="FV14" i="67"/>
  <c r="FV63" i="67"/>
  <c r="FN14" i="67"/>
  <c r="FN63" i="67"/>
  <c r="FF14" i="67"/>
  <c r="FF63" i="67"/>
  <c r="EX14" i="67"/>
  <c r="EX63" i="67"/>
  <c r="EP14" i="67"/>
  <c r="EP63" i="67"/>
  <c r="EH14" i="67"/>
  <c r="EH63" i="67"/>
  <c r="DZ14" i="67"/>
  <c r="DZ63" i="67"/>
  <c r="DR14" i="67"/>
  <c r="DR63" i="67"/>
  <c r="DJ14" i="67"/>
  <c r="DJ63" i="67"/>
  <c r="DB14" i="67"/>
  <c r="DB63" i="67"/>
  <c r="CT14" i="67"/>
  <c r="CT63" i="67"/>
  <c r="CL14" i="67"/>
  <c r="CL63" i="67"/>
  <c r="CD14" i="67"/>
  <c r="CD63" i="67"/>
  <c r="BV14" i="67"/>
  <c r="BV63" i="67"/>
  <c r="BN14" i="67"/>
  <c r="BN63" i="67"/>
  <c r="BF14" i="67"/>
  <c r="BF63" i="67"/>
  <c r="AX14" i="67"/>
  <c r="AX63" i="67"/>
  <c r="AP14" i="67"/>
  <c r="AP63" i="67"/>
  <c r="AH14" i="67"/>
  <c r="AH63" i="67"/>
  <c r="Z14" i="67"/>
  <c r="Z63" i="67"/>
  <c r="R14" i="67"/>
  <c r="R63" i="67"/>
  <c r="J14" i="67"/>
  <c r="J63" i="67"/>
  <c r="B14" i="67"/>
  <c r="B63" i="67"/>
  <c r="MA12" i="67"/>
  <c r="MA67" i="67"/>
  <c r="W8" i="67"/>
  <c r="W51" i="67"/>
  <c r="MA32" i="67"/>
  <c r="LS32" i="67"/>
  <c r="LK32" i="67"/>
  <c r="LC32" i="67"/>
  <c r="KU32" i="67"/>
  <c r="KM32" i="67"/>
  <c r="KE32" i="67"/>
  <c r="JW32" i="67"/>
  <c r="JO32" i="67"/>
  <c r="JG32" i="67"/>
  <c r="IY32" i="67"/>
  <c r="IQ32" i="67"/>
  <c r="II32" i="67"/>
  <c r="IA32" i="67"/>
  <c r="HS32" i="67"/>
  <c r="HK32" i="67"/>
  <c r="HC32" i="67"/>
  <c r="GU32" i="67"/>
  <c r="GM32" i="67"/>
  <c r="GE32" i="67"/>
  <c r="FW32" i="67"/>
  <c r="FO32" i="67"/>
  <c r="FG32" i="67"/>
  <c r="EY32" i="67"/>
  <c r="EQ32" i="67"/>
  <c r="EI32" i="67"/>
  <c r="EA32" i="67"/>
  <c r="DS32" i="67"/>
  <c r="DK32" i="67"/>
  <c r="DC32" i="67"/>
  <c r="CU32" i="67"/>
  <c r="CM32" i="67"/>
  <c r="CE32" i="67"/>
  <c r="BW32" i="67"/>
  <c r="BO32" i="67"/>
  <c r="BG32" i="67"/>
  <c r="AY32" i="67"/>
  <c r="AQ32" i="67"/>
  <c r="AI32" i="67"/>
  <c r="AA32" i="67"/>
  <c r="S32" i="67"/>
  <c r="K32" i="67"/>
  <c r="C32" i="67"/>
  <c r="LW28" i="67"/>
  <c r="LW49" i="67"/>
  <c r="LO28" i="67"/>
  <c r="LO49" i="67"/>
  <c r="LG28" i="67"/>
  <c r="LG49" i="67"/>
  <c r="KY28" i="67"/>
  <c r="KY49" i="67"/>
  <c r="KQ28" i="67"/>
  <c r="KQ49" i="67"/>
  <c r="KI28" i="67"/>
  <c r="KI49" i="67"/>
  <c r="KA28" i="67"/>
  <c r="KA49" i="67"/>
  <c r="JS28" i="67"/>
  <c r="JS49" i="67"/>
  <c r="JK28" i="67"/>
  <c r="JK49" i="67"/>
  <c r="JC28" i="67"/>
  <c r="JC49" i="67"/>
  <c r="IU28" i="67"/>
  <c r="IU49" i="67"/>
  <c r="IM28" i="67"/>
  <c r="IM49" i="67"/>
  <c r="IE28" i="67"/>
  <c r="IE49" i="67"/>
  <c r="HW28" i="67"/>
  <c r="HW49" i="67"/>
  <c r="HO28" i="67"/>
  <c r="HO49" i="67"/>
  <c r="GY28" i="67"/>
  <c r="GY49" i="67"/>
  <c r="GQ28" i="67"/>
  <c r="GQ49" i="67"/>
  <c r="GI28" i="67"/>
  <c r="GI49" i="67"/>
  <c r="GA28" i="67"/>
  <c r="GA49" i="67"/>
  <c r="FS28" i="67"/>
  <c r="FS49" i="67"/>
  <c r="FK28" i="67"/>
  <c r="FK49" i="67"/>
  <c r="FC28" i="67"/>
  <c r="FC49" i="67"/>
  <c r="EU28" i="67"/>
  <c r="EU49" i="67"/>
  <c r="EM28" i="67"/>
  <c r="EM49" i="67"/>
  <c r="EE28" i="67"/>
  <c r="EE49" i="67"/>
  <c r="DW28" i="67"/>
  <c r="DW49" i="67"/>
  <c r="DO28" i="67"/>
  <c r="DO49" i="67"/>
  <c r="DG28" i="67"/>
  <c r="DG49" i="67"/>
  <c r="CY28" i="67"/>
  <c r="CY49" i="67"/>
  <c r="CQ28" i="67"/>
  <c r="CQ49" i="67"/>
  <c r="CI28" i="67"/>
  <c r="CI49" i="67"/>
  <c r="CA28" i="67"/>
  <c r="CA49" i="67"/>
  <c r="BS28" i="67"/>
  <c r="BS49" i="67"/>
  <c r="BK28" i="67"/>
  <c r="BK49" i="67"/>
  <c r="BC28" i="67"/>
  <c r="BC49" i="67"/>
  <c r="AU28" i="67"/>
  <c r="AU49" i="67"/>
  <c r="AM28" i="67"/>
  <c r="AM49" i="67"/>
  <c r="AE28" i="67"/>
  <c r="AE49" i="67"/>
  <c r="W28" i="67"/>
  <c r="W49" i="67"/>
  <c r="O28" i="67"/>
  <c r="O49" i="67"/>
  <c r="G28" i="67"/>
  <c r="G49" i="67"/>
  <c r="LW25" i="67"/>
  <c r="LO25" i="67"/>
  <c r="LG25" i="67"/>
  <c r="KY25" i="67"/>
  <c r="KQ25" i="67"/>
  <c r="KI25" i="67"/>
  <c r="KA25" i="67"/>
  <c r="JS25" i="67"/>
  <c r="JK25" i="67"/>
  <c r="JC25" i="67"/>
  <c r="IU25" i="67"/>
  <c r="IM25" i="67"/>
  <c r="IE25" i="67"/>
  <c r="HW25" i="67"/>
  <c r="HO25" i="67"/>
  <c r="GY25" i="67"/>
  <c r="GQ25" i="67"/>
  <c r="GI25" i="67"/>
  <c r="GA25" i="67"/>
  <c r="FS25" i="67"/>
  <c r="FK25" i="67"/>
  <c r="FC25" i="67"/>
  <c r="EU25" i="67"/>
  <c r="EM25" i="67"/>
  <c r="EE25" i="67"/>
  <c r="DW25" i="67"/>
  <c r="DO25" i="67"/>
  <c r="DG25" i="67"/>
  <c r="CY25" i="67"/>
  <c r="CQ25" i="67"/>
  <c r="CI25" i="67"/>
  <c r="CA25" i="67"/>
  <c r="BS25" i="67"/>
  <c r="BK25" i="67"/>
  <c r="BC25" i="67"/>
  <c r="AU25" i="67"/>
  <c r="AM25" i="67"/>
  <c r="AE25" i="67"/>
  <c r="W25" i="67"/>
  <c r="O25" i="67"/>
  <c r="G25" i="67"/>
  <c r="LY14" i="67"/>
  <c r="LY63" i="67"/>
  <c r="LQ14" i="67"/>
  <c r="LQ63" i="67"/>
  <c r="LI14" i="67"/>
  <c r="LI63" i="67"/>
  <c r="LA14" i="67"/>
  <c r="LA63" i="67"/>
  <c r="KS14" i="67"/>
  <c r="KS63" i="67"/>
  <c r="KK14" i="67"/>
  <c r="KK63" i="67"/>
  <c r="KC14" i="67"/>
  <c r="KC63" i="67"/>
  <c r="JU14" i="67"/>
  <c r="JU63" i="67"/>
  <c r="JM14" i="67"/>
  <c r="JM63" i="67"/>
  <c r="JE14" i="67"/>
  <c r="JE63" i="67"/>
  <c r="IW14" i="67"/>
  <c r="IW63" i="67"/>
  <c r="IO14" i="67"/>
  <c r="IO63" i="67"/>
  <c r="IG14" i="67"/>
  <c r="IG63" i="67"/>
  <c r="HY14" i="67"/>
  <c r="HY63" i="67"/>
  <c r="HQ14" i="67"/>
  <c r="HQ63" i="67"/>
  <c r="HI14" i="67"/>
  <c r="HI63" i="67"/>
  <c r="HA14" i="67"/>
  <c r="GS14" i="67"/>
  <c r="GS63" i="67"/>
  <c r="GK14" i="67"/>
  <c r="GK63" i="67"/>
  <c r="GC14" i="67"/>
  <c r="GC63" i="67"/>
  <c r="FU14" i="67"/>
  <c r="FU63" i="67"/>
  <c r="FM14" i="67"/>
  <c r="FM63" i="67"/>
  <c r="FE14" i="67"/>
  <c r="FE63" i="67"/>
  <c r="EW14" i="67"/>
  <c r="EW63" i="67"/>
  <c r="EO14" i="67"/>
  <c r="EO63" i="67"/>
  <c r="EG14" i="67"/>
  <c r="EG63" i="67"/>
  <c r="DY14" i="67"/>
  <c r="DY63" i="67"/>
  <c r="DQ14" i="67"/>
  <c r="DQ63" i="67"/>
  <c r="DI14" i="67"/>
  <c r="DI63" i="67"/>
  <c r="DA14" i="67"/>
  <c r="DA63" i="67"/>
  <c r="CS14" i="67"/>
  <c r="CS63" i="67"/>
  <c r="CK14" i="67"/>
  <c r="CK63" i="67"/>
  <c r="CC14" i="67"/>
  <c r="CC63" i="67"/>
  <c r="BU14" i="67"/>
  <c r="BU63" i="67"/>
  <c r="BM14" i="67"/>
  <c r="BM63" i="67"/>
  <c r="BE14" i="67"/>
  <c r="BE63" i="67"/>
  <c r="AW14" i="67"/>
  <c r="AW63" i="67"/>
  <c r="AO14" i="67"/>
  <c r="AO63" i="67"/>
  <c r="AG14" i="67"/>
  <c r="AG63" i="67"/>
  <c r="Y14" i="67"/>
  <c r="Y63" i="67"/>
  <c r="Q14" i="67"/>
  <c r="Q63" i="67"/>
  <c r="I14" i="67"/>
  <c r="I63" i="67"/>
  <c r="A14" i="67"/>
  <c r="A63" i="67"/>
  <c r="V8" i="67"/>
  <c r="V51" i="67"/>
  <c r="LZ32" i="67"/>
  <c r="LJ32" i="67"/>
  <c r="LB32" i="67"/>
  <c r="KT32" i="67"/>
  <c r="KL32" i="67"/>
  <c r="KD32" i="67"/>
  <c r="JV32" i="67"/>
  <c r="JN32" i="67"/>
  <c r="JF32" i="67"/>
  <c r="IX32" i="67"/>
  <c r="IP32" i="67"/>
  <c r="IH32" i="67"/>
  <c r="HZ32" i="67"/>
  <c r="HR32" i="67"/>
  <c r="HJ32" i="67"/>
  <c r="HB32" i="67"/>
  <c r="GT32" i="67"/>
  <c r="GL32" i="67"/>
  <c r="GD32" i="67"/>
  <c r="FV32" i="67"/>
  <c r="FN32" i="67"/>
  <c r="FF32" i="67"/>
  <c r="EX32" i="67"/>
  <c r="EP32" i="67"/>
  <c r="EH32" i="67"/>
  <c r="DZ32" i="67"/>
  <c r="DR32" i="67"/>
  <c r="DJ32" i="67"/>
  <c r="DB32" i="67"/>
  <c r="CT32" i="67"/>
  <c r="CL32" i="67"/>
  <c r="CD32" i="67"/>
  <c r="BV32" i="67"/>
  <c r="BN32" i="67"/>
  <c r="BF32" i="67"/>
  <c r="AX32" i="67"/>
  <c r="AP32" i="67"/>
  <c r="AH32" i="67"/>
  <c r="Z32" i="67"/>
  <c r="R32" i="67"/>
  <c r="B32" i="67"/>
  <c r="LV28" i="67"/>
  <c r="LV49" i="67"/>
  <c r="LN28" i="67"/>
  <c r="LN49" i="67"/>
  <c r="LF28" i="67"/>
  <c r="LF49" i="67"/>
  <c r="KX28" i="67"/>
  <c r="KX49" i="67"/>
  <c r="KP28" i="67"/>
  <c r="KP49" i="67"/>
  <c r="KH28" i="67"/>
  <c r="KH49" i="67"/>
  <c r="JZ28" i="67"/>
  <c r="JZ49" i="67"/>
  <c r="JR28" i="67"/>
  <c r="JR49" i="67"/>
  <c r="JJ28" i="67"/>
  <c r="JJ49" i="67"/>
  <c r="JB28" i="67"/>
  <c r="JB49" i="67"/>
  <c r="IT28" i="67"/>
  <c r="IT49" i="67"/>
  <c r="IL28" i="67"/>
  <c r="IL49" i="67"/>
  <c r="ID28" i="67"/>
  <c r="ID49" i="67"/>
  <c r="HV28" i="67"/>
  <c r="HV49" i="67"/>
  <c r="HN28" i="67"/>
  <c r="HN49" i="67"/>
  <c r="GX28" i="67"/>
  <c r="GX49" i="67"/>
  <c r="GP28" i="67"/>
  <c r="GP49" i="67"/>
  <c r="GH28" i="67"/>
  <c r="GH49" i="67"/>
  <c r="FZ28" i="67"/>
  <c r="FZ49" i="67"/>
  <c r="FR28" i="67"/>
  <c r="FR49" i="67"/>
  <c r="FJ28" i="67"/>
  <c r="FJ49" i="67"/>
  <c r="FB28" i="67"/>
  <c r="FB49" i="67"/>
  <c r="ET28" i="67"/>
  <c r="ET49" i="67"/>
  <c r="EL28" i="67"/>
  <c r="EL49" i="67"/>
  <c r="ED28" i="67"/>
  <c r="ED49" i="67"/>
  <c r="DV28" i="67"/>
  <c r="DV49" i="67"/>
  <c r="DN28" i="67"/>
  <c r="DN49" i="67"/>
  <c r="DF28" i="67"/>
  <c r="DF49" i="67"/>
  <c r="CX28" i="67"/>
  <c r="CX49" i="67"/>
  <c r="CP28" i="67"/>
  <c r="CP49" i="67"/>
  <c r="CH28" i="67"/>
  <c r="CH49" i="67"/>
  <c r="BZ28" i="67"/>
  <c r="BZ49" i="67"/>
  <c r="BR28" i="67"/>
  <c r="BR49" i="67"/>
  <c r="BJ28" i="67"/>
  <c r="BJ49" i="67"/>
  <c r="BB28" i="67"/>
  <c r="BB49" i="67"/>
  <c r="AT28" i="67"/>
  <c r="AT49" i="67"/>
  <c r="AL28" i="67"/>
  <c r="AL49" i="67"/>
  <c r="AD28" i="67"/>
  <c r="AD49" i="67"/>
  <c r="V28" i="67"/>
  <c r="V49" i="67"/>
  <c r="N28" i="67"/>
  <c r="N49" i="67"/>
  <c r="F28" i="67"/>
  <c r="F49" i="67"/>
  <c r="LV25" i="67"/>
  <c r="LN25" i="67"/>
  <c r="LF25" i="67"/>
  <c r="KX25" i="67"/>
  <c r="KP25" i="67"/>
  <c r="KH25" i="67"/>
  <c r="JZ25" i="67"/>
  <c r="JR25" i="67"/>
  <c r="JJ25" i="67"/>
  <c r="JB25" i="67"/>
  <c r="IT25" i="67"/>
  <c r="IL25" i="67"/>
  <c r="ID25" i="67"/>
  <c r="HV25" i="67"/>
  <c r="HN25" i="67"/>
  <c r="GX25" i="67"/>
  <c r="GP25" i="67"/>
  <c r="GH25" i="67"/>
  <c r="FZ25" i="67"/>
  <c r="FR25" i="67"/>
  <c r="FJ25" i="67"/>
  <c r="FB25" i="67"/>
  <c r="ET25" i="67"/>
  <c r="EL25" i="67"/>
  <c r="ED25" i="67"/>
  <c r="DV25" i="67"/>
  <c r="DN25" i="67"/>
  <c r="DF25" i="67"/>
  <c r="CX25" i="67"/>
  <c r="CP25" i="67"/>
  <c r="CH25" i="67"/>
  <c r="BZ25" i="67"/>
  <c r="BR25" i="67"/>
  <c r="BJ25" i="67"/>
  <c r="BB25" i="67"/>
  <c r="AT25" i="67"/>
  <c r="AL25" i="67"/>
  <c r="AD25" i="67"/>
  <c r="V25" i="67"/>
  <c r="N25" i="67"/>
  <c r="F25" i="67"/>
  <c r="LX14" i="67"/>
  <c r="LX63" i="67"/>
  <c r="LP14" i="67"/>
  <c r="LP63" i="67"/>
  <c r="LH14" i="67"/>
  <c r="LH63" i="67"/>
  <c r="KZ14" i="67"/>
  <c r="KZ63" i="67"/>
  <c r="KR14" i="67"/>
  <c r="KR63" i="67"/>
  <c r="KJ14" i="67"/>
  <c r="KJ63" i="67"/>
  <c r="KB14" i="67"/>
  <c r="KB63" i="67"/>
  <c r="JT14" i="67"/>
  <c r="JT63" i="67"/>
  <c r="JL14" i="67"/>
  <c r="JL63" i="67"/>
  <c r="JD14" i="67"/>
  <c r="JD63" i="67"/>
  <c r="IV14" i="67"/>
  <c r="IV63" i="67"/>
  <c r="IN14" i="67"/>
  <c r="IN63" i="67"/>
  <c r="IF14" i="67"/>
  <c r="IF63" i="67"/>
  <c r="HX14" i="67"/>
  <c r="HX63" i="67"/>
  <c r="HP14" i="67"/>
  <c r="HP63" i="67"/>
  <c r="HH14" i="67"/>
  <c r="HH63" i="67"/>
  <c r="GZ14" i="67"/>
  <c r="GR14" i="67"/>
  <c r="GR63" i="67"/>
  <c r="GJ14" i="67"/>
  <c r="GJ63" i="67"/>
  <c r="GB14" i="67"/>
  <c r="GB63" i="67"/>
  <c r="FT14" i="67"/>
  <c r="FT63" i="67"/>
  <c r="FL14" i="67"/>
  <c r="FL63" i="67"/>
  <c r="FD14" i="67"/>
  <c r="FD63" i="67"/>
  <c r="EV14" i="67"/>
  <c r="EV63" i="67"/>
  <c r="EN14" i="67"/>
  <c r="EN63" i="67"/>
  <c r="EF14" i="67"/>
  <c r="EF63" i="67"/>
  <c r="DX14" i="67"/>
  <c r="DX63" i="67"/>
  <c r="DP14" i="67"/>
  <c r="DP63" i="67"/>
  <c r="DH14" i="67"/>
  <c r="DH63" i="67"/>
  <c r="CZ14" i="67"/>
  <c r="CZ63" i="67"/>
  <c r="CR14" i="67"/>
  <c r="CR63" i="67"/>
  <c r="CJ14" i="67"/>
  <c r="CJ63" i="67"/>
  <c r="CB14" i="67"/>
  <c r="CB63" i="67"/>
  <c r="BT14" i="67"/>
  <c r="BT63" i="67"/>
  <c r="BL14" i="67"/>
  <c r="BL63" i="67"/>
  <c r="BD14" i="67"/>
  <c r="BD63" i="67"/>
  <c r="AV14" i="67"/>
  <c r="AV63" i="67"/>
  <c r="AN14" i="67"/>
  <c r="AN63" i="67"/>
  <c r="AF14" i="67"/>
  <c r="AF63" i="67"/>
  <c r="X14" i="67"/>
  <c r="X63" i="67"/>
  <c r="P14" i="67"/>
  <c r="P63" i="67"/>
  <c r="H14" i="67"/>
  <c r="H63" i="67"/>
  <c r="MA13" i="67"/>
  <c r="J11" i="67"/>
  <c r="J68" i="67"/>
  <c r="LY32" i="67"/>
  <c r="LU28" i="67"/>
  <c r="LU49" i="67"/>
  <c r="LM28" i="67"/>
  <c r="LM49" i="67"/>
  <c r="LE28" i="67"/>
  <c r="LE49" i="67"/>
  <c r="KW28" i="67"/>
  <c r="KW49" i="67"/>
  <c r="KO28" i="67"/>
  <c r="KO49" i="67"/>
  <c r="KG28" i="67"/>
  <c r="KG49" i="67"/>
  <c r="JY28" i="67"/>
  <c r="JY49" i="67"/>
  <c r="JQ28" i="67"/>
  <c r="JQ49" i="67"/>
  <c r="JI28" i="67"/>
  <c r="JI49" i="67"/>
  <c r="JA28" i="67"/>
  <c r="JA49" i="67"/>
  <c r="IS28" i="67"/>
  <c r="IS49" i="67"/>
  <c r="IK28" i="67"/>
  <c r="IK49" i="67"/>
  <c r="IC28" i="67"/>
  <c r="IC49" i="67"/>
  <c r="HU28" i="67"/>
  <c r="HU49" i="67"/>
  <c r="HM28" i="67"/>
  <c r="HM49" i="67"/>
  <c r="GW28" i="67"/>
  <c r="GW49" i="67"/>
  <c r="GO28" i="67"/>
  <c r="GO49" i="67"/>
  <c r="GG28" i="67"/>
  <c r="GG49" i="67"/>
  <c r="FY28" i="67"/>
  <c r="FY49" i="67"/>
  <c r="FQ28" i="67"/>
  <c r="FQ49" i="67"/>
  <c r="FI28" i="67"/>
  <c r="FI49" i="67"/>
  <c r="FA28" i="67"/>
  <c r="FA49" i="67"/>
  <c r="ES28" i="67"/>
  <c r="ES49" i="67"/>
  <c r="EK28" i="67"/>
  <c r="EK49" i="67"/>
  <c r="EC28" i="67"/>
  <c r="EC49" i="67"/>
  <c r="DU28" i="67"/>
  <c r="DU49" i="67"/>
  <c r="DM28" i="67"/>
  <c r="DM49" i="67"/>
  <c r="DE28" i="67"/>
  <c r="DE49" i="67"/>
  <c r="CW28" i="67"/>
  <c r="CW49" i="67"/>
  <c r="CO28" i="67"/>
  <c r="CO49" i="67"/>
  <c r="CG28" i="67"/>
  <c r="CG49" i="67"/>
  <c r="BY28" i="67"/>
  <c r="BY49" i="67"/>
  <c r="BQ28" i="67"/>
  <c r="BQ49" i="67"/>
  <c r="BI28" i="67"/>
  <c r="BI49" i="67"/>
  <c r="BA28" i="67"/>
  <c r="BA49" i="67"/>
  <c r="AS28" i="67"/>
  <c r="AS49" i="67"/>
  <c r="AK28" i="67"/>
  <c r="AK49" i="67"/>
  <c r="AC28" i="67"/>
  <c r="AC49" i="67"/>
  <c r="U28" i="67"/>
  <c r="U49" i="67"/>
  <c r="M28" i="67"/>
  <c r="M49" i="67"/>
  <c r="E28" i="67"/>
  <c r="E49" i="67"/>
  <c r="LU25" i="67"/>
  <c r="LM25" i="67"/>
  <c r="LE25" i="67"/>
  <c r="KW25" i="67"/>
  <c r="KO25" i="67"/>
  <c r="KG25" i="67"/>
  <c r="JY25" i="67"/>
  <c r="JQ25" i="67"/>
  <c r="JI25" i="67"/>
  <c r="JA25" i="67"/>
  <c r="IS25" i="67"/>
  <c r="IK25" i="67"/>
  <c r="IC25" i="67"/>
  <c r="HU25" i="67"/>
  <c r="HM25" i="67"/>
  <c r="GW25" i="67"/>
  <c r="GO25" i="67"/>
  <c r="GG25" i="67"/>
  <c r="FY25" i="67"/>
  <c r="FQ25" i="67"/>
  <c r="FI25" i="67"/>
  <c r="FA25" i="67"/>
  <c r="ES25" i="67"/>
  <c r="EK25" i="67"/>
  <c r="EC25" i="67"/>
  <c r="DU25" i="67"/>
  <c r="DM25" i="67"/>
  <c r="DE25" i="67"/>
  <c r="CW25" i="67"/>
  <c r="CO25" i="67"/>
  <c r="CG25" i="67"/>
  <c r="BY25" i="67"/>
  <c r="BQ25" i="67"/>
  <c r="BI25" i="67"/>
  <c r="BA25" i="67"/>
  <c r="AS25" i="67"/>
  <c r="AK25" i="67"/>
  <c r="AC25" i="67"/>
  <c r="U25" i="67"/>
  <c r="M25" i="67"/>
  <c r="E25" i="67"/>
  <c r="LW14" i="67"/>
  <c r="LW63" i="67"/>
  <c r="LO14" i="67"/>
  <c r="LO63" i="67"/>
  <c r="LG14" i="67"/>
  <c r="LG63" i="67"/>
  <c r="KY14" i="67"/>
  <c r="KY63" i="67"/>
  <c r="KQ14" i="67"/>
  <c r="KQ63" i="67"/>
  <c r="KI14" i="67"/>
  <c r="KI63" i="67"/>
  <c r="KA14" i="67"/>
  <c r="KA63" i="67"/>
  <c r="JS14" i="67"/>
  <c r="JS63" i="67"/>
  <c r="JK14" i="67"/>
  <c r="JK63" i="67"/>
  <c r="JC14" i="67"/>
  <c r="JC63" i="67"/>
  <c r="IU14" i="67"/>
  <c r="IU63" i="67"/>
  <c r="IM14" i="67"/>
  <c r="IM63" i="67"/>
  <c r="IE14" i="67"/>
  <c r="IE63" i="67"/>
  <c r="HW14" i="67"/>
  <c r="HW63" i="67"/>
  <c r="HO14" i="67"/>
  <c r="HO63" i="67"/>
  <c r="HG14" i="67"/>
  <c r="GY14" i="67"/>
  <c r="GY63" i="67"/>
  <c r="GQ14" i="67"/>
  <c r="GQ63" i="67"/>
  <c r="GI14" i="67"/>
  <c r="GI63" i="67"/>
  <c r="GA14" i="67"/>
  <c r="GA63" i="67"/>
  <c r="FS14" i="67"/>
  <c r="FS63" i="67"/>
  <c r="FK14" i="67"/>
  <c r="FK63" i="67"/>
  <c r="FC14" i="67"/>
  <c r="FC63" i="67"/>
  <c r="EU14" i="67"/>
  <c r="EU63" i="67"/>
  <c r="EM14" i="67"/>
  <c r="EM63" i="67"/>
  <c r="EE14" i="67"/>
  <c r="EE63" i="67"/>
  <c r="DW14" i="67"/>
  <c r="DW63" i="67"/>
  <c r="DO14" i="67"/>
  <c r="DO63" i="67"/>
  <c r="DG14" i="67"/>
  <c r="DG63" i="67"/>
  <c r="CY14" i="67"/>
  <c r="CY63" i="67"/>
  <c r="CQ14" i="67"/>
  <c r="CQ63" i="67"/>
  <c r="CI14" i="67"/>
  <c r="CI63" i="67"/>
  <c r="CA14" i="67"/>
  <c r="CA63" i="67"/>
  <c r="BS14" i="67"/>
  <c r="BS63" i="67"/>
  <c r="BK14" i="67"/>
  <c r="BK63" i="67"/>
  <c r="BC14" i="67"/>
  <c r="BC63" i="67"/>
  <c r="AU14" i="67"/>
  <c r="AU63" i="67"/>
  <c r="AM14" i="67"/>
  <c r="AM63" i="67"/>
  <c r="AE14" i="67"/>
  <c r="AE63" i="67"/>
  <c r="W14" i="67"/>
  <c r="W63" i="67"/>
  <c r="O14" i="67"/>
  <c r="O63" i="67"/>
  <c r="G14" i="67"/>
  <c r="G63" i="67"/>
  <c r="J9" i="67"/>
  <c r="J69" i="67"/>
  <c r="J4" i="67"/>
  <c r="J65" i="67"/>
  <c r="LX32" i="67"/>
  <c r="LP32" i="67"/>
  <c r="LH32" i="67"/>
  <c r="KZ32" i="67"/>
  <c r="KR32" i="67"/>
  <c r="KJ32" i="67"/>
  <c r="KB32" i="67"/>
  <c r="JT32" i="67"/>
  <c r="JL32" i="67"/>
  <c r="JD32" i="67"/>
  <c r="IV32" i="67"/>
  <c r="IN32" i="67"/>
  <c r="IF32" i="67"/>
  <c r="HX32" i="67"/>
  <c r="HP32" i="67"/>
  <c r="HH32" i="67"/>
  <c r="GZ32" i="67"/>
  <c r="GR32" i="67"/>
  <c r="GJ32" i="67"/>
  <c r="GB32" i="67"/>
  <c r="FT32" i="67"/>
  <c r="FL32" i="67"/>
  <c r="FD32" i="67"/>
  <c r="EV32" i="67"/>
  <c r="EN32" i="67"/>
  <c r="EF32" i="67"/>
  <c r="DX32" i="67"/>
  <c r="DP32" i="67"/>
  <c r="DH32" i="67"/>
  <c r="CZ32" i="67"/>
  <c r="CR32" i="67"/>
  <c r="CJ32" i="67"/>
  <c r="CB32" i="67"/>
  <c r="BT32" i="67"/>
  <c r="BL32" i="67"/>
  <c r="BD32" i="67"/>
  <c r="AV32" i="67"/>
  <c r="AN32" i="67"/>
  <c r="AF32" i="67"/>
  <c r="X32" i="67"/>
  <c r="P32" i="67"/>
  <c r="H32" i="67"/>
  <c r="LT28" i="67"/>
  <c r="LT49" i="67"/>
  <c r="LL28" i="67"/>
  <c r="LL49" i="67"/>
  <c r="LD28" i="67"/>
  <c r="LD49" i="67"/>
  <c r="KV28" i="67"/>
  <c r="KV49" i="67"/>
  <c r="KN28" i="67"/>
  <c r="KN49" i="67"/>
  <c r="KF28" i="67"/>
  <c r="KF49" i="67"/>
  <c r="JX28" i="67"/>
  <c r="JX49" i="67"/>
  <c r="JP28" i="67"/>
  <c r="JP49" i="67"/>
  <c r="JH28" i="67"/>
  <c r="JH49" i="67"/>
  <c r="IZ28" i="67"/>
  <c r="IZ49" i="67"/>
  <c r="IR28" i="67"/>
  <c r="IR49" i="67"/>
  <c r="IJ28" i="67"/>
  <c r="IJ49" i="67"/>
  <c r="IB28" i="67"/>
  <c r="IB49" i="67"/>
  <c r="HT28" i="67"/>
  <c r="HT49" i="67"/>
  <c r="HL28" i="67"/>
  <c r="HL49" i="67"/>
  <c r="GV28" i="67"/>
  <c r="GV49" i="67"/>
  <c r="GN28" i="67"/>
  <c r="GN49" i="67"/>
  <c r="GF28" i="67"/>
  <c r="GF49" i="67"/>
  <c r="FX28" i="67"/>
  <c r="FX49" i="67"/>
  <c r="FP28" i="67"/>
  <c r="FP49" i="67"/>
  <c r="FH28" i="67"/>
  <c r="FH49" i="67"/>
  <c r="EZ28" i="67"/>
  <c r="EZ49" i="67"/>
  <c r="ER28" i="67"/>
  <c r="ER49" i="67"/>
  <c r="EJ28" i="67"/>
  <c r="EJ49" i="67"/>
  <c r="EB28" i="67"/>
  <c r="EB49" i="67"/>
  <c r="DT28" i="67"/>
  <c r="DT49" i="67"/>
  <c r="DL28" i="67"/>
  <c r="DL49" i="67"/>
  <c r="DD28" i="67"/>
  <c r="DD49" i="67"/>
  <c r="CV28" i="67"/>
  <c r="CV49" i="67"/>
  <c r="CN28" i="67"/>
  <c r="CN49" i="67"/>
  <c r="CF28" i="67"/>
  <c r="CF49" i="67"/>
  <c r="BX28" i="67"/>
  <c r="BX49" i="67"/>
  <c r="BP28" i="67"/>
  <c r="BP49" i="67"/>
  <c r="BH28" i="67"/>
  <c r="BH49" i="67"/>
  <c r="AZ28" i="67"/>
  <c r="AZ49" i="67"/>
  <c r="AR28" i="67"/>
  <c r="AR49" i="67"/>
  <c r="AJ28" i="67"/>
  <c r="AJ49" i="67"/>
  <c r="AB28" i="67"/>
  <c r="AB49" i="67"/>
  <c r="T28" i="67"/>
  <c r="T49" i="67"/>
  <c r="L28" i="67"/>
  <c r="L49" i="67"/>
  <c r="D28" i="67"/>
  <c r="D49" i="67"/>
  <c r="LT25" i="67"/>
  <c r="LL25" i="67"/>
  <c r="LD25" i="67"/>
  <c r="KV25" i="67"/>
  <c r="KN25" i="67"/>
  <c r="KF25" i="67"/>
  <c r="JX25" i="67"/>
  <c r="JP25" i="67"/>
  <c r="JH25" i="67"/>
  <c r="IZ25" i="67"/>
  <c r="IR25" i="67"/>
  <c r="IJ25" i="67"/>
  <c r="IB25" i="67"/>
  <c r="HT25" i="67"/>
  <c r="HL25" i="67"/>
  <c r="GV25" i="67"/>
  <c r="GN25" i="67"/>
  <c r="GF25" i="67"/>
  <c r="FX25" i="67"/>
  <c r="FP25" i="67"/>
  <c r="FH25" i="67"/>
  <c r="EZ25" i="67"/>
  <c r="ER25" i="67"/>
  <c r="EJ25" i="67"/>
  <c r="EB25" i="67"/>
  <c r="DT25" i="67"/>
  <c r="DL25" i="67"/>
  <c r="DD25" i="67"/>
  <c r="CV25" i="67"/>
  <c r="CN25" i="67"/>
  <c r="CF25" i="67"/>
  <c r="BX25" i="67"/>
  <c r="BP25" i="67"/>
  <c r="BH25" i="67"/>
  <c r="AZ25" i="67"/>
  <c r="AR25" i="67"/>
  <c r="AJ25" i="67"/>
  <c r="AB25" i="67"/>
  <c r="T25" i="67"/>
  <c r="L25" i="67"/>
  <c r="D25" i="67"/>
  <c r="LV14" i="67"/>
  <c r="LV63" i="67"/>
  <c r="LN14" i="67"/>
  <c r="LN63" i="67"/>
  <c r="LF14" i="67"/>
  <c r="LF63" i="67"/>
  <c r="KX14" i="67"/>
  <c r="KX63" i="67"/>
  <c r="KP14" i="67"/>
  <c r="KP63" i="67"/>
  <c r="KH14" i="67"/>
  <c r="KH63" i="67"/>
  <c r="JZ14" i="67"/>
  <c r="JZ63" i="67"/>
  <c r="JR14" i="67"/>
  <c r="JR63" i="67"/>
  <c r="JJ14" i="67"/>
  <c r="JJ63" i="67"/>
  <c r="JB14" i="67"/>
  <c r="JB63" i="67"/>
  <c r="IT14" i="67"/>
  <c r="IT63" i="67"/>
  <c r="IL14" i="67"/>
  <c r="IL63" i="67"/>
  <c r="ID14" i="67"/>
  <c r="ID63" i="67"/>
  <c r="HV14" i="67"/>
  <c r="HV63" i="67"/>
  <c r="HN14" i="67"/>
  <c r="HN63" i="67"/>
  <c r="HF14" i="67"/>
  <c r="GX14" i="67"/>
  <c r="GX63" i="67"/>
  <c r="GP14" i="67"/>
  <c r="GP63" i="67"/>
  <c r="GH14" i="67"/>
  <c r="GH63" i="67"/>
  <c r="FZ14" i="67"/>
  <c r="FZ63" i="67"/>
  <c r="FR14" i="67"/>
  <c r="FR63" i="67"/>
  <c r="FJ14" i="67"/>
  <c r="FJ63" i="67"/>
  <c r="FB14" i="67"/>
  <c r="FB63" i="67"/>
  <c r="ET14" i="67"/>
  <c r="ET63" i="67"/>
  <c r="EL14" i="67"/>
  <c r="EL63" i="67"/>
  <c r="ED14" i="67"/>
  <c r="ED63" i="67"/>
  <c r="DV14" i="67"/>
  <c r="DV63" i="67"/>
  <c r="DN14" i="67"/>
  <c r="DN63" i="67"/>
  <c r="DF14" i="67"/>
  <c r="DF63" i="67"/>
  <c r="CX14" i="67"/>
  <c r="CX63" i="67"/>
  <c r="CP14" i="67"/>
  <c r="CP63" i="67"/>
  <c r="CH14" i="67"/>
  <c r="CH63" i="67"/>
  <c r="BZ14" i="67"/>
  <c r="BZ63" i="67"/>
  <c r="BR14" i="67"/>
  <c r="BR63" i="67"/>
  <c r="BJ14" i="67"/>
  <c r="BJ63" i="67"/>
  <c r="BB14" i="67"/>
  <c r="BB63" i="67"/>
  <c r="AT14" i="67"/>
  <c r="AT63" i="67"/>
  <c r="AL14" i="67"/>
  <c r="AL63" i="67"/>
  <c r="AD14" i="67"/>
  <c r="AD63" i="67"/>
  <c r="V14" i="67"/>
  <c r="V63" i="67"/>
  <c r="N14" i="67"/>
  <c r="N63" i="67"/>
  <c r="F14" i="67"/>
  <c r="F63" i="67"/>
  <c r="I4" i="67"/>
  <c r="I65" i="67"/>
  <c r="LW32" i="67"/>
  <c r="LO32" i="67"/>
  <c r="LG32" i="67"/>
  <c r="KY32" i="67"/>
  <c r="KQ32" i="67"/>
  <c r="KI32" i="67"/>
  <c r="KA32" i="67"/>
  <c r="JS32" i="67"/>
  <c r="JK32" i="67"/>
  <c r="JC32" i="67"/>
  <c r="IU32" i="67"/>
  <c r="IM32" i="67"/>
  <c r="IE32" i="67"/>
  <c r="HW32" i="67"/>
  <c r="HO32" i="67"/>
  <c r="HG32" i="67"/>
  <c r="GY32" i="67"/>
  <c r="GQ32" i="67"/>
  <c r="GI32" i="67"/>
  <c r="GA32" i="67"/>
  <c r="FS32" i="67"/>
  <c r="FK32" i="67"/>
  <c r="FC32" i="67"/>
  <c r="EU32" i="67"/>
  <c r="EM32" i="67"/>
  <c r="EE32" i="67"/>
  <c r="DW32" i="67"/>
  <c r="DO32" i="67"/>
  <c r="DG32" i="67"/>
  <c r="CY32" i="67"/>
  <c r="CQ32" i="67"/>
  <c r="CI32" i="67"/>
  <c r="CA32" i="67"/>
  <c r="BS32" i="67"/>
  <c r="BK32" i="67"/>
  <c r="BC32" i="67"/>
  <c r="AU32" i="67"/>
  <c r="AM32" i="67"/>
  <c r="AE32" i="67"/>
  <c r="W32" i="67"/>
  <c r="O32" i="67"/>
  <c r="G32" i="67"/>
  <c r="MA28" i="67"/>
  <c r="MA49" i="67"/>
  <c r="LS28" i="67"/>
  <c r="LS49" i="67"/>
  <c r="LK28" i="67"/>
  <c r="LK49" i="67"/>
  <c r="LC28" i="67"/>
  <c r="LC49" i="67"/>
  <c r="KU28" i="67"/>
  <c r="KU49" i="67"/>
  <c r="KM28" i="67"/>
  <c r="KM49" i="67"/>
  <c r="KE28" i="67"/>
  <c r="KE49" i="67"/>
  <c r="JW28" i="67"/>
  <c r="JW49" i="67"/>
  <c r="JO28" i="67"/>
  <c r="JO49" i="67"/>
  <c r="JG28" i="67"/>
  <c r="JG49" i="67"/>
  <c r="IY28" i="67"/>
  <c r="IY49" i="67"/>
  <c r="IQ28" i="67"/>
  <c r="IQ49" i="67"/>
  <c r="II28" i="67"/>
  <c r="II49" i="67"/>
  <c r="IA28" i="67"/>
  <c r="IA49" i="67"/>
  <c r="HS28" i="67"/>
  <c r="HS49" i="67"/>
  <c r="HK28" i="67"/>
  <c r="HK49" i="67"/>
  <c r="GU28" i="67"/>
  <c r="GU49" i="67"/>
  <c r="GM28" i="67"/>
  <c r="GM49" i="67"/>
  <c r="GE28" i="67"/>
  <c r="GE49" i="67"/>
  <c r="FW28" i="67"/>
  <c r="FW49" i="67"/>
  <c r="FO28" i="67"/>
  <c r="FO49" i="67"/>
  <c r="FG28" i="67"/>
  <c r="FG49" i="67"/>
  <c r="EY28" i="67"/>
  <c r="EY49" i="67"/>
  <c r="EQ28" i="67"/>
  <c r="EQ49" i="67"/>
  <c r="EI28" i="67"/>
  <c r="EI49" i="67"/>
  <c r="EA28" i="67"/>
  <c r="EA49" i="67"/>
  <c r="DS28" i="67"/>
  <c r="DS49" i="67"/>
  <c r="DK28" i="67"/>
  <c r="DK49" i="67"/>
  <c r="DC28" i="67"/>
  <c r="DC49" i="67"/>
  <c r="CU28" i="67"/>
  <c r="CU49" i="67"/>
  <c r="CM28" i="67"/>
  <c r="CM49" i="67"/>
  <c r="CE28" i="67"/>
  <c r="CE49" i="67"/>
  <c r="BW28" i="67"/>
  <c r="BW49" i="67"/>
  <c r="BO28" i="67"/>
  <c r="BO49" i="67"/>
  <c r="BG28" i="67"/>
  <c r="BG49" i="67"/>
  <c r="AY28" i="67"/>
  <c r="AY49" i="67"/>
  <c r="AQ28" i="67"/>
  <c r="AQ49" i="67"/>
  <c r="AI28" i="67"/>
  <c r="AI49" i="67"/>
  <c r="AA28" i="67"/>
  <c r="AA49" i="67"/>
  <c r="S28" i="67"/>
  <c r="S49" i="67"/>
  <c r="K28" i="67"/>
  <c r="K49" i="67"/>
  <c r="C28" i="67"/>
  <c r="C49" i="67"/>
  <c r="MA25" i="67"/>
  <c r="LS25" i="67"/>
  <c r="LK25" i="67"/>
  <c r="LC25" i="67"/>
  <c r="KU25" i="67"/>
  <c r="KM25" i="67"/>
  <c r="KE25" i="67"/>
  <c r="JW25" i="67"/>
  <c r="JO25" i="67"/>
  <c r="JG25" i="67"/>
  <c r="IY25" i="67"/>
  <c r="IQ25" i="67"/>
  <c r="II25" i="67"/>
  <c r="IA25" i="67"/>
  <c r="HS25" i="67"/>
  <c r="HK25" i="67"/>
  <c r="GU25" i="67"/>
  <c r="GM25" i="67"/>
  <c r="GE25" i="67"/>
  <c r="FW25" i="67"/>
  <c r="FO25" i="67"/>
  <c r="FG25" i="67"/>
  <c r="EY25" i="67"/>
  <c r="EQ25" i="67"/>
  <c r="EI25" i="67"/>
  <c r="EA25" i="67"/>
  <c r="DS25" i="67"/>
  <c r="DK25" i="67"/>
  <c r="DC25" i="67"/>
  <c r="CU25" i="67"/>
  <c r="CM25" i="67"/>
  <c r="CE25" i="67"/>
  <c r="BW25" i="67"/>
  <c r="BO25" i="67"/>
  <c r="BG25" i="67"/>
  <c r="AY25" i="67"/>
  <c r="AQ25" i="67"/>
  <c r="AI25" i="67"/>
  <c r="AA25" i="67"/>
  <c r="S25" i="67"/>
  <c r="K25" i="67"/>
  <c r="C25" i="67"/>
  <c r="J66" i="67"/>
  <c r="LU14" i="67"/>
  <c r="LU63" i="67"/>
  <c r="LM14" i="67"/>
  <c r="LM63" i="67"/>
  <c r="LE14" i="67"/>
  <c r="LE63" i="67"/>
  <c r="KW14" i="67"/>
  <c r="KW63" i="67"/>
  <c r="KO14" i="67"/>
  <c r="KO63" i="67"/>
  <c r="KG14" i="67"/>
  <c r="KG63" i="67"/>
  <c r="JY14" i="67"/>
  <c r="JY63" i="67"/>
  <c r="JQ14" i="67"/>
  <c r="JQ63" i="67"/>
  <c r="JI14" i="67"/>
  <c r="JI63" i="67"/>
  <c r="JA14" i="67"/>
  <c r="JA63" i="67"/>
  <c r="IS14" i="67"/>
  <c r="IS63" i="67"/>
  <c r="IK14" i="67"/>
  <c r="IK63" i="67"/>
  <c r="IC14" i="67"/>
  <c r="IC63" i="67"/>
  <c r="HU14" i="67"/>
  <c r="HU63" i="67"/>
  <c r="HM14" i="67"/>
  <c r="HM63" i="67"/>
  <c r="HE14" i="67"/>
  <c r="GW14" i="67"/>
  <c r="GW63" i="67"/>
  <c r="GO14" i="67"/>
  <c r="GO63" i="67"/>
  <c r="GG14" i="67"/>
  <c r="GG63" i="67"/>
  <c r="FY14" i="67"/>
  <c r="FY63" i="67"/>
  <c r="FQ14" i="67"/>
  <c r="FQ63" i="67"/>
  <c r="FI14" i="67"/>
  <c r="FI63" i="67"/>
  <c r="FA14" i="67"/>
  <c r="FA63" i="67"/>
  <c r="ES14" i="67"/>
  <c r="ES63" i="67"/>
  <c r="EK14" i="67"/>
  <c r="EK63" i="67"/>
  <c r="EC14" i="67"/>
  <c r="EC63" i="67"/>
  <c r="DU14" i="67"/>
  <c r="DU63" i="67"/>
  <c r="DM14" i="67"/>
  <c r="DM63" i="67"/>
  <c r="DE14" i="67"/>
  <c r="DE63" i="67"/>
  <c r="CW14" i="67"/>
  <c r="CW63" i="67"/>
  <c r="CO14" i="67"/>
  <c r="CO63" i="67"/>
  <c r="CG14" i="67"/>
  <c r="CG63" i="67"/>
  <c r="BY14" i="67"/>
  <c r="BY63" i="67"/>
  <c r="BQ14" i="67"/>
  <c r="BQ63" i="67"/>
  <c r="BI14" i="67"/>
  <c r="BI63" i="67"/>
  <c r="BA14" i="67"/>
  <c r="BA63" i="67"/>
  <c r="AS14" i="67"/>
  <c r="AS63" i="67"/>
  <c r="AK14" i="67"/>
  <c r="AK63" i="67"/>
  <c r="AC14" i="67"/>
  <c r="AC63" i="67"/>
  <c r="U14" i="67"/>
  <c r="U63" i="67"/>
  <c r="M14" i="67"/>
  <c r="M63" i="67"/>
  <c r="E14" i="67"/>
  <c r="E63" i="67"/>
  <c r="J7" i="67"/>
  <c r="J62" i="67"/>
  <c r="LX35" i="67"/>
  <c r="LX45" i="67"/>
  <c r="LP35" i="67"/>
  <c r="LP45" i="67"/>
  <c r="LH35" i="67"/>
  <c r="LH45" i="67"/>
  <c r="KZ35" i="67"/>
  <c r="KZ45" i="67"/>
  <c r="KR35" i="67"/>
  <c r="KR45" i="67"/>
  <c r="KJ35" i="67"/>
  <c r="KJ45" i="67"/>
  <c r="KB35" i="67"/>
  <c r="KB45" i="67"/>
  <c r="JT35" i="67"/>
  <c r="JT45" i="67"/>
  <c r="JL35" i="67"/>
  <c r="JL45" i="67"/>
  <c r="LW35" i="67"/>
  <c r="LW45" i="67"/>
  <c r="LO35" i="67"/>
  <c r="LO45" i="67"/>
  <c r="LJ35" i="67"/>
  <c r="LJ45" i="67"/>
  <c r="LU35" i="67"/>
  <c r="LU45" i="67"/>
  <c r="LM35" i="67"/>
  <c r="LM45" i="67"/>
  <c r="LE35" i="67"/>
  <c r="LE45" i="67"/>
  <c r="KW35" i="67"/>
  <c r="KW45" i="67"/>
  <c r="KO35" i="67"/>
  <c r="KO45" i="67"/>
  <c r="KG35" i="67"/>
  <c r="KG45" i="67"/>
  <c r="JY35" i="67"/>
  <c r="JY45" i="67"/>
  <c r="JQ35" i="67"/>
  <c r="JQ45" i="67"/>
  <c r="JI35" i="67"/>
  <c r="JI45" i="67"/>
  <c r="JA35" i="67"/>
  <c r="JA45" i="67"/>
  <c r="IS35" i="67"/>
  <c r="IS45" i="67"/>
  <c r="IK35" i="67"/>
  <c r="IK45" i="67"/>
  <c r="IC35" i="67"/>
  <c r="IC45" i="67"/>
  <c r="HU35" i="67"/>
  <c r="HU45" i="67"/>
  <c r="HM35" i="67"/>
  <c r="HM45" i="67"/>
  <c r="HE35" i="67"/>
  <c r="HE45" i="67"/>
  <c r="GW35" i="67"/>
  <c r="GW45" i="67"/>
  <c r="GO35" i="67"/>
  <c r="GO45" i="67"/>
  <c r="GG35" i="67"/>
  <c r="GG45" i="67"/>
  <c r="FY35" i="67"/>
  <c r="FY45" i="67"/>
  <c r="FQ35" i="67"/>
  <c r="FQ45" i="67"/>
  <c r="FI35" i="67"/>
  <c r="FI45" i="67"/>
  <c r="FA35" i="67"/>
  <c r="FA45" i="67"/>
  <c r="ES35" i="67"/>
  <c r="ES45" i="67"/>
  <c r="EK35" i="67"/>
  <c r="EK45" i="67"/>
  <c r="EC35" i="67"/>
  <c r="EC45" i="67"/>
  <c r="DU35" i="67"/>
  <c r="DU45" i="67"/>
  <c r="DM35" i="67"/>
  <c r="DM45" i="67"/>
  <c r="DE35" i="67"/>
  <c r="DE45" i="67"/>
  <c r="CW35" i="67"/>
  <c r="CW45" i="67"/>
  <c r="CO35" i="67"/>
  <c r="CO45" i="67"/>
  <c r="CG35" i="67"/>
  <c r="CG45" i="67"/>
  <c r="BY35" i="67"/>
  <c r="BY45" i="67"/>
  <c r="BQ35" i="67"/>
  <c r="BQ45" i="67"/>
  <c r="BI35" i="67"/>
  <c r="BI45" i="67"/>
  <c r="BA35" i="67"/>
  <c r="BA45" i="67"/>
  <c r="AS35" i="67"/>
  <c r="AS45" i="67"/>
  <c r="AK35" i="67"/>
  <c r="AK45" i="67"/>
  <c r="AC35" i="67"/>
  <c r="AC45" i="67"/>
  <c r="U35" i="67"/>
  <c r="U45" i="67"/>
  <c r="M35" i="67"/>
  <c r="M45" i="67"/>
  <c r="E35" i="67"/>
  <c r="E45" i="67"/>
  <c r="LX34" i="67"/>
  <c r="LX44" i="67"/>
  <c r="LP34" i="67"/>
  <c r="LP44" i="67"/>
  <c r="LH34" i="67"/>
  <c r="LH44" i="67"/>
  <c r="KZ34" i="67"/>
  <c r="KZ44" i="67"/>
  <c r="KR34" i="67"/>
  <c r="KR44" i="67"/>
  <c r="KJ34" i="67"/>
  <c r="KJ44" i="67"/>
  <c r="KB34" i="67"/>
  <c r="KB44" i="67"/>
  <c r="JT34" i="67"/>
  <c r="JT44" i="67"/>
  <c r="JL34" i="67"/>
  <c r="JL44" i="67"/>
  <c r="JD34" i="67"/>
  <c r="JD44" i="67"/>
  <c r="IV34" i="67"/>
  <c r="IV44" i="67"/>
  <c r="IN34" i="67"/>
  <c r="IN44" i="67"/>
  <c r="IF34" i="67"/>
  <c r="IF44" i="67"/>
  <c r="HX34" i="67"/>
  <c r="HX44" i="67"/>
  <c r="HP34" i="67"/>
  <c r="HP44" i="67"/>
  <c r="HH34" i="67"/>
  <c r="HH44" i="67"/>
  <c r="GZ34" i="67"/>
  <c r="GZ44" i="67"/>
  <c r="GR34" i="67"/>
  <c r="GR44" i="67"/>
  <c r="GJ34" i="67"/>
  <c r="GJ44" i="67"/>
  <c r="GB34" i="67"/>
  <c r="GB44" i="67"/>
  <c r="FT34" i="67"/>
  <c r="FT44" i="67"/>
  <c r="FL34" i="67"/>
  <c r="FL44" i="67"/>
  <c r="FD34" i="67"/>
  <c r="FD44" i="67"/>
  <c r="EV34" i="67"/>
  <c r="EV44" i="67"/>
  <c r="EN34" i="67"/>
  <c r="EN44" i="67"/>
  <c r="EF34" i="67"/>
  <c r="EF44" i="67"/>
  <c r="DX34" i="67"/>
  <c r="DX44" i="67"/>
  <c r="DP34" i="67"/>
  <c r="DP44" i="67"/>
  <c r="DH34" i="67"/>
  <c r="DH44" i="67"/>
  <c r="CZ34" i="67"/>
  <c r="CZ44" i="67"/>
  <c r="CR34" i="67"/>
  <c r="CR44" i="67"/>
  <c r="CJ34" i="67"/>
  <c r="CJ44" i="67"/>
  <c r="CB34" i="67"/>
  <c r="CB44" i="67"/>
  <c r="BT34" i="67"/>
  <c r="BT44" i="67"/>
  <c r="BL34" i="67"/>
  <c r="BL44" i="67"/>
  <c r="BD34" i="67"/>
  <c r="BD44" i="67"/>
  <c r="AV34" i="67"/>
  <c r="AV44" i="67"/>
  <c r="AN34" i="67"/>
  <c r="AN44" i="67"/>
  <c r="AF34" i="67"/>
  <c r="AF44" i="67"/>
  <c r="X34" i="67"/>
  <c r="X44" i="67"/>
  <c r="LZ35" i="67"/>
  <c r="LZ45" i="67"/>
  <c r="LT35" i="67"/>
  <c r="LT45" i="67"/>
  <c r="LL35" i="67"/>
  <c r="LL45" i="67"/>
  <c r="LD35" i="67"/>
  <c r="LD45" i="67"/>
  <c r="KV35" i="67"/>
  <c r="KV45" i="67"/>
  <c r="KN35" i="67"/>
  <c r="KN45" i="67"/>
  <c r="KF35" i="67"/>
  <c r="KF45" i="67"/>
  <c r="JX35" i="67"/>
  <c r="JX45" i="67"/>
  <c r="JP35" i="67"/>
  <c r="JP45" i="67"/>
  <c r="JH35" i="67"/>
  <c r="JH45" i="67"/>
  <c r="LR35" i="67"/>
  <c r="LR45" i="67"/>
  <c r="MA35" i="67"/>
  <c r="MA45" i="67"/>
  <c r="LS35" i="67"/>
  <c r="LS45" i="67"/>
  <c r="LK35" i="67"/>
  <c r="LK45" i="67"/>
  <c r="LC35" i="67"/>
  <c r="LC45" i="67"/>
  <c r="KU35" i="67"/>
  <c r="KU45" i="67"/>
  <c r="KM35" i="67"/>
  <c r="KM45" i="67"/>
  <c r="KE35" i="67"/>
  <c r="KE45" i="67"/>
  <c r="JW35" i="67"/>
  <c r="JW45" i="67"/>
  <c r="JO35" i="67"/>
  <c r="JO45" i="67"/>
  <c r="JG35" i="67"/>
  <c r="JG45" i="67"/>
  <c r="IY35" i="67"/>
  <c r="IY45" i="67"/>
  <c r="IQ35" i="67"/>
  <c r="IQ45" i="67"/>
  <c r="II35" i="67"/>
  <c r="II45" i="67"/>
  <c r="IA35" i="67"/>
  <c r="IA45" i="67"/>
  <c r="HS35" i="67"/>
  <c r="HS45" i="67"/>
  <c r="HK35" i="67"/>
  <c r="HK45" i="67"/>
  <c r="HC35" i="67"/>
  <c r="HC45" i="67"/>
  <c r="GU35" i="67"/>
  <c r="GU45" i="67"/>
  <c r="LB35" i="67"/>
  <c r="LB45" i="67"/>
  <c r="LY35" i="67"/>
  <c r="LY45" i="67"/>
  <c r="LQ35" i="67"/>
  <c r="LQ45" i="67"/>
  <c r="LI35" i="67"/>
  <c r="LI45" i="67"/>
  <c r="LA35" i="67"/>
  <c r="LA45" i="67"/>
  <c r="KS35" i="67"/>
  <c r="KS45" i="67"/>
  <c r="KK35" i="67"/>
  <c r="KK45" i="67"/>
  <c r="KC35" i="67"/>
  <c r="KC45" i="67"/>
  <c r="JU35" i="67"/>
  <c r="JU45" i="67"/>
  <c r="JM35" i="67"/>
  <c r="JM45" i="67"/>
  <c r="JE35" i="67"/>
  <c r="JE45" i="67"/>
  <c r="IW35" i="67"/>
  <c r="IW45" i="67"/>
  <c r="IO35" i="67"/>
  <c r="IO45" i="67"/>
  <c r="IG35" i="67"/>
  <c r="IG45" i="67"/>
  <c r="HY35" i="67"/>
  <c r="HY45" i="67"/>
  <c r="HQ35" i="67"/>
  <c r="HQ45" i="67"/>
  <c r="HI35" i="67"/>
  <c r="HI45" i="67"/>
  <c r="HA35" i="67"/>
  <c r="HA45" i="67"/>
  <c r="GS35" i="67"/>
  <c r="GS45" i="67"/>
  <c r="GK35" i="67"/>
  <c r="GK45" i="67"/>
  <c r="GC35" i="67"/>
  <c r="GC45" i="67"/>
  <c r="FU35" i="67"/>
  <c r="FU45" i="67"/>
  <c r="FM35" i="67"/>
  <c r="FM45" i="67"/>
  <c r="FE35" i="67"/>
  <c r="FE45" i="67"/>
  <c r="EW35" i="67"/>
  <c r="EW45" i="67"/>
  <c r="EO35" i="67"/>
  <c r="EO45" i="67"/>
  <c r="EG35" i="67"/>
  <c r="EG45" i="67"/>
  <c r="DY35" i="67"/>
  <c r="DY45" i="67"/>
  <c r="DQ35" i="67"/>
  <c r="DQ45" i="67"/>
  <c r="DI35" i="67"/>
  <c r="DI45" i="67"/>
  <c r="DA35" i="67"/>
  <c r="DA45" i="67"/>
  <c r="CS35" i="67"/>
  <c r="CS45" i="67"/>
  <c r="CK35" i="67"/>
  <c r="CK45" i="67"/>
  <c r="CC35" i="67"/>
  <c r="CC45" i="67"/>
  <c r="BU35" i="67"/>
  <c r="BU45" i="67"/>
  <c r="BM35" i="67"/>
  <c r="BM45" i="67"/>
  <c r="BE35" i="67"/>
  <c r="BE45" i="67"/>
  <c r="AW35" i="67"/>
  <c r="AW45" i="67"/>
  <c r="AO35" i="67"/>
  <c r="AO45" i="67"/>
  <c r="AG35" i="67"/>
  <c r="AG45" i="67"/>
  <c r="Y35" i="67"/>
  <c r="Y45" i="67"/>
  <c r="Q35" i="67"/>
  <c r="Q45" i="67"/>
  <c r="I35" i="67"/>
  <c r="I45" i="67"/>
  <c r="A35" i="67"/>
  <c r="A45" i="67"/>
  <c r="LT34" i="67"/>
  <c r="LT44" i="67"/>
  <c r="LL34" i="67"/>
  <c r="LL44" i="67"/>
  <c r="LD34" i="67"/>
  <c r="LD44" i="67"/>
  <c r="KV34" i="67"/>
  <c r="KV44" i="67"/>
  <c r="KN34" i="67"/>
  <c r="KN44" i="67"/>
  <c r="KF34" i="67"/>
  <c r="KF44" i="67"/>
  <c r="JX34" i="67"/>
  <c r="JX44" i="67"/>
  <c r="JP34" i="67"/>
  <c r="JP44" i="67"/>
  <c r="JH34" i="67"/>
  <c r="JH44" i="67"/>
  <c r="IZ34" i="67"/>
  <c r="IZ44" i="67"/>
  <c r="IR34" i="67"/>
  <c r="IR44" i="67"/>
  <c r="IJ34" i="67"/>
  <c r="IJ44" i="67"/>
  <c r="IB34" i="67"/>
  <c r="IB44" i="67"/>
  <c r="HT34" i="67"/>
  <c r="HT44" i="67"/>
  <c r="HL34" i="67"/>
  <c r="HL44" i="67"/>
  <c r="HD34" i="67"/>
  <c r="HD44" i="67"/>
  <c r="GV34" i="67"/>
  <c r="GV44" i="67"/>
  <c r="GN34" i="67"/>
  <c r="GN44" i="67"/>
  <c r="GF34" i="67"/>
  <c r="GF44" i="67"/>
  <c r="FX34" i="67"/>
  <c r="FX44" i="67"/>
  <c r="FP34" i="67"/>
  <c r="FP44" i="67"/>
  <c r="FH34" i="67"/>
  <c r="FH44" i="67"/>
  <c r="EZ34" i="67"/>
  <c r="EZ44" i="67"/>
  <c r="ER34" i="67"/>
  <c r="ER44" i="67"/>
  <c r="EJ34" i="67"/>
  <c r="EJ44" i="67"/>
  <c r="EB34" i="67"/>
  <c r="EB44" i="67"/>
  <c r="DT34" i="67"/>
  <c r="DT44" i="67"/>
  <c r="DL34" i="67"/>
  <c r="DL44" i="67"/>
  <c r="DD34" i="67"/>
  <c r="DD44" i="67"/>
  <c r="CV34" i="67"/>
  <c r="CV44" i="67"/>
  <c r="CN34" i="67"/>
  <c r="CN44" i="67"/>
  <c r="CF34" i="67"/>
  <c r="CF44" i="67"/>
  <c r="BX34" i="67"/>
  <c r="BX44" i="67"/>
  <c r="BP34" i="67"/>
  <c r="BP44" i="67"/>
  <c r="BH34" i="67"/>
  <c r="BH44" i="67"/>
  <c r="AZ34" i="67"/>
  <c r="AZ44" i="67"/>
  <c r="AR34" i="67"/>
  <c r="AR44" i="67"/>
  <c r="AJ34" i="67"/>
  <c r="AJ44" i="67"/>
  <c r="AB34" i="67"/>
  <c r="AB44" i="67"/>
  <c r="T34" i="67"/>
  <c r="T44" i="67"/>
  <c r="L34" i="67"/>
  <c r="L44" i="67"/>
  <c r="D34" i="67"/>
  <c r="D44" i="67"/>
  <c r="LW33" i="67"/>
  <c r="LW43" i="67"/>
  <c r="LO33" i="67"/>
  <c r="LO43" i="67"/>
  <c r="LG33" i="67"/>
  <c r="LG43" i="67"/>
  <c r="KY33" i="67"/>
  <c r="KY43" i="67"/>
  <c r="KQ33" i="67"/>
  <c r="KQ43" i="67"/>
  <c r="KI33" i="67"/>
  <c r="KI43" i="67"/>
  <c r="KA33" i="67"/>
  <c r="KA43" i="67"/>
  <c r="JS33" i="67"/>
  <c r="JS43" i="67"/>
  <c r="JK33" i="67"/>
  <c r="JK43" i="67"/>
  <c r="JC33" i="67"/>
  <c r="JC43" i="67"/>
  <c r="IU33" i="67"/>
  <c r="IU43" i="67"/>
  <c r="IM33" i="67"/>
  <c r="IM43" i="67"/>
  <c r="IE33" i="67"/>
  <c r="IE43" i="67"/>
  <c r="HW33" i="67"/>
  <c r="HW43" i="67"/>
  <c r="HO33" i="67"/>
  <c r="HO43" i="67"/>
  <c r="HG33" i="67"/>
  <c r="HG43" i="67"/>
  <c r="GY33" i="67"/>
  <c r="GY43" i="67"/>
  <c r="GQ33" i="67"/>
  <c r="GQ43" i="67"/>
  <c r="GI33" i="67"/>
  <c r="GI43" i="67"/>
  <c r="GA33" i="67"/>
  <c r="GA43" i="67"/>
  <c r="FS33" i="67"/>
  <c r="FS43" i="67"/>
  <c r="FK33" i="67"/>
  <c r="FK43" i="67"/>
  <c r="FC33" i="67"/>
  <c r="FC43" i="67"/>
  <c r="EU33" i="67"/>
  <c r="EU43" i="67"/>
  <c r="EM33" i="67"/>
  <c r="EM43" i="67"/>
  <c r="EE33" i="67"/>
  <c r="EE43" i="67"/>
  <c r="DW33" i="67"/>
  <c r="DW43" i="67"/>
  <c r="DO33" i="67"/>
  <c r="DO43" i="67"/>
  <c r="DG33" i="67"/>
  <c r="DG43" i="67"/>
  <c r="CY33" i="67"/>
  <c r="CY43" i="67"/>
  <c r="CQ33" i="67"/>
  <c r="CQ43" i="67"/>
  <c r="CI33" i="67"/>
  <c r="CI43" i="67"/>
  <c r="CA33" i="67"/>
  <c r="CA43" i="67"/>
  <c r="BS33" i="67"/>
  <c r="BS43" i="67"/>
  <c r="BK33" i="67"/>
  <c r="BK43" i="67"/>
  <c r="BC33" i="67"/>
  <c r="BC43" i="67"/>
  <c r="AU33" i="67"/>
  <c r="AU43" i="67"/>
  <c r="AM33" i="67"/>
  <c r="AM43" i="67"/>
  <c r="AE33" i="67"/>
  <c r="AE43" i="67"/>
  <c r="W33" i="67"/>
  <c r="W43" i="67"/>
  <c r="O33" i="67"/>
  <c r="O43" i="67"/>
  <c r="G33" i="67"/>
  <c r="G43" i="67"/>
  <c r="KT35" i="67"/>
  <c r="KT45" i="67"/>
  <c r="KL35" i="67"/>
  <c r="KL45" i="67"/>
  <c r="KD35" i="67"/>
  <c r="KD45" i="67"/>
  <c r="JV35" i="67"/>
  <c r="JV45" i="67"/>
  <c r="JN35" i="67"/>
  <c r="JN45" i="67"/>
  <c r="JF35" i="67"/>
  <c r="JF45" i="67"/>
  <c r="IX35" i="67"/>
  <c r="IX45" i="67"/>
  <c r="IP35" i="67"/>
  <c r="IP45" i="67"/>
  <c r="IH35" i="67"/>
  <c r="IH45" i="67"/>
  <c r="HZ35" i="67"/>
  <c r="HZ45" i="67"/>
  <c r="HR35" i="67"/>
  <c r="HR45" i="67"/>
  <c r="HJ35" i="67"/>
  <c r="HJ45" i="67"/>
  <c r="HB35" i="67"/>
  <c r="HB45" i="67"/>
  <c r="GT35" i="67"/>
  <c r="GT45" i="67"/>
  <c r="GL35" i="67"/>
  <c r="GL45" i="67"/>
  <c r="GD35" i="67"/>
  <c r="GD45" i="67"/>
  <c r="FV35" i="67"/>
  <c r="FV45" i="67"/>
  <c r="FN35" i="67"/>
  <c r="FN45" i="67"/>
  <c r="FF35" i="67"/>
  <c r="FF45" i="67"/>
  <c r="EX35" i="67"/>
  <c r="EX45" i="67"/>
  <c r="EP35" i="67"/>
  <c r="EP45" i="67"/>
  <c r="EH35" i="67"/>
  <c r="EH45" i="67"/>
  <c r="DZ35" i="67"/>
  <c r="DZ45" i="67"/>
  <c r="DR35" i="67"/>
  <c r="DR45" i="67"/>
  <c r="DJ35" i="67"/>
  <c r="DJ45" i="67"/>
  <c r="DB35" i="67"/>
  <c r="DB45" i="67"/>
  <c r="CT35" i="67"/>
  <c r="CT45" i="67"/>
  <c r="CL35" i="67"/>
  <c r="CL45" i="67"/>
  <c r="CD35" i="67"/>
  <c r="CD45" i="67"/>
  <c r="BV35" i="67"/>
  <c r="BV45" i="67"/>
  <c r="BN35" i="67"/>
  <c r="BN45" i="67"/>
  <c r="BF35" i="67"/>
  <c r="BF45" i="67"/>
  <c r="AX35" i="67"/>
  <c r="AX45" i="67"/>
  <c r="AP35" i="67"/>
  <c r="AP45" i="67"/>
  <c r="AH35" i="67"/>
  <c r="AH45" i="67"/>
  <c r="Z35" i="67"/>
  <c r="Z45" i="67"/>
  <c r="R35" i="67"/>
  <c r="R45" i="67"/>
  <c r="J35" i="67"/>
  <c r="J45" i="67"/>
  <c r="B35" i="67"/>
  <c r="B45" i="67"/>
  <c r="LU34" i="67"/>
  <c r="LU44" i="67"/>
  <c r="LM34" i="67"/>
  <c r="LM44" i="67"/>
  <c r="LE34" i="67"/>
  <c r="LE44" i="67"/>
  <c r="KW34" i="67"/>
  <c r="KW44" i="67"/>
  <c r="KO34" i="67"/>
  <c r="KO44" i="67"/>
  <c r="KG34" i="67"/>
  <c r="KG44" i="67"/>
  <c r="JY34" i="67"/>
  <c r="JY44" i="67"/>
  <c r="JQ34" i="67"/>
  <c r="JQ44" i="67"/>
  <c r="JI34" i="67"/>
  <c r="JI44" i="67"/>
  <c r="JA34" i="67"/>
  <c r="JA44" i="67"/>
  <c r="IS34" i="67"/>
  <c r="IS44" i="67"/>
  <c r="IK34" i="67"/>
  <c r="IK44" i="67"/>
  <c r="IC34" i="67"/>
  <c r="IC44" i="67"/>
  <c r="HU34" i="67"/>
  <c r="HU44" i="67"/>
  <c r="HM34" i="67"/>
  <c r="HM44" i="67"/>
  <c r="HE34" i="67"/>
  <c r="HE44" i="67"/>
  <c r="GW34" i="67"/>
  <c r="GW44" i="67"/>
  <c r="GO34" i="67"/>
  <c r="GO44" i="67"/>
  <c r="GG34" i="67"/>
  <c r="GG44" i="67"/>
  <c r="FY34" i="67"/>
  <c r="FY44" i="67"/>
  <c r="FQ34" i="67"/>
  <c r="FQ44" i="67"/>
  <c r="FI34" i="67"/>
  <c r="FI44" i="67"/>
  <c r="FA34" i="67"/>
  <c r="FA44" i="67"/>
  <c r="ES34" i="67"/>
  <c r="ES44" i="67"/>
  <c r="EK34" i="67"/>
  <c r="EK44" i="67"/>
  <c r="EC34" i="67"/>
  <c r="EC44" i="67"/>
  <c r="DU34" i="67"/>
  <c r="DU44" i="67"/>
  <c r="DM34" i="67"/>
  <c r="DM44" i="67"/>
  <c r="DE34" i="67"/>
  <c r="DE44" i="67"/>
  <c r="CW34" i="67"/>
  <c r="CW44" i="67"/>
  <c r="CO34" i="67"/>
  <c r="CO44" i="67"/>
  <c r="CG34" i="67"/>
  <c r="CG44" i="67"/>
  <c r="BY34" i="67"/>
  <c r="BY44" i="67"/>
  <c r="BQ34" i="67"/>
  <c r="BQ44" i="67"/>
  <c r="BI34" i="67"/>
  <c r="BI44" i="67"/>
  <c r="BA34" i="67"/>
  <c r="BA44" i="67"/>
  <c r="AS34" i="67"/>
  <c r="AS44" i="67"/>
  <c r="AK34" i="67"/>
  <c r="AK44" i="67"/>
  <c r="AC34" i="67"/>
  <c r="AC44" i="67"/>
  <c r="U34" i="67"/>
  <c r="U44" i="67"/>
  <c r="M34" i="67"/>
  <c r="M44" i="67"/>
  <c r="E34" i="67"/>
  <c r="E44" i="67"/>
  <c r="LX33" i="67"/>
  <c r="LX43" i="67"/>
  <c r="LP33" i="67"/>
  <c r="LP43" i="67"/>
  <c r="LH33" i="67"/>
  <c r="LH43" i="67"/>
  <c r="KZ33" i="67"/>
  <c r="KZ43" i="67"/>
  <c r="KR33" i="67"/>
  <c r="KR43" i="67"/>
  <c r="KJ33" i="67"/>
  <c r="KJ43" i="67"/>
  <c r="KB33" i="67"/>
  <c r="KB43" i="67"/>
  <c r="JT33" i="67"/>
  <c r="JT43" i="67"/>
  <c r="JL33" i="67"/>
  <c r="JL43" i="67"/>
  <c r="JD33" i="67"/>
  <c r="JD43" i="67"/>
  <c r="IV33" i="67"/>
  <c r="IV43" i="67"/>
  <c r="IN33" i="67"/>
  <c r="IN43" i="67"/>
  <c r="IF33" i="67"/>
  <c r="IF43" i="67"/>
  <c r="HX33" i="67"/>
  <c r="HX43" i="67"/>
  <c r="HP33" i="67"/>
  <c r="HP43" i="67"/>
  <c r="HH33" i="67"/>
  <c r="HH43" i="67"/>
  <c r="GZ33" i="67"/>
  <c r="GZ43" i="67"/>
  <c r="GR33" i="67"/>
  <c r="GR43" i="67"/>
  <c r="GJ33" i="67"/>
  <c r="GJ43" i="67"/>
  <c r="GB33" i="67"/>
  <c r="GB43" i="67"/>
  <c r="FT33" i="67"/>
  <c r="FT43" i="67"/>
  <c r="FL33" i="67"/>
  <c r="FL43" i="67"/>
  <c r="FD33" i="67"/>
  <c r="FD43" i="67"/>
  <c r="EV33" i="67"/>
  <c r="EV43" i="67"/>
  <c r="EN33" i="67"/>
  <c r="EN43" i="67"/>
  <c r="EF33" i="67"/>
  <c r="EF43" i="67"/>
  <c r="DX33" i="67"/>
  <c r="DX43" i="67"/>
  <c r="DP33" i="67"/>
  <c r="DP43" i="67"/>
  <c r="DH33" i="67"/>
  <c r="DH43" i="67"/>
  <c r="CZ33" i="67"/>
  <c r="CZ43" i="67"/>
  <c r="CR33" i="67"/>
  <c r="CR43" i="67"/>
  <c r="CJ33" i="67"/>
  <c r="CJ43" i="67"/>
  <c r="CB33" i="67"/>
  <c r="CB43" i="67"/>
  <c r="BT33" i="67"/>
  <c r="BT43" i="67"/>
  <c r="BL33" i="67"/>
  <c r="BL43" i="67"/>
  <c r="BD33" i="67"/>
  <c r="BD43" i="67"/>
  <c r="AV33" i="67"/>
  <c r="AV43" i="67"/>
  <c r="AN33" i="67"/>
  <c r="AN43" i="67"/>
  <c r="AF33" i="67"/>
  <c r="AF43" i="67"/>
  <c r="X33" i="67"/>
  <c r="X43" i="67"/>
  <c r="P33" i="67"/>
  <c r="P43" i="67"/>
  <c r="H33" i="67"/>
  <c r="H43" i="67"/>
  <c r="LU26" i="67"/>
  <c r="LU42" i="67"/>
  <c r="LM26" i="67"/>
  <c r="LM42" i="67"/>
  <c r="LE26" i="67"/>
  <c r="LE42" i="67"/>
  <c r="KW26" i="67"/>
  <c r="KW42" i="67"/>
  <c r="KO26" i="67"/>
  <c r="KO42" i="67"/>
  <c r="KG26" i="67"/>
  <c r="KG42" i="67"/>
  <c r="JY26" i="67"/>
  <c r="JY42" i="67"/>
  <c r="JQ26" i="67"/>
  <c r="JQ42" i="67"/>
  <c r="JI26" i="67"/>
  <c r="JI42" i="67"/>
  <c r="JA26" i="67"/>
  <c r="JA42" i="67"/>
  <c r="IS26" i="67"/>
  <c r="IS42" i="67"/>
  <c r="IK26" i="67"/>
  <c r="IK42" i="67"/>
  <c r="IC26" i="67"/>
  <c r="IC42" i="67"/>
  <c r="HU26" i="67"/>
  <c r="HU42" i="67"/>
  <c r="HM26" i="67"/>
  <c r="HM42" i="67"/>
  <c r="HE26" i="67"/>
  <c r="HE42" i="67"/>
  <c r="GW26" i="67"/>
  <c r="GW42" i="67"/>
  <c r="GO26" i="67"/>
  <c r="GO42" i="67"/>
  <c r="GG26" i="67"/>
  <c r="GG42" i="67"/>
  <c r="FY26" i="67"/>
  <c r="FY42" i="67"/>
  <c r="FQ26" i="67"/>
  <c r="FQ42" i="67"/>
  <c r="FI26" i="67"/>
  <c r="FI42" i="67"/>
  <c r="FA26" i="67"/>
  <c r="FA42" i="67"/>
  <c r="ES26" i="67"/>
  <c r="ES42" i="67"/>
  <c r="EK26" i="67"/>
  <c r="EK42" i="67"/>
  <c r="EC26" i="67"/>
  <c r="EC42" i="67"/>
  <c r="DU26" i="67"/>
  <c r="DU42" i="67"/>
  <c r="DM26" i="67"/>
  <c r="DM42" i="67"/>
  <c r="DE26" i="67"/>
  <c r="DE42" i="67"/>
  <c r="CW26" i="67"/>
  <c r="CW42" i="67"/>
  <c r="CO26" i="67"/>
  <c r="CO42" i="67"/>
  <c r="CG26" i="67"/>
  <c r="CG42" i="67"/>
  <c r="BY26" i="67"/>
  <c r="BY42" i="67"/>
  <c r="BQ26" i="67"/>
  <c r="BQ42" i="67"/>
  <c r="BI26" i="67"/>
  <c r="BI42" i="67"/>
  <c r="BA26" i="67"/>
  <c r="BA42" i="67"/>
  <c r="AS26" i="67"/>
  <c r="AS42" i="67"/>
  <c r="AK26" i="67"/>
  <c r="AK42" i="67"/>
  <c r="AC26" i="67"/>
  <c r="AC42" i="67"/>
  <c r="M26" i="67"/>
  <c r="M42" i="67"/>
  <c r="E26" i="67"/>
  <c r="E42" i="67"/>
  <c r="MA24" i="67"/>
  <c r="LY22" i="67"/>
  <c r="LY41" i="67"/>
  <c r="LQ22" i="67"/>
  <c r="LQ41" i="67"/>
  <c r="LI22" i="67"/>
  <c r="LI41" i="67"/>
  <c r="LA22" i="67"/>
  <c r="LA41" i="67"/>
  <c r="KS22" i="67"/>
  <c r="KS41" i="67"/>
  <c r="KK22" i="67"/>
  <c r="KK41" i="67"/>
  <c r="KC22" i="67"/>
  <c r="KC41" i="67"/>
  <c r="JU22" i="67"/>
  <c r="JU41" i="67"/>
  <c r="JM22" i="67"/>
  <c r="JM41" i="67"/>
  <c r="JE22" i="67"/>
  <c r="JE41" i="67"/>
  <c r="IW22" i="67"/>
  <c r="IW41" i="67"/>
  <c r="IO22" i="67"/>
  <c r="IO41" i="67"/>
  <c r="IG22" i="67"/>
  <c r="IG41" i="67"/>
  <c r="HY22" i="67"/>
  <c r="HY41" i="67"/>
  <c r="HQ22" i="67"/>
  <c r="HQ41" i="67"/>
  <c r="HI22" i="67"/>
  <c r="HI41" i="67"/>
  <c r="HA22" i="67"/>
  <c r="HA41" i="67"/>
  <c r="GS22" i="67"/>
  <c r="GS41" i="67"/>
  <c r="GK22" i="67"/>
  <c r="GK41" i="67"/>
  <c r="GC22" i="67"/>
  <c r="GC41" i="67"/>
  <c r="FU22" i="67"/>
  <c r="FU41" i="67"/>
  <c r="FM22" i="67"/>
  <c r="FM41" i="67"/>
  <c r="FE22" i="67"/>
  <c r="FE41" i="67"/>
  <c r="EW22" i="67"/>
  <c r="EW41" i="67"/>
  <c r="EO22" i="67"/>
  <c r="EO41" i="67"/>
  <c r="EG22" i="67"/>
  <c r="EG41" i="67"/>
  <c r="DY22" i="67"/>
  <c r="DY41" i="67"/>
  <c r="DQ22" i="67"/>
  <c r="DQ41" i="67"/>
  <c r="DI22" i="67"/>
  <c r="DI41" i="67"/>
  <c r="DA22" i="67"/>
  <c r="DA41" i="67"/>
  <c r="CS22" i="67"/>
  <c r="CS41" i="67"/>
  <c r="CK22" i="67"/>
  <c r="CK41" i="67"/>
  <c r="CC22" i="67"/>
  <c r="CC41" i="67"/>
  <c r="BU22" i="67"/>
  <c r="BU41" i="67"/>
  <c r="BM22" i="67"/>
  <c r="BM41" i="67"/>
  <c r="BE22" i="67"/>
  <c r="BE41" i="67"/>
  <c r="AW22" i="67"/>
  <c r="AW41" i="67"/>
  <c r="AO22" i="67"/>
  <c r="AO41" i="67"/>
  <c r="AG22" i="67"/>
  <c r="AG41" i="67"/>
  <c r="Y22" i="67"/>
  <c r="Y41" i="67"/>
  <c r="Q22" i="67"/>
  <c r="Q41" i="67"/>
  <c r="I22" i="67"/>
  <c r="I41" i="67"/>
  <c r="A22" i="67"/>
  <c r="A41" i="67"/>
  <c r="LT21" i="67"/>
  <c r="LT40" i="67"/>
  <c r="LL21" i="67"/>
  <c r="LL40" i="67"/>
  <c r="LD21" i="67"/>
  <c r="LD40" i="67"/>
  <c r="KV21" i="67"/>
  <c r="KV40" i="67"/>
  <c r="KN21" i="67"/>
  <c r="KN40" i="67"/>
  <c r="KF21" i="67"/>
  <c r="KF40" i="67"/>
  <c r="JX21" i="67"/>
  <c r="JX40" i="67"/>
  <c r="JP21" i="67"/>
  <c r="JP40" i="67"/>
  <c r="JH21" i="67"/>
  <c r="JH40" i="67"/>
  <c r="IZ21" i="67"/>
  <c r="IZ40" i="67"/>
  <c r="IR21" i="67"/>
  <c r="IR40" i="67"/>
  <c r="IJ21" i="67"/>
  <c r="IJ40" i="67"/>
  <c r="IB21" i="67"/>
  <c r="IB40" i="67"/>
  <c r="HT21" i="67"/>
  <c r="HT40" i="67"/>
  <c r="HL21" i="67"/>
  <c r="HL40" i="67"/>
  <c r="HD21" i="67"/>
  <c r="HD40" i="67"/>
  <c r="GV21" i="67"/>
  <c r="GV40" i="67"/>
  <c r="GN21" i="67"/>
  <c r="GN40" i="67"/>
  <c r="GF21" i="67"/>
  <c r="GF40" i="67"/>
  <c r="FX21" i="67"/>
  <c r="FX40" i="67"/>
  <c r="FP21" i="67"/>
  <c r="FP40" i="67"/>
  <c r="FH21" i="67"/>
  <c r="FH40" i="67"/>
  <c r="EZ21" i="67"/>
  <c r="EZ40" i="67"/>
  <c r="ER21" i="67"/>
  <c r="ER40" i="67"/>
  <c r="EJ21" i="67"/>
  <c r="EJ40" i="67"/>
  <c r="EB21" i="67"/>
  <c r="EB40" i="67"/>
  <c r="DT21" i="67"/>
  <c r="DT40" i="67"/>
  <c r="DL21" i="67"/>
  <c r="DL40" i="67"/>
  <c r="DD21" i="67"/>
  <c r="DD40" i="67"/>
  <c r="CV21" i="67"/>
  <c r="CV40" i="67"/>
  <c r="CN21" i="67"/>
  <c r="CN40" i="67"/>
  <c r="CF21" i="67"/>
  <c r="CF40" i="67"/>
  <c r="BX21" i="67"/>
  <c r="BX40" i="67"/>
  <c r="BP21" i="67"/>
  <c r="BP40" i="67"/>
  <c r="BH21" i="67"/>
  <c r="BH40" i="67"/>
  <c r="AZ21" i="67"/>
  <c r="AZ40" i="67"/>
  <c r="AR21" i="67"/>
  <c r="AR40" i="67"/>
  <c r="AJ21" i="67"/>
  <c r="AJ40" i="67"/>
  <c r="AB21" i="67"/>
  <c r="AB40" i="67"/>
  <c r="T21" i="67"/>
  <c r="T40" i="67"/>
  <c r="L21" i="67"/>
  <c r="L40" i="67"/>
  <c r="D21" i="67"/>
  <c r="D40" i="67"/>
  <c r="LW20" i="67"/>
  <c r="LW39" i="67"/>
  <c r="LO20" i="67"/>
  <c r="LO39" i="67"/>
  <c r="LG20" i="67"/>
  <c r="LG39" i="67"/>
  <c r="KY20" i="67"/>
  <c r="KY39" i="67"/>
  <c r="KQ20" i="67"/>
  <c r="KQ39" i="67"/>
  <c r="KI20" i="67"/>
  <c r="KI39" i="67"/>
  <c r="KA20" i="67"/>
  <c r="KA39" i="67"/>
  <c r="JS20" i="67"/>
  <c r="JS39" i="67"/>
  <c r="JK20" i="67"/>
  <c r="JK39" i="67"/>
  <c r="JC20" i="67"/>
  <c r="JC39" i="67"/>
  <c r="IU20" i="67"/>
  <c r="IU39" i="67"/>
  <c r="IM20" i="67"/>
  <c r="IM39" i="67"/>
  <c r="IE20" i="67"/>
  <c r="IE39" i="67"/>
  <c r="HW20" i="67"/>
  <c r="HW39" i="67"/>
  <c r="HO20" i="67"/>
  <c r="HO39" i="67"/>
  <c r="HG20" i="67"/>
  <c r="HG39" i="67"/>
  <c r="GY20" i="67"/>
  <c r="GY39" i="67"/>
  <c r="GQ20" i="67"/>
  <c r="GQ39" i="67"/>
  <c r="GI20" i="67"/>
  <c r="GI39" i="67"/>
  <c r="GA20" i="67"/>
  <c r="GA39" i="67"/>
  <c r="FS20" i="67"/>
  <c r="FS39" i="67"/>
  <c r="FK20" i="67"/>
  <c r="FK39" i="67"/>
  <c r="FC20" i="67"/>
  <c r="FC39" i="67"/>
  <c r="EU20" i="67"/>
  <c r="EU39" i="67"/>
  <c r="EM20" i="67"/>
  <c r="EM39" i="67"/>
  <c r="EE20" i="67"/>
  <c r="EE39" i="67"/>
  <c r="DW20" i="67"/>
  <c r="DW39" i="67"/>
  <c r="DO20" i="67"/>
  <c r="DO39" i="67"/>
  <c r="DG20" i="67"/>
  <c r="DG39" i="67"/>
  <c r="CY20" i="67"/>
  <c r="CY39" i="67"/>
  <c r="CQ20" i="67"/>
  <c r="CQ39" i="67"/>
  <c r="CI20" i="67"/>
  <c r="CI39" i="67"/>
  <c r="CA20" i="67"/>
  <c r="CA39" i="67"/>
  <c r="BS20" i="67"/>
  <c r="BS39" i="67"/>
  <c r="BK20" i="67"/>
  <c r="BK39" i="67"/>
  <c r="BC20" i="67"/>
  <c r="BC39" i="67"/>
  <c r="AU20" i="67"/>
  <c r="AU39" i="67"/>
  <c r="AM20" i="67"/>
  <c r="AM39" i="67"/>
  <c r="AE20" i="67"/>
  <c r="AE39" i="67"/>
  <c r="W20" i="67"/>
  <c r="W39" i="67"/>
  <c r="O20" i="67"/>
  <c r="O39" i="67"/>
  <c r="G20" i="67"/>
  <c r="G39" i="67"/>
  <c r="LZ19" i="67"/>
  <c r="LZ38" i="67"/>
  <c r="LR19" i="67"/>
  <c r="LR38" i="67"/>
  <c r="LJ19" i="67"/>
  <c r="LJ38" i="67"/>
  <c r="LB19" i="67"/>
  <c r="LB38" i="67"/>
  <c r="KT19" i="67"/>
  <c r="KT38" i="67"/>
  <c r="KL19" i="67"/>
  <c r="KL38" i="67"/>
  <c r="KD19" i="67"/>
  <c r="KD38" i="67"/>
  <c r="JV19" i="67"/>
  <c r="JV38" i="67"/>
  <c r="JN19" i="67"/>
  <c r="JN38" i="67"/>
  <c r="JF19" i="67"/>
  <c r="JF38" i="67"/>
  <c r="IX19" i="67"/>
  <c r="IX38" i="67"/>
  <c r="IP19" i="67"/>
  <c r="IP38" i="67"/>
  <c r="IH19" i="67"/>
  <c r="IH38" i="67"/>
  <c r="HZ19" i="67"/>
  <c r="HZ38" i="67"/>
  <c r="HR19" i="67"/>
  <c r="HR38" i="67"/>
  <c r="HJ19" i="67"/>
  <c r="HJ38" i="67"/>
  <c r="HB19" i="67"/>
  <c r="HB38" i="67"/>
  <c r="GT19" i="67"/>
  <c r="GT38" i="67"/>
  <c r="GL19" i="67"/>
  <c r="GL38" i="67"/>
  <c r="GD19" i="67"/>
  <c r="GD38" i="67"/>
  <c r="FV19" i="67"/>
  <c r="FV38" i="67"/>
  <c r="FN19" i="67"/>
  <c r="FN38" i="67"/>
  <c r="FF19" i="67"/>
  <c r="FF38" i="67"/>
  <c r="EX19" i="67"/>
  <c r="EX38" i="67"/>
  <c r="EP19" i="67"/>
  <c r="EP38" i="67"/>
  <c r="EH19" i="67"/>
  <c r="EH38" i="67"/>
  <c r="DZ19" i="67"/>
  <c r="DZ38" i="67"/>
  <c r="DR19" i="67"/>
  <c r="DR38" i="67"/>
  <c r="DJ19" i="67"/>
  <c r="DJ38" i="67"/>
  <c r="DB19" i="67"/>
  <c r="DB38" i="67"/>
  <c r="CT19" i="67"/>
  <c r="CT38" i="67"/>
  <c r="CL19" i="67"/>
  <c r="CL38" i="67"/>
  <c r="CD19" i="67"/>
  <c r="CD38" i="67"/>
  <c r="BV19" i="67"/>
  <c r="BV38" i="67"/>
  <c r="BN19" i="67"/>
  <c r="BN38" i="67"/>
  <c r="BF19" i="67"/>
  <c r="BF38" i="67"/>
  <c r="AX19" i="67"/>
  <c r="AX38" i="67"/>
  <c r="AP19" i="67"/>
  <c r="AP38" i="67"/>
  <c r="AH19" i="67"/>
  <c r="AH38" i="67"/>
  <c r="Z19" i="67"/>
  <c r="Z38" i="67"/>
  <c r="R19" i="67"/>
  <c r="R38" i="67"/>
  <c r="J19" i="67"/>
  <c r="J38" i="67"/>
  <c r="B19" i="67"/>
  <c r="B38" i="67"/>
  <c r="LU18" i="67"/>
  <c r="LM18" i="67"/>
  <c r="LE18" i="67"/>
  <c r="KW18" i="67"/>
  <c r="KO18" i="67"/>
  <c r="KG18" i="67"/>
  <c r="JY18" i="67"/>
  <c r="JQ18" i="67"/>
  <c r="JI18" i="67"/>
  <c r="JA18" i="67"/>
  <c r="IS18" i="67"/>
  <c r="IK18" i="67"/>
  <c r="IC18" i="67"/>
  <c r="HU18" i="67"/>
  <c r="HM18" i="67"/>
  <c r="HE18" i="67"/>
  <c r="GW18" i="67"/>
  <c r="GO18" i="67"/>
  <c r="GG18" i="67"/>
  <c r="FY18" i="67"/>
  <c r="FQ18" i="67"/>
  <c r="FI18" i="67"/>
  <c r="FA18" i="67"/>
  <c r="ES18" i="67"/>
  <c r="EK18" i="67"/>
  <c r="EC18" i="67"/>
  <c r="DU18" i="67"/>
  <c r="DM18" i="67"/>
  <c r="LT26" i="67"/>
  <c r="LT42" i="67"/>
  <c r="LL26" i="67"/>
  <c r="LL42" i="67"/>
  <c r="LD26" i="67"/>
  <c r="LD42" i="67"/>
  <c r="KV26" i="67"/>
  <c r="KV42" i="67"/>
  <c r="KN26" i="67"/>
  <c r="KN42" i="67"/>
  <c r="KF26" i="67"/>
  <c r="KF42" i="67"/>
  <c r="JX26" i="67"/>
  <c r="JX42" i="67"/>
  <c r="JP26" i="67"/>
  <c r="JP42" i="67"/>
  <c r="JH26" i="67"/>
  <c r="JH42" i="67"/>
  <c r="IZ26" i="67"/>
  <c r="IZ42" i="67"/>
  <c r="IR26" i="67"/>
  <c r="IR42" i="67"/>
  <c r="IJ26" i="67"/>
  <c r="IJ42" i="67"/>
  <c r="IB26" i="67"/>
  <c r="IB42" i="67"/>
  <c r="HT26" i="67"/>
  <c r="HT42" i="67"/>
  <c r="HL26" i="67"/>
  <c r="HL42" i="67"/>
  <c r="HD26" i="67"/>
  <c r="HD42" i="67"/>
  <c r="GV26" i="67"/>
  <c r="GV42" i="67"/>
  <c r="GN26" i="67"/>
  <c r="GN42" i="67"/>
  <c r="GF26" i="67"/>
  <c r="GF42" i="67"/>
  <c r="FX26" i="67"/>
  <c r="FX42" i="67"/>
  <c r="FP26" i="67"/>
  <c r="FP42" i="67"/>
  <c r="FH26" i="67"/>
  <c r="FH42" i="67"/>
  <c r="EZ26" i="67"/>
  <c r="EZ42" i="67"/>
  <c r="ER26" i="67"/>
  <c r="ER42" i="67"/>
  <c r="EJ26" i="67"/>
  <c r="EJ42" i="67"/>
  <c r="EB26" i="67"/>
  <c r="EB42" i="67"/>
  <c r="DT26" i="67"/>
  <c r="DT42" i="67"/>
  <c r="DL26" i="67"/>
  <c r="DL42" i="67"/>
  <c r="DD26" i="67"/>
  <c r="DD42" i="67"/>
  <c r="CV26" i="67"/>
  <c r="CV42" i="67"/>
  <c r="CN26" i="67"/>
  <c r="CN42" i="67"/>
  <c r="CF26" i="67"/>
  <c r="CF42" i="67"/>
  <c r="BX26" i="67"/>
  <c r="BX42" i="67"/>
  <c r="BP26" i="67"/>
  <c r="BP42" i="67"/>
  <c r="BH26" i="67"/>
  <c r="BH42" i="67"/>
  <c r="AZ26" i="67"/>
  <c r="AZ42" i="67"/>
  <c r="AR26" i="67"/>
  <c r="AR42" i="67"/>
  <c r="AJ26" i="67"/>
  <c r="AJ42" i="67"/>
  <c r="AB26" i="67"/>
  <c r="AB42" i="67"/>
  <c r="L26" i="67"/>
  <c r="L42" i="67"/>
  <c r="D26" i="67"/>
  <c r="D42" i="67"/>
  <c r="U23" i="67"/>
  <c r="LX22" i="67"/>
  <c r="LX41" i="67"/>
  <c r="LP22" i="67"/>
  <c r="LP41" i="67"/>
  <c r="LH22" i="67"/>
  <c r="LH41" i="67"/>
  <c r="KZ22" i="67"/>
  <c r="KZ41" i="67"/>
  <c r="KR22" i="67"/>
  <c r="KR41" i="67"/>
  <c r="KJ22" i="67"/>
  <c r="KJ41" i="67"/>
  <c r="KB22" i="67"/>
  <c r="KB41" i="67"/>
  <c r="JT22" i="67"/>
  <c r="JT41" i="67"/>
  <c r="JL22" i="67"/>
  <c r="JL41" i="67"/>
  <c r="JD22" i="67"/>
  <c r="JD41" i="67"/>
  <c r="IV22" i="67"/>
  <c r="IV41" i="67"/>
  <c r="IN22" i="67"/>
  <c r="IN41" i="67"/>
  <c r="IF22" i="67"/>
  <c r="IF41" i="67"/>
  <c r="HX22" i="67"/>
  <c r="HX41" i="67"/>
  <c r="HP22" i="67"/>
  <c r="HP41" i="67"/>
  <c r="HH22" i="67"/>
  <c r="HH41" i="67"/>
  <c r="GZ22" i="67"/>
  <c r="GZ41" i="67"/>
  <c r="GR22" i="67"/>
  <c r="GR41" i="67"/>
  <c r="GJ22" i="67"/>
  <c r="GJ41" i="67"/>
  <c r="GB22" i="67"/>
  <c r="GB41" i="67"/>
  <c r="FT22" i="67"/>
  <c r="FT41" i="67"/>
  <c r="FL22" i="67"/>
  <c r="FL41" i="67"/>
  <c r="FD22" i="67"/>
  <c r="FD41" i="67"/>
  <c r="EV22" i="67"/>
  <c r="EV41" i="67"/>
  <c r="EN22" i="67"/>
  <c r="EN41" i="67"/>
  <c r="EF22" i="67"/>
  <c r="EF41" i="67"/>
  <c r="DX22" i="67"/>
  <c r="DX41" i="67"/>
  <c r="DP22" i="67"/>
  <c r="DP41" i="67"/>
  <c r="DH22" i="67"/>
  <c r="DH41" i="67"/>
  <c r="CZ22" i="67"/>
  <c r="CZ41" i="67"/>
  <c r="CR22" i="67"/>
  <c r="CR41" i="67"/>
  <c r="CJ22" i="67"/>
  <c r="CJ41" i="67"/>
  <c r="CB22" i="67"/>
  <c r="CB41" i="67"/>
  <c r="BT22" i="67"/>
  <c r="BT41" i="67"/>
  <c r="BL22" i="67"/>
  <c r="BL41" i="67"/>
  <c r="BD22" i="67"/>
  <c r="BD41" i="67"/>
  <c r="AV22" i="67"/>
  <c r="AV41" i="67"/>
  <c r="AN22" i="67"/>
  <c r="AN41" i="67"/>
  <c r="AF22" i="67"/>
  <c r="AF41" i="67"/>
  <c r="X22" i="67"/>
  <c r="X41" i="67"/>
  <c r="P22" i="67"/>
  <c r="P41" i="67"/>
  <c r="H22" i="67"/>
  <c r="H41" i="67"/>
  <c r="MA21" i="67"/>
  <c r="MA40" i="67"/>
  <c r="LS21" i="67"/>
  <c r="LS40" i="67"/>
  <c r="LK21" i="67"/>
  <c r="LK40" i="67"/>
  <c r="LC21" i="67"/>
  <c r="LC40" i="67"/>
  <c r="KU21" i="67"/>
  <c r="KU40" i="67"/>
  <c r="KM21" i="67"/>
  <c r="KM40" i="67"/>
  <c r="KE21" i="67"/>
  <c r="KE40" i="67"/>
  <c r="JW21" i="67"/>
  <c r="JW40" i="67"/>
  <c r="JO21" i="67"/>
  <c r="JO40" i="67"/>
  <c r="JG21" i="67"/>
  <c r="JG40" i="67"/>
  <c r="IY21" i="67"/>
  <c r="IY40" i="67"/>
  <c r="IQ21" i="67"/>
  <c r="IQ40" i="67"/>
  <c r="II21" i="67"/>
  <c r="II40" i="67"/>
  <c r="IA21" i="67"/>
  <c r="IA40" i="67"/>
  <c r="HS21" i="67"/>
  <c r="HS40" i="67"/>
  <c r="HK21" i="67"/>
  <c r="HK40" i="67"/>
  <c r="HC21" i="67"/>
  <c r="HC40" i="67"/>
  <c r="GU21" i="67"/>
  <c r="GU40" i="67"/>
  <c r="GM21" i="67"/>
  <c r="GM40" i="67"/>
  <c r="GE21" i="67"/>
  <c r="GE40" i="67"/>
  <c r="FW21" i="67"/>
  <c r="FW40" i="67"/>
  <c r="FO21" i="67"/>
  <c r="FO40" i="67"/>
  <c r="FG21" i="67"/>
  <c r="FG40" i="67"/>
  <c r="EY21" i="67"/>
  <c r="EY40" i="67"/>
  <c r="EQ21" i="67"/>
  <c r="EQ40" i="67"/>
  <c r="EI21" i="67"/>
  <c r="EI40" i="67"/>
  <c r="EA21" i="67"/>
  <c r="EA40" i="67"/>
  <c r="DS21" i="67"/>
  <c r="DS40" i="67"/>
  <c r="DK21" i="67"/>
  <c r="DK40" i="67"/>
  <c r="DC21" i="67"/>
  <c r="DC40" i="67"/>
  <c r="CU21" i="67"/>
  <c r="CU40" i="67"/>
  <c r="CM21" i="67"/>
  <c r="CM40" i="67"/>
  <c r="CE21" i="67"/>
  <c r="CE40" i="67"/>
  <c r="BW21" i="67"/>
  <c r="BW40" i="67"/>
  <c r="BO21" i="67"/>
  <c r="BO40" i="67"/>
  <c r="BG21" i="67"/>
  <c r="BG40" i="67"/>
  <c r="AY21" i="67"/>
  <c r="AY40" i="67"/>
  <c r="AQ21" i="67"/>
  <c r="AQ40" i="67"/>
  <c r="AI21" i="67"/>
  <c r="AI40" i="67"/>
  <c r="AA21" i="67"/>
  <c r="AA40" i="67"/>
  <c r="S21" i="67"/>
  <c r="S40" i="67"/>
  <c r="K21" i="67"/>
  <c r="K40" i="67"/>
  <c r="C21" i="67"/>
  <c r="C40" i="67"/>
  <c r="LV20" i="67"/>
  <c r="LV39" i="67"/>
  <c r="LN20" i="67"/>
  <c r="LN39" i="67"/>
  <c r="LF20" i="67"/>
  <c r="LF39" i="67"/>
  <c r="KX20" i="67"/>
  <c r="KX39" i="67"/>
  <c r="KP20" i="67"/>
  <c r="KP39" i="67"/>
  <c r="KH20" i="67"/>
  <c r="KH39" i="67"/>
  <c r="JZ20" i="67"/>
  <c r="JZ39" i="67"/>
  <c r="JR20" i="67"/>
  <c r="JR39" i="67"/>
  <c r="JJ20" i="67"/>
  <c r="JJ39" i="67"/>
  <c r="JB20" i="67"/>
  <c r="JB39" i="67"/>
  <c r="IT20" i="67"/>
  <c r="IT39" i="67"/>
  <c r="IL20" i="67"/>
  <c r="IL39" i="67"/>
  <c r="ID20" i="67"/>
  <c r="ID39" i="67"/>
  <c r="HV20" i="67"/>
  <c r="HV39" i="67"/>
  <c r="HN20" i="67"/>
  <c r="HN39" i="67"/>
  <c r="HF20" i="67"/>
  <c r="HF39" i="67"/>
  <c r="GX20" i="67"/>
  <c r="GX39" i="67"/>
  <c r="GP20" i="67"/>
  <c r="GP39" i="67"/>
  <c r="GH20" i="67"/>
  <c r="GH39" i="67"/>
  <c r="FZ20" i="67"/>
  <c r="FZ39" i="67"/>
  <c r="FR20" i="67"/>
  <c r="FR39" i="67"/>
  <c r="FJ20" i="67"/>
  <c r="FJ39" i="67"/>
  <c r="FB20" i="67"/>
  <c r="FB39" i="67"/>
  <c r="ET20" i="67"/>
  <c r="ET39" i="67"/>
  <c r="EL20" i="67"/>
  <c r="EL39" i="67"/>
  <c r="ED20" i="67"/>
  <c r="ED39" i="67"/>
  <c r="DV20" i="67"/>
  <c r="DV39" i="67"/>
  <c r="DN20" i="67"/>
  <c r="DN39" i="67"/>
  <c r="DF20" i="67"/>
  <c r="DF39" i="67"/>
  <c r="CX20" i="67"/>
  <c r="CX39" i="67"/>
  <c r="CP20" i="67"/>
  <c r="CP39" i="67"/>
  <c r="CH20" i="67"/>
  <c r="CH39" i="67"/>
  <c r="BZ20" i="67"/>
  <c r="BZ39" i="67"/>
  <c r="BR20" i="67"/>
  <c r="BR39" i="67"/>
  <c r="BJ20" i="67"/>
  <c r="BJ39" i="67"/>
  <c r="BB20" i="67"/>
  <c r="BB39" i="67"/>
  <c r="AT20" i="67"/>
  <c r="AT39" i="67"/>
  <c r="AL20" i="67"/>
  <c r="AL39" i="67"/>
  <c r="AD20" i="67"/>
  <c r="AD39" i="67"/>
  <c r="V20" i="67"/>
  <c r="V39" i="67"/>
  <c r="N20" i="67"/>
  <c r="N39" i="67"/>
  <c r="F20" i="67"/>
  <c r="F39" i="67"/>
  <c r="LY19" i="67"/>
  <c r="LY38" i="67"/>
  <c r="LQ19" i="67"/>
  <c r="LQ38" i="67"/>
  <c r="LI19" i="67"/>
  <c r="LI38" i="67"/>
  <c r="LA19" i="67"/>
  <c r="LA38" i="67"/>
  <c r="KS19" i="67"/>
  <c r="KS38" i="67"/>
  <c r="KK19" i="67"/>
  <c r="KK38" i="67"/>
  <c r="KC19" i="67"/>
  <c r="KC38" i="67"/>
  <c r="JU19" i="67"/>
  <c r="JU38" i="67"/>
  <c r="JM19" i="67"/>
  <c r="JM38" i="67"/>
  <c r="JE19" i="67"/>
  <c r="JE38" i="67"/>
  <c r="IW19" i="67"/>
  <c r="IW38" i="67"/>
  <c r="IO19" i="67"/>
  <c r="IO38" i="67"/>
  <c r="IG19" i="67"/>
  <c r="IG38" i="67"/>
  <c r="HY19" i="67"/>
  <c r="HY38" i="67"/>
  <c r="HQ19" i="67"/>
  <c r="HQ38" i="67"/>
  <c r="HI19" i="67"/>
  <c r="HI38" i="67"/>
  <c r="HA19" i="67"/>
  <c r="HA38" i="67"/>
  <c r="GS19" i="67"/>
  <c r="GS38" i="67"/>
  <c r="GK19" i="67"/>
  <c r="GK38" i="67"/>
  <c r="GC19" i="67"/>
  <c r="GC38" i="67"/>
  <c r="FU19" i="67"/>
  <c r="FU38" i="67"/>
  <c r="FM19" i="67"/>
  <c r="FM38" i="67"/>
  <c r="FE19" i="67"/>
  <c r="FE38" i="67"/>
  <c r="EW19" i="67"/>
  <c r="EW38" i="67"/>
  <c r="EO19" i="67"/>
  <c r="EO38" i="67"/>
  <c r="EG19" i="67"/>
  <c r="EG38" i="67"/>
  <c r="DY19" i="67"/>
  <c r="DY38" i="67"/>
  <c r="DQ19" i="67"/>
  <c r="DQ38" i="67"/>
  <c r="DI19" i="67"/>
  <c r="DI38" i="67"/>
  <c r="DA19" i="67"/>
  <c r="DA38" i="67"/>
  <c r="CS19" i="67"/>
  <c r="CS38" i="67"/>
  <c r="CK19" i="67"/>
  <c r="CK38" i="67"/>
  <c r="CC19" i="67"/>
  <c r="CC38" i="67"/>
  <c r="BU19" i="67"/>
  <c r="BU38" i="67"/>
  <c r="BM19" i="67"/>
  <c r="BM38" i="67"/>
  <c r="BE19" i="67"/>
  <c r="BE38" i="67"/>
  <c r="AW19" i="67"/>
  <c r="AW38" i="67"/>
  <c r="AO19" i="67"/>
  <c r="AO38" i="67"/>
  <c r="AG19" i="67"/>
  <c r="AG38" i="67"/>
  <c r="Y19" i="67"/>
  <c r="Y38" i="67"/>
  <c r="Q19" i="67"/>
  <c r="Q38" i="67"/>
  <c r="I19" i="67"/>
  <c r="I38" i="67"/>
  <c r="A19" i="67"/>
  <c r="A38" i="67"/>
  <c r="JD35" i="67"/>
  <c r="JD45" i="67"/>
  <c r="IV35" i="67"/>
  <c r="IV45" i="67"/>
  <c r="IN35" i="67"/>
  <c r="IN45" i="67"/>
  <c r="IF35" i="67"/>
  <c r="IF45" i="67"/>
  <c r="HX35" i="67"/>
  <c r="HX45" i="67"/>
  <c r="HP35" i="67"/>
  <c r="HP45" i="67"/>
  <c r="HH35" i="67"/>
  <c r="HH45" i="67"/>
  <c r="GZ35" i="67"/>
  <c r="GZ45" i="67"/>
  <c r="GR35" i="67"/>
  <c r="GR45" i="67"/>
  <c r="GJ35" i="67"/>
  <c r="GJ45" i="67"/>
  <c r="GB35" i="67"/>
  <c r="GB45" i="67"/>
  <c r="FT35" i="67"/>
  <c r="FT45" i="67"/>
  <c r="FL35" i="67"/>
  <c r="FL45" i="67"/>
  <c r="FD35" i="67"/>
  <c r="FD45" i="67"/>
  <c r="EV35" i="67"/>
  <c r="EV45" i="67"/>
  <c r="EN35" i="67"/>
  <c r="EN45" i="67"/>
  <c r="EF35" i="67"/>
  <c r="EF45" i="67"/>
  <c r="DX35" i="67"/>
  <c r="DX45" i="67"/>
  <c r="DP35" i="67"/>
  <c r="DP45" i="67"/>
  <c r="DH35" i="67"/>
  <c r="DH45" i="67"/>
  <c r="CZ35" i="67"/>
  <c r="CZ45" i="67"/>
  <c r="CR35" i="67"/>
  <c r="CR45" i="67"/>
  <c r="CJ35" i="67"/>
  <c r="CJ45" i="67"/>
  <c r="CB35" i="67"/>
  <c r="CB45" i="67"/>
  <c r="BT35" i="67"/>
  <c r="BT45" i="67"/>
  <c r="BL35" i="67"/>
  <c r="BL45" i="67"/>
  <c r="BD35" i="67"/>
  <c r="BD45" i="67"/>
  <c r="AV35" i="67"/>
  <c r="AV45" i="67"/>
  <c r="AN35" i="67"/>
  <c r="AN45" i="67"/>
  <c r="AF35" i="67"/>
  <c r="AF45" i="67"/>
  <c r="X35" i="67"/>
  <c r="X45" i="67"/>
  <c r="P35" i="67"/>
  <c r="P45" i="67"/>
  <c r="H35" i="67"/>
  <c r="H45" i="67"/>
  <c r="MA34" i="67"/>
  <c r="MA44" i="67"/>
  <c r="LS34" i="67"/>
  <c r="LS44" i="67"/>
  <c r="LK34" i="67"/>
  <c r="LK44" i="67"/>
  <c r="LC34" i="67"/>
  <c r="LC44" i="67"/>
  <c r="KU34" i="67"/>
  <c r="KU44" i="67"/>
  <c r="KM34" i="67"/>
  <c r="KM44" i="67"/>
  <c r="KE34" i="67"/>
  <c r="KE44" i="67"/>
  <c r="JW34" i="67"/>
  <c r="JW44" i="67"/>
  <c r="JO34" i="67"/>
  <c r="JO44" i="67"/>
  <c r="JG34" i="67"/>
  <c r="JG44" i="67"/>
  <c r="IY34" i="67"/>
  <c r="IY44" i="67"/>
  <c r="IQ34" i="67"/>
  <c r="IQ44" i="67"/>
  <c r="II34" i="67"/>
  <c r="II44" i="67"/>
  <c r="IA34" i="67"/>
  <c r="IA44" i="67"/>
  <c r="HS34" i="67"/>
  <c r="HS44" i="67"/>
  <c r="HK34" i="67"/>
  <c r="HK44" i="67"/>
  <c r="HC34" i="67"/>
  <c r="HC44" i="67"/>
  <c r="GU34" i="67"/>
  <c r="GU44" i="67"/>
  <c r="GM34" i="67"/>
  <c r="GM44" i="67"/>
  <c r="GE34" i="67"/>
  <c r="GE44" i="67"/>
  <c r="FW34" i="67"/>
  <c r="FW44" i="67"/>
  <c r="FO34" i="67"/>
  <c r="FO44" i="67"/>
  <c r="FG34" i="67"/>
  <c r="FG44" i="67"/>
  <c r="EY34" i="67"/>
  <c r="EY44" i="67"/>
  <c r="EQ34" i="67"/>
  <c r="EQ44" i="67"/>
  <c r="EI34" i="67"/>
  <c r="EI44" i="67"/>
  <c r="EA34" i="67"/>
  <c r="EA44" i="67"/>
  <c r="DS34" i="67"/>
  <c r="DS44" i="67"/>
  <c r="DK34" i="67"/>
  <c r="DK44" i="67"/>
  <c r="DC34" i="67"/>
  <c r="DC44" i="67"/>
  <c r="CU34" i="67"/>
  <c r="CU44" i="67"/>
  <c r="CM34" i="67"/>
  <c r="CM44" i="67"/>
  <c r="CE34" i="67"/>
  <c r="CE44" i="67"/>
  <c r="BW34" i="67"/>
  <c r="BW44" i="67"/>
  <c r="BO34" i="67"/>
  <c r="BO44" i="67"/>
  <c r="BG34" i="67"/>
  <c r="BG44" i="67"/>
  <c r="AY34" i="67"/>
  <c r="AY44" i="67"/>
  <c r="AQ34" i="67"/>
  <c r="AQ44" i="67"/>
  <c r="AI34" i="67"/>
  <c r="AI44" i="67"/>
  <c r="AA34" i="67"/>
  <c r="AA44" i="67"/>
  <c r="S34" i="67"/>
  <c r="S44" i="67"/>
  <c r="K34" i="67"/>
  <c r="K44" i="67"/>
  <c r="C34" i="67"/>
  <c r="C44" i="67"/>
  <c r="LV33" i="67"/>
  <c r="LV43" i="67"/>
  <c r="LN33" i="67"/>
  <c r="LN43" i="67"/>
  <c r="LF33" i="67"/>
  <c r="LF43" i="67"/>
  <c r="KX33" i="67"/>
  <c r="KX43" i="67"/>
  <c r="KP33" i="67"/>
  <c r="KP43" i="67"/>
  <c r="KH33" i="67"/>
  <c r="KH43" i="67"/>
  <c r="JZ33" i="67"/>
  <c r="JZ43" i="67"/>
  <c r="JR33" i="67"/>
  <c r="JR43" i="67"/>
  <c r="JJ33" i="67"/>
  <c r="JJ43" i="67"/>
  <c r="JB33" i="67"/>
  <c r="JB43" i="67"/>
  <c r="IT33" i="67"/>
  <c r="IT43" i="67"/>
  <c r="IL33" i="67"/>
  <c r="IL43" i="67"/>
  <c r="ID33" i="67"/>
  <c r="ID43" i="67"/>
  <c r="HV33" i="67"/>
  <c r="HV43" i="67"/>
  <c r="HN33" i="67"/>
  <c r="HN43" i="67"/>
  <c r="HF33" i="67"/>
  <c r="HF43" i="67"/>
  <c r="GX33" i="67"/>
  <c r="GX43" i="67"/>
  <c r="GP33" i="67"/>
  <c r="GP43" i="67"/>
  <c r="GH33" i="67"/>
  <c r="GH43" i="67"/>
  <c r="FZ33" i="67"/>
  <c r="FZ43" i="67"/>
  <c r="FR33" i="67"/>
  <c r="FR43" i="67"/>
  <c r="FJ33" i="67"/>
  <c r="FJ43" i="67"/>
  <c r="FB33" i="67"/>
  <c r="FB43" i="67"/>
  <c r="ET33" i="67"/>
  <c r="ET43" i="67"/>
  <c r="EL33" i="67"/>
  <c r="EL43" i="67"/>
  <c r="ED33" i="67"/>
  <c r="ED43" i="67"/>
  <c r="DV33" i="67"/>
  <c r="DV43" i="67"/>
  <c r="DN33" i="67"/>
  <c r="DN43" i="67"/>
  <c r="DF33" i="67"/>
  <c r="DF43" i="67"/>
  <c r="CX33" i="67"/>
  <c r="CX43" i="67"/>
  <c r="CP33" i="67"/>
  <c r="CP43" i="67"/>
  <c r="CH33" i="67"/>
  <c r="CH43" i="67"/>
  <c r="BZ33" i="67"/>
  <c r="BZ43" i="67"/>
  <c r="BR33" i="67"/>
  <c r="BR43" i="67"/>
  <c r="BJ33" i="67"/>
  <c r="BJ43" i="67"/>
  <c r="BB33" i="67"/>
  <c r="BB43" i="67"/>
  <c r="AT33" i="67"/>
  <c r="AT43" i="67"/>
  <c r="AL33" i="67"/>
  <c r="AL43" i="67"/>
  <c r="AD33" i="67"/>
  <c r="AD43" i="67"/>
  <c r="V33" i="67"/>
  <c r="V43" i="67"/>
  <c r="N33" i="67"/>
  <c r="N43" i="67"/>
  <c r="F33" i="67"/>
  <c r="F43" i="67"/>
  <c r="I32" i="67"/>
  <c r="I10" i="67"/>
  <c r="MA26" i="67"/>
  <c r="MA42" i="67"/>
  <c r="LS26" i="67"/>
  <c r="LS42" i="67"/>
  <c r="LK26" i="67"/>
  <c r="LK42" i="67"/>
  <c r="LC26" i="67"/>
  <c r="LC42" i="67"/>
  <c r="KU26" i="67"/>
  <c r="KU42" i="67"/>
  <c r="KM26" i="67"/>
  <c r="KM42" i="67"/>
  <c r="KE26" i="67"/>
  <c r="KE42" i="67"/>
  <c r="JW26" i="67"/>
  <c r="JW42" i="67"/>
  <c r="JO26" i="67"/>
  <c r="JO42" i="67"/>
  <c r="JG26" i="67"/>
  <c r="JG42" i="67"/>
  <c r="IY26" i="67"/>
  <c r="IY42" i="67"/>
  <c r="IQ26" i="67"/>
  <c r="IQ42" i="67"/>
  <c r="II26" i="67"/>
  <c r="II42" i="67"/>
  <c r="IA26" i="67"/>
  <c r="IA42" i="67"/>
  <c r="HS26" i="67"/>
  <c r="HS42" i="67"/>
  <c r="HK26" i="67"/>
  <c r="HK42" i="67"/>
  <c r="HC26" i="67"/>
  <c r="HC42" i="67"/>
  <c r="GU26" i="67"/>
  <c r="GU42" i="67"/>
  <c r="GM26" i="67"/>
  <c r="GM42" i="67"/>
  <c r="GE26" i="67"/>
  <c r="GE42" i="67"/>
  <c r="FW26" i="67"/>
  <c r="FW42" i="67"/>
  <c r="FO26" i="67"/>
  <c r="FO42" i="67"/>
  <c r="FG26" i="67"/>
  <c r="FG42" i="67"/>
  <c r="EY26" i="67"/>
  <c r="EY42" i="67"/>
  <c r="EQ26" i="67"/>
  <c r="EQ42" i="67"/>
  <c r="EI26" i="67"/>
  <c r="EI42" i="67"/>
  <c r="EA26" i="67"/>
  <c r="EA42" i="67"/>
  <c r="DS26" i="67"/>
  <c r="DS42" i="67"/>
  <c r="DK26" i="67"/>
  <c r="DK42" i="67"/>
  <c r="DC26" i="67"/>
  <c r="DC42" i="67"/>
  <c r="CU26" i="67"/>
  <c r="CU42" i="67"/>
  <c r="CM26" i="67"/>
  <c r="CM42" i="67"/>
  <c r="CE26" i="67"/>
  <c r="CE42" i="67"/>
  <c r="BW26" i="67"/>
  <c r="BW42" i="67"/>
  <c r="BO26" i="67"/>
  <c r="BO42" i="67"/>
  <c r="BG26" i="67"/>
  <c r="BG42" i="67"/>
  <c r="AY26" i="67"/>
  <c r="AY42" i="67"/>
  <c r="AQ26" i="67"/>
  <c r="AQ42" i="67"/>
  <c r="AI26" i="67"/>
  <c r="AI42" i="67"/>
  <c r="AA26" i="67"/>
  <c r="AA42" i="67"/>
  <c r="S26" i="67"/>
  <c r="S42" i="67"/>
  <c r="K26" i="67"/>
  <c r="K42" i="67"/>
  <c r="C26" i="67"/>
  <c r="C42" i="67"/>
  <c r="T23" i="67"/>
  <c r="LW22" i="67"/>
  <c r="LW41" i="67"/>
  <c r="LO22" i="67"/>
  <c r="LO41" i="67"/>
  <c r="LG22" i="67"/>
  <c r="LG41" i="67"/>
  <c r="KY22" i="67"/>
  <c r="KY41" i="67"/>
  <c r="KQ22" i="67"/>
  <c r="KQ41" i="67"/>
  <c r="KI22" i="67"/>
  <c r="KI41" i="67"/>
  <c r="KA22" i="67"/>
  <c r="KA41" i="67"/>
  <c r="JS22" i="67"/>
  <c r="JS41" i="67"/>
  <c r="JK22" i="67"/>
  <c r="JK41" i="67"/>
  <c r="JC22" i="67"/>
  <c r="JC41" i="67"/>
  <c r="IU22" i="67"/>
  <c r="IU41" i="67"/>
  <c r="IM22" i="67"/>
  <c r="IM41" i="67"/>
  <c r="IE22" i="67"/>
  <c r="IE41" i="67"/>
  <c r="HW22" i="67"/>
  <c r="HW41" i="67"/>
  <c r="HO22" i="67"/>
  <c r="HO41" i="67"/>
  <c r="HG22" i="67"/>
  <c r="HG41" i="67"/>
  <c r="GY22" i="67"/>
  <c r="GY41" i="67"/>
  <c r="GQ22" i="67"/>
  <c r="GQ41" i="67"/>
  <c r="GI22" i="67"/>
  <c r="GI41" i="67"/>
  <c r="GA22" i="67"/>
  <c r="GA41" i="67"/>
  <c r="FS22" i="67"/>
  <c r="FS41" i="67"/>
  <c r="FK22" i="67"/>
  <c r="FK41" i="67"/>
  <c r="FC22" i="67"/>
  <c r="FC41" i="67"/>
  <c r="EU22" i="67"/>
  <c r="EU41" i="67"/>
  <c r="EM22" i="67"/>
  <c r="EM41" i="67"/>
  <c r="EE22" i="67"/>
  <c r="EE41" i="67"/>
  <c r="DW22" i="67"/>
  <c r="DW41" i="67"/>
  <c r="DO22" i="67"/>
  <c r="DO41" i="67"/>
  <c r="DG22" i="67"/>
  <c r="DG41" i="67"/>
  <c r="CY22" i="67"/>
  <c r="CY41" i="67"/>
  <c r="CQ22" i="67"/>
  <c r="CQ41" i="67"/>
  <c r="CI22" i="67"/>
  <c r="CI41" i="67"/>
  <c r="CA22" i="67"/>
  <c r="CA41" i="67"/>
  <c r="BS22" i="67"/>
  <c r="BS41" i="67"/>
  <c r="BK22" i="67"/>
  <c r="BK41" i="67"/>
  <c r="BC22" i="67"/>
  <c r="BC41" i="67"/>
  <c r="AU22" i="67"/>
  <c r="AU41" i="67"/>
  <c r="AM22" i="67"/>
  <c r="AM41" i="67"/>
  <c r="AE22" i="67"/>
  <c r="AE41" i="67"/>
  <c r="W22" i="67"/>
  <c r="W41" i="67"/>
  <c r="O22" i="67"/>
  <c r="O41" i="67"/>
  <c r="G22" i="67"/>
  <c r="G41" i="67"/>
  <c r="LZ21" i="67"/>
  <c r="LZ40" i="67"/>
  <c r="LR21" i="67"/>
  <c r="LR40" i="67"/>
  <c r="LJ21" i="67"/>
  <c r="LJ40" i="67"/>
  <c r="LB21" i="67"/>
  <c r="LB40" i="67"/>
  <c r="KT21" i="67"/>
  <c r="KT40" i="67"/>
  <c r="KL21" i="67"/>
  <c r="KL40" i="67"/>
  <c r="KD21" i="67"/>
  <c r="KD40" i="67"/>
  <c r="JV21" i="67"/>
  <c r="JV40" i="67"/>
  <c r="JN21" i="67"/>
  <c r="JN40" i="67"/>
  <c r="JF21" i="67"/>
  <c r="JF40" i="67"/>
  <c r="IX21" i="67"/>
  <c r="IX40" i="67"/>
  <c r="IP21" i="67"/>
  <c r="IP40" i="67"/>
  <c r="IH21" i="67"/>
  <c r="IH40" i="67"/>
  <c r="HZ21" i="67"/>
  <c r="HZ40" i="67"/>
  <c r="HR21" i="67"/>
  <c r="HR40" i="67"/>
  <c r="HJ21" i="67"/>
  <c r="HJ40" i="67"/>
  <c r="HB21" i="67"/>
  <c r="HB40" i="67"/>
  <c r="GT21" i="67"/>
  <c r="GT40" i="67"/>
  <c r="GL21" i="67"/>
  <c r="GL40" i="67"/>
  <c r="GD21" i="67"/>
  <c r="GD40" i="67"/>
  <c r="FV21" i="67"/>
  <c r="FV40" i="67"/>
  <c r="FN21" i="67"/>
  <c r="FN40" i="67"/>
  <c r="FF21" i="67"/>
  <c r="FF40" i="67"/>
  <c r="EX21" i="67"/>
  <c r="EX40" i="67"/>
  <c r="EP21" i="67"/>
  <c r="EP40" i="67"/>
  <c r="EH21" i="67"/>
  <c r="EH40" i="67"/>
  <c r="DZ21" i="67"/>
  <c r="DZ40" i="67"/>
  <c r="DR21" i="67"/>
  <c r="DR40" i="67"/>
  <c r="DJ21" i="67"/>
  <c r="DJ40" i="67"/>
  <c r="DB21" i="67"/>
  <c r="DB40" i="67"/>
  <c r="CT21" i="67"/>
  <c r="CT40" i="67"/>
  <c r="CL21" i="67"/>
  <c r="CL40" i="67"/>
  <c r="CD21" i="67"/>
  <c r="CD40" i="67"/>
  <c r="BV21" i="67"/>
  <c r="BV40" i="67"/>
  <c r="BN21" i="67"/>
  <c r="BN40" i="67"/>
  <c r="BF21" i="67"/>
  <c r="BF40" i="67"/>
  <c r="AX21" i="67"/>
  <c r="AX40" i="67"/>
  <c r="AP21" i="67"/>
  <c r="AP40" i="67"/>
  <c r="AH21" i="67"/>
  <c r="AH40" i="67"/>
  <c r="Z21" i="67"/>
  <c r="Z40" i="67"/>
  <c r="R21" i="67"/>
  <c r="R40" i="67"/>
  <c r="J21" i="67"/>
  <c r="J40" i="67"/>
  <c r="B21" i="67"/>
  <c r="B40" i="67"/>
  <c r="LU20" i="67"/>
  <c r="LU39" i="67"/>
  <c r="LM20" i="67"/>
  <c r="LM39" i="67"/>
  <c r="LE20" i="67"/>
  <c r="LE39" i="67"/>
  <c r="KW20" i="67"/>
  <c r="KW39" i="67"/>
  <c r="KO20" i="67"/>
  <c r="KO39" i="67"/>
  <c r="KG20" i="67"/>
  <c r="KG39" i="67"/>
  <c r="JY20" i="67"/>
  <c r="JY39" i="67"/>
  <c r="JQ20" i="67"/>
  <c r="JQ39" i="67"/>
  <c r="JI20" i="67"/>
  <c r="JI39" i="67"/>
  <c r="JA20" i="67"/>
  <c r="JA39" i="67"/>
  <c r="IS20" i="67"/>
  <c r="IS39" i="67"/>
  <c r="IK20" i="67"/>
  <c r="IK39" i="67"/>
  <c r="IC20" i="67"/>
  <c r="IC39" i="67"/>
  <c r="HU20" i="67"/>
  <c r="HU39" i="67"/>
  <c r="HM20" i="67"/>
  <c r="HM39" i="67"/>
  <c r="HE20" i="67"/>
  <c r="HE39" i="67"/>
  <c r="GW20" i="67"/>
  <c r="GW39" i="67"/>
  <c r="GO20" i="67"/>
  <c r="GO39" i="67"/>
  <c r="GG20" i="67"/>
  <c r="GG39" i="67"/>
  <c r="FY20" i="67"/>
  <c r="FY39" i="67"/>
  <c r="FQ20" i="67"/>
  <c r="FQ39" i="67"/>
  <c r="FI20" i="67"/>
  <c r="FI39" i="67"/>
  <c r="FA20" i="67"/>
  <c r="FA39" i="67"/>
  <c r="ES20" i="67"/>
  <c r="ES39" i="67"/>
  <c r="EK20" i="67"/>
  <c r="EK39" i="67"/>
  <c r="EC20" i="67"/>
  <c r="EC39" i="67"/>
  <c r="DU20" i="67"/>
  <c r="DU39" i="67"/>
  <c r="DM20" i="67"/>
  <c r="DM39" i="67"/>
  <c r="DE20" i="67"/>
  <c r="DE39" i="67"/>
  <c r="CW20" i="67"/>
  <c r="CW39" i="67"/>
  <c r="CO20" i="67"/>
  <c r="CO39" i="67"/>
  <c r="CG20" i="67"/>
  <c r="CG39" i="67"/>
  <c r="BY20" i="67"/>
  <c r="BY39" i="67"/>
  <c r="BQ20" i="67"/>
  <c r="BQ39" i="67"/>
  <c r="BI20" i="67"/>
  <c r="BI39" i="67"/>
  <c r="BA20" i="67"/>
  <c r="BA39" i="67"/>
  <c r="AS20" i="67"/>
  <c r="AS39" i="67"/>
  <c r="AK20" i="67"/>
  <c r="AK39" i="67"/>
  <c r="AC20" i="67"/>
  <c r="AC39" i="67"/>
  <c r="U20" i="67"/>
  <c r="U39" i="67"/>
  <c r="M20" i="67"/>
  <c r="M39" i="67"/>
  <c r="E20" i="67"/>
  <c r="E39" i="67"/>
  <c r="LX19" i="67"/>
  <c r="LX38" i="67"/>
  <c r="LP19" i="67"/>
  <c r="LP38" i="67"/>
  <c r="LH19" i="67"/>
  <c r="LH38" i="67"/>
  <c r="KZ19" i="67"/>
  <c r="KZ38" i="67"/>
  <c r="KR19" i="67"/>
  <c r="KR38" i="67"/>
  <c r="KJ19" i="67"/>
  <c r="KJ38" i="67"/>
  <c r="KB19" i="67"/>
  <c r="KB38" i="67"/>
  <c r="JT19" i="67"/>
  <c r="JT38" i="67"/>
  <c r="JL19" i="67"/>
  <c r="JL38" i="67"/>
  <c r="JD19" i="67"/>
  <c r="JD38" i="67"/>
  <c r="IV19" i="67"/>
  <c r="IV38" i="67"/>
  <c r="IN19" i="67"/>
  <c r="IN38" i="67"/>
  <c r="IF19" i="67"/>
  <c r="IF38" i="67"/>
  <c r="HX19" i="67"/>
  <c r="HX38" i="67"/>
  <c r="HP19" i="67"/>
  <c r="HP38" i="67"/>
  <c r="HH19" i="67"/>
  <c r="HH38" i="67"/>
  <c r="GZ19" i="67"/>
  <c r="GZ38" i="67"/>
  <c r="GR19" i="67"/>
  <c r="GR38" i="67"/>
  <c r="GJ19" i="67"/>
  <c r="GJ38" i="67"/>
  <c r="GB19" i="67"/>
  <c r="GB38" i="67"/>
  <c r="FT19" i="67"/>
  <c r="FT38" i="67"/>
  <c r="FL19" i="67"/>
  <c r="FL38" i="67"/>
  <c r="FD19" i="67"/>
  <c r="FD38" i="67"/>
  <c r="EV19" i="67"/>
  <c r="EV38" i="67"/>
  <c r="EN19" i="67"/>
  <c r="EN38" i="67"/>
  <c r="EF19" i="67"/>
  <c r="EF38" i="67"/>
  <c r="DX19" i="67"/>
  <c r="DX38" i="67"/>
  <c r="DP19" i="67"/>
  <c r="DP38" i="67"/>
  <c r="DH19" i="67"/>
  <c r="DH38" i="67"/>
  <c r="CZ19" i="67"/>
  <c r="CZ38" i="67"/>
  <c r="CR19" i="67"/>
  <c r="CR38" i="67"/>
  <c r="CJ19" i="67"/>
  <c r="CJ38" i="67"/>
  <c r="CB19" i="67"/>
  <c r="CB38" i="67"/>
  <c r="BT19" i="67"/>
  <c r="BT38" i="67"/>
  <c r="BL19" i="67"/>
  <c r="BL38" i="67"/>
  <c r="BD19" i="67"/>
  <c r="BD38" i="67"/>
  <c r="AV19" i="67"/>
  <c r="AV38" i="67"/>
  <c r="AN19" i="67"/>
  <c r="AN38" i="67"/>
  <c r="AF19" i="67"/>
  <c r="AF38" i="67"/>
  <c r="X19" i="67"/>
  <c r="X38" i="67"/>
  <c r="P19" i="67"/>
  <c r="P38" i="67"/>
  <c r="H19" i="67"/>
  <c r="H38" i="67"/>
  <c r="LG35" i="67"/>
  <c r="LG45" i="67"/>
  <c r="KY35" i="67"/>
  <c r="KY45" i="67"/>
  <c r="KQ35" i="67"/>
  <c r="KQ45" i="67"/>
  <c r="KI35" i="67"/>
  <c r="KI45" i="67"/>
  <c r="KA35" i="67"/>
  <c r="KA45" i="67"/>
  <c r="JS35" i="67"/>
  <c r="JS45" i="67"/>
  <c r="JK35" i="67"/>
  <c r="JK45" i="67"/>
  <c r="JC35" i="67"/>
  <c r="JC45" i="67"/>
  <c r="IU35" i="67"/>
  <c r="IU45" i="67"/>
  <c r="IM35" i="67"/>
  <c r="IM45" i="67"/>
  <c r="IE35" i="67"/>
  <c r="IE45" i="67"/>
  <c r="HW35" i="67"/>
  <c r="HW45" i="67"/>
  <c r="HO35" i="67"/>
  <c r="HO45" i="67"/>
  <c r="HG35" i="67"/>
  <c r="HG45" i="67"/>
  <c r="GY35" i="67"/>
  <c r="GY45" i="67"/>
  <c r="GQ35" i="67"/>
  <c r="GQ45" i="67"/>
  <c r="GI35" i="67"/>
  <c r="GI45" i="67"/>
  <c r="GA35" i="67"/>
  <c r="GA45" i="67"/>
  <c r="FS35" i="67"/>
  <c r="FS45" i="67"/>
  <c r="FK35" i="67"/>
  <c r="FK45" i="67"/>
  <c r="FC35" i="67"/>
  <c r="FC45" i="67"/>
  <c r="EU35" i="67"/>
  <c r="EU45" i="67"/>
  <c r="EM35" i="67"/>
  <c r="EM45" i="67"/>
  <c r="EE35" i="67"/>
  <c r="EE45" i="67"/>
  <c r="DW35" i="67"/>
  <c r="DW45" i="67"/>
  <c r="DO35" i="67"/>
  <c r="DO45" i="67"/>
  <c r="DG35" i="67"/>
  <c r="DG45" i="67"/>
  <c r="CY35" i="67"/>
  <c r="CY45" i="67"/>
  <c r="CQ35" i="67"/>
  <c r="CQ45" i="67"/>
  <c r="CI35" i="67"/>
  <c r="CI45" i="67"/>
  <c r="CA35" i="67"/>
  <c r="CA45" i="67"/>
  <c r="BS35" i="67"/>
  <c r="BS45" i="67"/>
  <c r="BK35" i="67"/>
  <c r="BK45" i="67"/>
  <c r="BC35" i="67"/>
  <c r="BC45" i="67"/>
  <c r="AU35" i="67"/>
  <c r="AU45" i="67"/>
  <c r="AM35" i="67"/>
  <c r="AM45" i="67"/>
  <c r="AE35" i="67"/>
  <c r="AE45" i="67"/>
  <c r="W35" i="67"/>
  <c r="W45" i="67"/>
  <c r="O35" i="67"/>
  <c r="O45" i="67"/>
  <c r="G35" i="67"/>
  <c r="G45" i="67"/>
  <c r="LZ34" i="67"/>
  <c r="LZ44" i="67"/>
  <c r="LR34" i="67"/>
  <c r="LR44" i="67"/>
  <c r="LJ34" i="67"/>
  <c r="LJ44" i="67"/>
  <c r="LB34" i="67"/>
  <c r="LB44" i="67"/>
  <c r="KT34" i="67"/>
  <c r="KT44" i="67"/>
  <c r="KL34" i="67"/>
  <c r="KL44" i="67"/>
  <c r="KD34" i="67"/>
  <c r="KD44" i="67"/>
  <c r="JV34" i="67"/>
  <c r="JV44" i="67"/>
  <c r="JN34" i="67"/>
  <c r="JN44" i="67"/>
  <c r="JF34" i="67"/>
  <c r="JF44" i="67"/>
  <c r="IX34" i="67"/>
  <c r="IX44" i="67"/>
  <c r="IP34" i="67"/>
  <c r="IP44" i="67"/>
  <c r="IH34" i="67"/>
  <c r="IH44" i="67"/>
  <c r="HZ34" i="67"/>
  <c r="HZ44" i="67"/>
  <c r="HR34" i="67"/>
  <c r="HR44" i="67"/>
  <c r="HJ34" i="67"/>
  <c r="HJ44" i="67"/>
  <c r="HB34" i="67"/>
  <c r="HB44" i="67"/>
  <c r="GT34" i="67"/>
  <c r="GT44" i="67"/>
  <c r="GL34" i="67"/>
  <c r="GL44" i="67"/>
  <c r="GD34" i="67"/>
  <c r="GD44" i="67"/>
  <c r="FV34" i="67"/>
  <c r="FV44" i="67"/>
  <c r="FN34" i="67"/>
  <c r="FN44" i="67"/>
  <c r="FF34" i="67"/>
  <c r="FF44" i="67"/>
  <c r="EX34" i="67"/>
  <c r="EX44" i="67"/>
  <c r="EP34" i="67"/>
  <c r="EP44" i="67"/>
  <c r="EH34" i="67"/>
  <c r="EH44" i="67"/>
  <c r="DZ34" i="67"/>
  <c r="DZ44" i="67"/>
  <c r="DR34" i="67"/>
  <c r="DR44" i="67"/>
  <c r="DJ34" i="67"/>
  <c r="DJ44" i="67"/>
  <c r="DB34" i="67"/>
  <c r="DB44" i="67"/>
  <c r="CT34" i="67"/>
  <c r="CT44" i="67"/>
  <c r="CL34" i="67"/>
  <c r="CL44" i="67"/>
  <c r="CD34" i="67"/>
  <c r="CD44" i="67"/>
  <c r="BV34" i="67"/>
  <c r="BV44" i="67"/>
  <c r="BN34" i="67"/>
  <c r="BN44" i="67"/>
  <c r="BF34" i="67"/>
  <c r="BF44" i="67"/>
  <c r="AX34" i="67"/>
  <c r="AX44" i="67"/>
  <c r="AP34" i="67"/>
  <c r="AP44" i="67"/>
  <c r="AH34" i="67"/>
  <c r="AH44" i="67"/>
  <c r="Z34" i="67"/>
  <c r="Z44" i="67"/>
  <c r="R34" i="67"/>
  <c r="R44" i="67"/>
  <c r="J34" i="67"/>
  <c r="J44" i="67"/>
  <c r="B34" i="67"/>
  <c r="B44" i="67"/>
  <c r="LU33" i="67"/>
  <c r="LU43" i="67"/>
  <c r="LM33" i="67"/>
  <c r="LM43" i="67"/>
  <c r="LE33" i="67"/>
  <c r="LE43" i="67"/>
  <c r="KW33" i="67"/>
  <c r="KW43" i="67"/>
  <c r="KO33" i="67"/>
  <c r="KO43" i="67"/>
  <c r="KG33" i="67"/>
  <c r="KG43" i="67"/>
  <c r="JY33" i="67"/>
  <c r="JY43" i="67"/>
  <c r="JQ33" i="67"/>
  <c r="JQ43" i="67"/>
  <c r="JI33" i="67"/>
  <c r="JI43" i="67"/>
  <c r="JA33" i="67"/>
  <c r="JA43" i="67"/>
  <c r="IS33" i="67"/>
  <c r="IS43" i="67"/>
  <c r="IK33" i="67"/>
  <c r="IK43" i="67"/>
  <c r="IC33" i="67"/>
  <c r="IC43" i="67"/>
  <c r="HU33" i="67"/>
  <c r="HU43" i="67"/>
  <c r="HM33" i="67"/>
  <c r="HM43" i="67"/>
  <c r="HE33" i="67"/>
  <c r="HE43" i="67"/>
  <c r="GW33" i="67"/>
  <c r="GW43" i="67"/>
  <c r="GO33" i="67"/>
  <c r="GO43" i="67"/>
  <c r="GG33" i="67"/>
  <c r="GG43" i="67"/>
  <c r="FY33" i="67"/>
  <c r="FY43" i="67"/>
  <c r="FQ33" i="67"/>
  <c r="FQ43" i="67"/>
  <c r="FI33" i="67"/>
  <c r="FI43" i="67"/>
  <c r="FA33" i="67"/>
  <c r="FA43" i="67"/>
  <c r="ES33" i="67"/>
  <c r="ES43" i="67"/>
  <c r="EK33" i="67"/>
  <c r="EK43" i="67"/>
  <c r="EC33" i="67"/>
  <c r="EC43" i="67"/>
  <c r="DU33" i="67"/>
  <c r="DU43" i="67"/>
  <c r="DM33" i="67"/>
  <c r="DM43" i="67"/>
  <c r="DE33" i="67"/>
  <c r="DE43" i="67"/>
  <c r="CW33" i="67"/>
  <c r="CW43" i="67"/>
  <c r="CO33" i="67"/>
  <c r="CO43" i="67"/>
  <c r="CG33" i="67"/>
  <c r="CG43" i="67"/>
  <c r="BY33" i="67"/>
  <c r="BY43" i="67"/>
  <c r="BQ33" i="67"/>
  <c r="BQ43" i="67"/>
  <c r="BI33" i="67"/>
  <c r="BI43" i="67"/>
  <c r="BA33" i="67"/>
  <c r="BA43" i="67"/>
  <c r="AS33" i="67"/>
  <c r="AS43" i="67"/>
  <c r="AK33" i="67"/>
  <c r="AK43" i="67"/>
  <c r="AC33" i="67"/>
  <c r="AC43" i="67"/>
  <c r="U33" i="67"/>
  <c r="U43" i="67"/>
  <c r="M33" i="67"/>
  <c r="M43" i="67"/>
  <c r="E33" i="67"/>
  <c r="E43" i="67"/>
  <c r="I29" i="67"/>
  <c r="LZ26" i="67"/>
  <c r="LZ42" i="67"/>
  <c r="LR26" i="67"/>
  <c r="LR42" i="67"/>
  <c r="LJ26" i="67"/>
  <c r="LJ42" i="67"/>
  <c r="LB26" i="67"/>
  <c r="LB42" i="67"/>
  <c r="KT26" i="67"/>
  <c r="KT42" i="67"/>
  <c r="KL26" i="67"/>
  <c r="KL42" i="67"/>
  <c r="KD26" i="67"/>
  <c r="KD42" i="67"/>
  <c r="JV26" i="67"/>
  <c r="JV42" i="67"/>
  <c r="JN26" i="67"/>
  <c r="JN42" i="67"/>
  <c r="JF26" i="67"/>
  <c r="JF42" i="67"/>
  <c r="IX26" i="67"/>
  <c r="IX42" i="67"/>
  <c r="IP26" i="67"/>
  <c r="IP42" i="67"/>
  <c r="IH26" i="67"/>
  <c r="IH42" i="67"/>
  <c r="HZ26" i="67"/>
  <c r="HZ42" i="67"/>
  <c r="HR26" i="67"/>
  <c r="HR42" i="67"/>
  <c r="HJ26" i="67"/>
  <c r="HJ42" i="67"/>
  <c r="HB26" i="67"/>
  <c r="HB42" i="67"/>
  <c r="GT26" i="67"/>
  <c r="GT42" i="67"/>
  <c r="GL26" i="67"/>
  <c r="GL42" i="67"/>
  <c r="GD26" i="67"/>
  <c r="GD42" i="67"/>
  <c r="FV26" i="67"/>
  <c r="FV42" i="67"/>
  <c r="FN26" i="67"/>
  <c r="FN42" i="67"/>
  <c r="FF26" i="67"/>
  <c r="FF42" i="67"/>
  <c r="EX26" i="67"/>
  <c r="EX42" i="67"/>
  <c r="EP26" i="67"/>
  <c r="EP42" i="67"/>
  <c r="EH26" i="67"/>
  <c r="EH42" i="67"/>
  <c r="DZ26" i="67"/>
  <c r="DZ42" i="67"/>
  <c r="DR26" i="67"/>
  <c r="DR42" i="67"/>
  <c r="DJ26" i="67"/>
  <c r="DJ42" i="67"/>
  <c r="DB26" i="67"/>
  <c r="DB42" i="67"/>
  <c r="CT26" i="67"/>
  <c r="CT42" i="67"/>
  <c r="CL26" i="67"/>
  <c r="CL42" i="67"/>
  <c r="CD26" i="67"/>
  <c r="CD42" i="67"/>
  <c r="BV26" i="67"/>
  <c r="BV42" i="67"/>
  <c r="BN26" i="67"/>
  <c r="BN42" i="67"/>
  <c r="BF26" i="67"/>
  <c r="BF42" i="67"/>
  <c r="AX26" i="67"/>
  <c r="AX42" i="67"/>
  <c r="AP26" i="67"/>
  <c r="AP42" i="67"/>
  <c r="AH26" i="67"/>
  <c r="AH42" i="67"/>
  <c r="Z26" i="67"/>
  <c r="Z42" i="67"/>
  <c r="R26" i="67"/>
  <c r="R42" i="67"/>
  <c r="J26" i="67"/>
  <c r="J42" i="67"/>
  <c r="B26" i="67"/>
  <c r="B42" i="67"/>
  <c r="LV22" i="67"/>
  <c r="LV41" i="67"/>
  <c r="LN22" i="67"/>
  <c r="LN41" i="67"/>
  <c r="LF22" i="67"/>
  <c r="LF41" i="67"/>
  <c r="KX22" i="67"/>
  <c r="KX41" i="67"/>
  <c r="KP22" i="67"/>
  <c r="KP41" i="67"/>
  <c r="KH22" i="67"/>
  <c r="KH41" i="67"/>
  <c r="JZ22" i="67"/>
  <c r="JZ41" i="67"/>
  <c r="JR22" i="67"/>
  <c r="JR41" i="67"/>
  <c r="JJ22" i="67"/>
  <c r="JJ41" i="67"/>
  <c r="JB22" i="67"/>
  <c r="JB41" i="67"/>
  <c r="IT22" i="67"/>
  <c r="IT41" i="67"/>
  <c r="IL22" i="67"/>
  <c r="IL41" i="67"/>
  <c r="ID22" i="67"/>
  <c r="ID41" i="67"/>
  <c r="HV22" i="67"/>
  <c r="HV41" i="67"/>
  <c r="HN22" i="67"/>
  <c r="HN41" i="67"/>
  <c r="HF22" i="67"/>
  <c r="HF41" i="67"/>
  <c r="GX22" i="67"/>
  <c r="GX41" i="67"/>
  <c r="GP22" i="67"/>
  <c r="GP41" i="67"/>
  <c r="GH22" i="67"/>
  <c r="GH41" i="67"/>
  <c r="FZ22" i="67"/>
  <c r="FZ41" i="67"/>
  <c r="FR22" i="67"/>
  <c r="FR41" i="67"/>
  <c r="FJ22" i="67"/>
  <c r="FJ41" i="67"/>
  <c r="FB22" i="67"/>
  <c r="FB41" i="67"/>
  <c r="ET22" i="67"/>
  <c r="ET41" i="67"/>
  <c r="EL22" i="67"/>
  <c r="EL41" i="67"/>
  <c r="ED22" i="67"/>
  <c r="ED41" i="67"/>
  <c r="DV22" i="67"/>
  <c r="DV41" i="67"/>
  <c r="DN22" i="67"/>
  <c r="DN41" i="67"/>
  <c r="DF22" i="67"/>
  <c r="DF41" i="67"/>
  <c r="CX22" i="67"/>
  <c r="CX41" i="67"/>
  <c r="CP22" i="67"/>
  <c r="CP41" i="67"/>
  <c r="CH22" i="67"/>
  <c r="CH41" i="67"/>
  <c r="BZ22" i="67"/>
  <c r="BZ41" i="67"/>
  <c r="BR22" i="67"/>
  <c r="BR41" i="67"/>
  <c r="BJ22" i="67"/>
  <c r="BJ41" i="67"/>
  <c r="BB22" i="67"/>
  <c r="BB41" i="67"/>
  <c r="AT22" i="67"/>
  <c r="AT41" i="67"/>
  <c r="AL22" i="67"/>
  <c r="AL41" i="67"/>
  <c r="AD22" i="67"/>
  <c r="AD41" i="67"/>
  <c r="V22" i="67"/>
  <c r="V41" i="67"/>
  <c r="N22" i="67"/>
  <c r="N41" i="67"/>
  <c r="F22" i="67"/>
  <c r="F41" i="67"/>
  <c r="LY21" i="67"/>
  <c r="LY40" i="67"/>
  <c r="LQ21" i="67"/>
  <c r="LQ40" i="67"/>
  <c r="LI21" i="67"/>
  <c r="LI40" i="67"/>
  <c r="LA21" i="67"/>
  <c r="LA40" i="67"/>
  <c r="KS21" i="67"/>
  <c r="KS40" i="67"/>
  <c r="KK21" i="67"/>
  <c r="KK40" i="67"/>
  <c r="KC21" i="67"/>
  <c r="KC40" i="67"/>
  <c r="JU21" i="67"/>
  <c r="JU40" i="67"/>
  <c r="JM21" i="67"/>
  <c r="JM40" i="67"/>
  <c r="JE21" i="67"/>
  <c r="JE40" i="67"/>
  <c r="IW21" i="67"/>
  <c r="IW40" i="67"/>
  <c r="IO21" i="67"/>
  <c r="IO40" i="67"/>
  <c r="IG21" i="67"/>
  <c r="IG40" i="67"/>
  <c r="HY21" i="67"/>
  <c r="HY40" i="67"/>
  <c r="HQ21" i="67"/>
  <c r="HQ40" i="67"/>
  <c r="HI21" i="67"/>
  <c r="HI40" i="67"/>
  <c r="HA21" i="67"/>
  <c r="HA40" i="67"/>
  <c r="GS21" i="67"/>
  <c r="GS40" i="67"/>
  <c r="GK21" i="67"/>
  <c r="GK40" i="67"/>
  <c r="GC21" i="67"/>
  <c r="GC40" i="67"/>
  <c r="FU21" i="67"/>
  <c r="FU40" i="67"/>
  <c r="FM21" i="67"/>
  <c r="FM40" i="67"/>
  <c r="FE21" i="67"/>
  <c r="FE40" i="67"/>
  <c r="EW21" i="67"/>
  <c r="EW40" i="67"/>
  <c r="EO21" i="67"/>
  <c r="EO40" i="67"/>
  <c r="EG21" i="67"/>
  <c r="EG40" i="67"/>
  <c r="DY21" i="67"/>
  <c r="DY40" i="67"/>
  <c r="DQ21" i="67"/>
  <c r="DQ40" i="67"/>
  <c r="DI21" i="67"/>
  <c r="DI40" i="67"/>
  <c r="DA21" i="67"/>
  <c r="DA40" i="67"/>
  <c r="CS21" i="67"/>
  <c r="CS40" i="67"/>
  <c r="CK21" i="67"/>
  <c r="CK40" i="67"/>
  <c r="CC21" i="67"/>
  <c r="CC40" i="67"/>
  <c r="BU21" i="67"/>
  <c r="BU40" i="67"/>
  <c r="BM21" i="67"/>
  <c r="BM40" i="67"/>
  <c r="BE21" i="67"/>
  <c r="BE40" i="67"/>
  <c r="AW21" i="67"/>
  <c r="AW40" i="67"/>
  <c r="AO21" i="67"/>
  <c r="AO40" i="67"/>
  <c r="AG21" i="67"/>
  <c r="AG40" i="67"/>
  <c r="Y21" i="67"/>
  <c r="Y40" i="67"/>
  <c r="Q21" i="67"/>
  <c r="Q40" i="67"/>
  <c r="I21" i="67"/>
  <c r="I40" i="67"/>
  <c r="A21" i="67"/>
  <c r="A40" i="67"/>
  <c r="LT20" i="67"/>
  <c r="LT39" i="67"/>
  <c r="LL20" i="67"/>
  <c r="LL39" i="67"/>
  <c r="LD20" i="67"/>
  <c r="LD39" i="67"/>
  <c r="KV20" i="67"/>
  <c r="KV39" i="67"/>
  <c r="KN20" i="67"/>
  <c r="KN39" i="67"/>
  <c r="KF20" i="67"/>
  <c r="KF39" i="67"/>
  <c r="JX20" i="67"/>
  <c r="JX39" i="67"/>
  <c r="JP20" i="67"/>
  <c r="JP39" i="67"/>
  <c r="JH20" i="67"/>
  <c r="JH39" i="67"/>
  <c r="IZ20" i="67"/>
  <c r="IZ39" i="67"/>
  <c r="IR20" i="67"/>
  <c r="IR39" i="67"/>
  <c r="IJ20" i="67"/>
  <c r="IJ39" i="67"/>
  <c r="IB20" i="67"/>
  <c r="IB39" i="67"/>
  <c r="HT20" i="67"/>
  <c r="HT39" i="67"/>
  <c r="HL20" i="67"/>
  <c r="HL39" i="67"/>
  <c r="HD20" i="67"/>
  <c r="HD39" i="67"/>
  <c r="GV20" i="67"/>
  <c r="GV39" i="67"/>
  <c r="GN20" i="67"/>
  <c r="GN39" i="67"/>
  <c r="GF20" i="67"/>
  <c r="GF39" i="67"/>
  <c r="FX20" i="67"/>
  <c r="FX39" i="67"/>
  <c r="FP20" i="67"/>
  <c r="FP39" i="67"/>
  <c r="FH20" i="67"/>
  <c r="FH39" i="67"/>
  <c r="EZ20" i="67"/>
  <c r="EZ39" i="67"/>
  <c r="ER20" i="67"/>
  <c r="ER39" i="67"/>
  <c r="EJ20" i="67"/>
  <c r="EJ39" i="67"/>
  <c r="EB20" i="67"/>
  <c r="EB39" i="67"/>
  <c r="DT20" i="67"/>
  <c r="DT39" i="67"/>
  <c r="DL20" i="67"/>
  <c r="DL39" i="67"/>
  <c r="DD20" i="67"/>
  <c r="DD39" i="67"/>
  <c r="CV20" i="67"/>
  <c r="CV39" i="67"/>
  <c r="CN20" i="67"/>
  <c r="CN39" i="67"/>
  <c r="CF20" i="67"/>
  <c r="CF39" i="67"/>
  <c r="BX20" i="67"/>
  <c r="BX39" i="67"/>
  <c r="BP20" i="67"/>
  <c r="BP39" i="67"/>
  <c r="BH20" i="67"/>
  <c r="BH39" i="67"/>
  <c r="AZ20" i="67"/>
  <c r="AZ39" i="67"/>
  <c r="AR20" i="67"/>
  <c r="AR39" i="67"/>
  <c r="AJ20" i="67"/>
  <c r="AJ39" i="67"/>
  <c r="AB20" i="67"/>
  <c r="AB39" i="67"/>
  <c r="T20" i="67"/>
  <c r="T39" i="67"/>
  <c r="L20" i="67"/>
  <c r="L39" i="67"/>
  <c r="D20" i="67"/>
  <c r="D39" i="67"/>
  <c r="LW19" i="67"/>
  <c r="LW38" i="67"/>
  <c r="LO19" i="67"/>
  <c r="LO38" i="67"/>
  <c r="LG19" i="67"/>
  <c r="LG38" i="67"/>
  <c r="KY19" i="67"/>
  <c r="KY38" i="67"/>
  <c r="KQ19" i="67"/>
  <c r="KQ38" i="67"/>
  <c r="KI19" i="67"/>
  <c r="KI38" i="67"/>
  <c r="KA19" i="67"/>
  <c r="KA38" i="67"/>
  <c r="JS19" i="67"/>
  <c r="JS38" i="67"/>
  <c r="JK19" i="67"/>
  <c r="JK38" i="67"/>
  <c r="JC19" i="67"/>
  <c r="JC38" i="67"/>
  <c r="IU19" i="67"/>
  <c r="IU38" i="67"/>
  <c r="IM19" i="67"/>
  <c r="IM38" i="67"/>
  <c r="IE19" i="67"/>
  <c r="IE38" i="67"/>
  <c r="HW19" i="67"/>
  <c r="HW38" i="67"/>
  <c r="HO19" i="67"/>
  <c r="HO38" i="67"/>
  <c r="HG19" i="67"/>
  <c r="HG38" i="67"/>
  <c r="GY19" i="67"/>
  <c r="GY38" i="67"/>
  <c r="GQ19" i="67"/>
  <c r="GQ38" i="67"/>
  <c r="GI19" i="67"/>
  <c r="GI38" i="67"/>
  <c r="GA19" i="67"/>
  <c r="GA38" i="67"/>
  <c r="FS19" i="67"/>
  <c r="FS38" i="67"/>
  <c r="FK19" i="67"/>
  <c r="FK38" i="67"/>
  <c r="FC19" i="67"/>
  <c r="FC38" i="67"/>
  <c r="EU19" i="67"/>
  <c r="EU38" i="67"/>
  <c r="EM19" i="67"/>
  <c r="EM38" i="67"/>
  <c r="EE19" i="67"/>
  <c r="EE38" i="67"/>
  <c r="DW19" i="67"/>
  <c r="DW38" i="67"/>
  <c r="DO19" i="67"/>
  <c r="DO38" i="67"/>
  <c r="DG19" i="67"/>
  <c r="DG38" i="67"/>
  <c r="CY19" i="67"/>
  <c r="CY38" i="67"/>
  <c r="CQ19" i="67"/>
  <c r="CQ38" i="67"/>
  <c r="CI19" i="67"/>
  <c r="CI38" i="67"/>
  <c r="CA19" i="67"/>
  <c r="CA38" i="67"/>
  <c r="BS19" i="67"/>
  <c r="BS38" i="67"/>
  <c r="BK19" i="67"/>
  <c r="BK38" i="67"/>
  <c r="BC19" i="67"/>
  <c r="BC38" i="67"/>
  <c r="AU19" i="67"/>
  <c r="AU38" i="67"/>
  <c r="AM19" i="67"/>
  <c r="AM38" i="67"/>
  <c r="AE19" i="67"/>
  <c r="AE38" i="67"/>
  <c r="W19" i="67"/>
  <c r="W38" i="67"/>
  <c r="O19" i="67"/>
  <c r="O38" i="67"/>
  <c r="G19" i="67"/>
  <c r="G38" i="67"/>
  <c r="LV35" i="67"/>
  <c r="LV45" i="67"/>
  <c r="LN35" i="67"/>
  <c r="LN45" i="67"/>
  <c r="LF35" i="67"/>
  <c r="LF45" i="67"/>
  <c r="KX35" i="67"/>
  <c r="KX45" i="67"/>
  <c r="KP35" i="67"/>
  <c r="KP45" i="67"/>
  <c r="KH35" i="67"/>
  <c r="KH45" i="67"/>
  <c r="JZ35" i="67"/>
  <c r="JZ45" i="67"/>
  <c r="JR35" i="67"/>
  <c r="JR45" i="67"/>
  <c r="JJ35" i="67"/>
  <c r="JJ45" i="67"/>
  <c r="JB35" i="67"/>
  <c r="JB45" i="67"/>
  <c r="IT35" i="67"/>
  <c r="IT45" i="67"/>
  <c r="IL35" i="67"/>
  <c r="IL45" i="67"/>
  <c r="ID35" i="67"/>
  <c r="ID45" i="67"/>
  <c r="HV35" i="67"/>
  <c r="HV45" i="67"/>
  <c r="HN35" i="67"/>
  <c r="HN45" i="67"/>
  <c r="HF35" i="67"/>
  <c r="HF45" i="67"/>
  <c r="GX35" i="67"/>
  <c r="GX45" i="67"/>
  <c r="GP35" i="67"/>
  <c r="GP45" i="67"/>
  <c r="GH35" i="67"/>
  <c r="GH45" i="67"/>
  <c r="FZ35" i="67"/>
  <c r="FZ45" i="67"/>
  <c r="FR35" i="67"/>
  <c r="FR45" i="67"/>
  <c r="FJ35" i="67"/>
  <c r="FJ45" i="67"/>
  <c r="FB35" i="67"/>
  <c r="FB45" i="67"/>
  <c r="ET35" i="67"/>
  <c r="ET45" i="67"/>
  <c r="EL35" i="67"/>
  <c r="EL45" i="67"/>
  <c r="ED35" i="67"/>
  <c r="ED45" i="67"/>
  <c r="DV35" i="67"/>
  <c r="DV45" i="67"/>
  <c r="DN35" i="67"/>
  <c r="DN45" i="67"/>
  <c r="DF35" i="67"/>
  <c r="DF45" i="67"/>
  <c r="CX35" i="67"/>
  <c r="CX45" i="67"/>
  <c r="CP35" i="67"/>
  <c r="CP45" i="67"/>
  <c r="CH35" i="67"/>
  <c r="CH45" i="67"/>
  <c r="BZ35" i="67"/>
  <c r="BZ45" i="67"/>
  <c r="BR35" i="67"/>
  <c r="BR45" i="67"/>
  <c r="BJ35" i="67"/>
  <c r="BJ45" i="67"/>
  <c r="BB35" i="67"/>
  <c r="BB45" i="67"/>
  <c r="AT35" i="67"/>
  <c r="AT45" i="67"/>
  <c r="AL35" i="67"/>
  <c r="AL45" i="67"/>
  <c r="AD35" i="67"/>
  <c r="AD45" i="67"/>
  <c r="V35" i="67"/>
  <c r="V45" i="67"/>
  <c r="N35" i="67"/>
  <c r="N45" i="67"/>
  <c r="F35" i="67"/>
  <c r="F45" i="67"/>
  <c r="LY34" i="67"/>
  <c r="LY44" i="67"/>
  <c r="LQ34" i="67"/>
  <c r="LQ44" i="67"/>
  <c r="LI34" i="67"/>
  <c r="LI44" i="67"/>
  <c r="LA34" i="67"/>
  <c r="LA44" i="67"/>
  <c r="KS34" i="67"/>
  <c r="KS44" i="67"/>
  <c r="KK34" i="67"/>
  <c r="KK44" i="67"/>
  <c r="KC34" i="67"/>
  <c r="KC44" i="67"/>
  <c r="JU34" i="67"/>
  <c r="JU44" i="67"/>
  <c r="JM34" i="67"/>
  <c r="JM44" i="67"/>
  <c r="JE34" i="67"/>
  <c r="JE44" i="67"/>
  <c r="IW34" i="67"/>
  <c r="IW44" i="67"/>
  <c r="IO34" i="67"/>
  <c r="IO44" i="67"/>
  <c r="IG34" i="67"/>
  <c r="IG44" i="67"/>
  <c r="HY34" i="67"/>
  <c r="HY44" i="67"/>
  <c r="HQ34" i="67"/>
  <c r="HQ44" i="67"/>
  <c r="HI34" i="67"/>
  <c r="HI44" i="67"/>
  <c r="HA34" i="67"/>
  <c r="HA44" i="67"/>
  <c r="GS34" i="67"/>
  <c r="GS44" i="67"/>
  <c r="GK34" i="67"/>
  <c r="GK44" i="67"/>
  <c r="GC34" i="67"/>
  <c r="GC44" i="67"/>
  <c r="FU34" i="67"/>
  <c r="FU44" i="67"/>
  <c r="FM34" i="67"/>
  <c r="FM44" i="67"/>
  <c r="FE34" i="67"/>
  <c r="FE44" i="67"/>
  <c r="EW34" i="67"/>
  <c r="EW44" i="67"/>
  <c r="EO34" i="67"/>
  <c r="EO44" i="67"/>
  <c r="EG34" i="67"/>
  <c r="EG44" i="67"/>
  <c r="DY34" i="67"/>
  <c r="DY44" i="67"/>
  <c r="DQ34" i="67"/>
  <c r="DQ44" i="67"/>
  <c r="DI34" i="67"/>
  <c r="DI44" i="67"/>
  <c r="DA34" i="67"/>
  <c r="DA44" i="67"/>
  <c r="CS34" i="67"/>
  <c r="CS44" i="67"/>
  <c r="CK34" i="67"/>
  <c r="CK44" i="67"/>
  <c r="CC34" i="67"/>
  <c r="CC44" i="67"/>
  <c r="BU34" i="67"/>
  <c r="BU44" i="67"/>
  <c r="BM34" i="67"/>
  <c r="BM44" i="67"/>
  <c r="BE34" i="67"/>
  <c r="BE44" i="67"/>
  <c r="AW34" i="67"/>
  <c r="AW44" i="67"/>
  <c r="AO34" i="67"/>
  <c r="AO44" i="67"/>
  <c r="AG34" i="67"/>
  <c r="AG44" i="67"/>
  <c r="Y34" i="67"/>
  <c r="Y44" i="67"/>
  <c r="Q34" i="67"/>
  <c r="Q44" i="67"/>
  <c r="I34" i="67"/>
  <c r="I44" i="67"/>
  <c r="A34" i="67"/>
  <c r="A44" i="67"/>
  <c r="LT33" i="67"/>
  <c r="LT43" i="67"/>
  <c r="LL33" i="67"/>
  <c r="LL43" i="67"/>
  <c r="LD33" i="67"/>
  <c r="LD43" i="67"/>
  <c r="KV33" i="67"/>
  <c r="KV43" i="67"/>
  <c r="KN33" i="67"/>
  <c r="KN43" i="67"/>
  <c r="KF33" i="67"/>
  <c r="KF43" i="67"/>
  <c r="JX33" i="67"/>
  <c r="JX43" i="67"/>
  <c r="JP33" i="67"/>
  <c r="JP43" i="67"/>
  <c r="JH33" i="67"/>
  <c r="JH43" i="67"/>
  <c r="IZ33" i="67"/>
  <c r="IZ43" i="67"/>
  <c r="IR33" i="67"/>
  <c r="IR43" i="67"/>
  <c r="IJ33" i="67"/>
  <c r="IJ43" i="67"/>
  <c r="IB33" i="67"/>
  <c r="IB43" i="67"/>
  <c r="HT33" i="67"/>
  <c r="HT43" i="67"/>
  <c r="HL33" i="67"/>
  <c r="HL43" i="67"/>
  <c r="HD33" i="67"/>
  <c r="HD43" i="67"/>
  <c r="GV33" i="67"/>
  <c r="GV43" i="67"/>
  <c r="GN33" i="67"/>
  <c r="GN43" i="67"/>
  <c r="GF33" i="67"/>
  <c r="GF43" i="67"/>
  <c r="FX33" i="67"/>
  <c r="FX43" i="67"/>
  <c r="FP33" i="67"/>
  <c r="FP43" i="67"/>
  <c r="FH33" i="67"/>
  <c r="FH43" i="67"/>
  <c r="EZ33" i="67"/>
  <c r="EZ43" i="67"/>
  <c r="ER33" i="67"/>
  <c r="ER43" i="67"/>
  <c r="EJ33" i="67"/>
  <c r="EJ43" i="67"/>
  <c r="EB33" i="67"/>
  <c r="EB43" i="67"/>
  <c r="DT33" i="67"/>
  <c r="DT43" i="67"/>
  <c r="DL33" i="67"/>
  <c r="DL43" i="67"/>
  <c r="DD33" i="67"/>
  <c r="DD43" i="67"/>
  <c r="CV33" i="67"/>
  <c r="CV43" i="67"/>
  <c r="CN33" i="67"/>
  <c r="CN43" i="67"/>
  <c r="CF33" i="67"/>
  <c r="CF43" i="67"/>
  <c r="BX33" i="67"/>
  <c r="BX43" i="67"/>
  <c r="BP33" i="67"/>
  <c r="BP43" i="67"/>
  <c r="BH33" i="67"/>
  <c r="BH43" i="67"/>
  <c r="AZ33" i="67"/>
  <c r="AZ43" i="67"/>
  <c r="AR33" i="67"/>
  <c r="AR43" i="67"/>
  <c r="AJ33" i="67"/>
  <c r="AJ43" i="67"/>
  <c r="AB33" i="67"/>
  <c r="AB43" i="67"/>
  <c r="T33" i="67"/>
  <c r="T43" i="67"/>
  <c r="L33" i="67"/>
  <c r="L43" i="67"/>
  <c r="D33" i="67"/>
  <c r="D43" i="67"/>
  <c r="U30" i="67"/>
  <c r="U8" i="67"/>
  <c r="LY26" i="67"/>
  <c r="LY42" i="67"/>
  <c r="LQ26" i="67"/>
  <c r="LQ42" i="67"/>
  <c r="LI26" i="67"/>
  <c r="LI42" i="67"/>
  <c r="LA26" i="67"/>
  <c r="LA42" i="67"/>
  <c r="KS26" i="67"/>
  <c r="KS42" i="67"/>
  <c r="KK26" i="67"/>
  <c r="KK42" i="67"/>
  <c r="KC26" i="67"/>
  <c r="KC42" i="67"/>
  <c r="JU26" i="67"/>
  <c r="JU42" i="67"/>
  <c r="JM26" i="67"/>
  <c r="JM42" i="67"/>
  <c r="JE26" i="67"/>
  <c r="JE42" i="67"/>
  <c r="IW26" i="67"/>
  <c r="IW42" i="67"/>
  <c r="IO26" i="67"/>
  <c r="IO42" i="67"/>
  <c r="IG26" i="67"/>
  <c r="IG42" i="67"/>
  <c r="HY26" i="67"/>
  <c r="HY42" i="67"/>
  <c r="HQ26" i="67"/>
  <c r="HQ42" i="67"/>
  <c r="HI26" i="67"/>
  <c r="HI42" i="67"/>
  <c r="HA26" i="67"/>
  <c r="HA42" i="67"/>
  <c r="GS26" i="67"/>
  <c r="GS42" i="67"/>
  <c r="GK26" i="67"/>
  <c r="GK42" i="67"/>
  <c r="GC26" i="67"/>
  <c r="GC42" i="67"/>
  <c r="FU26" i="67"/>
  <c r="FU42" i="67"/>
  <c r="FM26" i="67"/>
  <c r="FM42" i="67"/>
  <c r="FE26" i="67"/>
  <c r="FE42" i="67"/>
  <c r="EW26" i="67"/>
  <c r="EW42" i="67"/>
  <c r="EO26" i="67"/>
  <c r="EO42" i="67"/>
  <c r="EG26" i="67"/>
  <c r="EG42" i="67"/>
  <c r="DY26" i="67"/>
  <c r="DY42" i="67"/>
  <c r="DQ26" i="67"/>
  <c r="DQ42" i="67"/>
  <c r="DI26" i="67"/>
  <c r="DI42" i="67"/>
  <c r="DA26" i="67"/>
  <c r="DA42" i="67"/>
  <c r="CS26" i="67"/>
  <c r="CS42" i="67"/>
  <c r="CK26" i="67"/>
  <c r="CK42" i="67"/>
  <c r="CC26" i="67"/>
  <c r="CC42" i="67"/>
  <c r="BU26" i="67"/>
  <c r="BU42" i="67"/>
  <c r="BM26" i="67"/>
  <c r="BM42" i="67"/>
  <c r="BE26" i="67"/>
  <c r="BE42" i="67"/>
  <c r="AW26" i="67"/>
  <c r="AW42" i="67"/>
  <c r="AO26" i="67"/>
  <c r="AO42" i="67"/>
  <c r="AG26" i="67"/>
  <c r="AG42" i="67"/>
  <c r="Y26" i="67"/>
  <c r="Y42" i="67"/>
  <c r="Q26" i="67"/>
  <c r="Q42" i="67"/>
  <c r="I26" i="67"/>
  <c r="I42" i="67"/>
  <c r="A26" i="67"/>
  <c r="A42" i="67"/>
  <c r="LU22" i="67"/>
  <c r="LU41" i="67"/>
  <c r="LM22" i="67"/>
  <c r="LM41" i="67"/>
  <c r="LE22" i="67"/>
  <c r="LE41" i="67"/>
  <c r="KW22" i="67"/>
  <c r="KW41" i="67"/>
  <c r="KO22" i="67"/>
  <c r="KO41" i="67"/>
  <c r="KG22" i="67"/>
  <c r="KG41" i="67"/>
  <c r="JY22" i="67"/>
  <c r="JY41" i="67"/>
  <c r="JQ22" i="67"/>
  <c r="JQ41" i="67"/>
  <c r="JI22" i="67"/>
  <c r="JI41" i="67"/>
  <c r="JA22" i="67"/>
  <c r="JA41" i="67"/>
  <c r="IS22" i="67"/>
  <c r="IS41" i="67"/>
  <c r="IK22" i="67"/>
  <c r="IK41" i="67"/>
  <c r="IC22" i="67"/>
  <c r="IC41" i="67"/>
  <c r="HU22" i="67"/>
  <c r="HU41" i="67"/>
  <c r="HM22" i="67"/>
  <c r="HM41" i="67"/>
  <c r="HE22" i="67"/>
  <c r="HE41" i="67"/>
  <c r="GW22" i="67"/>
  <c r="GW41" i="67"/>
  <c r="GO22" i="67"/>
  <c r="GO41" i="67"/>
  <c r="GG22" i="67"/>
  <c r="GG41" i="67"/>
  <c r="FY22" i="67"/>
  <c r="FY41" i="67"/>
  <c r="FQ22" i="67"/>
  <c r="FQ41" i="67"/>
  <c r="FI22" i="67"/>
  <c r="FI41" i="67"/>
  <c r="FA22" i="67"/>
  <c r="FA41" i="67"/>
  <c r="ES22" i="67"/>
  <c r="ES41" i="67"/>
  <c r="EK22" i="67"/>
  <c r="EK41" i="67"/>
  <c r="EC22" i="67"/>
  <c r="EC41" i="67"/>
  <c r="DU22" i="67"/>
  <c r="DU41" i="67"/>
  <c r="DM22" i="67"/>
  <c r="DM41" i="67"/>
  <c r="DE22" i="67"/>
  <c r="DE41" i="67"/>
  <c r="CW22" i="67"/>
  <c r="CW41" i="67"/>
  <c r="CO22" i="67"/>
  <c r="CO41" i="67"/>
  <c r="CG22" i="67"/>
  <c r="CG41" i="67"/>
  <c r="BY22" i="67"/>
  <c r="BY41" i="67"/>
  <c r="BQ22" i="67"/>
  <c r="BQ41" i="67"/>
  <c r="BI22" i="67"/>
  <c r="BI41" i="67"/>
  <c r="BA22" i="67"/>
  <c r="BA41" i="67"/>
  <c r="AS22" i="67"/>
  <c r="AS41" i="67"/>
  <c r="AK22" i="67"/>
  <c r="AK41" i="67"/>
  <c r="AC22" i="67"/>
  <c r="AC41" i="67"/>
  <c r="U22" i="67"/>
  <c r="U41" i="67"/>
  <c r="M22" i="67"/>
  <c r="M41" i="67"/>
  <c r="E22" i="67"/>
  <c r="E41" i="67"/>
  <c r="LX21" i="67"/>
  <c r="LX40" i="67"/>
  <c r="LP21" i="67"/>
  <c r="LP40" i="67"/>
  <c r="LH21" i="67"/>
  <c r="LH40" i="67"/>
  <c r="KZ21" i="67"/>
  <c r="KZ40" i="67"/>
  <c r="KR21" i="67"/>
  <c r="KR40" i="67"/>
  <c r="KJ21" i="67"/>
  <c r="KJ40" i="67"/>
  <c r="KB21" i="67"/>
  <c r="KB40" i="67"/>
  <c r="JT21" i="67"/>
  <c r="JT40" i="67"/>
  <c r="JL21" i="67"/>
  <c r="JL40" i="67"/>
  <c r="JD21" i="67"/>
  <c r="JD40" i="67"/>
  <c r="IV21" i="67"/>
  <c r="IV40" i="67"/>
  <c r="IN21" i="67"/>
  <c r="IN40" i="67"/>
  <c r="IF21" i="67"/>
  <c r="IF40" i="67"/>
  <c r="HX21" i="67"/>
  <c r="HX40" i="67"/>
  <c r="HP21" i="67"/>
  <c r="HP40" i="67"/>
  <c r="HH21" i="67"/>
  <c r="HH40" i="67"/>
  <c r="GZ21" i="67"/>
  <c r="GZ40" i="67"/>
  <c r="GR21" i="67"/>
  <c r="GR40" i="67"/>
  <c r="GJ21" i="67"/>
  <c r="GJ40" i="67"/>
  <c r="GB21" i="67"/>
  <c r="GB40" i="67"/>
  <c r="FT21" i="67"/>
  <c r="FT40" i="67"/>
  <c r="FL21" i="67"/>
  <c r="FL40" i="67"/>
  <c r="FD21" i="67"/>
  <c r="FD40" i="67"/>
  <c r="EV21" i="67"/>
  <c r="EV40" i="67"/>
  <c r="EN21" i="67"/>
  <c r="EN40" i="67"/>
  <c r="EF21" i="67"/>
  <c r="EF40" i="67"/>
  <c r="DX21" i="67"/>
  <c r="DX40" i="67"/>
  <c r="DP21" i="67"/>
  <c r="DP40" i="67"/>
  <c r="DH21" i="67"/>
  <c r="DH40" i="67"/>
  <c r="CZ21" i="67"/>
  <c r="CZ40" i="67"/>
  <c r="CR21" i="67"/>
  <c r="CR40" i="67"/>
  <c r="CJ21" i="67"/>
  <c r="CJ40" i="67"/>
  <c r="CB21" i="67"/>
  <c r="CB40" i="67"/>
  <c r="BT21" i="67"/>
  <c r="BT40" i="67"/>
  <c r="BL21" i="67"/>
  <c r="BL40" i="67"/>
  <c r="BD21" i="67"/>
  <c r="BD40" i="67"/>
  <c r="AV21" i="67"/>
  <c r="AV40" i="67"/>
  <c r="AN21" i="67"/>
  <c r="AN40" i="67"/>
  <c r="AF21" i="67"/>
  <c r="AF40" i="67"/>
  <c r="X21" i="67"/>
  <c r="X40" i="67"/>
  <c r="P21" i="67"/>
  <c r="P40" i="67"/>
  <c r="H21" i="67"/>
  <c r="H40" i="67"/>
  <c r="MA20" i="67"/>
  <c r="MA39" i="67"/>
  <c r="LS20" i="67"/>
  <c r="LS39" i="67"/>
  <c r="LK20" i="67"/>
  <c r="LK39" i="67"/>
  <c r="LC20" i="67"/>
  <c r="LC39" i="67"/>
  <c r="KU20" i="67"/>
  <c r="KU39" i="67"/>
  <c r="KM20" i="67"/>
  <c r="KM39" i="67"/>
  <c r="KE20" i="67"/>
  <c r="KE39" i="67"/>
  <c r="JW20" i="67"/>
  <c r="JW39" i="67"/>
  <c r="JO20" i="67"/>
  <c r="JO39" i="67"/>
  <c r="JG20" i="67"/>
  <c r="JG39" i="67"/>
  <c r="IY20" i="67"/>
  <c r="IY39" i="67"/>
  <c r="IQ20" i="67"/>
  <c r="IQ39" i="67"/>
  <c r="II20" i="67"/>
  <c r="II39" i="67"/>
  <c r="IA20" i="67"/>
  <c r="IA39" i="67"/>
  <c r="HS20" i="67"/>
  <c r="HS39" i="67"/>
  <c r="HK20" i="67"/>
  <c r="HK39" i="67"/>
  <c r="HC20" i="67"/>
  <c r="HC39" i="67"/>
  <c r="GU20" i="67"/>
  <c r="GU39" i="67"/>
  <c r="GM20" i="67"/>
  <c r="GM39" i="67"/>
  <c r="GE20" i="67"/>
  <c r="GE39" i="67"/>
  <c r="FW20" i="67"/>
  <c r="FW39" i="67"/>
  <c r="FO20" i="67"/>
  <c r="FO39" i="67"/>
  <c r="FG20" i="67"/>
  <c r="FG39" i="67"/>
  <c r="EY20" i="67"/>
  <c r="EY39" i="67"/>
  <c r="EQ20" i="67"/>
  <c r="EQ39" i="67"/>
  <c r="EI20" i="67"/>
  <c r="EI39" i="67"/>
  <c r="EA20" i="67"/>
  <c r="EA39" i="67"/>
  <c r="DS20" i="67"/>
  <c r="DS39" i="67"/>
  <c r="DK20" i="67"/>
  <c r="DK39" i="67"/>
  <c r="DC20" i="67"/>
  <c r="DC39" i="67"/>
  <c r="CU20" i="67"/>
  <c r="CU39" i="67"/>
  <c r="CM20" i="67"/>
  <c r="CM39" i="67"/>
  <c r="CE20" i="67"/>
  <c r="CE39" i="67"/>
  <c r="BW20" i="67"/>
  <c r="BW39" i="67"/>
  <c r="BO20" i="67"/>
  <c r="BO39" i="67"/>
  <c r="BG20" i="67"/>
  <c r="BG39" i="67"/>
  <c r="AY20" i="67"/>
  <c r="AY39" i="67"/>
  <c r="AQ20" i="67"/>
  <c r="AQ39" i="67"/>
  <c r="AI20" i="67"/>
  <c r="AI39" i="67"/>
  <c r="AA20" i="67"/>
  <c r="AA39" i="67"/>
  <c r="S20" i="67"/>
  <c r="S39" i="67"/>
  <c r="K20" i="67"/>
  <c r="K39" i="67"/>
  <c r="C20" i="67"/>
  <c r="C39" i="67"/>
  <c r="LV19" i="67"/>
  <c r="LV38" i="67"/>
  <c r="LN19" i="67"/>
  <c r="LN38" i="67"/>
  <c r="LF19" i="67"/>
  <c r="LF38" i="67"/>
  <c r="KX19" i="67"/>
  <c r="KX38" i="67"/>
  <c r="KP19" i="67"/>
  <c r="KP38" i="67"/>
  <c r="KH19" i="67"/>
  <c r="KH38" i="67"/>
  <c r="JZ19" i="67"/>
  <c r="JZ38" i="67"/>
  <c r="JR19" i="67"/>
  <c r="JR38" i="67"/>
  <c r="JJ19" i="67"/>
  <c r="JJ38" i="67"/>
  <c r="JB19" i="67"/>
  <c r="JB38" i="67"/>
  <c r="IT19" i="67"/>
  <c r="IT38" i="67"/>
  <c r="IL19" i="67"/>
  <c r="IL38" i="67"/>
  <c r="ID19" i="67"/>
  <c r="ID38" i="67"/>
  <c r="HV19" i="67"/>
  <c r="HV38" i="67"/>
  <c r="HN19" i="67"/>
  <c r="HN38" i="67"/>
  <c r="HF19" i="67"/>
  <c r="HF38" i="67"/>
  <c r="GX19" i="67"/>
  <c r="GX38" i="67"/>
  <c r="GP19" i="67"/>
  <c r="GP38" i="67"/>
  <c r="GH19" i="67"/>
  <c r="GH38" i="67"/>
  <c r="FZ19" i="67"/>
  <c r="FZ38" i="67"/>
  <c r="FR19" i="67"/>
  <c r="FR38" i="67"/>
  <c r="FJ19" i="67"/>
  <c r="FJ38" i="67"/>
  <c r="FB19" i="67"/>
  <c r="FB38" i="67"/>
  <c r="ET19" i="67"/>
  <c r="ET38" i="67"/>
  <c r="EL19" i="67"/>
  <c r="EL38" i="67"/>
  <c r="ED19" i="67"/>
  <c r="ED38" i="67"/>
  <c r="DV19" i="67"/>
  <c r="DV38" i="67"/>
  <c r="DN19" i="67"/>
  <c r="DN38" i="67"/>
  <c r="DF19" i="67"/>
  <c r="DF38" i="67"/>
  <c r="CX19" i="67"/>
  <c r="CX38" i="67"/>
  <c r="CP19" i="67"/>
  <c r="CP38" i="67"/>
  <c r="CH19" i="67"/>
  <c r="CH38" i="67"/>
  <c r="BZ19" i="67"/>
  <c r="BZ38" i="67"/>
  <c r="BR19" i="67"/>
  <c r="BR38" i="67"/>
  <c r="BJ19" i="67"/>
  <c r="BJ38" i="67"/>
  <c r="BB19" i="67"/>
  <c r="BB38" i="67"/>
  <c r="AT19" i="67"/>
  <c r="AT38" i="67"/>
  <c r="AL19" i="67"/>
  <c r="AL38" i="67"/>
  <c r="AD19" i="67"/>
  <c r="AD38" i="67"/>
  <c r="V19" i="67"/>
  <c r="V38" i="67"/>
  <c r="N19" i="67"/>
  <c r="N38" i="67"/>
  <c r="F19" i="67"/>
  <c r="F38" i="67"/>
  <c r="P34" i="67"/>
  <c r="P44" i="67"/>
  <c r="H34" i="67"/>
  <c r="H44" i="67"/>
  <c r="LS33" i="67"/>
  <c r="LS43" i="67"/>
  <c r="LK33" i="67"/>
  <c r="LK43" i="67"/>
  <c r="LC33" i="67"/>
  <c r="LC43" i="67"/>
  <c r="KU33" i="67"/>
  <c r="KU43" i="67"/>
  <c r="KM33" i="67"/>
  <c r="KM43" i="67"/>
  <c r="KE33" i="67"/>
  <c r="KE43" i="67"/>
  <c r="JW33" i="67"/>
  <c r="JW43" i="67"/>
  <c r="JO33" i="67"/>
  <c r="JO43" i="67"/>
  <c r="JG33" i="67"/>
  <c r="JG43" i="67"/>
  <c r="IY33" i="67"/>
  <c r="IY43" i="67"/>
  <c r="IQ33" i="67"/>
  <c r="IQ43" i="67"/>
  <c r="II33" i="67"/>
  <c r="II43" i="67"/>
  <c r="IA33" i="67"/>
  <c r="IA43" i="67"/>
  <c r="HS33" i="67"/>
  <c r="HS43" i="67"/>
  <c r="HK33" i="67"/>
  <c r="HK43" i="67"/>
  <c r="HC33" i="67"/>
  <c r="HC43" i="67"/>
  <c r="GU33" i="67"/>
  <c r="GU43" i="67"/>
  <c r="GM33" i="67"/>
  <c r="GM43" i="67"/>
  <c r="GE33" i="67"/>
  <c r="GE43" i="67"/>
  <c r="FW33" i="67"/>
  <c r="FW43" i="67"/>
  <c r="FO33" i="67"/>
  <c r="FO43" i="67"/>
  <c r="FG33" i="67"/>
  <c r="FG43" i="67"/>
  <c r="EY33" i="67"/>
  <c r="EY43" i="67"/>
  <c r="EQ33" i="67"/>
  <c r="EQ43" i="67"/>
  <c r="EI33" i="67"/>
  <c r="EI43" i="67"/>
  <c r="EA33" i="67"/>
  <c r="EA43" i="67"/>
  <c r="DS33" i="67"/>
  <c r="DS43" i="67"/>
  <c r="DK33" i="67"/>
  <c r="DK43" i="67"/>
  <c r="DC33" i="67"/>
  <c r="DC43" i="67"/>
  <c r="CU33" i="67"/>
  <c r="CU43" i="67"/>
  <c r="CM33" i="67"/>
  <c r="CM43" i="67"/>
  <c r="CE33" i="67"/>
  <c r="CE43" i="67"/>
  <c r="BW33" i="67"/>
  <c r="BW43" i="67"/>
  <c r="BO33" i="67"/>
  <c r="BO43" i="67"/>
  <c r="BG33" i="67"/>
  <c r="BG43" i="67"/>
  <c r="AY33" i="67"/>
  <c r="AY43" i="67"/>
  <c r="AQ33" i="67"/>
  <c r="AQ43" i="67"/>
  <c r="AI33" i="67"/>
  <c r="AI43" i="67"/>
  <c r="AA33" i="67"/>
  <c r="AA43" i="67"/>
  <c r="S33" i="67"/>
  <c r="S43" i="67"/>
  <c r="K33" i="67"/>
  <c r="K43" i="67"/>
  <c r="C33" i="67"/>
  <c r="C43" i="67"/>
  <c r="T30" i="67"/>
  <c r="T8" i="67"/>
  <c r="J28" i="67"/>
  <c r="J18" i="67"/>
  <c r="LX26" i="67"/>
  <c r="LX42" i="67"/>
  <c r="LP26" i="67"/>
  <c r="LP42" i="67"/>
  <c r="LH26" i="67"/>
  <c r="LH42" i="67"/>
  <c r="KZ26" i="67"/>
  <c r="KZ42" i="67"/>
  <c r="KR26" i="67"/>
  <c r="KR42" i="67"/>
  <c r="KJ26" i="67"/>
  <c r="KJ42" i="67"/>
  <c r="KB26" i="67"/>
  <c r="KB42" i="67"/>
  <c r="JT26" i="67"/>
  <c r="JT42" i="67"/>
  <c r="JL26" i="67"/>
  <c r="JL42" i="67"/>
  <c r="JD26" i="67"/>
  <c r="JD42" i="67"/>
  <c r="IV26" i="67"/>
  <c r="IV42" i="67"/>
  <c r="IN26" i="67"/>
  <c r="IN42" i="67"/>
  <c r="IF26" i="67"/>
  <c r="IF42" i="67"/>
  <c r="HX26" i="67"/>
  <c r="HX42" i="67"/>
  <c r="HP26" i="67"/>
  <c r="HP42" i="67"/>
  <c r="HH26" i="67"/>
  <c r="HH42" i="67"/>
  <c r="GZ26" i="67"/>
  <c r="GZ42" i="67"/>
  <c r="GR26" i="67"/>
  <c r="GR42" i="67"/>
  <c r="GJ26" i="67"/>
  <c r="GJ42" i="67"/>
  <c r="GB26" i="67"/>
  <c r="GB42" i="67"/>
  <c r="FT26" i="67"/>
  <c r="FT42" i="67"/>
  <c r="FL26" i="67"/>
  <c r="FL42" i="67"/>
  <c r="FD26" i="67"/>
  <c r="FD42" i="67"/>
  <c r="EV26" i="67"/>
  <c r="EV42" i="67"/>
  <c r="EN26" i="67"/>
  <c r="EN42" i="67"/>
  <c r="EF26" i="67"/>
  <c r="EF42" i="67"/>
  <c r="DX26" i="67"/>
  <c r="DX42" i="67"/>
  <c r="DP26" i="67"/>
  <c r="DP42" i="67"/>
  <c r="DH26" i="67"/>
  <c r="DH42" i="67"/>
  <c r="CZ26" i="67"/>
  <c r="CZ42" i="67"/>
  <c r="CR26" i="67"/>
  <c r="CR42" i="67"/>
  <c r="CJ26" i="67"/>
  <c r="CJ42" i="67"/>
  <c r="CB26" i="67"/>
  <c r="CB42" i="67"/>
  <c r="BT26" i="67"/>
  <c r="BT42" i="67"/>
  <c r="BL26" i="67"/>
  <c r="BL42" i="67"/>
  <c r="BD26" i="67"/>
  <c r="BD42" i="67"/>
  <c r="AV26" i="67"/>
  <c r="AV42" i="67"/>
  <c r="AN26" i="67"/>
  <c r="AN42" i="67"/>
  <c r="AF26" i="67"/>
  <c r="AF42" i="67"/>
  <c r="X26" i="67"/>
  <c r="X42" i="67"/>
  <c r="P26" i="67"/>
  <c r="P42" i="67"/>
  <c r="H26" i="67"/>
  <c r="H42" i="67"/>
  <c r="LT22" i="67"/>
  <c r="LT41" i="67"/>
  <c r="LL22" i="67"/>
  <c r="LL41" i="67"/>
  <c r="LD22" i="67"/>
  <c r="LD41" i="67"/>
  <c r="KV22" i="67"/>
  <c r="KV41" i="67"/>
  <c r="KN22" i="67"/>
  <c r="KN41" i="67"/>
  <c r="KF22" i="67"/>
  <c r="KF41" i="67"/>
  <c r="JX22" i="67"/>
  <c r="JX41" i="67"/>
  <c r="JP22" i="67"/>
  <c r="JP41" i="67"/>
  <c r="JH22" i="67"/>
  <c r="JH41" i="67"/>
  <c r="IZ22" i="67"/>
  <c r="IZ41" i="67"/>
  <c r="IR22" i="67"/>
  <c r="IR41" i="67"/>
  <c r="IJ22" i="67"/>
  <c r="IJ41" i="67"/>
  <c r="IB22" i="67"/>
  <c r="IB41" i="67"/>
  <c r="HT22" i="67"/>
  <c r="HT41" i="67"/>
  <c r="HL22" i="67"/>
  <c r="HL41" i="67"/>
  <c r="HD22" i="67"/>
  <c r="HD41" i="67"/>
  <c r="GV22" i="67"/>
  <c r="GV41" i="67"/>
  <c r="GN22" i="67"/>
  <c r="GN41" i="67"/>
  <c r="GF22" i="67"/>
  <c r="GF41" i="67"/>
  <c r="FX22" i="67"/>
  <c r="FX41" i="67"/>
  <c r="FP22" i="67"/>
  <c r="FP41" i="67"/>
  <c r="FH22" i="67"/>
  <c r="FH41" i="67"/>
  <c r="EZ22" i="67"/>
  <c r="EZ41" i="67"/>
  <c r="ER22" i="67"/>
  <c r="ER41" i="67"/>
  <c r="EJ22" i="67"/>
  <c r="EJ41" i="67"/>
  <c r="EB22" i="67"/>
  <c r="EB41" i="67"/>
  <c r="DT22" i="67"/>
  <c r="DT41" i="67"/>
  <c r="DL22" i="67"/>
  <c r="DL41" i="67"/>
  <c r="DD22" i="67"/>
  <c r="DD41" i="67"/>
  <c r="CV22" i="67"/>
  <c r="CV41" i="67"/>
  <c r="CN22" i="67"/>
  <c r="CN41" i="67"/>
  <c r="CF22" i="67"/>
  <c r="CF41" i="67"/>
  <c r="BX22" i="67"/>
  <c r="BX41" i="67"/>
  <c r="BP22" i="67"/>
  <c r="BP41" i="67"/>
  <c r="BH22" i="67"/>
  <c r="BH41" i="67"/>
  <c r="AZ22" i="67"/>
  <c r="AZ41" i="67"/>
  <c r="AR22" i="67"/>
  <c r="AR41" i="67"/>
  <c r="AJ22" i="67"/>
  <c r="AJ41" i="67"/>
  <c r="AB22" i="67"/>
  <c r="AB41" i="67"/>
  <c r="T22" i="67"/>
  <c r="T41" i="67"/>
  <c r="L22" i="67"/>
  <c r="L41" i="67"/>
  <c r="D22" i="67"/>
  <c r="D41" i="67"/>
  <c r="LW21" i="67"/>
  <c r="LW40" i="67"/>
  <c r="LO21" i="67"/>
  <c r="LO40" i="67"/>
  <c r="LG21" i="67"/>
  <c r="LG40" i="67"/>
  <c r="KY21" i="67"/>
  <c r="KY40" i="67"/>
  <c r="KQ21" i="67"/>
  <c r="KQ40" i="67"/>
  <c r="KI21" i="67"/>
  <c r="KI40" i="67"/>
  <c r="KA21" i="67"/>
  <c r="KA40" i="67"/>
  <c r="JS21" i="67"/>
  <c r="JS40" i="67"/>
  <c r="JK21" i="67"/>
  <c r="JK40" i="67"/>
  <c r="JC21" i="67"/>
  <c r="JC40" i="67"/>
  <c r="IU21" i="67"/>
  <c r="IU40" i="67"/>
  <c r="IM21" i="67"/>
  <c r="IM40" i="67"/>
  <c r="IE21" i="67"/>
  <c r="IE40" i="67"/>
  <c r="HW21" i="67"/>
  <c r="HW40" i="67"/>
  <c r="HO21" i="67"/>
  <c r="HO40" i="67"/>
  <c r="HG21" i="67"/>
  <c r="HG40" i="67"/>
  <c r="GY21" i="67"/>
  <c r="GY40" i="67"/>
  <c r="GQ21" i="67"/>
  <c r="GQ40" i="67"/>
  <c r="GI21" i="67"/>
  <c r="GI40" i="67"/>
  <c r="GA21" i="67"/>
  <c r="GA40" i="67"/>
  <c r="FS21" i="67"/>
  <c r="FS40" i="67"/>
  <c r="FK21" i="67"/>
  <c r="FK40" i="67"/>
  <c r="FC21" i="67"/>
  <c r="FC40" i="67"/>
  <c r="EU21" i="67"/>
  <c r="EU40" i="67"/>
  <c r="EM21" i="67"/>
  <c r="EM40" i="67"/>
  <c r="EE21" i="67"/>
  <c r="EE40" i="67"/>
  <c r="DW21" i="67"/>
  <c r="DW40" i="67"/>
  <c r="DO21" i="67"/>
  <c r="DO40" i="67"/>
  <c r="DG21" i="67"/>
  <c r="DG40" i="67"/>
  <c r="CY21" i="67"/>
  <c r="CY40" i="67"/>
  <c r="CQ21" i="67"/>
  <c r="CQ40" i="67"/>
  <c r="CI21" i="67"/>
  <c r="CI40" i="67"/>
  <c r="CA21" i="67"/>
  <c r="CA40" i="67"/>
  <c r="BS21" i="67"/>
  <c r="BS40" i="67"/>
  <c r="BK21" i="67"/>
  <c r="BK40" i="67"/>
  <c r="BC21" i="67"/>
  <c r="BC40" i="67"/>
  <c r="AU21" i="67"/>
  <c r="AU40" i="67"/>
  <c r="AM21" i="67"/>
  <c r="AM40" i="67"/>
  <c r="AE21" i="67"/>
  <c r="AE40" i="67"/>
  <c r="W21" i="67"/>
  <c r="W40" i="67"/>
  <c r="O21" i="67"/>
  <c r="O40" i="67"/>
  <c r="G21" i="67"/>
  <c r="G40" i="67"/>
  <c r="LZ20" i="67"/>
  <c r="LZ39" i="67"/>
  <c r="LR20" i="67"/>
  <c r="LR39" i="67"/>
  <c r="LJ20" i="67"/>
  <c r="LJ39" i="67"/>
  <c r="LB20" i="67"/>
  <c r="LB39" i="67"/>
  <c r="KT20" i="67"/>
  <c r="KT39" i="67"/>
  <c r="KL20" i="67"/>
  <c r="KL39" i="67"/>
  <c r="KD20" i="67"/>
  <c r="KD39" i="67"/>
  <c r="JV20" i="67"/>
  <c r="JV39" i="67"/>
  <c r="JN20" i="67"/>
  <c r="JN39" i="67"/>
  <c r="JF20" i="67"/>
  <c r="JF39" i="67"/>
  <c r="IX20" i="67"/>
  <c r="IX39" i="67"/>
  <c r="IP20" i="67"/>
  <c r="IP39" i="67"/>
  <c r="IH20" i="67"/>
  <c r="IH39" i="67"/>
  <c r="HZ20" i="67"/>
  <c r="HZ39" i="67"/>
  <c r="HR20" i="67"/>
  <c r="HR39" i="67"/>
  <c r="HJ20" i="67"/>
  <c r="HJ39" i="67"/>
  <c r="HB20" i="67"/>
  <c r="HB39" i="67"/>
  <c r="GT20" i="67"/>
  <c r="GT39" i="67"/>
  <c r="GL20" i="67"/>
  <c r="GL39" i="67"/>
  <c r="GD20" i="67"/>
  <c r="GD39" i="67"/>
  <c r="FV20" i="67"/>
  <c r="FV39" i="67"/>
  <c r="FN20" i="67"/>
  <c r="FN39" i="67"/>
  <c r="FF20" i="67"/>
  <c r="FF39" i="67"/>
  <c r="EX20" i="67"/>
  <c r="EX39" i="67"/>
  <c r="EP20" i="67"/>
  <c r="EP39" i="67"/>
  <c r="EH20" i="67"/>
  <c r="EH39" i="67"/>
  <c r="DZ20" i="67"/>
  <c r="DZ39" i="67"/>
  <c r="DR20" i="67"/>
  <c r="DR39" i="67"/>
  <c r="DJ20" i="67"/>
  <c r="DJ39" i="67"/>
  <c r="DB20" i="67"/>
  <c r="DB39" i="67"/>
  <c r="CT20" i="67"/>
  <c r="CT39" i="67"/>
  <c r="CL20" i="67"/>
  <c r="CL39" i="67"/>
  <c r="CD20" i="67"/>
  <c r="CD39" i="67"/>
  <c r="BV20" i="67"/>
  <c r="BV39" i="67"/>
  <c r="BN20" i="67"/>
  <c r="BN39" i="67"/>
  <c r="BF20" i="67"/>
  <c r="BF39" i="67"/>
  <c r="AX20" i="67"/>
  <c r="AX39" i="67"/>
  <c r="AP20" i="67"/>
  <c r="AP39" i="67"/>
  <c r="AH20" i="67"/>
  <c r="AH39" i="67"/>
  <c r="Z20" i="67"/>
  <c r="Z39" i="67"/>
  <c r="R20" i="67"/>
  <c r="R39" i="67"/>
  <c r="J20" i="67"/>
  <c r="J39" i="67"/>
  <c r="B20" i="67"/>
  <c r="B39" i="67"/>
  <c r="LU19" i="67"/>
  <c r="LU38" i="67"/>
  <c r="LM19" i="67"/>
  <c r="LM38" i="67"/>
  <c r="LE19" i="67"/>
  <c r="LE38" i="67"/>
  <c r="KW19" i="67"/>
  <c r="KW38" i="67"/>
  <c r="KO19" i="67"/>
  <c r="KO38" i="67"/>
  <c r="KG19" i="67"/>
  <c r="KG38" i="67"/>
  <c r="JY19" i="67"/>
  <c r="JY38" i="67"/>
  <c r="JQ19" i="67"/>
  <c r="JQ38" i="67"/>
  <c r="JI19" i="67"/>
  <c r="JI38" i="67"/>
  <c r="JA19" i="67"/>
  <c r="JA38" i="67"/>
  <c r="IS19" i="67"/>
  <c r="IS38" i="67"/>
  <c r="IK19" i="67"/>
  <c r="IK38" i="67"/>
  <c r="IC19" i="67"/>
  <c r="IC38" i="67"/>
  <c r="HU19" i="67"/>
  <c r="HU38" i="67"/>
  <c r="HM19" i="67"/>
  <c r="HM38" i="67"/>
  <c r="HE19" i="67"/>
  <c r="HE38" i="67"/>
  <c r="GW19" i="67"/>
  <c r="GW38" i="67"/>
  <c r="GO19" i="67"/>
  <c r="GO38" i="67"/>
  <c r="GG19" i="67"/>
  <c r="GG38" i="67"/>
  <c r="FY19" i="67"/>
  <c r="FY38" i="67"/>
  <c r="FQ19" i="67"/>
  <c r="FQ38" i="67"/>
  <c r="FI19" i="67"/>
  <c r="FI38" i="67"/>
  <c r="FA19" i="67"/>
  <c r="FA38" i="67"/>
  <c r="ES19" i="67"/>
  <c r="ES38" i="67"/>
  <c r="EK19" i="67"/>
  <c r="EK38" i="67"/>
  <c r="EC19" i="67"/>
  <c r="EC38" i="67"/>
  <c r="DU19" i="67"/>
  <c r="DU38" i="67"/>
  <c r="DM19" i="67"/>
  <c r="DM38" i="67"/>
  <c r="DE19" i="67"/>
  <c r="DE38" i="67"/>
  <c r="CW19" i="67"/>
  <c r="CW38" i="67"/>
  <c r="CO19" i="67"/>
  <c r="CO38" i="67"/>
  <c r="CG19" i="67"/>
  <c r="CG38" i="67"/>
  <c r="BY19" i="67"/>
  <c r="BY38" i="67"/>
  <c r="BQ19" i="67"/>
  <c r="BQ38" i="67"/>
  <c r="BI19" i="67"/>
  <c r="BI38" i="67"/>
  <c r="BA19" i="67"/>
  <c r="BA38" i="67"/>
  <c r="AS19" i="67"/>
  <c r="AS38" i="67"/>
  <c r="AK19" i="67"/>
  <c r="AK38" i="67"/>
  <c r="AC19" i="67"/>
  <c r="AC38" i="67"/>
  <c r="U19" i="67"/>
  <c r="U38" i="67"/>
  <c r="M19" i="67"/>
  <c r="M38" i="67"/>
  <c r="E19" i="67"/>
  <c r="E38" i="67"/>
  <c r="IZ35" i="67"/>
  <c r="IZ45" i="67"/>
  <c r="IR35" i="67"/>
  <c r="IR45" i="67"/>
  <c r="IJ35" i="67"/>
  <c r="IJ45" i="67"/>
  <c r="IB35" i="67"/>
  <c r="IB45" i="67"/>
  <c r="HT35" i="67"/>
  <c r="HT45" i="67"/>
  <c r="HL35" i="67"/>
  <c r="HL45" i="67"/>
  <c r="HD35" i="67"/>
  <c r="HD45" i="67"/>
  <c r="GV35" i="67"/>
  <c r="GV45" i="67"/>
  <c r="GN35" i="67"/>
  <c r="GN45" i="67"/>
  <c r="GF35" i="67"/>
  <c r="GF45" i="67"/>
  <c r="FX35" i="67"/>
  <c r="FX45" i="67"/>
  <c r="FP35" i="67"/>
  <c r="FP45" i="67"/>
  <c r="FH35" i="67"/>
  <c r="FH45" i="67"/>
  <c r="EZ35" i="67"/>
  <c r="EZ45" i="67"/>
  <c r="ER35" i="67"/>
  <c r="ER45" i="67"/>
  <c r="EJ35" i="67"/>
  <c r="EJ45" i="67"/>
  <c r="EB35" i="67"/>
  <c r="EB45" i="67"/>
  <c r="DT35" i="67"/>
  <c r="DT45" i="67"/>
  <c r="DL35" i="67"/>
  <c r="DL45" i="67"/>
  <c r="DD35" i="67"/>
  <c r="DD45" i="67"/>
  <c r="CV35" i="67"/>
  <c r="CV45" i="67"/>
  <c r="CN35" i="67"/>
  <c r="CN45" i="67"/>
  <c r="CF35" i="67"/>
  <c r="CF45" i="67"/>
  <c r="BX35" i="67"/>
  <c r="BX45" i="67"/>
  <c r="BP35" i="67"/>
  <c r="BP45" i="67"/>
  <c r="BH35" i="67"/>
  <c r="BH45" i="67"/>
  <c r="AZ35" i="67"/>
  <c r="AZ45" i="67"/>
  <c r="AR35" i="67"/>
  <c r="AR45" i="67"/>
  <c r="AJ35" i="67"/>
  <c r="AJ45" i="67"/>
  <c r="AB35" i="67"/>
  <c r="AB45" i="67"/>
  <c r="T35" i="67"/>
  <c r="T45" i="67"/>
  <c r="L35" i="67"/>
  <c r="L45" i="67"/>
  <c r="D35" i="67"/>
  <c r="D45" i="67"/>
  <c r="LW34" i="67"/>
  <c r="LW44" i="67"/>
  <c r="LO34" i="67"/>
  <c r="LO44" i="67"/>
  <c r="LG34" i="67"/>
  <c r="LG44" i="67"/>
  <c r="KY34" i="67"/>
  <c r="KY44" i="67"/>
  <c r="KQ34" i="67"/>
  <c r="KQ44" i="67"/>
  <c r="KI34" i="67"/>
  <c r="KI44" i="67"/>
  <c r="KA34" i="67"/>
  <c r="KA44" i="67"/>
  <c r="JS34" i="67"/>
  <c r="JS44" i="67"/>
  <c r="JK34" i="67"/>
  <c r="JK44" i="67"/>
  <c r="JC34" i="67"/>
  <c r="JC44" i="67"/>
  <c r="IU34" i="67"/>
  <c r="IU44" i="67"/>
  <c r="IM34" i="67"/>
  <c r="IM44" i="67"/>
  <c r="IE34" i="67"/>
  <c r="IE44" i="67"/>
  <c r="HW34" i="67"/>
  <c r="HW44" i="67"/>
  <c r="HO34" i="67"/>
  <c r="HO44" i="67"/>
  <c r="HG34" i="67"/>
  <c r="HG44" i="67"/>
  <c r="GY34" i="67"/>
  <c r="GY44" i="67"/>
  <c r="GQ34" i="67"/>
  <c r="GQ44" i="67"/>
  <c r="GI34" i="67"/>
  <c r="GI44" i="67"/>
  <c r="GA34" i="67"/>
  <c r="GA44" i="67"/>
  <c r="FS34" i="67"/>
  <c r="FS44" i="67"/>
  <c r="FK34" i="67"/>
  <c r="FK44" i="67"/>
  <c r="FC34" i="67"/>
  <c r="FC44" i="67"/>
  <c r="EU34" i="67"/>
  <c r="EU44" i="67"/>
  <c r="EM34" i="67"/>
  <c r="EM44" i="67"/>
  <c r="EE34" i="67"/>
  <c r="EE44" i="67"/>
  <c r="DW34" i="67"/>
  <c r="DW44" i="67"/>
  <c r="DO34" i="67"/>
  <c r="DO44" i="67"/>
  <c r="DG34" i="67"/>
  <c r="DG44" i="67"/>
  <c r="CY34" i="67"/>
  <c r="CY44" i="67"/>
  <c r="CQ34" i="67"/>
  <c r="CQ44" i="67"/>
  <c r="CI34" i="67"/>
  <c r="CI44" i="67"/>
  <c r="CA34" i="67"/>
  <c r="CA44" i="67"/>
  <c r="BS34" i="67"/>
  <c r="BS44" i="67"/>
  <c r="BK34" i="67"/>
  <c r="BK44" i="67"/>
  <c r="BC34" i="67"/>
  <c r="BC44" i="67"/>
  <c r="AU34" i="67"/>
  <c r="AU44" i="67"/>
  <c r="AM34" i="67"/>
  <c r="AM44" i="67"/>
  <c r="AE34" i="67"/>
  <c r="AE44" i="67"/>
  <c r="W34" i="67"/>
  <c r="W44" i="67"/>
  <c r="O34" i="67"/>
  <c r="O44" i="67"/>
  <c r="G34" i="67"/>
  <c r="G44" i="67"/>
  <c r="LZ33" i="67"/>
  <c r="LZ43" i="67"/>
  <c r="LR33" i="67"/>
  <c r="LR43" i="67"/>
  <c r="LJ33" i="67"/>
  <c r="LJ43" i="67"/>
  <c r="LB33" i="67"/>
  <c r="LB43" i="67"/>
  <c r="KT33" i="67"/>
  <c r="KT43" i="67"/>
  <c r="KL33" i="67"/>
  <c r="KL43" i="67"/>
  <c r="KD33" i="67"/>
  <c r="KD43" i="67"/>
  <c r="JV33" i="67"/>
  <c r="JV43" i="67"/>
  <c r="JN33" i="67"/>
  <c r="JN43" i="67"/>
  <c r="JF33" i="67"/>
  <c r="JF43" i="67"/>
  <c r="IX33" i="67"/>
  <c r="IX43" i="67"/>
  <c r="IP33" i="67"/>
  <c r="IP43" i="67"/>
  <c r="IH33" i="67"/>
  <c r="IH43" i="67"/>
  <c r="HZ33" i="67"/>
  <c r="HZ43" i="67"/>
  <c r="HR33" i="67"/>
  <c r="HR43" i="67"/>
  <c r="HJ33" i="67"/>
  <c r="HJ43" i="67"/>
  <c r="HB33" i="67"/>
  <c r="HB43" i="67"/>
  <c r="GT33" i="67"/>
  <c r="GT43" i="67"/>
  <c r="GL33" i="67"/>
  <c r="GL43" i="67"/>
  <c r="GD33" i="67"/>
  <c r="GD43" i="67"/>
  <c r="FV33" i="67"/>
  <c r="FV43" i="67"/>
  <c r="FN33" i="67"/>
  <c r="FN43" i="67"/>
  <c r="FF33" i="67"/>
  <c r="FF43" i="67"/>
  <c r="EX33" i="67"/>
  <c r="EX43" i="67"/>
  <c r="EP33" i="67"/>
  <c r="EP43" i="67"/>
  <c r="EH33" i="67"/>
  <c r="EH43" i="67"/>
  <c r="DZ33" i="67"/>
  <c r="DZ43" i="67"/>
  <c r="DR33" i="67"/>
  <c r="DR43" i="67"/>
  <c r="DJ33" i="67"/>
  <c r="DJ43" i="67"/>
  <c r="DB33" i="67"/>
  <c r="DB43" i="67"/>
  <c r="CT33" i="67"/>
  <c r="CT43" i="67"/>
  <c r="CL33" i="67"/>
  <c r="CL43" i="67"/>
  <c r="CD33" i="67"/>
  <c r="CD43" i="67"/>
  <c r="BV33" i="67"/>
  <c r="BV43" i="67"/>
  <c r="BN33" i="67"/>
  <c r="BN43" i="67"/>
  <c r="BF33" i="67"/>
  <c r="BF43" i="67"/>
  <c r="AX33" i="67"/>
  <c r="AX43" i="67"/>
  <c r="AP33" i="67"/>
  <c r="AP43" i="67"/>
  <c r="AH33" i="67"/>
  <c r="AH43" i="67"/>
  <c r="Z33" i="67"/>
  <c r="Z43" i="67"/>
  <c r="R33" i="67"/>
  <c r="R43" i="67"/>
  <c r="J33" i="67"/>
  <c r="J43" i="67"/>
  <c r="B33" i="67"/>
  <c r="B43" i="67"/>
  <c r="I28" i="67"/>
  <c r="I18" i="67"/>
  <c r="LW26" i="67"/>
  <c r="LW42" i="67"/>
  <c r="LO26" i="67"/>
  <c r="LO42" i="67"/>
  <c r="LG26" i="67"/>
  <c r="LG42" i="67"/>
  <c r="KY26" i="67"/>
  <c r="KY42" i="67"/>
  <c r="KQ26" i="67"/>
  <c r="KQ42" i="67"/>
  <c r="KI26" i="67"/>
  <c r="KI42" i="67"/>
  <c r="KA26" i="67"/>
  <c r="KA42" i="67"/>
  <c r="JS26" i="67"/>
  <c r="JS42" i="67"/>
  <c r="JK26" i="67"/>
  <c r="JK42" i="67"/>
  <c r="JC26" i="67"/>
  <c r="JC42" i="67"/>
  <c r="IU26" i="67"/>
  <c r="IU42" i="67"/>
  <c r="IM26" i="67"/>
  <c r="IM42" i="67"/>
  <c r="IE26" i="67"/>
  <c r="IE42" i="67"/>
  <c r="HW26" i="67"/>
  <c r="HW42" i="67"/>
  <c r="HO26" i="67"/>
  <c r="HO42" i="67"/>
  <c r="HG26" i="67"/>
  <c r="HG42" i="67"/>
  <c r="GY26" i="67"/>
  <c r="GY42" i="67"/>
  <c r="GQ26" i="67"/>
  <c r="GQ42" i="67"/>
  <c r="GI26" i="67"/>
  <c r="GI42" i="67"/>
  <c r="GA26" i="67"/>
  <c r="GA42" i="67"/>
  <c r="FS26" i="67"/>
  <c r="FS42" i="67"/>
  <c r="FK26" i="67"/>
  <c r="FK42" i="67"/>
  <c r="FC26" i="67"/>
  <c r="FC42" i="67"/>
  <c r="EU26" i="67"/>
  <c r="EU42" i="67"/>
  <c r="EM26" i="67"/>
  <c r="EM42" i="67"/>
  <c r="EE26" i="67"/>
  <c r="EE42" i="67"/>
  <c r="DW26" i="67"/>
  <c r="DW42" i="67"/>
  <c r="DO26" i="67"/>
  <c r="DO42" i="67"/>
  <c r="DG26" i="67"/>
  <c r="DG42" i="67"/>
  <c r="CY26" i="67"/>
  <c r="CY42" i="67"/>
  <c r="CQ26" i="67"/>
  <c r="CQ42" i="67"/>
  <c r="CI26" i="67"/>
  <c r="CI42" i="67"/>
  <c r="CA26" i="67"/>
  <c r="CA42" i="67"/>
  <c r="BS26" i="67"/>
  <c r="BS42" i="67"/>
  <c r="BK26" i="67"/>
  <c r="BK42" i="67"/>
  <c r="BC26" i="67"/>
  <c r="BC42" i="67"/>
  <c r="AU26" i="67"/>
  <c r="AU42" i="67"/>
  <c r="AM26" i="67"/>
  <c r="AM42" i="67"/>
  <c r="AE26" i="67"/>
  <c r="AE42" i="67"/>
  <c r="W26" i="67"/>
  <c r="W42" i="67"/>
  <c r="O26" i="67"/>
  <c r="O42" i="67"/>
  <c r="G26" i="67"/>
  <c r="G42" i="67"/>
  <c r="MA22" i="67"/>
  <c r="MA41" i="67"/>
  <c r="LS22" i="67"/>
  <c r="LS41" i="67"/>
  <c r="LK22" i="67"/>
  <c r="LK41" i="67"/>
  <c r="LC22" i="67"/>
  <c r="LC41" i="67"/>
  <c r="KU22" i="67"/>
  <c r="KU41" i="67"/>
  <c r="KM22" i="67"/>
  <c r="KM41" i="67"/>
  <c r="KE22" i="67"/>
  <c r="KE41" i="67"/>
  <c r="JW22" i="67"/>
  <c r="JW41" i="67"/>
  <c r="JO22" i="67"/>
  <c r="JO41" i="67"/>
  <c r="JG22" i="67"/>
  <c r="JG41" i="67"/>
  <c r="IY22" i="67"/>
  <c r="IY41" i="67"/>
  <c r="IQ22" i="67"/>
  <c r="IQ41" i="67"/>
  <c r="II22" i="67"/>
  <c r="II41" i="67"/>
  <c r="IA22" i="67"/>
  <c r="IA41" i="67"/>
  <c r="HS22" i="67"/>
  <c r="HS41" i="67"/>
  <c r="HK22" i="67"/>
  <c r="HK41" i="67"/>
  <c r="HC22" i="67"/>
  <c r="HC41" i="67"/>
  <c r="GU22" i="67"/>
  <c r="GU41" i="67"/>
  <c r="GM22" i="67"/>
  <c r="GM41" i="67"/>
  <c r="GE22" i="67"/>
  <c r="GE41" i="67"/>
  <c r="FW22" i="67"/>
  <c r="FW41" i="67"/>
  <c r="FO22" i="67"/>
  <c r="FO41" i="67"/>
  <c r="FG22" i="67"/>
  <c r="FG41" i="67"/>
  <c r="EY22" i="67"/>
  <c r="EY41" i="67"/>
  <c r="EQ22" i="67"/>
  <c r="EQ41" i="67"/>
  <c r="EI22" i="67"/>
  <c r="EI41" i="67"/>
  <c r="EA22" i="67"/>
  <c r="EA41" i="67"/>
  <c r="DS22" i="67"/>
  <c r="DS41" i="67"/>
  <c r="DK22" i="67"/>
  <c r="DK41" i="67"/>
  <c r="DC22" i="67"/>
  <c r="DC41" i="67"/>
  <c r="CU22" i="67"/>
  <c r="CU41" i="67"/>
  <c r="CM22" i="67"/>
  <c r="CM41" i="67"/>
  <c r="CE22" i="67"/>
  <c r="CE41" i="67"/>
  <c r="BW22" i="67"/>
  <c r="BW41" i="67"/>
  <c r="BO22" i="67"/>
  <c r="BO41" i="67"/>
  <c r="BG22" i="67"/>
  <c r="BG41" i="67"/>
  <c r="AY22" i="67"/>
  <c r="AY41" i="67"/>
  <c r="AQ22" i="67"/>
  <c r="AQ41" i="67"/>
  <c r="AI22" i="67"/>
  <c r="AI41" i="67"/>
  <c r="AA22" i="67"/>
  <c r="AA41" i="67"/>
  <c r="S22" i="67"/>
  <c r="S41" i="67"/>
  <c r="K22" i="67"/>
  <c r="K41" i="67"/>
  <c r="C22" i="67"/>
  <c r="C41" i="67"/>
  <c r="LV21" i="67"/>
  <c r="LV40" i="67"/>
  <c r="LN21" i="67"/>
  <c r="LN40" i="67"/>
  <c r="LF21" i="67"/>
  <c r="LF40" i="67"/>
  <c r="KX21" i="67"/>
  <c r="KX40" i="67"/>
  <c r="KP21" i="67"/>
  <c r="KP40" i="67"/>
  <c r="KH21" i="67"/>
  <c r="KH40" i="67"/>
  <c r="JZ21" i="67"/>
  <c r="JZ40" i="67"/>
  <c r="JR21" i="67"/>
  <c r="JR40" i="67"/>
  <c r="JJ21" i="67"/>
  <c r="JJ40" i="67"/>
  <c r="JB21" i="67"/>
  <c r="JB40" i="67"/>
  <c r="IT21" i="67"/>
  <c r="IT40" i="67"/>
  <c r="IL21" i="67"/>
  <c r="IL40" i="67"/>
  <c r="ID21" i="67"/>
  <c r="ID40" i="67"/>
  <c r="HV21" i="67"/>
  <c r="HV40" i="67"/>
  <c r="HN21" i="67"/>
  <c r="HN40" i="67"/>
  <c r="HF21" i="67"/>
  <c r="HF40" i="67"/>
  <c r="GX21" i="67"/>
  <c r="GX40" i="67"/>
  <c r="GP21" i="67"/>
  <c r="GP40" i="67"/>
  <c r="GH21" i="67"/>
  <c r="GH40" i="67"/>
  <c r="FZ21" i="67"/>
  <c r="FZ40" i="67"/>
  <c r="FR21" i="67"/>
  <c r="FR40" i="67"/>
  <c r="FJ21" i="67"/>
  <c r="FJ40" i="67"/>
  <c r="FB21" i="67"/>
  <c r="FB40" i="67"/>
  <c r="ET21" i="67"/>
  <c r="ET40" i="67"/>
  <c r="EL21" i="67"/>
  <c r="EL40" i="67"/>
  <c r="ED21" i="67"/>
  <c r="ED40" i="67"/>
  <c r="DV21" i="67"/>
  <c r="DV40" i="67"/>
  <c r="DN21" i="67"/>
  <c r="DN40" i="67"/>
  <c r="DF21" i="67"/>
  <c r="DF40" i="67"/>
  <c r="CX21" i="67"/>
  <c r="CX40" i="67"/>
  <c r="CP21" i="67"/>
  <c r="CP40" i="67"/>
  <c r="CH21" i="67"/>
  <c r="CH40" i="67"/>
  <c r="BZ21" i="67"/>
  <c r="BZ40" i="67"/>
  <c r="BR21" i="67"/>
  <c r="BR40" i="67"/>
  <c r="BJ21" i="67"/>
  <c r="BJ40" i="67"/>
  <c r="BB21" i="67"/>
  <c r="BB40" i="67"/>
  <c r="AT21" i="67"/>
  <c r="AT40" i="67"/>
  <c r="AL21" i="67"/>
  <c r="AL40" i="67"/>
  <c r="AD21" i="67"/>
  <c r="AD40" i="67"/>
  <c r="N21" i="67"/>
  <c r="N40" i="67"/>
  <c r="F21" i="67"/>
  <c r="F40" i="67"/>
  <c r="LY20" i="67"/>
  <c r="LY39" i="67"/>
  <c r="LQ20" i="67"/>
  <c r="LQ39" i="67"/>
  <c r="LI20" i="67"/>
  <c r="LI39" i="67"/>
  <c r="LA20" i="67"/>
  <c r="LA39" i="67"/>
  <c r="KS20" i="67"/>
  <c r="KS39" i="67"/>
  <c r="KK20" i="67"/>
  <c r="KK39" i="67"/>
  <c r="KC20" i="67"/>
  <c r="KC39" i="67"/>
  <c r="JU20" i="67"/>
  <c r="JU39" i="67"/>
  <c r="JM20" i="67"/>
  <c r="JM39" i="67"/>
  <c r="JE20" i="67"/>
  <c r="JE39" i="67"/>
  <c r="IW20" i="67"/>
  <c r="IW39" i="67"/>
  <c r="IO20" i="67"/>
  <c r="IO39" i="67"/>
  <c r="IG20" i="67"/>
  <c r="IG39" i="67"/>
  <c r="HY20" i="67"/>
  <c r="HY39" i="67"/>
  <c r="HQ20" i="67"/>
  <c r="HQ39" i="67"/>
  <c r="HI20" i="67"/>
  <c r="HI39" i="67"/>
  <c r="HA20" i="67"/>
  <c r="HA39" i="67"/>
  <c r="GS20" i="67"/>
  <c r="GS39" i="67"/>
  <c r="GK20" i="67"/>
  <c r="GK39" i="67"/>
  <c r="GC20" i="67"/>
  <c r="GC39" i="67"/>
  <c r="FU20" i="67"/>
  <c r="FU39" i="67"/>
  <c r="FM20" i="67"/>
  <c r="FM39" i="67"/>
  <c r="FE20" i="67"/>
  <c r="FE39" i="67"/>
  <c r="EW20" i="67"/>
  <c r="EW39" i="67"/>
  <c r="EO20" i="67"/>
  <c r="EO39" i="67"/>
  <c r="EG20" i="67"/>
  <c r="EG39" i="67"/>
  <c r="DY20" i="67"/>
  <c r="DY39" i="67"/>
  <c r="DQ20" i="67"/>
  <c r="DQ39" i="67"/>
  <c r="DI20" i="67"/>
  <c r="DI39" i="67"/>
  <c r="DA20" i="67"/>
  <c r="DA39" i="67"/>
  <c r="CS20" i="67"/>
  <c r="CS39" i="67"/>
  <c r="CK20" i="67"/>
  <c r="CK39" i="67"/>
  <c r="CC20" i="67"/>
  <c r="CC39" i="67"/>
  <c r="BU20" i="67"/>
  <c r="BU39" i="67"/>
  <c r="BM20" i="67"/>
  <c r="BM39" i="67"/>
  <c r="BE20" i="67"/>
  <c r="BE39" i="67"/>
  <c r="AW20" i="67"/>
  <c r="AW39" i="67"/>
  <c r="AO20" i="67"/>
  <c r="AO39" i="67"/>
  <c r="AG20" i="67"/>
  <c r="AG39" i="67"/>
  <c r="Y20" i="67"/>
  <c r="Y39" i="67"/>
  <c r="Q20" i="67"/>
  <c r="Q39" i="67"/>
  <c r="I20" i="67"/>
  <c r="I39" i="67"/>
  <c r="A20" i="67"/>
  <c r="A39" i="67"/>
  <c r="LT19" i="67"/>
  <c r="LT38" i="67"/>
  <c r="LL19" i="67"/>
  <c r="LL38" i="67"/>
  <c r="LD19" i="67"/>
  <c r="LD38" i="67"/>
  <c r="KV19" i="67"/>
  <c r="KV38" i="67"/>
  <c r="KN19" i="67"/>
  <c r="KN38" i="67"/>
  <c r="KF19" i="67"/>
  <c r="KF38" i="67"/>
  <c r="JX19" i="67"/>
  <c r="JX38" i="67"/>
  <c r="JP19" i="67"/>
  <c r="JP38" i="67"/>
  <c r="JH19" i="67"/>
  <c r="JH38" i="67"/>
  <c r="IZ19" i="67"/>
  <c r="IZ38" i="67"/>
  <c r="IR19" i="67"/>
  <c r="IR38" i="67"/>
  <c r="IJ19" i="67"/>
  <c r="IJ38" i="67"/>
  <c r="IB19" i="67"/>
  <c r="IB38" i="67"/>
  <c r="HT19" i="67"/>
  <c r="HT38" i="67"/>
  <c r="HL19" i="67"/>
  <c r="HL38" i="67"/>
  <c r="HD19" i="67"/>
  <c r="HD38" i="67"/>
  <c r="GV19" i="67"/>
  <c r="GV38" i="67"/>
  <c r="GN19" i="67"/>
  <c r="GN38" i="67"/>
  <c r="GF19" i="67"/>
  <c r="GF38" i="67"/>
  <c r="FX19" i="67"/>
  <c r="FX38" i="67"/>
  <c r="FP19" i="67"/>
  <c r="FP38" i="67"/>
  <c r="FH19" i="67"/>
  <c r="FH38" i="67"/>
  <c r="EZ19" i="67"/>
  <c r="EZ38" i="67"/>
  <c r="ER19" i="67"/>
  <c r="ER38" i="67"/>
  <c r="EJ19" i="67"/>
  <c r="EJ38" i="67"/>
  <c r="EB19" i="67"/>
  <c r="EB38" i="67"/>
  <c r="DT19" i="67"/>
  <c r="DT38" i="67"/>
  <c r="DL19" i="67"/>
  <c r="DL38" i="67"/>
  <c r="DD19" i="67"/>
  <c r="DD38" i="67"/>
  <c r="CV19" i="67"/>
  <c r="CV38" i="67"/>
  <c r="CN19" i="67"/>
  <c r="CN38" i="67"/>
  <c r="CF19" i="67"/>
  <c r="CF38" i="67"/>
  <c r="BX19" i="67"/>
  <c r="BX38" i="67"/>
  <c r="BP19" i="67"/>
  <c r="BP38" i="67"/>
  <c r="BH19" i="67"/>
  <c r="BH38" i="67"/>
  <c r="AZ19" i="67"/>
  <c r="AZ38" i="67"/>
  <c r="AR19" i="67"/>
  <c r="AR38" i="67"/>
  <c r="AJ19" i="67"/>
  <c r="AJ38" i="67"/>
  <c r="AB19" i="67"/>
  <c r="AB38" i="67"/>
  <c r="T19" i="67"/>
  <c r="T38" i="67"/>
  <c r="L19" i="67"/>
  <c r="L38" i="67"/>
  <c r="D19" i="67"/>
  <c r="D38" i="67"/>
  <c r="GM35" i="67"/>
  <c r="GM45" i="67"/>
  <c r="GE35" i="67"/>
  <c r="GE45" i="67"/>
  <c r="FW35" i="67"/>
  <c r="FW45" i="67"/>
  <c r="FO35" i="67"/>
  <c r="FO45" i="67"/>
  <c r="FG35" i="67"/>
  <c r="FG45" i="67"/>
  <c r="EY35" i="67"/>
  <c r="EY45" i="67"/>
  <c r="EQ35" i="67"/>
  <c r="EQ45" i="67"/>
  <c r="EI35" i="67"/>
  <c r="EI45" i="67"/>
  <c r="EA35" i="67"/>
  <c r="EA45" i="67"/>
  <c r="DS35" i="67"/>
  <c r="DS45" i="67"/>
  <c r="DK35" i="67"/>
  <c r="DK45" i="67"/>
  <c r="DC35" i="67"/>
  <c r="DC45" i="67"/>
  <c r="CU35" i="67"/>
  <c r="CU45" i="67"/>
  <c r="CM35" i="67"/>
  <c r="CM45" i="67"/>
  <c r="CE35" i="67"/>
  <c r="CE45" i="67"/>
  <c r="BW35" i="67"/>
  <c r="BW45" i="67"/>
  <c r="BO35" i="67"/>
  <c r="BO45" i="67"/>
  <c r="BG35" i="67"/>
  <c r="BG45" i="67"/>
  <c r="AY35" i="67"/>
  <c r="AY45" i="67"/>
  <c r="AQ35" i="67"/>
  <c r="AQ45" i="67"/>
  <c r="AI35" i="67"/>
  <c r="AI45" i="67"/>
  <c r="AA35" i="67"/>
  <c r="AA45" i="67"/>
  <c r="S35" i="67"/>
  <c r="S45" i="67"/>
  <c r="K35" i="67"/>
  <c r="K45" i="67"/>
  <c r="C35" i="67"/>
  <c r="C45" i="67"/>
  <c r="LV34" i="67"/>
  <c r="LV44" i="67"/>
  <c r="LN34" i="67"/>
  <c r="LN44" i="67"/>
  <c r="LF34" i="67"/>
  <c r="LF44" i="67"/>
  <c r="KX34" i="67"/>
  <c r="KX44" i="67"/>
  <c r="KP34" i="67"/>
  <c r="KP44" i="67"/>
  <c r="KH34" i="67"/>
  <c r="KH44" i="67"/>
  <c r="JZ34" i="67"/>
  <c r="JZ44" i="67"/>
  <c r="JR34" i="67"/>
  <c r="JR44" i="67"/>
  <c r="JJ34" i="67"/>
  <c r="JJ44" i="67"/>
  <c r="JB34" i="67"/>
  <c r="JB44" i="67"/>
  <c r="IT34" i="67"/>
  <c r="IT44" i="67"/>
  <c r="IL34" i="67"/>
  <c r="IL44" i="67"/>
  <c r="ID34" i="67"/>
  <c r="ID44" i="67"/>
  <c r="HV34" i="67"/>
  <c r="HV44" i="67"/>
  <c r="HN34" i="67"/>
  <c r="HN44" i="67"/>
  <c r="HF34" i="67"/>
  <c r="HF44" i="67"/>
  <c r="GX34" i="67"/>
  <c r="GX44" i="67"/>
  <c r="GP34" i="67"/>
  <c r="GP44" i="67"/>
  <c r="GH34" i="67"/>
  <c r="GH44" i="67"/>
  <c r="FZ34" i="67"/>
  <c r="FZ44" i="67"/>
  <c r="FR34" i="67"/>
  <c r="FR44" i="67"/>
  <c r="FJ34" i="67"/>
  <c r="FJ44" i="67"/>
  <c r="FB34" i="67"/>
  <c r="FB44" i="67"/>
  <c r="ET34" i="67"/>
  <c r="ET44" i="67"/>
  <c r="EL34" i="67"/>
  <c r="EL44" i="67"/>
  <c r="ED34" i="67"/>
  <c r="ED44" i="67"/>
  <c r="DV34" i="67"/>
  <c r="DV44" i="67"/>
  <c r="DN34" i="67"/>
  <c r="DN44" i="67"/>
  <c r="DF34" i="67"/>
  <c r="DF44" i="67"/>
  <c r="CX34" i="67"/>
  <c r="CX44" i="67"/>
  <c r="CP34" i="67"/>
  <c r="CP44" i="67"/>
  <c r="CH34" i="67"/>
  <c r="CH44" i="67"/>
  <c r="BZ34" i="67"/>
  <c r="BZ44" i="67"/>
  <c r="BR34" i="67"/>
  <c r="BR44" i="67"/>
  <c r="BJ34" i="67"/>
  <c r="BJ44" i="67"/>
  <c r="BB34" i="67"/>
  <c r="BB44" i="67"/>
  <c r="AT34" i="67"/>
  <c r="AT44" i="67"/>
  <c r="AL34" i="67"/>
  <c r="AL44" i="67"/>
  <c r="AD34" i="67"/>
  <c r="AD44" i="67"/>
  <c r="V34" i="67"/>
  <c r="V44" i="67"/>
  <c r="N34" i="67"/>
  <c r="N44" i="67"/>
  <c r="F34" i="67"/>
  <c r="F44" i="67"/>
  <c r="LY33" i="67"/>
  <c r="LY43" i="67"/>
  <c r="LQ33" i="67"/>
  <c r="LQ43" i="67"/>
  <c r="LI33" i="67"/>
  <c r="LI43" i="67"/>
  <c r="LA33" i="67"/>
  <c r="LA43" i="67"/>
  <c r="KS33" i="67"/>
  <c r="KS43" i="67"/>
  <c r="KK33" i="67"/>
  <c r="KK43" i="67"/>
  <c r="KC33" i="67"/>
  <c r="KC43" i="67"/>
  <c r="JU33" i="67"/>
  <c r="JU43" i="67"/>
  <c r="JM33" i="67"/>
  <c r="JM43" i="67"/>
  <c r="JE33" i="67"/>
  <c r="JE43" i="67"/>
  <c r="IW33" i="67"/>
  <c r="IW43" i="67"/>
  <c r="IO33" i="67"/>
  <c r="IO43" i="67"/>
  <c r="IG33" i="67"/>
  <c r="IG43" i="67"/>
  <c r="HY33" i="67"/>
  <c r="HY43" i="67"/>
  <c r="HQ33" i="67"/>
  <c r="HQ43" i="67"/>
  <c r="HI33" i="67"/>
  <c r="HI43" i="67"/>
  <c r="HA33" i="67"/>
  <c r="HA43" i="67"/>
  <c r="GS33" i="67"/>
  <c r="GS43" i="67"/>
  <c r="GK33" i="67"/>
  <c r="GK43" i="67"/>
  <c r="GC33" i="67"/>
  <c r="GC43" i="67"/>
  <c r="FU33" i="67"/>
  <c r="FU43" i="67"/>
  <c r="FM33" i="67"/>
  <c r="FM43" i="67"/>
  <c r="FE33" i="67"/>
  <c r="FE43" i="67"/>
  <c r="EW33" i="67"/>
  <c r="EW43" i="67"/>
  <c r="EO33" i="67"/>
  <c r="EO43" i="67"/>
  <c r="EG33" i="67"/>
  <c r="EG43" i="67"/>
  <c r="DY33" i="67"/>
  <c r="DY43" i="67"/>
  <c r="DQ33" i="67"/>
  <c r="DQ43" i="67"/>
  <c r="DI33" i="67"/>
  <c r="DI43" i="67"/>
  <c r="DA33" i="67"/>
  <c r="DA43" i="67"/>
  <c r="CS33" i="67"/>
  <c r="CS43" i="67"/>
  <c r="CK33" i="67"/>
  <c r="CK43" i="67"/>
  <c r="CC33" i="67"/>
  <c r="CC43" i="67"/>
  <c r="BU33" i="67"/>
  <c r="BU43" i="67"/>
  <c r="BM33" i="67"/>
  <c r="BM43" i="67"/>
  <c r="BE33" i="67"/>
  <c r="BE43" i="67"/>
  <c r="AW33" i="67"/>
  <c r="AW43" i="67"/>
  <c r="AO33" i="67"/>
  <c r="AO43" i="67"/>
  <c r="AG33" i="67"/>
  <c r="AG43" i="67"/>
  <c r="Y33" i="67"/>
  <c r="Y43" i="67"/>
  <c r="Q33" i="67"/>
  <c r="Q43" i="67"/>
  <c r="I33" i="67"/>
  <c r="I43" i="67"/>
  <c r="A33" i="67"/>
  <c r="A43" i="67"/>
  <c r="J30" i="67"/>
  <c r="J8" i="67"/>
  <c r="LV26" i="67"/>
  <c r="LV42" i="67"/>
  <c r="LN26" i="67"/>
  <c r="LN42" i="67"/>
  <c r="LF26" i="67"/>
  <c r="LF42" i="67"/>
  <c r="KX26" i="67"/>
  <c r="KX42" i="67"/>
  <c r="KP26" i="67"/>
  <c r="KP42" i="67"/>
  <c r="KH26" i="67"/>
  <c r="KH42" i="67"/>
  <c r="JZ26" i="67"/>
  <c r="JZ42" i="67"/>
  <c r="JR26" i="67"/>
  <c r="JR42" i="67"/>
  <c r="JJ26" i="67"/>
  <c r="JJ42" i="67"/>
  <c r="JB26" i="67"/>
  <c r="JB42" i="67"/>
  <c r="IT26" i="67"/>
  <c r="IT42" i="67"/>
  <c r="IL26" i="67"/>
  <c r="IL42" i="67"/>
  <c r="ID26" i="67"/>
  <c r="ID42" i="67"/>
  <c r="HV26" i="67"/>
  <c r="HV42" i="67"/>
  <c r="HN26" i="67"/>
  <c r="HN42" i="67"/>
  <c r="HF26" i="67"/>
  <c r="HF42" i="67"/>
  <c r="GX26" i="67"/>
  <c r="GX42" i="67"/>
  <c r="GP26" i="67"/>
  <c r="GP42" i="67"/>
  <c r="GH26" i="67"/>
  <c r="GH42" i="67"/>
  <c r="FZ26" i="67"/>
  <c r="FZ42" i="67"/>
  <c r="FR26" i="67"/>
  <c r="FR42" i="67"/>
  <c r="FJ26" i="67"/>
  <c r="FJ42" i="67"/>
  <c r="FB26" i="67"/>
  <c r="FB42" i="67"/>
  <c r="ET26" i="67"/>
  <c r="ET42" i="67"/>
  <c r="EL26" i="67"/>
  <c r="EL42" i="67"/>
  <c r="ED26" i="67"/>
  <c r="ED42" i="67"/>
  <c r="DV26" i="67"/>
  <c r="DV42" i="67"/>
  <c r="DN26" i="67"/>
  <c r="DN42" i="67"/>
  <c r="DF26" i="67"/>
  <c r="DF42" i="67"/>
  <c r="CX26" i="67"/>
  <c r="CX42" i="67"/>
  <c r="CP26" i="67"/>
  <c r="CP42" i="67"/>
  <c r="CH26" i="67"/>
  <c r="CH42" i="67"/>
  <c r="BZ26" i="67"/>
  <c r="BZ42" i="67"/>
  <c r="BR26" i="67"/>
  <c r="BR42" i="67"/>
  <c r="BJ26" i="67"/>
  <c r="BJ42" i="67"/>
  <c r="BB26" i="67"/>
  <c r="BB42" i="67"/>
  <c r="AT26" i="67"/>
  <c r="AT42" i="67"/>
  <c r="AL26" i="67"/>
  <c r="AL42" i="67"/>
  <c r="AD26" i="67"/>
  <c r="AD42" i="67"/>
  <c r="V26" i="67"/>
  <c r="V42" i="67"/>
  <c r="N26" i="67"/>
  <c r="N42" i="67"/>
  <c r="F26" i="67"/>
  <c r="F42" i="67"/>
  <c r="LZ22" i="67"/>
  <c r="LZ41" i="67"/>
  <c r="LR22" i="67"/>
  <c r="LR41" i="67"/>
  <c r="LJ22" i="67"/>
  <c r="LJ41" i="67"/>
  <c r="LB22" i="67"/>
  <c r="LB41" i="67"/>
  <c r="KT22" i="67"/>
  <c r="KT41" i="67"/>
  <c r="KL22" i="67"/>
  <c r="KL41" i="67"/>
  <c r="KD22" i="67"/>
  <c r="KD41" i="67"/>
  <c r="JV22" i="67"/>
  <c r="JV41" i="67"/>
  <c r="JN22" i="67"/>
  <c r="JN41" i="67"/>
  <c r="JF22" i="67"/>
  <c r="JF41" i="67"/>
  <c r="IX22" i="67"/>
  <c r="IX41" i="67"/>
  <c r="IP22" i="67"/>
  <c r="IP41" i="67"/>
  <c r="IH22" i="67"/>
  <c r="IH41" i="67"/>
  <c r="HZ22" i="67"/>
  <c r="HZ41" i="67"/>
  <c r="HR22" i="67"/>
  <c r="HR41" i="67"/>
  <c r="HJ22" i="67"/>
  <c r="HJ41" i="67"/>
  <c r="HB22" i="67"/>
  <c r="HB41" i="67"/>
  <c r="GT22" i="67"/>
  <c r="GT41" i="67"/>
  <c r="GL22" i="67"/>
  <c r="GL41" i="67"/>
  <c r="GD22" i="67"/>
  <c r="GD41" i="67"/>
  <c r="FV22" i="67"/>
  <c r="FV41" i="67"/>
  <c r="FN22" i="67"/>
  <c r="FN41" i="67"/>
  <c r="FF22" i="67"/>
  <c r="FF41" i="67"/>
  <c r="EX22" i="67"/>
  <c r="EX41" i="67"/>
  <c r="EP22" i="67"/>
  <c r="EP41" i="67"/>
  <c r="EH22" i="67"/>
  <c r="EH41" i="67"/>
  <c r="DZ22" i="67"/>
  <c r="DZ41" i="67"/>
  <c r="DR22" i="67"/>
  <c r="DR41" i="67"/>
  <c r="DJ22" i="67"/>
  <c r="DJ41" i="67"/>
  <c r="DB22" i="67"/>
  <c r="DB41" i="67"/>
  <c r="CT22" i="67"/>
  <c r="CT41" i="67"/>
  <c r="CL22" i="67"/>
  <c r="CL41" i="67"/>
  <c r="CD22" i="67"/>
  <c r="CD41" i="67"/>
  <c r="BV22" i="67"/>
  <c r="BV41" i="67"/>
  <c r="BN22" i="67"/>
  <c r="BN41" i="67"/>
  <c r="BF22" i="67"/>
  <c r="BF41" i="67"/>
  <c r="AX22" i="67"/>
  <c r="AX41" i="67"/>
  <c r="AP22" i="67"/>
  <c r="AP41" i="67"/>
  <c r="AH22" i="67"/>
  <c r="AH41" i="67"/>
  <c r="Z22" i="67"/>
  <c r="Z41" i="67"/>
  <c r="R22" i="67"/>
  <c r="R41" i="67"/>
  <c r="J22" i="67"/>
  <c r="J41" i="67"/>
  <c r="B22" i="67"/>
  <c r="B41" i="67"/>
  <c r="LU21" i="67"/>
  <c r="LU40" i="67"/>
  <c r="LM21" i="67"/>
  <c r="LM40" i="67"/>
  <c r="LE21" i="67"/>
  <c r="LE40" i="67"/>
  <c r="KW21" i="67"/>
  <c r="KW40" i="67"/>
  <c r="KO21" i="67"/>
  <c r="KO40" i="67"/>
  <c r="KG21" i="67"/>
  <c r="KG40" i="67"/>
  <c r="JY21" i="67"/>
  <c r="JY40" i="67"/>
  <c r="JQ21" i="67"/>
  <c r="JQ40" i="67"/>
  <c r="JI21" i="67"/>
  <c r="JI40" i="67"/>
  <c r="JA21" i="67"/>
  <c r="JA40" i="67"/>
  <c r="IS21" i="67"/>
  <c r="IS40" i="67"/>
  <c r="IK21" i="67"/>
  <c r="IK40" i="67"/>
  <c r="IC21" i="67"/>
  <c r="IC40" i="67"/>
  <c r="HU21" i="67"/>
  <c r="HU40" i="67"/>
  <c r="HM21" i="67"/>
  <c r="HM40" i="67"/>
  <c r="HE21" i="67"/>
  <c r="HE40" i="67"/>
  <c r="GW21" i="67"/>
  <c r="GW40" i="67"/>
  <c r="GO21" i="67"/>
  <c r="GO40" i="67"/>
  <c r="GG21" i="67"/>
  <c r="GG40" i="67"/>
  <c r="FY21" i="67"/>
  <c r="FY40" i="67"/>
  <c r="FQ21" i="67"/>
  <c r="FQ40" i="67"/>
  <c r="FI21" i="67"/>
  <c r="FI40" i="67"/>
  <c r="FA21" i="67"/>
  <c r="FA40" i="67"/>
  <c r="ES21" i="67"/>
  <c r="ES40" i="67"/>
  <c r="EK21" i="67"/>
  <c r="EK40" i="67"/>
  <c r="EC21" i="67"/>
  <c r="EC40" i="67"/>
  <c r="DU21" i="67"/>
  <c r="DU40" i="67"/>
  <c r="DM21" i="67"/>
  <c r="DM40" i="67"/>
  <c r="DE21" i="67"/>
  <c r="DE40" i="67"/>
  <c r="CW21" i="67"/>
  <c r="CW40" i="67"/>
  <c r="CO21" i="67"/>
  <c r="CO40" i="67"/>
  <c r="CG21" i="67"/>
  <c r="CG40" i="67"/>
  <c r="BY21" i="67"/>
  <c r="BY40" i="67"/>
  <c r="BQ21" i="67"/>
  <c r="BQ40" i="67"/>
  <c r="BI21" i="67"/>
  <c r="BI40" i="67"/>
  <c r="BA21" i="67"/>
  <c r="BA40" i="67"/>
  <c r="AS21" i="67"/>
  <c r="AS40" i="67"/>
  <c r="AK21" i="67"/>
  <c r="AK40" i="67"/>
  <c r="AC21" i="67"/>
  <c r="AC40" i="67"/>
  <c r="U21" i="67"/>
  <c r="U40" i="67"/>
  <c r="M21" i="67"/>
  <c r="M40" i="67"/>
  <c r="E21" i="67"/>
  <c r="E40" i="67"/>
  <c r="LX20" i="67"/>
  <c r="LX39" i="67"/>
  <c r="LP20" i="67"/>
  <c r="LP39" i="67"/>
  <c r="LH20" i="67"/>
  <c r="LH39" i="67"/>
  <c r="KZ20" i="67"/>
  <c r="KZ39" i="67"/>
  <c r="KR20" i="67"/>
  <c r="KR39" i="67"/>
  <c r="KJ20" i="67"/>
  <c r="KJ39" i="67"/>
  <c r="KB20" i="67"/>
  <c r="KB39" i="67"/>
  <c r="JT20" i="67"/>
  <c r="JT39" i="67"/>
  <c r="JL20" i="67"/>
  <c r="JL39" i="67"/>
  <c r="JD20" i="67"/>
  <c r="JD39" i="67"/>
  <c r="IV20" i="67"/>
  <c r="IV39" i="67"/>
  <c r="IN20" i="67"/>
  <c r="IN39" i="67"/>
  <c r="IF20" i="67"/>
  <c r="IF39" i="67"/>
  <c r="HX20" i="67"/>
  <c r="HX39" i="67"/>
  <c r="HP20" i="67"/>
  <c r="HP39" i="67"/>
  <c r="HH20" i="67"/>
  <c r="HH39" i="67"/>
  <c r="GZ20" i="67"/>
  <c r="GZ39" i="67"/>
  <c r="GR20" i="67"/>
  <c r="GR39" i="67"/>
  <c r="GJ20" i="67"/>
  <c r="GJ39" i="67"/>
  <c r="GB20" i="67"/>
  <c r="GB39" i="67"/>
  <c r="FT20" i="67"/>
  <c r="FT39" i="67"/>
  <c r="FL20" i="67"/>
  <c r="FL39" i="67"/>
  <c r="FD20" i="67"/>
  <c r="FD39" i="67"/>
  <c r="EV20" i="67"/>
  <c r="EV39" i="67"/>
  <c r="EN20" i="67"/>
  <c r="EN39" i="67"/>
  <c r="EF20" i="67"/>
  <c r="EF39" i="67"/>
  <c r="DX20" i="67"/>
  <c r="DX39" i="67"/>
  <c r="DP20" i="67"/>
  <c r="DP39" i="67"/>
  <c r="DH20" i="67"/>
  <c r="DH39" i="67"/>
  <c r="CZ20" i="67"/>
  <c r="CZ39" i="67"/>
  <c r="CR20" i="67"/>
  <c r="CR39" i="67"/>
  <c r="CJ20" i="67"/>
  <c r="CJ39" i="67"/>
  <c r="CB20" i="67"/>
  <c r="CB39" i="67"/>
  <c r="BT20" i="67"/>
  <c r="BT39" i="67"/>
  <c r="BL20" i="67"/>
  <c r="BL39" i="67"/>
  <c r="BD20" i="67"/>
  <c r="BD39" i="67"/>
  <c r="AV20" i="67"/>
  <c r="AV39" i="67"/>
  <c r="AN20" i="67"/>
  <c r="AN39" i="67"/>
  <c r="AF20" i="67"/>
  <c r="AF39" i="67"/>
  <c r="X20" i="67"/>
  <c r="X39" i="67"/>
  <c r="P20" i="67"/>
  <c r="P39" i="67"/>
  <c r="H20" i="67"/>
  <c r="H39" i="67"/>
  <c r="MA19" i="67"/>
  <c r="MA38" i="67"/>
  <c r="LS19" i="67"/>
  <c r="LS38" i="67"/>
  <c r="LK19" i="67"/>
  <c r="LK38" i="67"/>
  <c r="LC19" i="67"/>
  <c r="LC38" i="67"/>
  <c r="KU19" i="67"/>
  <c r="KU38" i="67"/>
  <c r="KM19" i="67"/>
  <c r="KM38" i="67"/>
  <c r="KE19" i="67"/>
  <c r="KE38" i="67"/>
  <c r="JW19" i="67"/>
  <c r="JW38" i="67"/>
  <c r="JO19" i="67"/>
  <c r="JO38" i="67"/>
  <c r="JG19" i="67"/>
  <c r="JG38" i="67"/>
  <c r="IY19" i="67"/>
  <c r="IY38" i="67"/>
  <c r="IQ19" i="67"/>
  <c r="IQ38" i="67"/>
  <c r="II19" i="67"/>
  <c r="II38" i="67"/>
  <c r="IA19" i="67"/>
  <c r="IA38" i="67"/>
  <c r="HS19" i="67"/>
  <c r="HS38" i="67"/>
  <c r="HK19" i="67"/>
  <c r="HK38" i="67"/>
  <c r="HC19" i="67"/>
  <c r="HC38" i="67"/>
  <c r="GU19" i="67"/>
  <c r="GU38" i="67"/>
  <c r="GM19" i="67"/>
  <c r="GM38" i="67"/>
  <c r="GE19" i="67"/>
  <c r="GE38" i="67"/>
  <c r="FW19" i="67"/>
  <c r="FW38" i="67"/>
  <c r="FO19" i="67"/>
  <c r="FO38" i="67"/>
  <c r="FG19" i="67"/>
  <c r="FG38" i="67"/>
  <c r="EY19" i="67"/>
  <c r="EY38" i="67"/>
  <c r="EQ19" i="67"/>
  <c r="EQ38" i="67"/>
  <c r="EI19" i="67"/>
  <c r="EI38" i="67"/>
  <c r="EA19" i="67"/>
  <c r="EA38" i="67"/>
  <c r="DS19" i="67"/>
  <c r="DS38" i="67"/>
  <c r="DK19" i="67"/>
  <c r="DK38" i="67"/>
  <c r="DC19" i="67"/>
  <c r="DC38" i="67"/>
  <c r="CU19" i="67"/>
  <c r="CU38" i="67"/>
  <c r="CM19" i="67"/>
  <c r="CM38" i="67"/>
  <c r="CE19" i="67"/>
  <c r="CE38" i="67"/>
  <c r="BW19" i="67"/>
  <c r="BW38" i="67"/>
  <c r="BO19" i="67"/>
  <c r="BO38" i="67"/>
  <c r="BG19" i="67"/>
  <c r="BG38" i="67"/>
  <c r="AY19" i="67"/>
  <c r="AY38" i="67"/>
  <c r="AQ19" i="67"/>
  <c r="AQ38" i="67"/>
  <c r="AI19" i="67"/>
  <c r="AI38" i="67"/>
  <c r="AA19" i="67"/>
  <c r="AA38" i="67"/>
  <c r="S19" i="67"/>
  <c r="S38" i="67"/>
  <c r="K19" i="67"/>
  <c r="K38" i="67"/>
  <c r="C19" i="67"/>
  <c r="C38" i="67"/>
  <c r="LZ18" i="67"/>
  <c r="LR18" i="67"/>
  <c r="LJ18" i="67"/>
  <c r="LB18" i="67"/>
  <c r="KT18" i="67"/>
  <c r="KL18" i="67"/>
  <c r="KD18" i="67"/>
  <c r="JV18" i="67"/>
  <c r="JN18" i="67"/>
  <c r="JF18" i="67"/>
  <c r="IX18" i="67"/>
  <c r="IP18" i="67"/>
  <c r="IH18" i="67"/>
  <c r="HZ18" i="67"/>
  <c r="HR18" i="67"/>
  <c r="HJ18" i="67"/>
  <c r="HB18" i="67"/>
  <c r="GT18" i="67"/>
  <c r="GL18" i="67"/>
  <c r="GD18" i="67"/>
  <c r="FV18" i="67"/>
  <c r="FN18" i="67"/>
  <c r="FF18" i="67"/>
  <c r="EX18" i="67"/>
  <c r="EP18" i="67"/>
  <c r="EH18" i="67"/>
  <c r="DZ18" i="67"/>
  <c r="DR18" i="67"/>
  <c r="DJ18" i="67"/>
  <c r="DB18" i="67"/>
  <c r="CT18" i="67"/>
  <c r="CL18" i="67"/>
  <c r="CD18" i="67"/>
  <c r="BV18" i="67"/>
  <c r="BN18" i="67"/>
  <c r="BF18" i="67"/>
  <c r="AX18" i="67"/>
  <c r="AP18" i="67"/>
  <c r="AH18" i="67"/>
  <c r="Z18" i="67"/>
  <c r="R18" i="67"/>
  <c r="B18" i="67"/>
  <c r="LS15" i="67"/>
  <c r="LK15" i="67"/>
  <c r="LC15" i="67"/>
  <c r="KU15" i="67"/>
  <c r="KM15" i="67"/>
  <c r="KE15" i="67"/>
  <c r="JW15" i="67"/>
  <c r="JO15" i="67"/>
  <c r="JG15" i="67"/>
  <c r="IY15" i="67"/>
  <c r="IQ15" i="67"/>
  <c r="II15" i="67"/>
  <c r="IA15" i="67"/>
  <c r="HS15" i="67"/>
  <c r="HK15" i="67"/>
  <c r="HC15" i="67"/>
  <c r="GU15" i="67"/>
  <c r="GM15" i="67"/>
  <c r="GE15" i="67"/>
  <c r="FW15" i="67"/>
  <c r="FO15" i="67"/>
  <c r="FG15" i="67"/>
  <c r="EY15" i="67"/>
  <c r="EQ15" i="67"/>
  <c r="EI15" i="67"/>
  <c r="EA15" i="67"/>
  <c r="DS15" i="67"/>
  <c r="DK15" i="67"/>
  <c r="DC15" i="67"/>
  <c r="CU15" i="67"/>
  <c r="CM15" i="67"/>
  <c r="CE15" i="67"/>
  <c r="BW15" i="67"/>
  <c r="BO15" i="67"/>
  <c r="BG15" i="67"/>
  <c r="AY15" i="67"/>
  <c r="AQ15" i="67"/>
  <c r="AI15" i="67"/>
  <c r="AA15" i="67"/>
  <c r="S15" i="67"/>
  <c r="K15" i="67"/>
  <c r="C15" i="67"/>
  <c r="LY18" i="67"/>
  <c r="LQ18" i="67"/>
  <c r="LI18" i="67"/>
  <c r="LA18" i="67"/>
  <c r="KS18" i="67"/>
  <c r="KK18" i="67"/>
  <c r="KC18" i="67"/>
  <c r="JU18" i="67"/>
  <c r="JM18" i="67"/>
  <c r="JE18" i="67"/>
  <c r="IW18" i="67"/>
  <c r="IO18" i="67"/>
  <c r="IG18" i="67"/>
  <c r="HY18" i="67"/>
  <c r="HQ18" i="67"/>
  <c r="HI18" i="67"/>
  <c r="HA18" i="67"/>
  <c r="GS18" i="67"/>
  <c r="GK18" i="67"/>
  <c r="GC18" i="67"/>
  <c r="FU18" i="67"/>
  <c r="FM18" i="67"/>
  <c r="FE18" i="67"/>
  <c r="EW18" i="67"/>
  <c r="EO18" i="67"/>
  <c r="EG18" i="67"/>
  <c r="DY18" i="67"/>
  <c r="DQ18" i="67"/>
  <c r="DI18" i="67"/>
  <c r="DA18" i="67"/>
  <c r="CS18" i="67"/>
  <c r="CK18" i="67"/>
  <c r="CC18" i="67"/>
  <c r="BU18" i="67"/>
  <c r="BM18" i="67"/>
  <c r="BE18" i="67"/>
  <c r="AW18" i="67"/>
  <c r="AO18" i="67"/>
  <c r="AG18" i="67"/>
  <c r="Y18" i="67"/>
  <c r="Q18" i="67"/>
  <c r="A18" i="67"/>
  <c r="LZ15" i="67"/>
  <c r="LR15" i="67"/>
  <c r="LJ15" i="67"/>
  <c r="LB15" i="67"/>
  <c r="KT15" i="67"/>
  <c r="KL15" i="67"/>
  <c r="KD15" i="67"/>
  <c r="JV15" i="67"/>
  <c r="JN15" i="67"/>
  <c r="JF15" i="67"/>
  <c r="IX15" i="67"/>
  <c r="IP15" i="67"/>
  <c r="IH15" i="67"/>
  <c r="HZ15" i="67"/>
  <c r="HR15" i="67"/>
  <c r="HJ15" i="67"/>
  <c r="HB15" i="67"/>
  <c r="GT15" i="67"/>
  <c r="GL15" i="67"/>
  <c r="GD15" i="67"/>
  <c r="FV15" i="67"/>
  <c r="FN15" i="67"/>
  <c r="FF15" i="67"/>
  <c r="EX15" i="67"/>
  <c r="EP15" i="67"/>
  <c r="EH15" i="67"/>
  <c r="DZ15" i="67"/>
  <c r="DR15" i="67"/>
  <c r="DJ15" i="67"/>
  <c r="DB15" i="67"/>
  <c r="CT15" i="67"/>
  <c r="CL15" i="67"/>
  <c r="CD15" i="67"/>
  <c r="BV15" i="67"/>
  <c r="BN15" i="67"/>
  <c r="BF15" i="67"/>
  <c r="AX15" i="67"/>
  <c r="AP15" i="67"/>
  <c r="AH15" i="67"/>
  <c r="Z15" i="67"/>
  <c r="R15" i="67"/>
  <c r="J15" i="67"/>
  <c r="B15" i="67"/>
  <c r="LX18" i="67"/>
  <c r="LP18" i="67"/>
  <c r="LH18" i="67"/>
  <c r="KZ18" i="67"/>
  <c r="KR18" i="67"/>
  <c r="KJ18" i="67"/>
  <c r="KB18" i="67"/>
  <c r="JT18" i="67"/>
  <c r="JL18" i="67"/>
  <c r="JD18" i="67"/>
  <c r="IV18" i="67"/>
  <c r="IN18" i="67"/>
  <c r="IF18" i="67"/>
  <c r="HX18" i="67"/>
  <c r="HP18" i="67"/>
  <c r="HH18" i="67"/>
  <c r="GZ18" i="67"/>
  <c r="GR18" i="67"/>
  <c r="GJ18" i="67"/>
  <c r="GB18" i="67"/>
  <c r="FT18" i="67"/>
  <c r="FL18" i="67"/>
  <c r="FD18" i="67"/>
  <c r="EV18" i="67"/>
  <c r="EN18" i="67"/>
  <c r="EF18" i="67"/>
  <c r="DX18" i="67"/>
  <c r="DP18" i="67"/>
  <c r="DH18" i="67"/>
  <c r="CZ18" i="67"/>
  <c r="CR18" i="67"/>
  <c r="CJ18" i="67"/>
  <c r="CB18" i="67"/>
  <c r="BT18" i="67"/>
  <c r="BL18" i="67"/>
  <c r="BD18" i="67"/>
  <c r="AV18" i="67"/>
  <c r="AN18" i="67"/>
  <c r="AF18" i="67"/>
  <c r="X18" i="67"/>
  <c r="P18" i="67"/>
  <c r="H18" i="67"/>
  <c r="LY15" i="67"/>
  <c r="LQ15" i="67"/>
  <c r="LI15" i="67"/>
  <c r="LA15" i="67"/>
  <c r="KS15" i="67"/>
  <c r="KK15" i="67"/>
  <c r="KC15" i="67"/>
  <c r="JU15" i="67"/>
  <c r="JM15" i="67"/>
  <c r="JE15" i="67"/>
  <c r="IW15" i="67"/>
  <c r="IO15" i="67"/>
  <c r="IG15" i="67"/>
  <c r="HY15" i="67"/>
  <c r="HQ15" i="67"/>
  <c r="HI15" i="67"/>
  <c r="HA15" i="67"/>
  <c r="GS15" i="67"/>
  <c r="GK15" i="67"/>
  <c r="GC15" i="67"/>
  <c r="FU15" i="67"/>
  <c r="FM15" i="67"/>
  <c r="FE15" i="67"/>
  <c r="EW15" i="67"/>
  <c r="EO15" i="67"/>
  <c r="EG15" i="67"/>
  <c r="DY15" i="67"/>
  <c r="DQ15" i="67"/>
  <c r="DI15" i="67"/>
  <c r="DA15" i="67"/>
  <c r="CS15" i="67"/>
  <c r="CK15" i="67"/>
  <c r="CC15" i="67"/>
  <c r="BU15" i="67"/>
  <c r="BM15" i="67"/>
  <c r="BE15" i="67"/>
  <c r="AW15" i="67"/>
  <c r="AO15" i="67"/>
  <c r="AG15" i="67"/>
  <c r="Y15" i="67"/>
  <c r="Q15" i="67"/>
  <c r="I15" i="67"/>
  <c r="A15" i="67"/>
  <c r="LW18" i="67"/>
  <c r="LO18" i="67"/>
  <c r="LG18" i="67"/>
  <c r="KY18" i="67"/>
  <c r="KQ18" i="67"/>
  <c r="KI18" i="67"/>
  <c r="KA18" i="67"/>
  <c r="JS18" i="67"/>
  <c r="JK18" i="67"/>
  <c r="JC18" i="67"/>
  <c r="IU18" i="67"/>
  <c r="IM18" i="67"/>
  <c r="IE18" i="67"/>
  <c r="HW18" i="67"/>
  <c r="HO18" i="67"/>
  <c r="HG18" i="67"/>
  <c r="GY18" i="67"/>
  <c r="GQ18" i="67"/>
  <c r="GI18" i="67"/>
  <c r="GA18" i="67"/>
  <c r="FS18" i="67"/>
  <c r="FK18" i="67"/>
  <c r="FC18" i="67"/>
  <c r="EU18" i="67"/>
  <c r="EM18" i="67"/>
  <c r="EE18" i="67"/>
  <c r="DW18" i="67"/>
  <c r="DO18" i="67"/>
  <c r="DG18" i="67"/>
  <c r="CY18" i="67"/>
  <c r="CQ18" i="67"/>
  <c r="CI18" i="67"/>
  <c r="CA18" i="67"/>
  <c r="BS18" i="67"/>
  <c r="BK18" i="67"/>
  <c r="BC18" i="67"/>
  <c r="AU18" i="67"/>
  <c r="AM18" i="67"/>
  <c r="AE18" i="67"/>
  <c r="W18" i="67"/>
  <c r="O18" i="67"/>
  <c r="G18" i="67"/>
  <c r="LX15" i="67"/>
  <c r="LP15" i="67"/>
  <c r="LH15" i="67"/>
  <c r="KZ15" i="67"/>
  <c r="KR15" i="67"/>
  <c r="KJ15" i="67"/>
  <c r="KB15" i="67"/>
  <c r="JT15" i="67"/>
  <c r="JL15" i="67"/>
  <c r="JD15" i="67"/>
  <c r="IV15" i="67"/>
  <c r="IN15" i="67"/>
  <c r="IF15" i="67"/>
  <c r="HX15" i="67"/>
  <c r="HP15" i="67"/>
  <c r="HH15" i="67"/>
  <c r="GZ15" i="67"/>
  <c r="GR15" i="67"/>
  <c r="GJ15" i="67"/>
  <c r="GB15" i="67"/>
  <c r="FT15" i="67"/>
  <c r="FL15" i="67"/>
  <c r="FD15" i="67"/>
  <c r="EV15" i="67"/>
  <c r="EN15" i="67"/>
  <c r="EF15" i="67"/>
  <c r="DX15" i="67"/>
  <c r="DP15" i="67"/>
  <c r="DH15" i="67"/>
  <c r="CZ15" i="67"/>
  <c r="CR15" i="67"/>
  <c r="CJ15" i="67"/>
  <c r="CB15" i="67"/>
  <c r="BT15" i="67"/>
  <c r="BL15" i="67"/>
  <c r="BD15" i="67"/>
  <c r="AV15" i="67"/>
  <c r="AN15" i="67"/>
  <c r="AF15" i="67"/>
  <c r="X15" i="67"/>
  <c r="P15" i="67"/>
  <c r="H15" i="67"/>
  <c r="LV18" i="67"/>
  <c r="LN18" i="67"/>
  <c r="LF18" i="67"/>
  <c r="KX18" i="67"/>
  <c r="KP18" i="67"/>
  <c r="KH18" i="67"/>
  <c r="JZ18" i="67"/>
  <c r="JR18" i="67"/>
  <c r="JJ18" i="67"/>
  <c r="JB18" i="67"/>
  <c r="IT18" i="67"/>
  <c r="IL18" i="67"/>
  <c r="ID18" i="67"/>
  <c r="HV18" i="67"/>
  <c r="HN18" i="67"/>
  <c r="HF18" i="67"/>
  <c r="GX18" i="67"/>
  <c r="GP18" i="67"/>
  <c r="GH18" i="67"/>
  <c r="FZ18" i="67"/>
  <c r="FR18" i="67"/>
  <c r="FJ18" i="67"/>
  <c r="FB18" i="67"/>
  <c r="ET18" i="67"/>
  <c r="EL18" i="67"/>
  <c r="ED18" i="67"/>
  <c r="DV18" i="67"/>
  <c r="DN18" i="67"/>
  <c r="DF18" i="67"/>
  <c r="CX18" i="67"/>
  <c r="CP18" i="67"/>
  <c r="CH18" i="67"/>
  <c r="BZ18" i="67"/>
  <c r="BR18" i="67"/>
  <c r="BJ18" i="67"/>
  <c r="BB18" i="67"/>
  <c r="AT18" i="67"/>
  <c r="AL18" i="67"/>
  <c r="AD18" i="67"/>
  <c r="V18" i="67"/>
  <c r="N18" i="67"/>
  <c r="F18" i="67"/>
  <c r="LW15" i="67"/>
  <c r="LO15" i="67"/>
  <c r="LG15" i="67"/>
  <c r="KY15" i="67"/>
  <c r="KQ15" i="67"/>
  <c r="KI15" i="67"/>
  <c r="KA15" i="67"/>
  <c r="JS15" i="67"/>
  <c r="JK15" i="67"/>
  <c r="JC15" i="67"/>
  <c r="IU15" i="67"/>
  <c r="IM15" i="67"/>
  <c r="IE15" i="67"/>
  <c r="HW15" i="67"/>
  <c r="HO15" i="67"/>
  <c r="HG15" i="67"/>
  <c r="GY15" i="67"/>
  <c r="GQ15" i="67"/>
  <c r="GI15" i="67"/>
  <c r="GA15" i="67"/>
  <c r="FS15" i="67"/>
  <c r="FK15" i="67"/>
  <c r="FC15" i="67"/>
  <c r="EU15" i="67"/>
  <c r="EM15" i="67"/>
  <c r="EE15" i="67"/>
  <c r="DW15" i="67"/>
  <c r="DO15" i="67"/>
  <c r="DG15" i="67"/>
  <c r="CY15" i="67"/>
  <c r="CQ15" i="67"/>
  <c r="CI15" i="67"/>
  <c r="CA15" i="67"/>
  <c r="BS15" i="67"/>
  <c r="BK15" i="67"/>
  <c r="BC15" i="67"/>
  <c r="AU15" i="67"/>
  <c r="AM15" i="67"/>
  <c r="AE15" i="67"/>
  <c r="W15" i="67"/>
  <c r="O15" i="67"/>
  <c r="G15" i="67"/>
  <c r="DE18" i="67"/>
  <c r="CW18" i="67"/>
  <c r="CO18" i="67"/>
  <c r="CG18" i="67"/>
  <c r="BY18" i="67"/>
  <c r="BQ18" i="67"/>
  <c r="BI18" i="67"/>
  <c r="BA18" i="67"/>
  <c r="AS18" i="67"/>
  <c r="AK18" i="67"/>
  <c r="AC18" i="67"/>
  <c r="U18" i="67"/>
  <c r="M18" i="67"/>
  <c r="E18" i="67"/>
  <c r="LV15" i="67"/>
  <c r="LN15" i="67"/>
  <c r="LF15" i="67"/>
  <c r="KX15" i="67"/>
  <c r="KP15" i="67"/>
  <c r="KH15" i="67"/>
  <c r="JZ15" i="67"/>
  <c r="JR15" i="67"/>
  <c r="JJ15" i="67"/>
  <c r="JB15" i="67"/>
  <c r="IT15" i="67"/>
  <c r="IL15" i="67"/>
  <c r="ID15" i="67"/>
  <c r="HV15" i="67"/>
  <c r="HN15" i="67"/>
  <c r="HF15" i="67"/>
  <c r="GX15" i="67"/>
  <c r="GP15" i="67"/>
  <c r="GH15" i="67"/>
  <c r="FZ15" i="67"/>
  <c r="FR15" i="67"/>
  <c r="FJ15" i="67"/>
  <c r="FB15" i="67"/>
  <c r="ET15" i="67"/>
  <c r="EL15" i="67"/>
  <c r="ED15" i="67"/>
  <c r="DV15" i="67"/>
  <c r="DN15" i="67"/>
  <c r="DF15" i="67"/>
  <c r="CX15" i="67"/>
  <c r="CP15" i="67"/>
  <c r="CH15" i="67"/>
  <c r="BZ15" i="67"/>
  <c r="BR15" i="67"/>
  <c r="BJ15" i="67"/>
  <c r="BB15" i="67"/>
  <c r="AT15" i="67"/>
  <c r="AL15" i="67"/>
  <c r="AD15" i="67"/>
  <c r="V15" i="67"/>
  <c r="N15" i="67"/>
  <c r="F15" i="67"/>
  <c r="LT18" i="67"/>
  <c r="LL18" i="67"/>
  <c r="LD18" i="67"/>
  <c r="KV18" i="67"/>
  <c r="KN18" i="67"/>
  <c r="KF18" i="67"/>
  <c r="JX18" i="67"/>
  <c r="JP18" i="67"/>
  <c r="JH18" i="67"/>
  <c r="IZ18" i="67"/>
  <c r="IR18" i="67"/>
  <c r="IJ18" i="67"/>
  <c r="IB18" i="67"/>
  <c r="HT18" i="67"/>
  <c r="HL18" i="67"/>
  <c r="HD18" i="67"/>
  <c r="GV18" i="67"/>
  <c r="GN18" i="67"/>
  <c r="GF18" i="67"/>
  <c r="FX18" i="67"/>
  <c r="FP18" i="67"/>
  <c r="FH18" i="67"/>
  <c r="EZ18" i="67"/>
  <c r="ER18" i="67"/>
  <c r="EJ18" i="67"/>
  <c r="EB18" i="67"/>
  <c r="DT18" i="67"/>
  <c r="DL18" i="67"/>
  <c r="DD18" i="67"/>
  <c r="CV18" i="67"/>
  <c r="CN18" i="67"/>
  <c r="CF18" i="67"/>
  <c r="BX18" i="67"/>
  <c r="BP18" i="67"/>
  <c r="BH18" i="67"/>
  <c r="AZ18" i="67"/>
  <c r="AR18" i="67"/>
  <c r="AJ18" i="67"/>
  <c r="AB18" i="67"/>
  <c r="T18" i="67"/>
  <c r="L18" i="67"/>
  <c r="D18" i="67"/>
  <c r="LU15" i="67"/>
  <c r="LM15" i="67"/>
  <c r="LE15" i="67"/>
  <c r="KW15" i="67"/>
  <c r="KO15" i="67"/>
  <c r="KG15" i="67"/>
  <c r="JY15" i="67"/>
  <c r="JQ15" i="67"/>
  <c r="JI15" i="67"/>
  <c r="JA15" i="67"/>
  <c r="IS15" i="67"/>
  <c r="IK15" i="67"/>
  <c r="IC15" i="67"/>
  <c r="HU15" i="67"/>
  <c r="HM15" i="67"/>
  <c r="HE15" i="67"/>
  <c r="GW15" i="67"/>
  <c r="GO15" i="67"/>
  <c r="GG15" i="67"/>
  <c r="FY15" i="67"/>
  <c r="FQ15" i="67"/>
  <c r="FI15" i="67"/>
  <c r="FA15" i="67"/>
  <c r="ES15" i="67"/>
  <c r="EK15" i="67"/>
  <c r="EC15" i="67"/>
  <c r="DU15" i="67"/>
  <c r="DM15" i="67"/>
  <c r="DE15" i="67"/>
  <c r="CW15" i="67"/>
  <c r="CO15" i="67"/>
  <c r="CG15" i="67"/>
  <c r="BY15" i="67"/>
  <c r="BQ15" i="67"/>
  <c r="BI15" i="67"/>
  <c r="BA15" i="67"/>
  <c r="AS15" i="67"/>
  <c r="AK15" i="67"/>
  <c r="AC15" i="67"/>
  <c r="U15" i="67"/>
  <c r="M15" i="67"/>
  <c r="E15" i="67"/>
  <c r="MA18" i="67"/>
  <c r="LS18" i="67"/>
  <c r="LK18" i="67"/>
  <c r="LC18" i="67"/>
  <c r="KU18" i="67"/>
  <c r="KM18" i="67"/>
  <c r="KE18" i="67"/>
  <c r="JW18" i="67"/>
  <c r="JO18" i="67"/>
  <c r="JG18" i="67"/>
  <c r="IY18" i="67"/>
  <c r="IQ18" i="67"/>
  <c r="II18" i="67"/>
  <c r="IA18" i="67"/>
  <c r="HS18" i="67"/>
  <c r="HK18" i="67"/>
  <c r="HC18" i="67"/>
  <c r="GU18" i="67"/>
  <c r="GM18" i="67"/>
  <c r="GE18" i="67"/>
  <c r="FW18" i="67"/>
  <c r="FO18" i="67"/>
  <c r="FG18" i="67"/>
  <c r="EY18" i="67"/>
  <c r="EQ18" i="67"/>
  <c r="EI18" i="67"/>
  <c r="EA18" i="67"/>
  <c r="DS18" i="67"/>
  <c r="DK18" i="67"/>
  <c r="DC18" i="67"/>
  <c r="CU18" i="67"/>
  <c r="CM18" i="67"/>
  <c r="CE18" i="67"/>
  <c r="BW18" i="67"/>
  <c r="BO18" i="67"/>
  <c r="BG18" i="67"/>
  <c r="AY18" i="67"/>
  <c r="AQ18" i="67"/>
  <c r="AI18" i="67"/>
  <c r="AA18" i="67"/>
  <c r="S18" i="67"/>
  <c r="K18" i="67"/>
  <c r="C18" i="67"/>
  <c r="LT15" i="67"/>
  <c r="LL15" i="67"/>
  <c r="LD15" i="67"/>
  <c r="KV15" i="67"/>
  <c r="KN15" i="67"/>
  <c r="KF15" i="67"/>
  <c r="JX15" i="67"/>
  <c r="JP15" i="67"/>
  <c r="JH15" i="67"/>
  <c r="IZ15" i="67"/>
  <c r="IR15" i="67"/>
  <c r="IJ15" i="67"/>
  <c r="IB15" i="67"/>
  <c r="HT15" i="67"/>
  <c r="HL15" i="67"/>
  <c r="HD15" i="67"/>
  <c r="GV15" i="67"/>
  <c r="GN15" i="67"/>
  <c r="GF15" i="67"/>
  <c r="FX15" i="67"/>
  <c r="FP15" i="67"/>
  <c r="FH15" i="67"/>
  <c r="EZ15" i="67"/>
  <c r="ER15" i="67"/>
  <c r="EJ15" i="67"/>
  <c r="EB15" i="67"/>
  <c r="DT15" i="67"/>
  <c r="DL15" i="67"/>
  <c r="DD15" i="67"/>
  <c r="CV15" i="67"/>
  <c r="CN15" i="67"/>
  <c r="CF15" i="67"/>
  <c r="BX15" i="67"/>
  <c r="BP15" i="67"/>
  <c r="BH15" i="67"/>
  <c r="AZ15" i="67"/>
  <c r="AR15" i="67"/>
  <c r="AJ15" i="67"/>
  <c r="AB15" i="67"/>
  <c r="T15" i="67"/>
  <c r="L15" i="67"/>
  <c r="D15" i="67"/>
  <c r="LU13" i="67"/>
  <c r="LU55" i="67"/>
  <c r="LM13" i="67"/>
  <c r="LM55" i="67"/>
  <c r="LE13" i="67"/>
  <c r="LE55" i="67"/>
  <c r="KW13" i="67"/>
  <c r="KW55" i="67"/>
  <c r="KO13" i="67"/>
  <c r="KO55" i="67"/>
  <c r="KG13" i="67"/>
  <c r="KG55" i="67"/>
  <c r="JY13" i="67"/>
  <c r="JY55" i="67"/>
  <c r="JQ13" i="67"/>
  <c r="JQ55" i="67"/>
  <c r="JI13" i="67"/>
  <c r="JI55" i="67"/>
  <c r="JA13" i="67"/>
  <c r="JA55" i="67"/>
  <c r="IS13" i="67"/>
  <c r="IS55" i="67"/>
  <c r="IK13" i="67"/>
  <c r="IK55" i="67"/>
  <c r="IC13" i="67"/>
  <c r="IC55" i="67"/>
  <c r="HU13" i="67"/>
  <c r="HU55" i="67"/>
  <c r="HM13" i="67"/>
  <c r="HM55" i="67"/>
  <c r="HE13" i="67"/>
  <c r="HE55" i="67"/>
  <c r="GW13" i="67"/>
  <c r="GW55" i="67"/>
  <c r="GO13" i="67"/>
  <c r="GO55" i="67"/>
  <c r="GG13" i="67"/>
  <c r="GG55" i="67"/>
  <c r="FY13" i="67"/>
  <c r="FY55" i="67"/>
  <c r="FQ13" i="67"/>
  <c r="FQ55" i="67"/>
  <c r="FI13" i="67"/>
  <c r="FI55" i="67"/>
  <c r="FA13" i="67"/>
  <c r="FA55" i="67"/>
  <c r="ES13" i="67"/>
  <c r="ES55" i="67"/>
  <c r="EK13" i="67"/>
  <c r="EK55" i="67"/>
  <c r="EC13" i="67"/>
  <c r="EC55" i="67"/>
  <c r="DU13" i="67"/>
  <c r="DU55" i="67"/>
  <c r="DM13" i="67"/>
  <c r="DM55" i="67"/>
  <c r="DE13" i="67"/>
  <c r="DE55" i="67"/>
  <c r="CW13" i="67"/>
  <c r="CW55" i="67"/>
  <c r="CO13" i="67"/>
  <c r="CO55" i="67"/>
  <c r="CG13" i="67"/>
  <c r="CG55" i="67"/>
  <c r="BY13" i="67"/>
  <c r="BY55" i="67"/>
  <c r="BQ13" i="67"/>
  <c r="BQ55" i="67"/>
  <c r="BI13" i="67"/>
  <c r="BI55" i="67"/>
  <c r="BA13" i="67"/>
  <c r="BA55" i="67"/>
  <c r="AS13" i="67"/>
  <c r="AS55" i="67"/>
  <c r="AK13" i="67"/>
  <c r="AK55" i="67"/>
  <c r="AC13" i="67"/>
  <c r="AC55" i="67"/>
  <c r="U13" i="67"/>
  <c r="U55" i="67"/>
  <c r="M13" i="67"/>
  <c r="M55" i="67"/>
  <c r="E13" i="67"/>
  <c r="E55" i="67"/>
  <c r="LX54" i="67"/>
  <c r="LP54" i="67"/>
  <c r="LH54" i="67"/>
  <c r="KZ54" i="67"/>
  <c r="KR54" i="67"/>
  <c r="KJ54" i="67"/>
  <c r="KB54" i="67"/>
  <c r="JT54" i="67"/>
  <c r="JL54" i="67"/>
  <c r="JD54" i="67"/>
  <c r="IV54" i="67"/>
  <c r="IN54" i="67"/>
  <c r="IF54" i="67"/>
  <c r="HX54" i="67"/>
  <c r="HP54" i="67"/>
  <c r="HH54" i="67"/>
  <c r="GZ54" i="67"/>
  <c r="GR54" i="67"/>
  <c r="GJ54" i="67"/>
  <c r="GB54" i="67"/>
  <c r="FT54" i="67"/>
  <c r="FL54" i="67"/>
  <c r="FD54" i="67"/>
  <c r="EV54" i="67"/>
  <c r="EN54" i="67"/>
  <c r="EF54" i="67"/>
  <c r="DX54" i="67"/>
  <c r="DP54" i="67"/>
  <c r="DH54" i="67"/>
  <c r="CZ54" i="67"/>
  <c r="CR54" i="67"/>
  <c r="CJ54" i="67"/>
  <c r="CB54" i="67"/>
  <c r="BT54" i="67"/>
  <c r="BL54" i="67"/>
  <c r="BD54" i="67"/>
  <c r="AV54" i="67"/>
  <c r="AN54" i="67"/>
  <c r="AF54" i="67"/>
  <c r="X54" i="67"/>
  <c r="P54" i="67"/>
  <c r="H54" i="67"/>
  <c r="LS12" i="67"/>
  <c r="LK12" i="67"/>
  <c r="LC12" i="67"/>
  <c r="KU12" i="67"/>
  <c r="KM12" i="67"/>
  <c r="KE12" i="67"/>
  <c r="JW12" i="67"/>
  <c r="JO12" i="67"/>
  <c r="JG12" i="67"/>
  <c r="IY12" i="67"/>
  <c r="IQ12" i="67"/>
  <c r="II12" i="67"/>
  <c r="IA12" i="67"/>
  <c r="HS12" i="67"/>
  <c r="HK12" i="67"/>
  <c r="HC12" i="67"/>
  <c r="GU12" i="67"/>
  <c r="GM12" i="67"/>
  <c r="GE12" i="67"/>
  <c r="FW12" i="67"/>
  <c r="FO12" i="67"/>
  <c r="FG12" i="67"/>
  <c r="EY12" i="67"/>
  <c r="EQ12" i="67"/>
  <c r="EI12" i="67"/>
  <c r="EA12" i="67"/>
  <c r="DS12" i="67"/>
  <c r="DK12" i="67"/>
  <c r="DC12" i="67"/>
  <c r="CU12" i="67"/>
  <c r="CM12" i="67"/>
  <c r="CE12" i="67"/>
  <c r="BW12" i="67"/>
  <c r="BO12" i="67"/>
  <c r="BG12" i="67"/>
  <c r="AY12" i="67"/>
  <c r="AQ12" i="67"/>
  <c r="AI12" i="67"/>
  <c r="AA12" i="67"/>
  <c r="S12" i="67"/>
  <c r="K12" i="67"/>
  <c r="C12" i="67"/>
  <c r="LV11" i="67"/>
  <c r="LN11" i="67"/>
  <c r="LF11" i="67"/>
  <c r="KX11" i="67"/>
  <c r="KP11" i="67"/>
  <c r="KH11" i="67"/>
  <c r="JZ11" i="67"/>
  <c r="JR11" i="67"/>
  <c r="JJ11" i="67"/>
  <c r="JB11" i="67"/>
  <c r="IT11" i="67"/>
  <c r="IL11" i="67"/>
  <c r="ID11" i="67"/>
  <c r="HV11" i="67"/>
  <c r="HN11" i="67"/>
  <c r="HF11" i="67"/>
  <c r="LT13" i="67"/>
  <c r="LT55" i="67"/>
  <c r="LL13" i="67"/>
  <c r="LL55" i="67"/>
  <c r="LD13" i="67"/>
  <c r="LD55" i="67"/>
  <c r="KV13" i="67"/>
  <c r="KV55" i="67"/>
  <c r="KN13" i="67"/>
  <c r="KN55" i="67"/>
  <c r="KF13" i="67"/>
  <c r="KF55" i="67"/>
  <c r="JX13" i="67"/>
  <c r="JX55" i="67"/>
  <c r="JP13" i="67"/>
  <c r="JP55" i="67"/>
  <c r="JH13" i="67"/>
  <c r="JH55" i="67"/>
  <c r="IZ13" i="67"/>
  <c r="IZ55" i="67"/>
  <c r="IR13" i="67"/>
  <c r="IR55" i="67"/>
  <c r="IJ13" i="67"/>
  <c r="IJ55" i="67"/>
  <c r="IB13" i="67"/>
  <c r="IB55" i="67"/>
  <c r="HT13" i="67"/>
  <c r="HT55" i="67"/>
  <c r="HL13" i="67"/>
  <c r="HL55" i="67"/>
  <c r="HD13" i="67"/>
  <c r="HD55" i="67"/>
  <c r="GV13" i="67"/>
  <c r="GV55" i="67"/>
  <c r="GN13" i="67"/>
  <c r="GN55" i="67"/>
  <c r="GF13" i="67"/>
  <c r="GF55" i="67"/>
  <c r="FX13" i="67"/>
  <c r="FX55" i="67"/>
  <c r="FP13" i="67"/>
  <c r="FP55" i="67"/>
  <c r="FH13" i="67"/>
  <c r="FH55" i="67"/>
  <c r="EZ13" i="67"/>
  <c r="EZ55" i="67"/>
  <c r="ER13" i="67"/>
  <c r="ER55" i="67"/>
  <c r="EJ13" i="67"/>
  <c r="EJ55" i="67"/>
  <c r="EB13" i="67"/>
  <c r="EB55" i="67"/>
  <c r="DT13" i="67"/>
  <c r="DT55" i="67"/>
  <c r="DL13" i="67"/>
  <c r="DL55" i="67"/>
  <c r="DD13" i="67"/>
  <c r="DD55" i="67"/>
  <c r="CV13" i="67"/>
  <c r="CV55" i="67"/>
  <c r="CN13" i="67"/>
  <c r="CN55" i="67"/>
  <c r="CF13" i="67"/>
  <c r="CF55" i="67"/>
  <c r="BX13" i="67"/>
  <c r="BX55" i="67"/>
  <c r="BP13" i="67"/>
  <c r="BP55" i="67"/>
  <c r="BH13" i="67"/>
  <c r="BH55" i="67"/>
  <c r="AZ13" i="67"/>
  <c r="AZ55" i="67"/>
  <c r="AR13" i="67"/>
  <c r="AR55" i="67"/>
  <c r="AJ13" i="67"/>
  <c r="AJ55" i="67"/>
  <c r="AB13" i="67"/>
  <c r="AB55" i="67"/>
  <c r="T13" i="67"/>
  <c r="T55" i="67"/>
  <c r="L13" i="67"/>
  <c r="L55" i="67"/>
  <c r="D13" i="67"/>
  <c r="D55" i="67"/>
  <c r="LW54" i="67"/>
  <c r="LO54" i="67"/>
  <c r="LG54" i="67"/>
  <c r="KY54" i="67"/>
  <c r="KQ54" i="67"/>
  <c r="KI54" i="67"/>
  <c r="KA54" i="67"/>
  <c r="JS54" i="67"/>
  <c r="JK54" i="67"/>
  <c r="JC54" i="67"/>
  <c r="IU54" i="67"/>
  <c r="IM54" i="67"/>
  <c r="IE54" i="67"/>
  <c r="HW54" i="67"/>
  <c r="HO54" i="67"/>
  <c r="HG54" i="67"/>
  <c r="GY54" i="67"/>
  <c r="GQ54" i="67"/>
  <c r="GI54" i="67"/>
  <c r="GA54" i="67"/>
  <c r="FS54" i="67"/>
  <c r="FK54" i="67"/>
  <c r="FC54" i="67"/>
  <c r="EU54" i="67"/>
  <c r="EM54" i="67"/>
  <c r="EE54" i="67"/>
  <c r="DW54" i="67"/>
  <c r="DO54" i="67"/>
  <c r="DG54" i="67"/>
  <c r="CY54" i="67"/>
  <c r="CQ54" i="67"/>
  <c r="CI54" i="67"/>
  <c r="CA54" i="67"/>
  <c r="BS54" i="67"/>
  <c r="BK54" i="67"/>
  <c r="BC54" i="67"/>
  <c r="AU54" i="67"/>
  <c r="AM54" i="67"/>
  <c r="AE54" i="67"/>
  <c r="W54" i="67"/>
  <c r="O54" i="67"/>
  <c r="G54" i="67"/>
  <c r="LZ12" i="67"/>
  <c r="LR12" i="67"/>
  <c r="LJ12" i="67"/>
  <c r="LB12" i="67"/>
  <c r="KT12" i="67"/>
  <c r="KL12" i="67"/>
  <c r="KD12" i="67"/>
  <c r="JV12" i="67"/>
  <c r="JN12" i="67"/>
  <c r="JF12" i="67"/>
  <c r="IX12" i="67"/>
  <c r="IP12" i="67"/>
  <c r="IH12" i="67"/>
  <c r="HZ12" i="67"/>
  <c r="HR12" i="67"/>
  <c r="HJ12" i="67"/>
  <c r="HB12" i="67"/>
  <c r="GT12" i="67"/>
  <c r="GL12" i="67"/>
  <c r="GD12" i="67"/>
  <c r="FV12" i="67"/>
  <c r="FN12" i="67"/>
  <c r="FF12" i="67"/>
  <c r="EX12" i="67"/>
  <c r="EP12" i="67"/>
  <c r="EH12" i="67"/>
  <c r="DZ12" i="67"/>
  <c r="DR12" i="67"/>
  <c r="DJ12" i="67"/>
  <c r="DB12" i="67"/>
  <c r="CT12" i="67"/>
  <c r="CL12" i="67"/>
  <c r="CD12" i="67"/>
  <c r="BV12" i="67"/>
  <c r="BN12" i="67"/>
  <c r="BF12" i="67"/>
  <c r="AX12" i="67"/>
  <c r="AP12" i="67"/>
  <c r="AH12" i="67"/>
  <c r="Z12" i="67"/>
  <c r="R12" i="67"/>
  <c r="J12" i="67"/>
  <c r="B12" i="67"/>
  <c r="LU11" i="67"/>
  <c r="LM11" i="67"/>
  <c r="LE11" i="67"/>
  <c r="KW11" i="67"/>
  <c r="KO11" i="67"/>
  <c r="KG11" i="67"/>
  <c r="JY11" i="67"/>
  <c r="JQ11" i="67"/>
  <c r="JI11" i="67"/>
  <c r="JA11" i="67"/>
  <c r="IS11" i="67"/>
  <c r="IK11" i="67"/>
  <c r="IC11" i="67"/>
  <c r="HU11" i="67"/>
  <c r="HM11" i="67"/>
  <c r="HE11" i="67"/>
  <c r="GW11" i="67"/>
  <c r="GO11" i="67"/>
  <c r="GG11" i="67"/>
  <c r="FY11" i="67"/>
  <c r="FQ11" i="67"/>
  <c r="FI11" i="67"/>
  <c r="FA11" i="67"/>
  <c r="ES11" i="67"/>
  <c r="EK11" i="67"/>
  <c r="EC11" i="67"/>
  <c r="DU11" i="67"/>
  <c r="DM11" i="67"/>
  <c r="DE11" i="67"/>
  <c r="CW11" i="67"/>
  <c r="CO11" i="67"/>
  <c r="CG11" i="67"/>
  <c r="BY11" i="67"/>
  <c r="BQ11" i="67"/>
  <c r="BI11" i="67"/>
  <c r="BA11" i="67"/>
  <c r="AS11" i="67"/>
  <c r="AK11" i="67"/>
  <c r="LS13" i="67"/>
  <c r="LS55" i="67"/>
  <c r="LK13" i="67"/>
  <c r="LK55" i="67"/>
  <c r="LC13" i="67"/>
  <c r="LC55" i="67"/>
  <c r="KU13" i="67"/>
  <c r="KU55" i="67"/>
  <c r="KM13" i="67"/>
  <c r="KM55" i="67"/>
  <c r="KE13" i="67"/>
  <c r="KE55" i="67"/>
  <c r="JW13" i="67"/>
  <c r="JW55" i="67"/>
  <c r="JO13" i="67"/>
  <c r="JO55" i="67"/>
  <c r="JG13" i="67"/>
  <c r="JG55" i="67"/>
  <c r="IY13" i="67"/>
  <c r="IY55" i="67"/>
  <c r="IQ13" i="67"/>
  <c r="IQ55" i="67"/>
  <c r="II13" i="67"/>
  <c r="II55" i="67"/>
  <c r="IA13" i="67"/>
  <c r="IA55" i="67"/>
  <c r="HS13" i="67"/>
  <c r="HS55" i="67"/>
  <c r="HK13" i="67"/>
  <c r="HK55" i="67"/>
  <c r="HC13" i="67"/>
  <c r="HC55" i="67"/>
  <c r="GU13" i="67"/>
  <c r="GU55" i="67"/>
  <c r="GM13" i="67"/>
  <c r="GM55" i="67"/>
  <c r="GE13" i="67"/>
  <c r="GE55" i="67"/>
  <c r="FW13" i="67"/>
  <c r="FW55" i="67"/>
  <c r="FO13" i="67"/>
  <c r="FO55" i="67"/>
  <c r="FG13" i="67"/>
  <c r="FG55" i="67"/>
  <c r="EY13" i="67"/>
  <c r="EY55" i="67"/>
  <c r="EQ13" i="67"/>
  <c r="EQ55" i="67"/>
  <c r="EI13" i="67"/>
  <c r="EI55" i="67"/>
  <c r="EA13" i="67"/>
  <c r="EA55" i="67"/>
  <c r="DS13" i="67"/>
  <c r="DS55" i="67"/>
  <c r="DK13" i="67"/>
  <c r="DK55" i="67"/>
  <c r="DC13" i="67"/>
  <c r="DC55" i="67"/>
  <c r="CU13" i="67"/>
  <c r="CU55" i="67"/>
  <c r="CM13" i="67"/>
  <c r="CM55" i="67"/>
  <c r="CE13" i="67"/>
  <c r="CE55" i="67"/>
  <c r="BW13" i="67"/>
  <c r="BW55" i="67"/>
  <c r="BO13" i="67"/>
  <c r="BO55" i="67"/>
  <c r="BG13" i="67"/>
  <c r="BG55" i="67"/>
  <c r="AY13" i="67"/>
  <c r="AY55" i="67"/>
  <c r="AQ13" i="67"/>
  <c r="AQ55" i="67"/>
  <c r="AI13" i="67"/>
  <c r="AI55" i="67"/>
  <c r="AA13" i="67"/>
  <c r="AA55" i="67"/>
  <c r="S13" i="67"/>
  <c r="S55" i="67"/>
  <c r="K13" i="67"/>
  <c r="K55" i="67"/>
  <c r="C13" i="67"/>
  <c r="C55" i="67"/>
  <c r="LV54" i="67"/>
  <c r="LN54" i="67"/>
  <c r="LF54" i="67"/>
  <c r="KX54" i="67"/>
  <c r="KP54" i="67"/>
  <c r="KH54" i="67"/>
  <c r="JZ54" i="67"/>
  <c r="JR54" i="67"/>
  <c r="JJ54" i="67"/>
  <c r="JB54" i="67"/>
  <c r="IT54" i="67"/>
  <c r="IL54" i="67"/>
  <c r="ID54" i="67"/>
  <c r="HV54" i="67"/>
  <c r="HN54" i="67"/>
  <c r="HF54" i="67"/>
  <c r="GX54" i="67"/>
  <c r="GP54" i="67"/>
  <c r="GH54" i="67"/>
  <c r="FZ54" i="67"/>
  <c r="FR54" i="67"/>
  <c r="FJ54" i="67"/>
  <c r="FB54" i="67"/>
  <c r="ET54" i="67"/>
  <c r="EL54" i="67"/>
  <c r="ED54" i="67"/>
  <c r="DV54" i="67"/>
  <c r="DN54" i="67"/>
  <c r="DF54" i="67"/>
  <c r="CX54" i="67"/>
  <c r="CP54" i="67"/>
  <c r="CH54" i="67"/>
  <c r="BZ54" i="67"/>
  <c r="BR54" i="67"/>
  <c r="BJ54" i="67"/>
  <c r="BB54" i="67"/>
  <c r="AT54" i="67"/>
  <c r="AL54" i="67"/>
  <c r="AD54" i="67"/>
  <c r="V54" i="67"/>
  <c r="N54" i="67"/>
  <c r="F54" i="67"/>
  <c r="LY12" i="67"/>
  <c r="LQ12" i="67"/>
  <c r="LI12" i="67"/>
  <c r="LA12" i="67"/>
  <c r="KS12" i="67"/>
  <c r="KK12" i="67"/>
  <c r="KC12" i="67"/>
  <c r="JU12" i="67"/>
  <c r="JM12" i="67"/>
  <c r="JE12" i="67"/>
  <c r="IW12" i="67"/>
  <c r="IO12" i="67"/>
  <c r="IG12" i="67"/>
  <c r="HY12" i="67"/>
  <c r="HQ12" i="67"/>
  <c r="HI12" i="67"/>
  <c r="HA12" i="67"/>
  <c r="GS12" i="67"/>
  <c r="GK12" i="67"/>
  <c r="GC12" i="67"/>
  <c r="FU12" i="67"/>
  <c r="FM12" i="67"/>
  <c r="FE12" i="67"/>
  <c r="EW12" i="67"/>
  <c r="EO12" i="67"/>
  <c r="EG12" i="67"/>
  <c r="DY12" i="67"/>
  <c r="DQ12" i="67"/>
  <c r="DI12" i="67"/>
  <c r="DA12" i="67"/>
  <c r="CS12" i="67"/>
  <c r="CK12" i="67"/>
  <c r="CC12" i="67"/>
  <c r="BU12" i="67"/>
  <c r="BM12" i="67"/>
  <c r="BE12" i="67"/>
  <c r="AW12" i="67"/>
  <c r="AO12" i="67"/>
  <c r="AG12" i="67"/>
  <c r="Y12" i="67"/>
  <c r="Q12" i="67"/>
  <c r="I12" i="67"/>
  <c r="A12" i="67"/>
  <c r="LT11" i="67"/>
  <c r="LL11" i="67"/>
  <c r="LD11" i="67"/>
  <c r="KV11" i="67"/>
  <c r="KN11" i="67"/>
  <c r="KF11" i="67"/>
  <c r="JX11" i="67"/>
  <c r="JP11" i="67"/>
  <c r="JH11" i="67"/>
  <c r="IZ11" i="67"/>
  <c r="IR11" i="67"/>
  <c r="IJ11" i="67"/>
  <c r="IB11" i="67"/>
  <c r="HT11" i="67"/>
  <c r="HL11" i="67"/>
  <c r="HD11" i="67"/>
  <c r="GV11" i="67"/>
  <c r="GN11" i="67"/>
  <c r="GF11" i="67"/>
  <c r="FX11" i="67"/>
  <c r="FP11" i="67"/>
  <c r="FH11" i="67"/>
  <c r="EZ11" i="67"/>
  <c r="ER11" i="67"/>
  <c r="EJ11" i="67"/>
  <c r="EB11" i="67"/>
  <c r="DT11" i="67"/>
  <c r="DL11" i="67"/>
  <c r="DD11" i="67"/>
  <c r="CV11" i="67"/>
  <c r="CN11" i="67"/>
  <c r="CF11" i="67"/>
  <c r="BX11" i="67"/>
  <c r="BP11" i="67"/>
  <c r="BH11" i="67"/>
  <c r="AZ11" i="67"/>
  <c r="LZ13" i="67"/>
  <c r="LZ55" i="67"/>
  <c r="LR13" i="67"/>
  <c r="LR55" i="67"/>
  <c r="LJ13" i="67"/>
  <c r="LJ55" i="67"/>
  <c r="LB13" i="67"/>
  <c r="LB55" i="67"/>
  <c r="KT13" i="67"/>
  <c r="KT55" i="67"/>
  <c r="KL13" i="67"/>
  <c r="KL55" i="67"/>
  <c r="KD13" i="67"/>
  <c r="KD55" i="67"/>
  <c r="JV13" i="67"/>
  <c r="JV55" i="67"/>
  <c r="JN13" i="67"/>
  <c r="JN55" i="67"/>
  <c r="JF13" i="67"/>
  <c r="JF55" i="67"/>
  <c r="IX13" i="67"/>
  <c r="IX55" i="67"/>
  <c r="IP13" i="67"/>
  <c r="IP55" i="67"/>
  <c r="IH13" i="67"/>
  <c r="IH55" i="67"/>
  <c r="HZ13" i="67"/>
  <c r="HZ55" i="67"/>
  <c r="HR13" i="67"/>
  <c r="HR55" i="67"/>
  <c r="HJ13" i="67"/>
  <c r="HJ55" i="67"/>
  <c r="HB13" i="67"/>
  <c r="HB55" i="67"/>
  <c r="GT13" i="67"/>
  <c r="GT55" i="67"/>
  <c r="GL13" i="67"/>
  <c r="GL55" i="67"/>
  <c r="GD13" i="67"/>
  <c r="GD55" i="67"/>
  <c r="FV13" i="67"/>
  <c r="FV55" i="67"/>
  <c r="FN13" i="67"/>
  <c r="FN55" i="67"/>
  <c r="FF13" i="67"/>
  <c r="FF55" i="67"/>
  <c r="EX13" i="67"/>
  <c r="EX55" i="67"/>
  <c r="EP13" i="67"/>
  <c r="EP55" i="67"/>
  <c r="EH13" i="67"/>
  <c r="EH55" i="67"/>
  <c r="DZ13" i="67"/>
  <c r="DZ55" i="67"/>
  <c r="DR13" i="67"/>
  <c r="DR55" i="67"/>
  <c r="DJ13" i="67"/>
  <c r="DJ55" i="67"/>
  <c r="DB13" i="67"/>
  <c r="DB55" i="67"/>
  <c r="CT13" i="67"/>
  <c r="CT55" i="67"/>
  <c r="CL13" i="67"/>
  <c r="CL55" i="67"/>
  <c r="CD13" i="67"/>
  <c r="CD55" i="67"/>
  <c r="BV13" i="67"/>
  <c r="BV55" i="67"/>
  <c r="BN13" i="67"/>
  <c r="BN55" i="67"/>
  <c r="BF13" i="67"/>
  <c r="BF55" i="67"/>
  <c r="AX13" i="67"/>
  <c r="AX55" i="67"/>
  <c r="AP13" i="67"/>
  <c r="AP55" i="67"/>
  <c r="AH13" i="67"/>
  <c r="AH55" i="67"/>
  <c r="Z13" i="67"/>
  <c r="Z55" i="67"/>
  <c r="R13" i="67"/>
  <c r="R55" i="67"/>
  <c r="J13" i="67"/>
  <c r="J55" i="67"/>
  <c r="B13" i="67"/>
  <c r="B55" i="67"/>
  <c r="LU54" i="67"/>
  <c r="LM54" i="67"/>
  <c r="LE54" i="67"/>
  <c r="KW54" i="67"/>
  <c r="KO54" i="67"/>
  <c r="KG54" i="67"/>
  <c r="JY54" i="67"/>
  <c r="JQ54" i="67"/>
  <c r="JI54" i="67"/>
  <c r="JA54" i="67"/>
  <c r="IS54" i="67"/>
  <c r="IK54" i="67"/>
  <c r="IC54" i="67"/>
  <c r="HU54" i="67"/>
  <c r="HM54" i="67"/>
  <c r="HE54" i="67"/>
  <c r="GW54" i="67"/>
  <c r="GO54" i="67"/>
  <c r="GG54" i="67"/>
  <c r="FY54" i="67"/>
  <c r="FQ54" i="67"/>
  <c r="FI54" i="67"/>
  <c r="FA54" i="67"/>
  <c r="ES54" i="67"/>
  <c r="EK54" i="67"/>
  <c r="EC54" i="67"/>
  <c r="DU54" i="67"/>
  <c r="DM54" i="67"/>
  <c r="DE54" i="67"/>
  <c r="CW54" i="67"/>
  <c r="CO54" i="67"/>
  <c r="CG54" i="67"/>
  <c r="BY54" i="67"/>
  <c r="BQ54" i="67"/>
  <c r="BI54" i="67"/>
  <c r="BA54" i="67"/>
  <c r="AS54" i="67"/>
  <c r="AK54" i="67"/>
  <c r="AC54" i="67"/>
  <c r="U54" i="67"/>
  <c r="M54" i="67"/>
  <c r="E54" i="67"/>
  <c r="LX12" i="67"/>
  <c r="LP12" i="67"/>
  <c r="LH12" i="67"/>
  <c r="KZ12" i="67"/>
  <c r="KR12" i="67"/>
  <c r="KJ12" i="67"/>
  <c r="KB12" i="67"/>
  <c r="JT12" i="67"/>
  <c r="JL12" i="67"/>
  <c r="JD12" i="67"/>
  <c r="IV12" i="67"/>
  <c r="IN12" i="67"/>
  <c r="IF12" i="67"/>
  <c r="HX12" i="67"/>
  <c r="HP12" i="67"/>
  <c r="HH12" i="67"/>
  <c r="GZ12" i="67"/>
  <c r="GR12" i="67"/>
  <c r="GJ12" i="67"/>
  <c r="GB12" i="67"/>
  <c r="FT12" i="67"/>
  <c r="FL12" i="67"/>
  <c r="FD12" i="67"/>
  <c r="EV12" i="67"/>
  <c r="EN12" i="67"/>
  <c r="EF12" i="67"/>
  <c r="DX12" i="67"/>
  <c r="DP12" i="67"/>
  <c r="DH12" i="67"/>
  <c r="CZ12" i="67"/>
  <c r="CR12" i="67"/>
  <c r="CJ12" i="67"/>
  <c r="CB12" i="67"/>
  <c r="BT12" i="67"/>
  <c r="BL12" i="67"/>
  <c r="BD12" i="67"/>
  <c r="AV12" i="67"/>
  <c r="AN12" i="67"/>
  <c r="AF12" i="67"/>
  <c r="X12" i="67"/>
  <c r="P12" i="67"/>
  <c r="H12" i="67"/>
  <c r="MA11" i="67"/>
  <c r="LS11" i="67"/>
  <c r="LK11" i="67"/>
  <c r="LC11" i="67"/>
  <c r="KU11" i="67"/>
  <c r="KM11" i="67"/>
  <c r="KE11" i="67"/>
  <c r="JW11" i="67"/>
  <c r="JO11" i="67"/>
  <c r="JG11" i="67"/>
  <c r="IY11" i="67"/>
  <c r="IQ11" i="67"/>
  <c r="II11" i="67"/>
  <c r="IA11" i="67"/>
  <c r="HS11" i="67"/>
  <c r="HK11" i="67"/>
  <c r="HC11" i="67"/>
  <c r="GU11" i="67"/>
  <c r="GM11" i="67"/>
  <c r="GE11" i="67"/>
  <c r="FW11" i="67"/>
  <c r="FO11" i="67"/>
  <c r="FG11" i="67"/>
  <c r="EY11" i="67"/>
  <c r="EQ11" i="67"/>
  <c r="EI11" i="67"/>
  <c r="EA11" i="67"/>
  <c r="DS11" i="67"/>
  <c r="DK11" i="67"/>
  <c r="DC11" i="67"/>
  <c r="CU11" i="67"/>
  <c r="CM11" i="67"/>
  <c r="CE11" i="67"/>
  <c r="BW11" i="67"/>
  <c r="BO11" i="67"/>
  <c r="BG11" i="67"/>
  <c r="AY11" i="67"/>
  <c r="AQ11" i="67"/>
  <c r="LY13" i="67"/>
  <c r="LY55" i="67"/>
  <c r="LQ13" i="67"/>
  <c r="LQ55" i="67"/>
  <c r="LI13" i="67"/>
  <c r="LI55" i="67"/>
  <c r="LA13" i="67"/>
  <c r="LA55" i="67"/>
  <c r="KS13" i="67"/>
  <c r="KS55" i="67"/>
  <c r="KK13" i="67"/>
  <c r="KK55" i="67"/>
  <c r="KC13" i="67"/>
  <c r="KC55" i="67"/>
  <c r="JU13" i="67"/>
  <c r="JU55" i="67"/>
  <c r="JM13" i="67"/>
  <c r="JM55" i="67"/>
  <c r="JE13" i="67"/>
  <c r="JE55" i="67"/>
  <c r="IW13" i="67"/>
  <c r="IW55" i="67"/>
  <c r="IO13" i="67"/>
  <c r="IO55" i="67"/>
  <c r="IG13" i="67"/>
  <c r="IG55" i="67"/>
  <c r="HY13" i="67"/>
  <c r="HY55" i="67"/>
  <c r="HQ13" i="67"/>
  <c r="HQ55" i="67"/>
  <c r="HI13" i="67"/>
  <c r="HI55" i="67"/>
  <c r="HA13" i="67"/>
  <c r="HA55" i="67"/>
  <c r="GS13" i="67"/>
  <c r="GS55" i="67"/>
  <c r="GK13" i="67"/>
  <c r="GK55" i="67"/>
  <c r="GC13" i="67"/>
  <c r="GC55" i="67"/>
  <c r="FU13" i="67"/>
  <c r="FU55" i="67"/>
  <c r="FM13" i="67"/>
  <c r="FM55" i="67"/>
  <c r="FE13" i="67"/>
  <c r="FE55" i="67"/>
  <c r="EW13" i="67"/>
  <c r="EW55" i="67"/>
  <c r="EO13" i="67"/>
  <c r="EO55" i="67"/>
  <c r="EG13" i="67"/>
  <c r="EG55" i="67"/>
  <c r="DY13" i="67"/>
  <c r="DY55" i="67"/>
  <c r="DQ13" i="67"/>
  <c r="DQ55" i="67"/>
  <c r="DI13" i="67"/>
  <c r="DI55" i="67"/>
  <c r="DA13" i="67"/>
  <c r="DA55" i="67"/>
  <c r="CS13" i="67"/>
  <c r="CS55" i="67"/>
  <c r="CK13" i="67"/>
  <c r="CK55" i="67"/>
  <c r="CC13" i="67"/>
  <c r="CC55" i="67"/>
  <c r="BU13" i="67"/>
  <c r="BU55" i="67"/>
  <c r="BM13" i="67"/>
  <c r="BM55" i="67"/>
  <c r="BE13" i="67"/>
  <c r="BE55" i="67"/>
  <c r="AW13" i="67"/>
  <c r="AW55" i="67"/>
  <c r="AO13" i="67"/>
  <c r="AO55" i="67"/>
  <c r="AG13" i="67"/>
  <c r="AG55" i="67"/>
  <c r="Y13" i="67"/>
  <c r="Y55" i="67"/>
  <c r="Q13" i="67"/>
  <c r="Q55" i="67"/>
  <c r="I13" i="67"/>
  <c r="I55" i="67"/>
  <c r="A13" i="67"/>
  <c r="A55" i="67"/>
  <c r="LT54" i="67"/>
  <c r="LL54" i="67"/>
  <c r="LD54" i="67"/>
  <c r="KV54" i="67"/>
  <c r="KN54" i="67"/>
  <c r="KF54" i="67"/>
  <c r="JX54" i="67"/>
  <c r="JP54" i="67"/>
  <c r="JH54" i="67"/>
  <c r="IZ54" i="67"/>
  <c r="IR54" i="67"/>
  <c r="IJ54" i="67"/>
  <c r="IB54" i="67"/>
  <c r="HT54" i="67"/>
  <c r="HL54" i="67"/>
  <c r="HD54" i="67"/>
  <c r="GV54" i="67"/>
  <c r="GN54" i="67"/>
  <c r="GF54" i="67"/>
  <c r="FX54" i="67"/>
  <c r="FP54" i="67"/>
  <c r="FH54" i="67"/>
  <c r="EZ54" i="67"/>
  <c r="ER54" i="67"/>
  <c r="EJ54" i="67"/>
  <c r="EB54" i="67"/>
  <c r="DT54" i="67"/>
  <c r="DL54" i="67"/>
  <c r="DD54" i="67"/>
  <c r="CV54" i="67"/>
  <c r="CN54" i="67"/>
  <c r="CF54" i="67"/>
  <c r="BX54" i="67"/>
  <c r="BP54" i="67"/>
  <c r="BH54" i="67"/>
  <c r="AZ54" i="67"/>
  <c r="AR54" i="67"/>
  <c r="AJ54" i="67"/>
  <c r="AB54" i="67"/>
  <c r="T54" i="67"/>
  <c r="L54" i="67"/>
  <c r="D54" i="67"/>
  <c r="LW12" i="67"/>
  <c r="LO12" i="67"/>
  <c r="LG12" i="67"/>
  <c r="KY12" i="67"/>
  <c r="KQ12" i="67"/>
  <c r="KI12" i="67"/>
  <c r="KA12" i="67"/>
  <c r="JS12" i="67"/>
  <c r="JK12" i="67"/>
  <c r="JC12" i="67"/>
  <c r="IU12" i="67"/>
  <c r="IM12" i="67"/>
  <c r="IE12" i="67"/>
  <c r="HW12" i="67"/>
  <c r="HO12" i="67"/>
  <c r="HG12" i="67"/>
  <c r="GY12" i="67"/>
  <c r="GQ12" i="67"/>
  <c r="GI12" i="67"/>
  <c r="GA12" i="67"/>
  <c r="FS12" i="67"/>
  <c r="FK12" i="67"/>
  <c r="FC12" i="67"/>
  <c r="EU12" i="67"/>
  <c r="EM12" i="67"/>
  <c r="EE12" i="67"/>
  <c r="DW12" i="67"/>
  <c r="DO12" i="67"/>
  <c r="DG12" i="67"/>
  <c r="CY12" i="67"/>
  <c r="CQ12" i="67"/>
  <c r="CI12" i="67"/>
  <c r="CA12" i="67"/>
  <c r="BS12" i="67"/>
  <c r="BK12" i="67"/>
  <c r="BC12" i="67"/>
  <c r="AU12" i="67"/>
  <c r="AM12" i="67"/>
  <c r="AE12" i="67"/>
  <c r="W12" i="67"/>
  <c r="O12" i="67"/>
  <c r="G12" i="67"/>
  <c r="LZ11" i="67"/>
  <c r="LR11" i="67"/>
  <c r="LJ11" i="67"/>
  <c r="LB11" i="67"/>
  <c r="KT11" i="67"/>
  <c r="KL11" i="67"/>
  <c r="KD11" i="67"/>
  <c r="JV11" i="67"/>
  <c r="JN11" i="67"/>
  <c r="JF11" i="67"/>
  <c r="IX11" i="67"/>
  <c r="IP11" i="67"/>
  <c r="IH11" i="67"/>
  <c r="HZ11" i="67"/>
  <c r="HR11" i="67"/>
  <c r="HJ11" i="67"/>
  <c r="HB11" i="67"/>
  <c r="LX13" i="67"/>
  <c r="LX55" i="67"/>
  <c r="LP13" i="67"/>
  <c r="LP55" i="67"/>
  <c r="LH13" i="67"/>
  <c r="LH55" i="67"/>
  <c r="KZ13" i="67"/>
  <c r="KZ55" i="67"/>
  <c r="KR13" i="67"/>
  <c r="KR55" i="67"/>
  <c r="KJ13" i="67"/>
  <c r="KJ55" i="67"/>
  <c r="KB13" i="67"/>
  <c r="KB55" i="67"/>
  <c r="JT13" i="67"/>
  <c r="JT55" i="67"/>
  <c r="JL13" i="67"/>
  <c r="JL55" i="67"/>
  <c r="JD13" i="67"/>
  <c r="JD55" i="67"/>
  <c r="IV13" i="67"/>
  <c r="IV55" i="67"/>
  <c r="IN13" i="67"/>
  <c r="IN55" i="67"/>
  <c r="IF13" i="67"/>
  <c r="IF55" i="67"/>
  <c r="HX13" i="67"/>
  <c r="HX55" i="67"/>
  <c r="HP13" i="67"/>
  <c r="HP55" i="67"/>
  <c r="HH13" i="67"/>
  <c r="HH55" i="67"/>
  <c r="GZ13" i="67"/>
  <c r="GZ55" i="67"/>
  <c r="GR13" i="67"/>
  <c r="GR55" i="67"/>
  <c r="GJ13" i="67"/>
  <c r="GJ55" i="67"/>
  <c r="GB13" i="67"/>
  <c r="GB55" i="67"/>
  <c r="FT13" i="67"/>
  <c r="FT55" i="67"/>
  <c r="FL13" i="67"/>
  <c r="FL55" i="67"/>
  <c r="FD13" i="67"/>
  <c r="FD55" i="67"/>
  <c r="EV13" i="67"/>
  <c r="EV55" i="67"/>
  <c r="EN13" i="67"/>
  <c r="EN55" i="67"/>
  <c r="EF13" i="67"/>
  <c r="EF55" i="67"/>
  <c r="DX13" i="67"/>
  <c r="DX55" i="67"/>
  <c r="DP13" i="67"/>
  <c r="DP55" i="67"/>
  <c r="DH13" i="67"/>
  <c r="DH55" i="67"/>
  <c r="CZ13" i="67"/>
  <c r="CZ55" i="67"/>
  <c r="CR13" i="67"/>
  <c r="CR55" i="67"/>
  <c r="CJ13" i="67"/>
  <c r="CJ55" i="67"/>
  <c r="CB13" i="67"/>
  <c r="CB55" i="67"/>
  <c r="BT13" i="67"/>
  <c r="BT55" i="67"/>
  <c r="BL13" i="67"/>
  <c r="BL55" i="67"/>
  <c r="BD13" i="67"/>
  <c r="BD55" i="67"/>
  <c r="AV13" i="67"/>
  <c r="AV55" i="67"/>
  <c r="AN13" i="67"/>
  <c r="AN55" i="67"/>
  <c r="AF13" i="67"/>
  <c r="AF55" i="67"/>
  <c r="X13" i="67"/>
  <c r="X55" i="67"/>
  <c r="P13" i="67"/>
  <c r="P55" i="67"/>
  <c r="H13" i="67"/>
  <c r="H55" i="67"/>
  <c r="MA54" i="67"/>
  <c r="LS54" i="67"/>
  <c r="LK54" i="67"/>
  <c r="LC54" i="67"/>
  <c r="KU54" i="67"/>
  <c r="KM54" i="67"/>
  <c r="KE54" i="67"/>
  <c r="JW54" i="67"/>
  <c r="JO54" i="67"/>
  <c r="JG54" i="67"/>
  <c r="IY54" i="67"/>
  <c r="IQ54" i="67"/>
  <c r="II54" i="67"/>
  <c r="IA54" i="67"/>
  <c r="HS54" i="67"/>
  <c r="HK54" i="67"/>
  <c r="HC54" i="67"/>
  <c r="GU54" i="67"/>
  <c r="GM54" i="67"/>
  <c r="GE54" i="67"/>
  <c r="FW54" i="67"/>
  <c r="FO54" i="67"/>
  <c r="FG54" i="67"/>
  <c r="EY54" i="67"/>
  <c r="EQ54" i="67"/>
  <c r="EI54" i="67"/>
  <c r="EA54" i="67"/>
  <c r="DS54" i="67"/>
  <c r="DK54" i="67"/>
  <c r="DC54" i="67"/>
  <c r="CU54" i="67"/>
  <c r="CM54" i="67"/>
  <c r="CE54" i="67"/>
  <c r="BW54" i="67"/>
  <c r="BO54" i="67"/>
  <c r="BG54" i="67"/>
  <c r="AY54" i="67"/>
  <c r="AQ54" i="67"/>
  <c r="AI54" i="67"/>
  <c r="AA54" i="67"/>
  <c r="S54" i="67"/>
  <c r="K54" i="67"/>
  <c r="C54" i="67"/>
  <c r="LV12" i="67"/>
  <c r="LN12" i="67"/>
  <c r="LF12" i="67"/>
  <c r="KX12" i="67"/>
  <c r="KP12" i="67"/>
  <c r="KH12" i="67"/>
  <c r="JZ12" i="67"/>
  <c r="JR12" i="67"/>
  <c r="JJ12" i="67"/>
  <c r="JB12" i="67"/>
  <c r="IT12" i="67"/>
  <c r="IL12" i="67"/>
  <c r="ID12" i="67"/>
  <c r="HV12" i="67"/>
  <c r="HN12" i="67"/>
  <c r="HF12" i="67"/>
  <c r="GX12" i="67"/>
  <c r="GP12" i="67"/>
  <c r="GH12" i="67"/>
  <c r="FZ12" i="67"/>
  <c r="FR12" i="67"/>
  <c r="FJ12" i="67"/>
  <c r="FB12" i="67"/>
  <c r="ET12" i="67"/>
  <c r="EL12" i="67"/>
  <c r="ED12" i="67"/>
  <c r="DV12" i="67"/>
  <c r="DN12" i="67"/>
  <c r="DF12" i="67"/>
  <c r="CX12" i="67"/>
  <c r="CP12" i="67"/>
  <c r="CH12" i="67"/>
  <c r="BZ12" i="67"/>
  <c r="BR12" i="67"/>
  <c r="BJ12" i="67"/>
  <c r="BB12" i="67"/>
  <c r="AT12" i="67"/>
  <c r="AL12" i="67"/>
  <c r="AD12" i="67"/>
  <c r="V12" i="67"/>
  <c r="N12" i="67"/>
  <c r="F12" i="67"/>
  <c r="LY11" i="67"/>
  <c r="LQ11" i="67"/>
  <c r="LI11" i="67"/>
  <c r="LA11" i="67"/>
  <c r="KS11" i="67"/>
  <c r="KK11" i="67"/>
  <c r="KC11" i="67"/>
  <c r="JU11" i="67"/>
  <c r="JM11" i="67"/>
  <c r="JE11" i="67"/>
  <c r="IW11" i="67"/>
  <c r="IO11" i="67"/>
  <c r="IG11" i="67"/>
  <c r="HY11" i="67"/>
  <c r="HQ11" i="67"/>
  <c r="HI11" i="67"/>
  <c r="HA11" i="67"/>
  <c r="GS11" i="67"/>
  <c r="GK11" i="67"/>
  <c r="GC11" i="67"/>
  <c r="FU11" i="67"/>
  <c r="FM11" i="67"/>
  <c r="FE11" i="67"/>
  <c r="EW11" i="67"/>
  <c r="EO11" i="67"/>
  <c r="EG11" i="67"/>
  <c r="DY11" i="67"/>
  <c r="DQ11" i="67"/>
  <c r="DI11" i="67"/>
  <c r="DA11" i="67"/>
  <c r="CS11" i="67"/>
  <c r="CK11" i="67"/>
  <c r="CC11" i="67"/>
  <c r="BU11" i="67"/>
  <c r="BM11" i="67"/>
  <c r="BE11" i="67"/>
  <c r="AW11" i="67"/>
  <c r="LW13" i="67"/>
  <c r="LW55" i="67"/>
  <c r="LO13" i="67"/>
  <c r="LO55" i="67"/>
  <c r="LG13" i="67"/>
  <c r="LG55" i="67"/>
  <c r="KY13" i="67"/>
  <c r="KY55" i="67"/>
  <c r="KQ13" i="67"/>
  <c r="KQ55" i="67"/>
  <c r="KI13" i="67"/>
  <c r="KI55" i="67"/>
  <c r="KA13" i="67"/>
  <c r="KA55" i="67"/>
  <c r="JS13" i="67"/>
  <c r="JS55" i="67"/>
  <c r="JK13" i="67"/>
  <c r="JK55" i="67"/>
  <c r="JC13" i="67"/>
  <c r="JC55" i="67"/>
  <c r="IU13" i="67"/>
  <c r="IU55" i="67"/>
  <c r="IM13" i="67"/>
  <c r="IM55" i="67"/>
  <c r="IE13" i="67"/>
  <c r="IE55" i="67"/>
  <c r="HW13" i="67"/>
  <c r="HW55" i="67"/>
  <c r="HO13" i="67"/>
  <c r="HO55" i="67"/>
  <c r="HG13" i="67"/>
  <c r="HG55" i="67"/>
  <c r="GY13" i="67"/>
  <c r="GY55" i="67"/>
  <c r="GQ13" i="67"/>
  <c r="GQ55" i="67"/>
  <c r="GI13" i="67"/>
  <c r="GI55" i="67"/>
  <c r="GA13" i="67"/>
  <c r="GA55" i="67"/>
  <c r="FS13" i="67"/>
  <c r="FS55" i="67"/>
  <c r="FK13" i="67"/>
  <c r="FK55" i="67"/>
  <c r="FC13" i="67"/>
  <c r="FC55" i="67"/>
  <c r="EU13" i="67"/>
  <c r="EU55" i="67"/>
  <c r="EM13" i="67"/>
  <c r="EM55" i="67"/>
  <c r="EE13" i="67"/>
  <c r="EE55" i="67"/>
  <c r="DW13" i="67"/>
  <c r="DW55" i="67"/>
  <c r="DO13" i="67"/>
  <c r="DO55" i="67"/>
  <c r="DG13" i="67"/>
  <c r="DG55" i="67"/>
  <c r="CY13" i="67"/>
  <c r="CY55" i="67"/>
  <c r="CQ13" i="67"/>
  <c r="CQ55" i="67"/>
  <c r="CI13" i="67"/>
  <c r="CI55" i="67"/>
  <c r="CA13" i="67"/>
  <c r="CA55" i="67"/>
  <c r="BS13" i="67"/>
  <c r="BS55" i="67"/>
  <c r="BK13" i="67"/>
  <c r="BK55" i="67"/>
  <c r="BC13" i="67"/>
  <c r="BC55" i="67"/>
  <c r="AU13" i="67"/>
  <c r="AU55" i="67"/>
  <c r="AM13" i="67"/>
  <c r="AM55" i="67"/>
  <c r="AE13" i="67"/>
  <c r="AE55" i="67"/>
  <c r="W13" i="67"/>
  <c r="W55" i="67"/>
  <c r="O13" i="67"/>
  <c r="O55" i="67"/>
  <c r="G13" i="67"/>
  <c r="G55" i="67"/>
  <c r="LZ54" i="67"/>
  <c r="LR54" i="67"/>
  <c r="LJ54" i="67"/>
  <c r="LB54" i="67"/>
  <c r="KT54" i="67"/>
  <c r="KL54" i="67"/>
  <c r="KD54" i="67"/>
  <c r="JV54" i="67"/>
  <c r="JN54" i="67"/>
  <c r="JF54" i="67"/>
  <c r="IX54" i="67"/>
  <c r="IP54" i="67"/>
  <c r="IH54" i="67"/>
  <c r="HZ54" i="67"/>
  <c r="HR54" i="67"/>
  <c r="HJ54" i="67"/>
  <c r="HB54" i="67"/>
  <c r="GT54" i="67"/>
  <c r="GL54" i="67"/>
  <c r="GD54" i="67"/>
  <c r="FV54" i="67"/>
  <c r="FN54" i="67"/>
  <c r="FF54" i="67"/>
  <c r="EX54" i="67"/>
  <c r="EP54" i="67"/>
  <c r="EH54" i="67"/>
  <c r="DZ54" i="67"/>
  <c r="DR54" i="67"/>
  <c r="DJ54" i="67"/>
  <c r="DB54" i="67"/>
  <c r="CT54" i="67"/>
  <c r="CL54" i="67"/>
  <c r="CD54" i="67"/>
  <c r="BV54" i="67"/>
  <c r="BN54" i="67"/>
  <c r="BF54" i="67"/>
  <c r="AX54" i="67"/>
  <c r="AP54" i="67"/>
  <c r="AH54" i="67"/>
  <c r="Z54" i="67"/>
  <c r="R54" i="67"/>
  <c r="J54" i="67"/>
  <c r="B54" i="67"/>
  <c r="LU12" i="67"/>
  <c r="LM12" i="67"/>
  <c r="LE12" i="67"/>
  <c r="KW12" i="67"/>
  <c r="KO12" i="67"/>
  <c r="KG12" i="67"/>
  <c r="JY12" i="67"/>
  <c r="JQ12" i="67"/>
  <c r="JI12" i="67"/>
  <c r="JA12" i="67"/>
  <c r="IS12" i="67"/>
  <c r="IK12" i="67"/>
  <c r="IC12" i="67"/>
  <c r="HU12" i="67"/>
  <c r="HM12" i="67"/>
  <c r="HE12" i="67"/>
  <c r="GW12" i="67"/>
  <c r="GO12" i="67"/>
  <c r="GG12" i="67"/>
  <c r="FY12" i="67"/>
  <c r="FQ12" i="67"/>
  <c r="FI12" i="67"/>
  <c r="FA12" i="67"/>
  <c r="ES12" i="67"/>
  <c r="EK12" i="67"/>
  <c r="EC12" i="67"/>
  <c r="DU12" i="67"/>
  <c r="DM12" i="67"/>
  <c r="DE12" i="67"/>
  <c r="CW12" i="67"/>
  <c r="CO12" i="67"/>
  <c r="CG12" i="67"/>
  <c r="BY12" i="67"/>
  <c r="BQ12" i="67"/>
  <c r="BI12" i="67"/>
  <c r="BA12" i="67"/>
  <c r="AS12" i="67"/>
  <c r="AK12" i="67"/>
  <c r="AC12" i="67"/>
  <c r="U12" i="67"/>
  <c r="M12" i="67"/>
  <c r="E12" i="67"/>
  <c r="LX11" i="67"/>
  <c r="LP11" i="67"/>
  <c r="LH11" i="67"/>
  <c r="KZ11" i="67"/>
  <c r="KR11" i="67"/>
  <c r="KJ11" i="67"/>
  <c r="KB11" i="67"/>
  <c r="JT11" i="67"/>
  <c r="JL11" i="67"/>
  <c r="JD11" i="67"/>
  <c r="IV11" i="67"/>
  <c r="IN11" i="67"/>
  <c r="IF11" i="67"/>
  <c r="HX11" i="67"/>
  <c r="HP11" i="67"/>
  <c r="HH11" i="67"/>
  <c r="GZ11" i="67"/>
  <c r="GR11" i="67"/>
  <c r="GJ11" i="67"/>
  <c r="GB11" i="67"/>
  <c r="FT11" i="67"/>
  <c r="FL11" i="67"/>
  <c r="FD11" i="67"/>
  <c r="EV11" i="67"/>
  <c r="EN11" i="67"/>
  <c r="EF11" i="67"/>
  <c r="DX11" i="67"/>
  <c r="DP11" i="67"/>
  <c r="DH11" i="67"/>
  <c r="CZ11" i="67"/>
  <c r="CR11" i="67"/>
  <c r="CJ11" i="67"/>
  <c r="CB11" i="67"/>
  <c r="BT11" i="67"/>
  <c r="BL11" i="67"/>
  <c r="BD11" i="67"/>
  <c r="AV11" i="67"/>
  <c r="AN11" i="67"/>
  <c r="LV13" i="67"/>
  <c r="LV55" i="67"/>
  <c r="LN13" i="67"/>
  <c r="LN55" i="67"/>
  <c r="LF13" i="67"/>
  <c r="LF55" i="67"/>
  <c r="KX13" i="67"/>
  <c r="KX55" i="67"/>
  <c r="KP13" i="67"/>
  <c r="KP55" i="67"/>
  <c r="KH13" i="67"/>
  <c r="KH55" i="67"/>
  <c r="JZ13" i="67"/>
  <c r="JZ55" i="67"/>
  <c r="JR13" i="67"/>
  <c r="JR55" i="67"/>
  <c r="JJ13" i="67"/>
  <c r="JJ55" i="67"/>
  <c r="JB13" i="67"/>
  <c r="JB55" i="67"/>
  <c r="IT13" i="67"/>
  <c r="IT55" i="67"/>
  <c r="IL13" i="67"/>
  <c r="IL55" i="67"/>
  <c r="ID13" i="67"/>
  <c r="ID55" i="67"/>
  <c r="HV13" i="67"/>
  <c r="HV55" i="67"/>
  <c r="HN13" i="67"/>
  <c r="HN55" i="67"/>
  <c r="HF13" i="67"/>
  <c r="HF55" i="67"/>
  <c r="GX13" i="67"/>
  <c r="GX55" i="67"/>
  <c r="GP13" i="67"/>
  <c r="GP55" i="67"/>
  <c r="GH13" i="67"/>
  <c r="GH55" i="67"/>
  <c r="FZ13" i="67"/>
  <c r="FZ55" i="67"/>
  <c r="FR13" i="67"/>
  <c r="FR55" i="67"/>
  <c r="FJ13" i="67"/>
  <c r="FJ55" i="67"/>
  <c r="FB13" i="67"/>
  <c r="FB55" i="67"/>
  <c r="ET13" i="67"/>
  <c r="ET55" i="67"/>
  <c r="EL13" i="67"/>
  <c r="EL55" i="67"/>
  <c r="ED13" i="67"/>
  <c r="ED55" i="67"/>
  <c r="DV13" i="67"/>
  <c r="DV55" i="67"/>
  <c r="DN13" i="67"/>
  <c r="DN55" i="67"/>
  <c r="DF13" i="67"/>
  <c r="DF55" i="67"/>
  <c r="CX13" i="67"/>
  <c r="CX55" i="67"/>
  <c r="CP13" i="67"/>
  <c r="CP55" i="67"/>
  <c r="CH13" i="67"/>
  <c r="CH55" i="67"/>
  <c r="BZ13" i="67"/>
  <c r="BZ55" i="67"/>
  <c r="BR13" i="67"/>
  <c r="BR55" i="67"/>
  <c r="BJ13" i="67"/>
  <c r="BJ55" i="67"/>
  <c r="BB13" i="67"/>
  <c r="BB55" i="67"/>
  <c r="AT13" i="67"/>
  <c r="AT55" i="67"/>
  <c r="AL13" i="67"/>
  <c r="AL55" i="67"/>
  <c r="AD13" i="67"/>
  <c r="AD55" i="67"/>
  <c r="V13" i="67"/>
  <c r="V55" i="67"/>
  <c r="N13" i="67"/>
  <c r="N55" i="67"/>
  <c r="F13" i="67"/>
  <c r="F55" i="67"/>
  <c r="LY54" i="67"/>
  <c r="LQ54" i="67"/>
  <c r="LI54" i="67"/>
  <c r="LA54" i="67"/>
  <c r="KS54" i="67"/>
  <c r="KK54" i="67"/>
  <c r="KC54" i="67"/>
  <c r="JU54" i="67"/>
  <c r="JM54" i="67"/>
  <c r="JE54" i="67"/>
  <c r="IW54" i="67"/>
  <c r="IO54" i="67"/>
  <c r="IG54" i="67"/>
  <c r="HY54" i="67"/>
  <c r="HQ54" i="67"/>
  <c r="HI54" i="67"/>
  <c r="HA54" i="67"/>
  <c r="GS54" i="67"/>
  <c r="GK54" i="67"/>
  <c r="GC54" i="67"/>
  <c r="FU54" i="67"/>
  <c r="FM54" i="67"/>
  <c r="FE54" i="67"/>
  <c r="EW54" i="67"/>
  <c r="EO54" i="67"/>
  <c r="EG54" i="67"/>
  <c r="DY54" i="67"/>
  <c r="DQ54" i="67"/>
  <c r="DI54" i="67"/>
  <c r="DA54" i="67"/>
  <c r="CS54" i="67"/>
  <c r="CK54" i="67"/>
  <c r="CC54" i="67"/>
  <c r="BU54" i="67"/>
  <c r="BM54" i="67"/>
  <c r="BE54" i="67"/>
  <c r="AW54" i="67"/>
  <c r="AO54" i="67"/>
  <c r="AG54" i="67"/>
  <c r="Y54" i="67"/>
  <c r="Q54" i="67"/>
  <c r="I54" i="67"/>
  <c r="A54" i="67"/>
  <c r="LT12" i="67"/>
  <c r="LL12" i="67"/>
  <c r="LD12" i="67"/>
  <c r="KV12" i="67"/>
  <c r="KN12" i="67"/>
  <c r="KF12" i="67"/>
  <c r="JX12" i="67"/>
  <c r="JP12" i="67"/>
  <c r="JH12" i="67"/>
  <c r="IZ12" i="67"/>
  <c r="IR12" i="67"/>
  <c r="IJ12" i="67"/>
  <c r="IB12" i="67"/>
  <c r="HT12" i="67"/>
  <c r="HL12" i="67"/>
  <c r="HD12" i="67"/>
  <c r="GV12" i="67"/>
  <c r="GN12" i="67"/>
  <c r="GF12" i="67"/>
  <c r="FX12" i="67"/>
  <c r="FP12" i="67"/>
  <c r="FH12" i="67"/>
  <c r="EZ12" i="67"/>
  <c r="ER12" i="67"/>
  <c r="EJ12" i="67"/>
  <c r="EB12" i="67"/>
  <c r="DT12" i="67"/>
  <c r="DL12" i="67"/>
  <c r="DD12" i="67"/>
  <c r="CV12" i="67"/>
  <c r="CN12" i="67"/>
  <c r="CF12" i="67"/>
  <c r="BX12" i="67"/>
  <c r="BP12" i="67"/>
  <c r="BH12" i="67"/>
  <c r="AZ12" i="67"/>
  <c r="AR12" i="67"/>
  <c r="AJ12" i="67"/>
  <c r="AB12" i="67"/>
  <c r="T12" i="67"/>
  <c r="L12" i="67"/>
  <c r="D12" i="67"/>
  <c r="LW11" i="67"/>
  <c r="LO11" i="67"/>
  <c r="LG11" i="67"/>
  <c r="KY11" i="67"/>
  <c r="KQ11" i="67"/>
  <c r="KI11" i="67"/>
  <c r="KA11" i="67"/>
  <c r="JS11" i="67"/>
  <c r="JK11" i="67"/>
  <c r="JC11" i="67"/>
  <c r="IU11" i="67"/>
  <c r="IM11" i="67"/>
  <c r="IE11" i="67"/>
  <c r="HW11" i="67"/>
  <c r="HO11" i="67"/>
  <c r="HG11" i="67"/>
  <c r="GY11" i="67"/>
  <c r="GQ11" i="67"/>
  <c r="GI11" i="67"/>
  <c r="GA11" i="67"/>
  <c r="FS11" i="67"/>
  <c r="FK11" i="67"/>
  <c r="FC11" i="67"/>
  <c r="EU11" i="67"/>
  <c r="EM11" i="67"/>
  <c r="EE11" i="67"/>
  <c r="DW11" i="67"/>
  <c r="DO11" i="67"/>
  <c r="DG11" i="67"/>
  <c r="CY11" i="67"/>
  <c r="CQ11" i="67"/>
  <c r="CI11" i="67"/>
  <c r="CA11" i="67"/>
  <c r="BS11" i="67"/>
  <c r="GT11" i="67"/>
  <c r="GL11" i="67"/>
  <c r="GD11" i="67"/>
  <c r="FV11" i="67"/>
  <c r="FN11" i="67"/>
  <c r="FF11" i="67"/>
  <c r="EX11" i="67"/>
  <c r="EP11" i="67"/>
  <c r="EH11" i="67"/>
  <c r="DZ11" i="67"/>
  <c r="DR11" i="67"/>
  <c r="DJ11" i="67"/>
  <c r="DB11" i="67"/>
  <c r="CT11" i="67"/>
  <c r="CL11" i="67"/>
  <c r="CD11" i="67"/>
  <c r="BV11" i="67"/>
  <c r="BN11" i="67"/>
  <c r="BF11" i="67"/>
  <c r="AX11" i="67"/>
  <c r="AP11" i="67"/>
  <c r="AH11" i="67"/>
  <c r="Z11" i="67"/>
  <c r="R11" i="67"/>
  <c r="B11" i="67"/>
  <c r="LU10" i="67"/>
  <c r="LM10" i="67"/>
  <c r="LE10" i="67"/>
  <c r="KW10" i="67"/>
  <c r="KO10" i="67"/>
  <c r="KG10" i="67"/>
  <c r="JY10" i="67"/>
  <c r="JQ10" i="67"/>
  <c r="JI10" i="67"/>
  <c r="JA10" i="67"/>
  <c r="IS10" i="67"/>
  <c r="IK10" i="67"/>
  <c r="IC10" i="67"/>
  <c r="HU10" i="67"/>
  <c r="HM10" i="67"/>
  <c r="HE10" i="67"/>
  <c r="GW10" i="67"/>
  <c r="GO10" i="67"/>
  <c r="GG10" i="67"/>
  <c r="FY10" i="67"/>
  <c r="FQ10" i="67"/>
  <c r="FI10" i="67"/>
  <c r="FA10" i="67"/>
  <c r="ES10" i="67"/>
  <c r="EK10" i="67"/>
  <c r="EC10" i="67"/>
  <c r="DU10" i="67"/>
  <c r="DM10" i="67"/>
  <c r="DE10" i="67"/>
  <c r="CW10" i="67"/>
  <c r="CO10" i="67"/>
  <c r="CG10" i="67"/>
  <c r="BY10" i="67"/>
  <c r="BQ10" i="67"/>
  <c r="BI10" i="67"/>
  <c r="BA10" i="67"/>
  <c r="AS10" i="67"/>
  <c r="AK10" i="67"/>
  <c r="AC10" i="67"/>
  <c r="U10" i="67"/>
  <c r="M10" i="67"/>
  <c r="E10" i="67"/>
  <c r="LX9" i="67"/>
  <c r="LP9" i="67"/>
  <c r="LH9" i="67"/>
  <c r="KZ9" i="67"/>
  <c r="KR9" i="67"/>
  <c r="KJ9" i="67"/>
  <c r="KB9" i="67"/>
  <c r="JT9" i="67"/>
  <c r="JL9" i="67"/>
  <c r="JD9" i="67"/>
  <c r="IV9" i="67"/>
  <c r="IN9" i="67"/>
  <c r="IF9" i="67"/>
  <c r="HX9" i="67"/>
  <c r="HP9" i="67"/>
  <c r="HH9" i="67"/>
  <c r="GZ9" i="67"/>
  <c r="GR9" i="67"/>
  <c r="GJ9" i="67"/>
  <c r="GB9" i="67"/>
  <c r="FT9" i="67"/>
  <c r="FL9" i="67"/>
  <c r="FD9" i="67"/>
  <c r="EV9" i="67"/>
  <c r="EN9" i="67"/>
  <c r="EF9" i="67"/>
  <c r="DX9" i="67"/>
  <c r="DP9" i="67"/>
  <c r="DH9" i="67"/>
  <c r="CZ9" i="67"/>
  <c r="CR9" i="67"/>
  <c r="CJ9" i="67"/>
  <c r="CB9" i="67"/>
  <c r="BT9" i="67"/>
  <c r="BL9" i="67"/>
  <c r="BD9" i="67"/>
  <c r="AV9" i="67"/>
  <c r="AN9" i="67"/>
  <c r="AF9" i="67"/>
  <c r="X9" i="67"/>
  <c r="P9" i="67"/>
  <c r="H9" i="67"/>
  <c r="MA8" i="67"/>
  <c r="LS8" i="67"/>
  <c r="LK8" i="67"/>
  <c r="LC8" i="67"/>
  <c r="KU8" i="67"/>
  <c r="KM8" i="67"/>
  <c r="KE8" i="67"/>
  <c r="JW8" i="67"/>
  <c r="JO8" i="67"/>
  <c r="JG8" i="67"/>
  <c r="IY8" i="67"/>
  <c r="IQ8" i="67"/>
  <c r="II8" i="67"/>
  <c r="IA8" i="67"/>
  <c r="HS8" i="67"/>
  <c r="HK8" i="67"/>
  <c r="HC8" i="67"/>
  <c r="GU8" i="67"/>
  <c r="GM8" i="67"/>
  <c r="GE8" i="67"/>
  <c r="FW8" i="67"/>
  <c r="FO8" i="67"/>
  <c r="FG8" i="67"/>
  <c r="EY8" i="67"/>
  <c r="EQ8" i="67"/>
  <c r="EI8" i="67"/>
  <c r="EA8" i="67"/>
  <c r="DS8" i="67"/>
  <c r="DK8" i="67"/>
  <c r="DC8" i="67"/>
  <c r="CU8" i="67"/>
  <c r="CM8" i="67"/>
  <c r="CE8" i="67"/>
  <c r="BW8" i="67"/>
  <c r="BO8" i="67"/>
  <c r="BG8" i="67"/>
  <c r="AY8" i="67"/>
  <c r="AQ8" i="67"/>
  <c r="AI8" i="67"/>
  <c r="AA8" i="67"/>
  <c r="S8" i="67"/>
  <c r="K8" i="67"/>
  <c r="C8" i="67"/>
  <c r="LV7" i="67"/>
  <c r="LN7" i="67"/>
  <c r="LF7" i="67"/>
  <c r="KX7" i="67"/>
  <c r="KP7" i="67"/>
  <c r="KH7" i="67"/>
  <c r="JZ7" i="67"/>
  <c r="JR7" i="67"/>
  <c r="JJ7" i="67"/>
  <c r="JB7" i="67"/>
  <c r="IT7" i="67"/>
  <c r="IL7" i="67"/>
  <c r="ID7" i="67"/>
  <c r="HV7" i="67"/>
  <c r="HN7" i="67"/>
  <c r="HF7" i="67"/>
  <c r="GX7" i="67"/>
  <c r="GP7" i="67"/>
  <c r="GH7" i="67"/>
  <c r="FZ7" i="67"/>
  <c r="FR7" i="67"/>
  <c r="FJ7" i="67"/>
  <c r="FB7" i="67"/>
  <c r="ET7" i="67"/>
  <c r="EL7" i="67"/>
  <c r="ED7" i="67"/>
  <c r="DV7" i="67"/>
  <c r="AO11" i="67"/>
  <c r="AG11" i="67"/>
  <c r="Y11" i="67"/>
  <c r="Q11" i="67"/>
  <c r="I11" i="67"/>
  <c r="A11" i="67"/>
  <c r="LT10" i="67"/>
  <c r="LL10" i="67"/>
  <c r="LD10" i="67"/>
  <c r="KV10" i="67"/>
  <c r="KN10" i="67"/>
  <c r="KF10" i="67"/>
  <c r="JX10" i="67"/>
  <c r="JP10" i="67"/>
  <c r="JH10" i="67"/>
  <c r="IZ10" i="67"/>
  <c r="IR10" i="67"/>
  <c r="IJ10" i="67"/>
  <c r="IB10" i="67"/>
  <c r="HT10" i="67"/>
  <c r="HL10" i="67"/>
  <c r="HD10" i="67"/>
  <c r="GV10" i="67"/>
  <c r="GN10" i="67"/>
  <c r="GF10" i="67"/>
  <c r="FX10" i="67"/>
  <c r="FP10" i="67"/>
  <c r="FH10" i="67"/>
  <c r="EZ10" i="67"/>
  <c r="ER10" i="67"/>
  <c r="EJ10" i="67"/>
  <c r="EB10" i="67"/>
  <c r="DT10" i="67"/>
  <c r="DL10" i="67"/>
  <c r="DD10" i="67"/>
  <c r="CV10" i="67"/>
  <c r="CN10" i="67"/>
  <c r="CF10" i="67"/>
  <c r="BX10" i="67"/>
  <c r="BP10" i="67"/>
  <c r="BH10" i="67"/>
  <c r="AZ10" i="67"/>
  <c r="AR10" i="67"/>
  <c r="AJ10" i="67"/>
  <c r="AB10" i="67"/>
  <c r="T10" i="67"/>
  <c r="L10" i="67"/>
  <c r="D10" i="67"/>
  <c r="LW9" i="67"/>
  <c r="LO9" i="67"/>
  <c r="LG9" i="67"/>
  <c r="KY9" i="67"/>
  <c r="KQ9" i="67"/>
  <c r="KI9" i="67"/>
  <c r="KA9" i="67"/>
  <c r="JS9" i="67"/>
  <c r="JK9" i="67"/>
  <c r="JC9" i="67"/>
  <c r="IU9" i="67"/>
  <c r="IM9" i="67"/>
  <c r="IE9" i="67"/>
  <c r="HW9" i="67"/>
  <c r="HO9" i="67"/>
  <c r="HG9" i="67"/>
  <c r="GY9" i="67"/>
  <c r="GQ9" i="67"/>
  <c r="GI9" i="67"/>
  <c r="GA9" i="67"/>
  <c r="FS9" i="67"/>
  <c r="FK9" i="67"/>
  <c r="FC9" i="67"/>
  <c r="EU9" i="67"/>
  <c r="EM9" i="67"/>
  <c r="EE9" i="67"/>
  <c r="DW9" i="67"/>
  <c r="DO9" i="67"/>
  <c r="DG9" i="67"/>
  <c r="CY9" i="67"/>
  <c r="CQ9" i="67"/>
  <c r="CI9" i="67"/>
  <c r="CA9" i="67"/>
  <c r="BS9" i="67"/>
  <c r="BK9" i="67"/>
  <c r="BC9" i="67"/>
  <c r="AU9" i="67"/>
  <c r="AM9" i="67"/>
  <c r="AE9" i="67"/>
  <c r="W9" i="67"/>
  <c r="O9" i="67"/>
  <c r="G9" i="67"/>
  <c r="LZ8" i="67"/>
  <c r="LR8" i="67"/>
  <c r="LJ8" i="67"/>
  <c r="LB8" i="67"/>
  <c r="KT8" i="67"/>
  <c r="KL8" i="67"/>
  <c r="KD8" i="67"/>
  <c r="JV8" i="67"/>
  <c r="JN8" i="67"/>
  <c r="JF8" i="67"/>
  <c r="IX8" i="67"/>
  <c r="IP8" i="67"/>
  <c r="IH8" i="67"/>
  <c r="HZ8" i="67"/>
  <c r="HR8" i="67"/>
  <c r="HJ8" i="67"/>
  <c r="HB8" i="67"/>
  <c r="GT8" i="67"/>
  <c r="GL8" i="67"/>
  <c r="GD8" i="67"/>
  <c r="FV8" i="67"/>
  <c r="FN8" i="67"/>
  <c r="FF8" i="67"/>
  <c r="EX8" i="67"/>
  <c r="EP8" i="67"/>
  <c r="EH8" i="67"/>
  <c r="DZ8" i="67"/>
  <c r="DR8" i="67"/>
  <c r="DJ8" i="67"/>
  <c r="DB8" i="67"/>
  <c r="CT8" i="67"/>
  <c r="CL8" i="67"/>
  <c r="CD8" i="67"/>
  <c r="BV8" i="67"/>
  <c r="BN8" i="67"/>
  <c r="BF8" i="67"/>
  <c r="AX8" i="67"/>
  <c r="AP8" i="67"/>
  <c r="AH8" i="67"/>
  <c r="Z8" i="67"/>
  <c r="R8" i="67"/>
  <c r="B8" i="67"/>
  <c r="LU7" i="67"/>
  <c r="LM7" i="67"/>
  <c r="LE7" i="67"/>
  <c r="KW7" i="67"/>
  <c r="KO7" i="67"/>
  <c r="KG7" i="67"/>
  <c r="JY7" i="67"/>
  <c r="JQ7" i="67"/>
  <c r="JI7" i="67"/>
  <c r="JA7" i="67"/>
  <c r="IS7" i="67"/>
  <c r="IK7" i="67"/>
  <c r="IC7" i="67"/>
  <c r="HU7" i="67"/>
  <c r="HM7" i="67"/>
  <c r="HE7" i="67"/>
  <c r="GW7" i="67"/>
  <c r="GO7" i="67"/>
  <c r="GG7" i="67"/>
  <c r="FY7" i="67"/>
  <c r="FQ7" i="67"/>
  <c r="FI7" i="67"/>
  <c r="FA7" i="67"/>
  <c r="ES7" i="67"/>
  <c r="EK7" i="67"/>
  <c r="EC7" i="67"/>
  <c r="DU7" i="67"/>
  <c r="DM7" i="67"/>
  <c r="DE7" i="67"/>
  <c r="CW7" i="67"/>
  <c r="CO7" i="67"/>
  <c r="CG7" i="67"/>
  <c r="BY7" i="67"/>
  <c r="BQ7" i="67"/>
  <c r="BI7" i="67"/>
  <c r="BA7" i="67"/>
  <c r="AS7" i="67"/>
  <c r="AF11" i="67"/>
  <c r="X11" i="67"/>
  <c r="P11" i="67"/>
  <c r="H11" i="67"/>
  <c r="MA10" i="67"/>
  <c r="LS10" i="67"/>
  <c r="LK10" i="67"/>
  <c r="LC10" i="67"/>
  <c r="KU10" i="67"/>
  <c r="KM10" i="67"/>
  <c r="KE10" i="67"/>
  <c r="JW10" i="67"/>
  <c r="JO10" i="67"/>
  <c r="JG10" i="67"/>
  <c r="IY10" i="67"/>
  <c r="IQ10" i="67"/>
  <c r="II10" i="67"/>
  <c r="IA10" i="67"/>
  <c r="HS10" i="67"/>
  <c r="HK10" i="67"/>
  <c r="HC10" i="67"/>
  <c r="GU10" i="67"/>
  <c r="GM10" i="67"/>
  <c r="GE10" i="67"/>
  <c r="FW10" i="67"/>
  <c r="FO10" i="67"/>
  <c r="FG10" i="67"/>
  <c r="EY10" i="67"/>
  <c r="EQ10" i="67"/>
  <c r="EI10" i="67"/>
  <c r="EA10" i="67"/>
  <c r="DS10" i="67"/>
  <c r="DK10" i="67"/>
  <c r="DC10" i="67"/>
  <c r="CU10" i="67"/>
  <c r="CM10" i="67"/>
  <c r="CE10" i="67"/>
  <c r="BW10" i="67"/>
  <c r="BO10" i="67"/>
  <c r="BG10" i="67"/>
  <c r="AY10" i="67"/>
  <c r="AQ10" i="67"/>
  <c r="AI10" i="67"/>
  <c r="AA10" i="67"/>
  <c r="S10" i="67"/>
  <c r="K10" i="67"/>
  <c r="C10" i="67"/>
  <c r="LV9" i="67"/>
  <c r="LN9" i="67"/>
  <c r="LF9" i="67"/>
  <c r="KX9" i="67"/>
  <c r="KP9" i="67"/>
  <c r="KH9" i="67"/>
  <c r="JZ9" i="67"/>
  <c r="JR9" i="67"/>
  <c r="JJ9" i="67"/>
  <c r="JB9" i="67"/>
  <c r="IT9" i="67"/>
  <c r="IL9" i="67"/>
  <c r="ID9" i="67"/>
  <c r="HV9" i="67"/>
  <c r="HN9" i="67"/>
  <c r="HF9" i="67"/>
  <c r="GX9" i="67"/>
  <c r="GP9" i="67"/>
  <c r="GH9" i="67"/>
  <c r="FZ9" i="67"/>
  <c r="FR9" i="67"/>
  <c r="FJ9" i="67"/>
  <c r="FB9" i="67"/>
  <c r="ET9" i="67"/>
  <c r="EL9" i="67"/>
  <c r="ED9" i="67"/>
  <c r="DV9" i="67"/>
  <c r="DN9" i="67"/>
  <c r="DF9" i="67"/>
  <c r="CX9" i="67"/>
  <c r="CP9" i="67"/>
  <c r="CH9" i="67"/>
  <c r="BZ9" i="67"/>
  <c r="BR9" i="67"/>
  <c r="BJ9" i="67"/>
  <c r="BB9" i="67"/>
  <c r="AT9" i="67"/>
  <c r="AL9" i="67"/>
  <c r="AD9" i="67"/>
  <c r="V9" i="67"/>
  <c r="N9" i="67"/>
  <c r="F9" i="67"/>
  <c r="LY8" i="67"/>
  <c r="LQ8" i="67"/>
  <c r="LI8" i="67"/>
  <c r="LA8" i="67"/>
  <c r="KS8" i="67"/>
  <c r="KK8" i="67"/>
  <c r="KC8" i="67"/>
  <c r="JU8" i="67"/>
  <c r="JM8" i="67"/>
  <c r="JE8" i="67"/>
  <c r="IW8" i="67"/>
  <c r="IO8" i="67"/>
  <c r="IG8" i="67"/>
  <c r="HY8" i="67"/>
  <c r="HQ8" i="67"/>
  <c r="HI8" i="67"/>
  <c r="HA8" i="67"/>
  <c r="GS8" i="67"/>
  <c r="GK8" i="67"/>
  <c r="GC8" i="67"/>
  <c r="FU8" i="67"/>
  <c r="FM8" i="67"/>
  <c r="FE8" i="67"/>
  <c r="EW8" i="67"/>
  <c r="EO8" i="67"/>
  <c r="EG8" i="67"/>
  <c r="DY8" i="67"/>
  <c r="DQ8" i="67"/>
  <c r="DI8" i="67"/>
  <c r="DA8" i="67"/>
  <c r="CS8" i="67"/>
  <c r="CK8" i="67"/>
  <c r="CC8" i="67"/>
  <c r="BU8" i="67"/>
  <c r="BM8" i="67"/>
  <c r="BE8" i="67"/>
  <c r="AW8" i="67"/>
  <c r="AO8" i="67"/>
  <c r="AG8" i="67"/>
  <c r="Y8" i="67"/>
  <c r="Q8" i="67"/>
  <c r="I8" i="67"/>
  <c r="A8" i="67"/>
  <c r="LT7" i="67"/>
  <c r="LL7" i="67"/>
  <c r="LD7" i="67"/>
  <c r="KV7" i="67"/>
  <c r="KN7" i="67"/>
  <c r="KF7" i="67"/>
  <c r="JX7" i="67"/>
  <c r="JP7" i="67"/>
  <c r="JH7" i="67"/>
  <c r="IZ7" i="67"/>
  <c r="IR7" i="67"/>
  <c r="IJ7" i="67"/>
  <c r="IB7" i="67"/>
  <c r="HT7" i="67"/>
  <c r="HL7" i="67"/>
  <c r="HD7" i="67"/>
  <c r="GV7" i="67"/>
  <c r="GN7" i="67"/>
  <c r="GF7" i="67"/>
  <c r="FX7" i="67"/>
  <c r="FP7" i="67"/>
  <c r="FH7" i="67"/>
  <c r="EZ7" i="67"/>
  <c r="ER7" i="67"/>
  <c r="EJ7" i="67"/>
  <c r="EB7" i="67"/>
  <c r="DT7" i="67"/>
  <c r="BK11" i="67"/>
  <c r="BC11" i="67"/>
  <c r="AU11" i="67"/>
  <c r="AM11" i="67"/>
  <c r="AE11" i="67"/>
  <c r="W11" i="67"/>
  <c r="O11" i="67"/>
  <c r="G11" i="67"/>
  <c r="LZ10" i="67"/>
  <c r="LR10" i="67"/>
  <c r="LJ10" i="67"/>
  <c r="LB10" i="67"/>
  <c r="KT10" i="67"/>
  <c r="KL10" i="67"/>
  <c r="KD10" i="67"/>
  <c r="JV10" i="67"/>
  <c r="JN10" i="67"/>
  <c r="JF10" i="67"/>
  <c r="IX10" i="67"/>
  <c r="IP10" i="67"/>
  <c r="IH10" i="67"/>
  <c r="HZ10" i="67"/>
  <c r="HR10" i="67"/>
  <c r="HJ10" i="67"/>
  <c r="HB10" i="67"/>
  <c r="GT10" i="67"/>
  <c r="GL10" i="67"/>
  <c r="GD10" i="67"/>
  <c r="FV10" i="67"/>
  <c r="FN10" i="67"/>
  <c r="FF10" i="67"/>
  <c r="EX10" i="67"/>
  <c r="EP10" i="67"/>
  <c r="EH10" i="67"/>
  <c r="DZ10" i="67"/>
  <c r="DR10" i="67"/>
  <c r="DJ10" i="67"/>
  <c r="DB10" i="67"/>
  <c r="CT10" i="67"/>
  <c r="CL10" i="67"/>
  <c r="CD10" i="67"/>
  <c r="BV10" i="67"/>
  <c r="BN10" i="67"/>
  <c r="BF10" i="67"/>
  <c r="AX10" i="67"/>
  <c r="AP10" i="67"/>
  <c r="AH10" i="67"/>
  <c r="Z10" i="67"/>
  <c r="R10" i="67"/>
  <c r="B10" i="67"/>
  <c r="LU9" i="67"/>
  <c r="LM9" i="67"/>
  <c r="LE9" i="67"/>
  <c r="KW9" i="67"/>
  <c r="KO9" i="67"/>
  <c r="KG9" i="67"/>
  <c r="JY9" i="67"/>
  <c r="JQ9" i="67"/>
  <c r="JI9" i="67"/>
  <c r="JA9" i="67"/>
  <c r="IS9" i="67"/>
  <c r="IK9" i="67"/>
  <c r="IC9" i="67"/>
  <c r="HU9" i="67"/>
  <c r="HM9" i="67"/>
  <c r="HE9" i="67"/>
  <c r="GW9" i="67"/>
  <c r="GO9" i="67"/>
  <c r="GG9" i="67"/>
  <c r="FY9" i="67"/>
  <c r="FQ9" i="67"/>
  <c r="FI9" i="67"/>
  <c r="FA9" i="67"/>
  <c r="ES9" i="67"/>
  <c r="EK9" i="67"/>
  <c r="EC9" i="67"/>
  <c r="DU9" i="67"/>
  <c r="DM9" i="67"/>
  <c r="DE9" i="67"/>
  <c r="CW9" i="67"/>
  <c r="CO9" i="67"/>
  <c r="CG9" i="67"/>
  <c r="BY9" i="67"/>
  <c r="BQ9" i="67"/>
  <c r="BI9" i="67"/>
  <c r="BA9" i="67"/>
  <c r="AS9" i="67"/>
  <c r="AK9" i="67"/>
  <c r="AC9" i="67"/>
  <c r="U9" i="67"/>
  <c r="M9" i="67"/>
  <c r="E9" i="67"/>
  <c r="LX8" i="67"/>
  <c r="LP8" i="67"/>
  <c r="LH8" i="67"/>
  <c r="KZ8" i="67"/>
  <c r="KR8" i="67"/>
  <c r="KJ8" i="67"/>
  <c r="KB8" i="67"/>
  <c r="JT8" i="67"/>
  <c r="JL8" i="67"/>
  <c r="JD8" i="67"/>
  <c r="IV8" i="67"/>
  <c r="IN8" i="67"/>
  <c r="IF8" i="67"/>
  <c r="HX8" i="67"/>
  <c r="HP8" i="67"/>
  <c r="HH8" i="67"/>
  <c r="GZ8" i="67"/>
  <c r="GR8" i="67"/>
  <c r="GJ8" i="67"/>
  <c r="GB8" i="67"/>
  <c r="FT8" i="67"/>
  <c r="FL8" i="67"/>
  <c r="FD8" i="67"/>
  <c r="EV8" i="67"/>
  <c r="EN8" i="67"/>
  <c r="EF8" i="67"/>
  <c r="DX8" i="67"/>
  <c r="DP8" i="67"/>
  <c r="DH8" i="67"/>
  <c r="CZ8" i="67"/>
  <c r="CR8" i="67"/>
  <c r="CJ8" i="67"/>
  <c r="CB8" i="67"/>
  <c r="BT8" i="67"/>
  <c r="BL8" i="67"/>
  <c r="BD8" i="67"/>
  <c r="AV8" i="67"/>
  <c r="AN8" i="67"/>
  <c r="AF8" i="67"/>
  <c r="X8" i="67"/>
  <c r="P8" i="67"/>
  <c r="H8" i="67"/>
  <c r="MA7" i="67"/>
  <c r="LS7" i="67"/>
  <c r="LK7" i="67"/>
  <c r="LC7" i="67"/>
  <c r="KU7" i="67"/>
  <c r="KM7" i="67"/>
  <c r="KE7" i="67"/>
  <c r="JW7" i="67"/>
  <c r="JO7" i="67"/>
  <c r="JG7" i="67"/>
  <c r="IY7" i="67"/>
  <c r="IQ7" i="67"/>
  <c r="II7" i="67"/>
  <c r="IA7" i="67"/>
  <c r="HS7" i="67"/>
  <c r="HK7" i="67"/>
  <c r="HC7" i="67"/>
  <c r="GU7" i="67"/>
  <c r="GM7" i="67"/>
  <c r="GE7" i="67"/>
  <c r="FW7" i="67"/>
  <c r="FO7" i="67"/>
  <c r="FG7" i="67"/>
  <c r="EY7" i="67"/>
  <c r="EQ7" i="67"/>
  <c r="EI7" i="67"/>
  <c r="EA7" i="67"/>
  <c r="DS7" i="67"/>
  <c r="DK7" i="67"/>
  <c r="DC7" i="67"/>
  <c r="GX11" i="67"/>
  <c r="GP11" i="67"/>
  <c r="GH11" i="67"/>
  <c r="FZ11" i="67"/>
  <c r="FR11" i="67"/>
  <c r="FJ11" i="67"/>
  <c r="FB11" i="67"/>
  <c r="ET11" i="67"/>
  <c r="EL11" i="67"/>
  <c r="ED11" i="67"/>
  <c r="DV11" i="67"/>
  <c r="DN11" i="67"/>
  <c r="DF11" i="67"/>
  <c r="CX11" i="67"/>
  <c r="CP11" i="67"/>
  <c r="CH11" i="67"/>
  <c r="BZ11" i="67"/>
  <c r="BR11" i="67"/>
  <c r="BJ11" i="67"/>
  <c r="BB11" i="67"/>
  <c r="AT11" i="67"/>
  <c r="AL11" i="67"/>
  <c r="AD11" i="67"/>
  <c r="V11" i="67"/>
  <c r="N11" i="67"/>
  <c r="F11" i="67"/>
  <c r="LY10" i="67"/>
  <c r="LQ10" i="67"/>
  <c r="LI10" i="67"/>
  <c r="LA10" i="67"/>
  <c r="KS10" i="67"/>
  <c r="KK10" i="67"/>
  <c r="KC10" i="67"/>
  <c r="JU10" i="67"/>
  <c r="JM10" i="67"/>
  <c r="JE10" i="67"/>
  <c r="IW10" i="67"/>
  <c r="IO10" i="67"/>
  <c r="IG10" i="67"/>
  <c r="HY10" i="67"/>
  <c r="HQ10" i="67"/>
  <c r="HI10" i="67"/>
  <c r="HA10" i="67"/>
  <c r="GS10" i="67"/>
  <c r="GK10" i="67"/>
  <c r="GC10" i="67"/>
  <c r="FU10" i="67"/>
  <c r="FM10" i="67"/>
  <c r="FE10" i="67"/>
  <c r="EW10" i="67"/>
  <c r="EO10" i="67"/>
  <c r="EG10" i="67"/>
  <c r="DY10" i="67"/>
  <c r="DQ10" i="67"/>
  <c r="DI10" i="67"/>
  <c r="DA10" i="67"/>
  <c r="CS10" i="67"/>
  <c r="CK10" i="67"/>
  <c r="CC10" i="67"/>
  <c r="BU10" i="67"/>
  <c r="BM10" i="67"/>
  <c r="BE10" i="67"/>
  <c r="AW10" i="67"/>
  <c r="AO10" i="67"/>
  <c r="AG10" i="67"/>
  <c r="Y10" i="67"/>
  <c r="Q10" i="67"/>
  <c r="A10" i="67"/>
  <c r="LT9" i="67"/>
  <c r="LL9" i="67"/>
  <c r="LD9" i="67"/>
  <c r="KV9" i="67"/>
  <c r="KN9" i="67"/>
  <c r="KF9" i="67"/>
  <c r="JX9" i="67"/>
  <c r="JP9" i="67"/>
  <c r="JH9" i="67"/>
  <c r="IZ9" i="67"/>
  <c r="IR9" i="67"/>
  <c r="IJ9" i="67"/>
  <c r="IB9" i="67"/>
  <c r="HT9" i="67"/>
  <c r="HL9" i="67"/>
  <c r="HD9" i="67"/>
  <c r="GV9" i="67"/>
  <c r="GN9" i="67"/>
  <c r="GF9" i="67"/>
  <c r="FX9" i="67"/>
  <c r="FP9" i="67"/>
  <c r="FH9" i="67"/>
  <c r="EZ9" i="67"/>
  <c r="ER9" i="67"/>
  <c r="EJ9" i="67"/>
  <c r="EB9" i="67"/>
  <c r="DT9" i="67"/>
  <c r="DL9" i="67"/>
  <c r="DD9" i="67"/>
  <c r="CV9" i="67"/>
  <c r="CN9" i="67"/>
  <c r="CF9" i="67"/>
  <c r="BX9" i="67"/>
  <c r="BP9" i="67"/>
  <c r="BH9" i="67"/>
  <c r="AZ9" i="67"/>
  <c r="AR9" i="67"/>
  <c r="AJ9" i="67"/>
  <c r="AB9" i="67"/>
  <c r="T9" i="67"/>
  <c r="L9" i="67"/>
  <c r="D9" i="67"/>
  <c r="LW8" i="67"/>
  <c r="LO8" i="67"/>
  <c r="LG8" i="67"/>
  <c r="KY8" i="67"/>
  <c r="KQ8" i="67"/>
  <c r="KI8" i="67"/>
  <c r="KA8" i="67"/>
  <c r="JS8" i="67"/>
  <c r="JK8" i="67"/>
  <c r="JC8" i="67"/>
  <c r="IU8" i="67"/>
  <c r="IM8" i="67"/>
  <c r="IE8" i="67"/>
  <c r="HW8" i="67"/>
  <c r="HO8" i="67"/>
  <c r="HG8" i="67"/>
  <c r="GY8" i="67"/>
  <c r="GQ8" i="67"/>
  <c r="GI8" i="67"/>
  <c r="GA8" i="67"/>
  <c r="FS8" i="67"/>
  <c r="FK8" i="67"/>
  <c r="FC8" i="67"/>
  <c r="EU8" i="67"/>
  <c r="EM8" i="67"/>
  <c r="EE8" i="67"/>
  <c r="DW8" i="67"/>
  <c r="DO8" i="67"/>
  <c r="DG8" i="67"/>
  <c r="CY8" i="67"/>
  <c r="CQ8" i="67"/>
  <c r="CI8" i="67"/>
  <c r="CA8" i="67"/>
  <c r="BS8" i="67"/>
  <c r="BK8" i="67"/>
  <c r="BC8" i="67"/>
  <c r="AU8" i="67"/>
  <c r="AM8" i="67"/>
  <c r="AE8" i="67"/>
  <c r="O8" i="67"/>
  <c r="G8" i="67"/>
  <c r="LZ7" i="67"/>
  <c r="LR7" i="67"/>
  <c r="LJ7" i="67"/>
  <c r="LB7" i="67"/>
  <c r="KT7" i="67"/>
  <c r="KL7" i="67"/>
  <c r="KD7" i="67"/>
  <c r="JV7" i="67"/>
  <c r="JN7" i="67"/>
  <c r="JF7" i="67"/>
  <c r="IX7" i="67"/>
  <c r="IP7" i="67"/>
  <c r="IH7" i="67"/>
  <c r="HZ7" i="67"/>
  <c r="HR7" i="67"/>
  <c r="HJ7" i="67"/>
  <c r="HB7" i="67"/>
  <c r="GT7" i="67"/>
  <c r="GL7" i="67"/>
  <c r="GD7" i="67"/>
  <c r="FV7" i="67"/>
  <c r="FN7" i="67"/>
  <c r="FF7" i="67"/>
  <c r="EX7" i="67"/>
  <c r="EP7" i="67"/>
  <c r="EH7" i="67"/>
  <c r="DZ7" i="67"/>
  <c r="DR7" i="67"/>
  <c r="AC11" i="67"/>
  <c r="U11" i="67"/>
  <c r="M11" i="67"/>
  <c r="E11" i="67"/>
  <c r="LX10" i="67"/>
  <c r="LP10" i="67"/>
  <c r="LH10" i="67"/>
  <c r="KZ10" i="67"/>
  <c r="KR10" i="67"/>
  <c r="KJ10" i="67"/>
  <c r="KB10" i="67"/>
  <c r="JT10" i="67"/>
  <c r="JL10" i="67"/>
  <c r="JD10" i="67"/>
  <c r="IV10" i="67"/>
  <c r="IN10" i="67"/>
  <c r="IF10" i="67"/>
  <c r="HX10" i="67"/>
  <c r="HP10" i="67"/>
  <c r="HH10" i="67"/>
  <c r="GZ10" i="67"/>
  <c r="GR10" i="67"/>
  <c r="GJ10" i="67"/>
  <c r="GB10" i="67"/>
  <c r="FT10" i="67"/>
  <c r="FL10" i="67"/>
  <c r="FD10" i="67"/>
  <c r="EV10" i="67"/>
  <c r="EN10" i="67"/>
  <c r="EF10" i="67"/>
  <c r="DX10" i="67"/>
  <c r="DP10" i="67"/>
  <c r="DH10" i="67"/>
  <c r="CZ10" i="67"/>
  <c r="CR10" i="67"/>
  <c r="CJ10" i="67"/>
  <c r="CB10" i="67"/>
  <c r="BT10" i="67"/>
  <c r="BL10" i="67"/>
  <c r="BD10" i="67"/>
  <c r="AV10" i="67"/>
  <c r="AN10" i="67"/>
  <c r="AF10" i="67"/>
  <c r="X10" i="67"/>
  <c r="P10" i="67"/>
  <c r="H10" i="67"/>
  <c r="MA9" i="67"/>
  <c r="LS9" i="67"/>
  <c r="LK9" i="67"/>
  <c r="LC9" i="67"/>
  <c r="KU9" i="67"/>
  <c r="KM9" i="67"/>
  <c r="KE9" i="67"/>
  <c r="JW9" i="67"/>
  <c r="JO9" i="67"/>
  <c r="JG9" i="67"/>
  <c r="IY9" i="67"/>
  <c r="IQ9" i="67"/>
  <c r="II9" i="67"/>
  <c r="IA9" i="67"/>
  <c r="HS9" i="67"/>
  <c r="HK9" i="67"/>
  <c r="HC9" i="67"/>
  <c r="GU9" i="67"/>
  <c r="GM9" i="67"/>
  <c r="GE9" i="67"/>
  <c r="FW9" i="67"/>
  <c r="FO9" i="67"/>
  <c r="FG9" i="67"/>
  <c r="EY9" i="67"/>
  <c r="EQ9" i="67"/>
  <c r="EI9" i="67"/>
  <c r="EA9" i="67"/>
  <c r="DS9" i="67"/>
  <c r="DK9" i="67"/>
  <c r="DC9" i="67"/>
  <c r="CU9" i="67"/>
  <c r="CM9" i="67"/>
  <c r="CE9" i="67"/>
  <c r="BW9" i="67"/>
  <c r="BO9" i="67"/>
  <c r="BG9" i="67"/>
  <c r="AY9" i="67"/>
  <c r="AQ9" i="67"/>
  <c r="AI9" i="67"/>
  <c r="AA9" i="67"/>
  <c r="S9" i="67"/>
  <c r="K9" i="67"/>
  <c r="C9" i="67"/>
  <c r="LV8" i="67"/>
  <c r="LN8" i="67"/>
  <c r="LF8" i="67"/>
  <c r="KX8" i="67"/>
  <c r="KP8" i="67"/>
  <c r="KH8" i="67"/>
  <c r="JZ8" i="67"/>
  <c r="JR8" i="67"/>
  <c r="JJ8" i="67"/>
  <c r="JB8" i="67"/>
  <c r="IT8" i="67"/>
  <c r="IL8" i="67"/>
  <c r="ID8" i="67"/>
  <c r="HV8" i="67"/>
  <c r="HN8" i="67"/>
  <c r="HF8" i="67"/>
  <c r="GX8" i="67"/>
  <c r="GP8" i="67"/>
  <c r="GH8" i="67"/>
  <c r="FZ8" i="67"/>
  <c r="FR8" i="67"/>
  <c r="FJ8" i="67"/>
  <c r="FB8" i="67"/>
  <c r="ET8" i="67"/>
  <c r="EL8" i="67"/>
  <c r="ED8" i="67"/>
  <c r="DV8" i="67"/>
  <c r="DN8" i="67"/>
  <c r="DF8" i="67"/>
  <c r="CX8" i="67"/>
  <c r="CP8" i="67"/>
  <c r="CH8" i="67"/>
  <c r="BZ8" i="67"/>
  <c r="BR8" i="67"/>
  <c r="BJ8" i="67"/>
  <c r="BB8" i="67"/>
  <c r="AT8" i="67"/>
  <c r="AL8" i="67"/>
  <c r="AD8" i="67"/>
  <c r="N8" i="67"/>
  <c r="F8" i="67"/>
  <c r="LY7" i="67"/>
  <c r="LQ7" i="67"/>
  <c r="LI7" i="67"/>
  <c r="LA7" i="67"/>
  <c r="KS7" i="67"/>
  <c r="KK7" i="67"/>
  <c r="KC7" i="67"/>
  <c r="JU7" i="67"/>
  <c r="JM7" i="67"/>
  <c r="JE7" i="67"/>
  <c r="IW7" i="67"/>
  <c r="IO7" i="67"/>
  <c r="IG7" i="67"/>
  <c r="HY7" i="67"/>
  <c r="HQ7" i="67"/>
  <c r="HI7" i="67"/>
  <c r="HA7" i="67"/>
  <c r="GS7" i="67"/>
  <c r="GK7" i="67"/>
  <c r="GC7" i="67"/>
  <c r="FU7" i="67"/>
  <c r="FM7" i="67"/>
  <c r="FE7" i="67"/>
  <c r="EW7" i="67"/>
  <c r="EO7" i="67"/>
  <c r="EG7" i="67"/>
  <c r="DY7" i="67"/>
  <c r="DQ7" i="67"/>
  <c r="DI7" i="67"/>
  <c r="DA7" i="67"/>
  <c r="CS7" i="67"/>
  <c r="CK7" i="67"/>
  <c r="CC7" i="67"/>
  <c r="BU7" i="67"/>
  <c r="BM7" i="67"/>
  <c r="BE7" i="67"/>
  <c r="AW7" i="67"/>
  <c r="AO7" i="67"/>
  <c r="AG7" i="67"/>
  <c r="Y7" i="67"/>
  <c r="Q7" i="67"/>
  <c r="A7" i="67"/>
  <c r="AR11" i="67"/>
  <c r="AJ11" i="67"/>
  <c r="AB11" i="67"/>
  <c r="T11" i="67"/>
  <c r="L11" i="67"/>
  <c r="D11" i="67"/>
  <c r="LW10" i="67"/>
  <c r="LO10" i="67"/>
  <c r="LG10" i="67"/>
  <c r="KY10" i="67"/>
  <c r="KQ10" i="67"/>
  <c r="KI10" i="67"/>
  <c r="KA10" i="67"/>
  <c r="JS10" i="67"/>
  <c r="JK10" i="67"/>
  <c r="JC10" i="67"/>
  <c r="IU10" i="67"/>
  <c r="IM10" i="67"/>
  <c r="IE10" i="67"/>
  <c r="HW10" i="67"/>
  <c r="HO10" i="67"/>
  <c r="HG10" i="67"/>
  <c r="GY10" i="67"/>
  <c r="GQ10" i="67"/>
  <c r="GI10" i="67"/>
  <c r="GA10" i="67"/>
  <c r="FS10" i="67"/>
  <c r="FK10" i="67"/>
  <c r="FC10" i="67"/>
  <c r="EU10" i="67"/>
  <c r="EM10" i="67"/>
  <c r="EE10" i="67"/>
  <c r="DW10" i="67"/>
  <c r="DO10" i="67"/>
  <c r="DG10" i="67"/>
  <c r="CY10" i="67"/>
  <c r="CQ10" i="67"/>
  <c r="CI10" i="67"/>
  <c r="CA10" i="67"/>
  <c r="BS10" i="67"/>
  <c r="BK10" i="67"/>
  <c r="BC10" i="67"/>
  <c r="AU10" i="67"/>
  <c r="AM10" i="67"/>
  <c r="AE10" i="67"/>
  <c r="W10" i="67"/>
  <c r="O10" i="67"/>
  <c r="G10" i="67"/>
  <c r="LZ9" i="67"/>
  <c r="LR9" i="67"/>
  <c r="LJ9" i="67"/>
  <c r="LB9" i="67"/>
  <c r="KT9" i="67"/>
  <c r="KL9" i="67"/>
  <c r="KD9" i="67"/>
  <c r="JV9" i="67"/>
  <c r="JN9" i="67"/>
  <c r="JF9" i="67"/>
  <c r="IX9" i="67"/>
  <c r="IP9" i="67"/>
  <c r="IH9" i="67"/>
  <c r="HZ9" i="67"/>
  <c r="HR9" i="67"/>
  <c r="HJ9" i="67"/>
  <c r="HB9" i="67"/>
  <c r="GT9" i="67"/>
  <c r="GL9" i="67"/>
  <c r="GD9" i="67"/>
  <c r="FV9" i="67"/>
  <c r="FN9" i="67"/>
  <c r="FF9" i="67"/>
  <c r="EX9" i="67"/>
  <c r="EP9" i="67"/>
  <c r="EH9" i="67"/>
  <c r="DZ9" i="67"/>
  <c r="DR9" i="67"/>
  <c r="DJ9" i="67"/>
  <c r="DB9" i="67"/>
  <c r="CT9" i="67"/>
  <c r="CL9" i="67"/>
  <c r="CD9" i="67"/>
  <c r="BV9" i="67"/>
  <c r="BN9" i="67"/>
  <c r="BF9" i="67"/>
  <c r="AX9" i="67"/>
  <c r="AP9" i="67"/>
  <c r="AH9" i="67"/>
  <c r="Z9" i="67"/>
  <c r="R9" i="67"/>
  <c r="B9" i="67"/>
  <c r="LU8" i="67"/>
  <c r="LM8" i="67"/>
  <c r="LE8" i="67"/>
  <c r="KW8" i="67"/>
  <c r="KO8" i="67"/>
  <c r="KG8" i="67"/>
  <c r="JY8" i="67"/>
  <c r="JQ8" i="67"/>
  <c r="JI8" i="67"/>
  <c r="JA8" i="67"/>
  <c r="IS8" i="67"/>
  <c r="IK8" i="67"/>
  <c r="IC8" i="67"/>
  <c r="HU8" i="67"/>
  <c r="HM8" i="67"/>
  <c r="HE8" i="67"/>
  <c r="GW8" i="67"/>
  <c r="GO8" i="67"/>
  <c r="GG8" i="67"/>
  <c r="FY8" i="67"/>
  <c r="FQ8" i="67"/>
  <c r="FI8" i="67"/>
  <c r="FA8" i="67"/>
  <c r="ES8" i="67"/>
  <c r="EK8" i="67"/>
  <c r="EC8" i="67"/>
  <c r="DU8" i="67"/>
  <c r="DM8" i="67"/>
  <c r="DE8" i="67"/>
  <c r="CW8" i="67"/>
  <c r="CO8" i="67"/>
  <c r="CG8" i="67"/>
  <c r="BY8" i="67"/>
  <c r="BQ8" i="67"/>
  <c r="BI8" i="67"/>
  <c r="BA8" i="67"/>
  <c r="AS8" i="67"/>
  <c r="AK8" i="67"/>
  <c r="AC8" i="67"/>
  <c r="M8" i="67"/>
  <c r="E8" i="67"/>
  <c r="LX7" i="67"/>
  <c r="LP7" i="67"/>
  <c r="LH7" i="67"/>
  <c r="KZ7" i="67"/>
  <c r="KR7" i="67"/>
  <c r="KJ7" i="67"/>
  <c r="KB7" i="67"/>
  <c r="JT7" i="67"/>
  <c r="JL7" i="67"/>
  <c r="JD7" i="67"/>
  <c r="IV7" i="67"/>
  <c r="IN7" i="67"/>
  <c r="IF7" i="67"/>
  <c r="HX7" i="67"/>
  <c r="HP7" i="67"/>
  <c r="HH7" i="67"/>
  <c r="GZ7" i="67"/>
  <c r="GR7" i="67"/>
  <c r="GJ7" i="67"/>
  <c r="GB7" i="67"/>
  <c r="FT7" i="67"/>
  <c r="FL7" i="67"/>
  <c r="FD7" i="67"/>
  <c r="EV7" i="67"/>
  <c r="EN7" i="67"/>
  <c r="EF7" i="67"/>
  <c r="DX7" i="67"/>
  <c r="DP7" i="67"/>
  <c r="AI11" i="67"/>
  <c r="AA11" i="67"/>
  <c r="S11" i="67"/>
  <c r="K11" i="67"/>
  <c r="C11" i="67"/>
  <c r="LV10" i="67"/>
  <c r="LN10" i="67"/>
  <c r="LF10" i="67"/>
  <c r="KX10" i="67"/>
  <c r="KP10" i="67"/>
  <c r="KH10" i="67"/>
  <c r="JZ10" i="67"/>
  <c r="JR10" i="67"/>
  <c r="JJ10" i="67"/>
  <c r="JB10" i="67"/>
  <c r="IT10" i="67"/>
  <c r="IL10" i="67"/>
  <c r="ID10" i="67"/>
  <c r="HV10" i="67"/>
  <c r="HN10" i="67"/>
  <c r="HF10" i="67"/>
  <c r="GX10" i="67"/>
  <c r="GP10" i="67"/>
  <c r="GH10" i="67"/>
  <c r="FZ10" i="67"/>
  <c r="FR10" i="67"/>
  <c r="FJ10" i="67"/>
  <c r="FB10" i="67"/>
  <c r="ET10" i="67"/>
  <c r="EL10" i="67"/>
  <c r="ED10" i="67"/>
  <c r="DV10" i="67"/>
  <c r="DN10" i="67"/>
  <c r="DF10" i="67"/>
  <c r="CX10" i="67"/>
  <c r="CP10" i="67"/>
  <c r="CH10" i="67"/>
  <c r="BZ10" i="67"/>
  <c r="BR10" i="67"/>
  <c r="BJ10" i="67"/>
  <c r="BB10" i="67"/>
  <c r="AT10" i="67"/>
  <c r="AL10" i="67"/>
  <c r="AD10" i="67"/>
  <c r="V10" i="67"/>
  <c r="N10" i="67"/>
  <c r="F10" i="67"/>
  <c r="LY9" i="67"/>
  <c r="LQ9" i="67"/>
  <c r="LI9" i="67"/>
  <c r="LA9" i="67"/>
  <c r="KS9" i="67"/>
  <c r="KK9" i="67"/>
  <c r="KC9" i="67"/>
  <c r="JU9" i="67"/>
  <c r="JM9" i="67"/>
  <c r="JE9" i="67"/>
  <c r="IW9" i="67"/>
  <c r="IO9" i="67"/>
  <c r="IG9" i="67"/>
  <c r="HY9" i="67"/>
  <c r="HQ9" i="67"/>
  <c r="HI9" i="67"/>
  <c r="HA9" i="67"/>
  <c r="GS9" i="67"/>
  <c r="GK9" i="67"/>
  <c r="GC9" i="67"/>
  <c r="FU9" i="67"/>
  <c r="FM9" i="67"/>
  <c r="FE9" i="67"/>
  <c r="EW9" i="67"/>
  <c r="EO9" i="67"/>
  <c r="EG9" i="67"/>
  <c r="DY9" i="67"/>
  <c r="DQ9" i="67"/>
  <c r="DI9" i="67"/>
  <c r="DA9" i="67"/>
  <c r="CS9" i="67"/>
  <c r="CK9" i="67"/>
  <c r="CC9" i="67"/>
  <c r="BU9" i="67"/>
  <c r="BM9" i="67"/>
  <c r="BE9" i="67"/>
  <c r="AW9" i="67"/>
  <c r="AO9" i="67"/>
  <c r="AG9" i="67"/>
  <c r="Y9" i="67"/>
  <c r="Q9" i="67"/>
  <c r="I9" i="67"/>
  <c r="A9" i="67"/>
  <c r="LT8" i="67"/>
  <c r="LL8" i="67"/>
  <c r="LD8" i="67"/>
  <c r="KV8" i="67"/>
  <c r="KN8" i="67"/>
  <c r="KF8" i="67"/>
  <c r="JX8" i="67"/>
  <c r="JP8" i="67"/>
  <c r="JH8" i="67"/>
  <c r="IZ8" i="67"/>
  <c r="IR8" i="67"/>
  <c r="IJ8" i="67"/>
  <c r="IB8" i="67"/>
  <c r="HT8" i="67"/>
  <c r="HL8" i="67"/>
  <c r="HD8" i="67"/>
  <c r="GV8" i="67"/>
  <c r="GN8" i="67"/>
  <c r="GF8" i="67"/>
  <c r="FX8" i="67"/>
  <c r="FP8" i="67"/>
  <c r="FH8" i="67"/>
  <c r="EZ8" i="67"/>
  <c r="ER8" i="67"/>
  <c r="EJ8" i="67"/>
  <c r="EB8" i="67"/>
  <c r="DT8" i="67"/>
  <c r="DL8" i="67"/>
  <c r="DD8" i="67"/>
  <c r="CV8" i="67"/>
  <c r="CN8" i="67"/>
  <c r="CF8" i="67"/>
  <c r="BX8" i="67"/>
  <c r="BP8" i="67"/>
  <c r="BH8" i="67"/>
  <c r="AZ8" i="67"/>
  <c r="AR8" i="67"/>
  <c r="AJ8" i="67"/>
  <c r="AB8" i="67"/>
  <c r="L8" i="67"/>
  <c r="D8" i="67"/>
  <c r="LW7" i="67"/>
  <c r="LO7" i="67"/>
  <c r="LG7" i="67"/>
  <c r="KY7" i="67"/>
  <c r="KQ7" i="67"/>
  <c r="KI7" i="67"/>
  <c r="KA7" i="67"/>
  <c r="JS7" i="67"/>
  <c r="JK7" i="67"/>
  <c r="JC7" i="67"/>
  <c r="IU7" i="67"/>
  <c r="IM7" i="67"/>
  <c r="IE7" i="67"/>
  <c r="HW7" i="67"/>
  <c r="HO7" i="67"/>
  <c r="HG7" i="67"/>
  <c r="GY7" i="67"/>
  <c r="GQ7" i="67"/>
  <c r="GI7" i="67"/>
  <c r="GA7" i="67"/>
  <c r="FS7" i="67"/>
  <c r="FK7" i="67"/>
  <c r="FC7" i="67"/>
  <c r="EU7" i="67"/>
  <c r="EM7" i="67"/>
  <c r="EE7" i="67"/>
  <c r="DW7" i="67"/>
  <c r="DO7" i="67"/>
  <c r="DG7" i="67"/>
  <c r="CY7" i="67"/>
  <c r="CQ7" i="67"/>
  <c r="CI7" i="67"/>
  <c r="CA7" i="67"/>
  <c r="BS7" i="67"/>
  <c r="BK7" i="67"/>
  <c r="BC7" i="67"/>
  <c r="DN7" i="67"/>
  <c r="DF7" i="67"/>
  <c r="CX7" i="67"/>
  <c r="CP7" i="67"/>
  <c r="CH7" i="67"/>
  <c r="BZ7" i="67"/>
  <c r="BR7" i="67"/>
  <c r="BJ7" i="67"/>
  <c r="BB7" i="67"/>
  <c r="AT7" i="67"/>
  <c r="AL7" i="67"/>
  <c r="AD7" i="67"/>
  <c r="V7" i="67"/>
  <c r="N7" i="67"/>
  <c r="F7" i="67"/>
  <c r="LY6" i="67"/>
  <c r="LY53" i="67"/>
  <c r="LQ6" i="67"/>
  <c r="LQ53" i="67"/>
  <c r="LI6" i="67"/>
  <c r="LI53" i="67"/>
  <c r="LA6" i="67"/>
  <c r="LA53" i="67"/>
  <c r="KS6" i="67"/>
  <c r="KS53" i="67"/>
  <c r="KK6" i="67"/>
  <c r="KK53" i="67"/>
  <c r="KC6" i="67"/>
  <c r="KC53" i="67"/>
  <c r="JU6" i="67"/>
  <c r="JU53" i="67"/>
  <c r="JM6" i="67"/>
  <c r="JM53" i="67"/>
  <c r="JE6" i="67"/>
  <c r="JE53" i="67"/>
  <c r="IW6" i="67"/>
  <c r="IW53" i="67"/>
  <c r="IO6" i="67"/>
  <c r="IO53" i="67"/>
  <c r="IG6" i="67"/>
  <c r="IG53" i="67"/>
  <c r="HY6" i="67"/>
  <c r="HY53" i="67"/>
  <c r="HQ6" i="67"/>
  <c r="HQ53" i="67"/>
  <c r="HI6" i="67"/>
  <c r="HI53" i="67"/>
  <c r="HA6" i="67"/>
  <c r="HA53" i="67"/>
  <c r="GS6" i="67"/>
  <c r="GS53" i="67"/>
  <c r="GK6" i="67"/>
  <c r="GK53" i="67"/>
  <c r="GC6" i="67"/>
  <c r="GC53" i="67"/>
  <c r="FU6" i="67"/>
  <c r="FU53" i="67"/>
  <c r="FM6" i="67"/>
  <c r="FM53" i="67"/>
  <c r="FE6" i="67"/>
  <c r="FE53" i="67"/>
  <c r="EW6" i="67"/>
  <c r="EW53" i="67"/>
  <c r="EO6" i="67"/>
  <c r="EO53" i="67"/>
  <c r="EG6" i="67"/>
  <c r="EG53" i="67"/>
  <c r="DY6" i="67"/>
  <c r="DY53" i="67"/>
  <c r="DQ6" i="67"/>
  <c r="DQ53" i="67"/>
  <c r="DI6" i="67"/>
  <c r="DI53" i="67"/>
  <c r="DA6" i="67"/>
  <c r="DA53" i="67"/>
  <c r="CS6" i="67"/>
  <c r="CS53" i="67"/>
  <c r="CK6" i="67"/>
  <c r="CK53" i="67"/>
  <c r="CC6" i="67"/>
  <c r="CC53" i="67"/>
  <c r="BU6" i="67"/>
  <c r="BU53" i="67"/>
  <c r="BM6" i="67"/>
  <c r="BM53" i="67"/>
  <c r="BE6" i="67"/>
  <c r="BE53" i="67"/>
  <c r="AW6" i="67"/>
  <c r="AW53" i="67"/>
  <c r="AO6" i="67"/>
  <c r="AO53" i="67"/>
  <c r="AG6" i="67"/>
  <c r="AG53" i="67"/>
  <c r="Y6" i="67"/>
  <c r="Y53" i="67"/>
  <c r="Q6" i="67"/>
  <c r="Q53" i="67"/>
  <c r="I6" i="67"/>
  <c r="I53" i="67"/>
  <c r="A6" i="67"/>
  <c r="A53" i="67"/>
  <c r="LT5" i="67"/>
  <c r="LL5" i="67"/>
  <c r="LD5" i="67"/>
  <c r="KV5" i="67"/>
  <c r="KN5" i="67"/>
  <c r="KF5" i="67"/>
  <c r="JX5" i="67"/>
  <c r="JP5" i="67"/>
  <c r="JH5" i="67"/>
  <c r="IZ5" i="67"/>
  <c r="IR5" i="67"/>
  <c r="IJ5" i="67"/>
  <c r="IB5" i="67"/>
  <c r="HT5" i="67"/>
  <c r="HL5" i="67"/>
  <c r="HD5" i="67"/>
  <c r="GV5" i="67"/>
  <c r="GN5" i="67"/>
  <c r="GF5" i="67"/>
  <c r="FX5" i="67"/>
  <c r="FP5" i="67"/>
  <c r="FH5" i="67"/>
  <c r="EZ5" i="67"/>
  <c r="ER5" i="67"/>
  <c r="EJ5" i="67"/>
  <c r="EB5" i="67"/>
  <c r="DT5" i="67"/>
  <c r="DL5" i="67"/>
  <c r="DD5" i="67"/>
  <c r="CV5" i="67"/>
  <c r="CN5" i="67"/>
  <c r="CF5" i="67"/>
  <c r="BX5" i="67"/>
  <c r="BP5" i="67"/>
  <c r="BH5" i="67"/>
  <c r="AZ5" i="67"/>
  <c r="AR5" i="67"/>
  <c r="AJ5" i="67"/>
  <c r="AB5" i="67"/>
  <c r="T5" i="67"/>
  <c r="L5" i="67"/>
  <c r="D5" i="67"/>
  <c r="LW4" i="67"/>
  <c r="LO4" i="67"/>
  <c r="LG4" i="67"/>
  <c r="KY4" i="67"/>
  <c r="KQ4" i="67"/>
  <c r="KI4" i="67"/>
  <c r="KA4" i="67"/>
  <c r="JS4" i="67"/>
  <c r="JK4" i="67"/>
  <c r="JC4" i="67"/>
  <c r="IU4" i="67"/>
  <c r="IM4" i="67"/>
  <c r="IE4" i="67"/>
  <c r="HW4" i="67"/>
  <c r="HO4" i="67"/>
  <c r="HG4" i="67"/>
  <c r="GY4" i="67"/>
  <c r="GQ4" i="67"/>
  <c r="GI4" i="67"/>
  <c r="GA4" i="67"/>
  <c r="FS4" i="67"/>
  <c r="FK4" i="67"/>
  <c r="FC4" i="67"/>
  <c r="EU4" i="67"/>
  <c r="EM4" i="67"/>
  <c r="EE4" i="67"/>
  <c r="DW4" i="67"/>
  <c r="DO4" i="67"/>
  <c r="DG4" i="67"/>
  <c r="CY4" i="67"/>
  <c r="CQ4" i="67"/>
  <c r="CI4" i="67"/>
  <c r="CA4" i="67"/>
  <c r="BS4" i="67"/>
  <c r="BK4" i="67"/>
  <c r="BC4" i="67"/>
  <c r="AU4" i="67"/>
  <c r="AM4" i="67"/>
  <c r="AE4" i="67"/>
  <c r="W4" i="67"/>
  <c r="O4" i="67"/>
  <c r="G4" i="67"/>
  <c r="LZ3" i="67"/>
  <c r="LZ52" i="67"/>
  <c r="LR3" i="67"/>
  <c r="LR52" i="67"/>
  <c r="LJ3" i="67"/>
  <c r="LJ52" i="67"/>
  <c r="LB3" i="67"/>
  <c r="LB52" i="67"/>
  <c r="KT3" i="67"/>
  <c r="KT52" i="67"/>
  <c r="KL3" i="67"/>
  <c r="KL52" i="67"/>
  <c r="KD3" i="67"/>
  <c r="KD52" i="67"/>
  <c r="JV3" i="67"/>
  <c r="JV52" i="67"/>
  <c r="JN3" i="67"/>
  <c r="JN52" i="67"/>
  <c r="JF3" i="67"/>
  <c r="JF52" i="67"/>
  <c r="IX3" i="67"/>
  <c r="IX52" i="67"/>
  <c r="IP3" i="67"/>
  <c r="IP52" i="67"/>
  <c r="IH3" i="67"/>
  <c r="IH52" i="67"/>
  <c r="HZ3" i="67"/>
  <c r="HZ52" i="67"/>
  <c r="HR3" i="67"/>
  <c r="HR52" i="67"/>
  <c r="HJ3" i="67"/>
  <c r="HJ52" i="67"/>
  <c r="HB3" i="67"/>
  <c r="HB52" i="67"/>
  <c r="GT3" i="67"/>
  <c r="GT52" i="67"/>
  <c r="GL3" i="67"/>
  <c r="GL52" i="67"/>
  <c r="GD3" i="67"/>
  <c r="GD52" i="67"/>
  <c r="FV3" i="67"/>
  <c r="FV52" i="67"/>
  <c r="FN3" i="67"/>
  <c r="FN52" i="67"/>
  <c r="FF3" i="67"/>
  <c r="FF52" i="67"/>
  <c r="EX3" i="67"/>
  <c r="EX52" i="67"/>
  <c r="EP3" i="67"/>
  <c r="EP52" i="67"/>
  <c r="EH3" i="67"/>
  <c r="EH52" i="67"/>
  <c r="DZ3" i="67"/>
  <c r="DZ52" i="67"/>
  <c r="DR3" i="67"/>
  <c r="DR52" i="67"/>
  <c r="DJ3" i="67"/>
  <c r="DJ52" i="67"/>
  <c r="DB3" i="67"/>
  <c r="DB52" i="67"/>
  <c r="CT3" i="67"/>
  <c r="CT52" i="67"/>
  <c r="CL3" i="67"/>
  <c r="CL52" i="67"/>
  <c r="CD3" i="67"/>
  <c r="CD52" i="67"/>
  <c r="BV3" i="67"/>
  <c r="BV52" i="67"/>
  <c r="BN3" i="67"/>
  <c r="BN52" i="67"/>
  <c r="BF3" i="67"/>
  <c r="BF52" i="67"/>
  <c r="AX3" i="67"/>
  <c r="AX52" i="67"/>
  <c r="AP3" i="67"/>
  <c r="AP52" i="67"/>
  <c r="AH3" i="67"/>
  <c r="AH52" i="67"/>
  <c r="Z3" i="67"/>
  <c r="Z52" i="67"/>
  <c r="R3" i="67"/>
  <c r="R52" i="67"/>
  <c r="J3" i="67"/>
  <c r="J52" i="67"/>
  <c r="B3" i="67"/>
  <c r="B52" i="67"/>
  <c r="LU2" i="67"/>
  <c r="LM2" i="67"/>
  <c r="LE2" i="67"/>
  <c r="KW2" i="67"/>
  <c r="KO2" i="67"/>
  <c r="KG2" i="67"/>
  <c r="JY2" i="67"/>
  <c r="JQ2" i="67"/>
  <c r="JI2" i="67"/>
  <c r="JA2" i="67"/>
  <c r="IS2" i="67"/>
  <c r="IK2" i="67"/>
  <c r="IC2" i="67"/>
  <c r="HU2" i="67"/>
  <c r="HM2" i="67"/>
  <c r="HE2" i="67"/>
  <c r="GW2" i="67"/>
  <c r="GO2" i="67"/>
  <c r="GG2" i="67"/>
  <c r="FY2" i="67"/>
  <c r="FQ2" i="67"/>
  <c r="FI2" i="67"/>
  <c r="FA2" i="67"/>
  <c r="ES2" i="67"/>
  <c r="EK2" i="67"/>
  <c r="EC2" i="67"/>
  <c r="DU2" i="67"/>
  <c r="DM2" i="67"/>
  <c r="DE2" i="67"/>
  <c r="CW2" i="67"/>
  <c r="CO2" i="67"/>
  <c r="CG2" i="67"/>
  <c r="BY2" i="67"/>
  <c r="BQ2" i="67"/>
  <c r="BI2" i="67"/>
  <c r="BA2" i="67"/>
  <c r="AS2" i="67"/>
  <c r="AK2" i="67"/>
  <c r="AC2" i="67"/>
  <c r="U2" i="67"/>
  <c r="M2" i="67"/>
  <c r="E2" i="67"/>
  <c r="AK7" i="67"/>
  <c r="AC7" i="67"/>
  <c r="U7" i="67"/>
  <c r="M7" i="67"/>
  <c r="E7" i="67"/>
  <c r="LX6" i="67"/>
  <c r="LX53" i="67"/>
  <c r="LP6" i="67"/>
  <c r="LP53" i="67"/>
  <c r="LH6" i="67"/>
  <c r="LH53" i="67"/>
  <c r="KZ6" i="67"/>
  <c r="KZ53" i="67"/>
  <c r="KR6" i="67"/>
  <c r="KR53" i="67"/>
  <c r="KJ6" i="67"/>
  <c r="KJ53" i="67"/>
  <c r="KB6" i="67"/>
  <c r="KB53" i="67"/>
  <c r="JT6" i="67"/>
  <c r="JT53" i="67"/>
  <c r="JL6" i="67"/>
  <c r="JL53" i="67"/>
  <c r="JD6" i="67"/>
  <c r="JD53" i="67"/>
  <c r="IV6" i="67"/>
  <c r="IV53" i="67"/>
  <c r="IN6" i="67"/>
  <c r="IN53" i="67"/>
  <c r="IF6" i="67"/>
  <c r="IF53" i="67"/>
  <c r="HX6" i="67"/>
  <c r="HX53" i="67"/>
  <c r="HP6" i="67"/>
  <c r="HP53" i="67"/>
  <c r="HH6" i="67"/>
  <c r="HH53" i="67"/>
  <c r="GZ6" i="67"/>
  <c r="GZ53" i="67"/>
  <c r="GR6" i="67"/>
  <c r="GR53" i="67"/>
  <c r="GJ6" i="67"/>
  <c r="GJ53" i="67"/>
  <c r="GB6" i="67"/>
  <c r="GB53" i="67"/>
  <c r="FT6" i="67"/>
  <c r="FT53" i="67"/>
  <c r="FL6" i="67"/>
  <c r="FL53" i="67"/>
  <c r="FD6" i="67"/>
  <c r="FD53" i="67"/>
  <c r="EV6" i="67"/>
  <c r="EV53" i="67"/>
  <c r="EN6" i="67"/>
  <c r="EN53" i="67"/>
  <c r="EF6" i="67"/>
  <c r="EF53" i="67"/>
  <c r="DX6" i="67"/>
  <c r="DX53" i="67"/>
  <c r="DP6" i="67"/>
  <c r="DP53" i="67"/>
  <c r="DH6" i="67"/>
  <c r="DH53" i="67"/>
  <c r="CZ6" i="67"/>
  <c r="CZ53" i="67"/>
  <c r="CR6" i="67"/>
  <c r="CR53" i="67"/>
  <c r="CJ6" i="67"/>
  <c r="CJ53" i="67"/>
  <c r="CB6" i="67"/>
  <c r="CB53" i="67"/>
  <c r="BT6" i="67"/>
  <c r="BT53" i="67"/>
  <c r="BL6" i="67"/>
  <c r="BL53" i="67"/>
  <c r="BD6" i="67"/>
  <c r="BD53" i="67"/>
  <c r="AV6" i="67"/>
  <c r="AV53" i="67"/>
  <c r="AN6" i="67"/>
  <c r="AN53" i="67"/>
  <c r="AF6" i="67"/>
  <c r="AF53" i="67"/>
  <c r="X6" i="67"/>
  <c r="X53" i="67"/>
  <c r="P6" i="67"/>
  <c r="P53" i="67"/>
  <c r="H6" i="67"/>
  <c r="H53" i="67"/>
  <c r="MA5" i="67"/>
  <c r="LS5" i="67"/>
  <c r="LK5" i="67"/>
  <c r="LC5" i="67"/>
  <c r="KU5" i="67"/>
  <c r="KM5" i="67"/>
  <c r="KE5" i="67"/>
  <c r="JW5" i="67"/>
  <c r="JO5" i="67"/>
  <c r="JG5" i="67"/>
  <c r="IY5" i="67"/>
  <c r="IQ5" i="67"/>
  <c r="II5" i="67"/>
  <c r="IA5" i="67"/>
  <c r="HS5" i="67"/>
  <c r="HK5" i="67"/>
  <c r="HC5" i="67"/>
  <c r="GU5" i="67"/>
  <c r="GM5" i="67"/>
  <c r="GE5" i="67"/>
  <c r="FW5" i="67"/>
  <c r="FO5" i="67"/>
  <c r="FG5" i="67"/>
  <c r="EY5" i="67"/>
  <c r="EQ5" i="67"/>
  <c r="EI5" i="67"/>
  <c r="EA5" i="67"/>
  <c r="DS5" i="67"/>
  <c r="DK5" i="67"/>
  <c r="DC5" i="67"/>
  <c r="CU5" i="67"/>
  <c r="CM5" i="67"/>
  <c r="CE5" i="67"/>
  <c r="BW5" i="67"/>
  <c r="BO5" i="67"/>
  <c r="BG5" i="67"/>
  <c r="AY5" i="67"/>
  <c r="AQ5" i="67"/>
  <c r="AI5" i="67"/>
  <c r="AA5" i="67"/>
  <c r="S5" i="67"/>
  <c r="K5" i="67"/>
  <c r="C5" i="67"/>
  <c r="LV4" i="67"/>
  <c r="LN4" i="67"/>
  <c r="LF4" i="67"/>
  <c r="KX4" i="67"/>
  <c r="KP4" i="67"/>
  <c r="KH4" i="67"/>
  <c r="JZ4" i="67"/>
  <c r="JR4" i="67"/>
  <c r="JJ4" i="67"/>
  <c r="JB4" i="67"/>
  <c r="IT4" i="67"/>
  <c r="IL4" i="67"/>
  <c r="ID4" i="67"/>
  <c r="HV4" i="67"/>
  <c r="HN4" i="67"/>
  <c r="HF4" i="67"/>
  <c r="GX4" i="67"/>
  <c r="GP4" i="67"/>
  <c r="GH4" i="67"/>
  <c r="FZ4" i="67"/>
  <c r="FR4" i="67"/>
  <c r="FJ4" i="67"/>
  <c r="FB4" i="67"/>
  <c r="ET4" i="67"/>
  <c r="EL4" i="67"/>
  <c r="ED4" i="67"/>
  <c r="DV4" i="67"/>
  <c r="DN4" i="67"/>
  <c r="DF4" i="67"/>
  <c r="CX4" i="67"/>
  <c r="CP4" i="67"/>
  <c r="CH4" i="67"/>
  <c r="BZ4" i="67"/>
  <c r="BR4" i="67"/>
  <c r="BJ4" i="67"/>
  <c r="BB4" i="67"/>
  <c r="AT4" i="67"/>
  <c r="AL4" i="67"/>
  <c r="AD4" i="67"/>
  <c r="V4" i="67"/>
  <c r="N4" i="67"/>
  <c r="F4" i="67"/>
  <c r="LY3" i="67"/>
  <c r="LY52" i="67"/>
  <c r="LQ3" i="67"/>
  <c r="LQ52" i="67"/>
  <c r="LI3" i="67"/>
  <c r="LI52" i="67"/>
  <c r="LA3" i="67"/>
  <c r="LA52" i="67"/>
  <c r="KS3" i="67"/>
  <c r="KS52" i="67"/>
  <c r="KK3" i="67"/>
  <c r="KK52" i="67"/>
  <c r="KC3" i="67"/>
  <c r="KC52" i="67"/>
  <c r="JU3" i="67"/>
  <c r="JU52" i="67"/>
  <c r="JM3" i="67"/>
  <c r="JM52" i="67"/>
  <c r="JE3" i="67"/>
  <c r="JE52" i="67"/>
  <c r="IW3" i="67"/>
  <c r="IW52" i="67"/>
  <c r="IO3" i="67"/>
  <c r="IO52" i="67"/>
  <c r="IG3" i="67"/>
  <c r="IG52" i="67"/>
  <c r="HY3" i="67"/>
  <c r="HY52" i="67"/>
  <c r="HQ3" i="67"/>
  <c r="HQ52" i="67"/>
  <c r="HI3" i="67"/>
  <c r="HI52" i="67"/>
  <c r="HA3" i="67"/>
  <c r="HA52" i="67"/>
  <c r="GS3" i="67"/>
  <c r="GS52" i="67"/>
  <c r="GK3" i="67"/>
  <c r="GK52" i="67"/>
  <c r="GC3" i="67"/>
  <c r="GC52" i="67"/>
  <c r="FU3" i="67"/>
  <c r="FU52" i="67"/>
  <c r="FM3" i="67"/>
  <c r="FM52" i="67"/>
  <c r="FE3" i="67"/>
  <c r="FE52" i="67"/>
  <c r="EW3" i="67"/>
  <c r="EW52" i="67"/>
  <c r="EO3" i="67"/>
  <c r="EO52" i="67"/>
  <c r="EG3" i="67"/>
  <c r="EG52" i="67"/>
  <c r="DY3" i="67"/>
  <c r="DY52" i="67"/>
  <c r="DQ3" i="67"/>
  <c r="DQ52" i="67"/>
  <c r="DI3" i="67"/>
  <c r="DI52" i="67"/>
  <c r="DA3" i="67"/>
  <c r="DA52" i="67"/>
  <c r="CS3" i="67"/>
  <c r="CS52" i="67"/>
  <c r="CK3" i="67"/>
  <c r="CK52" i="67"/>
  <c r="CC3" i="67"/>
  <c r="CC52" i="67"/>
  <c r="BU3" i="67"/>
  <c r="BU52" i="67"/>
  <c r="BM3" i="67"/>
  <c r="BM52" i="67"/>
  <c r="BE3" i="67"/>
  <c r="BE52" i="67"/>
  <c r="AW3" i="67"/>
  <c r="AW52" i="67"/>
  <c r="AO3" i="67"/>
  <c r="AO52" i="67"/>
  <c r="AG3" i="67"/>
  <c r="AG52" i="67"/>
  <c r="Y3" i="67"/>
  <c r="Y52" i="67"/>
  <c r="Q3" i="67"/>
  <c r="Q52" i="67"/>
  <c r="I3" i="67"/>
  <c r="I52" i="67"/>
  <c r="A3" i="67"/>
  <c r="A52" i="67"/>
  <c r="LT2" i="67"/>
  <c r="LL2" i="67"/>
  <c r="LD2" i="67"/>
  <c r="KV2" i="67"/>
  <c r="KN2" i="67"/>
  <c r="KF2" i="67"/>
  <c r="JX2" i="67"/>
  <c r="JP2" i="67"/>
  <c r="JH2" i="67"/>
  <c r="IZ2" i="67"/>
  <c r="IR2" i="67"/>
  <c r="IJ2" i="67"/>
  <c r="IB2" i="67"/>
  <c r="HT2" i="67"/>
  <c r="HL2" i="67"/>
  <c r="HD2" i="67"/>
  <c r="GV2" i="67"/>
  <c r="GN2" i="67"/>
  <c r="GF2" i="67"/>
  <c r="FX2" i="67"/>
  <c r="FP2" i="67"/>
  <c r="FH2" i="67"/>
  <c r="EZ2" i="67"/>
  <c r="ER2" i="67"/>
  <c r="EJ2" i="67"/>
  <c r="EB2" i="67"/>
  <c r="DT2" i="67"/>
  <c r="DL2" i="67"/>
  <c r="DD2" i="67"/>
  <c r="CV2" i="67"/>
  <c r="CN2" i="67"/>
  <c r="CF2" i="67"/>
  <c r="BX2" i="67"/>
  <c r="BP2" i="67"/>
  <c r="BH2" i="67"/>
  <c r="AZ2" i="67"/>
  <c r="AR2" i="67"/>
  <c r="AJ2" i="67"/>
  <c r="AB2" i="67"/>
  <c r="T2" i="67"/>
  <c r="L2" i="67"/>
  <c r="D2" i="67"/>
  <c r="DL7" i="67"/>
  <c r="DD7" i="67"/>
  <c r="CV7" i="67"/>
  <c r="CN7" i="67"/>
  <c r="CF7" i="67"/>
  <c r="BX7" i="67"/>
  <c r="BP7" i="67"/>
  <c r="BH7" i="67"/>
  <c r="AZ7" i="67"/>
  <c r="AR7" i="67"/>
  <c r="AJ7" i="67"/>
  <c r="AB7" i="67"/>
  <c r="T7" i="67"/>
  <c r="L7" i="67"/>
  <c r="D7" i="67"/>
  <c r="LW6" i="67"/>
  <c r="LW53" i="67"/>
  <c r="LO6" i="67"/>
  <c r="LO53" i="67"/>
  <c r="LG6" i="67"/>
  <c r="LG53" i="67"/>
  <c r="KY6" i="67"/>
  <c r="KY53" i="67"/>
  <c r="KQ6" i="67"/>
  <c r="KQ53" i="67"/>
  <c r="KI6" i="67"/>
  <c r="KI53" i="67"/>
  <c r="KA6" i="67"/>
  <c r="KA53" i="67"/>
  <c r="JS6" i="67"/>
  <c r="JS53" i="67"/>
  <c r="JK6" i="67"/>
  <c r="JK53" i="67"/>
  <c r="JC6" i="67"/>
  <c r="JC53" i="67"/>
  <c r="IU6" i="67"/>
  <c r="IU53" i="67"/>
  <c r="IM6" i="67"/>
  <c r="IM53" i="67"/>
  <c r="IE6" i="67"/>
  <c r="IE53" i="67"/>
  <c r="HW6" i="67"/>
  <c r="HW53" i="67"/>
  <c r="HO6" i="67"/>
  <c r="HO53" i="67"/>
  <c r="HG6" i="67"/>
  <c r="HG53" i="67"/>
  <c r="GY6" i="67"/>
  <c r="GY53" i="67"/>
  <c r="GQ6" i="67"/>
  <c r="GQ53" i="67"/>
  <c r="GI6" i="67"/>
  <c r="GI53" i="67"/>
  <c r="GA6" i="67"/>
  <c r="GA53" i="67"/>
  <c r="FS6" i="67"/>
  <c r="FS53" i="67"/>
  <c r="FK6" i="67"/>
  <c r="FK53" i="67"/>
  <c r="FC6" i="67"/>
  <c r="FC53" i="67"/>
  <c r="EU6" i="67"/>
  <c r="EU53" i="67"/>
  <c r="EM6" i="67"/>
  <c r="EM53" i="67"/>
  <c r="EE6" i="67"/>
  <c r="EE53" i="67"/>
  <c r="DW6" i="67"/>
  <c r="DW53" i="67"/>
  <c r="DO6" i="67"/>
  <c r="DO53" i="67"/>
  <c r="DG6" i="67"/>
  <c r="DG53" i="67"/>
  <c r="CY6" i="67"/>
  <c r="CY53" i="67"/>
  <c r="CQ6" i="67"/>
  <c r="CQ53" i="67"/>
  <c r="CI6" i="67"/>
  <c r="CI53" i="67"/>
  <c r="CA6" i="67"/>
  <c r="CA53" i="67"/>
  <c r="BS6" i="67"/>
  <c r="BS53" i="67"/>
  <c r="BK6" i="67"/>
  <c r="BK53" i="67"/>
  <c r="BC6" i="67"/>
  <c r="BC53" i="67"/>
  <c r="AU6" i="67"/>
  <c r="AU53" i="67"/>
  <c r="AM6" i="67"/>
  <c r="AM53" i="67"/>
  <c r="AE6" i="67"/>
  <c r="AE53" i="67"/>
  <c r="W6" i="67"/>
  <c r="W53" i="67"/>
  <c r="O6" i="67"/>
  <c r="O53" i="67"/>
  <c r="G6" i="67"/>
  <c r="G53" i="67"/>
  <c r="LZ5" i="67"/>
  <c r="LR5" i="67"/>
  <c r="LJ5" i="67"/>
  <c r="LB5" i="67"/>
  <c r="KT5" i="67"/>
  <c r="KL5" i="67"/>
  <c r="KD5" i="67"/>
  <c r="JV5" i="67"/>
  <c r="JN5" i="67"/>
  <c r="JF5" i="67"/>
  <c r="IX5" i="67"/>
  <c r="IP5" i="67"/>
  <c r="IH5" i="67"/>
  <c r="HZ5" i="67"/>
  <c r="HR5" i="67"/>
  <c r="HJ5" i="67"/>
  <c r="HB5" i="67"/>
  <c r="GT5" i="67"/>
  <c r="GL5" i="67"/>
  <c r="GD5" i="67"/>
  <c r="FV5" i="67"/>
  <c r="FN5" i="67"/>
  <c r="FF5" i="67"/>
  <c r="EX5" i="67"/>
  <c r="EP5" i="67"/>
  <c r="EH5" i="67"/>
  <c r="DZ5" i="67"/>
  <c r="DR5" i="67"/>
  <c r="DJ5" i="67"/>
  <c r="DB5" i="67"/>
  <c r="CT5" i="67"/>
  <c r="CL5" i="67"/>
  <c r="CD5" i="67"/>
  <c r="BV5" i="67"/>
  <c r="BN5" i="67"/>
  <c r="BF5" i="67"/>
  <c r="AX5" i="67"/>
  <c r="AP5" i="67"/>
  <c r="AH5" i="67"/>
  <c r="Z5" i="67"/>
  <c r="R5" i="67"/>
  <c r="B5" i="67"/>
  <c r="LU4" i="67"/>
  <c r="LM4" i="67"/>
  <c r="LE4" i="67"/>
  <c r="KW4" i="67"/>
  <c r="KO4" i="67"/>
  <c r="KG4" i="67"/>
  <c r="JY4" i="67"/>
  <c r="JQ4" i="67"/>
  <c r="JI4" i="67"/>
  <c r="JA4" i="67"/>
  <c r="IS4" i="67"/>
  <c r="IK4" i="67"/>
  <c r="IC4" i="67"/>
  <c r="HU4" i="67"/>
  <c r="HM4" i="67"/>
  <c r="HE4" i="67"/>
  <c r="GW4" i="67"/>
  <c r="GO4" i="67"/>
  <c r="GG4" i="67"/>
  <c r="FY4" i="67"/>
  <c r="FQ4" i="67"/>
  <c r="FI4" i="67"/>
  <c r="FA4" i="67"/>
  <c r="ES4" i="67"/>
  <c r="EK4" i="67"/>
  <c r="EC4" i="67"/>
  <c r="DU4" i="67"/>
  <c r="DM4" i="67"/>
  <c r="DE4" i="67"/>
  <c r="CW4" i="67"/>
  <c r="CO4" i="67"/>
  <c r="CG4" i="67"/>
  <c r="BY4" i="67"/>
  <c r="BQ4" i="67"/>
  <c r="BI4" i="67"/>
  <c r="BA4" i="67"/>
  <c r="AS4" i="67"/>
  <c r="AK4" i="67"/>
  <c r="AC4" i="67"/>
  <c r="U4" i="67"/>
  <c r="M4" i="67"/>
  <c r="E4" i="67"/>
  <c r="LX3" i="67"/>
  <c r="LX52" i="67"/>
  <c r="LP3" i="67"/>
  <c r="LP52" i="67"/>
  <c r="LH3" i="67"/>
  <c r="LH52" i="67"/>
  <c r="KZ3" i="67"/>
  <c r="KZ52" i="67"/>
  <c r="KR3" i="67"/>
  <c r="KR52" i="67"/>
  <c r="KJ3" i="67"/>
  <c r="KJ52" i="67"/>
  <c r="KB3" i="67"/>
  <c r="KB52" i="67"/>
  <c r="JT3" i="67"/>
  <c r="JT52" i="67"/>
  <c r="JL3" i="67"/>
  <c r="JL52" i="67"/>
  <c r="JD3" i="67"/>
  <c r="JD52" i="67"/>
  <c r="IV3" i="67"/>
  <c r="IV52" i="67"/>
  <c r="IN3" i="67"/>
  <c r="IN52" i="67"/>
  <c r="IF3" i="67"/>
  <c r="IF52" i="67"/>
  <c r="HX3" i="67"/>
  <c r="HX52" i="67"/>
  <c r="HP3" i="67"/>
  <c r="HP52" i="67"/>
  <c r="HH3" i="67"/>
  <c r="HH52" i="67"/>
  <c r="GZ3" i="67"/>
  <c r="GZ52" i="67"/>
  <c r="GR3" i="67"/>
  <c r="GR52" i="67"/>
  <c r="GJ3" i="67"/>
  <c r="GJ52" i="67"/>
  <c r="GB3" i="67"/>
  <c r="GB52" i="67"/>
  <c r="FT3" i="67"/>
  <c r="FT52" i="67"/>
  <c r="FL3" i="67"/>
  <c r="FL52" i="67"/>
  <c r="FD3" i="67"/>
  <c r="FD52" i="67"/>
  <c r="EV3" i="67"/>
  <c r="EV52" i="67"/>
  <c r="EN3" i="67"/>
  <c r="EN52" i="67"/>
  <c r="EF3" i="67"/>
  <c r="EF52" i="67"/>
  <c r="DX3" i="67"/>
  <c r="DX52" i="67"/>
  <c r="DP3" i="67"/>
  <c r="DP52" i="67"/>
  <c r="DH3" i="67"/>
  <c r="DH52" i="67"/>
  <c r="CZ3" i="67"/>
  <c r="CZ52" i="67"/>
  <c r="CR3" i="67"/>
  <c r="CR52" i="67"/>
  <c r="CJ3" i="67"/>
  <c r="CJ52" i="67"/>
  <c r="CB3" i="67"/>
  <c r="CB52" i="67"/>
  <c r="BT3" i="67"/>
  <c r="BT52" i="67"/>
  <c r="BL3" i="67"/>
  <c r="BL52" i="67"/>
  <c r="BD3" i="67"/>
  <c r="BD52" i="67"/>
  <c r="AV3" i="67"/>
  <c r="AV52" i="67"/>
  <c r="AN3" i="67"/>
  <c r="AN52" i="67"/>
  <c r="AF3" i="67"/>
  <c r="AF52" i="67"/>
  <c r="X3" i="67"/>
  <c r="X52" i="67"/>
  <c r="P3" i="67"/>
  <c r="P52" i="67"/>
  <c r="H3" i="67"/>
  <c r="H52" i="67"/>
  <c r="MA2" i="67"/>
  <c r="LS2" i="67"/>
  <c r="LK2" i="67"/>
  <c r="LC2" i="67"/>
  <c r="KU2" i="67"/>
  <c r="KM2" i="67"/>
  <c r="KE2" i="67"/>
  <c r="JW2" i="67"/>
  <c r="JO2" i="67"/>
  <c r="JG2" i="67"/>
  <c r="IY2" i="67"/>
  <c r="IQ2" i="67"/>
  <c r="II2" i="67"/>
  <c r="IA2" i="67"/>
  <c r="HS2" i="67"/>
  <c r="HK2" i="67"/>
  <c r="HC2" i="67"/>
  <c r="GU2" i="67"/>
  <c r="GM2" i="67"/>
  <c r="GE2" i="67"/>
  <c r="FW2" i="67"/>
  <c r="FO2" i="67"/>
  <c r="FG2" i="67"/>
  <c r="EY2" i="67"/>
  <c r="EQ2" i="67"/>
  <c r="EI2" i="67"/>
  <c r="EA2" i="67"/>
  <c r="DS2" i="67"/>
  <c r="DK2" i="67"/>
  <c r="DC2" i="67"/>
  <c r="CU2" i="67"/>
  <c r="CM2" i="67"/>
  <c r="CE2" i="67"/>
  <c r="BW2" i="67"/>
  <c r="BO2" i="67"/>
  <c r="BG2" i="67"/>
  <c r="AY2" i="67"/>
  <c r="AQ2" i="67"/>
  <c r="AI2" i="67"/>
  <c r="AA2" i="67"/>
  <c r="S2" i="67"/>
  <c r="K2" i="67"/>
  <c r="C2" i="67"/>
  <c r="CU7" i="67"/>
  <c r="CM7" i="67"/>
  <c r="CE7" i="67"/>
  <c r="BW7" i="67"/>
  <c r="BO7" i="67"/>
  <c r="BG7" i="67"/>
  <c r="AY7" i="67"/>
  <c r="AQ7" i="67"/>
  <c r="AI7" i="67"/>
  <c r="AA7" i="67"/>
  <c r="S7" i="67"/>
  <c r="K7" i="67"/>
  <c r="C7" i="67"/>
  <c r="LV6" i="67"/>
  <c r="LV53" i="67"/>
  <c r="LN6" i="67"/>
  <c r="LN53" i="67"/>
  <c r="LF6" i="67"/>
  <c r="LF53" i="67"/>
  <c r="KX6" i="67"/>
  <c r="KX53" i="67"/>
  <c r="KP6" i="67"/>
  <c r="KP53" i="67"/>
  <c r="KH6" i="67"/>
  <c r="KH53" i="67"/>
  <c r="JZ6" i="67"/>
  <c r="JZ53" i="67"/>
  <c r="JR6" i="67"/>
  <c r="JR53" i="67"/>
  <c r="JJ6" i="67"/>
  <c r="JJ53" i="67"/>
  <c r="JB6" i="67"/>
  <c r="JB53" i="67"/>
  <c r="IT6" i="67"/>
  <c r="IT53" i="67"/>
  <c r="IL6" i="67"/>
  <c r="IL53" i="67"/>
  <c r="ID6" i="67"/>
  <c r="ID53" i="67"/>
  <c r="HV6" i="67"/>
  <c r="HV53" i="67"/>
  <c r="HN6" i="67"/>
  <c r="HN53" i="67"/>
  <c r="HF6" i="67"/>
  <c r="HF53" i="67"/>
  <c r="GX6" i="67"/>
  <c r="GX53" i="67"/>
  <c r="GP6" i="67"/>
  <c r="GP53" i="67"/>
  <c r="GH6" i="67"/>
  <c r="GH53" i="67"/>
  <c r="FZ6" i="67"/>
  <c r="FZ53" i="67"/>
  <c r="FR6" i="67"/>
  <c r="FR53" i="67"/>
  <c r="FJ6" i="67"/>
  <c r="FJ53" i="67"/>
  <c r="FB6" i="67"/>
  <c r="FB53" i="67"/>
  <c r="ET6" i="67"/>
  <c r="ET53" i="67"/>
  <c r="EL6" i="67"/>
  <c r="EL53" i="67"/>
  <c r="ED6" i="67"/>
  <c r="ED53" i="67"/>
  <c r="DV6" i="67"/>
  <c r="DV53" i="67"/>
  <c r="DN6" i="67"/>
  <c r="DN53" i="67"/>
  <c r="DF6" i="67"/>
  <c r="DF53" i="67"/>
  <c r="CX6" i="67"/>
  <c r="CX53" i="67"/>
  <c r="CP6" i="67"/>
  <c r="CP53" i="67"/>
  <c r="CH6" i="67"/>
  <c r="CH53" i="67"/>
  <c r="BZ6" i="67"/>
  <c r="BZ53" i="67"/>
  <c r="BR6" i="67"/>
  <c r="BR53" i="67"/>
  <c r="BJ6" i="67"/>
  <c r="BJ53" i="67"/>
  <c r="BB6" i="67"/>
  <c r="BB53" i="67"/>
  <c r="AT6" i="67"/>
  <c r="AT53" i="67"/>
  <c r="AL6" i="67"/>
  <c r="AL53" i="67"/>
  <c r="AD6" i="67"/>
  <c r="AD53" i="67"/>
  <c r="V6" i="67"/>
  <c r="V53" i="67"/>
  <c r="N6" i="67"/>
  <c r="N53" i="67"/>
  <c r="F6" i="67"/>
  <c r="F53" i="67"/>
  <c r="LY5" i="67"/>
  <c r="LQ5" i="67"/>
  <c r="LI5" i="67"/>
  <c r="LA5" i="67"/>
  <c r="KS5" i="67"/>
  <c r="KK5" i="67"/>
  <c r="KC5" i="67"/>
  <c r="JU5" i="67"/>
  <c r="JM5" i="67"/>
  <c r="JE5" i="67"/>
  <c r="IW5" i="67"/>
  <c r="IO5" i="67"/>
  <c r="IG5" i="67"/>
  <c r="HY5" i="67"/>
  <c r="HQ5" i="67"/>
  <c r="HI5" i="67"/>
  <c r="HA5" i="67"/>
  <c r="GS5" i="67"/>
  <c r="GK5" i="67"/>
  <c r="GC5" i="67"/>
  <c r="FU5" i="67"/>
  <c r="FM5" i="67"/>
  <c r="FE5" i="67"/>
  <c r="EW5" i="67"/>
  <c r="EO5" i="67"/>
  <c r="EG5" i="67"/>
  <c r="DY5" i="67"/>
  <c r="DQ5" i="67"/>
  <c r="DI5" i="67"/>
  <c r="DA5" i="67"/>
  <c r="CS5" i="67"/>
  <c r="CK5" i="67"/>
  <c r="CC5" i="67"/>
  <c r="BU5" i="67"/>
  <c r="BM5" i="67"/>
  <c r="BE5" i="67"/>
  <c r="AW5" i="67"/>
  <c r="AO5" i="67"/>
  <c r="AG5" i="67"/>
  <c r="Y5" i="67"/>
  <c r="Q5" i="67"/>
  <c r="A5" i="67"/>
  <c r="LT4" i="67"/>
  <c r="LL4" i="67"/>
  <c r="LD4" i="67"/>
  <c r="KV4" i="67"/>
  <c r="KN4" i="67"/>
  <c r="KF4" i="67"/>
  <c r="JX4" i="67"/>
  <c r="JP4" i="67"/>
  <c r="JH4" i="67"/>
  <c r="IZ4" i="67"/>
  <c r="IR4" i="67"/>
  <c r="IJ4" i="67"/>
  <c r="IB4" i="67"/>
  <c r="HT4" i="67"/>
  <c r="HL4" i="67"/>
  <c r="HD4" i="67"/>
  <c r="GV4" i="67"/>
  <c r="GN4" i="67"/>
  <c r="GF4" i="67"/>
  <c r="FX4" i="67"/>
  <c r="FP4" i="67"/>
  <c r="FH4" i="67"/>
  <c r="EZ4" i="67"/>
  <c r="ER4" i="67"/>
  <c r="EJ4" i="67"/>
  <c r="EB4" i="67"/>
  <c r="DT4" i="67"/>
  <c r="DL4" i="67"/>
  <c r="DD4" i="67"/>
  <c r="CV4" i="67"/>
  <c r="CN4" i="67"/>
  <c r="CF4" i="67"/>
  <c r="BX4" i="67"/>
  <c r="BP4" i="67"/>
  <c r="BH4" i="67"/>
  <c r="AZ4" i="67"/>
  <c r="AR4" i="67"/>
  <c r="AJ4" i="67"/>
  <c r="AB4" i="67"/>
  <c r="T4" i="67"/>
  <c r="L4" i="67"/>
  <c r="D4" i="67"/>
  <c r="LW3" i="67"/>
  <c r="LW52" i="67"/>
  <c r="LO3" i="67"/>
  <c r="LO52" i="67"/>
  <c r="LG3" i="67"/>
  <c r="LG52" i="67"/>
  <c r="KY3" i="67"/>
  <c r="KY52" i="67"/>
  <c r="KQ3" i="67"/>
  <c r="KQ52" i="67"/>
  <c r="KI3" i="67"/>
  <c r="KI52" i="67"/>
  <c r="KA3" i="67"/>
  <c r="KA52" i="67"/>
  <c r="JS3" i="67"/>
  <c r="JS52" i="67"/>
  <c r="JK3" i="67"/>
  <c r="JK52" i="67"/>
  <c r="JC3" i="67"/>
  <c r="JC52" i="67"/>
  <c r="IU3" i="67"/>
  <c r="IU52" i="67"/>
  <c r="IM3" i="67"/>
  <c r="IM52" i="67"/>
  <c r="IE3" i="67"/>
  <c r="IE52" i="67"/>
  <c r="HW3" i="67"/>
  <c r="HW52" i="67"/>
  <c r="HO3" i="67"/>
  <c r="HO52" i="67"/>
  <c r="HG3" i="67"/>
  <c r="HG52" i="67"/>
  <c r="GY3" i="67"/>
  <c r="GY52" i="67"/>
  <c r="GQ3" i="67"/>
  <c r="GQ52" i="67"/>
  <c r="GI3" i="67"/>
  <c r="GI52" i="67"/>
  <c r="GA3" i="67"/>
  <c r="GA52" i="67"/>
  <c r="FS3" i="67"/>
  <c r="FS52" i="67"/>
  <c r="FK3" i="67"/>
  <c r="FK52" i="67"/>
  <c r="FC3" i="67"/>
  <c r="FC52" i="67"/>
  <c r="EU3" i="67"/>
  <c r="EU52" i="67"/>
  <c r="EM3" i="67"/>
  <c r="EM52" i="67"/>
  <c r="EE3" i="67"/>
  <c r="EE52" i="67"/>
  <c r="DW3" i="67"/>
  <c r="DW52" i="67"/>
  <c r="DO3" i="67"/>
  <c r="DO52" i="67"/>
  <c r="DG3" i="67"/>
  <c r="DG52" i="67"/>
  <c r="CY3" i="67"/>
  <c r="CY52" i="67"/>
  <c r="CQ3" i="67"/>
  <c r="CQ52" i="67"/>
  <c r="CI3" i="67"/>
  <c r="CI52" i="67"/>
  <c r="CA3" i="67"/>
  <c r="CA52" i="67"/>
  <c r="BS3" i="67"/>
  <c r="BS52" i="67"/>
  <c r="BK3" i="67"/>
  <c r="BK52" i="67"/>
  <c r="BC3" i="67"/>
  <c r="BC52" i="67"/>
  <c r="AU3" i="67"/>
  <c r="AU52" i="67"/>
  <c r="AM3" i="67"/>
  <c r="AM52" i="67"/>
  <c r="AE3" i="67"/>
  <c r="AE52" i="67"/>
  <c r="W3" i="67"/>
  <c r="W52" i="67"/>
  <c r="O3" i="67"/>
  <c r="O52" i="67"/>
  <c r="G3" i="67"/>
  <c r="G52" i="67"/>
  <c r="LZ2" i="67"/>
  <c r="LR2" i="67"/>
  <c r="LJ2" i="67"/>
  <c r="LB2" i="67"/>
  <c r="KT2" i="67"/>
  <c r="KL2" i="67"/>
  <c r="KD2" i="67"/>
  <c r="JV2" i="67"/>
  <c r="JN2" i="67"/>
  <c r="JF2" i="67"/>
  <c r="IX2" i="67"/>
  <c r="IP2" i="67"/>
  <c r="IH2" i="67"/>
  <c r="HZ2" i="67"/>
  <c r="HR2" i="67"/>
  <c r="HJ2" i="67"/>
  <c r="HB2" i="67"/>
  <c r="GT2" i="67"/>
  <c r="GL2" i="67"/>
  <c r="GD2" i="67"/>
  <c r="FV2" i="67"/>
  <c r="FN2" i="67"/>
  <c r="FF2" i="67"/>
  <c r="EX2" i="67"/>
  <c r="EP2" i="67"/>
  <c r="EH2" i="67"/>
  <c r="DZ2" i="67"/>
  <c r="DR2" i="67"/>
  <c r="DJ2" i="67"/>
  <c r="DB2" i="67"/>
  <c r="CT2" i="67"/>
  <c r="CL2" i="67"/>
  <c r="CD2" i="67"/>
  <c r="BV2" i="67"/>
  <c r="BN2" i="67"/>
  <c r="BF2" i="67"/>
  <c r="AX2" i="67"/>
  <c r="AP2" i="67"/>
  <c r="AH2" i="67"/>
  <c r="Z2" i="67"/>
  <c r="R2" i="67"/>
  <c r="J2" i="67"/>
  <c r="B2" i="67"/>
  <c r="DJ7" i="67"/>
  <c r="DB7" i="67"/>
  <c r="CT7" i="67"/>
  <c r="CL7" i="67"/>
  <c r="CD7" i="67"/>
  <c r="BV7" i="67"/>
  <c r="BN7" i="67"/>
  <c r="BF7" i="67"/>
  <c r="AX7" i="67"/>
  <c r="AP7" i="67"/>
  <c r="AH7" i="67"/>
  <c r="Z7" i="67"/>
  <c r="R7" i="67"/>
  <c r="B7" i="67"/>
  <c r="LU6" i="67"/>
  <c r="LU53" i="67"/>
  <c r="LM6" i="67"/>
  <c r="LM53" i="67"/>
  <c r="LE6" i="67"/>
  <c r="LE53" i="67"/>
  <c r="KW6" i="67"/>
  <c r="KW53" i="67"/>
  <c r="KO6" i="67"/>
  <c r="KO53" i="67"/>
  <c r="KG6" i="67"/>
  <c r="KG53" i="67"/>
  <c r="JY6" i="67"/>
  <c r="JY53" i="67"/>
  <c r="JQ6" i="67"/>
  <c r="JQ53" i="67"/>
  <c r="JI6" i="67"/>
  <c r="JI53" i="67"/>
  <c r="JA6" i="67"/>
  <c r="JA53" i="67"/>
  <c r="IS6" i="67"/>
  <c r="IS53" i="67"/>
  <c r="IK6" i="67"/>
  <c r="IK53" i="67"/>
  <c r="IC6" i="67"/>
  <c r="IC53" i="67"/>
  <c r="HU6" i="67"/>
  <c r="HU53" i="67"/>
  <c r="HM6" i="67"/>
  <c r="HM53" i="67"/>
  <c r="HE6" i="67"/>
  <c r="HE53" i="67"/>
  <c r="GW6" i="67"/>
  <c r="GW53" i="67"/>
  <c r="GO6" i="67"/>
  <c r="GO53" i="67"/>
  <c r="GG6" i="67"/>
  <c r="GG53" i="67"/>
  <c r="FY6" i="67"/>
  <c r="FY53" i="67"/>
  <c r="FQ6" i="67"/>
  <c r="FQ53" i="67"/>
  <c r="FI6" i="67"/>
  <c r="FI53" i="67"/>
  <c r="FA6" i="67"/>
  <c r="FA53" i="67"/>
  <c r="ES6" i="67"/>
  <c r="ES53" i="67"/>
  <c r="EK6" i="67"/>
  <c r="EK53" i="67"/>
  <c r="EC6" i="67"/>
  <c r="EC53" i="67"/>
  <c r="DU6" i="67"/>
  <c r="DU53" i="67"/>
  <c r="DM6" i="67"/>
  <c r="DM53" i="67"/>
  <c r="DE6" i="67"/>
  <c r="DE53" i="67"/>
  <c r="CW6" i="67"/>
  <c r="CW53" i="67"/>
  <c r="CO6" i="67"/>
  <c r="CO53" i="67"/>
  <c r="CG6" i="67"/>
  <c r="CG53" i="67"/>
  <c r="BY6" i="67"/>
  <c r="BY53" i="67"/>
  <c r="BQ6" i="67"/>
  <c r="BQ53" i="67"/>
  <c r="BI6" i="67"/>
  <c r="BI53" i="67"/>
  <c r="BA6" i="67"/>
  <c r="BA53" i="67"/>
  <c r="AS6" i="67"/>
  <c r="AS53" i="67"/>
  <c r="AK6" i="67"/>
  <c r="AK53" i="67"/>
  <c r="AC6" i="67"/>
  <c r="AC53" i="67"/>
  <c r="U6" i="67"/>
  <c r="U53" i="67"/>
  <c r="M6" i="67"/>
  <c r="M53" i="67"/>
  <c r="E6" i="67"/>
  <c r="E53" i="67"/>
  <c r="LX5" i="67"/>
  <c r="LP5" i="67"/>
  <c r="LH5" i="67"/>
  <c r="KZ5" i="67"/>
  <c r="KR5" i="67"/>
  <c r="KJ5" i="67"/>
  <c r="KB5" i="67"/>
  <c r="JT5" i="67"/>
  <c r="JL5" i="67"/>
  <c r="JD5" i="67"/>
  <c r="IV5" i="67"/>
  <c r="IN5" i="67"/>
  <c r="IF5" i="67"/>
  <c r="HX5" i="67"/>
  <c r="HP5" i="67"/>
  <c r="HH5" i="67"/>
  <c r="GZ5" i="67"/>
  <c r="GR5" i="67"/>
  <c r="GJ5" i="67"/>
  <c r="GB5" i="67"/>
  <c r="FT5" i="67"/>
  <c r="FL5" i="67"/>
  <c r="FD5" i="67"/>
  <c r="EV5" i="67"/>
  <c r="EN5" i="67"/>
  <c r="EF5" i="67"/>
  <c r="DX5" i="67"/>
  <c r="DP5" i="67"/>
  <c r="DH5" i="67"/>
  <c r="CZ5" i="67"/>
  <c r="CR5" i="67"/>
  <c r="CJ5" i="67"/>
  <c r="CB5" i="67"/>
  <c r="BT5" i="67"/>
  <c r="BL5" i="67"/>
  <c r="BD5" i="67"/>
  <c r="AV5" i="67"/>
  <c r="AN5" i="67"/>
  <c r="AF5" i="67"/>
  <c r="X5" i="67"/>
  <c r="P5" i="67"/>
  <c r="H5" i="67"/>
  <c r="MA4" i="67"/>
  <c r="LS4" i="67"/>
  <c r="LK4" i="67"/>
  <c r="LC4" i="67"/>
  <c r="KU4" i="67"/>
  <c r="KM4" i="67"/>
  <c r="KE4" i="67"/>
  <c r="JW4" i="67"/>
  <c r="JO4" i="67"/>
  <c r="JG4" i="67"/>
  <c r="IY4" i="67"/>
  <c r="IQ4" i="67"/>
  <c r="II4" i="67"/>
  <c r="IA4" i="67"/>
  <c r="HS4" i="67"/>
  <c r="HK4" i="67"/>
  <c r="HC4" i="67"/>
  <c r="GU4" i="67"/>
  <c r="GM4" i="67"/>
  <c r="GE4" i="67"/>
  <c r="FW4" i="67"/>
  <c r="FO4" i="67"/>
  <c r="FG4" i="67"/>
  <c r="EY4" i="67"/>
  <c r="EQ4" i="67"/>
  <c r="EI4" i="67"/>
  <c r="EA4" i="67"/>
  <c r="DS4" i="67"/>
  <c r="DK4" i="67"/>
  <c r="DC4" i="67"/>
  <c r="CU4" i="67"/>
  <c r="CM4" i="67"/>
  <c r="CE4" i="67"/>
  <c r="BW4" i="67"/>
  <c r="BO4" i="67"/>
  <c r="BG4" i="67"/>
  <c r="AY4" i="67"/>
  <c r="AQ4" i="67"/>
  <c r="AI4" i="67"/>
  <c r="AA4" i="67"/>
  <c r="S4" i="67"/>
  <c r="K4" i="67"/>
  <c r="C4" i="67"/>
  <c r="LV3" i="67"/>
  <c r="LV52" i="67"/>
  <c r="LN3" i="67"/>
  <c r="LN52" i="67"/>
  <c r="LF3" i="67"/>
  <c r="LF52" i="67"/>
  <c r="KX3" i="67"/>
  <c r="KX52" i="67"/>
  <c r="KP3" i="67"/>
  <c r="KP52" i="67"/>
  <c r="KH3" i="67"/>
  <c r="KH52" i="67"/>
  <c r="JZ3" i="67"/>
  <c r="JZ52" i="67"/>
  <c r="JR3" i="67"/>
  <c r="JR52" i="67"/>
  <c r="JJ3" i="67"/>
  <c r="JJ52" i="67"/>
  <c r="JB3" i="67"/>
  <c r="JB52" i="67"/>
  <c r="IT3" i="67"/>
  <c r="IT52" i="67"/>
  <c r="IL3" i="67"/>
  <c r="IL52" i="67"/>
  <c r="ID3" i="67"/>
  <c r="ID52" i="67"/>
  <c r="HV3" i="67"/>
  <c r="HV52" i="67"/>
  <c r="HN3" i="67"/>
  <c r="HN52" i="67"/>
  <c r="HF3" i="67"/>
  <c r="HF52" i="67"/>
  <c r="GX3" i="67"/>
  <c r="GX52" i="67"/>
  <c r="GP3" i="67"/>
  <c r="GP52" i="67"/>
  <c r="GH3" i="67"/>
  <c r="GH52" i="67"/>
  <c r="FZ3" i="67"/>
  <c r="FZ52" i="67"/>
  <c r="FR3" i="67"/>
  <c r="FR52" i="67"/>
  <c r="FJ3" i="67"/>
  <c r="FJ52" i="67"/>
  <c r="FB3" i="67"/>
  <c r="FB52" i="67"/>
  <c r="ET3" i="67"/>
  <c r="ET52" i="67"/>
  <c r="EL3" i="67"/>
  <c r="EL52" i="67"/>
  <c r="ED3" i="67"/>
  <c r="ED52" i="67"/>
  <c r="DV3" i="67"/>
  <c r="DV52" i="67"/>
  <c r="DN3" i="67"/>
  <c r="DN52" i="67"/>
  <c r="DF3" i="67"/>
  <c r="DF52" i="67"/>
  <c r="CX3" i="67"/>
  <c r="CX52" i="67"/>
  <c r="CP3" i="67"/>
  <c r="CP52" i="67"/>
  <c r="CH3" i="67"/>
  <c r="CH52" i="67"/>
  <c r="BZ3" i="67"/>
  <c r="BZ52" i="67"/>
  <c r="BR3" i="67"/>
  <c r="BR52" i="67"/>
  <c r="BJ3" i="67"/>
  <c r="BJ52" i="67"/>
  <c r="BB3" i="67"/>
  <c r="BB52" i="67"/>
  <c r="AT3" i="67"/>
  <c r="AT52" i="67"/>
  <c r="AL3" i="67"/>
  <c r="AL52" i="67"/>
  <c r="AD3" i="67"/>
  <c r="AD52" i="67"/>
  <c r="V3" i="67"/>
  <c r="V52" i="67"/>
  <c r="N3" i="67"/>
  <c r="N52" i="67"/>
  <c r="F3" i="67"/>
  <c r="F52" i="67"/>
  <c r="LY2" i="67"/>
  <c r="LQ2" i="67"/>
  <c r="LI2" i="67"/>
  <c r="LA2" i="67"/>
  <c r="KS2" i="67"/>
  <c r="KK2" i="67"/>
  <c r="KC2" i="67"/>
  <c r="JU2" i="67"/>
  <c r="JM2" i="67"/>
  <c r="JE2" i="67"/>
  <c r="IW2" i="67"/>
  <c r="IO2" i="67"/>
  <c r="IG2" i="67"/>
  <c r="HY2" i="67"/>
  <c r="HQ2" i="67"/>
  <c r="HI2" i="67"/>
  <c r="HA2" i="67"/>
  <c r="GS2" i="67"/>
  <c r="GK2" i="67"/>
  <c r="GC2" i="67"/>
  <c r="FU2" i="67"/>
  <c r="FM2" i="67"/>
  <c r="FE2" i="67"/>
  <c r="EW2" i="67"/>
  <c r="EO2" i="67"/>
  <c r="EG2" i="67"/>
  <c r="DY2" i="67"/>
  <c r="DQ2" i="67"/>
  <c r="DI2" i="67"/>
  <c r="DA2" i="67"/>
  <c r="CS2" i="67"/>
  <c r="CK2" i="67"/>
  <c r="CC2" i="67"/>
  <c r="BU2" i="67"/>
  <c r="BM2" i="67"/>
  <c r="BE2" i="67"/>
  <c r="AW2" i="67"/>
  <c r="AO2" i="67"/>
  <c r="AG2" i="67"/>
  <c r="Y2" i="67"/>
  <c r="Q2" i="67"/>
  <c r="I2" i="67"/>
  <c r="A2" i="67"/>
  <c r="LT6" i="67"/>
  <c r="LT53" i="67"/>
  <c r="LL6" i="67"/>
  <c r="LL53" i="67"/>
  <c r="LD6" i="67"/>
  <c r="LD53" i="67"/>
  <c r="KV6" i="67"/>
  <c r="KV53" i="67"/>
  <c r="KN6" i="67"/>
  <c r="KN53" i="67"/>
  <c r="KF6" i="67"/>
  <c r="KF53" i="67"/>
  <c r="JX6" i="67"/>
  <c r="JX53" i="67"/>
  <c r="JP6" i="67"/>
  <c r="JP53" i="67"/>
  <c r="JH6" i="67"/>
  <c r="JH53" i="67"/>
  <c r="IZ6" i="67"/>
  <c r="IZ53" i="67"/>
  <c r="IR6" i="67"/>
  <c r="IR53" i="67"/>
  <c r="IJ6" i="67"/>
  <c r="IJ53" i="67"/>
  <c r="IB6" i="67"/>
  <c r="IB53" i="67"/>
  <c r="HT6" i="67"/>
  <c r="HT53" i="67"/>
  <c r="HL6" i="67"/>
  <c r="HL53" i="67"/>
  <c r="HD6" i="67"/>
  <c r="HD53" i="67"/>
  <c r="GV6" i="67"/>
  <c r="GV53" i="67"/>
  <c r="GN6" i="67"/>
  <c r="GN53" i="67"/>
  <c r="GF6" i="67"/>
  <c r="GF53" i="67"/>
  <c r="FX6" i="67"/>
  <c r="FX53" i="67"/>
  <c r="FP6" i="67"/>
  <c r="FP53" i="67"/>
  <c r="FH6" i="67"/>
  <c r="FH53" i="67"/>
  <c r="EZ6" i="67"/>
  <c r="EZ53" i="67"/>
  <c r="ER6" i="67"/>
  <c r="ER53" i="67"/>
  <c r="EJ6" i="67"/>
  <c r="EJ53" i="67"/>
  <c r="EB6" i="67"/>
  <c r="EB53" i="67"/>
  <c r="DT6" i="67"/>
  <c r="DT53" i="67"/>
  <c r="DL6" i="67"/>
  <c r="DL53" i="67"/>
  <c r="DD6" i="67"/>
  <c r="DD53" i="67"/>
  <c r="CV6" i="67"/>
  <c r="CV53" i="67"/>
  <c r="CN6" i="67"/>
  <c r="CN53" i="67"/>
  <c r="CF6" i="67"/>
  <c r="CF53" i="67"/>
  <c r="BX6" i="67"/>
  <c r="BX53" i="67"/>
  <c r="BP6" i="67"/>
  <c r="BP53" i="67"/>
  <c r="BH6" i="67"/>
  <c r="BH53" i="67"/>
  <c r="AZ6" i="67"/>
  <c r="AZ53" i="67"/>
  <c r="AR6" i="67"/>
  <c r="AR53" i="67"/>
  <c r="AJ6" i="67"/>
  <c r="AJ53" i="67"/>
  <c r="AB6" i="67"/>
  <c r="AB53" i="67"/>
  <c r="T6" i="67"/>
  <c r="T53" i="67"/>
  <c r="L6" i="67"/>
  <c r="L53" i="67"/>
  <c r="D6" i="67"/>
  <c r="D53" i="67"/>
  <c r="LW5" i="67"/>
  <c r="LO5" i="67"/>
  <c r="LG5" i="67"/>
  <c r="KY5" i="67"/>
  <c r="KQ5" i="67"/>
  <c r="KI5" i="67"/>
  <c r="KA5" i="67"/>
  <c r="JS5" i="67"/>
  <c r="JK5" i="67"/>
  <c r="JC5" i="67"/>
  <c r="IU5" i="67"/>
  <c r="IM5" i="67"/>
  <c r="IE5" i="67"/>
  <c r="HW5" i="67"/>
  <c r="HO5" i="67"/>
  <c r="HG5" i="67"/>
  <c r="GY5" i="67"/>
  <c r="GQ5" i="67"/>
  <c r="GI5" i="67"/>
  <c r="GA5" i="67"/>
  <c r="FS5" i="67"/>
  <c r="FK5" i="67"/>
  <c r="FC5" i="67"/>
  <c r="EU5" i="67"/>
  <c r="EM5" i="67"/>
  <c r="EE5" i="67"/>
  <c r="DW5" i="67"/>
  <c r="DO5" i="67"/>
  <c r="DG5" i="67"/>
  <c r="CY5" i="67"/>
  <c r="CQ5" i="67"/>
  <c r="CI5" i="67"/>
  <c r="CA5" i="67"/>
  <c r="BS5" i="67"/>
  <c r="BK5" i="67"/>
  <c r="BC5" i="67"/>
  <c r="AU5" i="67"/>
  <c r="AM5" i="67"/>
  <c r="AE5" i="67"/>
  <c r="W5" i="67"/>
  <c r="O5" i="67"/>
  <c r="G5" i="67"/>
  <c r="LZ4" i="67"/>
  <c r="LR4" i="67"/>
  <c r="LJ4" i="67"/>
  <c r="LB4" i="67"/>
  <c r="KT4" i="67"/>
  <c r="KL4" i="67"/>
  <c r="KD4" i="67"/>
  <c r="JV4" i="67"/>
  <c r="JN4" i="67"/>
  <c r="JF4" i="67"/>
  <c r="IX4" i="67"/>
  <c r="IP4" i="67"/>
  <c r="IH4" i="67"/>
  <c r="HZ4" i="67"/>
  <c r="HR4" i="67"/>
  <c r="HJ4" i="67"/>
  <c r="HB4" i="67"/>
  <c r="GT4" i="67"/>
  <c r="GL4" i="67"/>
  <c r="GD4" i="67"/>
  <c r="FV4" i="67"/>
  <c r="FN4" i="67"/>
  <c r="FF4" i="67"/>
  <c r="EX4" i="67"/>
  <c r="EP4" i="67"/>
  <c r="EH4" i="67"/>
  <c r="DZ4" i="67"/>
  <c r="DR4" i="67"/>
  <c r="DJ4" i="67"/>
  <c r="DB4" i="67"/>
  <c r="CT4" i="67"/>
  <c r="CL4" i="67"/>
  <c r="CD4" i="67"/>
  <c r="BV4" i="67"/>
  <c r="BN4" i="67"/>
  <c r="BF4" i="67"/>
  <c r="AX4" i="67"/>
  <c r="AP4" i="67"/>
  <c r="AH4" i="67"/>
  <c r="Z4" i="67"/>
  <c r="R4" i="67"/>
  <c r="B4" i="67"/>
  <c r="LU3" i="67"/>
  <c r="LU52" i="67"/>
  <c r="LM3" i="67"/>
  <c r="LM52" i="67"/>
  <c r="LE3" i="67"/>
  <c r="LE52" i="67"/>
  <c r="KW3" i="67"/>
  <c r="KW52" i="67"/>
  <c r="KO3" i="67"/>
  <c r="KO52" i="67"/>
  <c r="KG3" i="67"/>
  <c r="KG52" i="67"/>
  <c r="JY3" i="67"/>
  <c r="JY52" i="67"/>
  <c r="JQ3" i="67"/>
  <c r="JQ52" i="67"/>
  <c r="JI3" i="67"/>
  <c r="JI52" i="67"/>
  <c r="JA3" i="67"/>
  <c r="JA52" i="67"/>
  <c r="IS3" i="67"/>
  <c r="IS52" i="67"/>
  <c r="IK3" i="67"/>
  <c r="IK52" i="67"/>
  <c r="IC3" i="67"/>
  <c r="IC52" i="67"/>
  <c r="HU3" i="67"/>
  <c r="HU52" i="67"/>
  <c r="HM3" i="67"/>
  <c r="HM52" i="67"/>
  <c r="HE3" i="67"/>
  <c r="HE52" i="67"/>
  <c r="GW3" i="67"/>
  <c r="GW52" i="67"/>
  <c r="GO3" i="67"/>
  <c r="GO52" i="67"/>
  <c r="GG3" i="67"/>
  <c r="GG52" i="67"/>
  <c r="FY3" i="67"/>
  <c r="FY52" i="67"/>
  <c r="FQ3" i="67"/>
  <c r="FQ52" i="67"/>
  <c r="FI3" i="67"/>
  <c r="FI52" i="67"/>
  <c r="FA3" i="67"/>
  <c r="FA52" i="67"/>
  <c r="ES3" i="67"/>
  <c r="ES52" i="67"/>
  <c r="EK3" i="67"/>
  <c r="EK52" i="67"/>
  <c r="EC3" i="67"/>
  <c r="EC52" i="67"/>
  <c r="DU3" i="67"/>
  <c r="DU52" i="67"/>
  <c r="DM3" i="67"/>
  <c r="DM52" i="67"/>
  <c r="DE3" i="67"/>
  <c r="DE52" i="67"/>
  <c r="CW3" i="67"/>
  <c r="CW52" i="67"/>
  <c r="CO3" i="67"/>
  <c r="CO52" i="67"/>
  <c r="CG3" i="67"/>
  <c r="CG52" i="67"/>
  <c r="BY3" i="67"/>
  <c r="BY52" i="67"/>
  <c r="BQ3" i="67"/>
  <c r="BQ52" i="67"/>
  <c r="BI3" i="67"/>
  <c r="BI52" i="67"/>
  <c r="BA3" i="67"/>
  <c r="BA52" i="67"/>
  <c r="AS3" i="67"/>
  <c r="AS52" i="67"/>
  <c r="AK3" i="67"/>
  <c r="AK52" i="67"/>
  <c r="AC3" i="67"/>
  <c r="AC52" i="67"/>
  <c r="U3" i="67"/>
  <c r="U52" i="67"/>
  <c r="M3" i="67"/>
  <c r="M52" i="67"/>
  <c r="E3" i="67"/>
  <c r="E52" i="67"/>
  <c r="LX2" i="67"/>
  <c r="LP2" i="67"/>
  <c r="LH2" i="67"/>
  <c r="KZ2" i="67"/>
  <c r="KR2" i="67"/>
  <c r="KJ2" i="67"/>
  <c r="KB2" i="67"/>
  <c r="JT2" i="67"/>
  <c r="JL2" i="67"/>
  <c r="JD2" i="67"/>
  <c r="IV2" i="67"/>
  <c r="IN2" i="67"/>
  <c r="IF2" i="67"/>
  <c r="HX2" i="67"/>
  <c r="HP2" i="67"/>
  <c r="HH2" i="67"/>
  <c r="GZ2" i="67"/>
  <c r="GR2" i="67"/>
  <c r="GJ2" i="67"/>
  <c r="GB2" i="67"/>
  <c r="FT2" i="67"/>
  <c r="FL2" i="67"/>
  <c r="FD2" i="67"/>
  <c r="EV2" i="67"/>
  <c r="EN2" i="67"/>
  <c r="EF2" i="67"/>
  <c r="DX2" i="67"/>
  <c r="DP2" i="67"/>
  <c r="DH2" i="67"/>
  <c r="CZ2" i="67"/>
  <c r="CR2" i="67"/>
  <c r="CJ2" i="67"/>
  <c r="CB2" i="67"/>
  <c r="BT2" i="67"/>
  <c r="BL2" i="67"/>
  <c r="BD2" i="67"/>
  <c r="AV2" i="67"/>
  <c r="AN2" i="67"/>
  <c r="AF2" i="67"/>
  <c r="X2" i="67"/>
  <c r="P2" i="67"/>
  <c r="H2" i="67"/>
  <c r="DH7" i="67"/>
  <c r="CZ7" i="67"/>
  <c r="CR7" i="67"/>
  <c r="CJ7" i="67"/>
  <c r="CB7" i="67"/>
  <c r="BT7" i="67"/>
  <c r="BL7" i="67"/>
  <c r="BD7" i="67"/>
  <c r="AV7" i="67"/>
  <c r="AN7" i="67"/>
  <c r="AF7" i="67"/>
  <c r="X7" i="67"/>
  <c r="P7" i="67"/>
  <c r="H7" i="67"/>
  <c r="MA6" i="67"/>
  <c r="MA53" i="67"/>
  <c r="LS6" i="67"/>
  <c r="LS53" i="67"/>
  <c r="LK6" i="67"/>
  <c r="LK53" i="67"/>
  <c r="LC6" i="67"/>
  <c r="LC53" i="67"/>
  <c r="KU6" i="67"/>
  <c r="KU53" i="67"/>
  <c r="KM6" i="67"/>
  <c r="KM53" i="67"/>
  <c r="KE6" i="67"/>
  <c r="KE53" i="67"/>
  <c r="JW6" i="67"/>
  <c r="JW53" i="67"/>
  <c r="JO6" i="67"/>
  <c r="JO53" i="67"/>
  <c r="JG6" i="67"/>
  <c r="JG53" i="67"/>
  <c r="IY6" i="67"/>
  <c r="IY53" i="67"/>
  <c r="IQ6" i="67"/>
  <c r="IQ53" i="67"/>
  <c r="II6" i="67"/>
  <c r="II53" i="67"/>
  <c r="IA6" i="67"/>
  <c r="IA53" i="67"/>
  <c r="HS6" i="67"/>
  <c r="HS53" i="67"/>
  <c r="HK6" i="67"/>
  <c r="HK53" i="67"/>
  <c r="HC6" i="67"/>
  <c r="HC53" i="67"/>
  <c r="GU6" i="67"/>
  <c r="GU53" i="67"/>
  <c r="GM6" i="67"/>
  <c r="GM53" i="67"/>
  <c r="GE6" i="67"/>
  <c r="GE53" i="67"/>
  <c r="FW6" i="67"/>
  <c r="FW53" i="67"/>
  <c r="FO6" i="67"/>
  <c r="FO53" i="67"/>
  <c r="FG6" i="67"/>
  <c r="FG53" i="67"/>
  <c r="EY6" i="67"/>
  <c r="EY53" i="67"/>
  <c r="EQ6" i="67"/>
  <c r="EQ53" i="67"/>
  <c r="EI6" i="67"/>
  <c r="EI53" i="67"/>
  <c r="EA6" i="67"/>
  <c r="EA53" i="67"/>
  <c r="DS6" i="67"/>
  <c r="DS53" i="67"/>
  <c r="DK6" i="67"/>
  <c r="DK53" i="67"/>
  <c r="DC6" i="67"/>
  <c r="DC53" i="67"/>
  <c r="CU6" i="67"/>
  <c r="CU53" i="67"/>
  <c r="CM6" i="67"/>
  <c r="CM53" i="67"/>
  <c r="CE6" i="67"/>
  <c r="CE53" i="67"/>
  <c r="BW6" i="67"/>
  <c r="BW53" i="67"/>
  <c r="BO6" i="67"/>
  <c r="BO53" i="67"/>
  <c r="BG6" i="67"/>
  <c r="BG53" i="67"/>
  <c r="AY6" i="67"/>
  <c r="AY53" i="67"/>
  <c r="AQ6" i="67"/>
  <c r="AQ53" i="67"/>
  <c r="AI6" i="67"/>
  <c r="AI53" i="67"/>
  <c r="AA6" i="67"/>
  <c r="AA53" i="67"/>
  <c r="S6" i="67"/>
  <c r="S53" i="67"/>
  <c r="K6" i="67"/>
  <c r="K53" i="67"/>
  <c r="C6" i="67"/>
  <c r="C53" i="67"/>
  <c r="LV5" i="67"/>
  <c r="LN5" i="67"/>
  <c r="LF5" i="67"/>
  <c r="KX5" i="67"/>
  <c r="KP5" i="67"/>
  <c r="KH5" i="67"/>
  <c r="JZ5" i="67"/>
  <c r="JR5" i="67"/>
  <c r="JJ5" i="67"/>
  <c r="JB5" i="67"/>
  <c r="IT5" i="67"/>
  <c r="IL5" i="67"/>
  <c r="ID5" i="67"/>
  <c r="HV5" i="67"/>
  <c r="HN5" i="67"/>
  <c r="HF5" i="67"/>
  <c r="GX5" i="67"/>
  <c r="GP5" i="67"/>
  <c r="GH5" i="67"/>
  <c r="FZ5" i="67"/>
  <c r="FR5" i="67"/>
  <c r="FJ5" i="67"/>
  <c r="FB5" i="67"/>
  <c r="ET5" i="67"/>
  <c r="EL5" i="67"/>
  <c r="ED5" i="67"/>
  <c r="DV5" i="67"/>
  <c r="DN5" i="67"/>
  <c r="DF5" i="67"/>
  <c r="CX5" i="67"/>
  <c r="CP5" i="67"/>
  <c r="CH5" i="67"/>
  <c r="BZ5" i="67"/>
  <c r="BR5" i="67"/>
  <c r="BJ5" i="67"/>
  <c r="BB5" i="67"/>
  <c r="AT5" i="67"/>
  <c r="AL5" i="67"/>
  <c r="AD5" i="67"/>
  <c r="V5" i="67"/>
  <c r="N5" i="67"/>
  <c r="F5" i="67"/>
  <c r="LY4" i="67"/>
  <c r="LQ4" i="67"/>
  <c r="LI4" i="67"/>
  <c r="LA4" i="67"/>
  <c r="KS4" i="67"/>
  <c r="KK4" i="67"/>
  <c r="KC4" i="67"/>
  <c r="JU4" i="67"/>
  <c r="JM4" i="67"/>
  <c r="JE4" i="67"/>
  <c r="IW4" i="67"/>
  <c r="IO4" i="67"/>
  <c r="IG4" i="67"/>
  <c r="HY4" i="67"/>
  <c r="HQ4" i="67"/>
  <c r="HI4" i="67"/>
  <c r="HA4" i="67"/>
  <c r="GS4" i="67"/>
  <c r="GK4" i="67"/>
  <c r="GC4" i="67"/>
  <c r="FU4" i="67"/>
  <c r="FM4" i="67"/>
  <c r="FE4" i="67"/>
  <c r="EW4" i="67"/>
  <c r="EO4" i="67"/>
  <c r="EG4" i="67"/>
  <c r="DY4" i="67"/>
  <c r="DQ4" i="67"/>
  <c r="DI4" i="67"/>
  <c r="DA4" i="67"/>
  <c r="CS4" i="67"/>
  <c r="CK4" i="67"/>
  <c r="CC4" i="67"/>
  <c r="BU4" i="67"/>
  <c r="BM4" i="67"/>
  <c r="BE4" i="67"/>
  <c r="AW4" i="67"/>
  <c r="AO4" i="67"/>
  <c r="AG4" i="67"/>
  <c r="Y4" i="67"/>
  <c r="Q4" i="67"/>
  <c r="A4" i="67"/>
  <c r="LT3" i="67"/>
  <c r="LT52" i="67"/>
  <c r="LL3" i="67"/>
  <c r="LL52" i="67"/>
  <c r="LD3" i="67"/>
  <c r="LD52" i="67"/>
  <c r="KV3" i="67"/>
  <c r="KV52" i="67"/>
  <c r="KN3" i="67"/>
  <c r="KN52" i="67"/>
  <c r="KF3" i="67"/>
  <c r="KF52" i="67"/>
  <c r="JX3" i="67"/>
  <c r="JX52" i="67"/>
  <c r="JP3" i="67"/>
  <c r="JP52" i="67"/>
  <c r="JH3" i="67"/>
  <c r="JH52" i="67"/>
  <c r="IZ3" i="67"/>
  <c r="IZ52" i="67"/>
  <c r="IR3" i="67"/>
  <c r="IR52" i="67"/>
  <c r="IJ3" i="67"/>
  <c r="IJ52" i="67"/>
  <c r="IB3" i="67"/>
  <c r="IB52" i="67"/>
  <c r="HT3" i="67"/>
  <c r="HT52" i="67"/>
  <c r="HL3" i="67"/>
  <c r="HL52" i="67"/>
  <c r="HD3" i="67"/>
  <c r="HD52" i="67"/>
  <c r="GV3" i="67"/>
  <c r="GV52" i="67"/>
  <c r="GN3" i="67"/>
  <c r="GN52" i="67"/>
  <c r="GF3" i="67"/>
  <c r="GF52" i="67"/>
  <c r="FX3" i="67"/>
  <c r="FX52" i="67"/>
  <c r="FP3" i="67"/>
  <c r="FP52" i="67"/>
  <c r="FH3" i="67"/>
  <c r="FH52" i="67"/>
  <c r="EZ3" i="67"/>
  <c r="EZ52" i="67"/>
  <c r="ER3" i="67"/>
  <c r="ER52" i="67"/>
  <c r="EJ3" i="67"/>
  <c r="EJ52" i="67"/>
  <c r="EB3" i="67"/>
  <c r="EB52" i="67"/>
  <c r="DT3" i="67"/>
  <c r="DT52" i="67"/>
  <c r="DL3" i="67"/>
  <c r="DL52" i="67"/>
  <c r="DD3" i="67"/>
  <c r="DD52" i="67"/>
  <c r="CV3" i="67"/>
  <c r="CV52" i="67"/>
  <c r="CN3" i="67"/>
  <c r="CN52" i="67"/>
  <c r="CF3" i="67"/>
  <c r="CF52" i="67"/>
  <c r="BX3" i="67"/>
  <c r="BX52" i="67"/>
  <c r="BP3" i="67"/>
  <c r="BP52" i="67"/>
  <c r="BH3" i="67"/>
  <c r="BH52" i="67"/>
  <c r="AZ3" i="67"/>
  <c r="AZ52" i="67"/>
  <c r="AR3" i="67"/>
  <c r="AR52" i="67"/>
  <c r="AJ3" i="67"/>
  <c r="AJ52" i="67"/>
  <c r="AB3" i="67"/>
  <c r="AB52" i="67"/>
  <c r="T3" i="67"/>
  <c r="T52" i="67"/>
  <c r="L3" i="67"/>
  <c r="L52" i="67"/>
  <c r="D3" i="67"/>
  <c r="D52" i="67"/>
  <c r="LW2" i="67"/>
  <c r="LO2" i="67"/>
  <c r="LG2" i="67"/>
  <c r="KY2" i="67"/>
  <c r="KQ2" i="67"/>
  <c r="KI2" i="67"/>
  <c r="KA2" i="67"/>
  <c r="JS2" i="67"/>
  <c r="JK2" i="67"/>
  <c r="JC2" i="67"/>
  <c r="IU2" i="67"/>
  <c r="IM2" i="67"/>
  <c r="IE2" i="67"/>
  <c r="HW2" i="67"/>
  <c r="HO2" i="67"/>
  <c r="HG2" i="67"/>
  <c r="GY2" i="67"/>
  <c r="GQ2" i="67"/>
  <c r="GI2" i="67"/>
  <c r="GA2" i="67"/>
  <c r="FS2" i="67"/>
  <c r="FK2" i="67"/>
  <c r="FC2" i="67"/>
  <c r="EU2" i="67"/>
  <c r="EM2" i="67"/>
  <c r="EE2" i="67"/>
  <c r="DW2" i="67"/>
  <c r="DO2" i="67"/>
  <c r="DG2" i="67"/>
  <c r="CY2" i="67"/>
  <c r="CQ2" i="67"/>
  <c r="CI2" i="67"/>
  <c r="CA2" i="67"/>
  <c r="BS2" i="67"/>
  <c r="BK2" i="67"/>
  <c r="BC2" i="67"/>
  <c r="AU2" i="67"/>
  <c r="AM2" i="67"/>
  <c r="AE2" i="67"/>
  <c r="W2" i="67"/>
  <c r="O2" i="67"/>
  <c r="G2" i="67"/>
  <c r="AU7" i="67"/>
  <c r="AM7" i="67"/>
  <c r="AE7" i="67"/>
  <c r="W7" i="67"/>
  <c r="O7" i="67"/>
  <c r="G7" i="67"/>
  <c r="LZ6" i="67"/>
  <c r="LZ53" i="67"/>
  <c r="LR6" i="67"/>
  <c r="LR53" i="67"/>
  <c r="LJ6" i="67"/>
  <c r="LJ53" i="67"/>
  <c r="LB6" i="67"/>
  <c r="LB53" i="67"/>
  <c r="KT6" i="67"/>
  <c r="KT53" i="67"/>
  <c r="KL6" i="67"/>
  <c r="KL53" i="67"/>
  <c r="KD6" i="67"/>
  <c r="KD53" i="67"/>
  <c r="JV6" i="67"/>
  <c r="JV53" i="67"/>
  <c r="JN6" i="67"/>
  <c r="JN53" i="67"/>
  <c r="JF6" i="67"/>
  <c r="JF53" i="67"/>
  <c r="IX6" i="67"/>
  <c r="IX53" i="67"/>
  <c r="IP6" i="67"/>
  <c r="IP53" i="67"/>
  <c r="IH6" i="67"/>
  <c r="IH53" i="67"/>
  <c r="HZ6" i="67"/>
  <c r="HZ53" i="67"/>
  <c r="HR6" i="67"/>
  <c r="HR53" i="67"/>
  <c r="HJ6" i="67"/>
  <c r="HJ53" i="67"/>
  <c r="HB6" i="67"/>
  <c r="HB53" i="67"/>
  <c r="GT6" i="67"/>
  <c r="GT53" i="67"/>
  <c r="GL6" i="67"/>
  <c r="GL53" i="67"/>
  <c r="GD6" i="67"/>
  <c r="GD53" i="67"/>
  <c r="FV6" i="67"/>
  <c r="FV53" i="67"/>
  <c r="FN6" i="67"/>
  <c r="FN53" i="67"/>
  <c r="FF6" i="67"/>
  <c r="FF53" i="67"/>
  <c r="EX6" i="67"/>
  <c r="EX53" i="67"/>
  <c r="EP6" i="67"/>
  <c r="EP53" i="67"/>
  <c r="EH6" i="67"/>
  <c r="EH53" i="67"/>
  <c r="DZ6" i="67"/>
  <c r="DZ53" i="67"/>
  <c r="DR6" i="67"/>
  <c r="DR53" i="67"/>
  <c r="DJ6" i="67"/>
  <c r="DJ53" i="67"/>
  <c r="DB6" i="67"/>
  <c r="DB53" i="67"/>
  <c r="CT6" i="67"/>
  <c r="CT53" i="67"/>
  <c r="CL6" i="67"/>
  <c r="CL53" i="67"/>
  <c r="CD6" i="67"/>
  <c r="CD53" i="67"/>
  <c r="BV6" i="67"/>
  <c r="BV53" i="67"/>
  <c r="BN6" i="67"/>
  <c r="BN53" i="67"/>
  <c r="BF6" i="67"/>
  <c r="BF53" i="67"/>
  <c r="AX6" i="67"/>
  <c r="AX53" i="67"/>
  <c r="AP6" i="67"/>
  <c r="AP53" i="67"/>
  <c r="AH6" i="67"/>
  <c r="AH53" i="67"/>
  <c r="Z6" i="67"/>
  <c r="Z53" i="67"/>
  <c r="R6" i="67"/>
  <c r="R53" i="67"/>
  <c r="J6" i="67"/>
  <c r="J53" i="67"/>
  <c r="B6" i="67"/>
  <c r="B53" i="67"/>
  <c r="LU5" i="67"/>
  <c r="LM5" i="67"/>
  <c r="LE5" i="67"/>
  <c r="KW5" i="67"/>
  <c r="KO5" i="67"/>
  <c r="KG5" i="67"/>
  <c r="JY5" i="67"/>
  <c r="JQ5" i="67"/>
  <c r="JI5" i="67"/>
  <c r="JA5" i="67"/>
  <c r="IS5" i="67"/>
  <c r="IK5" i="67"/>
  <c r="IC5" i="67"/>
  <c r="HU5" i="67"/>
  <c r="HM5" i="67"/>
  <c r="HE5" i="67"/>
  <c r="GW5" i="67"/>
  <c r="GO5" i="67"/>
  <c r="GG5" i="67"/>
  <c r="FY5" i="67"/>
  <c r="FQ5" i="67"/>
  <c r="FI5" i="67"/>
  <c r="FA5" i="67"/>
  <c r="ES5" i="67"/>
  <c r="EK5" i="67"/>
  <c r="EC5" i="67"/>
  <c r="DU5" i="67"/>
  <c r="DM5" i="67"/>
  <c r="DE5" i="67"/>
  <c r="CW5" i="67"/>
  <c r="CO5" i="67"/>
  <c r="CG5" i="67"/>
  <c r="BY5" i="67"/>
  <c r="BQ5" i="67"/>
  <c r="BI5" i="67"/>
  <c r="BA5" i="67"/>
  <c r="AS5" i="67"/>
  <c r="AK5" i="67"/>
  <c r="AC5" i="67"/>
  <c r="U5" i="67"/>
  <c r="M5" i="67"/>
  <c r="E5" i="67"/>
  <c r="LX4" i="67"/>
  <c r="LP4" i="67"/>
  <c r="LH4" i="67"/>
  <c r="KZ4" i="67"/>
  <c r="KR4" i="67"/>
  <c r="KJ4" i="67"/>
  <c r="KB4" i="67"/>
  <c r="JT4" i="67"/>
  <c r="JL4" i="67"/>
  <c r="JD4" i="67"/>
  <c r="IV4" i="67"/>
  <c r="IN4" i="67"/>
  <c r="IF4" i="67"/>
  <c r="HX4" i="67"/>
  <c r="HP4" i="67"/>
  <c r="HH4" i="67"/>
  <c r="GZ4" i="67"/>
  <c r="GR4" i="67"/>
  <c r="GJ4" i="67"/>
  <c r="GB4" i="67"/>
  <c r="FT4" i="67"/>
  <c r="FL4" i="67"/>
  <c r="FD4" i="67"/>
  <c r="EV4" i="67"/>
  <c r="EN4" i="67"/>
  <c r="EF4" i="67"/>
  <c r="DX4" i="67"/>
  <c r="DP4" i="67"/>
  <c r="DH4" i="67"/>
  <c r="CZ4" i="67"/>
  <c r="CR4" i="67"/>
  <c r="CJ4" i="67"/>
  <c r="CB4" i="67"/>
  <c r="BT4" i="67"/>
  <c r="BL4" i="67"/>
  <c r="BD4" i="67"/>
  <c r="AV4" i="67"/>
  <c r="AN4" i="67"/>
  <c r="AF4" i="67"/>
  <c r="X4" i="67"/>
  <c r="P4" i="67"/>
  <c r="H4" i="67"/>
  <c r="MA3" i="67"/>
  <c r="MA52" i="67"/>
  <c r="LS3" i="67"/>
  <c r="LS52" i="67"/>
  <c r="LK3" i="67"/>
  <c r="LK52" i="67"/>
  <c r="LC3" i="67"/>
  <c r="LC52" i="67"/>
  <c r="KU3" i="67"/>
  <c r="KU52" i="67"/>
  <c r="KM3" i="67"/>
  <c r="KM52" i="67"/>
  <c r="KE3" i="67"/>
  <c r="KE52" i="67"/>
  <c r="JW3" i="67"/>
  <c r="JW52" i="67"/>
  <c r="JO3" i="67"/>
  <c r="JO52" i="67"/>
  <c r="JG3" i="67"/>
  <c r="JG52" i="67"/>
  <c r="IY3" i="67"/>
  <c r="IY52" i="67"/>
  <c r="IQ3" i="67"/>
  <c r="IQ52" i="67"/>
  <c r="II3" i="67"/>
  <c r="II52" i="67"/>
  <c r="IA3" i="67"/>
  <c r="IA52" i="67"/>
  <c r="HS3" i="67"/>
  <c r="HS52" i="67"/>
  <c r="HK3" i="67"/>
  <c r="HK52" i="67"/>
  <c r="HC3" i="67"/>
  <c r="HC52" i="67"/>
  <c r="GU3" i="67"/>
  <c r="GU52" i="67"/>
  <c r="GM3" i="67"/>
  <c r="GM52" i="67"/>
  <c r="GE3" i="67"/>
  <c r="GE52" i="67"/>
  <c r="FW3" i="67"/>
  <c r="FW52" i="67"/>
  <c r="FO3" i="67"/>
  <c r="FO52" i="67"/>
  <c r="FG3" i="67"/>
  <c r="FG52" i="67"/>
  <c r="EY3" i="67"/>
  <c r="EY52" i="67"/>
  <c r="EQ3" i="67"/>
  <c r="EQ52" i="67"/>
  <c r="EI3" i="67"/>
  <c r="EI52" i="67"/>
  <c r="EA3" i="67"/>
  <c r="EA52" i="67"/>
  <c r="DS3" i="67"/>
  <c r="DS52" i="67"/>
  <c r="DK3" i="67"/>
  <c r="DK52" i="67"/>
  <c r="DC3" i="67"/>
  <c r="DC52" i="67"/>
  <c r="CU3" i="67"/>
  <c r="CU52" i="67"/>
  <c r="CM3" i="67"/>
  <c r="CM52" i="67"/>
  <c r="CE3" i="67"/>
  <c r="CE52" i="67"/>
  <c r="BW3" i="67"/>
  <c r="BW52" i="67"/>
  <c r="BO3" i="67"/>
  <c r="BO52" i="67"/>
  <c r="BG3" i="67"/>
  <c r="BG52" i="67"/>
  <c r="AY3" i="67"/>
  <c r="AY52" i="67"/>
  <c r="AQ3" i="67"/>
  <c r="AQ52" i="67"/>
  <c r="AI3" i="67"/>
  <c r="AI52" i="67"/>
  <c r="AA3" i="67"/>
  <c r="AA52" i="67"/>
  <c r="S3" i="67"/>
  <c r="S52" i="67"/>
  <c r="K3" i="67"/>
  <c r="K52" i="67"/>
  <c r="C3" i="67"/>
  <c r="C52" i="67"/>
  <c r="LV2" i="67"/>
  <c r="LN2" i="67"/>
  <c r="LF2" i="67"/>
  <c r="KX2" i="67"/>
  <c r="KP2" i="67"/>
  <c r="KH2" i="67"/>
  <c r="JZ2" i="67"/>
  <c r="JR2" i="67"/>
  <c r="JJ2" i="67"/>
  <c r="JB2" i="67"/>
  <c r="IT2" i="67"/>
  <c r="IL2" i="67"/>
  <c r="ID2" i="67"/>
  <c r="HV2" i="67"/>
  <c r="HN2" i="67"/>
  <c r="HF2" i="67"/>
  <c r="GX2" i="67"/>
  <c r="GP2" i="67"/>
  <c r="GH2" i="67"/>
  <c r="FZ2" i="67"/>
  <c r="FR2" i="67"/>
  <c r="FJ2" i="67"/>
  <c r="FB2" i="67"/>
  <c r="ET2" i="67"/>
  <c r="EL2" i="67"/>
  <c r="ED2" i="67"/>
  <c r="DV2" i="67"/>
  <c r="DN2" i="67"/>
  <c r="DF2" i="67"/>
  <c r="CX2" i="67"/>
  <c r="CP2" i="67"/>
  <c r="CH2" i="67"/>
  <c r="BZ2" i="67"/>
  <c r="BR2" i="67"/>
  <c r="BJ2" i="67"/>
  <c r="BB2" i="67"/>
  <c r="AT2" i="67"/>
  <c r="AL2" i="67"/>
  <c r="AD2" i="67"/>
  <c r="V2" i="67"/>
  <c r="N2" i="67"/>
  <c r="F2" i="67"/>
  <c r="B27" i="71"/>
  <c r="A57" i="71"/>
  <c r="P57" i="71" s="1"/>
  <c r="B64" i="71"/>
  <c r="A19" i="71"/>
  <c r="P19" i="71" s="1"/>
  <c r="B23" i="71"/>
  <c r="A26" i="71"/>
  <c r="P26" i="71" s="1"/>
  <c r="B16" i="71"/>
  <c r="A55" i="71"/>
  <c r="P55" i="71" s="1"/>
  <c r="B53" i="71"/>
  <c r="A47" i="71"/>
  <c r="P47" i="71" s="1"/>
  <c r="B46" i="71"/>
  <c r="B51" i="71"/>
  <c r="A64" i="71"/>
  <c r="P64" i="71" s="1"/>
  <c r="B56" i="71"/>
  <c r="A23" i="71"/>
  <c r="P23" i="71" s="1"/>
  <c r="B25" i="71"/>
  <c r="A16" i="71"/>
  <c r="P16" i="71" s="1"/>
  <c r="B37" i="71"/>
  <c r="A53" i="71"/>
  <c r="P53" i="71" s="1"/>
  <c r="B59" i="71"/>
  <c r="A46" i="71"/>
  <c r="P46" i="71" s="1"/>
  <c r="A51" i="71"/>
  <c r="P51" i="71" s="1"/>
  <c r="B12" i="71"/>
  <c r="A56" i="71"/>
  <c r="P56" i="71" s="1"/>
  <c r="B18" i="71"/>
  <c r="A25" i="71"/>
  <c r="P25" i="71" s="1"/>
  <c r="A37" i="71"/>
  <c r="P37" i="71" s="1"/>
  <c r="B3" i="71"/>
  <c r="A59" i="71"/>
  <c r="P59" i="71" s="1"/>
  <c r="B10" i="71"/>
  <c r="A12" i="71"/>
  <c r="P12" i="71" s="1"/>
  <c r="B45" i="71"/>
  <c r="A18" i="71"/>
  <c r="P18" i="71" s="1"/>
  <c r="B24" i="71"/>
  <c r="B48" i="71"/>
  <c r="A3" i="71"/>
  <c r="P3" i="71" s="1"/>
  <c r="B52" i="71"/>
  <c r="A10" i="71"/>
  <c r="P10" i="71" s="1"/>
  <c r="B11" i="71"/>
  <c r="B50" i="71"/>
  <c r="A45" i="71"/>
  <c r="P45" i="71" s="1"/>
  <c r="B58" i="71"/>
  <c r="A24" i="71"/>
  <c r="P24" i="71" s="1"/>
  <c r="B21" i="71"/>
  <c r="A48" i="71"/>
  <c r="P48" i="71" s="1"/>
  <c r="B68" i="71"/>
  <c r="A52" i="71"/>
  <c r="P52" i="71" s="1"/>
  <c r="B69" i="71"/>
  <c r="A11" i="71"/>
  <c r="P11" i="71" s="1"/>
  <c r="A50" i="71"/>
  <c r="P50" i="71" s="1"/>
  <c r="B14" i="71"/>
  <c r="A58" i="71"/>
  <c r="P58" i="71" s="1"/>
  <c r="B20" i="71"/>
  <c r="A21" i="71"/>
  <c r="P21" i="71" s="1"/>
  <c r="B13" i="71"/>
  <c r="A68" i="71"/>
  <c r="P68" i="71" s="1"/>
  <c r="B4" i="71"/>
  <c r="A69" i="71"/>
  <c r="P69" i="71" s="1"/>
  <c r="B22" i="71"/>
  <c r="B17" i="71"/>
  <c r="A14" i="71"/>
  <c r="P14" i="71" s="1"/>
  <c r="B44" i="71"/>
  <c r="A20" i="71"/>
  <c r="P20" i="71" s="1"/>
  <c r="A13" i="71"/>
  <c r="P13" i="71" s="1"/>
  <c r="B49" i="71"/>
  <c r="A4" i="71"/>
  <c r="P4" i="71" s="1"/>
  <c r="B15" i="71"/>
  <c r="A22" i="71"/>
  <c r="P22" i="71" s="1"/>
  <c r="A27" i="71"/>
  <c r="P27" i="71" s="1"/>
  <c r="A17" i="71"/>
  <c r="P17" i="71" s="1"/>
  <c r="B57" i="71"/>
  <c r="A44" i="71"/>
  <c r="P44" i="71" s="1"/>
  <c r="B19" i="71"/>
  <c r="B26" i="71"/>
  <c r="A49" i="71"/>
  <c r="P49" i="71" s="1"/>
  <c r="B55" i="71"/>
  <c r="A15" i="71"/>
  <c r="P15" i="71" s="1"/>
  <c r="B47" i="71"/>
  <c r="J53" i="71" l="1"/>
  <c r="K53" i="71"/>
  <c r="J50" i="71"/>
  <c r="K50" i="71"/>
  <c r="J26" i="71"/>
  <c r="K26" i="71"/>
  <c r="J17" i="71"/>
  <c r="K17" i="71"/>
  <c r="J13" i="71"/>
  <c r="K13" i="71"/>
  <c r="J21" i="71"/>
  <c r="K21" i="71"/>
  <c r="J11" i="71"/>
  <c r="K11" i="71"/>
  <c r="J25" i="71"/>
  <c r="K25" i="71"/>
  <c r="J46" i="71"/>
  <c r="K46" i="71"/>
  <c r="J48" i="71"/>
  <c r="K48" i="71"/>
  <c r="J49" i="71"/>
  <c r="K49" i="71"/>
  <c r="J27" i="71"/>
  <c r="K27" i="71"/>
  <c r="J24" i="71"/>
  <c r="K24" i="71"/>
  <c r="J10" i="71"/>
  <c r="K10" i="71"/>
  <c r="J23" i="71"/>
  <c r="K23" i="71"/>
  <c r="J47" i="71"/>
  <c r="K47" i="71"/>
  <c r="J56" i="71"/>
  <c r="K56" i="71"/>
  <c r="J22" i="71"/>
  <c r="K22" i="71"/>
  <c r="J69" i="71"/>
  <c r="K69" i="71"/>
  <c r="J18" i="71"/>
  <c r="K18" i="71"/>
  <c r="J59" i="71"/>
  <c r="K59" i="71"/>
  <c r="J19" i="71"/>
  <c r="K19" i="71"/>
  <c r="J20" i="71"/>
  <c r="K20" i="71"/>
  <c r="J52" i="71"/>
  <c r="K52" i="71"/>
  <c r="J15" i="71"/>
  <c r="K15" i="71"/>
  <c r="J45" i="71"/>
  <c r="K45" i="71"/>
  <c r="J3" i="71"/>
  <c r="K3" i="71"/>
  <c r="J64" i="71"/>
  <c r="K64" i="71"/>
  <c r="J55" i="71"/>
  <c r="K55" i="71"/>
  <c r="J44" i="71"/>
  <c r="K44" i="71"/>
  <c r="J4" i="71"/>
  <c r="K4" i="71"/>
  <c r="J68" i="71"/>
  <c r="K68" i="71"/>
  <c r="J12" i="71"/>
  <c r="K12" i="71"/>
  <c r="J37" i="71"/>
  <c r="K37" i="71"/>
  <c r="J57" i="71"/>
  <c r="K57" i="71"/>
  <c r="J51" i="71"/>
  <c r="K51" i="71"/>
  <c r="J58" i="71"/>
  <c r="K58" i="71"/>
  <c r="J14" i="71"/>
  <c r="K14" i="71"/>
  <c r="J16" i="71"/>
  <c r="K16" i="71"/>
  <c r="H27" i="71"/>
  <c r="I27" i="71"/>
  <c r="H24" i="71"/>
  <c r="I24" i="71"/>
  <c r="H10" i="71"/>
  <c r="I10" i="71"/>
  <c r="H23" i="71"/>
  <c r="I23" i="71"/>
  <c r="H47" i="71"/>
  <c r="I47" i="71"/>
  <c r="H22" i="71"/>
  <c r="I22" i="71"/>
  <c r="H69" i="71"/>
  <c r="I69" i="71"/>
  <c r="H18" i="71"/>
  <c r="I18" i="71"/>
  <c r="H59" i="71"/>
  <c r="I59" i="71"/>
  <c r="H19" i="71"/>
  <c r="I19" i="71"/>
  <c r="H20" i="71"/>
  <c r="I20" i="71"/>
  <c r="H58" i="71"/>
  <c r="I58" i="71"/>
  <c r="H52" i="71"/>
  <c r="I52" i="71"/>
  <c r="H56" i="71"/>
  <c r="I56" i="71"/>
  <c r="H53" i="71"/>
  <c r="I53" i="71"/>
  <c r="H15" i="71"/>
  <c r="I15" i="71"/>
  <c r="H45" i="71"/>
  <c r="I45" i="71"/>
  <c r="H3" i="71"/>
  <c r="I3" i="71"/>
  <c r="H64" i="71"/>
  <c r="I64" i="71"/>
  <c r="H55" i="71"/>
  <c r="I55" i="71"/>
  <c r="H44" i="71"/>
  <c r="I44" i="71"/>
  <c r="H4" i="71"/>
  <c r="I4" i="71"/>
  <c r="H68" i="71"/>
  <c r="I68" i="71"/>
  <c r="H12" i="71"/>
  <c r="I12" i="71"/>
  <c r="H37" i="71"/>
  <c r="I37" i="71"/>
  <c r="H57" i="71"/>
  <c r="I57" i="71"/>
  <c r="H14" i="71"/>
  <c r="I14" i="71"/>
  <c r="H50" i="71"/>
  <c r="I50" i="71"/>
  <c r="H48" i="71"/>
  <c r="I48" i="71"/>
  <c r="H51" i="71"/>
  <c r="I51" i="71"/>
  <c r="H16" i="71"/>
  <c r="I16" i="71"/>
  <c r="H49" i="71"/>
  <c r="I49" i="71"/>
  <c r="H26" i="71"/>
  <c r="I26" i="71"/>
  <c r="H17" i="71"/>
  <c r="I17" i="71"/>
  <c r="H13" i="71"/>
  <c r="I13" i="71"/>
  <c r="H21" i="71"/>
  <c r="I21" i="71"/>
  <c r="H11" i="71"/>
  <c r="I11" i="71"/>
  <c r="H25" i="71"/>
  <c r="I25" i="71"/>
  <c r="H46" i="71"/>
  <c r="I46" i="71"/>
</calcChain>
</file>

<file path=xl/sharedStrings.xml><?xml version="1.0" encoding="utf-8"?>
<sst xmlns="http://schemas.openxmlformats.org/spreadsheetml/2006/main" count="21208" uniqueCount="1664">
  <si>
    <t>Community</t>
  </si>
  <si>
    <t>Question</t>
  </si>
  <si>
    <t>Change needed?</t>
  </si>
  <si>
    <t>Dataset changes</t>
  </si>
  <si>
    <t>Follow-up</t>
  </si>
  <si>
    <t>uuid</t>
  </si>
  <si>
    <t>Notes</t>
  </si>
  <si>
    <t>Old Value</t>
  </si>
  <si>
    <t>New Value</t>
  </si>
  <si>
    <t>Reason</t>
  </si>
  <si>
    <t>Modified by?</t>
  </si>
  <si>
    <t>Enumerator</t>
  </si>
  <si>
    <t>REACH DATA CHECKING AND CLEANING AUTOMATION PACKAGE</t>
  </si>
  <si>
    <t>This macro-enabled spreadsheet was created to simplify and streamline data checking and data cleaning. In additon to a set of standard sheets and a cleaning log, the sheet contains macros (a set of scripts connected to keyboard shortcuts) that help speed up data cleaning. You can customize this sheet to fit work with the Kobo tool you use for your assessment.</t>
  </si>
  <si>
    <t>Step</t>
  </si>
  <si>
    <t>Actions</t>
  </si>
  <si>
    <t>Go to the Raw Data tab and copy in the data you want to clean.</t>
  </si>
  <si>
    <t>Obtain a blank copy of the data cleaning template and name it appropriately.</t>
  </si>
  <si>
    <t>Hit control + shift + P to populate the sheets in the document. This will automatically set up your Data Checking and Clean Data sheets.</t>
  </si>
  <si>
    <t>On the data checking sheet, populate the first 3 columns (UUID, Community and Enumerator). You should use reference functions, for example "=A359" such that if you edit these values in the actual dataset, they are also updated in the reference columns.</t>
  </si>
  <si>
    <t>Now you can set up the Data Checking script and start the cleaning. You can add in new columns (hit Control + I simultaniously, then let go and hit C) and add calculations in them to help you with your checking. Just make sure that the column header of any column you add starts with "CHECK_", such that the scripts know to ignore it in any processing. You can for example use these columns to check if the differnce between a minimum and maximum esitmate is too high. You can also add another sheet, copy in data from the last round of your assessment and use a v-lookup to compare your data to previous data. You are quite free to edit this spreadsheet, just make sure you carefully follow the points in the Technical Notes section below.</t>
  </si>
  <si>
    <t>USAGE STEPS</t>
  </si>
  <si>
    <t>SHORTCUTS</t>
  </si>
  <si>
    <t>TECHNICAL NOTES</t>
  </si>
  <si>
    <t>Do your checks as you normally would, gather feedback and implement the needed changes. Make your corrections directly in the Data Checking sheet and they will be copied over to the Clean Data sheet. See the Shortcuts section below for a list of shortcuts that will make your data cleaning a lot faster. See the Colour Codes section below for a list of colours to use when doing checking and cleaning.</t>
  </si>
  <si>
    <t>Once you are done data cleaning, go to the Clean Data sheet. This sheet contains all the clean data, but columns start start with "CHECK_" have been ignored. You may need to do some formatting (change to date format, reduce decimal places etc.) manually.</t>
  </si>
  <si>
    <t>If you get new data, just download it and add those rows to the Raw Data sheet. Then hit control + shit + P to populate the Data Checking and Raw data sheets. Any new data will be copied into those sheets and any formulas you have set up in the "CHECK_" columns will automatically be dragged down.</t>
  </si>
  <si>
    <t>At the end of the cleaning, always make sure that the number of rows and columns in the Clean Data sheet corresponds to the number of forms you would expect to have. Also do some spot checks to see that everything is correct.</t>
  </si>
  <si>
    <t>If you want to columns, rearrange columns or add new columns (for example a calculate column based on a V-Lookup, then do this in the Clean Data sheet but make sure you do not add or rearrange columns (except ones starting in CHECK_) in the Data Checking sheet.</t>
  </si>
  <si>
    <t>Do not rearrange or delete columns (Except CHECK_ columns) in the Data Checking sheet. If you want to rearrange or delete columns for your output dataset, do this in the Clean Data Sheet. You can also add columns (like a calculated column or a V-lookup) in the Clean Data sheet and when you use the populate function, these calculated columns will be dragged down in your Clean Data sheet as well.</t>
  </si>
  <si>
    <t>It is very important that all columns you add to the Data Checking sheet have headers that start with CHECK_. Otherwise, the scripts will likely fail.</t>
  </si>
  <si>
    <t>Before sharing with anyone (including IMPACT HQ) make sure that you create a version of your dataset where all sensitive information like names and phone numbers has been deleted. You can use the Save As function to save a regular excel document (without the macros).</t>
  </si>
  <si>
    <t>Name</t>
  </si>
  <si>
    <t>Shortcut</t>
  </si>
  <si>
    <t>Function</t>
  </si>
  <si>
    <t>Correcting</t>
  </si>
  <si>
    <t>Flagging</t>
  </si>
  <si>
    <t>Toogling</t>
  </si>
  <si>
    <t>Populating</t>
  </si>
  <si>
    <t>Deleting</t>
  </si>
  <si>
    <t>Adding column</t>
  </si>
  <si>
    <t>COLOUR CODES</t>
  </si>
  <si>
    <t>Colour</t>
  </si>
  <si>
    <t>Meaning</t>
  </si>
  <si>
    <t>Ctrl + Shift + P</t>
  </si>
  <si>
    <t>Ctrl + Shift + C</t>
  </si>
  <si>
    <t>Ctrl + Shift + D</t>
  </si>
  <si>
    <t>Ctrl + Shift + F</t>
  </si>
  <si>
    <t>Ctrl + Shift + T</t>
  </si>
  <si>
    <t>Do not rearrange the order of rows in the Raw data sheet or in the Clean Data sheet. You can, however, rearrange the order of the rows in the Data Checking sheet.</t>
  </si>
  <si>
    <t>The document must always contain the sheets "Raw Data", "Data Checking", "Clean Data", "Cleaning Log" and "Deletions. You can add other sheets if you for example want add some data that you can do a V-lookup on to compare with in the Data Checking sheet.</t>
  </si>
  <si>
    <t>Sets up the Raw Data and Data Checking sheets so they link to the data in the Raw Data sheet. If you get more forms that you want to add later, then you can just add them at the end of the Raw Data sheet and run the Populating function again, to add these new rows to the Data Checking and Clean Data sheets.</t>
  </si>
  <si>
    <t>Deletes the selected row in all sheets, including the Raw Data sheet. Also adds a Cleaning Log entry and copies the deleted row to Deletions.</t>
  </si>
  <si>
    <t>Flags a cell for feedback and adds a feedback entry to the cleaning log.</t>
  </si>
  <si>
    <t>Changes the value of a cell and adds an entry to the cleaning log. To be used if you already know what the value of the cell should be and you do not need to first flag it and get feedback.</t>
  </si>
  <si>
    <t>Adds a new column in a position right before the cell you currently have selected.</t>
  </si>
  <si>
    <t>Toogles back and forth between the Cleaning Log and the Data Checking sheet. If on the Cleaning Log and have selected a cell in an entry, takes you to the row and column in the Data Checking script that the entry is about. If on the Data Checking sheet, takes you back to the cleaning log.</t>
  </si>
  <si>
    <t>Do not add data from more than one Kobo tool to a single cleaning sheet. Many of the scripts use UUIDs to identify rows and columns and if you add data from multiple tools, you risk there being duplicate UUIDs.</t>
  </si>
  <si>
    <t>Color Name</t>
  </si>
  <si>
    <t>Blue</t>
  </si>
  <si>
    <t>Yellow</t>
  </si>
  <si>
    <t>Value has been flagged for follow-up</t>
  </si>
  <si>
    <t>Value has been edited (automatically filled when editing in Data Checking)</t>
  </si>
  <si>
    <t>Orange</t>
  </si>
  <si>
    <t>This is a checking column</t>
  </si>
  <si>
    <t>Red</t>
  </si>
  <si>
    <t>This needs to be filled out (UUID, enumerator, community columns)</t>
  </si>
  <si>
    <t>Expanding</t>
  </si>
  <si>
    <t>Ctrl + Shift + E</t>
  </si>
  <si>
    <t>Expands and collapses the current column</t>
  </si>
  <si>
    <t>There is currently no function for adding columns that will be carried over from the Data Checking sheet to the Clean Data sheet. If you want to add a new column (for example a new category in a multiple choice question) you will have to do this manually as the last thing after all the other data cleaning is done and you have copied out your Clean Data sheet to another Excel document. A column additon function will be added in future versions of the system.</t>
  </si>
  <si>
    <t>Do not rearrange the columns in the Cleaning Log. The scripts access these columns by number and not by name. So if you want to add a column to the cleaning sheet (for example a v-lookup to get the community name from the p-code) then do it to the right of the current columns such that it does not change the numbers of the columns.</t>
  </si>
  <si>
    <t>It is not possible to roll back (control + z) a macro, so save frequent copies of your work.</t>
  </si>
  <si>
    <t>Undoing</t>
  </si>
  <si>
    <t>Ctrl + Shift + Z</t>
  </si>
  <si>
    <t>Allows you to undo a change. Select the row on the cleaning log, use the shortcut to run the script and then the value will be brought back to the original one.</t>
  </si>
  <si>
    <t>Ctrl + Shift + I</t>
  </si>
  <si>
    <t>If you have any loops in your tool that generate their own tabs in your dataset, then you can set up separate data cleaning sheets for them using the loop template</t>
  </si>
  <si>
    <t>The macros will fail if you have more than one cleaning document open at the same time.</t>
  </si>
  <si>
    <t>ID</t>
  </si>
  <si>
    <t>end</t>
  </si>
  <si>
    <t>start</t>
  </si>
  <si>
    <t>_index</t>
  </si>
  <si>
    <t>today</t>
  </si>
  <si>
    <t>audit</t>
  </si>
  <si>
    <t>enqueteur</t>
  </si>
  <si>
    <t>sexe_enqueteur</t>
  </si>
  <si>
    <t>departement</t>
  </si>
  <si>
    <t>commune</t>
  </si>
  <si>
    <t>localite</t>
  </si>
  <si>
    <t>localite_autre</t>
  </si>
  <si>
    <t>GPS</t>
  </si>
  <si>
    <t>_GPS_latitude</t>
  </si>
  <si>
    <t>_GPS_longitude</t>
  </si>
  <si>
    <t>_GPS_altitude</t>
  </si>
  <si>
    <t>_GPS_precision</t>
  </si>
  <si>
    <t>introduction</t>
  </si>
  <si>
    <t>nomprenom</t>
  </si>
  <si>
    <t>sexe_enquete</t>
  </si>
  <si>
    <t>age</t>
  </si>
  <si>
    <t>statut</t>
  </si>
  <si>
    <t>statut_autre</t>
  </si>
  <si>
    <t>role</t>
  </si>
  <si>
    <t>autrerole</t>
  </si>
  <si>
    <t>fonction</t>
  </si>
  <si>
    <t>autrefonction</t>
  </si>
  <si>
    <t>pays_origine</t>
  </si>
  <si>
    <t>region_origine</t>
  </si>
  <si>
    <t>departement_origine</t>
  </si>
  <si>
    <t>telephone</t>
  </si>
  <si>
    <t>accord_telephone</t>
  </si>
  <si>
    <t>confirmation_telephone</t>
  </si>
  <si>
    <t>note1</t>
  </si>
  <si>
    <t>incidentsecu</t>
  </si>
  <si>
    <t>incidents_securitaires</t>
  </si>
  <si>
    <t>incidents_securitaires/Combat_groupes_armes</t>
  </si>
  <si>
    <t>incidents_securitaires/Disputes_intercommunataires</t>
  </si>
  <si>
    <t>incidents_securitaires/Vols_braquages</t>
  </si>
  <si>
    <t>incidents_securitaires/extorsions</t>
  </si>
  <si>
    <t>incidents_securitaires/Violences_physique_civils</t>
  </si>
  <si>
    <t>incidents_securitaires/Kidnapping_Disparitions_forcees</t>
  </si>
  <si>
    <t>incidents_securitaires/Recrutement_enfants</t>
  </si>
  <si>
    <t>incidents_securitaires/Attaques_ecoles_sante</t>
  </si>
  <si>
    <t>incidents_securitaires/Arrestation_arbitraires</t>
  </si>
  <si>
    <t>incidents_securitaires/Execution_sommaire</t>
  </si>
  <si>
    <t>incidents_securitaires/attaques_engins_explosifs</t>
  </si>
  <si>
    <t>incidents_securitaires/Autre</t>
  </si>
  <si>
    <t>incidents_securitaires/Ne_sait_pas</t>
  </si>
  <si>
    <t>incidents_securitaires/Refuse_de_repondre</t>
  </si>
  <si>
    <t>incidents_securitaires_autre</t>
  </si>
  <si>
    <t>personnes_affectees</t>
  </si>
  <si>
    <t>personnes_affectees/Bebes/Bambins</t>
  </si>
  <si>
    <t>personnes_affectees/Enfants</t>
  </si>
  <si>
    <t>personnes_affectees/Filles</t>
  </si>
  <si>
    <t>personnes_affectees/Garçons</t>
  </si>
  <si>
    <t>personnes_affectees/Femmes</t>
  </si>
  <si>
    <t>personnes_affectees/Hommes</t>
  </si>
  <si>
    <t>personnes_affectees/Femmes_agees</t>
  </si>
  <si>
    <t>personnes_affectees/Hommes_ages</t>
  </si>
  <si>
    <t>personnes_affectees/handicap_physique</t>
  </si>
  <si>
    <t>personnes_affectees/handicap_mental</t>
  </si>
  <si>
    <t>personnes_affectees/Toute_population</t>
  </si>
  <si>
    <t>personnes_affectees/Ne_sait_pas</t>
  </si>
  <si>
    <t>personnes_affectees/Refuse_de_repondre</t>
  </si>
  <si>
    <t>personnes_affectees/Autre</t>
  </si>
  <si>
    <t>personnes_affectees_autre</t>
  </si>
  <si>
    <t>nbre_incidents</t>
  </si>
  <si>
    <t>evolutionsecu</t>
  </si>
  <si>
    <t>note2</t>
  </si>
  <si>
    <t>atteintes_integrite</t>
  </si>
  <si>
    <t>types_atteintes</t>
  </si>
  <si>
    <t>types_atteintes/viol</t>
  </si>
  <si>
    <t>types_atteintes/agression_sexuelle</t>
  </si>
  <si>
    <t>types_atteintes/agression_physique</t>
  </si>
  <si>
    <t>types_atteintes/deni_de_ressource</t>
  </si>
  <si>
    <t>types_atteintes/agression_psychologique</t>
  </si>
  <si>
    <t>types_atteintes/mariage_force</t>
  </si>
  <si>
    <t>types_atteintes/travail_force</t>
  </si>
  <si>
    <t>types_atteintes/defus_de_acces_aide</t>
  </si>
  <si>
    <t>types_atteintes/exploitations_enfant</t>
  </si>
  <si>
    <t>types_atteintes/exploitations_sexuelles</t>
  </si>
  <si>
    <t>types_atteintes/menace</t>
  </si>
  <si>
    <t>types_atteintes/enscrimination_acces_services</t>
  </si>
  <si>
    <t>types_atteintes/Autre</t>
  </si>
  <si>
    <t>types_atteintes/Refuse_de_repondre</t>
  </si>
  <si>
    <t>types_atteintes/Ne_sait_pas</t>
  </si>
  <si>
    <t>types_atteintes_autre</t>
  </si>
  <si>
    <t>pers_affectees</t>
  </si>
  <si>
    <t>pers_affectees/Bebes/Bambins</t>
  </si>
  <si>
    <t>pers_affectees/Enfants</t>
  </si>
  <si>
    <t>pers_affectees/Filles</t>
  </si>
  <si>
    <t>pers_affectees/Garçons</t>
  </si>
  <si>
    <t>pers_affectees/Femmes</t>
  </si>
  <si>
    <t>pers_affectees/Hommes</t>
  </si>
  <si>
    <t>pers_affectees/Femmes_agees</t>
  </si>
  <si>
    <t>pers_affectees/Hommes_ages</t>
  </si>
  <si>
    <t>pers_affectees/handicap_physique</t>
  </si>
  <si>
    <t>pers_affectees/handicap_mental</t>
  </si>
  <si>
    <t>pers_affectees/Toute_population</t>
  </si>
  <si>
    <t>pers_affectees/Ne_sait_pas</t>
  </si>
  <si>
    <t>pers_affectees/Refuse_de_repondre</t>
  </si>
  <si>
    <t>pers_affectees/Autre</t>
  </si>
  <si>
    <t>pers_affectees_autre</t>
  </si>
  <si>
    <t>nbre_incidents_integrite</t>
  </si>
  <si>
    <t>evolutionsecu_integrite</t>
  </si>
  <si>
    <t>note3</t>
  </si>
  <si>
    <t>cause_aug_incident</t>
  </si>
  <si>
    <t>cause_aug_incident/diminution_moyens_existence</t>
  </si>
  <si>
    <t>cause_aug_incident/deterioration_con_abris</t>
  </si>
  <si>
    <t>cause_aug_incident/deterioration_acces_service_base</t>
  </si>
  <si>
    <t>cause_aug_incident/hausse_tensions_intercomm</t>
  </si>
  <si>
    <t>cause_aug_incident/hausse_nbr_groupes_armees</t>
  </si>
  <si>
    <t>cause_aug_incident/hausse_dis_services_base</t>
  </si>
  <si>
    <t>cause_aug_incident/hausse_chomeurs</t>
  </si>
  <si>
    <t>cause_aug_incident/autre</t>
  </si>
  <si>
    <t>cause_aug_incident/Ne_sait_pas</t>
  </si>
  <si>
    <t>cause_aug_incident/Refuse_de_repondre</t>
  </si>
  <si>
    <t>cause_aug_incident_autre</t>
  </si>
  <si>
    <t>cause_dim_incident</t>
  </si>
  <si>
    <t>cause_dim_incident/stabilisation_aug_moyen_existence</t>
  </si>
  <si>
    <t>cause_dim_incident/amelioration_cond_abris</t>
  </si>
  <si>
    <t>cause_dim_incident/amelioration_acces_service_base</t>
  </si>
  <si>
    <t>cause_dim_incident/dim_tensions_intercomm</t>
  </si>
  <si>
    <t>cause_dim_incident/baisse_dis_service_base</t>
  </si>
  <si>
    <t>cause_dim_incident/dim_nbr_chomeurs</t>
  </si>
  <si>
    <t>cause_dim_incident/autre</t>
  </si>
  <si>
    <t>cause_dim_incident/Ne_sait_pas</t>
  </si>
  <si>
    <t>cause_dim_incident/Refuse_de_repondre</t>
  </si>
  <si>
    <t>cause_dim_incident_autre</t>
  </si>
  <si>
    <t>note4</t>
  </si>
  <si>
    <t>soluincident</t>
  </si>
  <si>
    <t>soluincident/dplct_abords_com</t>
  </si>
  <si>
    <t>soluincident/Integration_com_hote</t>
  </si>
  <si>
    <t>soluincident/Soutien_famille_amis</t>
  </si>
  <si>
    <t>soluincident/Soutien_chef_village</t>
  </si>
  <si>
    <t>soluincident/Soutien_psychosocial</t>
  </si>
  <si>
    <t>soluincident/Soutien_en_AGR</t>
  </si>
  <si>
    <t>soluincident/pas_de_mecanismes</t>
  </si>
  <si>
    <t>soluincident/Autre</t>
  </si>
  <si>
    <t>soluincident/Ne_sait_pas</t>
  </si>
  <si>
    <t>autresoluincident</t>
  </si>
  <si>
    <t>note5</t>
  </si>
  <si>
    <t>systeme_referencement</t>
  </si>
  <si>
    <t>systeme_referencement/femmes_elite</t>
  </si>
  <si>
    <t>systeme_referencement/comite_protection</t>
  </si>
  <si>
    <t>systeme_referencement/famille_accueil</t>
  </si>
  <si>
    <t>systeme_referencement/comite_alerte</t>
  </si>
  <si>
    <t>systeme_referencement/comite_redevabilite</t>
  </si>
  <si>
    <t>systeme_referencement/comite_gestion_conflits</t>
  </si>
  <si>
    <t>systeme_referencement/enfant_pairs</t>
  </si>
  <si>
    <t>systeme_referencement/Autre</t>
  </si>
  <si>
    <t>systeme_referencement/Ne_sait_pas</t>
  </si>
  <si>
    <t>systeme_referencement/Aucun</t>
  </si>
  <si>
    <t>systeme_referencement_autre</t>
  </si>
  <si>
    <t>existence_voies_ref</t>
  </si>
  <si>
    <t>communication_voies</t>
  </si>
  <si>
    <t>communication_voies/Radio_television</t>
  </si>
  <si>
    <t>communication_voies/Journal</t>
  </si>
  <si>
    <t>communication_voies/Internet</t>
  </si>
  <si>
    <t>communication_voies/manif_sociales</t>
  </si>
  <si>
    <t>communication_voies/Chef_village</t>
  </si>
  <si>
    <t>communication_voies/famille_amis</t>
  </si>
  <si>
    <t>communication_voies/Leaders_religieux</t>
  </si>
  <si>
    <t>communication_voies/Groupement_femmes</t>
  </si>
  <si>
    <t>communication_voies/Differents_comites_villageois</t>
  </si>
  <si>
    <t>communication_voies/Gouvernement</t>
  </si>
  <si>
    <t>communication_voies/Travailleurs_sociaux/hum</t>
  </si>
  <si>
    <t>communication_voies/Ecole</t>
  </si>
  <si>
    <t>communication_voies/Autre</t>
  </si>
  <si>
    <t>communication_voies/Ne_sait_pas</t>
  </si>
  <si>
    <t>communication_voies_autre</t>
  </si>
  <si>
    <t>connaissance_voies_ref</t>
  </si>
  <si>
    <t>acces_voies_ref</t>
  </si>
  <si>
    <t>raison_voie_ref</t>
  </si>
  <si>
    <t>raison_voie_ref/non_fonctionnelle</t>
  </si>
  <si>
    <t>raison_voie_ref/manque_info</t>
  </si>
  <si>
    <t>raison_voie_ref/discrimination</t>
  </si>
  <si>
    <t>raison_voie_ref/non_utilisation</t>
  </si>
  <si>
    <t>raison_voie_ref/trop_du_monde</t>
  </si>
  <si>
    <t>raison_voie_ref/insecurite</t>
  </si>
  <si>
    <t>raison_voie_ref/Ne_sait_pas</t>
  </si>
  <si>
    <t>raison_voie_ref/Autre</t>
  </si>
  <si>
    <t>raison_voie_ref_autre</t>
  </si>
  <si>
    <t>utilisation_voies_ref_deplaces</t>
  </si>
  <si>
    <t>utilisation_voies_ref_hote</t>
  </si>
  <si>
    <t>voies_ref</t>
  </si>
  <si>
    <t>voies_ref/Appui_psychosocial</t>
  </si>
  <si>
    <t>voies_ref/Education</t>
  </si>
  <si>
    <t>voies_ref/Service_de_counseling</t>
  </si>
  <si>
    <t>voies_ref/Services_de_sante</t>
  </si>
  <si>
    <t>voies_ref/Acces_aux_doc</t>
  </si>
  <si>
    <t>voies_ref/Suivi_judiciaire</t>
  </si>
  <si>
    <t>voies_ref/Programme_AGR</t>
  </si>
  <si>
    <t>voies_ref/Autre</t>
  </si>
  <si>
    <t>voies_ref/Ne_sait_pas</t>
  </si>
  <si>
    <t>voies_referencement_autre</t>
  </si>
  <si>
    <t>efficacite_voies_ref_deplace</t>
  </si>
  <si>
    <t>efficacite_voies_ref_hote</t>
  </si>
  <si>
    <t>raison_efficace_ref</t>
  </si>
  <si>
    <t>raison_efficace_ref/amelioration_futur</t>
  </si>
  <si>
    <t>raison_efficace_ref/repond_besoins_pop</t>
  </si>
  <si>
    <t>raison_efficace_ref/permet_obtenir_conseils</t>
  </si>
  <si>
    <t>raison_efficace_ref/permet_eviter_conflits</t>
  </si>
  <si>
    <t>raison_efficace_ref/permet_negociation</t>
  </si>
  <si>
    <t>raison_efficace_ref/diminution_tensions</t>
  </si>
  <si>
    <t>raison_efficace_ref/Autre</t>
  </si>
  <si>
    <t>raison_efficace_ref/Ne_sait_pas</t>
  </si>
  <si>
    <t>raison_efficace_ref_autre</t>
  </si>
  <si>
    <t>raison_inefficace_ref</t>
  </si>
  <si>
    <t>raison_inefficace_ref/ne_contribue_pas</t>
  </si>
  <si>
    <t>raison_inefficace_ref/ne_repond_pas</t>
  </si>
  <si>
    <t>raison_inefficace_ref/non_obtention_info</t>
  </si>
  <si>
    <t>raison_inefficace_ref/non_diminition_tension</t>
  </si>
  <si>
    <t>raison_inefficace_ref/Autre</t>
  </si>
  <si>
    <t>raison_inefficace_ref/Ne_sait_pas</t>
  </si>
  <si>
    <t>raison_inefficace_ref_autre</t>
  </si>
  <si>
    <t>note6</t>
  </si>
  <si>
    <t>eei_sensibilisation</t>
  </si>
  <si>
    <t>eei_sensibilisation_acteurs</t>
  </si>
  <si>
    <t>eei_sensibilisation_acteurs/gvt</t>
  </si>
  <si>
    <t>eei_sensibilisation_acteurs/fds_arme</t>
  </si>
  <si>
    <t>eei_sensibilisation_acteurs/autorite_locale_leaders</t>
  </si>
  <si>
    <t>eei_sensibilisation_acteurs/un_agencies</t>
  </si>
  <si>
    <t>eei_sensibilisation_acteurs/ingo</t>
  </si>
  <si>
    <t>eei_sensibilisation_acteurs/ong_locale</t>
  </si>
  <si>
    <t>eei_sensibilisation_acteurs/famille_amis</t>
  </si>
  <si>
    <t>eei_sensibilisation_acteurs/ne_sait_pas</t>
  </si>
  <si>
    <t>eei_sensibilisation_acteurs/refuse_de_repondre</t>
  </si>
  <si>
    <t>eei_sensibilisation_acteurs/autre</t>
  </si>
  <si>
    <t>eei_sensibilisation_acteurs_autre</t>
  </si>
  <si>
    <t>eei_sensibilisation_besoin</t>
  </si>
  <si>
    <t>note7</t>
  </si>
  <si>
    <t>pers_voies_ref</t>
  </si>
  <si>
    <t>pers_voies_ref/Bebes/Bambins</t>
  </si>
  <si>
    <t>pers_voies_ref/Enfants</t>
  </si>
  <si>
    <t>pers_voies_ref/Filles</t>
  </si>
  <si>
    <t>pers_voies_ref/Garçons</t>
  </si>
  <si>
    <t>pers_voies_ref/Femmes</t>
  </si>
  <si>
    <t>pers_voies_ref/Hommes</t>
  </si>
  <si>
    <t>pers_voies_ref/Femmes_agees</t>
  </si>
  <si>
    <t>pers_voies_ref/Hommes_ages</t>
  </si>
  <si>
    <t>pers_voies_ref/handicap_physique</t>
  </si>
  <si>
    <t>pers_voies_ref/handicap_mental</t>
  </si>
  <si>
    <t>pers_voies_ref/Toute_population</t>
  </si>
  <si>
    <t>pers_voies_ref/Ne_sait_pas</t>
  </si>
  <si>
    <t>pers_voies_ref/Refuse_de_repondre</t>
  </si>
  <si>
    <t>pers_voies_ref/Autre</t>
  </si>
  <si>
    <t>pers_voies_ref_autre</t>
  </si>
  <si>
    <t>nombre_personnes</t>
  </si>
  <si>
    <t>types_voies_ref</t>
  </si>
  <si>
    <t>types_voies_ref/Appui_psychosocial</t>
  </si>
  <si>
    <t>types_voies_ref/Services_medicaux</t>
  </si>
  <si>
    <t>types_voies_ref/Services_educatifs</t>
  </si>
  <si>
    <t>types_voies_ref/Services_conseil</t>
  </si>
  <si>
    <t>types_voies_ref/acces_docs</t>
  </si>
  <si>
    <t>types_voies_ref/service_judiciaire</t>
  </si>
  <si>
    <t>types_voies_ref/programme_agr</t>
  </si>
  <si>
    <t>types_voies_ref/points_ecoute</t>
  </si>
  <si>
    <t>types_voies_ref/reinsertion</t>
  </si>
  <si>
    <t>types_voies_ref/centres_formation</t>
  </si>
  <si>
    <t>types_voies_ref_autre</t>
  </si>
  <si>
    <t>procedure_en_place</t>
  </si>
  <si>
    <t>procedure_en_place/prise_enchage</t>
  </si>
  <si>
    <t>procedure_en_place/reorientation</t>
  </si>
  <si>
    <t>procedure_en_place/signalement</t>
  </si>
  <si>
    <t>procedure_en_place/Autre</t>
  </si>
  <si>
    <t>procedure_en_place/Ne_sait_pas</t>
  </si>
  <si>
    <t>procedure_en_place/Aucun</t>
  </si>
  <si>
    <t>procedure_en_place_autre</t>
  </si>
  <si>
    <t>prise_charge</t>
  </si>
  <si>
    <t>prise_charge/medical</t>
  </si>
  <si>
    <t>prise_charge/Psychosocia</t>
  </si>
  <si>
    <t>prise_charge/point_ecoute</t>
  </si>
  <si>
    <t>prise_charge/juridique</t>
  </si>
  <si>
    <t>prise_charge/surete</t>
  </si>
  <si>
    <t>prise_charge/reinsertion</t>
  </si>
  <si>
    <t>prise_charge/centre_formation</t>
  </si>
  <si>
    <t>prise_charge/Autre</t>
  </si>
  <si>
    <t>prise_charge/Ne_sait_pas</t>
  </si>
  <si>
    <t>prise_charge_autre</t>
  </si>
  <si>
    <t>mecanismes</t>
  </si>
  <si>
    <t>mecanismes/medical</t>
  </si>
  <si>
    <t>mecanismes/Psychosocia</t>
  </si>
  <si>
    <t>mecanismes/point_ecoute</t>
  </si>
  <si>
    <t>mecanismes/juridique</t>
  </si>
  <si>
    <t>mecanismes/surete</t>
  </si>
  <si>
    <t>mecanismes/reinsertion</t>
  </si>
  <si>
    <t>mecanismes/centre_formation</t>
  </si>
  <si>
    <t>mecanismes/Autre</t>
  </si>
  <si>
    <t>mecanismes/Ne_sait_pas</t>
  </si>
  <si>
    <t>mecanismes_autre</t>
  </si>
  <si>
    <t>note8</t>
  </si>
  <si>
    <t>difficultes</t>
  </si>
  <si>
    <t>probleme_structure_ref</t>
  </si>
  <si>
    <t>probleme_structure_ref/manque_moyens</t>
  </si>
  <si>
    <t>probleme_structure_ref/manque_personnes</t>
  </si>
  <si>
    <t>probleme_structure_ref/manque_d'information</t>
  </si>
  <si>
    <t>probleme_structure_ref/probleme_orientation</t>
  </si>
  <si>
    <t>probleme_structure_ref/insecurite_zone</t>
  </si>
  <si>
    <t>probleme_structure_ref/tensions_locales</t>
  </si>
  <si>
    <t>probleme_structure_ref/manque_cordination</t>
  </si>
  <si>
    <t>probleme_structure_ref/manque_definition</t>
  </si>
  <si>
    <t>probleme_structure_ref/Autre</t>
  </si>
  <si>
    <t>probleme_structure_ref/Aucun</t>
  </si>
  <si>
    <t>probleme_structure_ref/Ne_sait_pas</t>
  </si>
  <si>
    <t>probleme_structure_ref_autre</t>
  </si>
  <si>
    <t>probleme_reorientation_ref</t>
  </si>
  <si>
    <t>probleme_reorientation_ref/pb_protection_donnee</t>
  </si>
  <si>
    <t>probleme_reorientation_ref/pb_logistiques</t>
  </si>
  <si>
    <t>probleme_reorientation_ref/pb_secu</t>
  </si>
  <si>
    <t>probleme_reorientation_ref/pb_coordination</t>
  </si>
  <si>
    <t>probleme_reorientation_ref/Ne_sait_pas</t>
  </si>
  <si>
    <t>probleme_reorientation_ref/Autre</t>
  </si>
  <si>
    <t>probleme_reorientation_ref_autre</t>
  </si>
  <si>
    <t>menace_secu</t>
  </si>
  <si>
    <t>type_menace</t>
  </si>
  <si>
    <t>type_menace/violence_physique</t>
  </si>
  <si>
    <t>type_menace/violence_psycho</t>
  </si>
  <si>
    <t>type_menace/message</t>
  </si>
  <si>
    <t>type_menace/menace_entourage</t>
  </si>
  <si>
    <t>type_menace/menace_mort</t>
  </si>
  <si>
    <t>type_menace/menace_enlevement</t>
  </si>
  <si>
    <t>type_menace/suivi</t>
  </si>
  <si>
    <t>type_menace/Autre</t>
  </si>
  <si>
    <t>type_menace/Ne_sait_pas</t>
  </si>
  <si>
    <t>type_menace/Refuse_de_repondre</t>
  </si>
  <si>
    <t>type_menace_autre</t>
  </si>
  <si>
    <t>remise_en_cause_engagement</t>
  </si>
  <si>
    <t>accord_partage</t>
  </si>
  <si>
    <t>merci</t>
  </si>
  <si>
    <t>observations</t>
  </si>
  <si>
    <t>_id</t>
  </si>
  <si>
    <t>_uuid</t>
  </si>
  <si>
    <t>_submission_time</t>
  </si>
  <si>
    <t>_validation_status</t>
  </si>
  <si>
    <t>_notes</t>
  </si>
  <si>
    <t>_status</t>
  </si>
  <si>
    <t>_submitted_by</t>
  </si>
  <si>
    <t>_tags</t>
  </si>
  <si>
    <t>2021-03-31T15:47:17.884+01:00</t>
  </si>
  <si>
    <t>2021-03-31T16:21:21.778+01:00</t>
  </si>
  <si>
    <t>2021-03-31</t>
  </si>
  <si>
    <t>Homme</t>
  </si>
  <si>
    <t>tera</t>
  </si>
  <si>
    <t>carre</t>
  </si>
  <si>
    <t>25</t>
  </si>
  <si>
    <t>deplace_interne</t>
  </si>
  <si>
    <t>autre</t>
  </si>
  <si>
    <t>niger</t>
  </si>
  <si>
    <t>tillaberi</t>
  </si>
  <si>
    <t>oui</t>
  </si>
  <si>
    <t>Attaques_ecoles_sante extorsions Violences_physique_civils Vols_braquages Kidnapping_Disparitions_forcees</t>
  </si>
  <si>
    <t>0</t>
  </si>
  <si>
    <t>1</t>
  </si>
  <si>
    <t>Bebes/Bambins Enfants Filles Femmes_agees Hommes_ages</t>
  </si>
  <si>
    <t>4</t>
  </si>
  <si>
    <t>augmente</t>
  </si>
  <si>
    <t>agression_physique travail_force exploitations_enfant menace enscrimination_acces_services</t>
  </si>
  <si>
    <t>diminution_moyens_existence deterioration_con_abris hausse_chomeurs</t>
  </si>
  <si>
    <t>Soutien_famille_amis dplct_abords_com Integration_com_hote</t>
  </si>
  <si>
    <t>famille_accueil comite_redevabilite femmes_elite</t>
  </si>
  <si>
    <t>famille_amis Differents_comites_villageois manif_sociales Chef_village</t>
  </si>
  <si>
    <t>oui_minorite</t>
  </si>
  <si>
    <t>manque_info trop_du_monde insecurite</t>
  </si>
  <si>
    <t>minorite</t>
  </si>
  <si>
    <t>Service_de_counseling Appui_psychosocial Education Services_de_sante</t>
  </si>
  <si>
    <t>diminution_tensions permet_eviter_conflits amelioration_futur</t>
  </si>
  <si>
    <t>ne_repond_pas ne_contribue_pas non_obtention_info</t>
  </si>
  <si>
    <t>ingo ong_locale autorite_locale_leaders</t>
  </si>
  <si>
    <t>10</t>
  </si>
  <si>
    <t>Services_medicaux Services_educatifs Services_conseil acces_docs Appui_psychosocial</t>
  </si>
  <si>
    <t>reorientation prise_enchage signalement</t>
  </si>
  <si>
    <t>surete centre_formation Psychosocia medical point_ecoute</t>
  </si>
  <si>
    <t>medical Psychosocia surete centre_formation point_ecoute</t>
  </si>
  <si>
    <t>manque_moyens manque_d'information manque_personnes tensions_locales manque_definition</t>
  </si>
  <si>
    <t>violence_physique violence_psycho menace_mort menace_enlevement</t>
  </si>
  <si>
    <t>non</t>
  </si>
  <si>
    <t>Manque d eau et surtout manque de vivres alimentaire</t>
  </si>
  <si>
    <t>5a69afca-39c4-42b3-adf8-6b7e98c35f20</t>
  </si>
  <si>
    <t>2021-03-31T21:00:27</t>
  </si>
  <si>
    <t>[]</t>
  </si>
  <si>
    <t>submitted_via_web</t>
  </si>
  <si>
    <t>reach_niger</t>
  </si>
  <si>
    <t>2021-03-30T14:55:22.911+01:00</t>
  </si>
  <si>
    <t>2021-03-30T15:21:18.690+01:00</t>
  </si>
  <si>
    <t>2021-03-30</t>
  </si>
  <si>
    <t>torodi</t>
  </si>
  <si>
    <t>pengouna</t>
  </si>
  <si>
    <t>57</t>
  </si>
  <si>
    <t>salarie</t>
  </si>
  <si>
    <t>Violences_physique_civils</t>
  </si>
  <si>
    <t>Hommes_ages</t>
  </si>
  <si>
    <t>plusde5</t>
  </si>
  <si>
    <t>diminue</t>
  </si>
  <si>
    <t>exploitations_enfant</t>
  </si>
  <si>
    <t>Enfants Filles</t>
  </si>
  <si>
    <t>3</t>
  </si>
  <si>
    <t>stabilisation_aug_moyen_existence amelioration_acces_service_base</t>
  </si>
  <si>
    <t>Integration_com_hote Soutien_psychosocial Soutien_en_AGR</t>
  </si>
  <si>
    <t>comite_protection famille_accueil comite_redevabilite comite_gestion_conflits enfant_pairs</t>
  </si>
  <si>
    <t>Travailleurs_sociaux/hum Groupement_femmes famille_amis</t>
  </si>
  <si>
    <t>oui_majorite</t>
  </si>
  <si>
    <t>manque_info</t>
  </si>
  <si>
    <t>majorite</t>
  </si>
  <si>
    <t>Education Services_de_sante Suivi_judiciaire</t>
  </si>
  <si>
    <t>repond_besoins_pop permet_eviter_conflits amelioration_futur</t>
  </si>
  <si>
    <t>non_obtention_info ne_contribue_pas</t>
  </si>
  <si>
    <t>fds_arme famille_amis</t>
  </si>
  <si>
    <t>Filles Garçons Femmes Hommes</t>
  </si>
  <si>
    <t>83</t>
  </si>
  <si>
    <t>Services_medicaux Services_educatifs acces_docs service_judiciaire programme_agr</t>
  </si>
  <si>
    <t>reorientation</t>
  </si>
  <si>
    <t>medical juridique</t>
  </si>
  <si>
    <t>manque_moyens manque_personnes probleme_orientation manque_cordination</t>
  </si>
  <si>
    <t>pb_coordination</t>
  </si>
  <si>
    <t>L'IC semble  bien maitriser la qurstion car toutes les informations des deplacés internes passent par lui.</t>
  </si>
  <si>
    <t>89461351-e488-4d0c-8e6e-7e08d3e0d976</t>
  </si>
  <si>
    <t>2021-03-30T16:58:16</t>
  </si>
  <si>
    <t>2021-03-31T10:34:03.159+01:00</t>
  </si>
  <si>
    <t>2021-03-31T17:14:14.413+01:00</t>
  </si>
  <si>
    <t>dessa</t>
  </si>
  <si>
    <t>gaigorou</t>
  </si>
  <si>
    <t>31</t>
  </si>
  <si>
    <t>Hote</t>
  </si>
  <si>
    <t>agriculteur</t>
  </si>
  <si>
    <t>Soutien_famille_amis Integration_com_hote</t>
  </si>
  <si>
    <t>famille_accueil comite_gestion_conflits comite_protection</t>
  </si>
  <si>
    <t>Radio_television manif_sociales Chef_village Groupement_femmes</t>
  </si>
  <si>
    <t>oui_moitie</t>
  </si>
  <si>
    <t>moitie</t>
  </si>
  <si>
    <t>Education Services_de_sante Acces_aux_doc</t>
  </si>
  <si>
    <t>repond_besoins_pop permet_obtenir_conseils amelioration_futur</t>
  </si>
  <si>
    <t>non_diminition_tension non_obtention_info ne_repond_pas</t>
  </si>
  <si>
    <t>2</t>
  </si>
  <si>
    <t>Services_medicaux Services_educatifs acces_docs</t>
  </si>
  <si>
    <t>prise_enchage reorientation signalement</t>
  </si>
  <si>
    <t>medical point_ecoute surete</t>
  </si>
  <si>
    <t>manque_moyens insecurite_zone probleme_orientation</t>
  </si>
  <si>
    <t>pb_logistiques pb_secu</t>
  </si>
  <si>
    <t>db614297-8d74-4f89-afc9-d32bc984d1ee</t>
  </si>
  <si>
    <t>2021-03-31T17:53:43</t>
  </si>
  <si>
    <t>2021-03-31T10:05:59.828+01:00</t>
  </si>
  <si>
    <t>2021-03-31T10:34:16.376+01:00</t>
  </si>
  <si>
    <t>Femme</t>
  </si>
  <si>
    <t>37</t>
  </si>
  <si>
    <t>Vols_braquages extorsions Attaques_ecoles_sante Disputes_intercommunataires Violences_physique_civils</t>
  </si>
  <si>
    <t>Bebes/Bambins Enfants Femmes_agees Filles Garçons</t>
  </si>
  <si>
    <t>deterioration_con_abris diminution_moyens_existence hausse_chomeurs</t>
  </si>
  <si>
    <t>Integration_com_hote dplct_abords_com Soutien_famille_amis Soutien_chef_village</t>
  </si>
  <si>
    <t>femmes_elite famille_accueil</t>
  </si>
  <si>
    <t>repond_besoins_pop diminution_tensions permet_eviter_conflits</t>
  </si>
  <si>
    <t>ne_repond_pas non_diminition_tension ne_contribue_pas</t>
  </si>
  <si>
    <t>ingo</t>
  </si>
  <si>
    <t>signalement reorientation Autre</t>
  </si>
  <si>
    <t>CSI   et Autorités locales</t>
  </si>
  <si>
    <t>surete centre_formation medical Psychosocia</t>
  </si>
  <si>
    <t>manque_moyens manque_personnes manque_d'information insecurite_zone tensions_locales</t>
  </si>
  <si>
    <t>Appel aux ONG et appu aux régénératrice de revenus</t>
  </si>
  <si>
    <t>ff465deb-b738-4edb-80b3-18b7db548378</t>
  </si>
  <si>
    <t>2021-03-31T21:00:12</t>
  </si>
  <si>
    <t>2021-03-30T16:37:58.527+01:00</t>
  </si>
  <si>
    <t>2021-03-30T16:59:23.950+01:00</t>
  </si>
  <si>
    <t>tondobon</t>
  </si>
  <si>
    <t>53</t>
  </si>
  <si>
    <t>Autre</t>
  </si>
  <si>
    <t>Absence de securité dans la brousse</t>
  </si>
  <si>
    <t>Femmes Filles</t>
  </si>
  <si>
    <t>stable</t>
  </si>
  <si>
    <t>mariage_force travail_force exploitations_enfant</t>
  </si>
  <si>
    <t>Filles Femmes Garçons</t>
  </si>
  <si>
    <t>diminution_moyens_existence hausse_chomeurs</t>
  </si>
  <si>
    <t>Integration_com_hote</t>
  </si>
  <si>
    <t>Aucun</t>
  </si>
  <si>
    <t>manif_sociales Chef_village</t>
  </si>
  <si>
    <t>non_utilisation</t>
  </si>
  <si>
    <t>Education Services_de_sante</t>
  </si>
  <si>
    <t>amelioration_futur permet_obtenir_conseils</t>
  </si>
  <si>
    <t>ne_contribue_pas ne_repond_pas</t>
  </si>
  <si>
    <t>Hommes</t>
  </si>
  <si>
    <t>11</t>
  </si>
  <si>
    <t>Services_medicaux Services_educatifs</t>
  </si>
  <si>
    <t>manque_moyens manque_personnes manque_d'information probleme_orientation manque_definition</t>
  </si>
  <si>
    <t>pb_secu pb_coordination</t>
  </si>
  <si>
    <t>Besoin crucial d'un comité effective et des sensibilisation sur le systeme de referencement</t>
  </si>
  <si>
    <t>02a9caf3-64b7-41c2-874a-a83d26d75258</t>
  </si>
  <si>
    <t>2021-03-30T16:58:17</t>
  </si>
  <si>
    <t>2021-03-31T12:52:50.582+01:00</t>
  </si>
  <si>
    <t>2021-03-31T17:13:57.614+01:00</t>
  </si>
  <si>
    <t>famale</t>
  </si>
  <si>
    <t>64</t>
  </si>
  <si>
    <t>Violences_physique_civils Attaques_ecoles_sante extorsions Vols_braquages</t>
  </si>
  <si>
    <t>amelioration_cond_abris amelioration_acces_service_base</t>
  </si>
  <si>
    <t>famille_accueil comite_protection</t>
  </si>
  <si>
    <t>famille_amis</t>
  </si>
  <si>
    <t>manque_info trop_du_monde</t>
  </si>
  <si>
    <t>Services_de_sante</t>
  </si>
  <si>
    <t>repond_besoins_pop</t>
  </si>
  <si>
    <t>ne_repond_pas</t>
  </si>
  <si>
    <t>Hommes Hommes_ages Femmes</t>
  </si>
  <si>
    <t>reinsertion Services_medicaux</t>
  </si>
  <si>
    <t>reorientation signalement</t>
  </si>
  <si>
    <t>medical point_ecoute</t>
  </si>
  <si>
    <t>manque_moyens probleme_orientation insecurite_zone</t>
  </si>
  <si>
    <t>pb_logistiques pb_coordination</t>
  </si>
  <si>
    <t>d445d12c-abfc-4fb8-9c83-c44271a9dedb</t>
  </si>
  <si>
    <t>2021-03-31T17:35:54</t>
  </si>
  <si>
    <t>2021-03-31T09:24:31.654+01:00</t>
  </si>
  <si>
    <t>2021-03-31T10:22:43.671+01:00</t>
  </si>
  <si>
    <t>makalondi</t>
  </si>
  <si>
    <t>Travaille sur tous les sites</t>
  </si>
  <si>
    <t>39</t>
  </si>
  <si>
    <t xml:space="preserve">En charge des référencement des populations </t>
  </si>
  <si>
    <t>fonctionnaire</t>
  </si>
  <si>
    <t>Kidnapping_Disparitions_forcees</t>
  </si>
  <si>
    <t>Garçons Hommes</t>
  </si>
  <si>
    <t>viol</t>
  </si>
  <si>
    <t>Filles Femmes</t>
  </si>
  <si>
    <t>Ne_sait_pas</t>
  </si>
  <si>
    <t>amelioration_acces_service_base stabilisation_aug_moyen_existence</t>
  </si>
  <si>
    <t>femmes_elite comite_protection famille_accueil comite_alerte comite_gestion_conflits</t>
  </si>
  <si>
    <t>Travailleurs_sociaux/hum</t>
  </si>
  <si>
    <t>oui_ensemble</t>
  </si>
  <si>
    <t>ensemble</t>
  </si>
  <si>
    <t>Acces_aux_doc Services_de_sante Education Appui_psychosocial</t>
  </si>
  <si>
    <t>repond_besoins_pop amelioration_futur permet_eviter_conflits</t>
  </si>
  <si>
    <t>13</t>
  </si>
  <si>
    <t>Appui_psychosocial acces_docs Services_conseil Services_educatifs Services_medicaux</t>
  </si>
  <si>
    <t>medical Psychosocia point_ecoute</t>
  </si>
  <si>
    <t>medical Psychosocia point_ecoute surete</t>
  </si>
  <si>
    <t>58aa5639-76bd-4e1d-ba1c-4b1486d5ac7a</t>
  </si>
  <si>
    <t>2021-03-31T17:31:22</t>
  </si>
  <si>
    <t>2021-03-30T11:17:51.425+01:00</t>
  </si>
  <si>
    <t>2021-03-31T12:22:35.794+01:00</t>
  </si>
  <si>
    <t>Base</t>
  </si>
  <si>
    <t>40</t>
  </si>
  <si>
    <t>Femmes</t>
  </si>
  <si>
    <t>menace agression_physique</t>
  </si>
  <si>
    <t>dplct_abords_com Soutien_famille_amis</t>
  </si>
  <si>
    <t>femmes_elite comite_redevabilite</t>
  </si>
  <si>
    <t>Radio_television Internet</t>
  </si>
  <si>
    <t>manque_info non_fonctionnelle</t>
  </si>
  <si>
    <t>Service_de_counseling Services_de_sante Acces_aux_doc</t>
  </si>
  <si>
    <t>repond_besoins_pop amelioration_futur permet_obtenir_conseils</t>
  </si>
  <si>
    <t>autorite_locale_leaders famille_amis</t>
  </si>
  <si>
    <t>Femmes Femmes_agees Filles Garçons Toute_population</t>
  </si>
  <si>
    <t>Appui_psychosocial Services_conseil</t>
  </si>
  <si>
    <t>juridique medical</t>
  </si>
  <si>
    <t>manque_moyens probleme_orientation</t>
  </si>
  <si>
    <t xml:space="preserve">RAS </t>
  </si>
  <si>
    <t>54087329-f893-4f35-abab-9fd6e219334b</t>
  </si>
  <si>
    <t>2021-03-31T22:12:33</t>
  </si>
  <si>
    <t>2021-03-31T12:27:01.898+01:00</t>
  </si>
  <si>
    <t>2021-03-31T15:49:12.315+01:00</t>
  </si>
  <si>
    <t>ayerou</t>
  </si>
  <si>
    <t>Tidirgalen</t>
  </si>
  <si>
    <t>activite_identique_role</t>
  </si>
  <si>
    <t>dplct_abords_com Integration_com_hote Soutien_chef_village Soutien_psychosocial Soutien_en_AGR</t>
  </si>
  <si>
    <t>comite_protection famille_accueil comite_gestion_conflits comite_redevabilite</t>
  </si>
  <si>
    <t>manif_sociales Chef_village famille_amis</t>
  </si>
  <si>
    <t>non_fonctionnelle manque_info Autre</t>
  </si>
  <si>
    <t>Manque d'information pour certains</t>
  </si>
  <si>
    <t>Education Service_de_counseling Services_de_sante Acces_aux_doc Programme_AGR</t>
  </si>
  <si>
    <t>amelioration_futur repond_besoins_pop permet_obtenir_conseils</t>
  </si>
  <si>
    <t>ne_contribue_pas</t>
  </si>
  <si>
    <t>50</t>
  </si>
  <si>
    <t>Services_medicaux Services_educatifs Services_conseil acces_docs programme_agr reinsertion</t>
  </si>
  <si>
    <t>reorientation signalement prise_enchage</t>
  </si>
  <si>
    <t>Psychosocia surete</t>
  </si>
  <si>
    <t>medical juridique reinsertion centre_formation</t>
  </si>
  <si>
    <t>manque_moyens manque_personnes manque_cordination insecurite_zone</t>
  </si>
  <si>
    <t>14 quartiers sur un site de déplacés</t>
  </si>
  <si>
    <t>d3528cd8-fb30-413e-a0b9-41b3ea3e9e64</t>
  </si>
  <si>
    <t>2021-04-01T00:25:37</t>
  </si>
  <si>
    <t>2021-03-31T12:44:17.458+01:00</t>
  </si>
  <si>
    <t>2021-04-01T08:28:05.251+01:00</t>
  </si>
  <si>
    <t>abala</t>
  </si>
  <si>
    <t>abala_pdi</t>
  </si>
  <si>
    <t>55</t>
  </si>
  <si>
    <t>Soutien_famille_amis Soutien_psychosocial</t>
  </si>
  <si>
    <t>femmes_elite comite_protection comite_gestion_conflits</t>
  </si>
  <si>
    <t>Radio_television</t>
  </si>
  <si>
    <t>Services_de_sante Education</t>
  </si>
  <si>
    <t>Services_educatifs Services_medicaux acces_docs</t>
  </si>
  <si>
    <t>prise_enchage reorientation</t>
  </si>
  <si>
    <t>point_ecoute</t>
  </si>
  <si>
    <t>insecurite_zone manque_moyens</t>
  </si>
  <si>
    <t>Aucune</t>
  </si>
  <si>
    <t>4705e4cd-2e11-492b-a954-8e0c4049f138</t>
  </si>
  <si>
    <t>2021-04-01T07:57:55</t>
  </si>
  <si>
    <t>2021-03-31T15:41:03.814+01:00</t>
  </si>
  <si>
    <t>2021-04-01T08:28:17.479+01:00</t>
  </si>
  <si>
    <t>abala_ref</t>
  </si>
  <si>
    <t>18</t>
  </si>
  <si>
    <t>refugie</t>
  </si>
  <si>
    <t>mali</t>
  </si>
  <si>
    <t>menaka</t>
  </si>
  <si>
    <t>anderamboukane</t>
  </si>
  <si>
    <t>Vols_braquages Violences_physique_civils</t>
  </si>
  <si>
    <t>Toute_population</t>
  </si>
  <si>
    <t>viol enscrimination_acces_services</t>
  </si>
  <si>
    <t>Femmes Hommes</t>
  </si>
  <si>
    <t>dim_tensions_intercomm autre</t>
  </si>
  <si>
    <t>Sensibilisation</t>
  </si>
  <si>
    <t>Soutien_psychosocial</t>
  </si>
  <si>
    <t>femmes_elite comite_protection comite_alerte comite_gestion_conflits</t>
  </si>
  <si>
    <t>Radio_television manif_sociales</t>
  </si>
  <si>
    <t>Services_de_sante Acces_aux_doc Education</t>
  </si>
  <si>
    <t>amelioration_futur repond_besoins_pop</t>
  </si>
  <si>
    <t>ong_locale autorite_locale_leaders</t>
  </si>
  <si>
    <t>70</t>
  </si>
  <si>
    <t>Services_medicaux</t>
  </si>
  <si>
    <t>38fe8d2d-7084-478b-a88e-1ed43400b505</t>
  </si>
  <si>
    <t>2021-04-01T07:58:02</t>
  </si>
  <si>
    <t>2021-04-01T11:27:41.126+01:00</t>
  </si>
  <si>
    <t>2021-04-01T17:39:16.636+01:00</t>
  </si>
  <si>
    <t>2021-04-01</t>
  </si>
  <si>
    <t>fada</t>
  </si>
  <si>
    <t>47</t>
  </si>
  <si>
    <t>deni_de_ressource viol mariage_force</t>
  </si>
  <si>
    <t>Filles Enfants Garçons</t>
  </si>
  <si>
    <t>deterioration_con_abris hausse_chomeurs deterioration_acces_service_base</t>
  </si>
  <si>
    <t>Soutien_chef_village Soutien_famille_amis Soutien_psychosocial Integration_com_hote dplct_abords_com</t>
  </si>
  <si>
    <t>comite_protection famille_accueil comite_alerte comite_gestion_conflits enfant_pairs comite_redevabilite</t>
  </si>
  <si>
    <t>Radio_television Differents_comites_villageois manif_sociales</t>
  </si>
  <si>
    <t>manque_info insecurite non_fonctionnelle</t>
  </si>
  <si>
    <t>Appui_psychosocial Service_de_counseling Services_de_sante Education Acces_aux_doc Suivi_judiciaire Programme_AGR</t>
  </si>
  <si>
    <t>repond_besoins_pop permet_eviter_conflits diminution_tensions</t>
  </si>
  <si>
    <t>ne_repond_pas non_obtention_info non_diminition_tension</t>
  </si>
  <si>
    <t>Femmes Femmes_agees Filles Enfants Bebes/Bambins</t>
  </si>
  <si>
    <t>5</t>
  </si>
  <si>
    <t>Appui_psychosocial acces_docs Services_medicaux Services_educatifs Services_conseil</t>
  </si>
  <si>
    <t>signalement reorientation prise_enchage</t>
  </si>
  <si>
    <t>medical point_ecoute Psychosocia</t>
  </si>
  <si>
    <t>manque_moyens manque_personnes manque_d'information probleme_orientation insecurite_zone</t>
  </si>
  <si>
    <t>pb_logistiques pb_secu pb_coordination</t>
  </si>
  <si>
    <t>violence_physique menace_mort suivi violence_psycho</t>
  </si>
  <si>
    <t>Tout  d'abord merci  à vous et je vous demande de prier Dieu  pour nous pour que la paix règne  dans notre pays !</t>
  </si>
  <si>
    <t>53e0af19-325d-4544-a7eb-fc3f96a81d34</t>
  </si>
  <si>
    <t>2021-04-01T16:46:04</t>
  </si>
  <si>
    <t>2021-04-01T13:47:00.295+01:00</t>
  </si>
  <si>
    <t>2021-04-01T16:42:03.804+01:00</t>
  </si>
  <si>
    <t>sabon_carre</t>
  </si>
  <si>
    <t>26</t>
  </si>
  <si>
    <t>pas_role</t>
  </si>
  <si>
    <t>Violences_physique_civils Combat_groupes_armes</t>
  </si>
  <si>
    <t>Filles Femmes Garçons Toute_population Hommes</t>
  </si>
  <si>
    <t>agression_physique agression_psychologique mariage_force</t>
  </si>
  <si>
    <t>Hommes Femmes Filles</t>
  </si>
  <si>
    <t>hausse_chomeurs deterioration_con_abris diminution_moyens_existence</t>
  </si>
  <si>
    <t>dplct_abords_com Soutien_famille_amis Soutien_chef_village Soutien_psychosocial Integration_com_hote</t>
  </si>
  <si>
    <t>famille_accueil comite_gestion_conflits comite_protection comite_alerte comite_redevabilite</t>
  </si>
  <si>
    <t>Radio_television manif_sociales Differents_comites_villageois Groupement_femmes</t>
  </si>
  <si>
    <t>Acces_aux_doc Services_de_sante Education</t>
  </si>
  <si>
    <t>amelioration_futur repond_besoins_pop permet_eviter_conflits</t>
  </si>
  <si>
    <t>ne_contribue_pas ne_repond_pas non_diminition_tension</t>
  </si>
  <si>
    <t>Filles Hommes Garçons</t>
  </si>
  <si>
    <t>6</t>
  </si>
  <si>
    <t>Services_medicaux Services_educatifs acces_docs Appui_psychosocial</t>
  </si>
  <si>
    <t>signalement reorientation</t>
  </si>
  <si>
    <t>manque_moyens manque_personnes manque_d'information insecurite_zone probleme_orientation</t>
  </si>
  <si>
    <t>menace_entourage menace_mort violence_physique</t>
  </si>
  <si>
    <t>Tout d'abord  merci  beaucoup  a votre organisation pour la considération  et  pour tout les actions  que vous meniez pour nous   juste  pour répondre  a nos principaux  besoins je profite  de l occasion   pour vous demandez  de nous augmenter  ces effort  surtout avec l accroissent de la populations  déplacées  dans notre cite</t>
  </si>
  <si>
    <t>0a047e3d-bf52-4de5-ba00-011a4a2b15e5</t>
  </si>
  <si>
    <t>2021-04-01T16:46:06</t>
  </si>
  <si>
    <t>2021-04-01T12:52:08.294+01:00</t>
  </si>
  <si>
    <t>2021-04-01T18:13:43.474+01:00</t>
  </si>
  <si>
    <t>Tous les sites</t>
  </si>
  <si>
    <t>30</t>
  </si>
  <si>
    <t>IC de référencement</t>
  </si>
  <si>
    <t>mariage_force viol agression_psychologique agression_physique</t>
  </si>
  <si>
    <t>Garçons Femmes</t>
  </si>
  <si>
    <t>dplct_abords_com Soutien_psychosocial</t>
  </si>
  <si>
    <t>comite_protection comite_alerte comite_gestion_conflits</t>
  </si>
  <si>
    <t>Travailleurs_sociaux/hum manif_sociales</t>
  </si>
  <si>
    <t>Services_de_sante Service_de_counseling Appui_psychosocial</t>
  </si>
  <si>
    <t>repond_besoins_pop permet_obtenir_conseils permet_eviter_conflits</t>
  </si>
  <si>
    <t>Refus de donner les informations sensibles</t>
  </si>
  <si>
    <t>15</t>
  </si>
  <si>
    <t>Appui_psychosocial Services_medicaux Services_conseil service_judiciaire reinsertion points_ecoute</t>
  </si>
  <si>
    <t>prise_enchage signalement reorientation</t>
  </si>
  <si>
    <t>medical Psychosocia reinsertion</t>
  </si>
  <si>
    <t>medical Psychosocia</t>
  </si>
  <si>
    <t>d761ba78-5ffc-4392-af03-d352d3fd4a72</t>
  </si>
  <si>
    <t>2021-04-01T17:40:37</t>
  </si>
  <si>
    <t>2021-04-01T10:45:13.711+01:00</t>
  </si>
  <si>
    <t>2021-04-01T17:55:30.277+01:00</t>
  </si>
  <si>
    <t>Kidnapping_Disparitions_forcees Violences_physique_civils</t>
  </si>
  <si>
    <t>Hommes Femmes Hommes_ages</t>
  </si>
  <si>
    <t>dplct_abords_com</t>
  </si>
  <si>
    <t>famille_accueil comite_protection comite_alerte</t>
  </si>
  <si>
    <t>Differents_comites_villageois Travailleurs_sociaux/hum</t>
  </si>
  <si>
    <t>Appui_psychosocial Services_de_sante Education</t>
  </si>
  <si>
    <t>Enfants Filles Femmes Hommes Hommes_ages</t>
  </si>
  <si>
    <t>points_ecoute</t>
  </si>
  <si>
    <t>point_ecoute Autre surete</t>
  </si>
  <si>
    <t>Réorientation vers les services compétents</t>
  </si>
  <si>
    <t>medical Psychosocia point_ecoute juridique</t>
  </si>
  <si>
    <t>probleme_orientation manque_cordination</t>
  </si>
  <si>
    <t>Les incidents cités par l'IC sont liés aux sites de déplacés dont nous n'avons pas accès</t>
  </si>
  <si>
    <t>c02e3a07-cabd-4b66-9aa3-541f62026c49</t>
  </si>
  <si>
    <t>2021-04-01T17:43:16</t>
  </si>
  <si>
    <t>2021-04-01T14:51:45.991+01:00</t>
  </si>
  <si>
    <t>2021-04-01T17:02:12.211+01:00</t>
  </si>
  <si>
    <t>balleyara</t>
  </si>
  <si>
    <t>tagazar</t>
  </si>
  <si>
    <t>zongo</t>
  </si>
  <si>
    <t>51</t>
  </si>
  <si>
    <t>banibangou</t>
  </si>
  <si>
    <t>extorsions Violences_physique_civils Disputes_intercommunataires</t>
  </si>
  <si>
    <t>diminution_moyens_existence hausse_tensions_intercomm</t>
  </si>
  <si>
    <t>Soutien_chef_village</t>
  </si>
  <si>
    <t>comite_gestion_conflits femmes_elite famille_accueil</t>
  </si>
  <si>
    <t>Téléphone</t>
  </si>
  <si>
    <t>non_fonctionnelle</t>
  </si>
  <si>
    <t>amelioration_futur diminution_tensions</t>
  </si>
  <si>
    <t>Hommes Femmes Femmes_agees Hommes_ages</t>
  </si>
  <si>
    <t>Services_medicaux Services_conseil</t>
  </si>
  <si>
    <t>point_ecoute surete reinsertion</t>
  </si>
  <si>
    <t>Nous on veux avoir seulement la paix dans notre pays pour qu'on puisse nous préoccupe a nos occupations</t>
  </si>
  <si>
    <t>9bfe184b-e147-4dae-af55-d51117065e18</t>
  </si>
  <si>
    <t>2021-04-01T19:25:56</t>
  </si>
  <si>
    <t>2021-04-01T09:41:30.475+01:00</t>
  </si>
  <si>
    <t>2021-04-01T10:28:01.271+01:00</t>
  </si>
  <si>
    <t>sakoira</t>
  </si>
  <si>
    <t>namari_gougoun</t>
  </si>
  <si>
    <t>45</t>
  </si>
  <si>
    <t>extorsions Vols_braquages</t>
  </si>
  <si>
    <t>Hommes Femmes</t>
  </si>
  <si>
    <t>Integration_com_hote Soutien_famille_amis</t>
  </si>
  <si>
    <t>comite_protection femmes_elite famille_accueil</t>
  </si>
  <si>
    <t>Groupement_femmes Chef_village</t>
  </si>
  <si>
    <t>Services_de_sante Education Acces_aux_doc</t>
  </si>
  <si>
    <t>ne_repond_pas ne_contribue_pas</t>
  </si>
  <si>
    <t>Services_medicaux points_ecoute</t>
  </si>
  <si>
    <t>manque_moyens probleme_orientation manque_definition</t>
  </si>
  <si>
    <t>pb_protection_donnee pb_logistiques pb_coordination</t>
  </si>
  <si>
    <t>Ras</t>
  </si>
  <si>
    <t>9a806334-fa0b-4b0a-b93f-6cc54034100b</t>
  </si>
  <si>
    <t>2021-04-01T19:45:06</t>
  </si>
  <si>
    <t>2021-04-01T13:18:00.025+01:00</t>
  </si>
  <si>
    <t>2021-04-01T14:21:17.604+01:00</t>
  </si>
  <si>
    <t>Integration_com_hote Soutien_famille_amis Soutien_chef_village</t>
  </si>
  <si>
    <t>comite_protection famille_accueil</t>
  </si>
  <si>
    <t>famille_amis Chef_village</t>
  </si>
  <si>
    <t>acces_docs Services_medicaux</t>
  </si>
  <si>
    <t>57635968-d9e1-4531-b1f9-b3e2398ea5ca</t>
  </si>
  <si>
    <t>2021-04-01T19:45:17</t>
  </si>
  <si>
    <t>2021-04-01T10:15:52.036+01:00</t>
  </si>
  <si>
    <t>2021-04-01T10:38:28.508+01:00</t>
  </si>
  <si>
    <t>Toukoussaye</t>
  </si>
  <si>
    <t>27</t>
  </si>
  <si>
    <t>agression_physique mariage_force Autre</t>
  </si>
  <si>
    <t>Tentative de viol des jeunes filles á l'exterieur du site</t>
  </si>
  <si>
    <t>dplct_abords_com Integration_com_hote Soutien_chef_village Soutien_en_AGR</t>
  </si>
  <si>
    <t>comite_protection famille_accueil comite_redevabilite comite_gestion_conflits</t>
  </si>
  <si>
    <t>manif_sociales Chef_village famille_amis Travailleurs_sociaux/hum</t>
  </si>
  <si>
    <t>non_fonctionnelle manque_info</t>
  </si>
  <si>
    <t>amelioration_futur repond_besoins_pop diminution_tensions</t>
  </si>
  <si>
    <t>Filles Femmes Hommes Hommes_ages</t>
  </si>
  <si>
    <t>28</t>
  </si>
  <si>
    <t>reorientation signalement Autre</t>
  </si>
  <si>
    <t xml:space="preserve">Prise en charge directe mais partielle </t>
  </si>
  <si>
    <t>medical juridique reinsertion surete</t>
  </si>
  <si>
    <t>RAS</t>
  </si>
  <si>
    <t>89997856-f49b-469c-814c-5cc689233050</t>
  </si>
  <si>
    <t>2021-04-02T00:40:48</t>
  </si>
  <si>
    <t>2021-04-01T12:08:54.489+01:00</t>
  </si>
  <si>
    <t>2021-04-01T14:29:33.300+01:00</t>
  </si>
  <si>
    <t>Tidirgalen 2</t>
  </si>
  <si>
    <t>35</t>
  </si>
  <si>
    <t>dplct_abords_com Integration_com_hote Soutien_famille_amis Soutien_chef_village Soutien_psychosocial</t>
  </si>
  <si>
    <t>manif_sociales Chef_village famille_amis Differents_comites_villageois Travailleurs_sociaux/hum</t>
  </si>
  <si>
    <t>gvt fds_arme autorite_locale_leaders un_agencies ingo ong_locale</t>
  </si>
  <si>
    <t>14</t>
  </si>
  <si>
    <t>medical surete reinsertion</t>
  </si>
  <si>
    <t>Le nombre de personnes qui utilise le référencement est estimatif l'IC ne possede pas les statistiques exactes.</t>
  </si>
  <si>
    <t>6ca50534-f189-442a-a32d-0405d9b74d30</t>
  </si>
  <si>
    <t>2021-04-02T00:40:51</t>
  </si>
  <si>
    <t>2021-04-01T15:49:51.300+01:00</t>
  </si>
  <si>
    <t>2021-04-01T15:59:40.947+01:00</t>
  </si>
  <si>
    <t>Wilite Amanass</t>
  </si>
  <si>
    <t>52</t>
  </si>
  <si>
    <t>Volontaire_comm</t>
  </si>
  <si>
    <t>dplct_abords_com Integration_com_hote Soutien_famille_amis Soutien_chef_village Soutien_en_AGR</t>
  </si>
  <si>
    <t>famille_accueil comite_alerte comite_redevabilite</t>
  </si>
  <si>
    <t>Education Services_de_sante Acces_aux_doc Programme_AGR</t>
  </si>
  <si>
    <t>autorite_locale_leaders ingo</t>
  </si>
  <si>
    <t>Services_educatifs Services_conseil Services_medicaux acces_docs programme_agr</t>
  </si>
  <si>
    <t>medical Psychosocia surete reinsertion centre_formation</t>
  </si>
  <si>
    <t>7228da76-aefd-4c89-a5b1-07d87808b0d2</t>
  </si>
  <si>
    <t>2021-04-02T00:40:56</t>
  </si>
  <si>
    <t>2021-04-01T08:32:40.948+01:00</t>
  </si>
  <si>
    <t>2021-04-01T09:07:36.245+01:00</t>
  </si>
  <si>
    <t>Directeur développement communautaire</t>
  </si>
  <si>
    <t>Vols_braquages extorsions Attaques_ecoles_sante Violences_physique_civils Recrutement_enfants</t>
  </si>
  <si>
    <t>viol agression_sexuelle agression_physique travail_force menace</t>
  </si>
  <si>
    <t>deterioration_con_abris hausse_chomeurs diminution_moyens_existence</t>
  </si>
  <si>
    <t>Soutien_famille_amis Soutien_chef_village dplct_abords_com</t>
  </si>
  <si>
    <t>famille_accueil comite_alerte femmes_elite</t>
  </si>
  <si>
    <t>manif_sociales Chef_village Groupement_femmes Leaders_religieux</t>
  </si>
  <si>
    <t>Education Service_de_counseling Services_de_sante Appui_psychosocial</t>
  </si>
  <si>
    <t>diminution_tensions repond_besoins_pop permet_negociation</t>
  </si>
  <si>
    <t>ne_repond_pas non_obtention_info ne_contribue_pas</t>
  </si>
  <si>
    <t>ingo autorite_locale_leaders ong_locale</t>
  </si>
  <si>
    <t>Services_conseil Services_educatifs Services_medicaux Appui_psychosocial</t>
  </si>
  <si>
    <t>medical Psychosocia point_ecoute juridique centre_formation</t>
  </si>
  <si>
    <t>medical Psychosocia point_ecoute surete reinsertion</t>
  </si>
  <si>
    <t>manque_moyens manque_d'information manque_personnes tensions_locales manque_cordination</t>
  </si>
  <si>
    <t>Plan d action</t>
  </si>
  <si>
    <t>2c45eae5-09b0-45df-aaa6-49943c949afb</t>
  </si>
  <si>
    <t>2021-04-02T19:01:44</t>
  </si>
  <si>
    <t>2021-04-01T12:47:49.980+01:00</t>
  </si>
  <si>
    <t>2021-04-01T13:05:12.105+01:00</t>
  </si>
  <si>
    <t>diagourou</t>
  </si>
  <si>
    <t>Points focale protection Femmes et Enfants</t>
  </si>
  <si>
    <t>41</t>
  </si>
  <si>
    <t>Points Focale Protection Femmes et Enfants</t>
  </si>
  <si>
    <t>extorsions Vols_braquages Combat_groupes_armes Violences_physique_civils Attaques_ecoles_sante</t>
  </si>
  <si>
    <t>menace agression_psychologique agression_physique viol defus_de_acces_aide</t>
  </si>
  <si>
    <t>hausse_chomeurs deterioration_con_abris deterioration_acces_service_base</t>
  </si>
  <si>
    <t>Soutien_famille_amis</t>
  </si>
  <si>
    <t>famille_accueil comite_protection comite_redevabilite</t>
  </si>
  <si>
    <t>manif_sociales Leaders_religieux famille_amis</t>
  </si>
  <si>
    <t>manque_info trop_du_monde non_fonctionnelle</t>
  </si>
  <si>
    <t>Service_de_counseling Education Services_de_sante Appui_psychosocial</t>
  </si>
  <si>
    <t>permet_obtenir_conseils permet_eviter_conflits repond_besoins_pop</t>
  </si>
  <si>
    <t>ong_locale ingo un_agencies</t>
  </si>
  <si>
    <t>7</t>
  </si>
  <si>
    <t>medical reinsertion Psychosocia juridique surete</t>
  </si>
  <si>
    <t>medical Psychosocia surete reinsertion point_ecoute</t>
  </si>
  <si>
    <t>violence_physique menace_entourage violence_psycho</t>
  </si>
  <si>
    <t>Aide alimentaire et surtout la sensibilisation aux relais et la sécurité</t>
  </si>
  <si>
    <t>da3345dd-a270-4710-bd73-3491a6a19bb6</t>
  </si>
  <si>
    <t>2021-04-02T19:01:47</t>
  </si>
  <si>
    <t>2021-04-01T14:01:03.046+01:00</t>
  </si>
  <si>
    <t>2021-04-01T14:30:25.597+01:00</t>
  </si>
  <si>
    <t>Zongo</t>
  </si>
  <si>
    <t>56</t>
  </si>
  <si>
    <t>Vols_braquages extorsions Violences_physique_civils Combat_groupes_armes Attaques_ecoles_sante</t>
  </si>
  <si>
    <t>agression_physique agression_psychologique exploitations_enfant menace travail_force</t>
  </si>
  <si>
    <t>Bebes/Bambins Enfants Filles Hommes_ages Femmes_agees</t>
  </si>
  <si>
    <t>deterioration_con_abris deterioration_acces_service_base hausse_chomeurs</t>
  </si>
  <si>
    <t>Soutien_famille_amis Integration_com_hote dplct_abords_com</t>
  </si>
  <si>
    <t>famille_accueil comite_protection femmes_elite comite_alerte</t>
  </si>
  <si>
    <t>ingo ong_locale famille_amis</t>
  </si>
  <si>
    <t>Bebes/Bambins Enfants Femmes_agees Hommes_ages</t>
  </si>
  <si>
    <t>medical Psychosocia point_ecoute surete centre_formation</t>
  </si>
  <si>
    <t>manque_moyens manque_d'information insecurite_zone manque_cordination manque_personnes</t>
  </si>
  <si>
    <t>violence_physique menace_mort violence_psycho menace_entourage</t>
  </si>
  <si>
    <t>Manque d abris et surtout l alimentation</t>
  </si>
  <si>
    <t>7d4602c8-7b62-46e7-bf3b-e3652356e498</t>
  </si>
  <si>
    <t>2021-04-02T19:01:50</t>
  </si>
  <si>
    <t>2021-04-01T17:05:24.732+01:00</t>
  </si>
  <si>
    <t>2021-04-01T17:14:38.021+01:00</t>
  </si>
  <si>
    <t>chateau</t>
  </si>
  <si>
    <t>Vols_braquages extorsions Violences_physique_civils Attaques_ecoles_sante Disputes_intercommunataires</t>
  </si>
  <si>
    <t>agression_physique exploitations_enfant menace defus_de_acces_aide agression_psychologique</t>
  </si>
  <si>
    <t>deterioration_con_abris diminution_moyens_existence deterioration_acces_service_base</t>
  </si>
  <si>
    <t>comite_protection famille_accueil comite_gestion_conflits</t>
  </si>
  <si>
    <t>non_obtention_info ne_contribue_pas ne_repond_pas</t>
  </si>
  <si>
    <t>Bebes/Bambins Enfants Filles Femmes Garçons</t>
  </si>
  <si>
    <t>12</t>
  </si>
  <si>
    <t>medical Psychosocia surete centre_formation</t>
  </si>
  <si>
    <t>message menace_mort violence_physique menace_entourage</t>
  </si>
  <si>
    <t>SOS abris et manque de moyens financiers</t>
  </si>
  <si>
    <t>96ff2797-edf3-489d-9e36-45b163f32533</t>
  </si>
  <si>
    <t>2021-04-02T19:01:55</t>
  </si>
  <si>
    <t>2021-04-01T18:28:51.655+01:00</t>
  </si>
  <si>
    <t>2021-04-01T18:58:33.343+01:00</t>
  </si>
  <si>
    <t>Farko</t>
  </si>
  <si>
    <t>extorsions Violences_physique_civils Attaques_ecoles_sante Vols_braquages Disputes_intercommunataires</t>
  </si>
  <si>
    <t>agression_physique agression_psychologique menace defus_de_acces_aide exploitations_enfant</t>
  </si>
  <si>
    <t>Bebes/Bambins Enfants Femmes Filles Hommes</t>
  </si>
  <si>
    <t>Integration_com_hote Soutien_famille_amis Soutien_psychosocial dplct_abords_com</t>
  </si>
  <si>
    <t>Bebes/Bambins Filles Enfants Hommes Femmes</t>
  </si>
  <si>
    <t>surete centre_formation point_ecoute Psychosocia medical</t>
  </si>
  <si>
    <t>medical Psychosocia point_ecoute centre_formation surete</t>
  </si>
  <si>
    <t>violence_physique violence_psycho menace_entourage message menace_mort</t>
  </si>
  <si>
    <t>Appu en formation professionnelle</t>
  </si>
  <si>
    <t>13aa18d8-0988-415c-92d7-0665d942b2d0</t>
  </si>
  <si>
    <t>2021-04-02T19:01:57</t>
  </si>
  <si>
    <t>2021-04-01T19:48:23.558+01:00</t>
  </si>
  <si>
    <t>2021-04-01T20:01:04.538+01:00</t>
  </si>
  <si>
    <t>foneko</t>
  </si>
  <si>
    <t>54</t>
  </si>
  <si>
    <t>Disputes_intercommunataires Vols_braquages extorsions Attaques_ecoles_sante Recrutement_enfants</t>
  </si>
  <si>
    <t>Bebes/Bambins Enfants Filles Femmes Hommes</t>
  </si>
  <si>
    <t>agression_physique agression_psychologique travail_force exploitations_sexuelles exploitations_enfant</t>
  </si>
  <si>
    <t>Integration_com_hote Soutien_famille_amis Soutien_psychosocial</t>
  </si>
  <si>
    <t>femmes_elite comite_protection famille_accueil comite_redevabilite</t>
  </si>
  <si>
    <t>ne_repond_pas non_diminition_tension non_obtention_info</t>
  </si>
  <si>
    <t>Bebes/Bambins Filles Enfants Femmes Garçons</t>
  </si>
  <si>
    <t>medical juridique centre_formation surete Psychosocia</t>
  </si>
  <si>
    <t>manque_moyens manque_personnes manque_d'information insecurite_zone manque_cordination</t>
  </si>
  <si>
    <t>violence_physique violence_psycho menace_entourage menace_mort</t>
  </si>
  <si>
    <t>Nous avons un manque d abris et nourriture</t>
  </si>
  <si>
    <t>dbf6ba85-c1d2-4a12-8e3b-52ab89ac6183</t>
  </si>
  <si>
    <t>2021-04-02T19:02:01</t>
  </si>
  <si>
    <t>2021-04-02T11:02:19.303+01:00</t>
  </si>
  <si>
    <t>2021-04-02T11:32:01.883+01:00</t>
  </si>
  <si>
    <t>2021-04-02</t>
  </si>
  <si>
    <t>bankilare</t>
  </si>
  <si>
    <t>Tazizgurcte</t>
  </si>
  <si>
    <t>34</t>
  </si>
  <si>
    <t>Bebes/Bambins Enfants Filles Femmes Femmes_agees</t>
  </si>
  <si>
    <t>agression_physique agression_psychologique travail_force exploitations_enfant menace</t>
  </si>
  <si>
    <t>Bebes/Bambins Enfants Filles Garçons Femmes</t>
  </si>
  <si>
    <t>deterioration_con_abris deterioration_acces_service_base diminution_moyens_existence</t>
  </si>
  <si>
    <t>dplct_abords_com Integration_com_hote Soutien_famille_amis</t>
  </si>
  <si>
    <t>manif_sociales Leaders_religieux Groupement_femmes Differents_comites_villageois famille_amis</t>
  </si>
  <si>
    <t>manque_info discrimination non_utilisation</t>
  </si>
  <si>
    <t>Services_medicaux Services_educatifs Services_conseil points_ecoute</t>
  </si>
  <si>
    <t>medical point_ecoute surete centre_formation reinsertion</t>
  </si>
  <si>
    <t>manque_moyens manque_d'information insecurite_zone probleme_orientation manque_personnes</t>
  </si>
  <si>
    <t>pb_logistiques pb_protection_donnee pb_secu</t>
  </si>
  <si>
    <t>Problème de nourriture et appui conseil</t>
  </si>
  <si>
    <t>fcd0c38c-be4e-4ab1-ae99-c54b5563b42e</t>
  </si>
  <si>
    <t>2021-04-02T19:02:03</t>
  </si>
  <si>
    <t>2021-04-02T11:53:05.642+01:00</t>
  </si>
  <si>
    <t>2021-04-02T12:08:41.777+01:00</t>
  </si>
  <si>
    <t>Intikinderie</t>
  </si>
  <si>
    <t>burkina_faso</t>
  </si>
  <si>
    <t>sahel</t>
  </si>
  <si>
    <t>oudalan</t>
  </si>
  <si>
    <t>Disputes_intercommunataires Vols_braquages extorsions Violences_physique_civils Recrutement_enfants</t>
  </si>
  <si>
    <t>agression_physique agression_psychologique defus_de_acces_aide exploitations_enfant menace</t>
  </si>
  <si>
    <t>Bebes/Bambins Enfants Garçons Filles Femmes</t>
  </si>
  <si>
    <t>dplct_abords_com Soutien_famille_amis Integration_com_hote</t>
  </si>
  <si>
    <t>comite_protection famille_accueil comite_alerte comite_gestion_conflits</t>
  </si>
  <si>
    <t>ne_contribue_pas ne_repond_pas non_obtention_info</t>
  </si>
  <si>
    <t>medical juridique surete Psychosocia point_ecoute</t>
  </si>
  <si>
    <t>medical surete point_ecoute Psychosocia reinsertion</t>
  </si>
  <si>
    <t>Besoin de case de santé</t>
  </si>
  <si>
    <t>a543808c-cb82-4e75-9a6e-6e92595b12e4</t>
  </si>
  <si>
    <t>2021-04-02T19:02:07</t>
  </si>
  <si>
    <t>2021-04-02T13:35:31.112+01:00</t>
  </si>
  <si>
    <t>2021-04-02T13:53:52.439+01:00</t>
  </si>
  <si>
    <t>Houberi</t>
  </si>
  <si>
    <t>59</t>
  </si>
  <si>
    <t>Disputes_intercommunataires Vols_braquages extorsions Violences_physique_civils Attaques_ecoles_sante</t>
  </si>
  <si>
    <t>agression_physique agression_psychologique exploitations_enfant menace enscrimination_acces_services</t>
  </si>
  <si>
    <t>diminution_moyens_existence deterioration_con_abris deterioration_acces_service_base</t>
  </si>
  <si>
    <t>Integration_com_hote Soutien_famille_amis dplct_abords_com</t>
  </si>
  <si>
    <t>comite_protection famille_accueil comite_redevabilite</t>
  </si>
  <si>
    <t>reinsertion surete point_ecoute medical Psychosocia</t>
  </si>
  <si>
    <t>manque_moyens manque_d'information manque_personnes insecurite_zone probleme_orientation</t>
  </si>
  <si>
    <t>pb_protection_donnee pb_logistiques pb_secu</t>
  </si>
  <si>
    <t>violence_physique violence_psycho menace_mort</t>
  </si>
  <si>
    <t>Famine totale et surtout instauré la cohésion totale,la paix</t>
  </si>
  <si>
    <t>590d4d25-2b3c-4d68-93fc-06d004a5efe4</t>
  </si>
  <si>
    <t>2021-04-02T19:02:13</t>
  </si>
  <si>
    <t>2021-04-01T09:27:46.077+01:00</t>
  </si>
  <si>
    <t>2021-04-01T10:08:27.449+01:00</t>
  </si>
  <si>
    <t>29</t>
  </si>
  <si>
    <t>Point focal de  la population</t>
  </si>
  <si>
    <t>Soutien_psychosocial Integration_com_hote</t>
  </si>
  <si>
    <t>famille_accueil comite_protection comite_gestion_conflits</t>
  </si>
  <si>
    <t>Radio_television Differents_comites_villageois Internet</t>
  </si>
  <si>
    <t>Appui_psychosocial Service_de_counseling Services_de_sante Acces_aux_doc Suivi_judiciaire</t>
  </si>
  <si>
    <t>Manque d'attachement</t>
  </si>
  <si>
    <t>Appui_psychosocial Services_medicaux Services_conseil service_judiciaire</t>
  </si>
  <si>
    <t>medical Psychosocia juridique</t>
  </si>
  <si>
    <t>542d43a4-5e9b-4525-bfc7-6147f6b16cee</t>
  </si>
  <si>
    <t>2021-04-02T19:02:43</t>
  </si>
  <si>
    <t>2021-04-01T11:18:13.375+01:00</t>
  </si>
  <si>
    <t>2021-04-01T11:56:38.352+01:00</t>
  </si>
  <si>
    <t>lilingou</t>
  </si>
  <si>
    <t>32</t>
  </si>
  <si>
    <t>famille_accueil</t>
  </si>
  <si>
    <t>Radio_television Chef_village famille_amis</t>
  </si>
  <si>
    <t>Service_de_counseling Services_de_sante Appui_psychosocial Suivi_judiciaire</t>
  </si>
  <si>
    <t>amelioration_futur permet_obtenir_conseils permet_eviter_conflits</t>
  </si>
  <si>
    <t>Services_medicaux Services_conseil acces_docs service_judiciaire</t>
  </si>
  <si>
    <t>manque_moyens manque_personnes probleme_orientation manque_definition</t>
  </si>
  <si>
    <t>c9e09860-e7e5-4fd6-a468-e1e6b02442f6</t>
  </si>
  <si>
    <t>2021-04-02T19:02:44</t>
  </si>
  <si>
    <t>2021-04-02T14:35:58.773+01:00</t>
  </si>
  <si>
    <t>2021-04-02T15:25:44.759+01:00</t>
  </si>
  <si>
    <t>diomona</t>
  </si>
  <si>
    <t>67</t>
  </si>
  <si>
    <t>Integration_com_hote dplct_abords_com</t>
  </si>
  <si>
    <t>comite_protection femmes_elite</t>
  </si>
  <si>
    <t>Chef_village Differents_comites_villageois</t>
  </si>
  <si>
    <t>medical</t>
  </si>
  <si>
    <t>2c040e31-8966-48a7-b32b-ef621ac83f8c</t>
  </si>
  <si>
    <t>2021-04-02T19:44:49</t>
  </si>
  <si>
    <t>2021-04-02T12:03:46.147+01:00</t>
  </si>
  <si>
    <t>2021-04-02T12:36:11.710+01:00</t>
  </si>
  <si>
    <t>kandadji</t>
  </si>
  <si>
    <t>Chef_village</t>
  </si>
  <si>
    <t>repond_besoins_pop amelioration_futur</t>
  </si>
  <si>
    <t>ne_repond_pas non_obtention_info</t>
  </si>
  <si>
    <t>prise_enchage signalement</t>
  </si>
  <si>
    <t>point_ecoute medical</t>
  </si>
  <si>
    <t>pb_coordination pb_logistiques</t>
  </si>
  <si>
    <t>5c6a6c24-c1d3-440c-83d5-fdc6307a1a06</t>
  </si>
  <si>
    <t>2021-04-02T19:44:42</t>
  </si>
  <si>
    <t>2021-04-02T17:47:07.086+01:00</t>
  </si>
  <si>
    <t>2021-04-02T18:21:43.405+01:00</t>
  </si>
  <si>
    <t>ayerou_ref</t>
  </si>
  <si>
    <t>pas_de_mecanismes</t>
  </si>
  <si>
    <t>Psychosocia medical point_ecoute</t>
  </si>
  <si>
    <t>76d87426-db08-4fc3-aaa5-2543b6b57761</t>
  </si>
  <si>
    <t>2021-04-03T00:04:39</t>
  </si>
  <si>
    <t>2021-04-02T18:16:11.391+01:00</t>
  </si>
  <si>
    <t>2021-04-02T18:34:06.935+01:00</t>
  </si>
  <si>
    <t>Ayarou Hote</t>
  </si>
  <si>
    <t>dplct_abords_com Integration_com_hote Soutien_famille_amis Soutien_chef_village Soutien_psychosocial Soutien_en_AGR</t>
  </si>
  <si>
    <t>comite_protection famille_accueil comite_alerte comite_redevabilite comite_gestion_conflits enfant_pairs</t>
  </si>
  <si>
    <t>Radio_television Internet manif_sociales famille_amis Differents_comites_villageois Travailleurs_sociaux/hum Ecole</t>
  </si>
  <si>
    <t>amelioration_futur permet_eviter_conflits diminution_tensions</t>
  </si>
  <si>
    <t>gvt fds_arme autorite_locale_leaders ingo ong_locale famille_amis</t>
  </si>
  <si>
    <t>8</t>
  </si>
  <si>
    <t>Services_medicaux Services_educatifs acces_docs reinsertion</t>
  </si>
  <si>
    <t>medical juridique surete</t>
  </si>
  <si>
    <t>centre_formation</t>
  </si>
  <si>
    <t>2a86fdfe-cbe9-49c3-a512-9e3904f03dcb</t>
  </si>
  <si>
    <t>2021-04-03T00:05:37</t>
  </si>
  <si>
    <t>2021-04-02T18:09:44.272+01:00</t>
  </si>
  <si>
    <t>2021-04-02T18:26:36.542+01:00</t>
  </si>
  <si>
    <t>Hôte</t>
  </si>
  <si>
    <t>Soutien_psychosocial Soutien_chef_village dplct_abords_com</t>
  </si>
  <si>
    <t>comite_protection femmes_elite famille_accueil comite_alerte comite_redevabilite comite_gestion_conflits enfant_pairs</t>
  </si>
  <si>
    <t>Radio_television manif_sociales famille_amis Chef_village</t>
  </si>
  <si>
    <t>Education Appui_psychosocial Services_de_sante</t>
  </si>
  <si>
    <t>amelioration_futur diminution_tensions permet_obtenir_conseils</t>
  </si>
  <si>
    <t>non_obtention_info ne_repond_pas</t>
  </si>
  <si>
    <t>Appui_psychosocial Services_medicaux Services_educatifs</t>
  </si>
  <si>
    <t>c3dcf604-6805-4aad-b3ab-755e96eb92fe</t>
  </si>
  <si>
    <t>2021-04-03T00:06:19</t>
  </si>
  <si>
    <t>2021-04-03T12:54:26.131+01:00</t>
  </si>
  <si>
    <t>2021-04-03T13:48:10.398+01:00</t>
  </si>
  <si>
    <t>2021-04-03</t>
  </si>
  <si>
    <t>49</t>
  </si>
  <si>
    <t>comite_protection</t>
  </si>
  <si>
    <t>Radio_television manif_sociales famille_amis</t>
  </si>
  <si>
    <t>Services_de_sante Acces_aux_doc Suivi_judiciaire</t>
  </si>
  <si>
    <t>autorite_locale_leaders ong_locale</t>
  </si>
  <si>
    <t>Services_medicaux acces_docs service_judiciaire</t>
  </si>
  <si>
    <t>medical point_ecoute juridique</t>
  </si>
  <si>
    <t>manque_moyens</t>
  </si>
  <si>
    <t>b93e9e4f-6440-43a3-b03f-7c660be9549a</t>
  </si>
  <si>
    <t>2021-04-03T14:04:01</t>
  </si>
  <si>
    <t>2021-04-03T09:41:49.968+01:00</t>
  </si>
  <si>
    <t>2021-04-03T10:17:35.323+01:00</t>
  </si>
  <si>
    <t>tadress</t>
  </si>
  <si>
    <t>ouallam</t>
  </si>
  <si>
    <t>dplct_abords_com Integration_com_hote</t>
  </si>
  <si>
    <t>comite_protection comite_gestion_conflits</t>
  </si>
  <si>
    <t>Chef_village famille_amis</t>
  </si>
  <si>
    <t>Education Services_de_sante Appui_psychosocial</t>
  </si>
  <si>
    <t>point_ecoute reinsertion</t>
  </si>
  <si>
    <t>manque_moyens manque_cordination</t>
  </si>
  <si>
    <t>c4365d9a-f053-4bfc-9cdf-b67ceddbe41e</t>
  </si>
  <si>
    <t>2021-04-03T15:16:57</t>
  </si>
  <si>
    <t>2021-04-03T11:28:23.971+01:00</t>
  </si>
  <si>
    <t>2021-04-03T11:45:23.965+01:00</t>
  </si>
  <si>
    <t>toula</t>
  </si>
  <si>
    <t>Radio_television Chef_village</t>
  </si>
  <si>
    <t>Services_medicaux acces_docs Services_conseil</t>
  </si>
  <si>
    <t>24d5d018-15b8-4956-96a2-5a9f22803457</t>
  </si>
  <si>
    <t>2021-04-03T15:17:11</t>
  </si>
  <si>
    <t>2021-04-03T11:53:54.351+01:00</t>
  </si>
  <si>
    <t>2021-04-03T12:08:36.948+01:00</t>
  </si>
  <si>
    <t>Population hote</t>
  </si>
  <si>
    <t>viol mariage_force menace</t>
  </si>
  <si>
    <t>Femmes_agees Hommes_ages Bebes/Bambins</t>
  </si>
  <si>
    <t>diminution_moyens_existence hausse_tensions_intercomm hausse_chomeurs</t>
  </si>
  <si>
    <t>comite_protection famille_accueil comite_redevabilite comite_alerte</t>
  </si>
  <si>
    <t>Radio_television Internet manif_sociales Chef_village famille_amis Leaders_religieux Groupement_femmes Differents_comites_villageois Travailleurs_sociaux/hum Gouvernement</t>
  </si>
  <si>
    <t>Education Appui_psychosocial Services_de_sante Acces_aux_doc Programme_AGR</t>
  </si>
  <si>
    <t>Bebes/Bambins Enfants Filles Garçons Femmes_agees Hommes_ages</t>
  </si>
  <si>
    <t>Appui_psychosocial Services_medicaux Services_educatifs Services_conseil acces_docs programme_agr points_ecoute</t>
  </si>
  <si>
    <t>medical reinsertion juridique centre_formation</t>
  </si>
  <si>
    <t>886e1903-9c3e-423f-9439-be35bd95a87c</t>
  </si>
  <si>
    <t>2021-04-04T12:27:18</t>
  </si>
  <si>
    <t>2021-04-03T14:40:10.281+01:00</t>
  </si>
  <si>
    <t>2021-04-03T14:51:51.093+01:00</t>
  </si>
  <si>
    <t>ayarou_pdi</t>
  </si>
  <si>
    <t>comite_protection famille_accueil comite_alerte comite_redevabilite comite_gestion_conflits</t>
  </si>
  <si>
    <t>Radio_television Internet manif_sociales Chef_village famille_amis Differents_comites_villageois Travailleurs_sociaux/hum</t>
  </si>
  <si>
    <t>Appui_psychosocial Service_de_counseling Services_de_sante Acces_aux_doc</t>
  </si>
  <si>
    <t>autorite_locale_leaders ingo ong_locale</t>
  </si>
  <si>
    <t>Services_conseil Appui_psychosocial points_ecoute</t>
  </si>
  <si>
    <t>juridique centre_formation</t>
  </si>
  <si>
    <t>13ea60c1-6d72-4c47-8adb-442c87f49931</t>
  </si>
  <si>
    <t>2021-04-04T12:32:41</t>
  </si>
  <si>
    <t>CHECK_UUID</t>
  </si>
  <si>
    <t>CHECK_Community</t>
  </si>
  <si>
    <t>CHECK_Enumerator</t>
  </si>
  <si>
    <t>CHECK_start</t>
  </si>
  <si>
    <t>CHECK_end</t>
  </si>
  <si>
    <t>CHECK_start_to_end</t>
  </si>
  <si>
    <t>Toukousey</t>
  </si>
  <si>
    <t>Harmonisation autre</t>
  </si>
  <si>
    <t>MC</t>
  </si>
  <si>
    <t>Wilit amanass</t>
  </si>
  <si>
    <t>Tazizguirte</t>
  </si>
  <si>
    <t>Étiquettes de lignes</t>
  </si>
  <si>
    <t>Total général</t>
  </si>
  <si>
    <t>Nombre de localite</t>
  </si>
  <si>
    <t>Tous les sites PDI</t>
  </si>
  <si>
    <t>clarifié par l'enqueteur</t>
  </si>
  <si>
    <t>2021-04-06T11:54:31.291+01:00</t>
  </si>
  <si>
    <t>2021-04-06T12:20:30.773+01:00</t>
  </si>
  <si>
    <t>2021-04-06</t>
  </si>
  <si>
    <t>zango_et_pengona</t>
  </si>
  <si>
    <t>58</t>
  </si>
  <si>
    <t>Vols_braquages Autre</t>
  </si>
  <si>
    <t>EEI retrouvé dans un sac à la devanture d'une mosqué de priere ordinaire situee au quartier zongo il y'a 3 mois.la mine a ete retrouvè par les fds sans faire des degats.</t>
  </si>
  <si>
    <t>agression_sexuelle mariage_force travail_force</t>
  </si>
  <si>
    <t>famille_amis Differents_comites_villageois Travailleurs_sociaux/hum</t>
  </si>
  <si>
    <t>Education Services_de_sante Acces_aux_doc Suivi_judiciaire</t>
  </si>
  <si>
    <t>Enfants Bebes/Bambins Filles Femmes Garçons Hommes</t>
  </si>
  <si>
    <t>Appui_psychosocial Services_medicaux Services_educatifs acces_docs service_judiciaire</t>
  </si>
  <si>
    <t>manque_moyens manque_d'information manque_cordination manque_definition</t>
  </si>
  <si>
    <t>Le viol existe dans la population mais aucun cas avec les deplacés internes</t>
  </si>
  <si>
    <t>8362a8f2-dc3a-4d4e-a868-8db308208fe3</t>
  </si>
  <si>
    <t>2021-04-06T16:18:23</t>
  </si>
  <si>
    <t>2021-04-06T15:00:04.480+01:00</t>
  </si>
  <si>
    <t>2021-04-06T15:11:52.592+01:00</t>
  </si>
  <si>
    <t>Vols_braquages</t>
  </si>
  <si>
    <t>agression_sexuelle agression_physique deni_de_ressource agression_psychologique travail_force</t>
  </si>
  <si>
    <t>Enfants Filles Garçons Femmes</t>
  </si>
  <si>
    <t>Radio_television Internet Travailleurs_sociaux/hum</t>
  </si>
  <si>
    <t>Enfants Filles Garçons</t>
  </si>
  <si>
    <t>24</t>
  </si>
  <si>
    <t>Services_medicaux Services_educatifs acces_docs service_judiciaire</t>
  </si>
  <si>
    <t>Psychosocia medical Autre</t>
  </si>
  <si>
    <t>Les ONG qui interviennent à Torodi</t>
  </si>
  <si>
    <t>manque_moyens manque_personnes probleme_orientation insecurite_zone</t>
  </si>
  <si>
    <t>72caaeba-f0dc-4713-8278-f8ddd85e5723</t>
  </si>
  <si>
    <t>2021-04-06T16:18:25</t>
  </si>
  <si>
    <t>2021-04-06T16:01:13.620+01:00</t>
  </si>
  <si>
    <t>2021-04-06T16:12:55.944+01:00</t>
  </si>
  <si>
    <t>Kobagué</t>
  </si>
  <si>
    <t>filingue</t>
  </si>
  <si>
    <t>travail_force</t>
  </si>
  <si>
    <t>Filles Garçons</t>
  </si>
  <si>
    <t>diminution_moyens_existence</t>
  </si>
  <si>
    <t>Integration_com_hote Autre</t>
  </si>
  <si>
    <t>Travaux journaliers</t>
  </si>
  <si>
    <t>Filles Garçons Enfants</t>
  </si>
  <si>
    <t>ne_sait_pas</t>
  </si>
  <si>
    <t>Le site de Torodi se situe à kobagué</t>
  </si>
  <si>
    <t>3102792a-e30c-455c-9273-5afd6e197711</t>
  </si>
  <si>
    <t>2021-04-06T16:18:26</t>
  </si>
  <si>
    <t>2021-04-06T13:55:30.569+01:00</t>
  </si>
  <si>
    <t>2021-04-06T14:37:12.398+01:00</t>
  </si>
  <si>
    <t>sentier</t>
  </si>
  <si>
    <t>tahoua</t>
  </si>
  <si>
    <t>Femmes Garçons Filles Hommes_ages Femmes_agees</t>
  </si>
  <si>
    <t>deni_de_ressource menace enscrimination_acces_services agression_physique</t>
  </si>
  <si>
    <t>Garçons Filles Femmes Hommes Toute_population</t>
  </si>
  <si>
    <t>hausse_chomeurs deterioration_con_abris hausse_nbr_groupes_armees</t>
  </si>
  <si>
    <t>Soutien_chef_village dplct_abords_com Integration_com_hote Soutien_famille_amis Soutien_psychosocial</t>
  </si>
  <si>
    <t>comite_protection femmes_elite famille_accueil comite_alerte comite_gestion_conflits enfant_pairs</t>
  </si>
  <si>
    <t>Radio_television manif_sociales Differents_comites_villageois famille_amis</t>
  </si>
  <si>
    <t>manque_info non_utilisation trop_du_monde</t>
  </si>
  <si>
    <t>Acces_aux_doc Appui_psychosocial Suivi_judiciaire Services_de_sante Education</t>
  </si>
  <si>
    <t>Hommes_ages Femmes_agees Hommes Femmes Toute_population</t>
  </si>
  <si>
    <t>acces_docs service_judiciaire Services_educatifs points_ecoute</t>
  </si>
  <si>
    <t>point_ecoute medical juridique</t>
  </si>
  <si>
    <t>manque_personnes manque_d'information insecurite_zone manque_definition manque_moyens</t>
  </si>
  <si>
    <t>menace_entourage menace_mort message violence_psycho violence_physique suivi</t>
  </si>
  <si>
    <t xml:space="preserve">Merci beaucoup  pour  la considération  et j aimerais  que la paix  règne  dans notre  pays; avec votre soutien  svp priez pour nous! </t>
  </si>
  <si>
    <t>725de734-663a-44dc-be94-08875a93251f</t>
  </si>
  <si>
    <t>2021-04-06T16:19:26</t>
  </si>
  <si>
    <t>2021-04-06T13:53:39.692+01:00</t>
  </si>
  <si>
    <t>2021-04-06T14:15:40.696+01:00</t>
  </si>
  <si>
    <t>makalondi_ville</t>
  </si>
  <si>
    <t>43</t>
  </si>
  <si>
    <t>comite_alerte famille_accueil comite_protection comite_gestion_conflits</t>
  </si>
  <si>
    <t>manif_sociales famille_amis Autre Travailleurs_sociaux/hum</t>
  </si>
  <si>
    <t xml:space="preserve">Téléphone </t>
  </si>
  <si>
    <t>Services_de_sante Acces_aux_doc Appui_psychosocial</t>
  </si>
  <si>
    <t>ef27d705-c50b-4f20-be5e-024bee3b2a34</t>
  </si>
  <si>
    <t>2021-04-06T16:53:21</t>
  </si>
  <si>
    <t>2021-04-06T13:32:35.307+01:00</t>
  </si>
  <si>
    <t>2021-04-06T14:53:03.581+01:00</t>
  </si>
  <si>
    <t>ouallam_pdi</t>
  </si>
  <si>
    <t>Disputes_intercommunataires extorsions Violences_physique_civils</t>
  </si>
  <si>
    <t>travail_force agression_physique</t>
  </si>
  <si>
    <t>Hommes Hommes_ages</t>
  </si>
  <si>
    <t>Aucune riposte contre eux</t>
  </si>
  <si>
    <t>femmes_elite comite_protection comite_gestion_conflits comite_alerte</t>
  </si>
  <si>
    <t>Ecole Internet Radio_television Travailleurs_sociaux/hum Differents_comites_villageois</t>
  </si>
  <si>
    <t>insecurite</t>
  </si>
  <si>
    <t>Femmes Hommes Femmes_agees Hommes_ages</t>
  </si>
  <si>
    <t>20</t>
  </si>
  <si>
    <t>Services_medicaux Services_educatifs Services_conseil acces_docs</t>
  </si>
  <si>
    <t>medical surete Psychosocia</t>
  </si>
  <si>
    <t xml:space="preserve">Avoir une activité pour subvenir a nos besoin et avoir la paix dans notre village pour y retourner </t>
  </si>
  <si>
    <t>48550592-086b-465a-a4f3-e2b981c04fdb</t>
  </si>
  <si>
    <t>2021-04-06T18:27:32</t>
  </si>
  <si>
    <t>2021-04-06T14:53:15.793+01:00</t>
  </si>
  <si>
    <t>2021-04-06T15:41:08.160+01:00</t>
  </si>
  <si>
    <t>Comité acted</t>
  </si>
  <si>
    <t>Disputes_intercommunataires extorsions Violences_physique_civils attaques_engins_explosifs</t>
  </si>
  <si>
    <t>deterioration_con_abris hausse_tensions_intercomm hausse_nbr_groupes_armees</t>
  </si>
  <si>
    <t>femmes_elite comite_protection famille_accueil comite_gestion_conflits</t>
  </si>
  <si>
    <t>Radio_television Internet Chef_village Differents_comites_villageois Groupement_femmes</t>
  </si>
  <si>
    <t>Education Service_de_counseling Services_de_sante Acces_aux_doc</t>
  </si>
  <si>
    <t>non_diminition_tension non_obtention_info</t>
  </si>
  <si>
    <t>Services_medicaux Services_educatifs Appui_psychosocial</t>
  </si>
  <si>
    <t>medical surete</t>
  </si>
  <si>
    <t xml:space="preserve">Nous aider a pouvoir nous retrouver dans la vie,en nous apprenant des activité </t>
  </si>
  <si>
    <t>ab1bf8ee-7d16-420e-b7d2-b0ebaf5203a6</t>
  </si>
  <si>
    <t>2021-04-06T18:27:33</t>
  </si>
  <si>
    <t>2021-04-06T16:09:06.284+01:00</t>
  </si>
  <si>
    <t>2021-04-06T16:56:56.347+01:00</t>
  </si>
  <si>
    <t>ouallam_ref</t>
  </si>
  <si>
    <t>femmes_elite enfant_pairs comite_gestion_conflits comite_protection</t>
  </si>
  <si>
    <t>Services_de_sante Service_de_counseling</t>
  </si>
  <si>
    <t>amelioration_futur</t>
  </si>
  <si>
    <t xml:space="preserve">Ne connait pas l'importance </t>
  </si>
  <si>
    <t>acces_docs Services_conseil Services_educatifs Services_medicaux</t>
  </si>
  <si>
    <t>manque_definition manque_d'information manque_moyens</t>
  </si>
  <si>
    <t xml:space="preserve">C'est avoir une vie paisible,genre subvenir aux besoins et avoir la tranquillité </t>
  </si>
  <si>
    <t>fdc5f96a-5e0e-457b-aac1-055744328877</t>
  </si>
  <si>
    <t>Kobadié</t>
  </si>
  <si>
    <t>erreur de saisie, clarifié par l'enqueteur</t>
  </si>
  <si>
    <t>pas pertinent, erreur de saisie clarifié par l'enqueteur</t>
  </si>
  <si>
    <t>2021-04-07T14:04:06.950+01:00</t>
  </si>
  <si>
    <t>2021-04-07T14:26:03.118+01:00</t>
  </si>
  <si>
    <t>2021-04-07</t>
  </si>
  <si>
    <t>42</t>
  </si>
  <si>
    <t>Garçons</t>
  </si>
  <si>
    <t>diminution_moyens_existence deterioration_acces_service_base</t>
  </si>
  <si>
    <t>comite_protection comite_gestion_conflits comite_alerte</t>
  </si>
  <si>
    <t>Autre Travailleurs_sociaux/hum</t>
  </si>
  <si>
    <t>aucun</t>
  </si>
  <si>
    <t>Appui_psychosocial Services_de_sante Education Acces_aux_doc</t>
  </si>
  <si>
    <t>points_ecoute Services_conseil Services_medicaux</t>
  </si>
  <si>
    <t>point_ecoute medical Psychosocia</t>
  </si>
  <si>
    <t>manque_d'information manque_moyens</t>
  </si>
  <si>
    <t>15efca70-22e4-434f-809d-688e31692d1c</t>
  </si>
  <si>
    <t>2021-04-07T16:30:57</t>
  </si>
  <si>
    <t>2021-04-07T12:45:52.334+01:00</t>
  </si>
  <si>
    <t>2021-04-07T13:27:10.327+01:00</t>
  </si>
  <si>
    <t>tondikiwindi</t>
  </si>
  <si>
    <t>mangaize</t>
  </si>
  <si>
    <t xml:space="preserve">Chef de village </t>
  </si>
  <si>
    <t xml:space="preserve">Ne connais pas l'importance </t>
  </si>
  <si>
    <t>Services_conseil acces_docs</t>
  </si>
  <si>
    <t xml:space="preserve">On veux la paix,manger a sa faim,avoir suffisamment d'eau </t>
  </si>
  <si>
    <t>7e8e3932-526f-4633-8f11-e1ab80d1435f</t>
  </si>
  <si>
    <t>2021-04-07T17:50:16</t>
  </si>
  <si>
    <t>2021-04-07T13:42:06.836+01:00</t>
  </si>
  <si>
    <t>2021-04-07T14:05:56.183+01:00</t>
  </si>
  <si>
    <t>signalement</t>
  </si>
  <si>
    <t>surete point_ecoute</t>
  </si>
  <si>
    <t xml:space="preserve">Paix,sécurité et le reste va venir tels que l'alimentation </t>
  </si>
  <si>
    <t>d5ba87a2-015b-4a2f-95ff-e2f732a967d8</t>
  </si>
  <si>
    <t>2021-04-07T17:50:17</t>
  </si>
  <si>
    <t>2021-04-07T16:08:22.824+01:00</t>
  </si>
  <si>
    <t>2021-04-07T16:57:25.614+01:00</t>
  </si>
  <si>
    <t>gotheye</t>
  </si>
  <si>
    <t>ziguida</t>
  </si>
  <si>
    <t>Des individus qui ressemblent à des suspects nous viennent dans  la nuit .
Et les enfants de la population  hote qui frequentent notre site alors qu'ils n'ont de bon comportement et certains sont meconus meme par nos enfants</t>
  </si>
  <si>
    <t>Hommes Femmes Garçons</t>
  </si>
  <si>
    <t>mariage_force agression_psychologique exploitations_enfant</t>
  </si>
  <si>
    <t>Enfants Filles Garçons Femmes Hommes</t>
  </si>
  <si>
    <t>Se donner aux à  la peche</t>
  </si>
  <si>
    <t>Filles Femmes Hommes</t>
  </si>
  <si>
    <t>9</t>
  </si>
  <si>
    <t>Services_medicaux Services_educatifs Services_conseil service_judiciaire</t>
  </si>
  <si>
    <t>manque_moyens manque_d'information Autre</t>
  </si>
  <si>
    <t>En cas de signalement au niveau des ONG ou service etatique on ne vois rien</t>
  </si>
  <si>
    <t>Le site est un peu eloigné de Ziguida</t>
  </si>
  <si>
    <t>b48626ba-2719-4e73-ae0f-85c7f3c3bac4</t>
  </si>
  <si>
    <t>2021-04-07T17:51:00</t>
  </si>
  <si>
    <t>2021-04-08T11:38:21.316+01:00</t>
  </si>
  <si>
    <t>2021-04-08T12:24:14.792+01:00</t>
  </si>
  <si>
    <t>2021-04-08</t>
  </si>
  <si>
    <t>diney_baba_kouara</t>
  </si>
  <si>
    <t>60</t>
  </si>
  <si>
    <t>femmes_elite comite_gestion_conflits comite_protection</t>
  </si>
  <si>
    <t xml:space="preserve">Par ignorance </t>
  </si>
  <si>
    <t>103</t>
  </si>
  <si>
    <t>acces_docs</t>
  </si>
  <si>
    <t>signalement Autre</t>
  </si>
  <si>
    <t>surete</t>
  </si>
  <si>
    <t xml:space="preserve">Avoir a manger et de l'eau c'est largement suffisant </t>
  </si>
  <si>
    <t>0f201dbd-3829-4257-8465-475cfc00abbe</t>
  </si>
  <si>
    <t>2021-04-08T14:13:02</t>
  </si>
  <si>
    <t>2021-04-08T11:34:03.455+01:00</t>
  </si>
  <si>
    <t>2021-04-08T13:16:43.562+01:00</t>
  </si>
  <si>
    <t>travail_force menace</t>
  </si>
  <si>
    <t>Garçons Filles Femmes Hommes</t>
  </si>
  <si>
    <t>Appel telephonique</t>
  </si>
  <si>
    <t>Filles Garçons Femmes</t>
  </si>
  <si>
    <t>Services_medicaux Services_educatifs Services_conseil acces_docs service_judiciaire</t>
  </si>
  <si>
    <t>reorientation Autre</t>
  </si>
  <si>
    <t>On collecte de l'argent entre pour le soin</t>
  </si>
  <si>
    <t>manque_moyens manque_personnes manque_d'information probleme_orientation Autre</t>
  </si>
  <si>
    <t>Eloignement de certains services</t>
  </si>
  <si>
    <t>pb_logistiques</t>
  </si>
  <si>
    <t>Les menaces de morts par appels</t>
  </si>
  <si>
    <t>1c3df705-6e3b-4977-b779-224b3dbb8057</t>
  </si>
  <si>
    <t>2021-04-08T15:25:18</t>
  </si>
  <si>
    <t>2021-04-08T12:12:15.346+01:00</t>
  </si>
  <si>
    <t>2021-04-08T12:45:10.105+01:00</t>
  </si>
  <si>
    <t>38</t>
  </si>
  <si>
    <t>Informateur clé</t>
  </si>
  <si>
    <t>Travail journalier</t>
  </si>
  <si>
    <t>Services_de_sante Education Autre</t>
  </si>
  <si>
    <t>Medicaments de la rue</t>
  </si>
  <si>
    <t xml:space="preserve">Manque de moyen </t>
  </si>
  <si>
    <t>manque_moyens manque_d'information</t>
  </si>
  <si>
    <t>menace_enlevement violence_physique menace_mort</t>
  </si>
  <si>
    <t>Les menaces de mort se font par appel pour demander au chef de collecter la zakkat si non ils vont venir l'enlever et le tuer</t>
  </si>
  <si>
    <t>1e4810db-1d3c-401d-b644-e5dd0d4ca521</t>
  </si>
  <si>
    <t>2021-04-08T15:25:20</t>
  </si>
  <si>
    <t>2021-04-08T16:08:54.852+01:00</t>
  </si>
  <si>
    <t>2021-04-08T16:50:30.144+01:00</t>
  </si>
  <si>
    <t>comite_gestion_conflits femmes_elite</t>
  </si>
  <si>
    <t xml:space="preserve">Représentant </t>
  </si>
  <si>
    <t xml:space="preserve">Ne vois pas l'importance </t>
  </si>
  <si>
    <t>Services_conseil points_ecoute</t>
  </si>
  <si>
    <t xml:space="preserve">Représentant du village </t>
  </si>
  <si>
    <t xml:space="preserve">On veux que nôtre situation s'améliore,en ayant un système de santé et que la paix continue régner dans nos vies </t>
  </si>
  <si>
    <t>f3de914f-450a-4b12-8fe5-8d968cc0c934</t>
  </si>
  <si>
    <t>2021-04-08T15:57:32</t>
  </si>
  <si>
    <t>2021-04-08T12:24:26.599+01:00</t>
  </si>
  <si>
    <t>2021-04-08T12:56:01.524+01:00</t>
  </si>
  <si>
    <t>amelioration_futur permet_eviter_conflits</t>
  </si>
  <si>
    <t xml:space="preserve">Ils n'ont pas d'information et négligence </t>
  </si>
  <si>
    <t>acces_docs points_ecoute</t>
  </si>
  <si>
    <t>point_ecoute surete</t>
  </si>
  <si>
    <t>Être heureux,avoir l'accès aux services de base</t>
  </si>
  <si>
    <t>cd124284-5b82-4317-b34e-7c1f127b64ca</t>
  </si>
  <si>
    <t>2021-04-09T08:42:55</t>
  </si>
  <si>
    <t>2021-04-08T13:58:51.231+01:00</t>
  </si>
  <si>
    <t>2021-04-08T14:32:40.075+01:00</t>
  </si>
  <si>
    <t xml:space="preserve">Manque d'information </t>
  </si>
  <si>
    <t xml:space="preserve">Manger a sa faim,la santé,s'habiller et avoir de l'eau </t>
  </si>
  <si>
    <t>d755a6c7-c370-401e-8246-e0f206b8d833</t>
  </si>
  <si>
    <t>2021-04-09T08:43:00</t>
  </si>
  <si>
    <t>2021-04-08T14:33:28.425+01:00</t>
  </si>
  <si>
    <t>2021-04-08T15:07:08.603+01:00</t>
  </si>
  <si>
    <t>Avoir vraiment la paix et retourner chez nous,c'est ca nôtre plus grand souhait</t>
  </si>
  <si>
    <t>5f657c67-54a6-4b6c-acf6-9e0d817daced</t>
  </si>
  <si>
    <t>2021-04-09T08:43:01</t>
  </si>
  <si>
    <t>pas pertinent</t>
  </si>
  <si>
    <t/>
  </si>
  <si>
    <t>Leader des femmes</t>
  </si>
  <si>
    <t>comme clarifié par l'enqueteur</t>
  </si>
  <si>
    <t>2021-04-08T19:34:32.483+01:00</t>
  </si>
  <si>
    <t>2021-04-08T19:51:31.225+01:00</t>
  </si>
  <si>
    <t>comite_protection famille_accueil comite_alerte</t>
  </si>
  <si>
    <t>famille_amis manif_sociales Travailleurs_sociaux/hum Autre</t>
  </si>
  <si>
    <t>Services_educatifs</t>
  </si>
  <si>
    <t>point_ecoute Autre</t>
  </si>
  <si>
    <t xml:space="preserve">Inscription dans une école </t>
  </si>
  <si>
    <t>faceac5d-8ffc-4266-97a1-2f2498fdf6e1</t>
  </si>
  <si>
    <t>2021-04-09T17:45:15</t>
  </si>
  <si>
    <t>2021-04-09T10:29:24.045+01:00</t>
  </si>
  <si>
    <t>2021-04-09T11:37:36.900+01:00</t>
  </si>
  <si>
    <t>2021-04-09</t>
  </si>
  <si>
    <t>COORDINATEUR TERRAIN MSF</t>
  </si>
  <si>
    <t>famille_amis manif_sociales</t>
  </si>
  <si>
    <t>Appui_psychosocial Services_de_sante</t>
  </si>
  <si>
    <t>Appui_psychosocial Services_medicaux</t>
  </si>
  <si>
    <t>Psychosocia medical</t>
  </si>
  <si>
    <t>22d851ed-0410-42cb-b671-52cd662a2d61</t>
  </si>
  <si>
    <t>2021-04-09T17:50:05</t>
  </si>
  <si>
    <t>2021-04-09T10:31:29.990+01:00</t>
  </si>
  <si>
    <t>2021-04-09T11:55:51.514+01:00</t>
  </si>
  <si>
    <t>famille_accueil comite_redevabilite comite_gestion_conflits comite_protection</t>
  </si>
  <si>
    <t>Appui_psychosocial Education Services_de_sante Acces_aux_doc</t>
  </si>
  <si>
    <t>non_obtention_info</t>
  </si>
  <si>
    <t>gvt fds_arme autorite_locale_leaders</t>
  </si>
  <si>
    <t>Appui_psychosocial Services_medicaux Services_conseil</t>
  </si>
  <si>
    <t>medical surete point_ecoute</t>
  </si>
  <si>
    <t>insecurite_zone manque_moyens probleme_orientation</t>
  </si>
  <si>
    <t>e4637649-0063-4a76-9787-dc8b6a13cd2f</t>
  </si>
  <si>
    <t>2021-04-09T17:50:55</t>
  </si>
  <si>
    <t>erreur de saisie de l'enqueteur</t>
  </si>
  <si>
    <t>Travailleur humanitaire</t>
  </si>
  <si>
    <t>rectifié selon le role</t>
  </si>
  <si>
    <t>comme spécifié</t>
  </si>
  <si>
    <t>Tous les sites PDI de la zone</t>
  </si>
  <si>
    <t>erreur de saisie de l'enqueteur, car la localité indiqué correspond à un quartier du site PDI de Ayerou</t>
  </si>
  <si>
    <t>erreur de l'enqueteur, la localité correspond à un quartier du site PDI de Ayerou</t>
  </si>
  <si>
    <t>à clarifer</t>
  </si>
  <si>
    <t>comme spécifié dans autre</t>
  </si>
  <si>
    <t>pris en compte</t>
  </si>
  <si>
    <t>Vols_braquages Disputes_intercommunataires</t>
  </si>
  <si>
    <t>autre pris en compte</t>
  </si>
  <si>
    <t>Vols_braquages attaques_engins_explosifs</t>
  </si>
  <si>
    <t>à clarifier</t>
  </si>
  <si>
    <t>agression_physique mariage_force agression_sexuelle</t>
  </si>
  <si>
    <t>pas pertinent, et option amis/famille déjà cohé</t>
  </si>
  <si>
    <t>pas pertinent et option amis/famille déjà coché</t>
  </si>
  <si>
    <t>famille_amis manif_sociales Travailleurs_sociaux/hum</t>
  </si>
  <si>
    <t>rectification autre</t>
  </si>
  <si>
    <t>manif_sociales famille_amis Travailleurs_sociaux/hum</t>
  </si>
  <si>
    <t>comme spécifié dans autre (appel téléphonique)</t>
  </si>
  <si>
    <t>répétition</t>
  </si>
  <si>
    <t>doublon, pas necessaire</t>
  </si>
  <si>
    <t>doublon pas necessaire</t>
  </si>
  <si>
    <t>option déjà présente et coché</t>
  </si>
  <si>
    <t>manque_moyens manque_d'information probleme_orientation manque_cordination</t>
  </si>
  <si>
    <t>localité autre prise en compte</t>
  </si>
  <si>
    <t>2021-04-15T16:03:04.354+01:00</t>
  </si>
  <si>
    <t>2021-04-15T16:26:47.281+01:00</t>
  </si>
  <si>
    <t>2021-04-15</t>
  </si>
  <si>
    <t>Vols_braquages extorsions</t>
  </si>
  <si>
    <t>Filles Femmes Garçons Hommes</t>
  </si>
  <si>
    <t>agression_physique deni_de_ressource mariage_force menace</t>
  </si>
  <si>
    <t>Hommes Femmes Garçons Filles Enfants</t>
  </si>
  <si>
    <t>deterioration_acces_service_base hausse_nbr_groupes_armees hausse_dis_services_base</t>
  </si>
  <si>
    <t>Integration_com_hote dplct_abords_com Soutien_chef_village</t>
  </si>
  <si>
    <t>famille_accueil Autre</t>
  </si>
  <si>
    <t xml:space="preserve">Comité des chef de village </t>
  </si>
  <si>
    <t>Chef_village famille_amis Leaders_religieux</t>
  </si>
  <si>
    <t>manque_moyens manque_d'information probleme_orientation</t>
  </si>
  <si>
    <t>pb_secu Autre</t>
  </si>
  <si>
    <t>Manque des moyens pour la prise en charges</t>
  </si>
  <si>
    <t>menace_mort</t>
  </si>
  <si>
    <t xml:space="preserve">Les population ont peur d'etre avec des bandits qui les rendent visite avec des armes et devant les femmes et les enfants. </t>
  </si>
  <si>
    <t>34bb6d37-095f-4f42-92d1-c4d0ea553196</t>
  </si>
  <si>
    <t>2021-04-15T16:32:47</t>
  </si>
  <si>
    <t>2021-04-15T16:46:11.935+01:00</t>
  </si>
  <si>
    <t>2021-04-15T17:28:26.345+01:00</t>
  </si>
  <si>
    <t>agression_physique deni_de_ressource mariage_force menace Autre</t>
  </si>
  <si>
    <t>Circulation des bandits avec des armes</t>
  </si>
  <si>
    <t>deterioration_acces_service_base diminution_moyens_existence</t>
  </si>
  <si>
    <t>Integration_com_hote Soutien_chef_village</t>
  </si>
  <si>
    <t>ong_locale</t>
  </si>
  <si>
    <t>16</t>
  </si>
  <si>
    <t>menace_entourage</t>
  </si>
  <si>
    <t>42d263a9-6476-4ee6-96d0-fabbc1ffcf9e</t>
  </si>
  <si>
    <t>2021-04-15T14:36:25.820+01:00</t>
  </si>
  <si>
    <t>2021-04-15T15:13:39.718+01:00</t>
  </si>
  <si>
    <t>Kobadjé</t>
  </si>
  <si>
    <t>dplct_abords_com Integration_com_hote Soutien_en_AGR</t>
  </si>
  <si>
    <t>Radio_television famille_amis Groupement_femmes</t>
  </si>
  <si>
    <t>Services_medicaux Services_educatifs centres_formation reinsertion</t>
  </si>
  <si>
    <t>medical reinsertion centre_formation Psychosocia</t>
  </si>
  <si>
    <t>0d68c4d2-8eb9-4e1a-90c2-5b734954eb98</t>
  </si>
  <si>
    <t>2021-04-15T18:50:11</t>
  </si>
  <si>
    <t>2021-04-16T09:18:49.356+01:00</t>
  </si>
  <si>
    <t>2021-04-16T10:40:20.601+01:00</t>
  </si>
  <si>
    <t>2021-04-16</t>
  </si>
  <si>
    <t>juridique surete</t>
  </si>
  <si>
    <t>menace_entourage menace_enlevement violence_physique</t>
  </si>
  <si>
    <t>Sensibilisation sur l'accès aux services de protection par les femmes et sur la consommation de drogues et autres stupéfiants par les jeunes sur le site</t>
  </si>
  <si>
    <t>cb862c3a-2f65-4012-a589-4822ae7d753b</t>
  </si>
  <si>
    <t>2021-04-16T11:53:00</t>
  </si>
  <si>
    <t>2021-04-16T10:50:10.170+01:00</t>
  </si>
  <si>
    <t>2021-04-16T11:16:23.863+01:00</t>
  </si>
  <si>
    <t>21</t>
  </si>
  <si>
    <t>juridique</t>
  </si>
  <si>
    <t>Pas de problèmes  majeurs liés à la sécurité</t>
  </si>
  <si>
    <t>59f44817-3708-4968-9688-e9c008862d84</t>
  </si>
  <si>
    <t>2021-04-16T11:53:01</t>
  </si>
  <si>
    <t>2021-04-16T09:20:01.666+01:00</t>
  </si>
  <si>
    <t>2021-04-16T09:57:13.300+01:00</t>
  </si>
  <si>
    <t>Fala</t>
  </si>
  <si>
    <t>Soutien_famille_amis Soutien_chef_village</t>
  </si>
  <si>
    <t>Chef_village Leaders_religieux Differents_comites_villageois</t>
  </si>
  <si>
    <t>non_diminition_tension</t>
  </si>
  <si>
    <t>85</t>
  </si>
  <si>
    <t>medical juridique reinsertion surete Psychosocia</t>
  </si>
  <si>
    <t>60625aaf-f58c-4940-86f6-874af488d0d6</t>
  </si>
  <si>
    <t>2021-04-16T16:05:48</t>
  </si>
  <si>
    <t>2021-04-16T11:25:21.284+01:00</t>
  </si>
  <si>
    <t>2021-04-16T12:02:13.666+01:00</t>
  </si>
  <si>
    <t>Vols_braquages Violences_physique_civils Attaques_ecoles_sante</t>
  </si>
  <si>
    <t>Femmes_agees Hommes Femmes Garçons Hommes_ages</t>
  </si>
  <si>
    <t>deterioration_acces_service_base diminution_moyens_existence hausse_nbr_groupes_armees</t>
  </si>
  <si>
    <t>Soutien_famille_amis Soutien_chef_village Integration_com_hote</t>
  </si>
  <si>
    <t>Radio_television Chef_village Leaders_religieux famille_amis</t>
  </si>
  <si>
    <t>repond_besoins_pop permet_obtenir_conseils</t>
  </si>
  <si>
    <t>ingo fds_arme gvt</t>
  </si>
  <si>
    <t>Filles Garçons Femmes Femmes_agees handicap_physique</t>
  </si>
  <si>
    <t>100</t>
  </si>
  <si>
    <t>Appui_psychosocial Services_medicaux Services_conseil acces_docs</t>
  </si>
  <si>
    <t>36016775-8b32-4563-b0aa-31f0c9e19495</t>
  </si>
  <si>
    <t>2021-04-16T16:05:52</t>
  </si>
  <si>
    <t>2021-04-16T08:50:58.366+01:00</t>
  </si>
  <si>
    <t>2021-04-16T09:35:42.063+01:00</t>
  </si>
  <si>
    <t>Wilit Amanass</t>
  </si>
  <si>
    <t>Radio_television Internet Differents_comites_villageois Chef_village</t>
  </si>
  <si>
    <t>repond_besoins_pop diminution_tensions amelioration_futur</t>
  </si>
  <si>
    <t>Services_medicaux acces_docs service_judiciaire points_ecoute</t>
  </si>
  <si>
    <t>f7fb0afa-f30b-4d64-80bc-b8350cfd417a</t>
  </si>
  <si>
    <t>2021-04-16T16:12:05</t>
  </si>
  <si>
    <t>2021-04-16T12:19:40.239+01:00</t>
  </si>
  <si>
    <t>2021-04-16T13:00:54.109+01:00</t>
  </si>
  <si>
    <t>62</t>
  </si>
  <si>
    <t>Integration_com_hote Soutien_chef_village Soutien_famille_amis</t>
  </si>
  <si>
    <t>comite_protection comite_gestion_conflits famille_accueil</t>
  </si>
  <si>
    <t>Internet Chef_village Differents_comites_villageois</t>
  </si>
  <si>
    <t>Services_de_sante Acces_aux_doc</t>
  </si>
  <si>
    <t>ne_contribue_pas non_diminition_tension ne_repond_pas</t>
  </si>
  <si>
    <t>Services_medicaux Services_educatifs acces_docs points_ecoute service_judiciaire</t>
  </si>
  <si>
    <t>signalement prise_enchage reorientation</t>
  </si>
  <si>
    <t>784c850a-6d0f-48e6-8cf0-97fc2af13ad5</t>
  </si>
  <si>
    <t>2021-04-16T16:12:07</t>
  </si>
  <si>
    <t>2021-04-16T16:04:17.242+01:00</t>
  </si>
  <si>
    <t>2021-04-16T16:23:40.958+01:00</t>
  </si>
  <si>
    <t>comite_protection comite_gestion_conflits femmes_elite</t>
  </si>
  <si>
    <t>Internet Radio_television Chef_village</t>
  </si>
  <si>
    <t>aae4d7a2-79eb-4ce9-a93b-6a42e2a5b220</t>
  </si>
  <si>
    <t>2021-04-16T16:12:08</t>
  </si>
  <si>
    <t>tingou_kado</t>
  </si>
  <si>
    <t>comme clarifié par l'enquêteur</t>
  </si>
  <si>
    <t>waraw</t>
  </si>
  <si>
    <t>la localité saisie dans autre s'agissant d'un quartier du site PDI de Ayerou</t>
  </si>
  <si>
    <t>car illogique par rapport aux réponses précédents (erreur de SL dans le questionnaire)</t>
  </si>
  <si>
    <t>start_to_exit</t>
  </si>
  <si>
    <t>time_on_questions</t>
  </si>
  <si>
    <t>time_on_filterd_questions</t>
  </si>
  <si>
    <t>jump</t>
  </si>
  <si>
    <t>endscreen</t>
  </si>
  <si>
    <t>formsave</t>
  </si>
  <si>
    <t>formexit</t>
  </si>
  <si>
    <t>formresume</t>
  </si>
  <si>
    <t>formfinalize</t>
  </si>
  <si>
    <t>saveerror</t>
  </si>
  <si>
    <t>CHECK_time_on_questions</t>
  </si>
  <si>
    <t>CHECK_time_on:filtered_questions</t>
  </si>
  <si>
    <t>Choisir pas de mécanisme</t>
  </si>
  <si>
    <t>clarifié par l'IC, pris en compte</t>
  </si>
  <si>
    <t>rectification autre, comme clarifié par l'IC</t>
  </si>
  <si>
    <t>comme clarifié par l'IC, pris en compte</t>
  </si>
  <si>
    <t>rectification autre, selon le retour de l'IC</t>
  </si>
  <si>
    <t>Choisir chef de village/communauté. Selon l'enquêteur c'est le representant de ce dernier qui se charge de cette communication</t>
  </si>
  <si>
    <t>comme clarifié par l'IC</t>
  </si>
  <si>
    <t>Manque de moyen de la population pour accéder aux voies de référencement</t>
  </si>
  <si>
    <t>Ces personnes n'ont aucune information sur les voies de référencement</t>
  </si>
  <si>
    <t>Manque d'information relatives à l'utilité meme des voies de referencement</t>
  </si>
  <si>
    <t>n'ont aucune information sur les voies de référencement</t>
  </si>
  <si>
    <t>Difficulté d'accès aux services pour manque de moyens financiers</t>
  </si>
  <si>
    <t>Difficulté d'accès aux services pour manque d'informations</t>
  </si>
  <si>
    <t>Harmonisation autre, sur la base des retours des IC</t>
  </si>
  <si>
    <t>nb_questions</t>
  </si>
  <si>
    <t>CHECK_nombre_questions</t>
  </si>
  <si>
    <t>CHECK_nombre_cellules_vides</t>
  </si>
  <si>
    <t>Extorsion de biens, prélèvement forcé de la zakat</t>
  </si>
  <si>
    <t>extorsions</t>
  </si>
  <si>
    <t>comme clarifié par l'enqueteur, pris en compte</t>
  </si>
  <si>
    <t>supprimé car pas logique, manque de voies de référencement dans le site (logical check)</t>
  </si>
  <si>
    <t>l'IC n'ayant pas de role spécifiqué dans les mécanismes de référencement, il a été jugé prudent ne pas prendre en compte les réponses dans cette partie (logical check)</t>
  </si>
  <si>
    <t>NA</t>
  </si>
  <si>
    <t>Absence de données pour erreur dans les contraints du questionnaire (logical check)</t>
  </si>
  <si>
    <t>harmonisation</t>
  </si>
  <si>
    <t>All</t>
  </si>
  <si>
    <t>Form deleted</t>
  </si>
  <si>
    <t>Durée insuffisante de l'enquète (check Audit en fonction du "time_on_filtered_questions" et "nombre_questions" posées)</t>
  </si>
  <si>
    <t>clarifié par l'enqueteur, l'IC ayant confirmé les réponses données concernent l'ensemble des sites de la zone</t>
  </si>
  <si>
    <t>pas logique, erreur de SL dans le tool KOBO</t>
  </si>
  <si>
    <t>Outil (cf. TdR)</t>
  </si>
  <si>
    <t xml:space="preserve">Outil structuré de collecte de données # 3 (Mécanismes de référencement)
</t>
  </si>
  <si>
    <t>Note</t>
  </si>
  <si>
    <t>Cible</t>
  </si>
  <si>
    <r>
      <rPr>
        <b/>
        <sz val="11"/>
        <color theme="1"/>
        <rFont val="Calibri"/>
        <family val="2"/>
        <scheme val="minor"/>
      </rPr>
      <t>Résultats de la collecte de données</t>
    </r>
    <r>
      <rPr>
        <sz val="11"/>
        <color theme="1"/>
        <rFont val="Calibri"/>
        <family val="2"/>
        <scheme val="minor"/>
      </rPr>
      <t xml:space="preserve">
</t>
    </r>
  </si>
  <si>
    <t xml:space="preserve">Des entretiens auprès d'IC travaillant sur les mécanismes de référencement ont été réalisés, afin d’obtenir des informations spécifiques sur la fonctionnalité de ces mécanismes. </t>
  </si>
  <si>
    <t>100 entretiens au maximum : 10 entretiens au maximum pour chaque département (admin 2)</t>
  </si>
  <si>
    <t>Tous les sites PDI de la zone de compétence de l'IC</t>
  </si>
  <si>
    <t>code enqueteurs</t>
  </si>
  <si>
    <t>A</t>
  </si>
  <si>
    <t>B</t>
  </si>
  <si>
    <t>G</t>
  </si>
  <si>
    <t>L</t>
  </si>
  <si>
    <t>C</t>
  </si>
  <si>
    <t>D</t>
  </si>
  <si>
    <t>E</t>
  </si>
  <si>
    <t>F</t>
  </si>
  <si>
    <t>H</t>
  </si>
  <si>
    <t>I</t>
  </si>
  <si>
    <t>J</t>
  </si>
  <si>
    <t>K</t>
  </si>
  <si>
    <t>M</t>
  </si>
  <si>
    <t>O</t>
  </si>
  <si>
    <t>P</t>
  </si>
  <si>
    <t>Q</t>
  </si>
  <si>
    <t>CHECK_code enqueteurs</t>
  </si>
  <si>
    <t>CHECK_code_enqueteurs</t>
  </si>
  <si>
    <t>68 entretiens dans les 10 départements. A noter l'existence de sites "autre", a cause du fait que certains IC ont répondu par rapport à l'ensemble des sites se trouvant dans leur zone de compétence.</t>
  </si>
  <si>
    <t>probleme_structure_ref/manque_information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</si>
</sst>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1"/>
      <color theme="1"/>
      <name val="Calibri"/>
      <family val="2"/>
      <scheme val="minor"/>
    </font>
    <font>
      <b/>
      <sz val="11"/>
      <color theme="0"/>
      <name val="Calibri"/>
      <family val="2"/>
      <scheme val="minor"/>
    </font>
    <font>
      <b/>
      <sz val="11"/>
      <color theme="1"/>
      <name val="Arial Narrow"/>
      <family val="2"/>
    </font>
    <font>
      <i/>
      <sz val="11"/>
      <color theme="1"/>
      <name val="Calibri"/>
      <family val="2"/>
      <scheme val="minor"/>
    </font>
  </fonts>
  <fills count="10">
    <fill>
      <patternFill patternType="none"/>
    </fill>
    <fill>
      <patternFill patternType="gray125"/>
    </fill>
    <fill>
      <patternFill patternType="solid">
        <fgColor rgb="FFEE5859"/>
        <bgColor indexed="64"/>
      </patternFill>
    </fill>
    <fill>
      <patternFill patternType="solid">
        <fgColor rgb="FF538DD5"/>
        <bgColor indexed="64"/>
      </patternFill>
    </fill>
    <fill>
      <patternFill patternType="solid">
        <fgColor rgb="FFFF0000"/>
        <bgColor indexed="64"/>
      </patternFill>
    </fill>
    <fill>
      <patternFill patternType="solid">
        <fgColor rgb="FFF5F67A"/>
        <bgColor indexed="64"/>
      </patternFill>
    </fill>
    <fill>
      <patternFill patternType="solid">
        <fgColor theme="9" tint="0.39997558519241921"/>
        <bgColor indexed="64"/>
      </patternFill>
    </fill>
    <fill>
      <patternFill patternType="solid">
        <fgColor rgb="FFFFFF00"/>
        <bgColor indexed="64"/>
      </patternFill>
    </fill>
    <fill>
      <patternFill patternType="solid">
        <fgColor rgb="FFD1D3D4"/>
        <bgColor indexed="64"/>
      </patternFill>
    </fill>
    <fill>
      <patternFill patternType="solid">
        <fgColor rgb="FF95A0A9"/>
        <bgColor indexed="64"/>
      </patternFill>
    </fill>
  </fills>
  <borders count="13">
    <border>
      <left/>
      <right/>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auto="1"/>
      </left>
      <right style="thin">
        <color indexed="64"/>
      </right>
      <top style="medium">
        <color indexed="64"/>
      </top>
      <bottom/>
      <diagonal/>
    </border>
    <border>
      <left style="thin">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58">
    <xf numFmtId="0" fontId="0" fillId="0" borderId="0" xfId="0"/>
    <xf numFmtId="0" fontId="0" fillId="0" borderId="0" xfId="0" applyFont="1"/>
    <xf numFmtId="0" fontId="0" fillId="0" borderId="0" xfId="0"/>
    <xf numFmtId="0" fontId="0" fillId="0" borderId="0" xfId="0" applyAlignment="1">
      <alignment horizontal="center" vertical="center"/>
    </xf>
    <xf numFmtId="0" fontId="1" fillId="0" borderId="0" xfId="0" applyFont="1" applyAlignment="1">
      <alignment horizontal="center" vertical="top"/>
    </xf>
    <xf numFmtId="0" fontId="0" fillId="3" borderId="0" xfId="0" applyFill="1"/>
    <xf numFmtId="0" fontId="1" fillId="0" borderId="0" xfId="0" applyFont="1"/>
    <xf numFmtId="0" fontId="0" fillId="0" borderId="0" xfId="0" applyAlignment="1">
      <alignment horizontal="center"/>
    </xf>
    <xf numFmtId="0" fontId="0" fillId="4" borderId="0" xfId="0" applyFill="1"/>
    <xf numFmtId="0" fontId="1" fillId="0" borderId="0" xfId="0" applyFont="1" applyAlignment="1">
      <alignment vertical="top"/>
    </xf>
    <xf numFmtId="0" fontId="1" fillId="0" borderId="0" xfId="0" applyFont="1" applyAlignment="1">
      <alignment horizontal="left"/>
    </xf>
    <xf numFmtId="0" fontId="0" fillId="5" borderId="0" xfId="0" applyFill="1"/>
    <xf numFmtId="0" fontId="0" fillId="6" borderId="0" xfId="0" applyFill="1"/>
    <xf numFmtId="0" fontId="0" fillId="0" borderId="0" xfId="0" applyFont="1" applyAlignment="1">
      <alignment horizontal="center" vertical="center"/>
    </xf>
    <xf numFmtId="0" fontId="4" fillId="0" borderId="0" xfId="0" applyFont="1" applyFill="1" applyAlignment="1">
      <alignment horizontal="left"/>
    </xf>
    <xf numFmtId="0" fontId="0" fillId="0" borderId="0" xfId="0" applyFill="1" applyAlignment="1">
      <alignment horizontal="left"/>
    </xf>
    <xf numFmtId="0" fontId="0" fillId="0" borderId="0" xfId="0" applyFont="1" applyProtection="1"/>
    <xf numFmtId="0" fontId="2" fillId="2" borderId="2" xfId="0" applyFont="1" applyFill="1" applyBorder="1" applyAlignment="1" applyProtection="1">
      <alignment horizontal="left"/>
    </xf>
    <xf numFmtId="0" fontId="2" fillId="2" borderId="1" xfId="0" applyFont="1" applyFill="1" applyBorder="1" applyAlignment="1" applyProtection="1">
      <alignment horizontal="left" wrapText="1"/>
    </xf>
    <xf numFmtId="0" fontId="2" fillId="2" borderId="5" xfId="0" applyFont="1" applyFill="1" applyBorder="1" applyAlignment="1" applyProtection="1">
      <alignment wrapText="1"/>
    </xf>
    <xf numFmtId="0" fontId="2" fillId="2" borderId="6" xfId="0" applyFont="1" applyFill="1" applyBorder="1" applyAlignment="1" applyProtection="1">
      <alignment wrapText="1"/>
    </xf>
    <xf numFmtId="0" fontId="2" fillId="2" borderId="7" xfId="0" applyFont="1" applyFill="1" applyBorder="1" applyAlignment="1" applyProtection="1">
      <alignment wrapText="1"/>
    </xf>
    <xf numFmtId="0" fontId="2" fillId="2" borderId="8" xfId="0" applyFont="1" applyFill="1" applyBorder="1" applyAlignment="1" applyProtection="1">
      <alignment wrapText="1"/>
    </xf>
    <xf numFmtId="0" fontId="2" fillId="2" borderId="9" xfId="0" applyFont="1" applyFill="1" applyBorder="1" applyAlignment="1" applyProtection="1">
      <alignment horizontal="left"/>
    </xf>
    <xf numFmtId="0" fontId="2" fillId="2" borderId="4" xfId="0" applyFont="1" applyFill="1" applyBorder="1" applyAlignment="1" applyProtection="1">
      <alignment wrapText="1"/>
    </xf>
    <xf numFmtId="0" fontId="2" fillId="2" borderId="10" xfId="0" applyFont="1" applyFill="1" applyBorder="1" applyAlignment="1" applyProtection="1">
      <alignment wrapText="1"/>
    </xf>
    <xf numFmtId="0" fontId="4" fillId="8" borderId="0" xfId="0" applyFont="1" applyFill="1" applyAlignment="1">
      <alignment horizontal="left"/>
    </xf>
    <xf numFmtId="0" fontId="1" fillId="9" borderId="0" xfId="0" applyFont="1" applyFill="1" applyAlignment="1">
      <alignment horizontal="left"/>
    </xf>
    <xf numFmtId="0" fontId="1" fillId="7" borderId="0" xfId="0" applyFont="1" applyFill="1" applyAlignment="1">
      <alignment horizontal="left"/>
    </xf>
    <xf numFmtId="0" fontId="4" fillId="7" borderId="0" xfId="0" applyFont="1" applyFill="1" applyAlignment="1">
      <alignment horizontal="left"/>
    </xf>
    <xf numFmtId="22" fontId="4" fillId="7" borderId="0" xfId="0" applyNumberFormat="1" applyFont="1" applyFill="1" applyAlignment="1">
      <alignment horizontal="left"/>
    </xf>
    <xf numFmtId="0" fontId="0" fillId="3" borderId="0" xfId="0" applyFill="1" applyAlignment="1">
      <alignment horizontal="left"/>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0" fillId="0" borderId="0" xfId="0" applyFont="1" applyAlignment="1">
      <alignment wrapText="1"/>
    </xf>
    <xf numFmtId="0" fontId="1" fillId="0" borderId="0" xfId="0" applyFont="1" applyAlignment="1">
      <alignment horizontal="center"/>
    </xf>
    <xf numFmtId="0" fontId="1" fillId="0" borderId="0" xfId="0" applyFont="1" applyAlignment="1">
      <alignment horizontal="center"/>
    </xf>
    <xf numFmtId="0" fontId="0" fillId="0" borderId="0" xfId="0" applyFont="1" applyFill="1" applyBorder="1" applyAlignment="1">
      <alignment wrapText="1"/>
    </xf>
    <xf numFmtId="0" fontId="1" fillId="7" borderId="0" xfId="0" applyFont="1" applyFill="1" applyAlignment="1">
      <alignment vertical="top"/>
    </xf>
    <xf numFmtId="0" fontId="1" fillId="0" borderId="0" xfId="0" applyFont="1" applyFill="1" applyAlignment="1">
      <alignment horizontal="left" vertical="top" wrapText="1"/>
    </xf>
    <xf numFmtId="0" fontId="1" fillId="0" borderId="0" xfId="0" applyFont="1" applyAlignment="1">
      <alignment vertical="top" wrapText="1"/>
    </xf>
    <xf numFmtId="0" fontId="0" fillId="0" borderId="0" xfId="0" applyAlignment="1">
      <alignment vertical="top" wrapText="1"/>
    </xf>
    <xf numFmtId="0" fontId="1" fillId="7" borderId="0" xfId="0" applyFont="1" applyFill="1" applyAlignment="1">
      <alignment vertical="top" wrapText="1"/>
    </xf>
    <xf numFmtId="0" fontId="0" fillId="0" borderId="0" xfId="0" applyAlignment="1">
      <alignment horizontal="left" vertical="top" wrapText="1"/>
    </xf>
    <xf numFmtId="0" fontId="3" fillId="2" borderId="0" xfId="0" applyFont="1" applyFill="1" applyAlignment="1">
      <alignment horizontal="center"/>
    </xf>
    <xf numFmtId="0" fontId="0" fillId="0" borderId="0" xfId="0" applyAlignment="1"/>
    <xf numFmtId="0" fontId="1" fillId="0" borderId="0" xfId="0" applyFont="1" applyAlignment="1">
      <alignment horizontal="left" vertical="top"/>
    </xf>
    <xf numFmtId="0" fontId="0" fillId="0" borderId="0" xfId="0" applyFont="1" applyAlignment="1">
      <alignment horizontal="center" vertical="center"/>
    </xf>
    <xf numFmtId="0" fontId="1" fillId="0" borderId="0" xfId="0" applyFont="1" applyAlignment="1">
      <alignment horizontal="left" vertical="center"/>
    </xf>
    <xf numFmtId="0" fontId="1" fillId="0" borderId="0" xfId="0" applyFont="1" applyAlignment="1">
      <alignment horizontal="center"/>
    </xf>
    <xf numFmtId="0" fontId="2" fillId="2" borderId="11" xfId="0" applyFont="1" applyFill="1" applyBorder="1" applyAlignment="1" applyProtection="1">
      <alignment horizontal="left"/>
    </xf>
    <xf numFmtId="0" fontId="2" fillId="2" borderId="12" xfId="0" applyFont="1" applyFill="1" applyBorder="1" applyAlignment="1" applyProtection="1">
      <alignment horizontal="left"/>
    </xf>
    <xf numFmtId="0" fontId="2" fillId="2" borderId="1" xfId="0" applyFont="1" applyFill="1" applyBorder="1" applyAlignment="1" applyProtection="1">
      <alignment horizontal="left"/>
    </xf>
    <xf numFmtId="0" fontId="2" fillId="2" borderId="1" xfId="0" applyFont="1" applyFill="1" applyBorder="1" applyAlignment="1" applyProtection="1">
      <alignment horizontal="left" wrapText="1"/>
    </xf>
    <xf numFmtId="0" fontId="2" fillId="2" borderId="3" xfId="0" applyFont="1" applyFill="1" applyBorder="1" applyAlignment="1" applyProtection="1">
      <alignment horizontal="left" wrapText="1"/>
    </xf>
  </cellXfs>
  <cellStyles count="1">
    <cellStyle name="Normal" xfId="0" builtinId="0"/>
  </cellStyles>
  <dxfs count="7">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ill>
        <patternFill>
          <fgColor indexed="64"/>
          <bgColor rgb="FFFFC000"/>
        </patternFill>
      </fill>
    </dxf>
    <dxf>
      <fill>
        <patternFill>
          <fgColor indexed="64"/>
          <bgColor rgb="FF538DD5"/>
        </patternFill>
      </fill>
    </dxf>
    <dxf>
      <fill>
        <patternFill>
          <fgColor indexed="64"/>
          <bgColor rgb="FFFF0000"/>
        </patternFill>
      </fill>
    </dxf>
  </dxfs>
  <tableStyles count="0" defaultTableStyle="TableStyleMedium9" defaultPivotStyle="PivotStyleLight16"/>
  <colors>
    <mruColors>
      <color rgb="FF95A0A9"/>
      <color rgb="FFEE5859"/>
      <color rgb="FFF5F67A"/>
      <color rgb="FF538DD5"/>
      <color rgb="FFD1D3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Mattia Cucchi" refreshedDate="44313.811843402778" createdVersion="6" refreshedVersion="6" minRefreshableVersion="3" recordCount="68">
  <cacheSource type="worksheet">
    <worksheetSource ref="A1:MA69" sheet="Clean Data"/>
  </cacheSource>
  <cacheFields count="339">
    <cacheField name="start" numFmtId="0">
      <sharedItems/>
    </cacheField>
    <cacheField name="end" numFmtId="0">
      <sharedItems/>
    </cacheField>
    <cacheField name="today" numFmtId="0">
      <sharedItems/>
    </cacheField>
    <cacheField name="audit" numFmtId="0">
      <sharedItems/>
    </cacheField>
    <cacheField name="enqueteur" numFmtId="0">
      <sharedItems/>
    </cacheField>
    <cacheField name="sexe_enqueteur" numFmtId="0">
      <sharedItems/>
    </cacheField>
    <cacheField name="departement" numFmtId="0">
      <sharedItems count="10">
        <s v="abala"/>
        <s v="ayerou"/>
        <s v="banibangou"/>
        <s v="bankilare"/>
        <s v="tillaberi"/>
        <s v="tera"/>
        <s v="gotheye"/>
        <s v="torodi"/>
        <s v="ouallam"/>
        <s v="balleyara"/>
      </sharedItems>
    </cacheField>
    <cacheField name="commune" numFmtId="0">
      <sharedItems count="15">
        <s v="abala"/>
        <s v="ayerou"/>
        <s v="banibangou"/>
        <s v="bankilare"/>
        <s v="dessa"/>
        <s v="diagourou"/>
        <s v="gotheye"/>
        <s v="makalondi"/>
        <s v="ouallam"/>
        <s v="sakoira"/>
        <s v="tagazar"/>
        <s v="tera"/>
        <s v="tillaberi"/>
        <s v="tondikiwindi"/>
        <s v="torodi"/>
      </sharedItems>
    </cacheField>
    <cacheField name="localite" numFmtId="0">
      <sharedItems count="45">
        <s v="abala_pdi"/>
        <s v="abala_ref"/>
        <s v="ayarou_pdi"/>
        <s v="ayerou_ref"/>
        <s v="autre"/>
        <s v="banibangou"/>
        <s v="Fala"/>
        <s v="Intikinderie"/>
        <s v="Houberi"/>
        <s v="Tazizguirte"/>
        <s v="diomona"/>
        <s v="kandadji"/>
        <s v="gaigorou"/>
        <s v="famale"/>
        <s v="lilingou"/>
        <s v="gotheye"/>
        <s v="ziguida"/>
        <s v="waraw"/>
        <s v="makalondi_ville"/>
        <s v="ouallam_ref"/>
        <s v="ouallam_pdi"/>
        <s v="sakoira"/>
        <s v="namari_gougoun"/>
        <s v="zongo"/>
        <s v="chateau"/>
        <s v="tera"/>
        <s v="foneko"/>
        <s v="Farko"/>
        <s v="Base"/>
        <s v="carre"/>
        <s v="tadress"/>
        <s v="toula"/>
        <s v="mangaize"/>
        <s v="tondikiwindi"/>
        <s v="diney_baba_kouara"/>
        <s v="Kobadjé"/>
        <s v="sentier"/>
        <s v="sabon_carre"/>
        <s v="torodi"/>
        <s v="zango_et_pengona"/>
        <s v="tondobon"/>
        <s v="pengouna"/>
        <s v="fada"/>
        <s v="Kobadié" u="1"/>
        <s v="tingou_kado" u="1"/>
      </sharedItems>
    </cacheField>
    <cacheField name="localite_autre" numFmtId="0">
      <sharedItems/>
    </cacheField>
    <cacheField name="GPS" numFmtId="0">
      <sharedItems/>
    </cacheField>
    <cacheField name="_GPS_latitude" numFmtId="0">
      <sharedItems/>
    </cacheField>
    <cacheField name="_GPS_longitude" numFmtId="0">
      <sharedItems/>
    </cacheField>
    <cacheField name="_GPS_altitude" numFmtId="0">
      <sharedItems/>
    </cacheField>
    <cacheField name="_GPS_precision" numFmtId="0">
      <sharedItems/>
    </cacheField>
    <cacheField name="introduction" numFmtId="0">
      <sharedItems/>
    </cacheField>
    <cacheField name="nomprenom" numFmtId="0">
      <sharedItems/>
    </cacheField>
    <cacheField name="sexe_enquete" numFmtId="0">
      <sharedItems/>
    </cacheField>
    <cacheField name="age" numFmtId="0">
      <sharedItems/>
    </cacheField>
    <cacheField name="statut" numFmtId="0">
      <sharedItems/>
    </cacheField>
    <cacheField name="statut_autre" numFmtId="0">
      <sharedItems/>
    </cacheField>
    <cacheField name="role" numFmtId="0">
      <sharedItems/>
    </cacheField>
    <cacheField name="autrerole" numFmtId="0">
      <sharedItems/>
    </cacheField>
    <cacheField name="fonction" numFmtId="0">
      <sharedItems/>
    </cacheField>
    <cacheField name="autrefonction" numFmtId="0">
      <sharedItems/>
    </cacheField>
    <cacheField name="pays_origine" numFmtId="0">
      <sharedItems/>
    </cacheField>
    <cacheField name="region_origine" numFmtId="0">
      <sharedItems/>
    </cacheField>
    <cacheField name="departement_origine" numFmtId="0">
      <sharedItems/>
    </cacheField>
    <cacheField name="telephone" numFmtId="0">
      <sharedItems/>
    </cacheField>
    <cacheField name="accord_telephone" numFmtId="0">
      <sharedItems/>
    </cacheField>
    <cacheField name="confirmation_telephone" numFmtId="0">
      <sharedItems/>
    </cacheField>
    <cacheField name="note1" numFmtId="0">
      <sharedItems/>
    </cacheField>
    <cacheField name="incidentsecu" numFmtId="0">
      <sharedItems/>
    </cacheField>
    <cacheField name="incidents_securitaires" numFmtId="0">
      <sharedItems/>
    </cacheField>
    <cacheField name="incidents_securitaires/Combat_groupes_armes" numFmtId="0">
      <sharedItems/>
    </cacheField>
    <cacheField name="incidents_securitaires/Disputes_intercommunataires" numFmtId="0">
      <sharedItems containsMixedTypes="1" containsNumber="1" containsInteger="1" minValue="1" maxValue="1"/>
    </cacheField>
    <cacheField name="incidents_securitaires/Vols_braquages" numFmtId="0">
      <sharedItems/>
    </cacheField>
    <cacheField name="incidents_securitaires/extorsions" numFmtId="0">
      <sharedItems containsMixedTypes="1" containsNumber="1" containsInteger="1" minValue="1" maxValue="1"/>
    </cacheField>
    <cacheField name="incidents_securitaires/Violences_physique_civils" numFmtId="0">
      <sharedItems/>
    </cacheField>
    <cacheField name="incidents_securitaires/Kidnapping_Disparitions_forcees" numFmtId="0">
      <sharedItems/>
    </cacheField>
    <cacheField name="incidents_securitaires/Recrutement_enfants" numFmtId="0">
      <sharedItems/>
    </cacheField>
    <cacheField name="incidents_securitaires/Attaques_ecoles_sante" numFmtId="0">
      <sharedItems/>
    </cacheField>
    <cacheField name="incidents_securitaires/Arrestation_arbitraires" numFmtId="0">
      <sharedItems/>
    </cacheField>
    <cacheField name="incidents_securitaires/Execution_sommaire" numFmtId="0">
      <sharedItems/>
    </cacheField>
    <cacheField name="incidents_securitaires/attaques_engins_explosifs" numFmtId="0">
      <sharedItems containsMixedTypes="1" containsNumber="1" containsInteger="1" minValue="1" maxValue="1"/>
    </cacheField>
    <cacheField name="incidents_securitaires/Autre" numFmtId="0">
      <sharedItems containsMixedTypes="1" containsNumber="1" containsInteger="1" minValue="0" maxValue="0"/>
    </cacheField>
    <cacheField name="incidents_securitaires/Ne_sait_pas" numFmtId="0">
      <sharedItems/>
    </cacheField>
    <cacheField name="incidents_securitaires/Refuse_de_repondre" numFmtId="0">
      <sharedItems/>
    </cacheField>
    <cacheField name="incidents_securitaires_autre" numFmtId="0">
      <sharedItems/>
    </cacheField>
    <cacheField name="personnes_affectees" numFmtId="0">
      <sharedItems/>
    </cacheField>
    <cacheField name="personnes_affectees/Bebes/Bambins" numFmtId="0">
      <sharedItems/>
    </cacheField>
    <cacheField name="personnes_affectees/Enfants" numFmtId="0">
      <sharedItems/>
    </cacheField>
    <cacheField name="personnes_affectees/Filles" numFmtId="0">
      <sharedItems/>
    </cacheField>
    <cacheField name="personnes_affectees/Garçons" numFmtId="0">
      <sharedItems/>
    </cacheField>
    <cacheField name="personnes_affectees/Femmes" numFmtId="0">
      <sharedItems/>
    </cacheField>
    <cacheField name="personnes_affectees/Hommes" numFmtId="0">
      <sharedItems/>
    </cacheField>
    <cacheField name="personnes_affectees/Femmes_agees" numFmtId="0">
      <sharedItems/>
    </cacheField>
    <cacheField name="personnes_affectees/Hommes_ages" numFmtId="0">
      <sharedItems/>
    </cacheField>
    <cacheField name="personnes_affectees/handicap_physique" numFmtId="0">
      <sharedItems/>
    </cacheField>
    <cacheField name="personnes_affectees/handicap_mental" numFmtId="0">
      <sharedItems/>
    </cacheField>
    <cacheField name="personnes_affectees/Toute_population" numFmtId="0">
      <sharedItems/>
    </cacheField>
    <cacheField name="personnes_affectees/Ne_sait_pas" numFmtId="0">
      <sharedItems/>
    </cacheField>
    <cacheField name="personnes_affectees/Refuse_de_repondre" numFmtId="0">
      <sharedItems/>
    </cacheField>
    <cacheField name="personnes_affectees/Autre" numFmtId="0">
      <sharedItems/>
    </cacheField>
    <cacheField name="personnes_affectees_autre" numFmtId="0">
      <sharedItems/>
    </cacheField>
    <cacheField name="nbre_incidents" numFmtId="0">
      <sharedItems/>
    </cacheField>
    <cacheField name="evolutionsecu" numFmtId="0">
      <sharedItems/>
    </cacheField>
    <cacheField name="note2" numFmtId="0">
      <sharedItems/>
    </cacheField>
    <cacheField name="atteintes_integrite" numFmtId="0">
      <sharedItems/>
    </cacheField>
    <cacheField name="types_atteintes" numFmtId="0">
      <sharedItems/>
    </cacheField>
    <cacheField name="types_atteintes/viol" numFmtId="0">
      <sharedItems/>
    </cacheField>
    <cacheField name="types_atteintes/agression_sexuelle" numFmtId="0">
      <sharedItems containsMixedTypes="1" containsNumber="1" containsInteger="1" minValue="1" maxValue="1"/>
    </cacheField>
    <cacheField name="types_atteintes/agression_physique" numFmtId="0">
      <sharedItems/>
    </cacheField>
    <cacheField name="types_atteintes/deni_de_ressource" numFmtId="0">
      <sharedItems/>
    </cacheField>
    <cacheField name="types_atteintes/agression_psychologique" numFmtId="0">
      <sharedItems/>
    </cacheField>
    <cacheField name="types_atteintes/mariage_force" numFmtId="0">
      <sharedItems/>
    </cacheField>
    <cacheField name="types_atteintes/travail_force" numFmtId="0">
      <sharedItems/>
    </cacheField>
    <cacheField name="types_atteintes/defus_de_acces_aide" numFmtId="0">
      <sharedItems/>
    </cacheField>
    <cacheField name="types_atteintes/exploitations_enfant" numFmtId="0">
      <sharedItems/>
    </cacheField>
    <cacheField name="types_atteintes/exploitations_sexuelles" numFmtId="0">
      <sharedItems/>
    </cacheField>
    <cacheField name="types_atteintes/menace" numFmtId="0">
      <sharedItems/>
    </cacheField>
    <cacheField name="types_atteintes/enscrimination_acces_services" numFmtId="0">
      <sharedItems/>
    </cacheField>
    <cacheField name="types_atteintes/Autre" numFmtId="0">
      <sharedItems containsMixedTypes="1" containsNumber="1" containsInteger="1" minValue="0" maxValue="0"/>
    </cacheField>
    <cacheField name="types_atteintes/Refuse_de_repondre" numFmtId="0">
      <sharedItems/>
    </cacheField>
    <cacheField name="types_atteintes/Ne_sait_pas" numFmtId="0">
      <sharedItems/>
    </cacheField>
    <cacheField name="types_atteintes_autre" numFmtId="0">
      <sharedItems/>
    </cacheField>
    <cacheField name="pers_affectees" numFmtId="0">
      <sharedItems/>
    </cacheField>
    <cacheField name="pers_affectees/Bebes/Bambins" numFmtId="0">
      <sharedItems/>
    </cacheField>
    <cacheField name="pers_affectees/Enfants" numFmtId="0">
      <sharedItems/>
    </cacheField>
    <cacheField name="pers_affectees/Filles" numFmtId="0">
      <sharedItems/>
    </cacheField>
    <cacheField name="pers_affectees/Garçons" numFmtId="0">
      <sharedItems/>
    </cacheField>
    <cacheField name="pers_affectees/Femmes" numFmtId="0">
      <sharedItems/>
    </cacheField>
    <cacheField name="pers_affectees/Hommes" numFmtId="0">
      <sharedItems/>
    </cacheField>
    <cacheField name="pers_affectees/Femmes_agees" numFmtId="0">
      <sharedItems/>
    </cacheField>
    <cacheField name="pers_affectees/Hommes_ages" numFmtId="0">
      <sharedItems/>
    </cacheField>
    <cacheField name="pers_affectees/handicap_physique" numFmtId="0">
      <sharedItems/>
    </cacheField>
    <cacheField name="pers_affectees/handicap_mental" numFmtId="0">
      <sharedItems/>
    </cacheField>
    <cacheField name="pers_affectees/Toute_population" numFmtId="0">
      <sharedItems/>
    </cacheField>
    <cacheField name="pers_affectees/Ne_sait_pas" numFmtId="0">
      <sharedItems/>
    </cacheField>
    <cacheField name="pers_affectees/Refuse_de_repondre" numFmtId="0">
      <sharedItems/>
    </cacheField>
    <cacheField name="pers_affectees/Autre" numFmtId="0">
      <sharedItems/>
    </cacheField>
    <cacheField name="pers_affectees_autre" numFmtId="0">
      <sharedItems/>
    </cacheField>
    <cacheField name="nbre_incidents_integrite" numFmtId="0">
      <sharedItems/>
    </cacheField>
    <cacheField name="evolutionsecu_integrite" numFmtId="0">
      <sharedItems/>
    </cacheField>
    <cacheField name="note3" numFmtId="0">
      <sharedItems/>
    </cacheField>
    <cacheField name="cause_aug_incident" numFmtId="0">
      <sharedItems/>
    </cacheField>
    <cacheField name="cause_aug_incident/diminution_moyens_existence" numFmtId="0">
      <sharedItems/>
    </cacheField>
    <cacheField name="cause_aug_incident/deterioration_con_abris" numFmtId="0">
      <sharedItems/>
    </cacheField>
    <cacheField name="cause_aug_incident/deterioration_acces_service_base" numFmtId="0">
      <sharedItems/>
    </cacheField>
    <cacheField name="cause_aug_incident/hausse_tensions_intercomm" numFmtId="0">
      <sharedItems/>
    </cacheField>
    <cacheField name="cause_aug_incident/hausse_nbr_groupes_armees" numFmtId="0">
      <sharedItems/>
    </cacheField>
    <cacheField name="cause_aug_incident/hausse_dis_services_base" numFmtId="0">
      <sharedItems/>
    </cacheField>
    <cacheField name="cause_aug_incident/hausse_chomeurs" numFmtId="0">
      <sharedItems/>
    </cacheField>
    <cacheField name="cause_aug_incident/autre" numFmtId="0">
      <sharedItems/>
    </cacheField>
    <cacheField name="cause_aug_incident/Ne_sait_pas" numFmtId="0">
      <sharedItems/>
    </cacheField>
    <cacheField name="cause_aug_incident/Refuse_de_repondre" numFmtId="0">
      <sharedItems/>
    </cacheField>
    <cacheField name="cause_aug_incident_autre" numFmtId="0">
      <sharedItems/>
    </cacheField>
    <cacheField name="cause_dim_incident" numFmtId="0">
      <sharedItems/>
    </cacheField>
    <cacheField name="cause_dim_incident/stabilisation_aug_moyen_existence" numFmtId="0">
      <sharedItems/>
    </cacheField>
    <cacheField name="cause_dim_incident/amelioration_cond_abris" numFmtId="0">
      <sharedItems/>
    </cacheField>
    <cacheField name="cause_dim_incident/amelioration_acces_service_base" numFmtId="0">
      <sharedItems/>
    </cacheField>
    <cacheField name="cause_dim_incident/dim_tensions_intercomm" numFmtId="0">
      <sharedItems/>
    </cacheField>
    <cacheField name="cause_dim_incident/baisse_dis_service_base" numFmtId="0">
      <sharedItems/>
    </cacheField>
    <cacheField name="cause_dim_incident/dim_nbr_chomeurs" numFmtId="0">
      <sharedItems/>
    </cacheField>
    <cacheField name="cause_dim_incident/autre" numFmtId="0">
      <sharedItems/>
    </cacheField>
    <cacheField name="cause_dim_incident/Ne_sait_pas" numFmtId="0">
      <sharedItems/>
    </cacheField>
    <cacheField name="cause_dim_incident/Refuse_de_repondre" numFmtId="0">
      <sharedItems/>
    </cacheField>
    <cacheField name="cause_dim_incident_autre" numFmtId="0">
      <sharedItems/>
    </cacheField>
    <cacheField name="note4" numFmtId="0">
      <sharedItems/>
    </cacheField>
    <cacheField name="soluincident" numFmtId="0">
      <sharedItems/>
    </cacheField>
    <cacheField name="soluincident/dplct_abords_com" numFmtId="0">
      <sharedItems/>
    </cacheField>
    <cacheField name="soluincident/Integration_com_hote" numFmtId="0">
      <sharedItems/>
    </cacheField>
    <cacheField name="soluincident/Soutien_famille_amis" numFmtId="0">
      <sharedItems/>
    </cacheField>
    <cacheField name="soluincident/Soutien_chef_village" numFmtId="0">
      <sharedItems/>
    </cacheField>
    <cacheField name="soluincident/Soutien_psychosocial" numFmtId="0">
      <sharedItems/>
    </cacheField>
    <cacheField name="soluincident/Soutien_en_AGR" numFmtId="0">
      <sharedItems/>
    </cacheField>
    <cacheField name="soluincident/pas_de_mecanismes" numFmtId="0">
      <sharedItems containsMixedTypes="1" containsNumber="1" containsInteger="1" minValue="1" maxValue="1"/>
    </cacheField>
    <cacheField name="soluincident/Autre" numFmtId="0">
      <sharedItems containsMixedTypes="1" containsNumber="1" containsInteger="1" minValue="0" maxValue="0"/>
    </cacheField>
    <cacheField name="soluincident/Ne_sait_pas" numFmtId="0">
      <sharedItems/>
    </cacheField>
    <cacheField name="autresoluincident" numFmtId="0">
      <sharedItems/>
    </cacheField>
    <cacheField name="note5" numFmtId="0">
      <sharedItems/>
    </cacheField>
    <cacheField name="systeme_referencement" numFmtId="0">
      <sharedItems/>
    </cacheField>
    <cacheField name="systeme_referencement/femmes_elite" numFmtId="0">
      <sharedItems/>
    </cacheField>
    <cacheField name="systeme_referencement/comite_protection" numFmtId="0">
      <sharedItems/>
    </cacheField>
    <cacheField name="systeme_referencement/famille_accueil" numFmtId="0">
      <sharedItems/>
    </cacheField>
    <cacheField name="systeme_referencement/comite_alerte" numFmtId="0">
      <sharedItems/>
    </cacheField>
    <cacheField name="systeme_referencement/comite_redevabilite" numFmtId="0">
      <sharedItems/>
    </cacheField>
    <cacheField name="systeme_referencement/comite_gestion_conflits" numFmtId="0">
      <sharedItems/>
    </cacheField>
    <cacheField name="systeme_referencement/enfant_pairs" numFmtId="0">
      <sharedItems/>
    </cacheField>
    <cacheField name="systeme_referencement/Autre" numFmtId="0">
      <sharedItems/>
    </cacheField>
    <cacheField name="systeme_referencement/Ne_sait_pas" numFmtId="0">
      <sharedItems/>
    </cacheField>
    <cacheField name="systeme_referencement/Aucun" numFmtId="0">
      <sharedItems/>
    </cacheField>
    <cacheField name="systeme_referencement_autre" numFmtId="0">
      <sharedItems/>
    </cacheField>
    <cacheField name="existence_voies_ref" numFmtId="0">
      <sharedItems/>
    </cacheField>
    <cacheField name="communication_voies" numFmtId="0">
      <sharedItems/>
    </cacheField>
    <cacheField name="communication_voies/Radio_television" numFmtId="0">
      <sharedItems/>
    </cacheField>
    <cacheField name="communication_voies/Journal" numFmtId="0">
      <sharedItems/>
    </cacheField>
    <cacheField name="communication_voies/Internet" numFmtId="0">
      <sharedItems/>
    </cacheField>
    <cacheField name="communication_voies/manif_sociales" numFmtId="0">
      <sharedItems/>
    </cacheField>
    <cacheField name="communication_voies/Chef_village" numFmtId="0">
      <sharedItems containsMixedTypes="1" containsNumber="1" containsInteger="1" minValue="1" maxValue="1"/>
    </cacheField>
    <cacheField name="communication_voies/famille_amis" numFmtId="0">
      <sharedItems containsMixedTypes="1" containsNumber="1" containsInteger="1" minValue="1" maxValue="1"/>
    </cacheField>
    <cacheField name="communication_voies/Leaders_religieux" numFmtId="0">
      <sharedItems/>
    </cacheField>
    <cacheField name="communication_voies/Groupement_femmes" numFmtId="0">
      <sharedItems/>
    </cacheField>
    <cacheField name="communication_voies/Differents_comites_villageois" numFmtId="0">
      <sharedItems/>
    </cacheField>
    <cacheField name="communication_voies/Gouvernement" numFmtId="0">
      <sharedItems/>
    </cacheField>
    <cacheField name="communication_voies/Travailleurs_sociaux/hum" numFmtId="0">
      <sharedItems/>
    </cacheField>
    <cacheField name="communication_voies/Ecole" numFmtId="0">
      <sharedItems/>
    </cacheField>
    <cacheField name="communication_voies/Autre" numFmtId="0">
      <sharedItems containsMixedTypes="1" containsNumber="1" containsInteger="1" minValue="0" maxValue="0"/>
    </cacheField>
    <cacheField name="communication_voies/Ne_sait_pas" numFmtId="0">
      <sharedItems/>
    </cacheField>
    <cacheField name="communication_voies_autre" numFmtId="0">
      <sharedItems/>
    </cacheField>
    <cacheField name="connaissance_voies_ref" numFmtId="0">
      <sharedItems/>
    </cacheField>
    <cacheField name="acces_voies_ref" numFmtId="0">
      <sharedItems/>
    </cacheField>
    <cacheField name="raison_voie_ref" numFmtId="0">
      <sharedItems/>
    </cacheField>
    <cacheField name="raison_voie_ref/non_fonctionnelle" numFmtId="0">
      <sharedItems/>
    </cacheField>
    <cacheField name="raison_voie_ref/manque_info" numFmtId="0">
      <sharedItems/>
    </cacheField>
    <cacheField name="raison_voie_ref/discrimination" numFmtId="0">
      <sharedItems/>
    </cacheField>
    <cacheField name="raison_voie_ref/non_utilisation" numFmtId="0">
      <sharedItems/>
    </cacheField>
    <cacheField name="raison_voie_ref/trop_du_monde" numFmtId="0">
      <sharedItems/>
    </cacheField>
    <cacheField name="raison_voie_ref/insecurite" numFmtId="0">
      <sharedItems/>
    </cacheField>
    <cacheField name="raison_voie_ref/Ne_sait_pas" numFmtId="0">
      <sharedItems/>
    </cacheField>
    <cacheField name="raison_voie_ref/Autre" numFmtId="0">
      <sharedItems containsMixedTypes="1" containsNumber="1" containsInteger="1" minValue="0" maxValue="0"/>
    </cacheField>
    <cacheField name="raison_voie_ref_autre" numFmtId="0">
      <sharedItems/>
    </cacheField>
    <cacheField name="utilisation_voies_ref_deplaces" numFmtId="0">
      <sharedItems/>
    </cacheField>
    <cacheField name="utilisation_voies_ref_hote" numFmtId="0">
      <sharedItems/>
    </cacheField>
    <cacheField name="voies_ref" numFmtId="0">
      <sharedItems/>
    </cacheField>
    <cacheField name="voies_ref/Appui_psychosocial" numFmtId="0">
      <sharedItems/>
    </cacheField>
    <cacheField name="voies_ref/Education" numFmtId="0">
      <sharedItems/>
    </cacheField>
    <cacheField name="voies_ref/Service_de_counseling" numFmtId="0">
      <sharedItems/>
    </cacheField>
    <cacheField name="voies_ref/Services_de_sante" numFmtId="0">
      <sharedItems/>
    </cacheField>
    <cacheField name="voies_ref/Acces_aux_doc" numFmtId="0">
      <sharedItems/>
    </cacheField>
    <cacheField name="voies_ref/Suivi_judiciaire" numFmtId="0">
      <sharedItems/>
    </cacheField>
    <cacheField name="voies_ref/Programme_AGR" numFmtId="0">
      <sharedItems/>
    </cacheField>
    <cacheField name="voies_ref/Autre" numFmtId="0">
      <sharedItems containsMixedTypes="1" containsNumber="1" containsInteger="1" minValue="0" maxValue="0"/>
    </cacheField>
    <cacheField name="voies_ref/Ne_sait_pas" numFmtId="0">
      <sharedItems/>
    </cacheField>
    <cacheField name="voies_referencement_autre" numFmtId="0">
      <sharedItems/>
    </cacheField>
    <cacheField name="efficacite_voies_ref_deplace" numFmtId="0">
      <sharedItems/>
    </cacheField>
    <cacheField name="efficacite_voies_ref_hote" numFmtId="0">
      <sharedItems/>
    </cacheField>
    <cacheField name="raison_efficace_ref" numFmtId="0">
      <sharedItems/>
    </cacheField>
    <cacheField name="raison_efficace_ref/amelioration_futur" numFmtId="0">
      <sharedItems/>
    </cacheField>
    <cacheField name="raison_efficace_ref/repond_besoins_pop" numFmtId="0">
      <sharedItems/>
    </cacheField>
    <cacheField name="raison_efficace_ref/permet_obtenir_conseils" numFmtId="0">
      <sharedItems/>
    </cacheField>
    <cacheField name="raison_efficace_ref/permet_eviter_conflits" numFmtId="0">
      <sharedItems/>
    </cacheField>
    <cacheField name="raison_efficace_ref/permet_negociation" numFmtId="0">
      <sharedItems/>
    </cacheField>
    <cacheField name="raison_efficace_ref/diminution_tensions" numFmtId="0">
      <sharedItems/>
    </cacheField>
    <cacheField name="raison_efficace_ref/Autre" numFmtId="0">
      <sharedItems/>
    </cacheField>
    <cacheField name="raison_efficace_ref/Ne_sait_pas" numFmtId="0">
      <sharedItems/>
    </cacheField>
    <cacheField name="raison_efficace_ref_autre" numFmtId="0">
      <sharedItems/>
    </cacheField>
    <cacheField name="raison_inefficace_ref" numFmtId="0">
      <sharedItems/>
    </cacheField>
    <cacheField name="raison_inefficace_ref/ne_contribue_pas" numFmtId="0">
      <sharedItems/>
    </cacheField>
    <cacheField name="raison_inefficace_ref/ne_repond_pas" numFmtId="0">
      <sharedItems/>
    </cacheField>
    <cacheField name="raison_inefficace_ref/non_obtention_info" numFmtId="0">
      <sharedItems/>
    </cacheField>
    <cacheField name="raison_inefficace_ref/non_diminition_tension" numFmtId="0">
      <sharedItems/>
    </cacheField>
    <cacheField name="raison_inefficace_ref/Autre" numFmtId="0">
      <sharedItems/>
    </cacheField>
    <cacheField name="raison_inefficace_ref/Ne_sait_pas" numFmtId="0">
      <sharedItems/>
    </cacheField>
    <cacheField name="raison_inefficace_ref_autre" numFmtId="0">
      <sharedItems/>
    </cacheField>
    <cacheField name="note6" numFmtId="0">
      <sharedItems/>
    </cacheField>
    <cacheField name="eei_sensibilisation" numFmtId="0">
      <sharedItems/>
    </cacheField>
    <cacheField name="eei_sensibilisation_acteurs" numFmtId="0">
      <sharedItems/>
    </cacheField>
    <cacheField name="eei_sensibilisation_acteurs/gvt" numFmtId="0">
      <sharedItems/>
    </cacheField>
    <cacheField name="eei_sensibilisation_acteurs/fds_arme" numFmtId="0">
      <sharedItems/>
    </cacheField>
    <cacheField name="eei_sensibilisation_acteurs/autorite_locale_leaders" numFmtId="0">
      <sharedItems/>
    </cacheField>
    <cacheField name="eei_sensibilisation_acteurs/un_agencies" numFmtId="0">
      <sharedItems/>
    </cacheField>
    <cacheField name="eei_sensibilisation_acteurs/ingo" numFmtId="0">
      <sharedItems/>
    </cacheField>
    <cacheField name="eei_sensibilisation_acteurs/ong_locale" numFmtId="0">
      <sharedItems/>
    </cacheField>
    <cacheField name="eei_sensibilisation_acteurs/famille_amis" numFmtId="0">
      <sharedItems/>
    </cacheField>
    <cacheField name="eei_sensibilisation_acteurs/ne_sait_pas" numFmtId="0">
      <sharedItems/>
    </cacheField>
    <cacheField name="eei_sensibilisation_acteurs/refuse_de_repondre" numFmtId="0">
      <sharedItems/>
    </cacheField>
    <cacheField name="eei_sensibilisation_acteurs/autre" numFmtId="0">
      <sharedItems/>
    </cacheField>
    <cacheField name="eei_sensibilisation_acteurs_autre" numFmtId="0">
      <sharedItems/>
    </cacheField>
    <cacheField name="eei_sensibilisation_besoin" numFmtId="0">
      <sharedItems/>
    </cacheField>
    <cacheField name="note7" numFmtId="0">
      <sharedItems/>
    </cacheField>
    <cacheField name="pers_voies_ref" numFmtId="0">
      <sharedItems/>
    </cacheField>
    <cacheField name="pers_voies_ref/Bebes/Bambins" numFmtId="0">
      <sharedItems/>
    </cacheField>
    <cacheField name="pers_voies_ref/Enfants" numFmtId="0">
      <sharedItems/>
    </cacheField>
    <cacheField name="pers_voies_ref/Filles" numFmtId="0">
      <sharedItems/>
    </cacheField>
    <cacheField name="pers_voies_ref/Garçons" numFmtId="0">
      <sharedItems/>
    </cacheField>
    <cacheField name="pers_voies_ref/Femmes" numFmtId="0">
      <sharedItems/>
    </cacheField>
    <cacheField name="pers_voies_ref/Hommes" numFmtId="0">
      <sharedItems/>
    </cacheField>
    <cacheField name="pers_voies_ref/Femmes_agees" numFmtId="0">
      <sharedItems/>
    </cacheField>
    <cacheField name="pers_voies_ref/Hommes_ages" numFmtId="0">
      <sharedItems/>
    </cacheField>
    <cacheField name="pers_voies_ref/handicap_physique" numFmtId="0">
      <sharedItems/>
    </cacheField>
    <cacheField name="pers_voies_ref/handicap_mental" numFmtId="0">
      <sharedItems/>
    </cacheField>
    <cacheField name="pers_voies_ref/Toute_population" numFmtId="0">
      <sharedItems/>
    </cacheField>
    <cacheField name="pers_voies_ref/Ne_sait_pas" numFmtId="0">
      <sharedItems/>
    </cacheField>
    <cacheField name="pers_voies_ref/Refuse_de_repondre" numFmtId="0">
      <sharedItems/>
    </cacheField>
    <cacheField name="pers_voies_ref/Autre" numFmtId="0">
      <sharedItems/>
    </cacheField>
    <cacheField name="pers_voies_ref_autre" numFmtId="0">
      <sharedItems/>
    </cacheField>
    <cacheField name="nombre_personnes" numFmtId="0">
      <sharedItems/>
    </cacheField>
    <cacheField name="types_voies_ref" numFmtId="0">
      <sharedItems/>
    </cacheField>
    <cacheField name="types_voies_ref/Appui_psychosocial" numFmtId="0">
      <sharedItems/>
    </cacheField>
    <cacheField name="types_voies_ref/Services_medicaux" numFmtId="0">
      <sharedItems/>
    </cacheField>
    <cacheField name="types_voies_ref/Services_educatifs" numFmtId="0">
      <sharedItems/>
    </cacheField>
    <cacheField name="types_voies_ref/Services_conseil" numFmtId="0">
      <sharedItems/>
    </cacheField>
    <cacheField name="types_voies_ref/acces_docs" numFmtId="0">
      <sharedItems/>
    </cacheField>
    <cacheField name="types_voies_ref/service_judiciaire" numFmtId="0">
      <sharedItems/>
    </cacheField>
    <cacheField name="types_voies_ref/programme_agr" numFmtId="0">
      <sharedItems/>
    </cacheField>
    <cacheField name="types_voies_ref/points_ecoute" numFmtId="0">
      <sharedItems/>
    </cacheField>
    <cacheField name="types_voies_ref/reinsertion" numFmtId="0">
      <sharedItems/>
    </cacheField>
    <cacheField name="types_voies_ref/centres_formation" numFmtId="0">
      <sharedItems/>
    </cacheField>
    <cacheField name="types_voies_ref_autre" numFmtId="0">
      <sharedItems/>
    </cacheField>
    <cacheField name="procedure_en_place" numFmtId="0">
      <sharedItems/>
    </cacheField>
    <cacheField name="procedure_en_place/prise_enchage" numFmtId="0">
      <sharedItems containsMixedTypes="1" containsNumber="1" containsInteger="1" minValue="1" maxValue="1"/>
    </cacheField>
    <cacheField name="procedure_en_place/reorientation" numFmtId="0">
      <sharedItems/>
    </cacheField>
    <cacheField name="procedure_en_place/signalement" numFmtId="0">
      <sharedItems/>
    </cacheField>
    <cacheField name="procedure_en_place/Autre" numFmtId="0">
      <sharedItems containsMixedTypes="1" containsNumber="1" containsInteger="1" minValue="0" maxValue="0"/>
    </cacheField>
    <cacheField name="procedure_en_place/Ne_sait_pas" numFmtId="0">
      <sharedItems/>
    </cacheField>
    <cacheField name="procedure_en_place/Aucun" numFmtId="0">
      <sharedItems/>
    </cacheField>
    <cacheField name="procedure_en_place_autre" numFmtId="0">
      <sharedItems/>
    </cacheField>
    <cacheField name="prise_charge" numFmtId="0">
      <sharedItems/>
    </cacheField>
    <cacheField name="prise_charge/medical" numFmtId="0">
      <sharedItems/>
    </cacheField>
    <cacheField name="prise_charge/Psychosocia" numFmtId="0">
      <sharedItems/>
    </cacheField>
    <cacheField name="prise_charge/point_ecoute" numFmtId="0">
      <sharedItems/>
    </cacheField>
    <cacheField name="prise_charge/juridique" numFmtId="0">
      <sharedItems/>
    </cacheField>
    <cacheField name="prise_charge/surete" numFmtId="0">
      <sharedItems/>
    </cacheField>
    <cacheField name="prise_charge/reinsertion" numFmtId="0">
      <sharedItems/>
    </cacheField>
    <cacheField name="prise_charge/centre_formation" numFmtId="0">
      <sharedItems/>
    </cacheField>
    <cacheField name="prise_charge/Autre" numFmtId="0">
      <sharedItems containsMixedTypes="1" containsNumber="1" containsInteger="1" minValue="0" maxValue="0"/>
    </cacheField>
    <cacheField name="prise_charge/Ne_sait_pas" numFmtId="0">
      <sharedItems/>
    </cacheField>
    <cacheField name="prise_charge_autre" numFmtId="0">
      <sharedItems/>
    </cacheField>
    <cacheField name="mecanismes" numFmtId="0">
      <sharedItems/>
    </cacheField>
    <cacheField name="mecanismes/medical" numFmtId="0">
      <sharedItems/>
    </cacheField>
    <cacheField name="mecanismes/Psychosocia" numFmtId="0">
      <sharedItems/>
    </cacheField>
    <cacheField name="mecanismes/point_ecoute" numFmtId="0">
      <sharedItems/>
    </cacheField>
    <cacheField name="mecanismes/juridique" numFmtId="0">
      <sharedItems/>
    </cacheField>
    <cacheField name="mecanismes/surete" numFmtId="0">
      <sharedItems/>
    </cacheField>
    <cacheField name="mecanismes/reinsertion" numFmtId="0">
      <sharedItems/>
    </cacheField>
    <cacheField name="mecanismes/centre_formation" numFmtId="0">
      <sharedItems/>
    </cacheField>
    <cacheField name="mecanismes/Autre" numFmtId="0">
      <sharedItems/>
    </cacheField>
    <cacheField name="mecanismes/Ne_sait_pas" numFmtId="0">
      <sharedItems/>
    </cacheField>
    <cacheField name="mecanismes_autre" numFmtId="0">
      <sharedItems/>
    </cacheField>
    <cacheField name="note8" numFmtId="0">
      <sharedItems/>
    </cacheField>
    <cacheField name="difficultes" numFmtId="0">
      <sharedItems/>
    </cacheField>
    <cacheField name="probleme_structure_ref" numFmtId="0">
      <sharedItems/>
    </cacheField>
    <cacheField name="probleme_structure_ref/manque_moyens" numFmtId="0">
      <sharedItems/>
    </cacheField>
    <cacheField name="probleme_structure_ref/manque_personnes" numFmtId="0">
      <sharedItems/>
    </cacheField>
    <cacheField name="probleme_structure_ref/manque_d'information" numFmtId="0">
      <sharedItems/>
    </cacheField>
    <cacheField name="probleme_structure_ref/probleme_orientation" numFmtId="0">
      <sharedItems containsMixedTypes="1" containsNumber="1" containsInteger="1" minValue="1" maxValue="1"/>
    </cacheField>
    <cacheField name="probleme_structure_ref/insecurite_zone" numFmtId="0">
      <sharedItems/>
    </cacheField>
    <cacheField name="probleme_structure_ref/tensions_locales" numFmtId="0">
      <sharedItems/>
    </cacheField>
    <cacheField name="probleme_structure_ref/manque_cordination" numFmtId="0">
      <sharedItems containsMixedTypes="1" containsNumber="1" containsInteger="1" minValue="1" maxValue="1"/>
    </cacheField>
    <cacheField name="probleme_structure_ref/manque_definition" numFmtId="0">
      <sharedItems/>
    </cacheField>
    <cacheField name="probleme_structure_ref/Autre" numFmtId="0">
      <sharedItems containsMixedTypes="1" containsNumber="1" containsInteger="1" minValue="0" maxValue="0"/>
    </cacheField>
    <cacheField name="probleme_structure_ref/Aucun" numFmtId="0">
      <sharedItems/>
    </cacheField>
    <cacheField name="probleme_structure_ref/Ne_sait_pas" numFmtId="0">
      <sharedItems/>
    </cacheField>
    <cacheField name="probleme_structure_ref_autre" numFmtId="0">
      <sharedItems/>
    </cacheField>
    <cacheField name="probleme_reorientation_ref" numFmtId="0">
      <sharedItems/>
    </cacheField>
    <cacheField name="probleme_reorientation_ref/pb_protection_donnee" numFmtId="0">
      <sharedItems/>
    </cacheField>
    <cacheField name="probleme_reorientation_ref/pb_logistiques" numFmtId="0">
      <sharedItems/>
    </cacheField>
    <cacheField name="probleme_reorientation_ref/pb_secu" numFmtId="0">
      <sharedItems/>
    </cacheField>
    <cacheField name="probleme_reorientation_ref/pb_coordination" numFmtId="0">
      <sharedItems/>
    </cacheField>
    <cacheField name="probleme_reorientation_ref/Ne_sait_pas" numFmtId="0">
      <sharedItems/>
    </cacheField>
    <cacheField name="probleme_reorientation_ref/Autre" numFmtId="0">
      <sharedItems/>
    </cacheField>
    <cacheField name="probleme_reorientation_ref_autre" numFmtId="0">
      <sharedItems/>
    </cacheField>
    <cacheField name="menace_secu" numFmtId="0">
      <sharedItems/>
    </cacheField>
    <cacheField name="type_menace" numFmtId="0">
      <sharedItems/>
    </cacheField>
    <cacheField name="type_menace/violence_physique" numFmtId="0">
      <sharedItems/>
    </cacheField>
    <cacheField name="type_menace/violence_psycho" numFmtId="0">
      <sharedItems/>
    </cacheField>
    <cacheField name="type_menace/message" numFmtId="0">
      <sharedItems/>
    </cacheField>
    <cacheField name="type_menace/menace_entourage" numFmtId="0">
      <sharedItems/>
    </cacheField>
    <cacheField name="type_menace/menace_mort" numFmtId="0">
      <sharedItems/>
    </cacheField>
    <cacheField name="type_menace/menace_enlevement" numFmtId="0">
      <sharedItems/>
    </cacheField>
    <cacheField name="type_menace/suivi" numFmtId="0">
      <sharedItems/>
    </cacheField>
    <cacheField name="type_menace/Autre" numFmtId="0">
      <sharedItems/>
    </cacheField>
    <cacheField name="type_menace/Ne_sait_pas" numFmtId="0">
      <sharedItems/>
    </cacheField>
    <cacheField name="type_menace/Refuse_de_repondre" numFmtId="0">
      <sharedItems/>
    </cacheField>
    <cacheField name="type_menace_autre" numFmtId="0">
      <sharedItems/>
    </cacheField>
    <cacheField name="remise_en_cause_engagement" numFmtId="0">
      <sharedItems/>
    </cacheField>
    <cacheField name="accord_partage" numFmtId="0">
      <sharedItems/>
    </cacheField>
    <cacheField name="merci" numFmtId="0">
      <sharedItems/>
    </cacheField>
    <cacheField name="observations" numFmtId="0">
      <sharedItems longText="1"/>
    </cacheField>
    <cacheField name="_id" numFmtId="0">
      <sharedItems containsSemiMixedTypes="0" containsString="0" containsNumber="1" containsInteger="1" minValue="168634033" maxValue="172011410"/>
    </cacheField>
    <cacheField name="_uuid" numFmtId="0">
      <sharedItems/>
    </cacheField>
    <cacheField name="_submission_time" numFmtId="0">
      <sharedItems/>
    </cacheField>
    <cacheField name="_validation_status" numFmtId="0">
      <sharedItems/>
    </cacheField>
    <cacheField name="_notes" numFmtId="0">
      <sharedItems/>
    </cacheField>
    <cacheField name="_status" numFmtId="0">
      <sharedItems/>
    </cacheField>
    <cacheField name="_submitted_by" numFmtId="0">
      <sharedItems/>
    </cacheField>
    <cacheField name="_tags" numFmtId="0">
      <sharedItems/>
    </cacheField>
    <cacheField name="_index" numFmtId="0">
      <sharedItems containsSemiMixedTypes="0" containsString="0" containsNumber="1" containsInteger="1" minValue="1" maxValue="74"/>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8">
  <r>
    <s v="2021-03-31T12:44:17.458+01:00"/>
    <s v="2021-04-01T08:28:05.251+01:00"/>
    <s v="2021-03-31"/>
    <s v=""/>
    <s v=""/>
    <s v="Femme"/>
    <x v="0"/>
    <x v="0"/>
    <x v="0"/>
    <s v=""/>
    <s v=""/>
    <s v=""/>
    <s v=""/>
    <s v=""/>
    <s v=""/>
    <s v=""/>
    <s v=""/>
    <s v="Homme"/>
    <s v="55"/>
    <s v="deplace_interne"/>
    <s v=""/>
    <s v=""/>
    <s v=""/>
    <s v=""/>
    <s v=""/>
    <s v="niger"/>
    <s v="tillaberi"/>
    <s v="abal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Soutien_famille_amis Soutien_psychosocial"/>
    <s v="0"/>
    <s v="0"/>
    <s v="1"/>
    <s v="0"/>
    <s v="1"/>
    <s v="0"/>
    <s v="0"/>
    <s v="0"/>
    <s v="0"/>
    <s v=""/>
    <s v=""/>
    <s v="femmes_elite comite_protection comite_gestion_conflits"/>
    <s v="1"/>
    <s v="1"/>
    <s v="0"/>
    <s v="0"/>
    <s v="0"/>
    <s v="1"/>
    <s v="0"/>
    <s v="0"/>
    <s v="0"/>
    <s v="0"/>
    <s v=""/>
    <s v="oui"/>
    <s v="Radio_television"/>
    <s v="1"/>
    <s v="0"/>
    <s v="0"/>
    <s v="0"/>
    <s v="0"/>
    <s v="0"/>
    <s v="0"/>
    <s v="0"/>
    <s v="0"/>
    <s v="0"/>
    <s v="0"/>
    <s v="0"/>
    <s v="0"/>
    <s v="0"/>
    <s v=""/>
    <s v="oui_ensemble"/>
    <s v="oui_ensemble"/>
    <s v=""/>
    <s v=""/>
    <s v=""/>
    <s v=""/>
    <s v=""/>
    <s v=""/>
    <s v=""/>
    <s v=""/>
    <s v=""/>
    <s v=""/>
    <s v="ensemble"/>
    <s v="ensemble"/>
    <s v="Services_de_sante Education"/>
    <s v="0"/>
    <s v="1"/>
    <s v="0"/>
    <s v="1"/>
    <s v="0"/>
    <s v="0"/>
    <s v="0"/>
    <s v="0"/>
    <s v="0"/>
    <s v=""/>
    <s v="oui_ensemble"/>
    <s v="oui_ensemble"/>
    <s v="repond_besoins_pop"/>
    <s v="0"/>
    <s v="1"/>
    <s v="0"/>
    <s v="0"/>
    <s v="0"/>
    <s v="0"/>
    <s v="0"/>
    <s v="0"/>
    <s v=""/>
    <s v=""/>
    <s v=""/>
    <s v=""/>
    <s v=""/>
    <s v=""/>
    <s v=""/>
    <s v=""/>
    <s v=""/>
    <s v=""/>
    <s v="non"/>
    <s v=""/>
    <s v=""/>
    <s v=""/>
    <s v=""/>
    <s v=""/>
    <s v=""/>
    <s v=""/>
    <s v=""/>
    <s v=""/>
    <s v=""/>
    <s v=""/>
    <s v=""/>
    <s v="oui"/>
    <s v=""/>
    <s v=""/>
    <s v=""/>
    <s v=""/>
    <s v=""/>
    <s v=""/>
    <s v=""/>
    <s v=""/>
    <s v=""/>
    <s v=""/>
    <s v=""/>
    <s v=""/>
    <s v=""/>
    <s v=""/>
    <s v=""/>
    <s v=""/>
    <s v=""/>
    <s v="50"/>
    <s v="Services_educatifs Services_medicaux acces_docs"/>
    <s v="0"/>
    <s v="1"/>
    <s v="1"/>
    <s v="0"/>
    <s v="1"/>
    <s v="0"/>
    <s v="0"/>
    <s v="0"/>
    <s v="0"/>
    <s v="0"/>
    <s v=""/>
    <s v="prise_enchage reorientation"/>
    <s v="1"/>
    <s v="1"/>
    <s v="0"/>
    <s v="0"/>
    <s v="0"/>
    <s v="0"/>
    <s v=""/>
    <s v="point_ecoute"/>
    <s v="0"/>
    <s v="0"/>
    <s v="1"/>
    <s v="0"/>
    <s v="0"/>
    <s v="0"/>
    <s v="0"/>
    <s v="0"/>
    <s v="0"/>
    <s v=""/>
    <s v="juridique medical"/>
    <s v="1"/>
    <s v="0"/>
    <s v="0"/>
    <s v="1"/>
    <s v="0"/>
    <s v="0"/>
    <s v="0"/>
    <s v="0"/>
    <s v="0"/>
    <s v=""/>
    <s v=""/>
    <s v="oui"/>
    <s v="insecurite_zone manque_moyens"/>
    <s v="1"/>
    <s v="0"/>
    <s v="0"/>
    <s v="0"/>
    <s v="1"/>
    <s v="0"/>
    <s v="0"/>
    <s v="0"/>
    <s v="0"/>
    <s v="0"/>
    <s v="0"/>
    <s v=""/>
    <s v=""/>
    <s v=""/>
    <s v=""/>
    <s v=""/>
    <s v=""/>
    <s v=""/>
    <s v=""/>
    <s v=""/>
    <s v="non"/>
    <s v=""/>
    <s v=""/>
    <s v=""/>
    <s v=""/>
    <s v=""/>
    <s v=""/>
    <s v=""/>
    <s v=""/>
    <s v=""/>
    <s v=""/>
    <s v=""/>
    <s v=""/>
    <s v=""/>
    <s v="oui"/>
    <s v=""/>
    <s v=""/>
    <n v="169049290"/>
    <s v="4705e4cd-2e11-492b-a954-8e0c4049f138"/>
    <s v="2021-04-01T07:57:55"/>
    <s v=""/>
    <s v="[]"/>
    <s v="submitted_via_web"/>
    <s v="reach_niger"/>
    <s v=""/>
    <n v="10"/>
  </r>
  <r>
    <s v="2021-03-31T15:41:03.814+01:00"/>
    <s v="2021-04-01T08:28:17.479+01:00"/>
    <s v="2021-03-31"/>
    <s v=""/>
    <s v=""/>
    <s v="Femme"/>
    <x v="0"/>
    <x v="0"/>
    <x v="1"/>
    <s v=""/>
    <s v=""/>
    <s v=""/>
    <s v=""/>
    <s v=""/>
    <s v=""/>
    <s v=""/>
    <s v=""/>
    <s v="Femme"/>
    <s v="18"/>
    <s v="refugie"/>
    <s v=""/>
    <s v=""/>
    <s v=""/>
    <s v=""/>
    <s v=""/>
    <s v="mali"/>
    <s v="menaka"/>
    <s v="anderamboukane"/>
    <s v=""/>
    <s v=""/>
    <s v=""/>
    <s v=""/>
    <s v="oui"/>
    <s v="Vols_braquages Violences_physique_civils"/>
    <s v="0"/>
    <s v="0"/>
    <s v="1"/>
    <s v="0"/>
    <s v="1"/>
    <s v="0"/>
    <s v="0"/>
    <s v="0"/>
    <s v="0"/>
    <s v="0"/>
    <s v="0"/>
    <s v="0"/>
    <s v="0"/>
    <s v="0"/>
    <s v=""/>
    <s v="Toute_population"/>
    <s v="0"/>
    <s v="0"/>
    <s v="0"/>
    <s v="0"/>
    <s v="0"/>
    <s v="0"/>
    <s v="0"/>
    <s v="0"/>
    <s v="0"/>
    <s v="0"/>
    <s v="1"/>
    <s v="0"/>
    <s v="0"/>
    <s v="0"/>
    <s v=""/>
    <s v="4"/>
    <s v="augmente"/>
    <s v=""/>
    <s v="oui"/>
    <s v="viol enscrimination_acces_services"/>
    <s v="1"/>
    <s v="0"/>
    <s v="0"/>
    <s v="0"/>
    <s v="0"/>
    <s v="0"/>
    <s v="0"/>
    <s v="0"/>
    <s v="0"/>
    <s v="0"/>
    <s v="0"/>
    <s v="1"/>
    <s v="0"/>
    <s v="0"/>
    <s v="0"/>
    <s v=""/>
    <s v="Femmes Hommes"/>
    <s v="0"/>
    <s v="0"/>
    <s v="0"/>
    <s v="0"/>
    <s v="1"/>
    <s v="1"/>
    <s v="0"/>
    <s v="0"/>
    <s v="0"/>
    <s v="0"/>
    <s v="0"/>
    <s v="0"/>
    <s v="0"/>
    <s v="0"/>
    <s v=""/>
    <s v="2"/>
    <s v="diminue"/>
    <s v=""/>
    <s v="diminution_moyens_existence hausse_chomeurs"/>
    <s v="1"/>
    <s v="0"/>
    <s v="0"/>
    <s v="0"/>
    <s v="0"/>
    <s v="0"/>
    <s v="1"/>
    <s v="0"/>
    <s v="0"/>
    <s v="0"/>
    <s v=""/>
    <s v="dim_tensions_intercomm autre"/>
    <s v="0"/>
    <s v="0"/>
    <s v="0"/>
    <s v="1"/>
    <s v="0"/>
    <s v="0"/>
    <s v="1"/>
    <s v="0"/>
    <s v="0"/>
    <s v="Sensibilisation"/>
    <s v=""/>
    <s v="Soutien_psychosocial"/>
    <s v="0"/>
    <s v="0"/>
    <s v="0"/>
    <s v="0"/>
    <s v="1"/>
    <s v="0"/>
    <s v="0"/>
    <s v="0"/>
    <s v="0"/>
    <s v=""/>
    <s v=""/>
    <s v="femmes_elite comite_protection comite_alerte comite_gestion_conflits"/>
    <s v="1"/>
    <s v="1"/>
    <s v="0"/>
    <s v="1"/>
    <s v="0"/>
    <s v="1"/>
    <s v="0"/>
    <s v="0"/>
    <s v="0"/>
    <s v="0"/>
    <s v=""/>
    <s v="oui"/>
    <s v="Radio_television manif_sociales"/>
    <s v="1"/>
    <s v="0"/>
    <s v="0"/>
    <s v="1"/>
    <s v="0"/>
    <s v="0"/>
    <s v="0"/>
    <s v="0"/>
    <s v="0"/>
    <s v="0"/>
    <s v="0"/>
    <s v="0"/>
    <s v="0"/>
    <s v="0"/>
    <s v=""/>
    <s v="oui_ensemble"/>
    <s v="oui_ensemble"/>
    <s v=""/>
    <s v=""/>
    <s v=""/>
    <s v=""/>
    <s v=""/>
    <s v=""/>
    <s v=""/>
    <s v=""/>
    <s v=""/>
    <s v=""/>
    <s v="ensemble"/>
    <s v="ensemble"/>
    <s v="Services_de_sante Acces_aux_doc Education"/>
    <s v="0"/>
    <s v="1"/>
    <s v="0"/>
    <s v="1"/>
    <s v="1"/>
    <s v="0"/>
    <s v="0"/>
    <s v="0"/>
    <s v="0"/>
    <s v=""/>
    <s v="oui_ensemble"/>
    <s v="oui_ensemble"/>
    <s v="amelioration_futur repond_besoins_pop"/>
    <s v="1"/>
    <s v="1"/>
    <s v="0"/>
    <s v="0"/>
    <s v="0"/>
    <s v="0"/>
    <s v="0"/>
    <s v="0"/>
    <s v=""/>
    <s v=""/>
    <s v=""/>
    <s v=""/>
    <s v=""/>
    <s v=""/>
    <s v=""/>
    <s v=""/>
    <s v=""/>
    <s v=""/>
    <s v="oui_ensemble"/>
    <s v="ong_locale autorite_locale_leaders"/>
    <s v="0"/>
    <s v="0"/>
    <s v="1"/>
    <s v="0"/>
    <s v="0"/>
    <s v="1"/>
    <s v="0"/>
    <s v="0"/>
    <s v="0"/>
    <s v="0"/>
    <s v=""/>
    <s v=""/>
    <s v=""/>
    <s v="Femmes Hommes"/>
    <s v="0"/>
    <s v="0"/>
    <s v="0"/>
    <s v="0"/>
    <s v="1"/>
    <s v="1"/>
    <s v="0"/>
    <s v="0"/>
    <s v="0"/>
    <s v="0"/>
    <s v="0"/>
    <s v="0"/>
    <s v="0"/>
    <s v="0"/>
    <s v=""/>
    <s v="70"/>
    <s v="Services_medicaux"/>
    <s v="0"/>
    <s v="1"/>
    <s v="0"/>
    <s v="0"/>
    <s v="0"/>
    <s v="0"/>
    <s v="0"/>
    <s v="0"/>
    <s v="0"/>
    <s v="0"/>
    <s v=""/>
    <s v="prise_enchage reorientation"/>
    <s v="1"/>
    <s v="1"/>
    <s v="0"/>
    <s v="0"/>
    <s v="0"/>
    <s v="0"/>
    <s v=""/>
    <s v="point_ecoute"/>
    <s v="0"/>
    <s v="0"/>
    <s v="1"/>
    <s v="0"/>
    <s v="0"/>
    <s v="0"/>
    <s v="0"/>
    <s v="0"/>
    <s v="0"/>
    <s v=""/>
    <s v="point_ecoute"/>
    <s v="0"/>
    <s v="0"/>
    <s v="1"/>
    <s v="0"/>
    <s v="0"/>
    <s v="0"/>
    <s v="0"/>
    <s v="0"/>
    <s v="0"/>
    <s v=""/>
    <s v=""/>
    <s v="oui"/>
    <s v="Aucun"/>
    <s v="0"/>
    <s v="0"/>
    <s v="0"/>
    <s v="0"/>
    <s v="0"/>
    <s v="0"/>
    <s v="0"/>
    <s v="0"/>
    <s v="0"/>
    <s v="1"/>
    <s v="0"/>
    <s v=""/>
    <s v=""/>
    <s v=""/>
    <s v=""/>
    <s v=""/>
    <s v=""/>
    <s v=""/>
    <s v=""/>
    <s v=""/>
    <s v="non"/>
    <s v=""/>
    <s v=""/>
    <s v=""/>
    <s v=""/>
    <s v=""/>
    <s v=""/>
    <s v=""/>
    <s v=""/>
    <s v=""/>
    <s v=""/>
    <s v=""/>
    <s v=""/>
    <s v=""/>
    <s v="oui"/>
    <s v=""/>
    <s v=""/>
    <n v="169049312"/>
    <s v="38fe8d2d-7084-478b-a88e-1ed43400b505"/>
    <s v="2021-04-01T07:58:02"/>
    <s v=""/>
    <s v="[]"/>
    <s v="submitted_via_web"/>
    <s v="reach_niger"/>
    <s v=""/>
    <n v="11"/>
  </r>
  <r>
    <s v="2021-04-16T10:50:10.170+01:00"/>
    <s v="2021-04-16T11:16:23.863+01:00"/>
    <s v="2021-04-16"/>
    <s v=""/>
    <s v=""/>
    <s v="Homme"/>
    <x v="1"/>
    <x v="1"/>
    <x v="2"/>
    <s v=""/>
    <s v=""/>
    <s v=""/>
    <s v=""/>
    <s v=""/>
    <s v=""/>
    <s v=""/>
    <s v=""/>
    <s v="Femme"/>
    <s v="21"/>
    <s v="deplace_interne"/>
    <s v=""/>
    <s v=""/>
    <s v=""/>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Soutien_famille_amis"/>
    <s v="0"/>
    <s v="0"/>
    <s v="1"/>
    <s v="0"/>
    <s v="0"/>
    <s v="0"/>
    <s v="0"/>
    <s v="0"/>
    <s v="0"/>
    <s v=""/>
    <s v=""/>
    <s v="Ne_sait_pas"/>
    <s v="0"/>
    <s v="0"/>
    <s v="0"/>
    <s v="0"/>
    <s v="0"/>
    <s v="0"/>
    <s v="0"/>
    <s v="0"/>
    <s v="1"/>
    <s v="0"/>
    <s v=""/>
    <s v="non"/>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Pas de problèmes  majeurs liés à la sécurité"/>
    <n v="171960792"/>
    <s v="59f44817-3708-4968-9688-e9c008862d84"/>
    <s v="2021-04-16T11:53:01"/>
    <s v=""/>
    <s v="[]"/>
    <s v="submitted_via_web"/>
    <s v="reach_niger"/>
    <s v=""/>
    <n v="69"/>
  </r>
  <r>
    <s v="2021-04-02T17:47:07.086+01:00"/>
    <s v="2021-04-02T18:21:43.405+01:00"/>
    <s v="2021-04-02"/>
    <s v=""/>
    <s v=""/>
    <s v="Femme"/>
    <x v="1"/>
    <x v="1"/>
    <x v="3"/>
    <s v=""/>
    <s v=""/>
    <s v=""/>
    <s v=""/>
    <s v=""/>
    <s v=""/>
    <s v=""/>
    <s v=""/>
    <s v="Femme"/>
    <s v="30"/>
    <s v="deplace_interne"/>
    <s v=""/>
    <s v="Autre"/>
    <s v="Leader des femmes"/>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pas_de_mecanismes"/>
    <s v="0"/>
    <s v="0"/>
    <s v="0"/>
    <s v="0"/>
    <s v="0"/>
    <s v="0"/>
    <s v="1"/>
    <s v="0"/>
    <s v="0"/>
    <s v=""/>
    <s v=""/>
    <s v="famille_accueil"/>
    <s v="0"/>
    <s v="0"/>
    <s v="1"/>
    <s v="0"/>
    <s v="0"/>
    <s v="0"/>
    <s v="0"/>
    <s v="0"/>
    <s v="0"/>
    <s v="0"/>
    <s v=""/>
    <s v="oui"/>
    <s v="famille_amis"/>
    <s v="0"/>
    <s v="0"/>
    <s v="0"/>
    <s v="0"/>
    <s v="0"/>
    <s v="1"/>
    <s v="0"/>
    <s v="0"/>
    <s v="0"/>
    <s v="0"/>
    <s v="0"/>
    <s v="0"/>
    <s v="0"/>
    <s v="0"/>
    <s v=""/>
    <s v="oui_majorite"/>
    <s v="oui_ensemble"/>
    <s v=""/>
    <s v=""/>
    <s v=""/>
    <s v=""/>
    <s v=""/>
    <s v=""/>
    <s v=""/>
    <s v=""/>
    <s v=""/>
    <s v=""/>
    <s v="moitie"/>
    <s v="ensemble"/>
    <s v="Education Services_de_sante Acces_aux_doc"/>
    <s v="0"/>
    <s v="1"/>
    <s v="0"/>
    <s v="1"/>
    <s v="1"/>
    <s v="0"/>
    <s v="0"/>
    <s v="0"/>
    <s v="0"/>
    <s v=""/>
    <s v="oui_ensemble"/>
    <s v="oui_ensemble"/>
    <s v="repond_besoins_pop permet_obtenir_conseils permet_eviter_conflits"/>
    <s v="0"/>
    <s v="1"/>
    <s v="1"/>
    <s v="1"/>
    <s v="0"/>
    <s v="0"/>
    <s v="0"/>
    <s v="0"/>
    <s v=""/>
    <s v=""/>
    <s v=""/>
    <s v=""/>
    <s v=""/>
    <s v=""/>
    <s v=""/>
    <s v=""/>
    <s v=""/>
    <s v=""/>
    <s v="oui_ensemble"/>
    <s v="ingo"/>
    <s v="0"/>
    <s v="0"/>
    <s v="0"/>
    <s v="0"/>
    <s v="1"/>
    <s v="0"/>
    <s v="0"/>
    <s v="0"/>
    <s v="0"/>
    <s v="0"/>
    <s v=""/>
    <s v=""/>
    <s v=""/>
    <s v=""/>
    <s v=""/>
    <s v=""/>
    <s v=""/>
    <s v=""/>
    <s v=""/>
    <s v=""/>
    <s v=""/>
    <s v=""/>
    <s v=""/>
    <s v=""/>
    <s v=""/>
    <s v=""/>
    <s v=""/>
    <s v=""/>
    <s v=""/>
    <s v="2"/>
    <s v="Services_medicaux Services_educatifs acces_docs"/>
    <s v="0"/>
    <s v="1"/>
    <s v="1"/>
    <s v="0"/>
    <s v="1"/>
    <s v="0"/>
    <s v="0"/>
    <s v="0"/>
    <s v="0"/>
    <s v="0"/>
    <s v=""/>
    <s v="Autre"/>
    <s v="0"/>
    <s v="0"/>
    <s v="0"/>
    <s v="1"/>
    <s v="0"/>
    <s v="0"/>
    <s v=""/>
    <s v=""/>
    <s v=""/>
    <s v=""/>
    <s v=""/>
    <s v=""/>
    <s v=""/>
    <s v=""/>
    <s v=""/>
    <s v=""/>
    <s v=""/>
    <s v=""/>
    <s v="Psychosocia medical point_ecoute"/>
    <s v="1"/>
    <s v="1"/>
    <s v="1"/>
    <s v="0"/>
    <s v="0"/>
    <s v="0"/>
    <s v="0"/>
    <s v="0"/>
    <s v="0"/>
    <s v=""/>
    <s v=""/>
    <s v="non"/>
    <s v=""/>
    <s v=""/>
    <s v=""/>
    <s v=""/>
    <s v=""/>
    <s v=""/>
    <s v=""/>
    <s v=""/>
    <s v=""/>
    <s v=""/>
    <s v=""/>
    <s v=""/>
    <s v=""/>
    <s v=""/>
    <s v=""/>
    <s v=""/>
    <s v=""/>
    <s v=""/>
    <s v=""/>
    <s v=""/>
    <s v=""/>
    <s v="non"/>
    <s v=""/>
    <s v=""/>
    <s v=""/>
    <s v=""/>
    <s v=""/>
    <s v=""/>
    <s v=""/>
    <s v=""/>
    <s v=""/>
    <s v=""/>
    <s v=""/>
    <s v=""/>
    <s v=""/>
    <s v="oui"/>
    <s v=""/>
    <s v=""/>
    <n v="169365590"/>
    <s v="76d87426-db08-4fc3-aaa5-2543b6b57761"/>
    <s v="2021-04-03T00:04:39"/>
    <s v=""/>
    <s v="[]"/>
    <s v="submitted_via_web"/>
    <s v="reach_niger"/>
    <s v=""/>
    <n v="35"/>
  </r>
  <r>
    <s v="2021-04-01T12:08:54.489+01:00"/>
    <s v="2021-04-01T14:29:33.300+01:00"/>
    <s v="2021-04-01"/>
    <s v=""/>
    <s v=""/>
    <s v="Homme"/>
    <x v="1"/>
    <x v="1"/>
    <x v="2"/>
    <s v=""/>
    <s v=""/>
    <s v=""/>
    <s v=""/>
    <s v=""/>
    <s v=""/>
    <s v=""/>
    <s v=""/>
    <s v="Homme"/>
    <s v="35"/>
    <s v="deplace_interne"/>
    <s v=""/>
    <s v=""/>
    <s v=""/>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outien_famille_amis Soutien_chef_village Soutien_psychosocial"/>
    <s v="1"/>
    <s v="1"/>
    <s v="1"/>
    <s v="1"/>
    <s v="1"/>
    <s v="0"/>
    <s v="0"/>
    <s v="0"/>
    <s v="0"/>
    <s v=""/>
    <s v=""/>
    <s v="famille_accueil comite_protection"/>
    <s v="0"/>
    <s v="1"/>
    <s v="1"/>
    <s v="0"/>
    <s v="0"/>
    <s v="0"/>
    <s v="0"/>
    <s v="0"/>
    <s v="0"/>
    <s v="0"/>
    <s v=""/>
    <s v="oui"/>
    <s v="manif_sociales Chef_village famille_amis Differents_comites_villageois Travailleurs_sociaux/hum"/>
    <s v="0"/>
    <s v="0"/>
    <s v="0"/>
    <s v="1"/>
    <s v="1"/>
    <s v="1"/>
    <s v="0"/>
    <s v="0"/>
    <s v="1"/>
    <s v="0"/>
    <s v="1"/>
    <s v="0"/>
    <s v="0"/>
    <s v="0"/>
    <s v=""/>
    <s v="oui_majorite"/>
    <s v="oui_minorite"/>
    <s v="manque_info non_fonctionnelle"/>
    <s v="1"/>
    <s v="1"/>
    <s v="0"/>
    <s v="0"/>
    <s v="0"/>
    <s v="0"/>
    <s v="0"/>
    <s v="0"/>
    <s v=""/>
    <s v="minorite"/>
    <s v="majorite"/>
    <s v="Education Services_de_sante Acces_aux_doc"/>
    <s v="0"/>
    <s v="1"/>
    <s v="0"/>
    <s v="1"/>
    <s v="1"/>
    <s v="0"/>
    <s v="0"/>
    <s v="0"/>
    <s v="0"/>
    <s v=""/>
    <s v="oui_majorite"/>
    <s v="oui_majorite"/>
    <s v="amelioration_futur repond_besoins_pop permet_obtenir_conseils"/>
    <s v="1"/>
    <s v="1"/>
    <s v="1"/>
    <s v="0"/>
    <s v="0"/>
    <s v="0"/>
    <s v="0"/>
    <s v="0"/>
    <s v=""/>
    <s v="ne_contribue_pas"/>
    <s v="1"/>
    <s v="0"/>
    <s v="0"/>
    <s v="0"/>
    <s v="0"/>
    <s v="0"/>
    <s v=""/>
    <s v=""/>
    <s v="oui_minorite"/>
    <s v="gvt fds_arme autorite_locale_leaders un_agencies ingo ong_locale"/>
    <s v="1"/>
    <s v="1"/>
    <s v="1"/>
    <s v="1"/>
    <s v="1"/>
    <s v="1"/>
    <s v="0"/>
    <s v="0"/>
    <s v="0"/>
    <s v="0"/>
    <s v=""/>
    <s v="oui"/>
    <s v=""/>
    <s v=""/>
    <s v=""/>
    <s v=""/>
    <s v=""/>
    <s v=""/>
    <s v=""/>
    <s v=""/>
    <s v=""/>
    <s v=""/>
    <s v=""/>
    <s v=""/>
    <s v=""/>
    <s v=""/>
    <s v=""/>
    <s v=""/>
    <s v=""/>
    <s v="14"/>
    <s v="Services_medicaux Services_educatifs acces_docs"/>
    <s v="0"/>
    <s v="1"/>
    <s v="1"/>
    <s v="0"/>
    <s v="1"/>
    <s v="0"/>
    <s v="0"/>
    <s v="0"/>
    <s v="0"/>
    <s v="0"/>
    <s v=""/>
    <s v="signalement reorientation"/>
    <s v="0"/>
    <s v="1"/>
    <s v="1"/>
    <s v="0"/>
    <s v="0"/>
    <s v="0"/>
    <s v=""/>
    <s v=""/>
    <s v=""/>
    <s v=""/>
    <s v=""/>
    <s v=""/>
    <s v=""/>
    <s v=""/>
    <s v=""/>
    <s v=""/>
    <s v=""/>
    <s v=""/>
    <s v="medical surete reinsertion"/>
    <s v="1"/>
    <s v="0"/>
    <s v="0"/>
    <s v="0"/>
    <s v="1"/>
    <s v="1"/>
    <s v="0"/>
    <s v="0"/>
    <s v="0"/>
    <s v=""/>
    <s v=""/>
    <s v="non"/>
    <s v=""/>
    <s v=""/>
    <s v=""/>
    <s v=""/>
    <s v=""/>
    <s v=""/>
    <s v=""/>
    <s v=""/>
    <s v=""/>
    <s v=""/>
    <s v=""/>
    <s v=""/>
    <s v=""/>
    <s v=""/>
    <s v=""/>
    <s v=""/>
    <s v=""/>
    <s v=""/>
    <s v=""/>
    <s v=""/>
    <s v=""/>
    <s v="non"/>
    <s v=""/>
    <s v=""/>
    <s v=""/>
    <s v=""/>
    <s v=""/>
    <s v=""/>
    <s v=""/>
    <s v=""/>
    <s v=""/>
    <s v=""/>
    <s v=""/>
    <s v=""/>
    <s v=""/>
    <s v="oui"/>
    <s v=""/>
    <s v="Le nombre de personnes qui utilise le référencement est estimatif l'IC ne possede pas les statistiques exactes."/>
    <n v="169235217"/>
    <s v="6ca50534-f189-442a-a32d-0405d9b74d30"/>
    <s v="2021-04-02T00:40:51"/>
    <s v=""/>
    <s v="[]"/>
    <s v="submitted_via_web"/>
    <s v="reach_niger"/>
    <s v=""/>
    <n v="20"/>
  </r>
  <r>
    <s v="2021-04-16T08:50:58.366+01:00"/>
    <s v="2021-04-16T09:35:42.063+01:00"/>
    <s v="2021-04-16"/>
    <s v=""/>
    <s v=""/>
    <s v="Homme"/>
    <x v="1"/>
    <x v="1"/>
    <x v="2"/>
    <s v=""/>
    <s v=""/>
    <s v=""/>
    <s v=""/>
    <s v=""/>
    <s v=""/>
    <s v=""/>
    <s v=""/>
    <s v="Homme"/>
    <s v="50"/>
    <s v="deplace_interne"/>
    <s v=""/>
    <s v=""/>
    <s v=""/>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outien_chef_village"/>
    <s v="0"/>
    <s v="1"/>
    <s v="0"/>
    <s v="1"/>
    <s v="0"/>
    <s v="0"/>
    <s v="0"/>
    <s v="0"/>
    <s v="0"/>
    <s v=""/>
    <s v=""/>
    <s v="comite_protection comite_gestion_conflits"/>
    <s v="0"/>
    <s v="1"/>
    <s v="0"/>
    <s v="0"/>
    <s v="0"/>
    <s v="1"/>
    <s v="0"/>
    <s v="0"/>
    <s v="0"/>
    <s v="0"/>
    <s v=""/>
    <s v="oui"/>
    <s v="Radio_television Internet Differents_comites_villageois Chef_village"/>
    <s v="1"/>
    <s v="0"/>
    <s v="1"/>
    <s v="0"/>
    <s v="1"/>
    <s v="0"/>
    <s v="0"/>
    <s v="0"/>
    <s v="1"/>
    <s v="0"/>
    <s v="0"/>
    <s v="0"/>
    <s v="0"/>
    <s v="0"/>
    <s v=""/>
    <s v="oui_majorite"/>
    <s v="oui_ensemble"/>
    <s v=""/>
    <s v=""/>
    <s v=""/>
    <s v=""/>
    <s v=""/>
    <s v=""/>
    <s v=""/>
    <s v=""/>
    <s v=""/>
    <s v=""/>
    <s v="moitie"/>
    <s v="ensemble"/>
    <s v="Education Services_de_sante Acces_aux_doc Suivi_judiciaire"/>
    <s v="0"/>
    <s v="1"/>
    <s v="0"/>
    <s v="1"/>
    <s v="1"/>
    <s v="1"/>
    <s v="0"/>
    <s v="0"/>
    <s v="0"/>
    <s v=""/>
    <s v="oui_majorite"/>
    <s v="oui_ensemble"/>
    <s v="repond_besoins_pop diminution_tensions amelioration_futur"/>
    <s v="1"/>
    <s v="1"/>
    <s v="0"/>
    <s v="0"/>
    <s v="0"/>
    <s v="1"/>
    <s v="0"/>
    <s v="0"/>
    <s v=""/>
    <s v="non_obtention_info ne_contribue_pas"/>
    <s v="1"/>
    <s v="0"/>
    <s v="1"/>
    <s v="0"/>
    <s v="0"/>
    <s v="0"/>
    <s v=""/>
    <s v=""/>
    <s v="oui_minorite"/>
    <s v="ingo"/>
    <s v="0"/>
    <s v="0"/>
    <s v="0"/>
    <s v="0"/>
    <s v="1"/>
    <s v="0"/>
    <s v="0"/>
    <s v="0"/>
    <s v="0"/>
    <s v="0"/>
    <s v=""/>
    <s v="oui"/>
    <s v=""/>
    <s v=""/>
    <s v=""/>
    <s v=""/>
    <s v=""/>
    <s v=""/>
    <s v=""/>
    <s v=""/>
    <s v=""/>
    <s v=""/>
    <s v=""/>
    <s v=""/>
    <s v=""/>
    <s v=""/>
    <s v=""/>
    <s v=""/>
    <s v=""/>
    <s v="5"/>
    <s v="Services_medicaux acces_docs service_judiciaire points_ecoute"/>
    <s v="0"/>
    <s v="1"/>
    <s v="0"/>
    <s v="0"/>
    <s v="1"/>
    <s v="1"/>
    <s v="0"/>
    <s v="1"/>
    <s v="0"/>
    <s v="0"/>
    <s v=""/>
    <s v="signalement reorientation prise_enchage"/>
    <s v="1"/>
    <s v="1"/>
    <s v="1"/>
    <s v="0"/>
    <s v="0"/>
    <s v="0"/>
    <s v=""/>
    <s v="point_ecoute medical"/>
    <s v="1"/>
    <s v="0"/>
    <s v="1"/>
    <s v="0"/>
    <s v="0"/>
    <s v="0"/>
    <s v="0"/>
    <s v="0"/>
    <s v="0"/>
    <s v=""/>
    <s v="medical juridique surete"/>
    <s v="1"/>
    <s v="0"/>
    <s v="0"/>
    <s v="1"/>
    <s v="1"/>
    <s v="0"/>
    <s v="0"/>
    <s v="0"/>
    <s v="0"/>
    <s v=""/>
    <s v=""/>
    <s v="non"/>
    <s v=""/>
    <s v=""/>
    <s v=""/>
    <s v=""/>
    <s v=""/>
    <s v=""/>
    <s v=""/>
    <s v=""/>
    <s v=""/>
    <s v=""/>
    <s v=""/>
    <s v=""/>
    <s v=""/>
    <s v=""/>
    <s v=""/>
    <s v=""/>
    <s v=""/>
    <s v=""/>
    <s v=""/>
    <s v=""/>
    <s v=""/>
    <s v="non"/>
    <s v=""/>
    <s v=""/>
    <s v=""/>
    <s v=""/>
    <s v=""/>
    <s v=""/>
    <s v=""/>
    <s v=""/>
    <s v=""/>
    <s v=""/>
    <s v=""/>
    <s v=""/>
    <s v=""/>
    <s v="oui"/>
    <s v=""/>
    <s v=""/>
    <n v="172011402"/>
    <s v="f7fb0afa-f30b-4d64-80bc-b8350cfd417a"/>
    <s v="2021-04-16T16:12:05"/>
    <s v=""/>
    <s v="[]"/>
    <s v="submitted_via_web"/>
    <s v="reach_niger"/>
    <s v=""/>
    <n v="72"/>
  </r>
  <r>
    <s v="2021-04-16T09:18:49.356+01:00"/>
    <s v="2021-04-16T10:40:20.601+01:00"/>
    <s v="2021-04-16"/>
    <s v=""/>
    <s v=""/>
    <s v="Homme"/>
    <x v="1"/>
    <x v="1"/>
    <x v="2"/>
    <s v=""/>
    <s v=""/>
    <s v=""/>
    <s v=""/>
    <s v=""/>
    <s v=""/>
    <s v=""/>
    <s v=""/>
    <s v="Homme"/>
    <s v="54"/>
    <s v="deplace_interne"/>
    <s v=""/>
    <s v=""/>
    <s v=""/>
    <s v=""/>
    <s v=""/>
    <s v="niger"/>
    <s v="tillaberi"/>
    <s v="ayerou"/>
    <s v=""/>
    <s v=""/>
    <s v=""/>
    <s v=""/>
    <s v="non"/>
    <s v=""/>
    <s v=""/>
    <s v=""/>
    <s v=""/>
    <s v=""/>
    <s v=""/>
    <s v=""/>
    <s v=""/>
    <s v=""/>
    <s v=""/>
    <s v=""/>
    <s v=""/>
    <s v=""/>
    <s v=""/>
    <s v=""/>
    <s v=""/>
    <s v=""/>
    <s v=""/>
    <s v=""/>
    <s v=""/>
    <s v=""/>
    <s v=""/>
    <s v=""/>
    <s v=""/>
    <s v=""/>
    <s v=""/>
    <s v=""/>
    <s v=""/>
    <s v=""/>
    <s v=""/>
    <s v=""/>
    <s v=""/>
    <s v=""/>
    <s v=""/>
    <s v=""/>
    <s v="oui"/>
    <s v="viol"/>
    <s v="1"/>
    <s v="0"/>
    <s v="0"/>
    <s v="0"/>
    <s v="0"/>
    <s v="0"/>
    <s v="0"/>
    <s v="0"/>
    <s v="0"/>
    <s v="0"/>
    <s v="0"/>
    <s v="0"/>
    <s v="0"/>
    <s v="0"/>
    <s v="0"/>
    <s v=""/>
    <s v="Femmes Filles"/>
    <s v="0"/>
    <s v="0"/>
    <s v="1"/>
    <s v="0"/>
    <s v="1"/>
    <s v="0"/>
    <s v="0"/>
    <s v="0"/>
    <s v="0"/>
    <s v="0"/>
    <s v="0"/>
    <s v="0"/>
    <s v="0"/>
    <s v="0"/>
    <s v=""/>
    <s v="1"/>
    <s v="stable"/>
    <s v=""/>
    <s v=""/>
    <s v=""/>
    <s v=""/>
    <s v=""/>
    <s v=""/>
    <s v=""/>
    <s v=""/>
    <s v=""/>
    <s v=""/>
    <s v=""/>
    <s v=""/>
    <s v=""/>
    <s v=""/>
    <s v=""/>
    <s v=""/>
    <s v=""/>
    <s v=""/>
    <s v=""/>
    <s v=""/>
    <s v=""/>
    <s v=""/>
    <s v=""/>
    <s v=""/>
    <s v=""/>
    <s v="Soutien_chef_village"/>
    <s v="0"/>
    <s v="0"/>
    <s v="0"/>
    <s v="1"/>
    <s v="0"/>
    <s v="0"/>
    <s v="0"/>
    <s v="0"/>
    <s v="0"/>
    <s v=""/>
    <s v=""/>
    <s v="Ne_sait_pas"/>
    <s v="0"/>
    <s v="0"/>
    <s v="0"/>
    <s v="0"/>
    <s v="0"/>
    <s v="0"/>
    <s v="0"/>
    <s v="0"/>
    <s v="1"/>
    <s v="0"/>
    <s v=""/>
    <s v="non"/>
    <s v=""/>
    <s v=""/>
    <s v=""/>
    <s v=""/>
    <s v=""/>
    <s v=""/>
    <s v=""/>
    <s v=""/>
    <s v=""/>
    <s v=""/>
    <s v=""/>
    <s v=""/>
    <s v=""/>
    <s v=""/>
    <s v=""/>
    <s v=""/>
    <s v=""/>
    <s v=""/>
    <s v=""/>
    <s v=""/>
    <s v=""/>
    <s v=""/>
    <s v=""/>
    <s v=""/>
    <s v=""/>
    <s v=""/>
    <s v=""/>
    <s v=""/>
    <s v=""/>
    <s v=""/>
    <s v=""/>
    <s v=""/>
    <s v=""/>
    <s v=""/>
    <s v=""/>
    <s v=""/>
    <s v=""/>
    <s v=""/>
    <s v=""/>
    <s v=""/>
    <s v=""/>
    <s v=""/>
    <s v=""/>
    <s v=""/>
    <s v=""/>
    <s v=""/>
    <s v=""/>
    <s v=""/>
    <s v=""/>
    <s v=""/>
    <s v=""/>
    <s v=""/>
    <s v=""/>
    <s v=""/>
    <s v=""/>
    <s v=""/>
    <s v=""/>
    <s v=""/>
    <s v=""/>
    <s v=""/>
    <s v=""/>
    <s v=""/>
    <s v="oui_ensemble"/>
    <s v="ingo"/>
    <s v="0"/>
    <s v="0"/>
    <s v="0"/>
    <s v="0"/>
    <s v="1"/>
    <s v="0"/>
    <s v="0"/>
    <s v="0"/>
    <s v="0"/>
    <s v="0"/>
    <s v=""/>
    <s v=""/>
    <s v=""/>
    <s v="Ne_sait_pas"/>
    <s v="0"/>
    <s v="0"/>
    <s v="0"/>
    <s v="0"/>
    <s v="0"/>
    <s v="0"/>
    <s v="0"/>
    <s v="0"/>
    <s v="0"/>
    <s v="0"/>
    <s v="0"/>
    <s v="1"/>
    <s v="0"/>
    <s v="0"/>
    <s v=""/>
    <s v="1"/>
    <s v="NA"/>
    <s v="NA"/>
    <s v="NA"/>
    <s v="NA"/>
    <s v="NA"/>
    <s v="NA"/>
    <s v="NA"/>
    <s v="NA"/>
    <s v="NA"/>
    <s v="NA"/>
    <s v="NA"/>
    <s v=""/>
    <s v="reorientation"/>
    <s v="0"/>
    <s v="1"/>
    <s v="0"/>
    <s v="0"/>
    <s v="0"/>
    <s v="0"/>
    <s v=""/>
    <s v=""/>
    <s v=""/>
    <s v=""/>
    <s v=""/>
    <s v=""/>
    <s v=""/>
    <s v=""/>
    <s v=""/>
    <s v=""/>
    <s v=""/>
    <s v=""/>
    <s v="juridique surete"/>
    <s v="0"/>
    <s v="0"/>
    <s v="0"/>
    <s v="1"/>
    <s v="1"/>
    <s v="0"/>
    <s v="0"/>
    <s v="0"/>
    <s v="0"/>
    <s v=""/>
    <s v=""/>
    <s v="non"/>
    <s v=""/>
    <s v=""/>
    <s v=""/>
    <s v=""/>
    <s v=""/>
    <s v=""/>
    <s v=""/>
    <s v=""/>
    <s v=""/>
    <s v=""/>
    <s v=""/>
    <s v=""/>
    <s v=""/>
    <s v=""/>
    <s v=""/>
    <s v=""/>
    <s v=""/>
    <s v=""/>
    <s v=""/>
    <s v=""/>
    <s v=""/>
    <s v="oui"/>
    <s v="menace_entourage menace_enlevement violence_physique"/>
    <s v="1"/>
    <s v="0"/>
    <s v="0"/>
    <s v="1"/>
    <s v="0"/>
    <s v="1"/>
    <s v="0"/>
    <s v="0"/>
    <s v="0"/>
    <s v="0"/>
    <s v=""/>
    <s v="non"/>
    <s v="oui"/>
    <s v=""/>
    <s v="Sensibilisation sur l'accès aux services de protection par les femmes et sur la consommation de drogues et autres stupéfiants par les jeunes sur le site"/>
    <n v="171960783"/>
    <s v="cb862c3a-2f65-4012-a589-4822ae7d753b"/>
    <s v="2021-04-16T11:53:00"/>
    <s v=""/>
    <s v="[]"/>
    <s v="submitted_via_web"/>
    <s v="reach_niger"/>
    <s v=""/>
    <n v="68"/>
  </r>
  <r>
    <s v="2021-04-02T18:16:11.391+01:00"/>
    <s v="2021-04-02T18:34:06.935+01:00"/>
    <s v="2021-04-02"/>
    <s v=""/>
    <s v=""/>
    <s v="Homme"/>
    <x v="1"/>
    <x v="1"/>
    <x v="4"/>
    <s v="Tous les sites PDI de la zone de compétence de l'IC"/>
    <s v=""/>
    <s v=""/>
    <s v=""/>
    <s v=""/>
    <s v=""/>
    <s v=""/>
    <s v=""/>
    <s v="Homme"/>
    <s v="34"/>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outien_famille_amis Soutien_chef_village Soutien_psychosocial Soutien_en_AGR"/>
    <s v="1"/>
    <s v="1"/>
    <s v="1"/>
    <s v="1"/>
    <s v="1"/>
    <s v="1"/>
    <s v="0"/>
    <s v="0"/>
    <s v="0"/>
    <s v=""/>
    <s v=""/>
    <s v="comite_protection famille_accueil comite_alerte comite_redevabilite comite_gestion_conflits enfant_pairs"/>
    <s v="0"/>
    <s v="1"/>
    <s v="1"/>
    <s v="1"/>
    <s v="1"/>
    <s v="1"/>
    <s v="1"/>
    <s v="0"/>
    <s v="0"/>
    <s v="0"/>
    <s v=""/>
    <s v="oui"/>
    <s v="Radio_television Internet manif_sociales famille_amis Differents_comites_villageois Travailleurs_sociaux/hum Ecole"/>
    <s v="1"/>
    <s v="0"/>
    <s v="1"/>
    <s v="1"/>
    <s v="0"/>
    <s v="1"/>
    <s v="0"/>
    <s v="0"/>
    <s v="1"/>
    <s v="0"/>
    <s v="1"/>
    <s v="1"/>
    <s v="0"/>
    <s v="0"/>
    <s v=""/>
    <s v="oui_majorite"/>
    <s v="oui_majorite"/>
    <s v="non_fonctionnelle manque_info"/>
    <s v="1"/>
    <s v="1"/>
    <s v="0"/>
    <s v="0"/>
    <s v="0"/>
    <s v="0"/>
    <s v="0"/>
    <s v="0"/>
    <s v=""/>
    <s v="minorite"/>
    <s v="majorite"/>
    <s v="Education Services_de_sante Acces_aux_doc"/>
    <s v="0"/>
    <s v="1"/>
    <s v="0"/>
    <s v="1"/>
    <s v="1"/>
    <s v="0"/>
    <s v="0"/>
    <s v="0"/>
    <s v="0"/>
    <s v=""/>
    <s v="oui_majorite"/>
    <s v="oui_majorite"/>
    <s v="amelioration_futur permet_eviter_conflits diminution_tensions"/>
    <s v="1"/>
    <s v="0"/>
    <s v="0"/>
    <s v="1"/>
    <s v="0"/>
    <s v="1"/>
    <s v="0"/>
    <s v="0"/>
    <s v=""/>
    <s v="ne_contribue_pas"/>
    <s v="1"/>
    <s v="0"/>
    <s v="0"/>
    <s v="0"/>
    <s v="0"/>
    <s v="0"/>
    <s v=""/>
    <s v=""/>
    <s v="oui_minorite"/>
    <s v="gvt fds_arme autorite_locale_leaders ingo ong_locale famille_amis"/>
    <s v="1"/>
    <s v="1"/>
    <s v="1"/>
    <s v="0"/>
    <s v="1"/>
    <s v="1"/>
    <s v="1"/>
    <s v="0"/>
    <s v="0"/>
    <s v="0"/>
    <s v=""/>
    <s v="oui"/>
    <s v=""/>
    <s v=""/>
    <s v=""/>
    <s v=""/>
    <s v=""/>
    <s v=""/>
    <s v=""/>
    <s v=""/>
    <s v=""/>
    <s v=""/>
    <s v=""/>
    <s v=""/>
    <s v=""/>
    <s v=""/>
    <s v=""/>
    <s v=""/>
    <s v=""/>
    <s v="8"/>
    <s v="Services_medicaux Services_educatifs acces_docs reinsertion"/>
    <s v="0"/>
    <s v="1"/>
    <s v="1"/>
    <s v="0"/>
    <s v="1"/>
    <s v="0"/>
    <s v="0"/>
    <s v="0"/>
    <s v="1"/>
    <s v="0"/>
    <s v=""/>
    <s v="prise_enchage reorientation signalement"/>
    <s v="1"/>
    <s v="1"/>
    <s v="1"/>
    <s v="0"/>
    <s v="0"/>
    <s v="0"/>
    <s v=""/>
    <s v="medical juridique surete"/>
    <s v="1"/>
    <s v="0"/>
    <s v="0"/>
    <s v="1"/>
    <s v="1"/>
    <s v="0"/>
    <s v="0"/>
    <s v="0"/>
    <s v="0"/>
    <s v=""/>
    <s v="centre_formation"/>
    <s v="0"/>
    <s v="0"/>
    <s v="0"/>
    <s v="0"/>
    <s v="0"/>
    <s v="0"/>
    <s v="1"/>
    <s v="0"/>
    <s v="0"/>
    <s v=""/>
    <s v=""/>
    <s v="non"/>
    <s v=""/>
    <s v=""/>
    <s v=""/>
    <s v=""/>
    <s v=""/>
    <s v=""/>
    <s v=""/>
    <s v=""/>
    <s v=""/>
    <s v=""/>
    <s v=""/>
    <s v=""/>
    <s v=""/>
    <s v=""/>
    <s v=""/>
    <s v=""/>
    <s v=""/>
    <s v=""/>
    <s v=""/>
    <s v=""/>
    <s v=""/>
    <s v="non"/>
    <s v=""/>
    <s v=""/>
    <s v=""/>
    <s v=""/>
    <s v=""/>
    <s v=""/>
    <s v=""/>
    <s v=""/>
    <s v=""/>
    <s v=""/>
    <s v=""/>
    <s v=""/>
    <s v=""/>
    <s v="oui"/>
    <s v=""/>
    <s v=""/>
    <n v="169365634"/>
    <s v="2a86fdfe-cbe9-49c3-a512-9e3904f03dcb"/>
    <s v="2021-04-03T00:05:37"/>
    <s v=""/>
    <s v="[]"/>
    <s v="submitted_via_web"/>
    <s v="reach_niger"/>
    <s v=""/>
    <n v="36"/>
  </r>
  <r>
    <s v="2021-03-31T12:27:01.898+01:00"/>
    <s v="2021-03-31T15:49:12.315+01:00"/>
    <s v="2021-03-31"/>
    <s v=""/>
    <s v=""/>
    <s v="Homme"/>
    <x v="1"/>
    <x v="1"/>
    <x v="2"/>
    <s v=""/>
    <s v=""/>
    <s v=""/>
    <s v=""/>
    <s v=""/>
    <s v=""/>
    <s v=""/>
    <s v=""/>
    <s v="Homme"/>
    <s v="31"/>
    <s v="deplace_interne"/>
    <s v=""/>
    <s v=""/>
    <s v=""/>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outien_chef_village Soutien_psychosocial Soutien_en_AGR"/>
    <s v="1"/>
    <s v="1"/>
    <s v="0"/>
    <s v="1"/>
    <s v="1"/>
    <s v="1"/>
    <s v="0"/>
    <s v="0"/>
    <s v="0"/>
    <s v=""/>
    <s v=""/>
    <s v="comite_protection famille_accueil comite_gestion_conflits comite_redevabilite"/>
    <s v="0"/>
    <s v="1"/>
    <s v="1"/>
    <s v="0"/>
    <s v="1"/>
    <s v="1"/>
    <s v="0"/>
    <s v="0"/>
    <s v="0"/>
    <s v="0"/>
    <s v=""/>
    <s v="oui"/>
    <s v="manif_sociales Chef_village famille_amis"/>
    <s v="0"/>
    <s v="0"/>
    <s v="0"/>
    <s v="1"/>
    <s v="1"/>
    <s v="1"/>
    <s v="0"/>
    <s v="0"/>
    <s v="0"/>
    <s v="0"/>
    <s v="0"/>
    <s v="0"/>
    <s v="0"/>
    <s v="0"/>
    <s v=""/>
    <s v="oui_majorite"/>
    <s v="oui_majorite"/>
    <s v="non_fonctionnelle manque_info"/>
    <s v="1"/>
    <s v="1"/>
    <s v="0"/>
    <s v="0"/>
    <s v="0"/>
    <s v="0"/>
    <s v="0"/>
    <n v="0"/>
    <s v=""/>
    <s v="majorite"/>
    <s v="minorite"/>
    <s v="Education Service_de_counseling Services_de_sante Acces_aux_doc Programme_AGR"/>
    <s v="0"/>
    <s v="1"/>
    <s v="1"/>
    <s v="1"/>
    <s v="1"/>
    <s v="0"/>
    <s v="1"/>
    <s v="0"/>
    <s v="0"/>
    <s v=""/>
    <s v="oui_ensemble"/>
    <s v="oui_majorite"/>
    <s v="amelioration_futur repond_besoins_pop permet_obtenir_conseils"/>
    <s v="1"/>
    <s v="1"/>
    <s v="1"/>
    <s v="0"/>
    <s v="0"/>
    <s v="0"/>
    <s v="0"/>
    <s v="0"/>
    <s v=""/>
    <s v="ne_contribue_pas"/>
    <s v="1"/>
    <s v="0"/>
    <s v="0"/>
    <s v="0"/>
    <s v="0"/>
    <s v="0"/>
    <s v=""/>
    <s v=""/>
    <s v="oui_minorite"/>
    <s v="ingo"/>
    <s v="0"/>
    <s v="0"/>
    <s v="0"/>
    <s v="0"/>
    <s v="1"/>
    <s v="0"/>
    <s v="0"/>
    <s v="0"/>
    <s v="0"/>
    <s v="0"/>
    <s v=""/>
    <s v="oui"/>
    <s v=""/>
    <s v=""/>
    <s v=""/>
    <s v=""/>
    <s v=""/>
    <s v=""/>
    <s v=""/>
    <s v=""/>
    <s v=""/>
    <s v=""/>
    <s v=""/>
    <s v=""/>
    <s v=""/>
    <s v=""/>
    <s v=""/>
    <s v=""/>
    <s v=""/>
    <s v="50"/>
    <s v="Services_medicaux Services_educatifs Services_conseil acces_docs programme_agr reinsertion"/>
    <s v="0"/>
    <s v="1"/>
    <s v="1"/>
    <s v="1"/>
    <s v="1"/>
    <s v="0"/>
    <s v="1"/>
    <s v="0"/>
    <s v="1"/>
    <s v="0"/>
    <s v=""/>
    <s v="reorientation signalement prise_enchage"/>
    <s v="1"/>
    <s v="1"/>
    <s v="1"/>
    <s v="0"/>
    <s v="0"/>
    <s v="0"/>
    <s v=""/>
    <s v="Psychosocia surete"/>
    <s v="0"/>
    <s v="1"/>
    <s v="0"/>
    <s v="0"/>
    <s v="1"/>
    <s v="0"/>
    <s v="0"/>
    <s v="0"/>
    <s v="0"/>
    <s v=""/>
    <s v="medical juridique reinsertion centre_formation"/>
    <s v="1"/>
    <s v="0"/>
    <s v="0"/>
    <s v="1"/>
    <s v="0"/>
    <s v="1"/>
    <s v="1"/>
    <s v="0"/>
    <s v="0"/>
    <s v=""/>
    <s v=""/>
    <s v="oui"/>
    <s v="manque_moyens manque_personnes manque_cordination insecurite_zone"/>
    <s v="1"/>
    <s v="1"/>
    <s v="0"/>
    <s v="0"/>
    <s v="1"/>
    <s v="0"/>
    <s v="1"/>
    <s v="0"/>
    <s v="0"/>
    <s v="0"/>
    <s v="0"/>
    <s v=""/>
    <s v=""/>
    <s v=""/>
    <s v=""/>
    <s v=""/>
    <s v=""/>
    <s v=""/>
    <s v=""/>
    <s v=""/>
    <s v="non"/>
    <s v=""/>
    <s v=""/>
    <s v=""/>
    <s v=""/>
    <s v=""/>
    <s v=""/>
    <s v=""/>
    <s v=""/>
    <s v=""/>
    <s v=""/>
    <s v=""/>
    <s v=""/>
    <s v=""/>
    <s v="oui"/>
    <s v=""/>
    <s v="14 quartiers sur un site de déplacés"/>
    <n v="168996971"/>
    <s v="d3528cd8-fb30-413e-a0b9-41b3ea3e9e64"/>
    <s v="2021-04-01T00:25:37"/>
    <s v=""/>
    <s v="[]"/>
    <s v="submitted_via_web"/>
    <s v="reach_niger"/>
    <s v=""/>
    <n v="9"/>
  </r>
  <r>
    <s v="2021-04-01T10:15:52.036+01:00"/>
    <s v="2021-04-01T10:38:28.508+01:00"/>
    <s v="2021-04-01"/>
    <s v=""/>
    <s v=""/>
    <s v="Homme"/>
    <x v="1"/>
    <x v="1"/>
    <x v="2"/>
    <s v=""/>
    <s v=""/>
    <s v=""/>
    <s v=""/>
    <s v=""/>
    <s v=""/>
    <s v=""/>
    <s v=""/>
    <s v="Homme"/>
    <s v="27"/>
    <s v="deplace_interne"/>
    <s v=""/>
    <s v=""/>
    <s v=""/>
    <s v=""/>
    <s v=""/>
    <s v="niger"/>
    <s v="tillaberi"/>
    <s v="ayerou"/>
    <s v=""/>
    <s v=""/>
    <s v=""/>
    <s v=""/>
    <s v="non"/>
    <s v=""/>
    <s v=""/>
    <s v=""/>
    <s v=""/>
    <s v=""/>
    <s v=""/>
    <s v=""/>
    <s v=""/>
    <s v=""/>
    <s v=""/>
    <s v=""/>
    <s v=""/>
    <s v=""/>
    <s v=""/>
    <s v=""/>
    <s v=""/>
    <s v=""/>
    <s v=""/>
    <s v=""/>
    <s v=""/>
    <s v=""/>
    <s v=""/>
    <s v=""/>
    <s v=""/>
    <s v=""/>
    <s v=""/>
    <s v=""/>
    <s v=""/>
    <s v=""/>
    <s v=""/>
    <s v=""/>
    <s v=""/>
    <s v=""/>
    <s v=""/>
    <s v=""/>
    <s v="oui"/>
    <s v="agression_physique mariage_force agression_sexuelle"/>
    <s v="0"/>
    <n v="1"/>
    <s v="1"/>
    <s v="0"/>
    <s v="0"/>
    <s v="1"/>
    <s v="0"/>
    <s v="0"/>
    <s v="0"/>
    <s v="0"/>
    <s v="0"/>
    <s v="0"/>
    <n v="0"/>
    <s v="0"/>
    <s v="0"/>
    <s v=""/>
    <s v="Filles Femmes"/>
    <s v="0"/>
    <s v="0"/>
    <s v="1"/>
    <s v="0"/>
    <s v="1"/>
    <s v="0"/>
    <s v="0"/>
    <s v="0"/>
    <s v="0"/>
    <s v="0"/>
    <s v="0"/>
    <s v="0"/>
    <s v="0"/>
    <s v="0"/>
    <s v=""/>
    <s v="1"/>
    <s v="stable"/>
    <s v=""/>
    <s v=""/>
    <s v=""/>
    <s v=""/>
    <s v=""/>
    <s v=""/>
    <s v=""/>
    <s v=""/>
    <s v=""/>
    <s v=""/>
    <s v=""/>
    <s v=""/>
    <s v=""/>
    <s v=""/>
    <s v=""/>
    <s v=""/>
    <s v=""/>
    <s v=""/>
    <s v=""/>
    <s v=""/>
    <s v=""/>
    <s v=""/>
    <s v=""/>
    <s v=""/>
    <s v=""/>
    <s v="dplct_abords_com Integration_com_hote Soutien_chef_village Soutien_en_AGR"/>
    <s v="1"/>
    <s v="1"/>
    <s v="0"/>
    <s v="1"/>
    <s v="0"/>
    <s v="1"/>
    <s v="0"/>
    <s v="0"/>
    <s v="0"/>
    <s v=""/>
    <s v=""/>
    <s v="comite_protection famille_accueil comite_redevabilite comite_gestion_conflits"/>
    <s v="0"/>
    <s v="1"/>
    <s v="1"/>
    <s v="0"/>
    <s v="1"/>
    <s v="1"/>
    <s v="0"/>
    <s v="0"/>
    <s v="0"/>
    <s v="0"/>
    <s v=""/>
    <s v="oui"/>
    <s v="manif_sociales Chef_village famille_amis Travailleurs_sociaux/hum"/>
    <s v="0"/>
    <s v="0"/>
    <s v="0"/>
    <s v="1"/>
    <s v="1"/>
    <s v="1"/>
    <s v="0"/>
    <s v="0"/>
    <s v="0"/>
    <s v="0"/>
    <s v="1"/>
    <s v="0"/>
    <s v="0"/>
    <s v="0"/>
    <s v=""/>
    <s v="oui_majorite"/>
    <s v="oui_majorite"/>
    <s v="non_fonctionnelle manque_info"/>
    <s v="1"/>
    <s v="1"/>
    <s v="0"/>
    <s v="0"/>
    <s v="0"/>
    <s v="0"/>
    <s v="0"/>
    <s v="0"/>
    <s v=""/>
    <s v="minorite"/>
    <s v="minorite"/>
    <s v="Education Services_de_sante Acces_aux_doc"/>
    <s v="0"/>
    <s v="1"/>
    <s v="0"/>
    <s v="1"/>
    <s v="1"/>
    <s v="0"/>
    <s v="0"/>
    <s v="0"/>
    <s v="0"/>
    <s v=""/>
    <s v="oui_majorite"/>
    <s v="oui_majorite"/>
    <s v="amelioration_futur repond_besoins_pop diminution_tensions"/>
    <s v="1"/>
    <s v="1"/>
    <s v="0"/>
    <s v="0"/>
    <s v="0"/>
    <s v="1"/>
    <s v="0"/>
    <s v="0"/>
    <s v=""/>
    <s v="ne_contribue_pas"/>
    <s v="1"/>
    <s v="0"/>
    <s v="0"/>
    <s v="0"/>
    <s v="0"/>
    <s v="0"/>
    <s v=""/>
    <s v=""/>
    <s v="oui_minorite"/>
    <s v="ingo"/>
    <s v="0"/>
    <s v="0"/>
    <s v="0"/>
    <s v="0"/>
    <s v="1"/>
    <s v="0"/>
    <s v="0"/>
    <s v="0"/>
    <s v="0"/>
    <s v="0"/>
    <s v=""/>
    <s v="oui"/>
    <s v=""/>
    <s v="Filles Femmes Hommes Hommes_ages"/>
    <s v="0"/>
    <s v="0"/>
    <s v="1"/>
    <s v="0"/>
    <s v="1"/>
    <s v="1"/>
    <s v="0"/>
    <s v="1"/>
    <s v="0"/>
    <s v="0"/>
    <s v="0"/>
    <s v="0"/>
    <s v="0"/>
    <s v="0"/>
    <s v=""/>
    <s v="28"/>
    <s v="Services_medicaux Services_educatifs acces_docs"/>
    <s v="0"/>
    <s v="1"/>
    <s v="1"/>
    <s v="0"/>
    <s v="1"/>
    <s v="0"/>
    <s v="0"/>
    <s v="0"/>
    <s v="0"/>
    <s v="0"/>
    <s v=""/>
    <s v="reorientation signalement prise_enchage"/>
    <n v="1"/>
    <s v="1"/>
    <s v="1"/>
    <n v="0"/>
    <s v="0"/>
    <s v="0"/>
    <s v=""/>
    <s v=""/>
    <s v=""/>
    <s v=""/>
    <s v=""/>
    <s v=""/>
    <s v=""/>
    <s v=""/>
    <s v=""/>
    <s v=""/>
    <s v=""/>
    <s v=""/>
    <s v="medical juridique reinsertion surete"/>
    <s v="1"/>
    <s v="0"/>
    <s v="0"/>
    <s v="1"/>
    <s v="1"/>
    <s v="1"/>
    <s v="0"/>
    <s v="0"/>
    <s v="0"/>
    <s v=""/>
    <s v=""/>
    <s v="non"/>
    <s v=""/>
    <s v=""/>
    <s v=""/>
    <s v=""/>
    <s v=""/>
    <s v=""/>
    <s v=""/>
    <s v=""/>
    <s v=""/>
    <s v=""/>
    <s v=""/>
    <s v=""/>
    <s v=""/>
    <s v=""/>
    <s v=""/>
    <s v=""/>
    <s v=""/>
    <s v=""/>
    <s v=""/>
    <s v=""/>
    <s v=""/>
    <s v="non"/>
    <s v=""/>
    <s v=""/>
    <s v=""/>
    <s v=""/>
    <s v=""/>
    <s v=""/>
    <s v=""/>
    <s v=""/>
    <s v=""/>
    <s v=""/>
    <s v=""/>
    <s v=""/>
    <s v=""/>
    <s v="oui"/>
    <s v=""/>
    <s v=""/>
    <n v="169235210"/>
    <s v="89997856-f49b-469c-814c-5cc689233050"/>
    <s v="2021-04-02T00:40:48"/>
    <s v=""/>
    <s v="[]"/>
    <s v="submitted_via_web"/>
    <s v="reach_niger"/>
    <s v=""/>
    <n v="19"/>
  </r>
  <r>
    <s v="2021-04-03T11:53:54.351+01:00"/>
    <s v="2021-04-03T12:08:36.948+01:00"/>
    <s v="2021-04-03"/>
    <s v=""/>
    <s v=""/>
    <s v="Homme"/>
    <x v="1"/>
    <x v="1"/>
    <x v="4"/>
    <s v="Tous les sites PDI de la zone de compétence de l'IC"/>
    <s v=""/>
    <s v=""/>
    <s v=""/>
    <s v=""/>
    <s v=""/>
    <s v=""/>
    <s v=""/>
    <s v="Homme"/>
    <s v="40"/>
    <s v="Hote"/>
    <s v=""/>
    <s v=""/>
    <s v=""/>
    <s v=""/>
    <s v=""/>
    <s v=""/>
    <s v=""/>
    <s v=""/>
    <s v=""/>
    <s v=""/>
    <s v=""/>
    <s v=""/>
    <s v="non"/>
    <s v=""/>
    <s v=""/>
    <s v=""/>
    <s v=""/>
    <s v=""/>
    <s v=""/>
    <s v=""/>
    <s v=""/>
    <s v=""/>
    <s v=""/>
    <s v=""/>
    <s v=""/>
    <s v=""/>
    <s v=""/>
    <s v=""/>
    <s v=""/>
    <s v=""/>
    <s v=""/>
    <s v=""/>
    <s v=""/>
    <s v=""/>
    <s v=""/>
    <s v=""/>
    <s v=""/>
    <s v=""/>
    <s v=""/>
    <s v=""/>
    <s v=""/>
    <s v=""/>
    <s v=""/>
    <s v=""/>
    <s v=""/>
    <s v=""/>
    <s v=""/>
    <s v=""/>
    <s v="oui"/>
    <s v="viol mariage_force menace"/>
    <s v="1"/>
    <s v="0"/>
    <s v="0"/>
    <s v="0"/>
    <s v="0"/>
    <s v="1"/>
    <s v="0"/>
    <s v="0"/>
    <s v="0"/>
    <s v="0"/>
    <s v="1"/>
    <s v="0"/>
    <s v="0"/>
    <s v="0"/>
    <s v="0"/>
    <s v=""/>
    <s v="Femmes_agees Hommes_ages Bebes/Bambins"/>
    <s v="1"/>
    <s v="0"/>
    <s v="0"/>
    <s v="0"/>
    <s v="0"/>
    <s v="0"/>
    <s v="1"/>
    <s v="1"/>
    <s v="0"/>
    <s v="0"/>
    <s v="0"/>
    <s v="0"/>
    <s v="0"/>
    <s v="0"/>
    <s v=""/>
    <s v="1"/>
    <s v="augmente"/>
    <s v=""/>
    <s v="diminution_moyens_existence hausse_tensions_intercomm hausse_chomeurs"/>
    <s v="1"/>
    <s v="0"/>
    <s v="0"/>
    <s v="1"/>
    <s v="0"/>
    <s v="0"/>
    <s v="1"/>
    <s v="0"/>
    <s v="0"/>
    <s v="0"/>
    <s v=""/>
    <s v=""/>
    <s v=""/>
    <s v=""/>
    <s v=""/>
    <s v=""/>
    <s v=""/>
    <s v=""/>
    <s v=""/>
    <s v=""/>
    <s v=""/>
    <s v=""/>
    <s v=""/>
    <s v="dplct_abords_com Integration_com_hote Soutien_famille_amis Soutien_chef_village Soutien_psychosocial Soutien_en_AGR"/>
    <s v="1"/>
    <s v="1"/>
    <s v="1"/>
    <s v="1"/>
    <s v="1"/>
    <s v="1"/>
    <s v="0"/>
    <s v="0"/>
    <s v="0"/>
    <s v=""/>
    <s v=""/>
    <s v="comite_protection famille_accueil comite_redevabilite comite_alerte"/>
    <s v="0"/>
    <s v="1"/>
    <s v="1"/>
    <s v="1"/>
    <s v="1"/>
    <s v="0"/>
    <s v="0"/>
    <s v="0"/>
    <s v="0"/>
    <s v="0"/>
    <s v=""/>
    <s v="oui"/>
    <s v="Radio_television Internet manif_sociales Chef_village famille_amis Leaders_religieux Groupement_femmes Differents_comites_villageois Travailleurs_sociaux/hum Gouvernement"/>
    <s v="1"/>
    <s v="0"/>
    <s v="1"/>
    <s v="1"/>
    <s v="1"/>
    <s v="1"/>
    <s v="1"/>
    <s v="1"/>
    <s v="1"/>
    <s v="1"/>
    <s v="1"/>
    <s v="0"/>
    <s v="0"/>
    <s v="0"/>
    <s v=""/>
    <s v="oui_ensemble"/>
    <s v="oui_majorite"/>
    <s v="non_fonctionnelle"/>
    <s v="1"/>
    <s v="0"/>
    <s v="0"/>
    <s v="0"/>
    <s v="0"/>
    <s v="0"/>
    <s v="0"/>
    <s v="0"/>
    <s v=""/>
    <s v="majorite"/>
    <s v="majorite"/>
    <s v="Education Appui_psychosocial Services_de_sante Acces_aux_doc Programme_AGR"/>
    <s v="1"/>
    <s v="1"/>
    <s v="0"/>
    <s v="1"/>
    <s v="1"/>
    <s v="0"/>
    <s v="1"/>
    <s v="0"/>
    <s v="0"/>
    <s v=""/>
    <s v="oui_majorite"/>
    <s v="oui_majorite"/>
    <s v="amelioration_futur repond_besoins_pop permet_eviter_conflits"/>
    <s v="1"/>
    <s v="1"/>
    <s v="0"/>
    <s v="1"/>
    <s v="0"/>
    <s v="0"/>
    <s v="0"/>
    <s v="0"/>
    <s v=""/>
    <s v="ne_contribue_pas"/>
    <s v="1"/>
    <s v="0"/>
    <s v="0"/>
    <s v="0"/>
    <s v="0"/>
    <s v="0"/>
    <s v=""/>
    <s v=""/>
    <s v="oui_minorite"/>
    <s v="gvt fds_arme autorite_locale_leaders ingo ong_locale famille_amis"/>
    <s v="1"/>
    <s v="1"/>
    <s v="1"/>
    <s v="0"/>
    <s v="1"/>
    <s v="1"/>
    <s v="1"/>
    <s v="0"/>
    <s v="0"/>
    <s v="0"/>
    <s v=""/>
    <s v="oui"/>
    <s v=""/>
    <s v="Bebes/Bambins Enfants Filles Garçons Femmes_agees Hommes_ages"/>
    <s v="1"/>
    <s v="1"/>
    <s v="1"/>
    <s v="1"/>
    <s v="0"/>
    <s v="0"/>
    <s v="1"/>
    <s v="1"/>
    <s v="0"/>
    <s v="0"/>
    <s v="0"/>
    <s v="0"/>
    <s v="0"/>
    <s v="0"/>
    <s v=""/>
    <s v="12"/>
    <s v="Appui_psychosocial Services_medicaux Services_educatifs Services_conseil acces_docs programme_agr points_ecoute"/>
    <s v="1"/>
    <s v="1"/>
    <s v="1"/>
    <s v="1"/>
    <s v="1"/>
    <s v="0"/>
    <s v="1"/>
    <s v="1"/>
    <s v="0"/>
    <s v="0"/>
    <s v=""/>
    <s v="reorientation signalement"/>
    <s v="0"/>
    <s v="1"/>
    <s v="1"/>
    <s v="0"/>
    <s v="0"/>
    <s v="0"/>
    <s v=""/>
    <s v=""/>
    <s v=""/>
    <s v=""/>
    <s v=""/>
    <s v=""/>
    <s v=""/>
    <s v=""/>
    <s v=""/>
    <s v=""/>
    <s v=""/>
    <s v=""/>
    <s v="medical reinsertion juridique centre_formation"/>
    <s v="1"/>
    <s v="0"/>
    <s v="0"/>
    <s v="1"/>
    <s v="0"/>
    <s v="1"/>
    <s v="1"/>
    <s v="0"/>
    <s v="0"/>
    <s v=""/>
    <s v=""/>
    <s v="non"/>
    <s v=""/>
    <s v=""/>
    <s v=""/>
    <s v=""/>
    <s v=""/>
    <s v=""/>
    <s v=""/>
    <s v=""/>
    <s v=""/>
    <s v=""/>
    <s v=""/>
    <s v=""/>
    <s v=""/>
    <s v=""/>
    <s v=""/>
    <s v=""/>
    <s v=""/>
    <s v=""/>
    <s v=""/>
    <s v=""/>
    <s v=""/>
    <s v="non"/>
    <s v=""/>
    <s v=""/>
    <s v=""/>
    <s v=""/>
    <s v=""/>
    <s v=""/>
    <s v=""/>
    <s v=""/>
    <s v=""/>
    <s v=""/>
    <s v=""/>
    <s v=""/>
    <s v=""/>
    <s v="oui"/>
    <s v=""/>
    <s v=""/>
    <n v="169587325"/>
    <s v="886e1903-9c3e-423f-9439-be35bd95a87c"/>
    <s v="2021-04-04T12:27:18"/>
    <s v=""/>
    <s v="[]"/>
    <s v="submitted_via_web"/>
    <s v="reach_niger"/>
    <s v=""/>
    <n v="41"/>
  </r>
  <r>
    <s v="2021-04-02T18:09:44.272+01:00"/>
    <s v="2021-04-02T18:26:36.542+01:00"/>
    <s v="2021-04-02"/>
    <s v=""/>
    <s v=""/>
    <s v="Homme"/>
    <x v="1"/>
    <x v="1"/>
    <x v="4"/>
    <s v="Tous les sites PDI de la zone de compétence de l'IC"/>
    <s v=""/>
    <s v=""/>
    <s v=""/>
    <s v=""/>
    <s v=""/>
    <s v=""/>
    <s v=""/>
    <s v="Homme"/>
    <s v="30"/>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Soutien_psychosocial Soutien_chef_village dplct_abords_com"/>
    <s v="1"/>
    <s v="0"/>
    <s v="0"/>
    <s v="1"/>
    <s v="1"/>
    <s v="0"/>
    <s v="0"/>
    <s v="0"/>
    <s v="0"/>
    <s v=""/>
    <s v=""/>
    <s v="comite_protection femmes_elite famille_accueil comite_alerte comite_redevabilite comite_gestion_conflits enfant_pairs"/>
    <s v="1"/>
    <s v="1"/>
    <s v="1"/>
    <s v="1"/>
    <s v="1"/>
    <s v="1"/>
    <s v="1"/>
    <s v="0"/>
    <s v="0"/>
    <s v="0"/>
    <s v=""/>
    <s v="oui"/>
    <s v="Radio_television manif_sociales famille_amis Chef_village"/>
    <s v="1"/>
    <s v="0"/>
    <s v="0"/>
    <s v="1"/>
    <s v="1"/>
    <s v="1"/>
    <s v="0"/>
    <s v="0"/>
    <s v="0"/>
    <s v="0"/>
    <s v="0"/>
    <s v="0"/>
    <s v="0"/>
    <s v="0"/>
    <s v=""/>
    <s v="oui_majorite"/>
    <s v="oui_majorite"/>
    <s v="manque_info"/>
    <s v="0"/>
    <s v="1"/>
    <s v="0"/>
    <s v="0"/>
    <s v="0"/>
    <s v="0"/>
    <s v="0"/>
    <s v="0"/>
    <s v=""/>
    <s v="moitie"/>
    <s v="majorite"/>
    <s v="Education Appui_psychosocial Services_de_sante"/>
    <s v="1"/>
    <s v="1"/>
    <s v="0"/>
    <s v="1"/>
    <s v="0"/>
    <s v="0"/>
    <s v="0"/>
    <s v="0"/>
    <s v="0"/>
    <s v=""/>
    <s v="oui_majorite"/>
    <s v="oui_majorite"/>
    <s v="amelioration_futur diminution_tensions permet_obtenir_conseils"/>
    <s v="1"/>
    <s v="0"/>
    <s v="1"/>
    <s v="0"/>
    <s v="0"/>
    <s v="1"/>
    <s v="0"/>
    <s v="0"/>
    <s v=""/>
    <s v="non_obtention_info ne_repond_pas"/>
    <s v="0"/>
    <s v="1"/>
    <s v="1"/>
    <s v="0"/>
    <s v="0"/>
    <s v="0"/>
    <s v=""/>
    <s v=""/>
    <s v="oui_ensemble"/>
    <s v="ingo"/>
    <s v="0"/>
    <s v="0"/>
    <s v="0"/>
    <s v="0"/>
    <s v="1"/>
    <s v="0"/>
    <s v="0"/>
    <s v="0"/>
    <s v="0"/>
    <s v="0"/>
    <s v=""/>
    <s v=""/>
    <s v=""/>
    <s v=""/>
    <s v=""/>
    <s v=""/>
    <s v=""/>
    <s v=""/>
    <s v=""/>
    <s v=""/>
    <s v=""/>
    <s v=""/>
    <s v=""/>
    <s v=""/>
    <s v=""/>
    <s v=""/>
    <s v=""/>
    <s v=""/>
    <s v=""/>
    <s v="2"/>
    <s v="Appui_psychosocial Services_medicaux Services_educatifs"/>
    <s v="1"/>
    <s v="1"/>
    <s v="1"/>
    <s v="0"/>
    <s v="0"/>
    <s v="0"/>
    <s v="0"/>
    <s v="0"/>
    <s v="0"/>
    <s v="0"/>
    <s v=""/>
    <s v="reorientation signalement"/>
    <s v="0"/>
    <s v="1"/>
    <s v="1"/>
    <s v="0"/>
    <s v="0"/>
    <s v="0"/>
    <s v=""/>
    <s v=""/>
    <s v=""/>
    <s v=""/>
    <s v=""/>
    <s v=""/>
    <s v=""/>
    <s v=""/>
    <s v=""/>
    <s v=""/>
    <s v=""/>
    <s v=""/>
    <s v="medical Psychosocia point_ecoute"/>
    <s v="1"/>
    <s v="1"/>
    <s v="1"/>
    <s v="0"/>
    <s v="0"/>
    <s v="0"/>
    <s v="0"/>
    <s v="0"/>
    <s v="0"/>
    <s v=""/>
    <s v=""/>
    <s v="non"/>
    <s v=""/>
    <s v=""/>
    <s v=""/>
    <s v=""/>
    <s v=""/>
    <s v=""/>
    <s v=""/>
    <s v=""/>
    <s v=""/>
    <s v=""/>
    <s v=""/>
    <s v=""/>
    <s v=""/>
    <s v=""/>
    <s v=""/>
    <s v=""/>
    <s v=""/>
    <s v=""/>
    <s v=""/>
    <s v=""/>
    <s v=""/>
    <s v="non"/>
    <s v=""/>
    <s v=""/>
    <s v=""/>
    <s v=""/>
    <s v=""/>
    <s v=""/>
    <s v=""/>
    <s v=""/>
    <s v=""/>
    <s v=""/>
    <s v=""/>
    <s v=""/>
    <s v=""/>
    <s v="oui"/>
    <s v=""/>
    <s v=""/>
    <n v="169365670"/>
    <s v="c3dcf604-6805-4aad-b3ab-755e96eb92fe"/>
    <s v="2021-04-03T00:06:19"/>
    <s v=""/>
    <s v="[]"/>
    <s v="submitted_via_web"/>
    <s v="reach_niger"/>
    <s v=""/>
    <n v="37"/>
  </r>
  <r>
    <s v="2021-04-09T10:29:24.045+01:00"/>
    <s v="2021-04-09T11:37:36.900+01:00"/>
    <s v="2021-04-09"/>
    <s v=""/>
    <s v=""/>
    <s v="Homme"/>
    <x v="2"/>
    <x v="2"/>
    <x v="5"/>
    <s v=""/>
    <s v=""/>
    <s v=""/>
    <s v=""/>
    <s v=""/>
    <s v=""/>
    <s v=""/>
    <s v=""/>
    <s v="Homme"/>
    <s v="37"/>
    <s v="Hote"/>
    <s v=""/>
    <s v=""/>
    <s v="Travailleur humanitaire"/>
    <s v="activite_identique_role"/>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dplct_abords_com"/>
    <s v="1"/>
    <s v="1"/>
    <s v="0"/>
    <s v="0"/>
    <s v="0"/>
    <s v="0"/>
    <s v="0"/>
    <s v="0"/>
    <s v="0"/>
    <s v=""/>
    <s v=""/>
    <s v="Ne_sait_pas"/>
    <s v="0"/>
    <s v="0"/>
    <s v="0"/>
    <s v="0"/>
    <s v="0"/>
    <s v="0"/>
    <s v="0"/>
    <s v="0"/>
    <s v="1"/>
    <s v="0"/>
    <s v=""/>
    <s v="oui"/>
    <s v="famille_amis manif_sociales"/>
    <s v="0"/>
    <s v="0"/>
    <s v="0"/>
    <s v="1"/>
    <s v="0"/>
    <s v="1"/>
    <s v="0"/>
    <s v="0"/>
    <s v="0"/>
    <s v="0"/>
    <s v="0"/>
    <s v="0"/>
    <s v="0"/>
    <s v="0"/>
    <s v=""/>
    <s v="oui_moitie"/>
    <s v="oui_ensemble"/>
    <s v=""/>
    <s v=""/>
    <s v=""/>
    <s v=""/>
    <s v=""/>
    <s v=""/>
    <s v=""/>
    <s v=""/>
    <s v=""/>
    <s v=""/>
    <s v="majorite"/>
    <s v="ensemble"/>
    <s v="Appui_psychosocial Services_de_sante"/>
    <s v="1"/>
    <s v="0"/>
    <s v="0"/>
    <s v="1"/>
    <s v="0"/>
    <s v="0"/>
    <s v="0"/>
    <s v="0"/>
    <s v="0"/>
    <s v=""/>
    <s v="oui_ensemble"/>
    <s v="oui_ensemble"/>
    <s v="amelioration_futur repond_besoins_pop"/>
    <s v="1"/>
    <s v="1"/>
    <s v="0"/>
    <s v="0"/>
    <s v="0"/>
    <s v="0"/>
    <s v="0"/>
    <s v="0"/>
    <s v=""/>
    <s v=""/>
    <s v=""/>
    <s v=""/>
    <s v=""/>
    <s v=""/>
    <s v=""/>
    <s v=""/>
    <s v=""/>
    <s v=""/>
    <s v="non"/>
    <s v=""/>
    <s v=""/>
    <s v=""/>
    <s v=""/>
    <s v=""/>
    <s v=""/>
    <s v=""/>
    <s v=""/>
    <s v=""/>
    <s v=""/>
    <s v=""/>
    <s v=""/>
    <s v="oui"/>
    <s v=""/>
    <s v=""/>
    <s v=""/>
    <s v=""/>
    <s v=""/>
    <s v=""/>
    <s v=""/>
    <s v=""/>
    <s v=""/>
    <s v=""/>
    <s v=""/>
    <s v=""/>
    <s v=""/>
    <s v=""/>
    <s v=""/>
    <s v=""/>
    <s v=""/>
    <s v="40"/>
    <s v="Appui_psychosocial Services_medicaux"/>
    <s v="1"/>
    <s v="1"/>
    <s v="0"/>
    <s v="0"/>
    <s v="0"/>
    <s v="0"/>
    <s v="0"/>
    <s v="0"/>
    <s v="0"/>
    <s v="0"/>
    <s v=""/>
    <s v="prise_enchage reorientation"/>
    <s v="1"/>
    <s v="1"/>
    <s v="0"/>
    <s v="0"/>
    <s v="0"/>
    <s v="0"/>
    <s v=""/>
    <s v="medical Psychosocia"/>
    <s v="1"/>
    <s v="1"/>
    <s v="0"/>
    <s v="0"/>
    <s v="0"/>
    <s v="0"/>
    <s v="0"/>
    <s v="0"/>
    <s v="0"/>
    <s v=""/>
    <s v="Psychosocia medical"/>
    <s v="1"/>
    <s v="1"/>
    <s v="0"/>
    <s v="0"/>
    <s v="0"/>
    <s v="0"/>
    <s v="0"/>
    <s v="0"/>
    <s v="0"/>
    <s v=""/>
    <s v=""/>
    <s v="ne_sait_pas"/>
    <s v=""/>
    <s v=""/>
    <s v=""/>
    <s v=""/>
    <s v=""/>
    <s v=""/>
    <s v=""/>
    <s v=""/>
    <s v=""/>
    <s v=""/>
    <s v=""/>
    <s v=""/>
    <s v=""/>
    <s v=""/>
    <s v=""/>
    <s v=""/>
    <s v=""/>
    <s v=""/>
    <s v=""/>
    <s v=""/>
    <s v=""/>
    <s v="non"/>
    <s v=""/>
    <s v=""/>
    <s v=""/>
    <s v=""/>
    <s v=""/>
    <s v=""/>
    <s v=""/>
    <s v=""/>
    <s v=""/>
    <s v=""/>
    <s v=""/>
    <s v=""/>
    <s v=""/>
    <s v="oui"/>
    <s v=""/>
    <s v=""/>
    <n v="170684041"/>
    <s v="22d851ed-0410-42cb-b671-52cd662a2d61"/>
    <s v="2021-04-09T17:50:05"/>
    <s v=""/>
    <s v="[]"/>
    <s v="submitted_via_web"/>
    <s v="reach_niger"/>
    <s v=""/>
    <n v="63"/>
  </r>
  <r>
    <s v="2021-04-09T10:31:29.990+01:00"/>
    <s v="2021-04-09T11:55:51.514+01:00"/>
    <s v="2021-04-09"/>
    <s v=""/>
    <s v=""/>
    <s v="Homme"/>
    <x v="2"/>
    <x v="2"/>
    <x v="4"/>
    <s v="Tous les sites PDI de la zone de compétence de l'IC"/>
    <s v=""/>
    <s v=""/>
    <s v=""/>
    <s v=""/>
    <s v=""/>
    <s v=""/>
    <s v=""/>
    <s v="Homme"/>
    <s v="55"/>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outien_famille_amis"/>
    <s v="1"/>
    <s v="1"/>
    <s v="1"/>
    <s v="0"/>
    <s v="0"/>
    <s v="0"/>
    <s v="0"/>
    <s v="0"/>
    <s v="0"/>
    <s v=""/>
    <s v=""/>
    <s v="famille_accueil comite_redevabilite comite_gestion_conflits comite_protection"/>
    <s v="0"/>
    <s v="1"/>
    <s v="1"/>
    <s v="0"/>
    <s v="1"/>
    <s v="1"/>
    <s v="0"/>
    <s v="0"/>
    <s v="0"/>
    <s v="0"/>
    <s v=""/>
    <s v="oui"/>
    <s v="Autre"/>
    <s v="0"/>
    <s v="0"/>
    <s v="0"/>
    <s v="0"/>
    <s v="0"/>
    <n v="1"/>
    <s v="0"/>
    <s v="0"/>
    <s v="0"/>
    <s v="0"/>
    <s v="0"/>
    <s v="0"/>
    <n v="0"/>
    <s v="0"/>
    <s v=""/>
    <s v="oui_moitie"/>
    <s v="oui_ensemble"/>
    <s v=""/>
    <s v=""/>
    <s v=""/>
    <s v=""/>
    <s v=""/>
    <s v=""/>
    <s v=""/>
    <s v=""/>
    <s v=""/>
    <s v=""/>
    <s v="majorite"/>
    <s v="moitie"/>
    <s v="Appui_psychosocial Education Services_de_sante Acces_aux_doc"/>
    <s v="1"/>
    <s v="1"/>
    <s v="0"/>
    <s v="1"/>
    <s v="1"/>
    <s v="0"/>
    <s v="0"/>
    <s v="0"/>
    <s v="0"/>
    <s v=""/>
    <s v="oui_ensemble"/>
    <s v="oui_ensemble"/>
    <s v="repond_besoins_pop permet_eviter_conflits diminution_tensions"/>
    <s v="0"/>
    <s v="1"/>
    <s v="0"/>
    <s v="1"/>
    <s v="0"/>
    <s v="1"/>
    <s v="0"/>
    <s v="0"/>
    <s v=""/>
    <s v=""/>
    <s v=""/>
    <s v=""/>
    <s v=""/>
    <s v=""/>
    <s v=""/>
    <s v=""/>
    <s v=""/>
    <s v=""/>
    <s v="oui_ensemble"/>
    <s v="gvt fds_arme autorite_locale_leaders"/>
    <s v="1"/>
    <s v="1"/>
    <s v="1"/>
    <s v="0"/>
    <s v="0"/>
    <s v="0"/>
    <s v="0"/>
    <s v="0"/>
    <s v="0"/>
    <s v="0"/>
    <s v=""/>
    <s v=""/>
    <s v=""/>
    <s v=""/>
    <s v=""/>
    <s v=""/>
    <s v=""/>
    <s v=""/>
    <s v=""/>
    <s v=""/>
    <s v=""/>
    <s v=""/>
    <s v=""/>
    <s v=""/>
    <s v=""/>
    <s v=""/>
    <s v=""/>
    <s v=""/>
    <s v=""/>
    <s v="5"/>
    <s v="Appui_psychosocial Services_medicaux Services_conseil"/>
    <s v="1"/>
    <s v="1"/>
    <s v="0"/>
    <s v="1"/>
    <s v="0"/>
    <s v="0"/>
    <s v="0"/>
    <s v="0"/>
    <s v="0"/>
    <s v="0"/>
    <s v=""/>
    <s v="signalement reorientation"/>
    <s v="0"/>
    <s v="1"/>
    <s v="1"/>
    <s v="0"/>
    <s v="0"/>
    <s v="0"/>
    <s v=""/>
    <s v=""/>
    <s v=""/>
    <s v=""/>
    <s v=""/>
    <s v=""/>
    <s v=""/>
    <s v=""/>
    <s v=""/>
    <s v=""/>
    <s v=""/>
    <s v=""/>
    <s v="medical surete point_ecoute"/>
    <s v="1"/>
    <s v="0"/>
    <s v="1"/>
    <s v="0"/>
    <s v="1"/>
    <s v="0"/>
    <s v="0"/>
    <s v="0"/>
    <s v="0"/>
    <s v=""/>
    <s v=""/>
    <s v="oui"/>
    <s v="insecurite_zone manque_moyens probleme_orientation"/>
    <s v="1"/>
    <s v="0"/>
    <s v="0"/>
    <s v="1"/>
    <s v="1"/>
    <s v="0"/>
    <s v="0"/>
    <s v="0"/>
    <s v="0"/>
    <s v="0"/>
    <s v="0"/>
    <s v=""/>
    <s v="pb_logistiques pb_secu pb_coordination"/>
    <s v="0"/>
    <s v="1"/>
    <s v="1"/>
    <s v="1"/>
    <s v="0"/>
    <s v="0"/>
    <s v=""/>
    <s v="non"/>
    <s v=""/>
    <s v=""/>
    <s v=""/>
    <s v=""/>
    <s v=""/>
    <s v=""/>
    <s v=""/>
    <s v=""/>
    <s v=""/>
    <s v=""/>
    <s v=""/>
    <s v=""/>
    <s v=""/>
    <s v="oui"/>
    <s v=""/>
    <s v=""/>
    <n v="170684174"/>
    <s v="e4637649-0063-4a76-9787-dc8b6a13cd2f"/>
    <s v="2021-04-09T17:50:55"/>
    <s v=""/>
    <s v="[]"/>
    <s v="submitted_via_web"/>
    <s v="reach_niger"/>
    <s v=""/>
    <n v="64"/>
  </r>
  <r>
    <s v="2021-04-08T19:34:32.483+01:00"/>
    <s v="2021-04-08T19:51:31.225+01:00"/>
    <s v="2021-04-08"/>
    <s v=""/>
    <s v=""/>
    <s v="Homme"/>
    <x v="2"/>
    <x v="2"/>
    <x v="4"/>
    <s v="Tous les sites PDI de la zone de compétence de l'IC"/>
    <s v=""/>
    <s v=""/>
    <s v=""/>
    <s v=""/>
    <s v=""/>
    <s v=""/>
    <s v=""/>
    <s v="Homme"/>
    <s v="49"/>
    <s v="deplace_interne"/>
    <s v=""/>
    <s v=""/>
    <s v=""/>
    <s v=""/>
    <s v=""/>
    <s v="niger"/>
    <s v="tillaberi"/>
    <s v="banibang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outien_famille_amis"/>
    <s v="1"/>
    <s v="0"/>
    <s v="1"/>
    <s v="0"/>
    <s v="0"/>
    <s v="0"/>
    <s v="0"/>
    <s v="0"/>
    <s v="0"/>
    <s v=""/>
    <s v=""/>
    <s v="comite_protection famille_accueil comite_alerte"/>
    <s v="0"/>
    <s v="1"/>
    <s v="1"/>
    <s v="1"/>
    <s v="0"/>
    <s v="0"/>
    <s v="0"/>
    <s v="0"/>
    <s v="0"/>
    <s v="0"/>
    <s v=""/>
    <s v="oui"/>
    <s v="famille_amis manif_sociales Travailleurs_sociaux/hum"/>
    <s v="0"/>
    <s v="0"/>
    <s v="0"/>
    <s v="1"/>
    <s v="0"/>
    <s v="1"/>
    <s v="0"/>
    <s v="0"/>
    <s v="0"/>
    <s v="0"/>
    <s v="1"/>
    <s v="0"/>
    <n v="0"/>
    <s v="0"/>
    <s v=""/>
    <s v="oui_ensemble"/>
    <s v="oui_ensemble"/>
    <s v=""/>
    <s v=""/>
    <s v=""/>
    <s v=""/>
    <s v=""/>
    <s v=""/>
    <s v=""/>
    <s v=""/>
    <s v=""/>
    <s v=""/>
    <s v="ensemble"/>
    <s v="ensemble"/>
    <s v="Education Services_de_sante Appui_psychosocial"/>
    <s v="1"/>
    <s v="1"/>
    <s v="0"/>
    <s v="1"/>
    <s v="0"/>
    <s v="0"/>
    <s v="0"/>
    <s v="0"/>
    <s v="0"/>
    <s v=""/>
    <s v="oui_ensemble"/>
    <s v="oui_ensemble"/>
    <s v="repond_besoins_pop amelioration_futur"/>
    <s v="1"/>
    <s v="1"/>
    <s v="0"/>
    <s v="0"/>
    <s v="0"/>
    <s v="0"/>
    <s v="0"/>
    <s v="0"/>
    <s v=""/>
    <s v=""/>
    <s v=""/>
    <s v=""/>
    <s v=""/>
    <s v=""/>
    <s v=""/>
    <s v=""/>
    <s v=""/>
    <s v=""/>
    <s v="non"/>
    <s v=""/>
    <s v=""/>
    <s v=""/>
    <s v=""/>
    <s v=""/>
    <s v=""/>
    <s v=""/>
    <s v=""/>
    <s v=""/>
    <s v=""/>
    <s v=""/>
    <s v=""/>
    <s v="oui"/>
    <s v=""/>
    <s v=""/>
    <s v=""/>
    <s v=""/>
    <s v=""/>
    <s v=""/>
    <s v=""/>
    <s v=""/>
    <s v=""/>
    <s v=""/>
    <s v=""/>
    <s v=""/>
    <s v=""/>
    <s v=""/>
    <s v=""/>
    <s v=""/>
    <s v=""/>
    <s v="4"/>
    <s v="Services_educatifs"/>
    <s v="0"/>
    <s v="0"/>
    <s v="1"/>
    <s v="0"/>
    <s v="0"/>
    <s v="0"/>
    <s v="0"/>
    <s v="0"/>
    <s v="0"/>
    <s v="0"/>
    <s v=""/>
    <s v="prise_enchage reorientation"/>
    <s v="1"/>
    <s v="1"/>
    <s v="0"/>
    <s v="0"/>
    <s v="0"/>
    <s v="0"/>
    <s v=""/>
    <s v="point_ecoute Autre"/>
    <s v="0"/>
    <s v="0"/>
    <s v="1"/>
    <s v="0"/>
    <s v="0"/>
    <s v="0"/>
    <s v="0"/>
    <s v="1"/>
    <s v="0"/>
    <s v="Inscription dans une école "/>
    <s v="medical"/>
    <s v="1"/>
    <s v="0"/>
    <s v="0"/>
    <s v="0"/>
    <s v="0"/>
    <s v="0"/>
    <s v="0"/>
    <s v="0"/>
    <s v="0"/>
    <s v=""/>
    <s v=""/>
    <s v="non"/>
    <s v=""/>
    <s v=""/>
    <s v=""/>
    <s v=""/>
    <s v=""/>
    <s v=""/>
    <s v=""/>
    <s v=""/>
    <s v=""/>
    <s v=""/>
    <s v=""/>
    <s v=""/>
    <s v=""/>
    <s v=""/>
    <s v=""/>
    <s v=""/>
    <s v=""/>
    <s v=""/>
    <s v=""/>
    <s v=""/>
    <s v=""/>
    <s v="non"/>
    <s v=""/>
    <s v=""/>
    <s v=""/>
    <s v=""/>
    <s v=""/>
    <s v=""/>
    <s v=""/>
    <s v=""/>
    <s v=""/>
    <s v=""/>
    <s v=""/>
    <s v=""/>
    <s v=""/>
    <s v="oui"/>
    <s v=""/>
    <s v=""/>
    <n v="170683435"/>
    <s v="faceac5d-8ffc-4266-97a1-2f2498fdf6e1"/>
    <s v="2021-04-09T17:45:15"/>
    <s v=""/>
    <s v="[]"/>
    <s v="submitted_via_web"/>
    <s v="reach_niger"/>
    <s v=""/>
    <n v="62"/>
  </r>
  <r>
    <s v="2021-04-16T09:20:01.666+01:00"/>
    <s v="2021-04-16T09:57:13.300+01:00"/>
    <s v="2021-04-16"/>
    <s v=""/>
    <s v=""/>
    <s v="Homme"/>
    <x v="3"/>
    <x v="3"/>
    <x v="6"/>
    <s v="Fala"/>
    <s v=""/>
    <s v=""/>
    <s v=""/>
    <s v=""/>
    <s v=""/>
    <s v=""/>
    <s v=""/>
    <s v="Homme"/>
    <s v="55"/>
    <s v="deplace_interne"/>
    <s v=""/>
    <s v=""/>
    <s v=""/>
    <s v=""/>
    <s v=""/>
    <s v="niger"/>
    <s v="tillaberi"/>
    <s v="bankilare"/>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Soutien_famille_amis Soutien_chef_village"/>
    <s v="0"/>
    <s v="0"/>
    <s v="1"/>
    <s v="1"/>
    <s v="0"/>
    <s v="0"/>
    <s v="0"/>
    <s v="0"/>
    <s v="0"/>
    <s v=""/>
    <s v=""/>
    <s v="famille_accueil comite_protection"/>
    <s v="0"/>
    <s v="1"/>
    <s v="1"/>
    <s v="0"/>
    <s v="0"/>
    <s v="0"/>
    <s v="0"/>
    <s v="0"/>
    <s v="0"/>
    <s v="0"/>
    <s v=""/>
    <s v="oui"/>
    <s v="Chef_village Leaders_religieux Differents_comites_villageois"/>
    <s v="0"/>
    <s v="0"/>
    <s v="0"/>
    <s v="0"/>
    <s v="1"/>
    <s v="0"/>
    <s v="1"/>
    <s v="0"/>
    <s v="1"/>
    <s v="0"/>
    <s v="0"/>
    <s v="0"/>
    <s v="0"/>
    <s v="0"/>
    <s v=""/>
    <s v="oui_ensemble"/>
    <s v="oui_ensemble"/>
    <s v=""/>
    <s v=""/>
    <s v=""/>
    <s v=""/>
    <s v=""/>
    <s v=""/>
    <s v=""/>
    <s v=""/>
    <s v=""/>
    <s v=""/>
    <s v="ensemble"/>
    <s v="ensemble"/>
    <s v="Education Services_de_sante Appui_psychosocial"/>
    <s v="1"/>
    <s v="1"/>
    <s v="0"/>
    <s v="1"/>
    <s v="0"/>
    <s v="0"/>
    <s v="0"/>
    <s v="0"/>
    <s v="0"/>
    <s v=""/>
    <s v="oui_majorite"/>
    <s v="oui_majorite"/>
    <s v="amelioration_futur repond_besoins_pop permet_obtenir_conseils"/>
    <s v="1"/>
    <s v="1"/>
    <s v="1"/>
    <s v="0"/>
    <s v="0"/>
    <s v="0"/>
    <s v="0"/>
    <s v="0"/>
    <s v=""/>
    <s v="non_diminition_tension"/>
    <s v="0"/>
    <s v="0"/>
    <s v="0"/>
    <s v="1"/>
    <s v="0"/>
    <s v="0"/>
    <s v=""/>
    <s v=""/>
    <s v="non"/>
    <s v=""/>
    <s v=""/>
    <s v=""/>
    <s v=""/>
    <s v=""/>
    <s v=""/>
    <s v=""/>
    <s v=""/>
    <s v=""/>
    <s v=""/>
    <s v=""/>
    <s v=""/>
    <s v="oui"/>
    <s v=""/>
    <s v=""/>
    <s v=""/>
    <s v=""/>
    <s v=""/>
    <s v=""/>
    <s v=""/>
    <s v=""/>
    <s v=""/>
    <s v=""/>
    <s v=""/>
    <s v=""/>
    <s v=""/>
    <s v=""/>
    <s v=""/>
    <s v=""/>
    <s v=""/>
    <s v="85"/>
    <s v="Services_medicaux Services_educatifs acces_docs Appui_psychosocial"/>
    <s v="1"/>
    <s v="1"/>
    <s v="1"/>
    <s v="0"/>
    <s v="1"/>
    <s v="0"/>
    <s v="0"/>
    <s v="0"/>
    <s v="0"/>
    <s v="0"/>
    <s v=""/>
    <s v="reorientation signalement"/>
    <s v="0"/>
    <s v="1"/>
    <s v="1"/>
    <s v="0"/>
    <s v="0"/>
    <s v="0"/>
    <s v=""/>
    <s v=""/>
    <s v=""/>
    <s v=""/>
    <s v=""/>
    <s v=""/>
    <s v=""/>
    <s v=""/>
    <s v=""/>
    <s v=""/>
    <s v=""/>
    <s v=""/>
    <s v="medical juridique reinsertion surete Psychosocia"/>
    <s v="1"/>
    <s v="1"/>
    <s v="0"/>
    <s v="1"/>
    <s v="1"/>
    <s v="1"/>
    <s v="0"/>
    <s v="0"/>
    <s v="0"/>
    <s v=""/>
    <s v=""/>
    <s v="non"/>
    <s v=""/>
    <s v=""/>
    <s v=""/>
    <s v=""/>
    <s v=""/>
    <s v=""/>
    <s v=""/>
    <s v=""/>
    <s v=""/>
    <s v=""/>
    <s v=""/>
    <s v=""/>
    <s v=""/>
    <s v=""/>
    <s v=""/>
    <s v=""/>
    <s v=""/>
    <s v=""/>
    <s v=""/>
    <s v=""/>
    <s v=""/>
    <s v="non"/>
    <s v=""/>
    <s v=""/>
    <s v=""/>
    <s v=""/>
    <s v=""/>
    <s v=""/>
    <s v=""/>
    <s v=""/>
    <s v=""/>
    <s v=""/>
    <s v=""/>
    <s v=""/>
    <s v=""/>
    <s v="oui"/>
    <s v=""/>
    <s v=""/>
    <n v="172010451"/>
    <s v="60625aaf-f58c-4940-86f6-874af488d0d6"/>
    <s v="2021-04-16T16:05:48"/>
    <s v=""/>
    <s v="[]"/>
    <s v="submitted_via_web"/>
    <s v="reach_niger"/>
    <s v=""/>
    <n v="70"/>
  </r>
  <r>
    <s v="2021-04-02T11:53:05.642+01:00"/>
    <s v="2021-04-02T12:08:41.777+01:00"/>
    <s v="2021-04-02"/>
    <s v=""/>
    <s v=""/>
    <s v="Homme"/>
    <x v="3"/>
    <x v="3"/>
    <x v="7"/>
    <s v="Intikinderie"/>
    <s v=""/>
    <s v=""/>
    <s v=""/>
    <s v=""/>
    <s v=""/>
    <s v=""/>
    <s v=""/>
    <s v="Homme"/>
    <s v="35"/>
    <s v="refugie"/>
    <s v=""/>
    <s v=""/>
    <s v=""/>
    <s v=""/>
    <s v=""/>
    <s v="burkina_faso"/>
    <s v="sahel"/>
    <s v="oudalan"/>
    <s v=""/>
    <s v=""/>
    <s v=""/>
    <s v=""/>
    <s v="oui"/>
    <s v="Disputes_intercommunataires Vols_braquages extorsions Violences_physique_civils Recrutement_enfants"/>
    <s v="0"/>
    <s v="1"/>
    <s v="1"/>
    <s v="1"/>
    <s v="1"/>
    <s v="0"/>
    <s v="1"/>
    <s v="0"/>
    <s v="0"/>
    <s v="0"/>
    <s v="0"/>
    <s v="0"/>
    <s v="0"/>
    <s v="0"/>
    <s v=""/>
    <s v="Bebes/Bambins Enfants Filles Garçons Femmes"/>
    <s v="1"/>
    <s v="1"/>
    <s v="1"/>
    <s v="1"/>
    <s v="1"/>
    <s v="0"/>
    <s v="0"/>
    <s v="0"/>
    <s v="0"/>
    <s v="0"/>
    <s v="0"/>
    <s v="0"/>
    <s v="0"/>
    <s v="0"/>
    <s v=""/>
    <s v="3"/>
    <s v="augmente"/>
    <s v=""/>
    <s v="oui"/>
    <s v="agression_physique agression_psychologique defus_de_acces_aide exploitations_enfant menace"/>
    <s v="0"/>
    <s v="0"/>
    <s v="1"/>
    <s v="0"/>
    <s v="1"/>
    <s v="0"/>
    <s v="0"/>
    <s v="1"/>
    <s v="1"/>
    <s v="0"/>
    <s v="1"/>
    <s v="0"/>
    <s v="0"/>
    <s v="0"/>
    <s v="0"/>
    <s v=""/>
    <s v="Bebes/Bambins Enfants Garçons Filles Femmes"/>
    <s v="1"/>
    <s v="1"/>
    <s v="1"/>
    <s v="1"/>
    <s v="1"/>
    <s v="0"/>
    <s v="0"/>
    <s v="0"/>
    <s v="0"/>
    <s v="0"/>
    <s v="0"/>
    <s v="0"/>
    <s v="0"/>
    <s v="0"/>
    <s v=""/>
    <s v="3"/>
    <s v="augmente"/>
    <s v=""/>
    <s v="deterioration_con_abris deterioration_acces_service_base diminution_moyens_existence"/>
    <s v="1"/>
    <s v="1"/>
    <s v="1"/>
    <s v="0"/>
    <s v="0"/>
    <s v="0"/>
    <s v="0"/>
    <s v="0"/>
    <s v="0"/>
    <s v="0"/>
    <s v=""/>
    <s v=""/>
    <s v=""/>
    <s v=""/>
    <s v=""/>
    <s v=""/>
    <s v=""/>
    <s v=""/>
    <s v=""/>
    <s v=""/>
    <s v=""/>
    <s v=""/>
    <s v=""/>
    <s v="dplct_abords_com Soutien_famille_amis Integration_com_hote"/>
    <s v="1"/>
    <s v="1"/>
    <s v="1"/>
    <s v="0"/>
    <s v="0"/>
    <s v="0"/>
    <s v="0"/>
    <s v="0"/>
    <s v="0"/>
    <s v=""/>
    <s v=""/>
    <s v="comite_protection famille_accueil comite_alerte comite_gestion_conflits"/>
    <s v="0"/>
    <s v="1"/>
    <s v="1"/>
    <s v="1"/>
    <s v="0"/>
    <s v="1"/>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
    <s v="oui"/>
    <s v=""/>
    <s v="Bebes/Bambins Enfants Filles Garçons Femmes"/>
    <s v="1"/>
    <s v="1"/>
    <s v="1"/>
    <s v="1"/>
    <s v="1"/>
    <s v="0"/>
    <s v="0"/>
    <s v="0"/>
    <s v="0"/>
    <s v="0"/>
    <s v="0"/>
    <s v="0"/>
    <s v="0"/>
    <s v="0"/>
    <s v=""/>
    <s v="4"/>
    <s v="NA"/>
    <s v="NA"/>
    <s v="NA"/>
    <s v="NA"/>
    <s v="NA"/>
    <s v="NA"/>
    <s v="NA"/>
    <s v="NA"/>
    <s v="NA"/>
    <s v="NA"/>
    <s v="NA"/>
    <s v=""/>
    <s v="prise_enchage reorientation signalement"/>
    <s v="1"/>
    <s v="1"/>
    <s v="1"/>
    <s v="0"/>
    <s v="0"/>
    <s v="0"/>
    <s v=""/>
    <s v="medical juridique surete Psychosocia point_ecoute"/>
    <s v="1"/>
    <s v="1"/>
    <s v="1"/>
    <s v="1"/>
    <s v="1"/>
    <s v="0"/>
    <s v="0"/>
    <s v="0"/>
    <s v="0"/>
    <s v=""/>
    <s v="medical surete point_ecoute Psychosocia reinsertion"/>
    <s v="1"/>
    <s v="1"/>
    <s v="1"/>
    <s v="0"/>
    <s v="1"/>
    <s v="1"/>
    <s v="0"/>
    <s v="0"/>
    <s v="0"/>
    <s v=""/>
    <s v=""/>
    <s v="oui"/>
    <s v="manque_moyens manque_personnes manque_d'information insecurite_zone tensions_locales"/>
    <s v="1"/>
    <s v="1"/>
    <s v="1"/>
    <s v="0"/>
    <s v="1"/>
    <s v="1"/>
    <s v="0"/>
    <s v="0"/>
    <s v="0"/>
    <s v="0"/>
    <s v="0"/>
    <s v=""/>
    <s v=""/>
    <s v=""/>
    <s v=""/>
    <s v=""/>
    <s v=""/>
    <s v=""/>
    <s v=""/>
    <s v=""/>
    <s v="non"/>
    <s v=""/>
    <s v=""/>
    <s v=""/>
    <s v=""/>
    <s v=""/>
    <s v=""/>
    <s v=""/>
    <s v=""/>
    <s v=""/>
    <s v=""/>
    <s v=""/>
    <s v=""/>
    <s v=""/>
    <s v="oui"/>
    <s v=""/>
    <s v="Besoin de case de santé"/>
    <n v="169351669"/>
    <s v="a543808c-cb82-4e75-9a6e-6e92595b12e4"/>
    <s v="2021-04-02T19:02:07"/>
    <s v=""/>
    <s v="[]"/>
    <s v="submitted_via_web"/>
    <s v="reach_niger"/>
    <s v=""/>
    <n v="29"/>
  </r>
  <r>
    <s v="2021-04-02T13:35:31.112+01:00"/>
    <s v="2021-04-02T13:53:52.439+01:00"/>
    <s v="2021-04-02"/>
    <s v=""/>
    <s v=""/>
    <s v="Homme"/>
    <x v="3"/>
    <x v="3"/>
    <x v="8"/>
    <s v="Houberi"/>
    <s v=""/>
    <s v=""/>
    <s v=""/>
    <s v=""/>
    <s v=""/>
    <s v=""/>
    <s v=""/>
    <s v="Homme"/>
    <s v="59"/>
    <s v="deplace_interne"/>
    <s v=""/>
    <s v=""/>
    <s v=""/>
    <s v=""/>
    <s v=""/>
    <s v="niger"/>
    <s v="tillaberi"/>
    <s v="bankilare"/>
    <s v=""/>
    <s v=""/>
    <s v=""/>
    <s v=""/>
    <s v="oui"/>
    <s v="Disputes_intercommunataires Vols_braquages extorsions Violences_physique_civils Attaques_ecoles_sante"/>
    <s v="0"/>
    <s v="1"/>
    <s v="1"/>
    <s v="1"/>
    <s v="1"/>
    <s v="0"/>
    <s v="0"/>
    <s v="1"/>
    <s v="0"/>
    <s v="0"/>
    <s v="0"/>
    <s v="0"/>
    <s v="0"/>
    <s v="0"/>
    <s v=""/>
    <s v="Bebes/Bambins Enfants Filles Garçons Femmes"/>
    <s v="1"/>
    <s v="1"/>
    <s v="1"/>
    <s v="1"/>
    <s v="1"/>
    <s v="0"/>
    <s v="0"/>
    <s v="0"/>
    <s v="0"/>
    <s v="0"/>
    <s v="0"/>
    <s v="0"/>
    <s v="0"/>
    <s v="0"/>
    <s v=""/>
    <s v="5"/>
    <s v="augmente"/>
    <s v=""/>
    <s v="oui"/>
    <s v="agression_physique agression_psychologique exploitations_enfant menace enscrimination_acces_services"/>
    <s v="0"/>
    <s v="0"/>
    <s v="1"/>
    <s v="0"/>
    <s v="1"/>
    <s v="0"/>
    <s v="0"/>
    <s v="0"/>
    <s v="1"/>
    <s v="0"/>
    <s v="1"/>
    <s v="1"/>
    <s v="0"/>
    <s v="0"/>
    <s v="0"/>
    <s v=""/>
    <s v="Bebes/Bambins Enfants Filles Garçons Femmes"/>
    <s v="1"/>
    <s v="1"/>
    <s v="1"/>
    <s v="1"/>
    <s v="1"/>
    <s v="0"/>
    <s v="0"/>
    <s v="0"/>
    <s v="0"/>
    <s v="0"/>
    <s v="0"/>
    <s v="0"/>
    <s v="0"/>
    <s v="0"/>
    <s v=""/>
    <s v="5"/>
    <s v="augmente"/>
    <s v=""/>
    <s v="diminution_moyens_existence deterioration_con_abris deterioration_acces_service_base"/>
    <s v="1"/>
    <s v="1"/>
    <s v="1"/>
    <s v="0"/>
    <s v="0"/>
    <s v="0"/>
    <s v="0"/>
    <s v="0"/>
    <s v="0"/>
    <s v="0"/>
    <s v=""/>
    <s v=""/>
    <s v=""/>
    <s v=""/>
    <s v=""/>
    <s v=""/>
    <s v=""/>
    <s v=""/>
    <s v=""/>
    <s v=""/>
    <s v=""/>
    <s v=""/>
    <s v=""/>
    <s v="Integration_com_hote Soutien_famille_amis dplct_abords_com"/>
    <s v="1"/>
    <s v="1"/>
    <s v="1"/>
    <s v="0"/>
    <s v="0"/>
    <s v="0"/>
    <s v="0"/>
    <s v="0"/>
    <s v="0"/>
    <s v=""/>
    <s v=""/>
    <s v="comite_protection famille_accueil comite_redevabilite"/>
    <s v="0"/>
    <s v="1"/>
    <s v="1"/>
    <s v="0"/>
    <s v="1"/>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
    <s v="oui"/>
    <s v=""/>
    <s v="Bebes/Bambins Enfants Filles Garçons Femmes"/>
    <s v="1"/>
    <s v="1"/>
    <s v="1"/>
    <s v="1"/>
    <s v="1"/>
    <s v="0"/>
    <s v="0"/>
    <s v="0"/>
    <s v="0"/>
    <s v="0"/>
    <s v="0"/>
    <s v="0"/>
    <s v="0"/>
    <s v="0"/>
    <s v=""/>
    <s v="6"/>
    <s v="NA"/>
    <s v="NA"/>
    <s v="NA"/>
    <s v="NA"/>
    <s v="NA"/>
    <s v="NA"/>
    <s v="NA"/>
    <s v="NA"/>
    <s v="NA"/>
    <s v="NA"/>
    <s v="NA"/>
    <s v=""/>
    <s v="prise_enchage reorientation signalement"/>
    <s v="1"/>
    <s v="1"/>
    <s v="1"/>
    <s v="0"/>
    <s v="0"/>
    <s v="0"/>
    <s v=""/>
    <s v="reinsertion surete point_ecoute medical Psychosocia"/>
    <s v="1"/>
    <s v="1"/>
    <s v="1"/>
    <s v="0"/>
    <s v="1"/>
    <s v="1"/>
    <s v="0"/>
    <s v="0"/>
    <s v="0"/>
    <s v=""/>
    <s v="medical Psychosocia point_ecoute surete reinsertion"/>
    <s v="1"/>
    <s v="1"/>
    <s v="1"/>
    <s v="0"/>
    <s v="1"/>
    <s v="1"/>
    <s v="0"/>
    <s v="0"/>
    <s v="0"/>
    <s v=""/>
    <s v=""/>
    <s v="oui"/>
    <s v="manque_moyens manque_d'information manque_personnes insecurite_zone probleme_orientation"/>
    <s v="1"/>
    <s v="1"/>
    <s v="1"/>
    <s v="1"/>
    <s v="1"/>
    <s v="0"/>
    <s v="0"/>
    <s v="0"/>
    <s v="0"/>
    <s v="0"/>
    <s v="0"/>
    <s v=""/>
    <s v="pb_protection_donnee pb_logistiques pb_secu"/>
    <s v="1"/>
    <s v="1"/>
    <s v="1"/>
    <s v="0"/>
    <s v="0"/>
    <s v="0"/>
    <s v=""/>
    <s v="oui"/>
    <s v="violence_physique violence_psycho menace_mort"/>
    <s v="1"/>
    <s v="1"/>
    <s v="0"/>
    <s v="0"/>
    <s v="1"/>
    <s v="0"/>
    <s v="0"/>
    <s v="0"/>
    <s v="0"/>
    <s v="0"/>
    <s v=""/>
    <s v="oui"/>
    <s v="oui"/>
    <s v=""/>
    <s v="Famine totale et surtout instauré la cohésion totale,la paix"/>
    <n v="169351678"/>
    <s v="590d4d25-2b3c-4d68-93fc-06d004a5efe4"/>
    <s v="2021-04-02T19:02:13"/>
    <s v=""/>
    <s v="[]"/>
    <s v="submitted_via_web"/>
    <s v="reach_niger"/>
    <s v=""/>
    <n v="30"/>
  </r>
  <r>
    <s v="2021-04-02T11:02:19.303+01:00"/>
    <s v="2021-04-02T11:32:01.883+01:00"/>
    <s v="2021-04-02"/>
    <s v=""/>
    <s v=""/>
    <s v="Homme"/>
    <x v="3"/>
    <x v="3"/>
    <x v="9"/>
    <s v="Tazizguirte"/>
    <s v=""/>
    <s v=""/>
    <s v=""/>
    <s v=""/>
    <s v=""/>
    <s v=""/>
    <s v=""/>
    <s v="Homme"/>
    <s v="34"/>
    <s v="deplace_interne"/>
    <s v=""/>
    <s v=""/>
    <s v=""/>
    <s v=""/>
    <s v=""/>
    <s v="niger"/>
    <s v="tillaberi"/>
    <s v="bankilare"/>
    <s v=""/>
    <s v=""/>
    <s v=""/>
    <s v=""/>
    <s v="oui"/>
    <s v="Vols_braquages extorsions Violences_physique_civils Attaques_ecoles_sante Disputes_intercommunataires"/>
    <s v="0"/>
    <s v="1"/>
    <s v="1"/>
    <s v="1"/>
    <s v="1"/>
    <s v="0"/>
    <s v="0"/>
    <s v="1"/>
    <s v="0"/>
    <s v="0"/>
    <s v="0"/>
    <s v="0"/>
    <s v="0"/>
    <s v="0"/>
    <s v=""/>
    <s v="Bebes/Bambins Enfants Filles Femmes Femmes_agees"/>
    <s v="1"/>
    <s v="1"/>
    <s v="1"/>
    <s v="0"/>
    <s v="1"/>
    <s v="0"/>
    <s v="1"/>
    <s v="0"/>
    <s v="0"/>
    <s v="0"/>
    <s v="0"/>
    <s v="0"/>
    <s v="0"/>
    <s v="0"/>
    <s v=""/>
    <s v="3"/>
    <s v="augmente"/>
    <s v=""/>
    <s v="oui"/>
    <s v="agression_physique agression_psychologique travail_force exploitations_enfant menace"/>
    <s v="0"/>
    <s v="0"/>
    <s v="1"/>
    <s v="0"/>
    <s v="1"/>
    <s v="0"/>
    <s v="1"/>
    <s v="0"/>
    <s v="1"/>
    <s v="0"/>
    <s v="1"/>
    <s v="0"/>
    <s v="0"/>
    <s v="0"/>
    <s v="0"/>
    <s v=""/>
    <s v="Bebes/Bambins Enfants Filles Garçons Femmes"/>
    <s v="1"/>
    <s v="1"/>
    <s v="1"/>
    <s v="1"/>
    <s v="1"/>
    <s v="0"/>
    <s v="0"/>
    <s v="0"/>
    <s v="0"/>
    <s v="0"/>
    <s v="0"/>
    <s v="0"/>
    <s v="0"/>
    <s v="0"/>
    <s v=""/>
    <s v="3"/>
    <s v="augmente"/>
    <s v=""/>
    <s v="deterioration_con_abris deterioration_acces_service_base diminution_moyens_existence"/>
    <s v="1"/>
    <s v="1"/>
    <s v="1"/>
    <s v="0"/>
    <s v="0"/>
    <s v="0"/>
    <s v="0"/>
    <s v="0"/>
    <s v="0"/>
    <s v="0"/>
    <s v=""/>
    <s v=""/>
    <s v=""/>
    <s v=""/>
    <s v=""/>
    <s v=""/>
    <s v=""/>
    <s v=""/>
    <s v=""/>
    <s v=""/>
    <s v=""/>
    <s v=""/>
    <s v=""/>
    <s v="dplct_abords_com Integration_com_hote Soutien_famille_amis"/>
    <s v="1"/>
    <s v="1"/>
    <s v="1"/>
    <s v="0"/>
    <s v="0"/>
    <s v="0"/>
    <s v="0"/>
    <s v="0"/>
    <s v="0"/>
    <s v=""/>
    <s v=""/>
    <s v="comite_protection famille_accueil comite_gestion_conflits comite_redevabilite"/>
    <s v="0"/>
    <s v="1"/>
    <s v="1"/>
    <s v="0"/>
    <s v="1"/>
    <s v="1"/>
    <s v="0"/>
    <s v="0"/>
    <s v="0"/>
    <s v="0"/>
    <s v=""/>
    <s v="oui"/>
    <s v="manif_sociales Leaders_religieux Groupement_femmes Differents_comites_villageois famille_amis"/>
    <s v="0"/>
    <s v="0"/>
    <s v="0"/>
    <s v="1"/>
    <s v="0"/>
    <s v="1"/>
    <s v="1"/>
    <s v="1"/>
    <s v="1"/>
    <s v="0"/>
    <s v="0"/>
    <s v="0"/>
    <s v="0"/>
    <s v="0"/>
    <s v=""/>
    <s v="oui_minorite"/>
    <s v="oui_minorite"/>
    <s v="manque_info discrimination non_utilisation"/>
    <s v="0"/>
    <s v="1"/>
    <s v="1"/>
    <s v="1"/>
    <s v="0"/>
    <s v="0"/>
    <s v="0"/>
    <s v="0"/>
    <s v=""/>
    <s v="minorite"/>
    <s v="minorite"/>
    <s v="Education Service_de_counseling Services_de_sante Appui_psychosocial"/>
    <s v="1"/>
    <s v="1"/>
    <s v="1"/>
    <s v="1"/>
    <s v="0"/>
    <s v="0"/>
    <s v="0"/>
    <s v="0"/>
    <s v="0"/>
    <s v=""/>
    <s v="oui_minorite"/>
    <s v="oui_minorite"/>
    <s v="repond_besoins_pop permet_obtenir_conseils permet_eviter_conflits"/>
    <s v="0"/>
    <s v="1"/>
    <s v="1"/>
    <s v="1"/>
    <s v="0"/>
    <s v="0"/>
    <s v="0"/>
    <s v="0"/>
    <s v=""/>
    <s v="ne_repond_pas non_obtention_info ne_contribue_pas"/>
    <s v="1"/>
    <s v="1"/>
    <s v="1"/>
    <s v="0"/>
    <s v="0"/>
    <s v="0"/>
    <s v=""/>
    <s v=""/>
    <s v="non"/>
    <s v=""/>
    <s v=""/>
    <s v=""/>
    <s v=""/>
    <s v=""/>
    <s v=""/>
    <s v=""/>
    <s v=""/>
    <s v=""/>
    <s v=""/>
    <s v=""/>
    <s v=""/>
    <s v="oui"/>
    <s v=""/>
    <s v="Bebes/Bambins Enfants Filles Garçons Femmes"/>
    <s v="1"/>
    <s v="1"/>
    <s v="1"/>
    <s v="1"/>
    <s v="1"/>
    <s v="0"/>
    <s v="0"/>
    <s v="0"/>
    <s v="0"/>
    <s v="0"/>
    <s v="0"/>
    <s v="0"/>
    <s v="0"/>
    <s v="0"/>
    <s v=""/>
    <s v="7"/>
    <s v="Services_medicaux Services_educatifs Services_conseil points_ecoute"/>
    <s v="0"/>
    <s v="1"/>
    <s v="1"/>
    <s v="1"/>
    <s v="0"/>
    <s v="0"/>
    <s v="0"/>
    <s v="1"/>
    <s v="0"/>
    <s v="0"/>
    <s v=""/>
    <s v="prise_enchage reorientation signalement"/>
    <s v="1"/>
    <s v="1"/>
    <s v="1"/>
    <s v="0"/>
    <s v="0"/>
    <s v="0"/>
    <s v=""/>
    <s v="medical point_ecoute surete centre_formation reinsertion"/>
    <s v="1"/>
    <s v="0"/>
    <s v="1"/>
    <s v="0"/>
    <s v="1"/>
    <s v="1"/>
    <s v="1"/>
    <s v="0"/>
    <s v="0"/>
    <s v=""/>
    <s v="medical Psychosocia point_ecoute surete reinsertion"/>
    <s v="1"/>
    <s v="1"/>
    <s v="1"/>
    <s v="0"/>
    <s v="1"/>
    <s v="1"/>
    <s v="0"/>
    <s v="0"/>
    <s v="0"/>
    <s v=""/>
    <s v=""/>
    <s v="oui"/>
    <s v="manque_moyens manque_d'information insecurite_zone probleme_orientation manque_personnes"/>
    <s v="1"/>
    <s v="1"/>
    <s v="1"/>
    <s v="1"/>
    <s v="1"/>
    <s v="0"/>
    <s v="0"/>
    <s v="0"/>
    <s v="0"/>
    <s v="0"/>
    <s v="0"/>
    <s v=""/>
    <s v="pb_logistiques pb_protection_donnee pb_secu"/>
    <s v="1"/>
    <s v="1"/>
    <s v="1"/>
    <s v="0"/>
    <s v="0"/>
    <s v="0"/>
    <s v=""/>
    <s v="non"/>
    <s v=""/>
    <s v=""/>
    <s v=""/>
    <s v=""/>
    <s v=""/>
    <s v=""/>
    <s v=""/>
    <s v=""/>
    <s v=""/>
    <s v=""/>
    <s v=""/>
    <s v=""/>
    <s v=""/>
    <s v="oui"/>
    <s v=""/>
    <s v="Problème de nourriture et appui conseil"/>
    <n v="169351662"/>
    <s v="fcd0c38c-be4e-4ab1-ae99-c54b5563b42e"/>
    <s v="2021-04-02T19:02:03"/>
    <s v=""/>
    <s v="[]"/>
    <s v="submitted_via_web"/>
    <s v="reach_niger"/>
    <s v=""/>
    <n v="28"/>
  </r>
  <r>
    <s v="2021-04-02T14:35:58.773+01:00"/>
    <s v="2021-04-02T15:25:44.759+01:00"/>
    <s v="2021-04-02"/>
    <s v=""/>
    <s v=""/>
    <s v="Homme"/>
    <x v="4"/>
    <x v="4"/>
    <x v="10"/>
    <s v=""/>
    <s v=""/>
    <s v=""/>
    <s v=""/>
    <s v=""/>
    <s v=""/>
    <s v=""/>
    <s v=""/>
    <s v="Homme"/>
    <s v="67"/>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dplct_abords_com"/>
    <s v="1"/>
    <s v="1"/>
    <s v="0"/>
    <s v="0"/>
    <s v="0"/>
    <s v="0"/>
    <s v="0"/>
    <s v="0"/>
    <s v="0"/>
    <s v=""/>
    <s v=""/>
    <s v="comite_protection femmes_elite"/>
    <s v="1"/>
    <s v="1"/>
    <s v="0"/>
    <s v="0"/>
    <s v="0"/>
    <s v="0"/>
    <s v="0"/>
    <s v="0"/>
    <s v="0"/>
    <s v="0"/>
    <s v=""/>
    <s v="oui"/>
    <s v="Chef_village Differents_comites_villageois"/>
    <s v="0"/>
    <s v="0"/>
    <s v="0"/>
    <s v="0"/>
    <s v="1"/>
    <s v="0"/>
    <s v="0"/>
    <s v="0"/>
    <s v="1"/>
    <s v="0"/>
    <s v="0"/>
    <s v="0"/>
    <s v="0"/>
    <s v="0"/>
    <s v=""/>
    <s v="oui_ensemble"/>
    <s v="oui_ensemble"/>
    <s v=""/>
    <s v=""/>
    <s v=""/>
    <s v=""/>
    <s v=""/>
    <s v=""/>
    <s v=""/>
    <s v=""/>
    <s v=""/>
    <s v=""/>
    <s v="ensemble"/>
    <s v="ensemble"/>
    <s v="Services_de_sante"/>
    <s v="0"/>
    <s v="0"/>
    <s v="0"/>
    <s v="1"/>
    <s v="0"/>
    <s v="0"/>
    <s v="0"/>
    <s v="0"/>
    <s v="0"/>
    <s v=""/>
    <s v="oui_ensemble"/>
    <s v="oui_ensemble"/>
    <s v="amelioration_futur repond_besoins_pop permet_obtenir_conseils"/>
    <s v="1"/>
    <s v="1"/>
    <s v="1"/>
    <s v="0"/>
    <s v="0"/>
    <s v="0"/>
    <s v="0"/>
    <s v="0"/>
    <s v=""/>
    <s v=""/>
    <s v=""/>
    <s v=""/>
    <s v=""/>
    <s v=""/>
    <s v=""/>
    <s v=""/>
    <s v=""/>
    <s v=""/>
    <s v="non"/>
    <s v=""/>
    <s v=""/>
    <s v=""/>
    <s v=""/>
    <s v=""/>
    <s v=""/>
    <s v=""/>
    <s v=""/>
    <s v=""/>
    <s v=""/>
    <s v=""/>
    <s v=""/>
    <s v="oui"/>
    <s v=""/>
    <s v=""/>
    <s v=""/>
    <s v=""/>
    <s v=""/>
    <s v=""/>
    <s v=""/>
    <s v=""/>
    <s v=""/>
    <s v=""/>
    <s v=""/>
    <s v=""/>
    <s v=""/>
    <s v=""/>
    <s v=""/>
    <s v=""/>
    <s v=""/>
    <s v="1"/>
    <s v="Services_medicaux"/>
    <s v="0"/>
    <s v="1"/>
    <s v="0"/>
    <s v="0"/>
    <s v="0"/>
    <s v="0"/>
    <s v="0"/>
    <s v="0"/>
    <s v="0"/>
    <s v="0"/>
    <s v=""/>
    <s v="reorientation"/>
    <s v="0"/>
    <s v="1"/>
    <s v="0"/>
    <s v="0"/>
    <s v="0"/>
    <s v="0"/>
    <s v=""/>
    <s v=""/>
    <s v=""/>
    <s v=""/>
    <s v=""/>
    <s v=""/>
    <s v=""/>
    <s v=""/>
    <s v=""/>
    <s v=""/>
    <s v=""/>
    <s v=""/>
    <s v="medical"/>
    <s v="1"/>
    <s v="0"/>
    <s v="0"/>
    <s v="0"/>
    <s v="0"/>
    <s v="0"/>
    <s v="0"/>
    <s v="0"/>
    <s v="0"/>
    <s v=""/>
    <s v=""/>
    <s v="non"/>
    <s v=""/>
    <s v=""/>
    <s v=""/>
    <s v=""/>
    <s v=""/>
    <s v=""/>
    <s v=""/>
    <s v=""/>
    <s v=""/>
    <s v=""/>
    <s v=""/>
    <s v=""/>
    <s v=""/>
    <s v=""/>
    <s v=""/>
    <s v=""/>
    <s v=""/>
    <s v=""/>
    <s v=""/>
    <s v=""/>
    <s v=""/>
    <s v="non"/>
    <s v=""/>
    <s v=""/>
    <s v=""/>
    <s v=""/>
    <s v=""/>
    <s v=""/>
    <s v=""/>
    <s v=""/>
    <s v=""/>
    <s v=""/>
    <s v=""/>
    <s v=""/>
    <s v=""/>
    <s v="oui"/>
    <s v=""/>
    <s v=""/>
    <n v="169355620"/>
    <s v="2c040e31-8966-48a7-b32b-ef621ac83f8c"/>
    <s v="2021-04-02T19:44:49"/>
    <s v=""/>
    <s v="[]"/>
    <s v="submitted_via_web"/>
    <s v="reach_niger"/>
    <s v=""/>
    <n v="33"/>
  </r>
  <r>
    <s v="2021-04-02T12:03:46.147+01:00"/>
    <s v="2021-04-02T12:36:11.710+01:00"/>
    <s v="2021-04-02"/>
    <s v=""/>
    <s v=""/>
    <s v="Homme"/>
    <x v="4"/>
    <x v="4"/>
    <x v="11"/>
    <s v=""/>
    <s v=""/>
    <s v=""/>
    <s v=""/>
    <s v=""/>
    <s v=""/>
    <s v=""/>
    <s v=""/>
    <s v="Homme"/>
    <s v="54"/>
    <s v="deplace_interne"/>
    <s v=""/>
    <s v=""/>
    <s v=""/>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 v="0"/>
    <s v="1"/>
    <s v="0"/>
    <s v="0"/>
    <s v="0"/>
    <s v="0"/>
    <s v="0"/>
    <s v="0"/>
    <s v="0"/>
    <s v=""/>
    <s v=""/>
    <s v="comite_protection femmes_elite"/>
    <s v="1"/>
    <s v="1"/>
    <s v="0"/>
    <s v="0"/>
    <s v="0"/>
    <s v="0"/>
    <s v="0"/>
    <s v="0"/>
    <s v="0"/>
    <s v="0"/>
    <s v=""/>
    <s v="oui"/>
    <s v="Chef_village"/>
    <s v="0"/>
    <s v="0"/>
    <s v="0"/>
    <s v="0"/>
    <s v="1"/>
    <s v="0"/>
    <s v="0"/>
    <s v="0"/>
    <s v="0"/>
    <s v="0"/>
    <s v="0"/>
    <s v="0"/>
    <s v="0"/>
    <s v="0"/>
    <s v=""/>
    <s v="oui_ensemble"/>
    <s v="oui_ensemble"/>
    <s v=""/>
    <s v=""/>
    <s v=""/>
    <s v=""/>
    <s v=""/>
    <s v=""/>
    <s v=""/>
    <s v=""/>
    <s v=""/>
    <s v=""/>
    <s v="ensemble"/>
    <s v="ensemble"/>
    <s v="Services_de_sante"/>
    <s v="0"/>
    <s v="0"/>
    <s v="0"/>
    <s v="1"/>
    <s v="0"/>
    <s v="0"/>
    <s v="0"/>
    <s v="0"/>
    <s v="0"/>
    <s v=""/>
    <s v="oui_ensemble"/>
    <s v="oui_ensemble"/>
    <s v="repond_besoins_pop amelioration_futur"/>
    <s v="1"/>
    <s v="1"/>
    <s v="0"/>
    <s v="0"/>
    <s v="0"/>
    <s v="0"/>
    <s v="0"/>
    <s v="0"/>
    <s v=""/>
    <s v=""/>
    <s v=""/>
    <s v=""/>
    <s v=""/>
    <s v=""/>
    <s v=""/>
    <s v=""/>
    <s v=""/>
    <s v=""/>
    <s v="non"/>
    <s v=""/>
    <s v=""/>
    <s v=""/>
    <s v=""/>
    <s v=""/>
    <s v=""/>
    <s v=""/>
    <s v=""/>
    <s v=""/>
    <s v=""/>
    <s v=""/>
    <s v=""/>
    <s v="oui"/>
    <s v=""/>
    <s v=""/>
    <s v=""/>
    <s v=""/>
    <s v=""/>
    <s v=""/>
    <s v=""/>
    <s v=""/>
    <s v=""/>
    <s v=""/>
    <s v=""/>
    <s v=""/>
    <s v=""/>
    <s v=""/>
    <s v=""/>
    <s v=""/>
    <s v=""/>
    <s v="2"/>
    <s v="Services_medicaux points_ecoute"/>
    <s v="0"/>
    <s v="1"/>
    <s v="0"/>
    <s v="0"/>
    <s v="0"/>
    <s v="0"/>
    <s v="0"/>
    <s v="1"/>
    <s v="0"/>
    <s v="0"/>
    <s v=""/>
    <s v="prise_enchage signalement"/>
    <s v="1"/>
    <s v="0"/>
    <s v="1"/>
    <s v="0"/>
    <s v="0"/>
    <s v="0"/>
    <s v=""/>
    <s v="point_ecoute medical"/>
    <s v="1"/>
    <s v="0"/>
    <s v="1"/>
    <s v="0"/>
    <s v="0"/>
    <s v="0"/>
    <s v="0"/>
    <s v="0"/>
    <s v="0"/>
    <s v=""/>
    <s v="point_ecoute medical"/>
    <s v="1"/>
    <s v="0"/>
    <s v="1"/>
    <s v="0"/>
    <s v="0"/>
    <s v="0"/>
    <s v="0"/>
    <s v="0"/>
    <s v="0"/>
    <s v=""/>
    <s v=""/>
    <s v="oui"/>
    <s v="manque_moyens probleme_orientation"/>
    <s v="1"/>
    <s v="0"/>
    <s v="0"/>
    <s v="1"/>
    <s v="0"/>
    <s v="0"/>
    <s v="0"/>
    <s v="0"/>
    <s v="0"/>
    <s v="0"/>
    <s v="0"/>
    <s v=""/>
    <s v="pb_coordination pb_logistiques"/>
    <s v="0"/>
    <s v="1"/>
    <s v="0"/>
    <s v="1"/>
    <s v="0"/>
    <s v="0"/>
    <s v=""/>
    <s v="non"/>
    <s v=""/>
    <s v=""/>
    <s v=""/>
    <s v=""/>
    <s v=""/>
    <s v=""/>
    <s v=""/>
    <s v=""/>
    <s v=""/>
    <s v=""/>
    <s v=""/>
    <s v=""/>
    <s v=""/>
    <s v="oui"/>
    <s v=""/>
    <s v=""/>
    <n v="169355615"/>
    <s v="5c6a6c24-c1d3-440c-83d5-fdc6307a1a06"/>
    <s v="2021-04-02T19:44:42"/>
    <s v=""/>
    <s v="[]"/>
    <s v="submitted_via_web"/>
    <s v="reach_niger"/>
    <s v=""/>
    <n v="34"/>
  </r>
  <r>
    <s v="2021-03-31T10:34:03.159+01:00"/>
    <s v="2021-03-31T17:14:14.413+01:00"/>
    <s v="2021-03-31"/>
    <s v=""/>
    <s v=""/>
    <s v="Homme"/>
    <x v="4"/>
    <x v="4"/>
    <x v="12"/>
    <s v=""/>
    <s v=""/>
    <s v=""/>
    <s v=""/>
    <s v=""/>
    <s v=""/>
    <s v=""/>
    <s v=""/>
    <s v="Homme"/>
    <s v="31"/>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Soutien_famille_amis Integration_com_hote"/>
    <s v="0"/>
    <s v="1"/>
    <s v="1"/>
    <s v="0"/>
    <s v="0"/>
    <s v="0"/>
    <s v="0"/>
    <s v="0"/>
    <s v="0"/>
    <s v=""/>
    <s v=""/>
    <s v="famille_accueil comite_gestion_conflits comite_protection"/>
    <s v="0"/>
    <s v="1"/>
    <s v="1"/>
    <s v="0"/>
    <s v="0"/>
    <s v="1"/>
    <s v="0"/>
    <s v="0"/>
    <s v="0"/>
    <s v="0"/>
    <s v=""/>
    <s v="oui"/>
    <s v="Radio_television manif_sociales Chef_village Groupement_femmes"/>
    <s v="1"/>
    <s v="0"/>
    <s v="0"/>
    <s v="1"/>
    <s v="1"/>
    <s v="0"/>
    <s v="0"/>
    <s v="1"/>
    <s v="0"/>
    <s v="0"/>
    <s v="0"/>
    <s v="0"/>
    <s v="0"/>
    <s v="0"/>
    <s v=""/>
    <s v="oui_moitie"/>
    <s v="oui_moitie"/>
    <s v="manque_info trop_du_monde insecurite"/>
    <s v="0"/>
    <s v="1"/>
    <s v="0"/>
    <s v="0"/>
    <s v="1"/>
    <s v="1"/>
    <s v="0"/>
    <s v="0"/>
    <s v=""/>
    <s v="moitie"/>
    <s v="moitie"/>
    <s v="Education Services_de_sante Acces_aux_doc"/>
    <s v="0"/>
    <s v="1"/>
    <s v="0"/>
    <s v="1"/>
    <s v="1"/>
    <s v="0"/>
    <s v="0"/>
    <s v="0"/>
    <s v="0"/>
    <s v=""/>
    <s v="oui_minorite"/>
    <s v="oui_majorite"/>
    <s v="repond_besoins_pop permet_obtenir_conseils amelioration_futur"/>
    <s v="1"/>
    <s v="1"/>
    <s v="1"/>
    <s v="0"/>
    <s v="0"/>
    <s v="0"/>
    <s v="0"/>
    <s v="0"/>
    <s v=""/>
    <s v="non_diminition_tension non_obtention_info ne_repond_pas"/>
    <s v="0"/>
    <s v="1"/>
    <s v="1"/>
    <s v="1"/>
    <s v="0"/>
    <s v="0"/>
    <s v=""/>
    <s v=""/>
    <s v="non"/>
    <s v=""/>
    <s v=""/>
    <s v=""/>
    <s v=""/>
    <s v=""/>
    <s v=""/>
    <s v=""/>
    <s v=""/>
    <s v=""/>
    <s v=""/>
    <s v=""/>
    <s v=""/>
    <s v="oui"/>
    <s v=""/>
    <s v=""/>
    <s v=""/>
    <s v=""/>
    <s v=""/>
    <s v=""/>
    <s v=""/>
    <s v=""/>
    <s v=""/>
    <s v=""/>
    <s v=""/>
    <s v=""/>
    <s v=""/>
    <s v=""/>
    <s v=""/>
    <s v=""/>
    <s v=""/>
    <s v="2"/>
    <s v="Services_medicaux Services_educatifs acces_docs"/>
    <s v="0"/>
    <s v="1"/>
    <s v="1"/>
    <s v="0"/>
    <s v="1"/>
    <s v="0"/>
    <s v="0"/>
    <s v="0"/>
    <s v="0"/>
    <s v="0"/>
    <s v=""/>
    <s v="prise_enchage reorientation signalement"/>
    <s v="1"/>
    <s v="1"/>
    <s v="1"/>
    <s v="0"/>
    <s v="0"/>
    <s v="0"/>
    <s v=""/>
    <s v="medical point_ecoute surete"/>
    <s v="1"/>
    <s v="0"/>
    <s v="1"/>
    <s v="0"/>
    <s v="1"/>
    <s v="0"/>
    <s v="0"/>
    <s v="0"/>
    <s v="0"/>
    <s v=""/>
    <s v="medical point_ecoute surete"/>
    <s v="1"/>
    <s v="0"/>
    <s v="1"/>
    <s v="0"/>
    <s v="1"/>
    <s v="0"/>
    <s v="0"/>
    <s v="0"/>
    <s v="0"/>
    <s v=""/>
    <s v=""/>
    <s v="oui"/>
    <s v="manque_moyens insecurite_zone probleme_orientation"/>
    <s v="1"/>
    <s v="0"/>
    <s v="0"/>
    <s v="1"/>
    <s v="1"/>
    <s v="0"/>
    <s v="0"/>
    <s v="0"/>
    <s v="0"/>
    <s v="0"/>
    <s v="0"/>
    <s v=""/>
    <s v="pb_logistiques pb_secu"/>
    <s v="0"/>
    <s v="1"/>
    <s v="1"/>
    <s v="0"/>
    <s v="0"/>
    <s v="0"/>
    <s v=""/>
    <s v="non"/>
    <s v=""/>
    <s v=""/>
    <s v=""/>
    <s v=""/>
    <s v=""/>
    <s v=""/>
    <s v=""/>
    <s v=""/>
    <s v=""/>
    <s v=""/>
    <s v=""/>
    <s v=""/>
    <s v=""/>
    <s v="oui"/>
    <s v=""/>
    <s v=""/>
    <n v="168954344"/>
    <s v="db614297-8d74-4f89-afc9-d32bc984d1ee"/>
    <s v="2021-03-31T17:53:43"/>
    <s v=""/>
    <s v="[]"/>
    <s v="submitted_via_web"/>
    <s v="reach_niger"/>
    <s v=""/>
    <n v="3"/>
  </r>
  <r>
    <s v="2021-03-31T12:52:50.582+01:00"/>
    <s v="2021-03-31T17:13:57.614+01:00"/>
    <s v="2021-03-31"/>
    <s v=""/>
    <s v=""/>
    <s v="Homme"/>
    <x v="4"/>
    <x v="4"/>
    <x v="13"/>
    <s v=""/>
    <s v=""/>
    <s v=""/>
    <s v=""/>
    <s v=""/>
    <s v=""/>
    <s v=""/>
    <s v=""/>
    <s v="Homme"/>
    <s v="64"/>
    <s v="Hote"/>
    <s v=""/>
    <s v=""/>
    <s v=""/>
    <s v=""/>
    <s v=""/>
    <s v=""/>
    <s v=""/>
    <s v=""/>
    <s v=""/>
    <s v=""/>
    <s v=""/>
    <s v=""/>
    <s v="oui"/>
    <s v="Violences_physique_civils Attaques_ecoles_sante extorsions Vols_braquages"/>
    <s v="0"/>
    <s v="0"/>
    <s v="1"/>
    <s v="1"/>
    <s v="1"/>
    <s v="0"/>
    <s v="0"/>
    <s v="1"/>
    <s v="0"/>
    <s v="0"/>
    <s v="0"/>
    <s v="0"/>
    <s v="0"/>
    <s v="0"/>
    <s v=""/>
    <s v="Hommes"/>
    <s v="0"/>
    <s v="0"/>
    <s v="0"/>
    <s v="0"/>
    <s v="0"/>
    <s v="1"/>
    <s v="0"/>
    <s v="0"/>
    <s v="0"/>
    <s v="0"/>
    <s v="0"/>
    <s v="0"/>
    <s v="0"/>
    <s v="0"/>
    <s v=""/>
    <s v="1"/>
    <s v="diminue"/>
    <s v=""/>
    <s v="non"/>
    <s v=""/>
    <s v=""/>
    <s v=""/>
    <s v=""/>
    <s v=""/>
    <s v=""/>
    <s v=""/>
    <s v=""/>
    <s v=""/>
    <s v=""/>
    <s v=""/>
    <s v=""/>
    <s v=""/>
    <s v=""/>
    <s v=""/>
    <s v=""/>
    <s v=""/>
    <s v=""/>
    <s v=""/>
    <s v=""/>
    <s v=""/>
    <s v=""/>
    <s v=""/>
    <s v=""/>
    <s v=""/>
    <s v=""/>
    <s v=""/>
    <s v=""/>
    <s v=""/>
    <s v=""/>
    <s v=""/>
    <s v=""/>
    <s v=""/>
    <s v=""/>
    <s v=""/>
    <s v=""/>
    <s v=""/>
    <s v=""/>
    <s v=""/>
    <s v=""/>
    <s v=""/>
    <s v=""/>
    <s v=""/>
    <s v=""/>
    <s v=""/>
    <s v=""/>
    <s v=""/>
    <s v=""/>
    <s v="amelioration_cond_abris amelioration_acces_service_base"/>
    <s v="0"/>
    <s v="1"/>
    <s v="1"/>
    <s v="0"/>
    <s v="0"/>
    <s v="0"/>
    <s v="0"/>
    <s v="0"/>
    <s v="0"/>
    <s v=""/>
    <s v=""/>
    <s v="Soutien_famille_amis Integration_com_hote"/>
    <s v="0"/>
    <s v="1"/>
    <s v="1"/>
    <s v="0"/>
    <s v="0"/>
    <s v="0"/>
    <s v="0"/>
    <s v="0"/>
    <s v="0"/>
    <s v=""/>
    <s v=""/>
    <s v="famille_accueil comite_protection"/>
    <s v="0"/>
    <s v="1"/>
    <s v="1"/>
    <s v="0"/>
    <s v="0"/>
    <s v="0"/>
    <s v="0"/>
    <s v="0"/>
    <s v="0"/>
    <s v="0"/>
    <s v=""/>
    <s v="oui"/>
    <s v="famille_amis"/>
    <s v="0"/>
    <s v="0"/>
    <s v="0"/>
    <s v="0"/>
    <s v="0"/>
    <s v="1"/>
    <s v="0"/>
    <s v="0"/>
    <s v="0"/>
    <s v="0"/>
    <s v="0"/>
    <s v="0"/>
    <s v="0"/>
    <s v="0"/>
    <s v=""/>
    <s v="oui_majorite"/>
    <s v="oui_moitie"/>
    <s v="manque_info trop_du_monde"/>
    <s v="0"/>
    <s v="1"/>
    <s v="0"/>
    <s v="0"/>
    <s v="1"/>
    <s v="0"/>
    <s v="0"/>
    <s v="0"/>
    <s v=""/>
    <s v="minorite"/>
    <s v="majorite"/>
    <s v="Services_de_sante"/>
    <s v="0"/>
    <s v="0"/>
    <s v="0"/>
    <s v="1"/>
    <s v="0"/>
    <s v="0"/>
    <s v="0"/>
    <s v="0"/>
    <s v="0"/>
    <s v=""/>
    <s v="oui_majorite"/>
    <s v="oui_majorite"/>
    <s v="repond_besoins_pop"/>
    <s v="0"/>
    <s v="1"/>
    <s v="0"/>
    <s v="0"/>
    <s v="0"/>
    <s v="0"/>
    <s v="0"/>
    <s v="0"/>
    <s v=""/>
    <s v="ne_repond_pas"/>
    <s v="0"/>
    <s v="1"/>
    <s v="0"/>
    <s v="0"/>
    <s v="0"/>
    <s v="0"/>
    <s v=""/>
    <s v=""/>
    <s v="non"/>
    <s v=""/>
    <s v=""/>
    <s v=""/>
    <s v=""/>
    <s v=""/>
    <s v=""/>
    <s v=""/>
    <s v=""/>
    <s v=""/>
    <s v=""/>
    <s v=""/>
    <s v=""/>
    <s v="oui"/>
    <s v=""/>
    <s v="Hommes Hommes_ages Femmes"/>
    <s v="0"/>
    <s v="0"/>
    <s v="0"/>
    <s v="0"/>
    <s v="1"/>
    <s v="1"/>
    <s v="0"/>
    <s v="1"/>
    <s v="0"/>
    <s v="0"/>
    <s v="0"/>
    <s v="0"/>
    <s v="0"/>
    <s v="0"/>
    <s v=""/>
    <s v="2"/>
    <s v="reinsertion Services_medicaux"/>
    <s v="0"/>
    <s v="1"/>
    <s v="0"/>
    <s v="0"/>
    <s v="0"/>
    <s v="0"/>
    <s v="0"/>
    <s v="0"/>
    <s v="1"/>
    <s v="0"/>
    <s v=""/>
    <s v="reorientation signalement"/>
    <s v="0"/>
    <s v="1"/>
    <s v="1"/>
    <s v="0"/>
    <s v="0"/>
    <s v="0"/>
    <s v=""/>
    <s v=""/>
    <s v=""/>
    <s v=""/>
    <s v=""/>
    <s v=""/>
    <s v=""/>
    <s v=""/>
    <s v=""/>
    <s v=""/>
    <s v=""/>
    <s v=""/>
    <s v="medical point_ecoute"/>
    <s v="1"/>
    <s v="0"/>
    <s v="1"/>
    <s v="0"/>
    <s v="0"/>
    <s v="0"/>
    <s v="0"/>
    <s v="0"/>
    <s v="0"/>
    <s v=""/>
    <s v=""/>
    <s v="oui"/>
    <s v="manque_moyens probleme_orientation insecurite_zone"/>
    <s v="1"/>
    <s v="0"/>
    <s v="0"/>
    <s v="1"/>
    <s v="1"/>
    <s v="0"/>
    <s v="0"/>
    <s v="0"/>
    <s v="0"/>
    <s v="0"/>
    <s v="0"/>
    <s v=""/>
    <s v="pb_logistiques pb_coordination"/>
    <s v="0"/>
    <s v="1"/>
    <s v="0"/>
    <s v="1"/>
    <s v="0"/>
    <s v="0"/>
    <s v=""/>
    <s v="non"/>
    <s v=""/>
    <s v=""/>
    <s v=""/>
    <s v=""/>
    <s v=""/>
    <s v=""/>
    <s v=""/>
    <s v=""/>
    <s v=""/>
    <s v=""/>
    <s v=""/>
    <s v=""/>
    <s v=""/>
    <s v="oui"/>
    <s v=""/>
    <s v=""/>
    <n v="168951339"/>
    <s v="d445d12c-abfc-4fb8-9c83-c44271a9dedb"/>
    <s v="2021-03-31T17:35:54"/>
    <s v=""/>
    <s v="[]"/>
    <s v="submitted_via_web"/>
    <s v="reach_niger"/>
    <s v=""/>
    <n v="6"/>
  </r>
  <r>
    <s v="2021-04-01T11:18:13.375+01:00"/>
    <s v="2021-04-01T11:56:38.352+01:00"/>
    <s v="2021-04-01"/>
    <s v=""/>
    <s v=""/>
    <s v="Homme"/>
    <x v="5"/>
    <x v="5"/>
    <x v="14"/>
    <s v=""/>
    <s v=""/>
    <s v=""/>
    <s v=""/>
    <s v=""/>
    <s v=""/>
    <s v=""/>
    <s v=""/>
    <s v="Homme"/>
    <s v="32"/>
    <s v="deplace_interne"/>
    <s v=""/>
    <s v=""/>
    <s v=""/>
    <s v=""/>
    <s v=""/>
    <s v="niger"/>
    <s v="tillaberi"/>
    <s v="ter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 v="0"/>
    <s v="1"/>
    <s v="0"/>
    <s v="0"/>
    <s v="0"/>
    <s v="0"/>
    <s v="0"/>
    <s v="0"/>
    <s v="0"/>
    <s v=""/>
    <s v=""/>
    <s v="famille_accueil"/>
    <s v="0"/>
    <s v="0"/>
    <s v="1"/>
    <s v="0"/>
    <s v="0"/>
    <s v="0"/>
    <s v="0"/>
    <s v="0"/>
    <s v="0"/>
    <s v="0"/>
    <s v=""/>
    <s v="oui"/>
    <s v="Radio_television Chef_village famille_amis"/>
    <s v="1"/>
    <s v="0"/>
    <s v="0"/>
    <s v="0"/>
    <s v="1"/>
    <s v="1"/>
    <s v="0"/>
    <s v="0"/>
    <s v="0"/>
    <s v="0"/>
    <s v="0"/>
    <s v="0"/>
    <s v="0"/>
    <s v="0"/>
    <s v=""/>
    <s v="oui_majorite"/>
    <s v="oui_majorite"/>
    <s v="manque_info"/>
    <s v="0"/>
    <s v="1"/>
    <s v="0"/>
    <s v="0"/>
    <s v="0"/>
    <s v="0"/>
    <s v="0"/>
    <s v="0"/>
    <s v=""/>
    <s v="majorite"/>
    <s v="majorite"/>
    <s v="Service_de_counseling Services_de_sante Appui_psychosocial Suivi_judiciaire"/>
    <s v="1"/>
    <s v="0"/>
    <s v="1"/>
    <s v="1"/>
    <s v="0"/>
    <s v="1"/>
    <s v="0"/>
    <s v="0"/>
    <s v="0"/>
    <s v=""/>
    <s v="oui_majorite"/>
    <s v="oui_majorite"/>
    <s v="amelioration_futur permet_obtenir_conseils permet_eviter_conflits"/>
    <s v="1"/>
    <s v="0"/>
    <s v="1"/>
    <s v="1"/>
    <s v="0"/>
    <s v="0"/>
    <s v="0"/>
    <s v="0"/>
    <s v=""/>
    <s v="ne_repond_pas ne_contribue_pas"/>
    <s v="1"/>
    <s v="1"/>
    <s v="0"/>
    <s v="0"/>
    <s v="0"/>
    <s v="0"/>
    <s v=""/>
    <s v=""/>
    <s v="oui_moitie"/>
    <s v="famille_amis"/>
    <s v="0"/>
    <s v="0"/>
    <s v="0"/>
    <s v="0"/>
    <s v="0"/>
    <s v="0"/>
    <s v="1"/>
    <s v="0"/>
    <s v="0"/>
    <s v="0"/>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
    <n v="169351708"/>
    <s v="c9e09860-e7e5-4fd6-a468-e1e6b02442f6"/>
    <s v="2021-04-02T19:02:44"/>
    <s v=""/>
    <s v="[]"/>
    <s v="submitted_via_web"/>
    <s v="reach_niger"/>
    <s v=""/>
    <n v="32"/>
  </r>
  <r>
    <s v="2021-04-01T12:47:49.980+01:00"/>
    <s v="2021-04-01T13:05:12.105+01:00"/>
    <s v="2021-04-01"/>
    <s v=""/>
    <s v=""/>
    <s v="Homme"/>
    <x v="5"/>
    <x v="5"/>
    <x v="14"/>
    <s v=""/>
    <s v=""/>
    <s v=""/>
    <s v=""/>
    <s v=""/>
    <s v=""/>
    <s v=""/>
    <s v=""/>
    <s v="Homme"/>
    <s v="41"/>
    <s v="Hote"/>
    <s v=""/>
    <s v=""/>
    <s v=""/>
    <s v=""/>
    <s v=""/>
    <s v=""/>
    <s v=""/>
    <s v=""/>
    <s v=""/>
    <s v=""/>
    <s v=""/>
    <s v=""/>
    <s v="oui"/>
    <s v="extorsions Vols_braquages Combat_groupes_armes Violences_physique_civils Attaques_ecoles_sante"/>
    <s v="1"/>
    <s v="0"/>
    <s v="1"/>
    <s v="1"/>
    <s v="1"/>
    <s v="0"/>
    <s v="0"/>
    <s v="1"/>
    <s v="0"/>
    <s v="0"/>
    <s v="0"/>
    <s v="0"/>
    <s v="0"/>
    <s v="0"/>
    <s v=""/>
    <s v="Bebes/Bambins Enfants Filles Femmes_agees Hommes_ages"/>
    <s v="1"/>
    <s v="1"/>
    <s v="1"/>
    <s v="0"/>
    <s v="0"/>
    <s v="0"/>
    <s v="1"/>
    <s v="1"/>
    <s v="0"/>
    <s v="0"/>
    <s v="0"/>
    <s v="0"/>
    <s v="0"/>
    <s v="0"/>
    <s v=""/>
    <s v="4"/>
    <s v="augmente"/>
    <s v=""/>
    <s v="oui"/>
    <s v="menace agression_psychologique agression_physique viol defus_de_acces_aide"/>
    <s v="1"/>
    <s v="0"/>
    <s v="1"/>
    <s v="0"/>
    <s v="1"/>
    <s v="0"/>
    <s v="0"/>
    <s v="1"/>
    <s v="0"/>
    <s v="0"/>
    <s v="1"/>
    <s v="0"/>
    <s v="0"/>
    <s v="0"/>
    <s v="0"/>
    <s v=""/>
    <s v="Bebes/Bambins Enfants Filles Femmes_agees Hommes_ages"/>
    <s v="1"/>
    <s v="1"/>
    <s v="1"/>
    <s v="0"/>
    <s v="0"/>
    <s v="0"/>
    <s v="1"/>
    <s v="1"/>
    <s v="0"/>
    <s v="0"/>
    <s v="0"/>
    <s v="0"/>
    <s v="0"/>
    <s v="0"/>
    <s v=""/>
    <s v="4"/>
    <s v="augmente"/>
    <s v=""/>
    <s v="hausse_chomeurs deterioration_con_abris deterioration_acces_service_base"/>
    <s v="0"/>
    <s v="1"/>
    <s v="1"/>
    <s v="0"/>
    <s v="0"/>
    <s v="0"/>
    <s v="1"/>
    <s v="0"/>
    <s v="0"/>
    <s v="0"/>
    <s v=""/>
    <s v=""/>
    <s v=""/>
    <s v=""/>
    <s v=""/>
    <s v=""/>
    <s v=""/>
    <s v=""/>
    <s v=""/>
    <s v=""/>
    <s v=""/>
    <s v=""/>
    <s v=""/>
    <s v="Soutien_famille_amis"/>
    <s v="0"/>
    <s v="0"/>
    <s v="1"/>
    <s v="0"/>
    <s v="0"/>
    <s v="0"/>
    <s v="0"/>
    <s v="0"/>
    <s v="0"/>
    <s v=""/>
    <s v=""/>
    <s v="famille_accueil comite_protection comite_redevabilite"/>
    <s v="0"/>
    <s v="1"/>
    <s v="1"/>
    <s v="0"/>
    <s v="1"/>
    <s v="0"/>
    <s v="0"/>
    <s v="0"/>
    <s v="0"/>
    <s v="0"/>
    <s v=""/>
    <s v="oui"/>
    <s v="manif_sociales Leaders_religieux famille_amis"/>
    <s v="0"/>
    <s v="0"/>
    <s v="0"/>
    <s v="1"/>
    <s v="0"/>
    <s v="1"/>
    <s v="1"/>
    <s v="0"/>
    <s v="0"/>
    <s v="0"/>
    <s v="0"/>
    <s v="0"/>
    <s v="0"/>
    <s v="0"/>
    <s v=""/>
    <s v="oui_minorite"/>
    <s v="oui_minorite"/>
    <s v="manque_info trop_du_monde non_fonctionnelle"/>
    <s v="1"/>
    <s v="1"/>
    <s v="0"/>
    <s v="0"/>
    <s v="1"/>
    <s v="0"/>
    <s v="0"/>
    <s v="0"/>
    <s v=""/>
    <s v="minorite"/>
    <s v="minorite"/>
    <s v="Service_de_counseling Education Services_de_sante Appui_psychosocial"/>
    <s v="1"/>
    <s v="1"/>
    <s v="1"/>
    <s v="1"/>
    <s v="0"/>
    <s v="0"/>
    <s v="0"/>
    <s v="0"/>
    <s v="0"/>
    <s v=""/>
    <s v="oui_minorite"/>
    <s v="oui_minorite"/>
    <s v="permet_obtenir_conseils permet_eviter_conflits repond_besoins_pop"/>
    <s v="0"/>
    <s v="1"/>
    <s v="1"/>
    <s v="1"/>
    <s v="0"/>
    <s v="0"/>
    <s v="0"/>
    <s v="0"/>
    <s v=""/>
    <s v="ne_repond_pas non_obtention_info ne_contribue_pas"/>
    <s v="1"/>
    <s v="1"/>
    <s v="1"/>
    <s v="0"/>
    <s v="0"/>
    <s v="0"/>
    <s v=""/>
    <s v=""/>
    <s v="oui_minorite"/>
    <s v="ong_locale ingo un_agencies"/>
    <s v="0"/>
    <s v="0"/>
    <s v="0"/>
    <s v="1"/>
    <s v="1"/>
    <s v="1"/>
    <s v="0"/>
    <s v="0"/>
    <s v="0"/>
    <s v="0"/>
    <s v=""/>
    <s v="oui"/>
    <s v=""/>
    <s v="Bebes/Bambins Enfants Filles Femmes_agees Hommes_ages"/>
    <s v="1"/>
    <s v="1"/>
    <s v="1"/>
    <s v="0"/>
    <s v="0"/>
    <s v="0"/>
    <s v="1"/>
    <s v="1"/>
    <s v="0"/>
    <s v="0"/>
    <s v="0"/>
    <s v="0"/>
    <s v="0"/>
    <s v="0"/>
    <s v=""/>
    <s v="7"/>
    <s v="Services_medicaux Services_educatifs Services_conseil acces_docs Appui_psychosocial"/>
    <s v="1"/>
    <s v="1"/>
    <s v="1"/>
    <s v="1"/>
    <s v="1"/>
    <s v="0"/>
    <s v="0"/>
    <s v="0"/>
    <s v="0"/>
    <s v="0"/>
    <s v=""/>
    <s v="prise_enchage reorientation signalement"/>
    <s v="1"/>
    <s v="1"/>
    <s v="1"/>
    <s v="0"/>
    <s v="0"/>
    <s v="0"/>
    <s v=""/>
    <s v="medical reinsertion Psychosocia juridique surete"/>
    <s v="1"/>
    <s v="1"/>
    <s v="0"/>
    <s v="1"/>
    <s v="1"/>
    <s v="1"/>
    <s v="0"/>
    <s v="0"/>
    <s v="0"/>
    <s v=""/>
    <s v="medical Psychosocia surete reinsertion point_ecoute"/>
    <s v="1"/>
    <s v="1"/>
    <s v="1"/>
    <s v="0"/>
    <s v="1"/>
    <s v="1"/>
    <s v="0"/>
    <s v="0"/>
    <s v="0"/>
    <s v=""/>
    <s v=""/>
    <s v="non"/>
    <s v=""/>
    <s v=""/>
    <s v=""/>
    <s v=""/>
    <s v=""/>
    <s v=""/>
    <s v=""/>
    <s v=""/>
    <s v=""/>
    <s v=""/>
    <s v=""/>
    <s v=""/>
    <s v=""/>
    <s v=""/>
    <s v=""/>
    <s v=""/>
    <s v=""/>
    <s v=""/>
    <s v=""/>
    <s v=""/>
    <s v=""/>
    <s v="oui"/>
    <s v="violence_physique menace_entourage violence_psycho"/>
    <s v="1"/>
    <s v="1"/>
    <s v="0"/>
    <s v="1"/>
    <s v="0"/>
    <s v="0"/>
    <s v="0"/>
    <s v="0"/>
    <s v="0"/>
    <s v="0"/>
    <s v=""/>
    <s v="oui"/>
    <s v="oui"/>
    <s v=""/>
    <s v="Aide alimentaire et surtout la sensibilisation aux relais et la sécurité"/>
    <n v="169351628"/>
    <s v="da3345dd-a270-4710-bd73-3491a6a19bb6"/>
    <s v="2021-04-02T19:01:47"/>
    <s v=""/>
    <s v="[]"/>
    <s v="submitted_via_web"/>
    <s v="reach_niger"/>
    <s v=""/>
    <n v="23"/>
  </r>
  <r>
    <s v="2021-04-08T12:12:15.346+01:00"/>
    <s v="2021-04-08T12:45:10.105+01:00"/>
    <s v="2021-04-08"/>
    <s v=""/>
    <s v=""/>
    <s v="Homme"/>
    <x v="6"/>
    <x v="6"/>
    <x v="15"/>
    <s v=""/>
    <s v=""/>
    <s v=""/>
    <s v=""/>
    <s v=""/>
    <s v=""/>
    <s v=""/>
    <s v=""/>
    <s v="Homme"/>
    <s v="38"/>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pas_de_mecanismes"/>
    <s v="0"/>
    <s v="0"/>
    <s v="0"/>
    <s v="0"/>
    <s v="0"/>
    <s v="0"/>
    <n v="1"/>
    <n v="0"/>
    <s v="0"/>
    <s v=""/>
    <s v=""/>
    <s v="famille_accueil"/>
    <s v="0"/>
    <s v="0"/>
    <s v="1"/>
    <s v="0"/>
    <s v="0"/>
    <s v="0"/>
    <s v="0"/>
    <s v="0"/>
    <s v="0"/>
    <s v="0"/>
    <s v=""/>
    <s v="oui"/>
    <s v="Chef_village"/>
    <s v="0"/>
    <s v="0"/>
    <s v="0"/>
    <s v="0"/>
    <s v="1"/>
    <s v="0"/>
    <s v="0"/>
    <s v="0"/>
    <s v="0"/>
    <s v="0"/>
    <s v="0"/>
    <s v="0"/>
    <s v="0"/>
    <s v="0"/>
    <s v=""/>
    <s v="oui_ensemble"/>
    <s v="oui_ensemble"/>
    <s v=""/>
    <s v=""/>
    <s v=""/>
    <s v=""/>
    <s v=""/>
    <s v=""/>
    <s v=""/>
    <s v=""/>
    <s v=""/>
    <s v=""/>
    <s v="ensemble"/>
    <s v="aucun"/>
    <s v="Services_de_sante Education"/>
    <s v="0"/>
    <s v="1"/>
    <s v="0"/>
    <s v="1"/>
    <s v="0"/>
    <s v="0"/>
    <s v="0"/>
    <n v="0"/>
    <s v="0"/>
    <s v=""/>
    <s v="oui_minorite"/>
    <s v="oui_minorite"/>
    <s v="repond_besoins_pop"/>
    <s v="0"/>
    <s v="1"/>
    <s v="0"/>
    <s v="0"/>
    <s v="0"/>
    <s v="0"/>
    <s v="0"/>
    <s v="0"/>
    <s v=""/>
    <s v="Autre"/>
    <s v="0"/>
    <s v="0"/>
    <s v="0"/>
    <s v="0"/>
    <s v="1"/>
    <s v="0"/>
    <s v="Difficulté d'accès aux services pour manque de moyens financiers"/>
    <s v=""/>
    <s v="non"/>
    <s v=""/>
    <s v=""/>
    <s v=""/>
    <s v=""/>
    <s v=""/>
    <s v=""/>
    <s v=""/>
    <s v=""/>
    <s v=""/>
    <s v=""/>
    <s v=""/>
    <s v=""/>
    <s v="oui"/>
    <s v=""/>
    <s v=""/>
    <s v=""/>
    <s v=""/>
    <s v=""/>
    <s v=""/>
    <s v=""/>
    <s v=""/>
    <s v=""/>
    <s v=""/>
    <s v=""/>
    <s v=""/>
    <s v=""/>
    <s v=""/>
    <s v=""/>
    <s v=""/>
    <s v=""/>
    <s v="10"/>
    <s v="Services_medicaux"/>
    <s v="0"/>
    <s v="1"/>
    <s v="0"/>
    <s v="0"/>
    <s v="0"/>
    <s v="0"/>
    <s v="0"/>
    <s v="0"/>
    <s v="0"/>
    <s v="0"/>
    <s v=""/>
    <s v="signalement reorientation"/>
    <s v="0"/>
    <s v="1"/>
    <s v="1"/>
    <s v="0"/>
    <s v="0"/>
    <s v="0"/>
    <s v=""/>
    <s v=""/>
    <s v=""/>
    <s v=""/>
    <s v=""/>
    <s v=""/>
    <s v=""/>
    <s v=""/>
    <s v=""/>
    <s v=""/>
    <s v=""/>
    <s v=""/>
    <s v="medical juridique"/>
    <s v="1"/>
    <s v="0"/>
    <s v="0"/>
    <s v="1"/>
    <s v="0"/>
    <s v="0"/>
    <s v="0"/>
    <s v="0"/>
    <s v="0"/>
    <s v=""/>
    <s v=""/>
    <s v="oui"/>
    <s v="manque_moyens manque_d'information"/>
    <s v="1"/>
    <s v="0"/>
    <s v="1"/>
    <s v="0"/>
    <s v="0"/>
    <s v="0"/>
    <s v="0"/>
    <s v="0"/>
    <s v="0"/>
    <s v="0"/>
    <s v="0"/>
    <s v=""/>
    <s v=""/>
    <s v=""/>
    <s v=""/>
    <s v=""/>
    <s v=""/>
    <s v=""/>
    <s v=""/>
    <s v=""/>
    <s v="oui"/>
    <s v="menace_enlevement violence_physique menace_mort"/>
    <s v="1"/>
    <s v="0"/>
    <s v="0"/>
    <s v="0"/>
    <s v="1"/>
    <s v="1"/>
    <s v="0"/>
    <s v="0"/>
    <s v="0"/>
    <s v="0"/>
    <s v=""/>
    <s v="non"/>
    <s v="oui"/>
    <s v=""/>
    <s v="Les menaces de mort se font par appel pour demander au chef de collecter la zakkat si non ils vont venir l'enlever et le tuer"/>
    <n v="170478774"/>
    <s v="1e4810db-1d3c-401d-b644-e5dd0d4ca521"/>
    <s v="2021-04-08T15:25:20"/>
    <s v=""/>
    <s v="[]"/>
    <s v="submitted_via_web"/>
    <s v="reach_niger"/>
    <s v=""/>
    <n v="57"/>
  </r>
  <r>
    <s v="2021-04-07T16:08:22.824+01:00"/>
    <s v="2021-04-07T16:57:25.614+01:00"/>
    <s v="2021-04-07"/>
    <s v=""/>
    <s v=""/>
    <s v="Homme"/>
    <x v="6"/>
    <x v="6"/>
    <x v="16"/>
    <s v=""/>
    <s v=""/>
    <s v=""/>
    <s v=""/>
    <s v=""/>
    <s v=""/>
    <s v=""/>
    <s v=""/>
    <s v="Homme"/>
    <s v="53"/>
    <s v="deplace_interne"/>
    <s v=""/>
    <s v=""/>
    <s v=""/>
    <s v=""/>
    <s v=""/>
    <s v="niger"/>
    <s v="tillaberi"/>
    <s v="gotheye"/>
    <s v=""/>
    <s v=""/>
    <s v=""/>
    <s v=""/>
    <s v="oui"/>
    <s v="Vols_braquages Disputes_intercommunataires"/>
    <s v="0"/>
    <n v="1"/>
    <s v="1"/>
    <s v="0"/>
    <s v="0"/>
    <s v="0"/>
    <s v="0"/>
    <s v="0"/>
    <s v="0"/>
    <s v="0"/>
    <s v="0"/>
    <n v="0"/>
    <s v="0"/>
    <s v="0"/>
    <s v=""/>
    <s v="Hommes Femmes Garçons"/>
    <s v="0"/>
    <s v="0"/>
    <s v="0"/>
    <s v="1"/>
    <s v="1"/>
    <s v="1"/>
    <s v="0"/>
    <s v="0"/>
    <s v="0"/>
    <s v="0"/>
    <s v="0"/>
    <s v="0"/>
    <s v="0"/>
    <s v="0"/>
    <s v=""/>
    <s v="2"/>
    <s v="stable"/>
    <s v=""/>
    <s v="oui"/>
    <s v="mariage_force agression_psychologique exploitations_enfant"/>
    <s v="0"/>
    <s v="0"/>
    <s v="0"/>
    <s v="0"/>
    <s v="1"/>
    <s v="1"/>
    <s v="0"/>
    <s v="0"/>
    <s v="1"/>
    <s v="0"/>
    <s v="0"/>
    <s v="0"/>
    <s v="0"/>
    <s v="0"/>
    <s v="0"/>
    <s v=""/>
    <s v="Enfants Filles Garçons Femmes Hommes"/>
    <s v="0"/>
    <s v="1"/>
    <s v="1"/>
    <s v="1"/>
    <s v="1"/>
    <s v="1"/>
    <s v="0"/>
    <s v="0"/>
    <s v="0"/>
    <s v="0"/>
    <s v="0"/>
    <s v="0"/>
    <s v="0"/>
    <s v="0"/>
    <s v=""/>
    <s v="3"/>
    <s v="stable"/>
    <s v=""/>
    <s v=""/>
    <s v=""/>
    <s v=""/>
    <s v=""/>
    <s v=""/>
    <s v=""/>
    <s v=""/>
    <s v=""/>
    <s v=""/>
    <s v=""/>
    <s v=""/>
    <s v=""/>
    <s v=""/>
    <s v=""/>
    <s v=""/>
    <s v=""/>
    <s v=""/>
    <s v=""/>
    <s v=""/>
    <s v=""/>
    <s v=""/>
    <s v=""/>
    <s v=""/>
    <s v=""/>
    <s v="Integration_com_hote"/>
    <s v="0"/>
    <s v="1"/>
    <s v="0"/>
    <s v="0"/>
    <s v="0"/>
    <s v="0"/>
    <s v="0"/>
    <n v="0"/>
    <s v="0"/>
    <s v=""/>
    <s v=""/>
    <s v="comite_protection"/>
    <s v="0"/>
    <s v="1"/>
    <s v="0"/>
    <s v="0"/>
    <s v="0"/>
    <s v="0"/>
    <s v="0"/>
    <s v="0"/>
    <s v="0"/>
    <s v="0"/>
    <s v=""/>
    <s v="oui"/>
    <s v="manif_sociales Chef_village"/>
    <s v="0"/>
    <s v="0"/>
    <s v="0"/>
    <s v="1"/>
    <s v="1"/>
    <s v="0"/>
    <s v="0"/>
    <s v="0"/>
    <s v="0"/>
    <s v="0"/>
    <s v="0"/>
    <s v="0"/>
    <s v="0"/>
    <s v="0"/>
    <s v=""/>
    <s v="oui_ensemble"/>
    <s v="oui_ensemble"/>
    <s v=""/>
    <s v=""/>
    <s v=""/>
    <s v=""/>
    <s v=""/>
    <s v=""/>
    <s v=""/>
    <s v=""/>
    <s v=""/>
    <s v=""/>
    <s v="minorite"/>
    <s v="aucun"/>
    <s v="Education Services_de_sante Acces_aux_doc Suivi_judiciaire"/>
    <s v="0"/>
    <s v="1"/>
    <s v="0"/>
    <s v="1"/>
    <s v="1"/>
    <s v="1"/>
    <s v="0"/>
    <s v="0"/>
    <s v="0"/>
    <s v=""/>
    <s v="oui_minorite"/>
    <s v="oui_minorite"/>
    <s v="repond_besoins_pop"/>
    <s v="0"/>
    <s v="1"/>
    <s v="0"/>
    <s v="0"/>
    <s v="0"/>
    <s v="0"/>
    <s v="0"/>
    <s v="0"/>
    <s v=""/>
    <s v="ne_contribue_pas ne_repond_pas non_obtention_info"/>
    <s v="1"/>
    <s v="1"/>
    <s v="1"/>
    <s v="0"/>
    <s v="0"/>
    <s v="0"/>
    <s v=""/>
    <s v=""/>
    <s v="non"/>
    <s v=""/>
    <s v=""/>
    <s v=""/>
    <s v=""/>
    <s v=""/>
    <s v=""/>
    <s v=""/>
    <s v=""/>
    <s v=""/>
    <s v=""/>
    <s v=""/>
    <s v=""/>
    <s v="oui"/>
    <s v=""/>
    <s v="Filles Femmes Hommes"/>
    <s v="0"/>
    <s v="0"/>
    <s v="1"/>
    <s v="0"/>
    <s v="1"/>
    <s v="1"/>
    <s v="0"/>
    <s v="0"/>
    <s v="0"/>
    <s v="0"/>
    <s v="0"/>
    <s v="0"/>
    <s v="0"/>
    <s v="0"/>
    <s v=""/>
    <s v="9"/>
    <s v="Services_medicaux Services_educatifs Services_conseil service_judiciaire"/>
    <s v="0"/>
    <s v="1"/>
    <s v="1"/>
    <s v="1"/>
    <s v="0"/>
    <s v="1"/>
    <s v="0"/>
    <s v="0"/>
    <s v="0"/>
    <s v="0"/>
    <s v=""/>
    <s v="reorientation signalement"/>
    <s v="0"/>
    <s v="1"/>
    <s v="1"/>
    <s v="0"/>
    <s v="0"/>
    <s v="0"/>
    <s v=""/>
    <s v=""/>
    <s v=""/>
    <s v=""/>
    <s v=""/>
    <s v=""/>
    <s v=""/>
    <s v=""/>
    <s v=""/>
    <s v=""/>
    <s v=""/>
    <s v=""/>
    <s v="medical"/>
    <s v="1"/>
    <s v="0"/>
    <s v="0"/>
    <s v="0"/>
    <s v="0"/>
    <s v="0"/>
    <s v="0"/>
    <s v="0"/>
    <s v="0"/>
    <s v=""/>
    <s v=""/>
    <s v="oui"/>
    <s v="manque_moyens manque_d'information probleme_orientation manque_cordination"/>
    <s v="1"/>
    <s v="0"/>
    <s v="1"/>
    <n v="1"/>
    <s v="0"/>
    <s v="0"/>
    <n v="1"/>
    <s v="0"/>
    <n v="0"/>
    <s v="0"/>
    <s v="0"/>
    <s v=""/>
    <s v=""/>
    <s v=""/>
    <s v=""/>
    <s v=""/>
    <s v=""/>
    <s v=""/>
    <s v=""/>
    <s v=""/>
    <s v="non"/>
    <s v=""/>
    <s v=""/>
    <s v=""/>
    <s v=""/>
    <s v=""/>
    <s v=""/>
    <s v=""/>
    <s v=""/>
    <s v=""/>
    <s v=""/>
    <s v=""/>
    <s v=""/>
    <s v=""/>
    <s v="oui"/>
    <s v=""/>
    <s v="Le site est un peu eloigné de Ziguida"/>
    <n v="170268546"/>
    <s v="b48626ba-2719-4e73-ae0f-85c7f3c3bac4"/>
    <s v="2021-04-07T17:51:00"/>
    <s v=""/>
    <s v="[]"/>
    <s v="submitted_via_web"/>
    <s v="reach_niger"/>
    <s v=""/>
    <n v="54"/>
  </r>
  <r>
    <s v="2021-04-08T11:34:03.455+01:00"/>
    <s v="2021-04-08T13:16:43.562+01:00"/>
    <s v="2021-04-08"/>
    <s v=""/>
    <s v=""/>
    <s v="Homme"/>
    <x v="6"/>
    <x v="6"/>
    <x v="15"/>
    <s v=""/>
    <s v=""/>
    <s v=""/>
    <s v=""/>
    <s v=""/>
    <s v=""/>
    <s v=""/>
    <s v=""/>
    <s v="Homme"/>
    <s v="60"/>
    <s v="deplace_interne"/>
    <s v=""/>
    <s v=""/>
    <s v=""/>
    <s v=""/>
    <s v=""/>
    <s v="niger"/>
    <s v="tillaberi"/>
    <s v="gotheye"/>
    <s v=""/>
    <s v=""/>
    <s v=""/>
    <s v=""/>
    <s v="oui"/>
    <s v="Vols_braquages"/>
    <s v="0"/>
    <s v="0"/>
    <s v="1"/>
    <s v="0"/>
    <s v="0"/>
    <s v="0"/>
    <s v="0"/>
    <s v="0"/>
    <s v="0"/>
    <s v="0"/>
    <s v="0"/>
    <s v="0"/>
    <s v="0"/>
    <s v="0"/>
    <s v=""/>
    <s v="Hommes Femmes"/>
    <s v="0"/>
    <s v="0"/>
    <s v="0"/>
    <s v="0"/>
    <s v="1"/>
    <s v="1"/>
    <s v="0"/>
    <s v="0"/>
    <s v="0"/>
    <s v="0"/>
    <s v="0"/>
    <s v="0"/>
    <s v="0"/>
    <s v="0"/>
    <s v=""/>
    <s v="2"/>
    <s v="augmente"/>
    <s v=""/>
    <s v="oui"/>
    <s v="travail_force menace"/>
    <s v="0"/>
    <s v="0"/>
    <s v="0"/>
    <s v="0"/>
    <s v="0"/>
    <s v="0"/>
    <s v="1"/>
    <s v="0"/>
    <s v="0"/>
    <s v="0"/>
    <s v="1"/>
    <s v="0"/>
    <s v="0"/>
    <s v="0"/>
    <s v="0"/>
    <s v=""/>
    <s v="Garçons Filles Femmes Hommes"/>
    <s v="0"/>
    <s v="0"/>
    <s v="1"/>
    <s v="1"/>
    <s v="1"/>
    <s v="1"/>
    <s v="0"/>
    <s v="0"/>
    <s v="0"/>
    <s v="0"/>
    <s v="0"/>
    <s v="0"/>
    <s v="0"/>
    <s v="0"/>
    <s v=""/>
    <s v="1"/>
    <s v="augmente"/>
    <s v=""/>
    <s v="diminution_moyens_existence hausse_chomeurs"/>
    <s v="1"/>
    <s v="0"/>
    <s v="0"/>
    <s v="0"/>
    <s v="0"/>
    <s v="0"/>
    <s v="1"/>
    <s v="0"/>
    <s v="0"/>
    <s v="0"/>
    <s v=""/>
    <s v=""/>
    <s v=""/>
    <s v=""/>
    <s v=""/>
    <s v=""/>
    <s v=""/>
    <s v=""/>
    <s v=""/>
    <s v=""/>
    <s v=""/>
    <s v=""/>
    <s v=""/>
    <s v="Integration_com_hote"/>
    <s v="0"/>
    <s v="1"/>
    <s v="0"/>
    <s v="0"/>
    <s v="0"/>
    <s v="0"/>
    <s v="0"/>
    <s v="0"/>
    <s v="0"/>
    <s v=""/>
    <s v=""/>
    <s v="famille_accueil"/>
    <s v="0"/>
    <s v="0"/>
    <s v="1"/>
    <s v="0"/>
    <s v="0"/>
    <s v="0"/>
    <s v="0"/>
    <s v="0"/>
    <s v="0"/>
    <s v="0"/>
    <s v=""/>
    <s v="oui"/>
    <s v="Autre"/>
    <s v="0"/>
    <s v="0"/>
    <s v="0"/>
    <s v="0"/>
    <s v="0"/>
    <n v="1"/>
    <s v="0"/>
    <s v="0"/>
    <s v="0"/>
    <s v="0"/>
    <s v="0"/>
    <s v="0"/>
    <n v="0"/>
    <s v="0"/>
    <s v=""/>
    <s v="oui_ensemble"/>
    <s v="oui_ensemble"/>
    <s v=""/>
    <s v=""/>
    <s v=""/>
    <s v=""/>
    <s v=""/>
    <s v=""/>
    <s v=""/>
    <s v=""/>
    <s v=""/>
    <s v=""/>
    <s v="ensemble"/>
    <s v="aucun"/>
    <s v="Education Services_de_sante Suivi_judiciaire"/>
    <s v="0"/>
    <s v="1"/>
    <s v="0"/>
    <s v="1"/>
    <s v="0"/>
    <s v="1"/>
    <s v="0"/>
    <s v="0"/>
    <s v="0"/>
    <s v=""/>
    <s v="oui_ensemble"/>
    <s v="oui_ensemble"/>
    <s v="amelioration_futur repond_besoins_pop diminution_tensions"/>
    <s v="1"/>
    <s v="1"/>
    <s v="0"/>
    <s v="0"/>
    <s v="0"/>
    <s v="1"/>
    <s v="0"/>
    <s v="0"/>
    <s v=""/>
    <s v=""/>
    <s v=""/>
    <s v=""/>
    <s v=""/>
    <s v=""/>
    <s v=""/>
    <s v=""/>
    <s v=""/>
    <s v=""/>
    <s v="non"/>
    <s v=""/>
    <s v=""/>
    <s v=""/>
    <s v=""/>
    <s v=""/>
    <s v=""/>
    <s v=""/>
    <s v=""/>
    <s v=""/>
    <s v=""/>
    <s v=""/>
    <s v=""/>
    <s v="oui"/>
    <s v=""/>
    <s v="Filles Garçons Femmes"/>
    <s v="0"/>
    <s v="0"/>
    <s v="1"/>
    <s v="1"/>
    <s v="1"/>
    <s v="0"/>
    <s v="0"/>
    <s v="0"/>
    <s v="0"/>
    <s v="0"/>
    <s v="0"/>
    <s v="0"/>
    <s v="0"/>
    <s v="0"/>
    <s v=""/>
    <s v="15"/>
    <s v="Services_medicaux Services_educatifs Services_conseil acces_docs service_judiciaire"/>
    <s v="0"/>
    <s v="1"/>
    <s v="1"/>
    <s v="1"/>
    <s v="1"/>
    <s v="1"/>
    <s v="0"/>
    <s v="0"/>
    <s v="0"/>
    <s v="0"/>
    <s v=""/>
    <s v="reorientation Autre"/>
    <s v="0"/>
    <s v="1"/>
    <s v="0"/>
    <s v="1"/>
    <s v="0"/>
    <s v="0"/>
    <s v="On collecte de l'argent entre pour le soin"/>
    <s v=""/>
    <s v=""/>
    <s v=""/>
    <s v=""/>
    <s v=""/>
    <s v=""/>
    <s v=""/>
    <s v=""/>
    <s v=""/>
    <s v=""/>
    <s v=""/>
    <s v="medical"/>
    <s v="1"/>
    <s v="0"/>
    <s v="0"/>
    <s v="0"/>
    <s v="0"/>
    <s v="0"/>
    <s v="0"/>
    <s v="0"/>
    <s v="0"/>
    <s v=""/>
    <s v=""/>
    <s v="oui"/>
    <s v="manque_moyens manque_personnes manque_d'information probleme_orientation Autre"/>
    <s v="1"/>
    <s v="1"/>
    <s v="1"/>
    <s v="1"/>
    <s v="0"/>
    <s v="0"/>
    <s v="0"/>
    <s v="0"/>
    <s v="1"/>
    <s v="0"/>
    <s v="0"/>
    <s v="Eloignement de certains services"/>
    <s v="pb_logistiques"/>
    <s v="0"/>
    <s v="1"/>
    <s v="0"/>
    <s v="0"/>
    <s v="0"/>
    <s v="0"/>
    <s v=""/>
    <s v="non"/>
    <s v=""/>
    <s v=""/>
    <s v=""/>
    <s v=""/>
    <s v=""/>
    <s v=""/>
    <s v=""/>
    <s v=""/>
    <s v=""/>
    <s v=""/>
    <s v=""/>
    <s v=""/>
    <s v=""/>
    <s v="oui"/>
    <s v=""/>
    <s v="Les menaces de morts par appels"/>
    <n v="170478771"/>
    <s v="1c3df705-6e3b-4977-b779-224b3dbb8057"/>
    <s v="2021-04-08T15:25:18"/>
    <s v=""/>
    <s v="[]"/>
    <s v="submitted_via_web"/>
    <s v="reach_niger"/>
    <s v=""/>
    <n v="56"/>
  </r>
  <r>
    <s v="2021-04-15T16:46:11.935+01:00"/>
    <s v="2021-04-15T17:28:26.345+01:00"/>
    <s v="2021-04-15"/>
    <s v=""/>
    <s v=""/>
    <s v="Homme"/>
    <x v="6"/>
    <x v="6"/>
    <x v="17"/>
    <s v=""/>
    <s v=""/>
    <s v=""/>
    <s v=""/>
    <s v=""/>
    <s v=""/>
    <s v=""/>
    <s v=""/>
    <s v="Homme"/>
    <s v="43"/>
    <s v="Hote"/>
    <s v=""/>
    <s v=""/>
    <s v=""/>
    <s v=""/>
    <s v=""/>
    <s v=""/>
    <s v=""/>
    <s v=""/>
    <s v=""/>
    <s v=""/>
    <s v=""/>
    <s v=""/>
    <s v="oui"/>
    <s v="Vols_braquages extorsions"/>
    <s v="0"/>
    <s v="0"/>
    <s v="1"/>
    <s v="1"/>
    <s v="0"/>
    <s v="0"/>
    <s v="0"/>
    <s v="0"/>
    <s v="0"/>
    <s v="0"/>
    <s v="0"/>
    <s v="0"/>
    <s v="0"/>
    <s v="0"/>
    <s v=""/>
    <s v="Filles Garçons Femmes Hommes"/>
    <s v="0"/>
    <s v="0"/>
    <s v="1"/>
    <s v="1"/>
    <s v="1"/>
    <s v="1"/>
    <s v="0"/>
    <s v="0"/>
    <s v="0"/>
    <s v="0"/>
    <s v="0"/>
    <s v="0"/>
    <s v="0"/>
    <s v="0"/>
    <s v=""/>
    <s v="4"/>
    <s v="augmente"/>
    <s v=""/>
    <s v="oui"/>
    <s v="agression_physique deni_de_ressource mariage_force menace Autre"/>
    <s v="0"/>
    <s v="0"/>
    <s v="1"/>
    <s v="1"/>
    <s v="0"/>
    <s v="1"/>
    <s v="0"/>
    <s v="0"/>
    <s v="0"/>
    <s v="0"/>
    <s v="1"/>
    <s v="0"/>
    <s v="1"/>
    <s v="0"/>
    <s v="0"/>
    <s v="Circulation des bandits avec des armes"/>
    <s v="Enfants Filles Garçons Femmes Hommes"/>
    <s v="0"/>
    <s v="1"/>
    <s v="1"/>
    <s v="1"/>
    <s v="1"/>
    <s v="1"/>
    <s v="0"/>
    <s v="0"/>
    <s v="0"/>
    <s v="0"/>
    <s v="0"/>
    <s v="0"/>
    <s v="0"/>
    <s v="0"/>
    <s v=""/>
    <s v="3"/>
    <s v="augmente"/>
    <s v=""/>
    <s v="deterioration_acces_service_base diminution_moyens_existence"/>
    <s v="1"/>
    <s v="0"/>
    <s v="1"/>
    <s v="0"/>
    <s v="0"/>
    <s v="0"/>
    <s v="0"/>
    <s v="0"/>
    <s v="0"/>
    <s v="0"/>
    <s v=""/>
    <s v=""/>
    <s v=""/>
    <s v=""/>
    <s v=""/>
    <s v=""/>
    <s v=""/>
    <s v=""/>
    <s v=""/>
    <s v=""/>
    <s v=""/>
    <s v=""/>
    <s v=""/>
    <s v="Integration_com_hote Soutien_chef_village"/>
    <s v="0"/>
    <s v="1"/>
    <s v="0"/>
    <s v="1"/>
    <s v="0"/>
    <s v="0"/>
    <s v="0"/>
    <s v="0"/>
    <s v="0"/>
    <s v=""/>
    <s v=""/>
    <s v="Autre"/>
    <s v="0"/>
    <s v="0"/>
    <s v="0"/>
    <s v="0"/>
    <s v="0"/>
    <s v="0"/>
    <s v="0"/>
    <s v="1"/>
    <s v="0"/>
    <s v="0"/>
    <s v="Comité des chef de village "/>
    <s v="oui"/>
    <s v="Chef_village famille_amis Leaders_religieux"/>
    <s v="0"/>
    <s v="0"/>
    <s v="0"/>
    <s v="0"/>
    <s v="1"/>
    <s v="1"/>
    <s v="1"/>
    <s v="0"/>
    <s v="0"/>
    <s v="0"/>
    <s v="0"/>
    <s v="0"/>
    <s v="0"/>
    <s v="0"/>
    <s v=""/>
    <s v="oui_ensemble"/>
    <s v="oui_ensemble"/>
    <s v=""/>
    <s v=""/>
    <s v=""/>
    <s v=""/>
    <s v=""/>
    <s v=""/>
    <s v=""/>
    <s v=""/>
    <s v=""/>
    <s v=""/>
    <s v="minorite"/>
    <s v="ensemble"/>
    <s v="Education Services_de_sante"/>
    <s v="0"/>
    <s v="1"/>
    <s v="0"/>
    <s v="1"/>
    <s v="0"/>
    <s v="0"/>
    <s v="0"/>
    <s v="0"/>
    <s v="0"/>
    <s v=""/>
    <s v="oui_minorite"/>
    <s v="oui_ensemble"/>
    <s v="amelioration_futur repond_besoins_pop permet_obtenir_conseils"/>
    <s v="1"/>
    <s v="1"/>
    <s v="1"/>
    <s v="0"/>
    <s v="0"/>
    <s v="0"/>
    <s v="0"/>
    <s v="0"/>
    <s v=""/>
    <s v="ne_repond_pas ne_contribue_pas"/>
    <s v="1"/>
    <s v="1"/>
    <s v="0"/>
    <s v="0"/>
    <s v="0"/>
    <s v="0"/>
    <s v=""/>
    <s v=""/>
    <s v="oui_ensemble"/>
    <s v="ong_locale"/>
    <s v="0"/>
    <s v="0"/>
    <s v="0"/>
    <s v="0"/>
    <s v="0"/>
    <s v="1"/>
    <s v="0"/>
    <s v="0"/>
    <s v="0"/>
    <s v="0"/>
    <s v=""/>
    <s v=""/>
    <s v=""/>
    <s v="Femmes Hommes"/>
    <s v="0"/>
    <s v="0"/>
    <s v="0"/>
    <s v="0"/>
    <s v="1"/>
    <s v="1"/>
    <s v="0"/>
    <s v="0"/>
    <s v="0"/>
    <s v="0"/>
    <s v="0"/>
    <s v="0"/>
    <s v="0"/>
    <s v="0"/>
    <s v=""/>
    <s v="16"/>
    <s v="Services_medicaux Services_educatifs"/>
    <s v="0"/>
    <s v="1"/>
    <s v="1"/>
    <s v="0"/>
    <s v="0"/>
    <s v="0"/>
    <s v="0"/>
    <s v="0"/>
    <s v="0"/>
    <s v="0"/>
    <s v=""/>
    <s v="reorientation"/>
    <s v="0"/>
    <s v="1"/>
    <s v="0"/>
    <s v="0"/>
    <s v="0"/>
    <s v="0"/>
    <s v=""/>
    <s v=""/>
    <s v=""/>
    <s v=""/>
    <s v=""/>
    <s v=""/>
    <s v=""/>
    <s v=""/>
    <s v=""/>
    <s v=""/>
    <s v=""/>
    <s v=""/>
    <s v="medical"/>
    <s v="1"/>
    <s v="0"/>
    <s v="0"/>
    <s v="0"/>
    <s v="0"/>
    <s v="0"/>
    <s v="0"/>
    <s v="0"/>
    <s v="0"/>
    <s v=""/>
    <s v=""/>
    <s v="oui"/>
    <s v="manque_moyens manque_d'information probleme_orientation"/>
    <s v="1"/>
    <s v="0"/>
    <s v="1"/>
    <s v="1"/>
    <s v="0"/>
    <s v="0"/>
    <s v="0"/>
    <s v="0"/>
    <s v="0"/>
    <s v="0"/>
    <s v="0"/>
    <s v=""/>
    <s v="pb_logistiques"/>
    <s v="0"/>
    <s v="1"/>
    <s v="0"/>
    <s v="0"/>
    <s v="0"/>
    <s v="0"/>
    <s v=""/>
    <s v="oui"/>
    <s v="menace_entourage"/>
    <s v="0"/>
    <s v="0"/>
    <s v="0"/>
    <s v="1"/>
    <s v="0"/>
    <s v="0"/>
    <s v="0"/>
    <s v="0"/>
    <s v="0"/>
    <s v="0"/>
    <s v=""/>
    <s v="non"/>
    <s v="oui"/>
    <s v=""/>
    <s v=""/>
    <n v="171830984"/>
    <s v="42d263a9-6476-4ee6-96d0-fabbc1ffcf9e"/>
    <s v="2021-04-15T16:32:47"/>
    <s v=""/>
    <s v="[]"/>
    <s v="submitted_via_web"/>
    <s v="reach_niger"/>
    <s v=""/>
    <n v="66"/>
  </r>
  <r>
    <s v="2021-04-06T13:53:39.692+01:00"/>
    <s v="2021-04-06T14:15:40.696+01:00"/>
    <s v="2021-04-06"/>
    <s v=""/>
    <s v=""/>
    <s v="Homme"/>
    <x v="7"/>
    <x v="7"/>
    <x v="18"/>
    <s v=""/>
    <s v=""/>
    <s v=""/>
    <s v=""/>
    <s v=""/>
    <s v=""/>
    <s v=""/>
    <s v=""/>
    <s v="Homme"/>
    <s v="43"/>
    <s v="deplace_interne"/>
    <s v=""/>
    <s v=""/>
    <s v=""/>
    <s v=""/>
    <s v=""/>
    <s v="niger"/>
    <s v="tillaberi"/>
    <s v="torodi"/>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outien_famille_amis"/>
    <s v="1"/>
    <s v="1"/>
    <s v="1"/>
    <s v="0"/>
    <s v="0"/>
    <s v="0"/>
    <s v="0"/>
    <s v="0"/>
    <s v="0"/>
    <s v=""/>
    <s v=""/>
    <s v="comite_alerte famille_accueil comite_protection comite_gestion_conflits"/>
    <s v="0"/>
    <s v="1"/>
    <s v="1"/>
    <s v="1"/>
    <s v="0"/>
    <s v="1"/>
    <s v="0"/>
    <s v="0"/>
    <s v="0"/>
    <s v="0"/>
    <s v=""/>
    <s v="oui"/>
    <s v="manif_sociales famille_amis Travailleurs_sociaux/hum"/>
    <s v="0"/>
    <s v="0"/>
    <s v="0"/>
    <s v="1"/>
    <s v="0"/>
    <s v="1"/>
    <s v="0"/>
    <s v="0"/>
    <s v="0"/>
    <s v="0"/>
    <s v="1"/>
    <s v="0"/>
    <n v="0"/>
    <s v="0"/>
    <s v=""/>
    <s v="oui_ensemble"/>
    <s v="oui_ensemble"/>
    <s v=""/>
    <s v=""/>
    <s v=""/>
    <s v=""/>
    <s v=""/>
    <s v=""/>
    <s v=""/>
    <s v=""/>
    <s v=""/>
    <s v=""/>
    <s v="majorite"/>
    <s v="moitie"/>
    <s v="Services_de_sante Acces_aux_doc Appui_psychosocial"/>
    <s v="1"/>
    <s v="0"/>
    <s v="0"/>
    <s v="1"/>
    <s v="1"/>
    <s v="0"/>
    <s v="0"/>
    <s v="0"/>
    <s v="0"/>
    <s v=""/>
    <s v="oui_ensemble"/>
    <s v="oui_ensemble"/>
    <s v="repond_besoins_pop amelioration_futur"/>
    <s v="1"/>
    <s v="1"/>
    <s v="0"/>
    <s v="0"/>
    <s v="0"/>
    <s v="0"/>
    <s v="0"/>
    <s v="0"/>
    <s v=""/>
    <s v=""/>
    <s v=""/>
    <s v=""/>
    <s v=""/>
    <s v=""/>
    <s v=""/>
    <s v=""/>
    <s v=""/>
    <s v=""/>
    <s v="oui_minorite"/>
    <s v="ingo"/>
    <s v="0"/>
    <s v="0"/>
    <s v="0"/>
    <s v="0"/>
    <s v="1"/>
    <s v="0"/>
    <s v="0"/>
    <s v="0"/>
    <s v="0"/>
    <s v="0"/>
    <s v=""/>
    <s v="oui"/>
    <s v=""/>
    <s v=""/>
    <s v=""/>
    <s v=""/>
    <s v=""/>
    <s v=""/>
    <s v=""/>
    <s v=""/>
    <s v=""/>
    <s v=""/>
    <s v=""/>
    <s v=""/>
    <s v=""/>
    <s v=""/>
    <s v=""/>
    <s v=""/>
    <s v=""/>
    <s v="70"/>
    <s v="Services_medicaux"/>
    <s v="0"/>
    <s v="1"/>
    <s v="0"/>
    <s v="0"/>
    <s v="0"/>
    <s v="0"/>
    <s v="0"/>
    <s v="0"/>
    <s v="0"/>
    <s v="0"/>
    <s v=""/>
    <s v="signalement reorientation"/>
    <s v="0"/>
    <s v="1"/>
    <s v="1"/>
    <s v="0"/>
    <s v="0"/>
    <s v="0"/>
    <s v=""/>
    <s v=""/>
    <s v=""/>
    <s v=""/>
    <s v=""/>
    <s v=""/>
    <s v=""/>
    <s v=""/>
    <s v=""/>
    <s v=""/>
    <s v=""/>
    <s v=""/>
    <s v="medical Psychosocia point_ecoute"/>
    <s v="1"/>
    <s v="1"/>
    <s v="1"/>
    <s v="0"/>
    <s v="0"/>
    <s v="0"/>
    <s v="0"/>
    <s v="0"/>
    <s v="0"/>
    <s v=""/>
    <s v=""/>
    <s v="oui"/>
    <s v="probleme_orientation manque_cordination"/>
    <s v="0"/>
    <s v="0"/>
    <s v="0"/>
    <s v="1"/>
    <s v="0"/>
    <s v="0"/>
    <s v="1"/>
    <s v="0"/>
    <s v="0"/>
    <s v="0"/>
    <s v="0"/>
    <s v=""/>
    <s v="pb_coordination"/>
    <s v="0"/>
    <s v="0"/>
    <s v="0"/>
    <s v="1"/>
    <s v="0"/>
    <s v="0"/>
    <s v=""/>
    <s v="non"/>
    <s v=""/>
    <s v=""/>
    <s v=""/>
    <s v=""/>
    <s v=""/>
    <s v=""/>
    <s v=""/>
    <s v=""/>
    <s v=""/>
    <s v=""/>
    <s v=""/>
    <s v=""/>
    <s v=""/>
    <s v="oui"/>
    <s v=""/>
    <s v=""/>
    <n v="170013259"/>
    <s v="ef27d705-c50b-4f20-be5e-024bee3b2a34"/>
    <s v="2021-04-06T16:53:21"/>
    <s v=""/>
    <s v="[]"/>
    <s v="submitted_via_web"/>
    <s v="reach_niger"/>
    <s v=""/>
    <n v="47"/>
  </r>
  <r>
    <s v="2021-04-01T12:52:08.294+01:00"/>
    <s v="2021-04-01T18:13:43.474+01:00"/>
    <s v="2021-04-01"/>
    <s v=""/>
    <s v=""/>
    <s v="Homme"/>
    <x v="7"/>
    <x v="7"/>
    <x v="4"/>
    <s v="Tous les sites PDI de la zone de compétence de l'IC"/>
    <s v=""/>
    <s v=""/>
    <s v=""/>
    <s v=""/>
    <s v=""/>
    <s v=""/>
    <s v=""/>
    <s v="Femme"/>
    <s v="30"/>
    <s v="Hote"/>
    <s v=""/>
    <s v=""/>
    <s v=""/>
    <s v=""/>
    <s v=""/>
    <s v=""/>
    <s v=""/>
    <s v=""/>
    <s v=""/>
    <s v=""/>
    <s v=""/>
    <s v=""/>
    <s v="non"/>
    <s v=""/>
    <s v=""/>
    <s v=""/>
    <s v=""/>
    <s v=""/>
    <s v=""/>
    <s v=""/>
    <s v=""/>
    <s v=""/>
    <s v=""/>
    <s v=""/>
    <s v=""/>
    <s v=""/>
    <s v=""/>
    <s v=""/>
    <s v=""/>
    <s v=""/>
    <s v=""/>
    <s v=""/>
    <s v=""/>
    <s v=""/>
    <s v=""/>
    <s v=""/>
    <s v=""/>
    <s v=""/>
    <s v=""/>
    <s v=""/>
    <s v=""/>
    <s v=""/>
    <s v=""/>
    <s v=""/>
    <s v=""/>
    <s v=""/>
    <s v=""/>
    <s v=""/>
    <s v="oui"/>
    <s v="mariage_force viol agression_psychologique agression_physique"/>
    <s v="1"/>
    <s v="0"/>
    <s v="1"/>
    <s v="0"/>
    <s v="1"/>
    <s v="1"/>
    <s v="0"/>
    <s v="0"/>
    <s v="0"/>
    <s v="0"/>
    <s v="0"/>
    <s v="0"/>
    <s v="0"/>
    <s v="0"/>
    <s v="0"/>
    <s v=""/>
    <s v="Garçons Femmes"/>
    <s v="0"/>
    <s v="0"/>
    <s v="0"/>
    <s v="1"/>
    <s v="1"/>
    <s v="0"/>
    <s v="0"/>
    <s v="0"/>
    <s v="0"/>
    <s v="0"/>
    <s v="0"/>
    <s v="0"/>
    <s v="0"/>
    <s v="0"/>
    <s v=""/>
    <s v="1"/>
    <s v="stable"/>
    <s v=""/>
    <s v=""/>
    <s v=""/>
    <s v=""/>
    <s v=""/>
    <s v=""/>
    <s v=""/>
    <s v=""/>
    <s v=""/>
    <s v=""/>
    <s v=""/>
    <s v=""/>
    <s v=""/>
    <s v=""/>
    <s v=""/>
    <s v=""/>
    <s v=""/>
    <s v=""/>
    <s v=""/>
    <s v=""/>
    <s v=""/>
    <s v=""/>
    <s v=""/>
    <s v=""/>
    <s v=""/>
    <s v="dplct_abords_com Soutien_psychosocial"/>
    <s v="1"/>
    <s v="0"/>
    <s v="0"/>
    <s v="0"/>
    <s v="1"/>
    <s v="0"/>
    <s v="0"/>
    <s v="0"/>
    <s v="0"/>
    <s v=""/>
    <s v=""/>
    <s v="comite_protection comite_alerte comite_gestion_conflits"/>
    <s v="0"/>
    <s v="1"/>
    <s v="0"/>
    <s v="1"/>
    <s v="0"/>
    <s v="1"/>
    <s v="0"/>
    <s v="0"/>
    <s v="0"/>
    <s v="0"/>
    <s v=""/>
    <s v="oui"/>
    <s v="Travailleurs_sociaux/hum manif_sociales"/>
    <s v="0"/>
    <s v="0"/>
    <s v="0"/>
    <s v="1"/>
    <s v="0"/>
    <s v="0"/>
    <s v="0"/>
    <s v="0"/>
    <s v="0"/>
    <s v="0"/>
    <s v="1"/>
    <s v="0"/>
    <s v="0"/>
    <s v="0"/>
    <s v=""/>
    <s v="oui_ensemble"/>
    <s v="oui_ensemble"/>
    <s v=""/>
    <s v=""/>
    <s v=""/>
    <s v=""/>
    <s v=""/>
    <s v=""/>
    <s v=""/>
    <s v=""/>
    <s v=""/>
    <s v=""/>
    <s v="ensemble"/>
    <s v="ensemble"/>
    <s v="Services_de_sante Service_de_counseling Appui_psychosocial"/>
    <s v="1"/>
    <s v="0"/>
    <s v="1"/>
    <s v="1"/>
    <s v="0"/>
    <s v="0"/>
    <s v="0"/>
    <s v="0"/>
    <s v="0"/>
    <s v=""/>
    <s v="oui_ensemble"/>
    <s v="oui_ensemble"/>
    <s v="repond_besoins_pop permet_obtenir_conseils permet_eviter_conflits"/>
    <s v="0"/>
    <s v="1"/>
    <s v="1"/>
    <s v="1"/>
    <s v="0"/>
    <s v="0"/>
    <s v="0"/>
    <s v="0"/>
    <s v=""/>
    <s v=""/>
    <s v=""/>
    <s v=""/>
    <s v=""/>
    <s v=""/>
    <s v=""/>
    <s v=""/>
    <s v=""/>
    <s v=""/>
    <s v="Ne_sait_pas"/>
    <s v=""/>
    <s v=""/>
    <s v=""/>
    <s v=""/>
    <s v=""/>
    <s v=""/>
    <s v=""/>
    <s v=""/>
    <s v=""/>
    <s v=""/>
    <s v=""/>
    <s v=""/>
    <s v="oui"/>
    <s v=""/>
    <s v="Filles Femmes"/>
    <s v="0"/>
    <s v="0"/>
    <s v="1"/>
    <s v="0"/>
    <s v="1"/>
    <s v="0"/>
    <s v="0"/>
    <s v="0"/>
    <s v="0"/>
    <s v="0"/>
    <s v="0"/>
    <s v="0"/>
    <s v="0"/>
    <s v="0"/>
    <s v=""/>
    <s v="15"/>
    <s v="Appui_psychosocial Services_medicaux Services_conseil service_judiciaire reinsertion points_ecoute"/>
    <s v="1"/>
    <s v="1"/>
    <s v="0"/>
    <s v="1"/>
    <s v="0"/>
    <s v="1"/>
    <s v="0"/>
    <s v="1"/>
    <s v="1"/>
    <s v="0"/>
    <s v=""/>
    <s v="prise_enchage signalement reorientation"/>
    <s v="1"/>
    <s v="1"/>
    <s v="1"/>
    <s v="0"/>
    <s v="0"/>
    <s v="0"/>
    <s v=""/>
    <s v="medical Psychosocia reinsertion"/>
    <s v="1"/>
    <s v="1"/>
    <s v="0"/>
    <s v="0"/>
    <s v="0"/>
    <s v="1"/>
    <s v="0"/>
    <s v="0"/>
    <s v="0"/>
    <s v=""/>
    <s v="medical Psychosocia"/>
    <s v="1"/>
    <s v="1"/>
    <s v="0"/>
    <s v="0"/>
    <s v="0"/>
    <s v="0"/>
    <s v="0"/>
    <s v="0"/>
    <s v="0"/>
    <s v=""/>
    <s v=""/>
    <s v="non"/>
    <s v=""/>
    <s v=""/>
    <s v=""/>
    <s v=""/>
    <s v=""/>
    <s v=""/>
    <s v=""/>
    <s v=""/>
    <s v=""/>
    <s v=""/>
    <s v=""/>
    <s v=""/>
    <s v=""/>
    <s v=""/>
    <s v=""/>
    <s v=""/>
    <s v=""/>
    <s v=""/>
    <s v=""/>
    <s v=""/>
    <s v=""/>
    <s v="non"/>
    <s v=""/>
    <s v=""/>
    <s v=""/>
    <s v=""/>
    <s v=""/>
    <s v=""/>
    <s v=""/>
    <s v=""/>
    <s v=""/>
    <s v=""/>
    <s v=""/>
    <s v=""/>
    <s v=""/>
    <s v="oui"/>
    <s v=""/>
    <s v=""/>
    <n v="169203695"/>
    <s v="d761ba78-5ffc-4392-af03-d352d3fd4a72"/>
    <s v="2021-04-01T17:40:37"/>
    <s v=""/>
    <s v="[]"/>
    <s v="submitted_via_web"/>
    <s v="reach_niger"/>
    <s v=""/>
    <n v="14"/>
  </r>
  <r>
    <s v="2021-04-07T14:04:06.950+01:00"/>
    <s v="2021-04-07T14:26:03.118+01:00"/>
    <s v="2021-04-07"/>
    <s v=""/>
    <s v=""/>
    <s v="Homme"/>
    <x v="7"/>
    <x v="7"/>
    <x v="4"/>
    <s v="Tous les sites PDI de la zone de compétence de l'IC"/>
    <s v=""/>
    <s v=""/>
    <s v=""/>
    <s v=""/>
    <s v=""/>
    <s v=""/>
    <s v=""/>
    <s v="Homme"/>
    <s v="42"/>
    <s v="deplace_interne"/>
    <s v=""/>
    <s v=""/>
    <s v=""/>
    <s v=""/>
    <s v=""/>
    <s v="niger"/>
    <s v="tillaberi"/>
    <s v="torodi"/>
    <s v=""/>
    <s v=""/>
    <s v=""/>
    <s v=""/>
    <s v="non"/>
    <s v=""/>
    <s v=""/>
    <s v=""/>
    <s v=""/>
    <s v=""/>
    <s v=""/>
    <s v=""/>
    <s v=""/>
    <s v=""/>
    <s v=""/>
    <s v=""/>
    <s v=""/>
    <s v=""/>
    <s v=""/>
    <s v=""/>
    <s v=""/>
    <s v=""/>
    <s v=""/>
    <s v=""/>
    <s v=""/>
    <s v=""/>
    <s v=""/>
    <s v=""/>
    <s v=""/>
    <s v=""/>
    <s v=""/>
    <s v=""/>
    <s v=""/>
    <s v=""/>
    <s v=""/>
    <s v=""/>
    <s v=""/>
    <s v=""/>
    <s v=""/>
    <s v=""/>
    <s v="oui"/>
    <s v="travail_force"/>
    <s v="0"/>
    <s v="0"/>
    <s v="0"/>
    <s v="0"/>
    <s v="0"/>
    <s v="0"/>
    <s v="1"/>
    <s v="0"/>
    <s v="0"/>
    <s v="0"/>
    <s v="0"/>
    <s v="0"/>
    <s v="0"/>
    <s v="0"/>
    <s v="0"/>
    <s v=""/>
    <s v="Garçons"/>
    <s v="0"/>
    <s v="0"/>
    <s v="0"/>
    <s v="1"/>
    <s v="0"/>
    <s v="0"/>
    <s v="0"/>
    <s v="0"/>
    <s v="0"/>
    <s v="0"/>
    <s v="0"/>
    <s v="0"/>
    <s v="0"/>
    <s v="0"/>
    <s v=""/>
    <s v="1"/>
    <s v="augmente"/>
    <s v=""/>
    <s v="diminution_moyens_existence deterioration_acces_service_base"/>
    <s v="1"/>
    <s v="0"/>
    <s v="1"/>
    <s v="0"/>
    <s v="0"/>
    <s v="0"/>
    <s v="0"/>
    <s v="0"/>
    <s v="0"/>
    <s v="0"/>
    <s v=""/>
    <s v=""/>
    <s v=""/>
    <s v=""/>
    <s v=""/>
    <s v=""/>
    <s v=""/>
    <s v=""/>
    <s v=""/>
    <s v=""/>
    <s v=""/>
    <s v=""/>
    <s v=""/>
    <s v="dplct_abords_com Integration_com_hote"/>
    <s v="1"/>
    <s v="1"/>
    <s v="0"/>
    <s v="0"/>
    <s v="0"/>
    <s v="0"/>
    <s v="0"/>
    <s v="0"/>
    <s v="0"/>
    <s v=""/>
    <s v=""/>
    <s v="comite_protection comite_gestion_conflits comite_alerte"/>
    <s v="0"/>
    <s v="1"/>
    <s v="0"/>
    <s v="1"/>
    <s v="0"/>
    <s v="1"/>
    <s v="0"/>
    <s v="0"/>
    <s v="0"/>
    <s v="0"/>
    <s v=""/>
    <s v="oui"/>
    <s v="Autre Travailleurs_sociaux/hum"/>
    <s v="0"/>
    <s v="0"/>
    <s v="0"/>
    <s v="0"/>
    <s v="0"/>
    <n v="1"/>
    <s v="0"/>
    <s v="0"/>
    <s v="0"/>
    <s v="0"/>
    <s v="1"/>
    <s v="0"/>
    <n v="0"/>
    <s v="0"/>
    <s v=""/>
    <s v="oui_ensemble"/>
    <s v="oui_ensemble"/>
    <s v=""/>
    <s v=""/>
    <s v=""/>
    <s v=""/>
    <s v=""/>
    <s v=""/>
    <s v=""/>
    <s v=""/>
    <s v=""/>
    <s v=""/>
    <s v="majorite"/>
    <s v="aucun"/>
    <s v="Appui_psychosocial Services_de_sante Education Acces_aux_doc"/>
    <s v="1"/>
    <s v="1"/>
    <s v="0"/>
    <s v="1"/>
    <s v="1"/>
    <s v="0"/>
    <s v="0"/>
    <s v="0"/>
    <s v="0"/>
    <s v=""/>
    <s v="oui_majorite"/>
    <s v="non"/>
    <s v="repond_besoins_pop permet_obtenir_conseils amelioration_futur"/>
    <s v="1"/>
    <s v="1"/>
    <s v="1"/>
    <s v="0"/>
    <s v="0"/>
    <s v="0"/>
    <s v="0"/>
    <s v="0"/>
    <s v=""/>
    <s v="ne_repond_pas"/>
    <s v="0"/>
    <s v="1"/>
    <s v="0"/>
    <s v="0"/>
    <s v="0"/>
    <s v="0"/>
    <s v=""/>
    <s v=""/>
    <s v="non"/>
    <s v=""/>
    <s v=""/>
    <s v=""/>
    <s v=""/>
    <s v=""/>
    <s v=""/>
    <s v=""/>
    <s v=""/>
    <s v=""/>
    <s v=""/>
    <s v=""/>
    <s v=""/>
    <s v="oui"/>
    <s v=""/>
    <s v="Garçons"/>
    <s v="0"/>
    <s v="0"/>
    <s v="0"/>
    <s v="1"/>
    <s v="0"/>
    <s v="0"/>
    <s v="0"/>
    <s v="0"/>
    <s v="0"/>
    <s v="0"/>
    <s v="0"/>
    <s v="0"/>
    <s v="0"/>
    <s v="0"/>
    <s v=""/>
    <s v="20"/>
    <s v="points_ecoute Services_conseil Services_medicaux"/>
    <s v="0"/>
    <s v="1"/>
    <s v="0"/>
    <s v="1"/>
    <s v="0"/>
    <s v="0"/>
    <s v="0"/>
    <s v="1"/>
    <s v="0"/>
    <s v="0"/>
    <s v=""/>
    <s v="prise_enchage reorientation signalement"/>
    <s v="1"/>
    <s v="1"/>
    <s v="1"/>
    <s v="0"/>
    <s v="0"/>
    <s v="0"/>
    <s v=""/>
    <s v="point_ecoute medical Psychosocia"/>
    <s v="1"/>
    <s v="1"/>
    <s v="1"/>
    <s v="0"/>
    <s v="0"/>
    <s v="0"/>
    <s v="0"/>
    <s v="0"/>
    <s v="0"/>
    <s v=""/>
    <s v="medical Psychosocia"/>
    <s v="1"/>
    <s v="1"/>
    <s v="0"/>
    <s v="0"/>
    <s v="0"/>
    <s v="0"/>
    <s v="0"/>
    <s v="0"/>
    <s v="0"/>
    <s v=""/>
    <s v=""/>
    <s v="oui"/>
    <s v="manque_d'information manque_moyens"/>
    <s v="1"/>
    <s v="0"/>
    <s v="1"/>
    <s v="0"/>
    <s v="0"/>
    <s v="0"/>
    <s v="0"/>
    <s v="0"/>
    <s v="0"/>
    <s v="0"/>
    <s v="0"/>
    <s v=""/>
    <s v=""/>
    <s v=""/>
    <s v=""/>
    <s v=""/>
    <s v=""/>
    <s v=""/>
    <s v=""/>
    <s v=""/>
    <s v="non"/>
    <s v=""/>
    <s v=""/>
    <s v=""/>
    <s v=""/>
    <s v=""/>
    <s v=""/>
    <s v=""/>
    <s v=""/>
    <s v=""/>
    <s v=""/>
    <s v=""/>
    <s v=""/>
    <s v=""/>
    <s v="oui"/>
    <s v=""/>
    <s v=""/>
    <n v="170254163"/>
    <s v="15efca70-22e4-434f-809d-688e31692d1c"/>
    <s v="2021-04-07T16:30:57"/>
    <s v=""/>
    <s v="[]"/>
    <s v="submitted_via_web"/>
    <s v="reach_niger"/>
    <s v=""/>
    <n v="51"/>
  </r>
  <r>
    <s v="2021-04-01T10:45:13.711+01:00"/>
    <s v="2021-04-01T17:55:30.277+01:00"/>
    <s v="2021-04-01"/>
    <s v=""/>
    <s v=""/>
    <s v="Homme"/>
    <x v="7"/>
    <x v="7"/>
    <x v="4"/>
    <s v="Tous les sites PDI de la zone de compétence de l'IC"/>
    <s v=""/>
    <s v=""/>
    <s v=""/>
    <s v=""/>
    <s v=""/>
    <s v=""/>
    <s v=""/>
    <s v="Homme"/>
    <s v="26"/>
    <s v="Hote"/>
    <s v=""/>
    <s v=""/>
    <s v=""/>
    <s v=""/>
    <s v=""/>
    <s v=""/>
    <s v=""/>
    <s v=""/>
    <s v=""/>
    <s v=""/>
    <s v=""/>
    <s v=""/>
    <s v="oui"/>
    <s v="Kidnapping_Disparitions_forcees Violences_physique_civils"/>
    <s v="0"/>
    <s v="0"/>
    <s v="0"/>
    <s v="0"/>
    <s v="1"/>
    <s v="1"/>
    <s v="0"/>
    <s v="0"/>
    <s v="0"/>
    <s v="0"/>
    <s v="0"/>
    <s v="0"/>
    <s v="0"/>
    <s v="0"/>
    <s v=""/>
    <s v="Hommes Femmes Hommes_ages"/>
    <s v="0"/>
    <s v="0"/>
    <s v="0"/>
    <s v="0"/>
    <s v="1"/>
    <s v="1"/>
    <s v="0"/>
    <s v="1"/>
    <s v="0"/>
    <s v="0"/>
    <s v="0"/>
    <s v="0"/>
    <s v="0"/>
    <s v="0"/>
    <s v=""/>
    <s v="plusde5"/>
    <s v="diminue"/>
    <s v=""/>
    <s v="non"/>
    <s v=""/>
    <s v=""/>
    <s v=""/>
    <s v=""/>
    <s v=""/>
    <s v=""/>
    <s v=""/>
    <s v=""/>
    <s v=""/>
    <s v=""/>
    <s v=""/>
    <s v=""/>
    <s v=""/>
    <s v=""/>
    <s v=""/>
    <s v=""/>
    <s v=""/>
    <s v=""/>
    <s v=""/>
    <s v=""/>
    <s v=""/>
    <s v=""/>
    <s v=""/>
    <s v=""/>
    <s v=""/>
    <s v=""/>
    <s v=""/>
    <s v=""/>
    <s v=""/>
    <s v=""/>
    <s v=""/>
    <s v=""/>
    <s v=""/>
    <s v=""/>
    <s v=""/>
    <s v=""/>
    <s v=""/>
    <s v=""/>
    <s v=""/>
    <s v=""/>
    <s v=""/>
    <s v=""/>
    <s v=""/>
    <s v=""/>
    <s v=""/>
    <s v=""/>
    <s v=""/>
    <s v=""/>
    <s v="Ne_sait_pas"/>
    <s v="0"/>
    <s v="0"/>
    <s v="0"/>
    <s v="0"/>
    <s v="0"/>
    <s v="0"/>
    <s v="0"/>
    <s v="1"/>
    <s v="0"/>
    <s v=""/>
    <s v=""/>
    <s v="dplct_abords_com"/>
    <s v="1"/>
    <s v="0"/>
    <s v="0"/>
    <s v="0"/>
    <s v="0"/>
    <s v="0"/>
    <s v="0"/>
    <s v="0"/>
    <s v="0"/>
    <s v=""/>
    <s v=""/>
    <s v="famille_accueil comite_protection comite_alerte"/>
    <s v="0"/>
    <s v="1"/>
    <s v="1"/>
    <s v="1"/>
    <s v="0"/>
    <s v="0"/>
    <s v="0"/>
    <s v="0"/>
    <s v="0"/>
    <s v="0"/>
    <s v=""/>
    <s v="oui"/>
    <s v="Differents_comites_villageois Travailleurs_sociaux/hum"/>
    <s v="0"/>
    <s v="0"/>
    <s v="0"/>
    <s v="0"/>
    <s v="0"/>
    <s v="0"/>
    <s v="0"/>
    <s v="0"/>
    <s v="1"/>
    <s v="0"/>
    <s v="1"/>
    <s v="0"/>
    <s v="0"/>
    <s v="0"/>
    <s v=""/>
    <s v="oui_ensemble"/>
    <s v="oui_ensemble"/>
    <s v=""/>
    <s v=""/>
    <s v=""/>
    <s v=""/>
    <s v=""/>
    <s v=""/>
    <s v=""/>
    <s v=""/>
    <s v=""/>
    <s v=""/>
    <s v="ensemble"/>
    <s v="ensemble"/>
    <s v="Appui_psychosocial Services_de_sante Education"/>
    <s v="1"/>
    <s v="1"/>
    <s v="0"/>
    <s v="1"/>
    <s v="0"/>
    <s v="0"/>
    <s v="0"/>
    <s v="0"/>
    <s v="0"/>
    <s v=""/>
    <s v="oui_ensemble"/>
    <s v="oui_ensemble"/>
    <s v="repond_besoins_pop amelioration_futur permet_obtenir_conseils"/>
    <s v="1"/>
    <s v="1"/>
    <s v="1"/>
    <s v="0"/>
    <s v="0"/>
    <s v="0"/>
    <s v="0"/>
    <s v="0"/>
    <s v=""/>
    <s v=""/>
    <s v=""/>
    <s v=""/>
    <s v=""/>
    <s v=""/>
    <s v=""/>
    <s v=""/>
    <s v=""/>
    <s v=""/>
    <s v="oui_majorite"/>
    <s v="ingo"/>
    <s v="0"/>
    <s v="0"/>
    <s v="0"/>
    <s v="0"/>
    <s v="1"/>
    <s v="0"/>
    <s v="0"/>
    <s v="0"/>
    <s v="0"/>
    <s v="0"/>
    <s v=""/>
    <s v="oui"/>
    <s v=""/>
    <s v="Enfants Filles Femmes Hommes Hommes_ages"/>
    <s v="0"/>
    <s v="1"/>
    <s v="1"/>
    <s v="0"/>
    <s v="1"/>
    <s v="1"/>
    <s v="0"/>
    <s v="1"/>
    <s v="0"/>
    <s v="0"/>
    <s v="0"/>
    <s v="0"/>
    <s v="0"/>
    <s v="0"/>
    <s v=""/>
    <s v="30"/>
    <s v="points_ecoute"/>
    <s v="0"/>
    <s v="0"/>
    <s v="0"/>
    <s v="0"/>
    <s v="0"/>
    <s v="0"/>
    <s v="0"/>
    <s v="1"/>
    <s v="0"/>
    <s v="0"/>
    <s v=""/>
    <s v="prise_enchage signalement reorientation"/>
    <s v="1"/>
    <s v="1"/>
    <s v="1"/>
    <s v="0"/>
    <s v="0"/>
    <s v="0"/>
    <s v=""/>
    <s v="point_ecoute surete"/>
    <s v="0"/>
    <s v="0"/>
    <s v="1"/>
    <s v="0"/>
    <s v="1"/>
    <s v="0"/>
    <s v="0"/>
    <n v="0"/>
    <s v="0"/>
    <s v=""/>
    <s v="medical Psychosocia point_ecoute juridique"/>
    <s v="1"/>
    <s v="1"/>
    <s v="1"/>
    <s v="1"/>
    <s v="0"/>
    <s v="0"/>
    <s v="0"/>
    <s v="0"/>
    <s v="0"/>
    <s v=""/>
    <s v=""/>
    <s v="oui"/>
    <s v="probleme_orientation manque_cordination"/>
    <s v="0"/>
    <s v="0"/>
    <s v="0"/>
    <s v="1"/>
    <s v="0"/>
    <s v="0"/>
    <s v="1"/>
    <s v="0"/>
    <s v="0"/>
    <s v="0"/>
    <s v="0"/>
    <s v=""/>
    <s v="pb_logistiques pb_coordination"/>
    <s v="0"/>
    <s v="1"/>
    <s v="0"/>
    <s v="1"/>
    <s v="0"/>
    <s v="0"/>
    <s v=""/>
    <s v="non"/>
    <s v=""/>
    <s v=""/>
    <s v=""/>
    <s v=""/>
    <s v=""/>
    <s v=""/>
    <s v=""/>
    <s v=""/>
    <s v=""/>
    <s v=""/>
    <s v=""/>
    <s v=""/>
    <s v=""/>
    <s v="oui"/>
    <s v=""/>
    <s v="Les incidents cités par l'IC sont liés aux sites de déplacés dont nous n'avons pas accès"/>
    <n v="169204105"/>
    <s v="c02e3a07-cabd-4b66-9aa3-541f62026c49"/>
    <s v="2021-04-01T17:43:16"/>
    <s v=""/>
    <s v="[]"/>
    <s v="submitted_via_web"/>
    <s v="reach_niger"/>
    <s v=""/>
    <n v="15"/>
  </r>
  <r>
    <s v="2021-03-31T09:24:31.654+01:00"/>
    <s v="2021-03-31T10:22:43.671+01:00"/>
    <s v="2021-03-31"/>
    <s v=""/>
    <s v=""/>
    <s v="Homme"/>
    <x v="7"/>
    <x v="7"/>
    <x v="4"/>
    <s v="Tous les sites PDI de la zone de compétence de l'IC"/>
    <s v=""/>
    <s v=""/>
    <s v=""/>
    <s v=""/>
    <s v=""/>
    <s v=""/>
    <s v=""/>
    <s v="Homme"/>
    <s v="39"/>
    <s v="Hote"/>
    <s v=""/>
    <s v=""/>
    <s v=""/>
    <s v=""/>
    <s v=""/>
    <s v=""/>
    <s v=""/>
    <s v=""/>
    <s v=""/>
    <s v=""/>
    <s v=""/>
    <s v=""/>
    <s v="oui"/>
    <s v="Kidnapping_Disparitions_forcees"/>
    <s v="0"/>
    <s v="0"/>
    <s v="0"/>
    <s v="0"/>
    <s v="0"/>
    <s v="1"/>
    <s v="0"/>
    <s v="0"/>
    <s v="0"/>
    <s v="0"/>
    <s v="0"/>
    <s v="0"/>
    <s v="0"/>
    <s v="0"/>
    <s v=""/>
    <s v="Garçons Hommes"/>
    <s v="0"/>
    <s v="0"/>
    <s v="0"/>
    <s v="1"/>
    <s v="0"/>
    <s v="1"/>
    <s v="0"/>
    <s v="0"/>
    <s v="0"/>
    <s v="0"/>
    <s v="0"/>
    <s v="0"/>
    <s v="0"/>
    <s v="0"/>
    <s v=""/>
    <s v="3"/>
    <s v="augmente"/>
    <s v=""/>
    <s v="oui"/>
    <s v="viol"/>
    <s v="1"/>
    <s v="0"/>
    <s v="0"/>
    <s v="0"/>
    <s v="0"/>
    <s v="0"/>
    <s v="0"/>
    <s v="0"/>
    <s v="0"/>
    <s v="0"/>
    <s v="0"/>
    <s v="0"/>
    <s v="0"/>
    <s v="0"/>
    <s v="0"/>
    <s v=""/>
    <s v="Filles Femmes"/>
    <s v="0"/>
    <s v="0"/>
    <s v="1"/>
    <s v="0"/>
    <s v="1"/>
    <s v="0"/>
    <s v="0"/>
    <s v="0"/>
    <s v="0"/>
    <s v="0"/>
    <s v="0"/>
    <s v="0"/>
    <s v="0"/>
    <s v="0"/>
    <s v=""/>
    <s v="1"/>
    <s v="diminue"/>
    <s v=""/>
    <s v="Ne_sait_pas"/>
    <s v="0"/>
    <s v="0"/>
    <s v="0"/>
    <s v="0"/>
    <s v="0"/>
    <s v="0"/>
    <s v="0"/>
    <s v="0"/>
    <s v="1"/>
    <s v="0"/>
    <s v=""/>
    <s v="amelioration_acces_service_base stabilisation_aug_moyen_existence"/>
    <s v="1"/>
    <s v="0"/>
    <s v="1"/>
    <s v="0"/>
    <s v="0"/>
    <s v="0"/>
    <s v="0"/>
    <s v="0"/>
    <s v="0"/>
    <s v=""/>
    <s v=""/>
    <s v="Integration_com_hote"/>
    <s v="0"/>
    <s v="1"/>
    <s v="0"/>
    <s v="0"/>
    <s v="0"/>
    <s v="0"/>
    <s v="0"/>
    <s v="0"/>
    <s v="0"/>
    <s v=""/>
    <s v=""/>
    <s v="femmes_elite comite_protection famille_accueil comite_alerte comite_gestion_conflits"/>
    <s v="1"/>
    <s v="1"/>
    <s v="1"/>
    <s v="1"/>
    <s v="0"/>
    <s v="1"/>
    <s v="0"/>
    <s v="0"/>
    <s v="0"/>
    <s v="0"/>
    <s v=""/>
    <s v="oui"/>
    <s v="Travailleurs_sociaux/hum"/>
    <s v="0"/>
    <s v="0"/>
    <s v="0"/>
    <s v="0"/>
    <s v="0"/>
    <s v="0"/>
    <s v="0"/>
    <s v="0"/>
    <s v="0"/>
    <s v="0"/>
    <s v="1"/>
    <s v="0"/>
    <s v="0"/>
    <s v="0"/>
    <s v=""/>
    <s v="oui_ensemble"/>
    <s v="oui_ensemble"/>
    <s v=""/>
    <s v=""/>
    <s v=""/>
    <s v=""/>
    <s v=""/>
    <s v=""/>
    <s v=""/>
    <s v=""/>
    <s v=""/>
    <s v=""/>
    <s v="ensemble"/>
    <s v="ensemble"/>
    <s v="Acces_aux_doc Services_de_sante Education Appui_psychosocial"/>
    <s v="1"/>
    <s v="1"/>
    <s v="0"/>
    <s v="1"/>
    <s v="1"/>
    <s v="0"/>
    <s v="0"/>
    <s v="0"/>
    <s v="0"/>
    <s v=""/>
    <s v="oui_ensemble"/>
    <s v="oui_ensemble"/>
    <s v="repond_besoins_pop amelioration_futur permet_eviter_conflits"/>
    <s v="1"/>
    <s v="1"/>
    <s v="0"/>
    <s v="1"/>
    <s v="0"/>
    <s v="0"/>
    <s v="0"/>
    <s v="0"/>
    <s v=""/>
    <s v=""/>
    <s v=""/>
    <s v=""/>
    <s v=""/>
    <s v=""/>
    <s v=""/>
    <s v=""/>
    <s v=""/>
    <s v=""/>
    <s v="oui_minorite"/>
    <s v="ingo"/>
    <s v="0"/>
    <s v="0"/>
    <s v="0"/>
    <s v="0"/>
    <s v="1"/>
    <s v="0"/>
    <s v="0"/>
    <s v="0"/>
    <s v="0"/>
    <s v="0"/>
    <s v=""/>
    <s v="non"/>
    <s v=""/>
    <s v="Filles Femmes"/>
    <s v="0"/>
    <s v="0"/>
    <s v="1"/>
    <s v="0"/>
    <s v="1"/>
    <s v="0"/>
    <s v="0"/>
    <s v="0"/>
    <s v="0"/>
    <s v="0"/>
    <s v="0"/>
    <s v="0"/>
    <s v="0"/>
    <s v="0"/>
    <s v=""/>
    <s v="13"/>
    <s v="Appui_psychosocial acces_docs Services_conseil Services_educatifs Services_medicaux"/>
    <s v="1"/>
    <s v="1"/>
    <s v="1"/>
    <s v="1"/>
    <s v="1"/>
    <s v="0"/>
    <s v="0"/>
    <s v="0"/>
    <s v="0"/>
    <s v="0"/>
    <s v=""/>
    <s v="prise_enchage reorientation signalement"/>
    <s v="1"/>
    <s v="1"/>
    <s v="1"/>
    <s v="0"/>
    <s v="0"/>
    <s v="0"/>
    <s v=""/>
    <s v="medical Psychosocia point_ecoute"/>
    <s v="1"/>
    <s v="1"/>
    <s v="1"/>
    <s v="0"/>
    <s v="0"/>
    <s v="0"/>
    <s v="0"/>
    <s v="0"/>
    <s v="0"/>
    <s v=""/>
    <s v="medical Psychosocia point_ecoute surete"/>
    <s v="1"/>
    <s v="1"/>
    <s v="1"/>
    <s v="0"/>
    <s v="1"/>
    <s v="0"/>
    <s v="0"/>
    <s v="0"/>
    <s v="0"/>
    <s v=""/>
    <s v=""/>
    <s v="non"/>
    <s v=""/>
    <s v=""/>
    <s v=""/>
    <s v=""/>
    <s v=""/>
    <s v=""/>
    <s v=""/>
    <s v=""/>
    <s v=""/>
    <s v=""/>
    <s v=""/>
    <s v=""/>
    <s v=""/>
    <s v=""/>
    <s v=""/>
    <s v=""/>
    <s v=""/>
    <s v=""/>
    <s v=""/>
    <s v=""/>
    <s v=""/>
    <s v="non"/>
    <s v=""/>
    <s v=""/>
    <s v=""/>
    <s v=""/>
    <s v=""/>
    <s v=""/>
    <s v=""/>
    <s v=""/>
    <s v=""/>
    <s v=""/>
    <s v=""/>
    <s v=""/>
    <s v=""/>
    <s v="oui"/>
    <s v=""/>
    <s v=""/>
    <n v="168950705"/>
    <s v="58aa5639-76bd-4e1d-ba1c-4b1486d5ac7a"/>
    <s v="2021-03-31T17:31:22"/>
    <s v=""/>
    <s v="[]"/>
    <s v="submitted_via_web"/>
    <s v="reach_niger"/>
    <s v=""/>
    <n v="7"/>
  </r>
  <r>
    <s v="2021-04-08T16:08:54.852+01:00"/>
    <s v="2021-04-08T16:50:30.144+01:00"/>
    <s v="2021-04-08"/>
    <s v=""/>
    <s v=""/>
    <s v="Homme"/>
    <x v="8"/>
    <x v="8"/>
    <x v="19"/>
    <s v=""/>
    <s v=""/>
    <s v=""/>
    <s v=""/>
    <s v=""/>
    <s v=""/>
    <s v=""/>
    <s v=""/>
    <s v="Homme"/>
    <s v="34"/>
    <s v="refugie"/>
    <s v=""/>
    <s v=""/>
    <s v=""/>
    <s v=""/>
    <s v=""/>
    <s v="mali"/>
    <s v="menaka"/>
    <s v="menak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comite_gestion_conflits femmes_elite"/>
    <s v="1"/>
    <s v="0"/>
    <s v="0"/>
    <s v="0"/>
    <s v="0"/>
    <s v="1"/>
    <s v="0"/>
    <s v="0"/>
    <s v="0"/>
    <s v="0"/>
    <s v=""/>
    <s v="oui"/>
    <s v="Chef_village"/>
    <s v="0"/>
    <s v="0"/>
    <s v="0"/>
    <s v="0"/>
    <n v="1"/>
    <s v="0"/>
    <s v="0"/>
    <s v="0"/>
    <s v="0"/>
    <s v="0"/>
    <s v="0"/>
    <s v="0"/>
    <n v="0"/>
    <s v="0"/>
    <s v=""/>
    <s v="non"/>
    <s v=""/>
    <s v=""/>
    <s v=""/>
    <s v=""/>
    <s v=""/>
    <s v=""/>
    <s v=""/>
    <s v=""/>
    <s v=""/>
    <s v=""/>
    <s v=""/>
    <s v=""/>
    <s v=""/>
    <s v=""/>
    <s v=""/>
    <s v=""/>
    <s v=""/>
    <s v=""/>
    <s v=""/>
    <s v=""/>
    <s v=""/>
    <s v=""/>
    <s v=""/>
    <s v=""/>
    <s v="oui_majorite"/>
    <s v="oui_majorite"/>
    <s v="amelioration_futur"/>
    <s v="1"/>
    <s v="0"/>
    <s v="0"/>
    <s v="0"/>
    <s v="0"/>
    <s v="0"/>
    <s v="0"/>
    <s v="0"/>
    <s v=""/>
    <s v="Autre"/>
    <s v="0"/>
    <s v="0"/>
    <s v="0"/>
    <s v="0"/>
    <s v="1"/>
    <s v="0"/>
    <s v="Difficulté d'accès aux services pour manque d'informations"/>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On veux que nôtre situation s'améliore,en ayant un système de santé et que la paix continue régner dans nos vies "/>
    <n v="170484797"/>
    <s v="f3de914f-450a-4b12-8fe5-8d968cc0c934"/>
    <s v="2021-04-08T15:57:32"/>
    <s v=""/>
    <s v="[]"/>
    <s v="submitted_via_web"/>
    <s v="reach_niger"/>
    <s v=""/>
    <n v="58"/>
  </r>
  <r>
    <s v="2021-04-06T16:09:06.284+01:00"/>
    <s v="2021-04-06T16:56:56.347+01:00"/>
    <s v="2021-04-06"/>
    <s v=""/>
    <s v=""/>
    <s v="Homme"/>
    <x v="8"/>
    <x v="8"/>
    <x v="19"/>
    <s v=""/>
    <s v=""/>
    <s v=""/>
    <s v=""/>
    <s v=""/>
    <s v=""/>
    <s v=""/>
    <s v=""/>
    <s v="Homme"/>
    <s v="51"/>
    <s v="refugie"/>
    <s v=""/>
    <s v=""/>
    <s v=""/>
    <s v=""/>
    <s v=""/>
    <s v="mali"/>
    <s v="menaka"/>
    <s v="menak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femmes_elite enfant_pairs comite_gestion_conflits comite_protection"/>
    <s v="1"/>
    <s v="1"/>
    <s v="0"/>
    <s v="0"/>
    <s v="0"/>
    <s v="1"/>
    <s v="1"/>
    <s v="0"/>
    <s v="0"/>
    <s v="0"/>
    <s v=""/>
    <s v="oui"/>
    <s v="Radio_television manif_sociales"/>
    <s v="1"/>
    <s v="0"/>
    <s v="0"/>
    <s v="1"/>
    <s v="0"/>
    <s v="0"/>
    <s v="0"/>
    <s v="0"/>
    <s v="0"/>
    <s v="0"/>
    <s v="0"/>
    <s v="0"/>
    <s v="0"/>
    <s v="0"/>
    <s v=""/>
    <s v="oui_ensemble"/>
    <s v="oui_ensemble"/>
    <s v=""/>
    <s v=""/>
    <s v=""/>
    <s v=""/>
    <s v=""/>
    <s v=""/>
    <s v=""/>
    <s v=""/>
    <s v=""/>
    <s v=""/>
    <s v="ensemble"/>
    <s v="majorite"/>
    <s v="Services_de_sante Service_de_counseling"/>
    <s v="0"/>
    <s v="0"/>
    <s v="1"/>
    <s v="1"/>
    <s v="0"/>
    <s v="0"/>
    <s v="0"/>
    <s v="0"/>
    <s v="0"/>
    <s v=""/>
    <s v="oui_majorite"/>
    <s v="oui_ensemble"/>
    <s v="amelioration_futur"/>
    <s v="1"/>
    <s v="0"/>
    <s v="0"/>
    <s v="0"/>
    <s v="0"/>
    <s v="0"/>
    <s v="0"/>
    <s v="0"/>
    <s v=""/>
    <s v="Autre"/>
    <s v="0"/>
    <s v="0"/>
    <s v="0"/>
    <s v="0"/>
    <s v="1"/>
    <s v="0"/>
    <s v="Difficulté d'accès aux services pour manque d'informations"/>
    <s v=""/>
    <s v="non"/>
    <s v=""/>
    <s v=""/>
    <s v=""/>
    <s v=""/>
    <s v=""/>
    <s v=""/>
    <s v=""/>
    <s v=""/>
    <s v=""/>
    <s v=""/>
    <s v=""/>
    <s v=""/>
    <s v="oui"/>
    <s v=""/>
    <s v=""/>
    <s v=""/>
    <s v=""/>
    <s v=""/>
    <s v=""/>
    <s v=""/>
    <s v=""/>
    <s v=""/>
    <s v=""/>
    <s v=""/>
    <s v=""/>
    <s v=""/>
    <s v=""/>
    <s v=""/>
    <s v=""/>
    <s v=""/>
    <s v="30"/>
    <s v="acces_docs Services_conseil Services_educatifs Services_medicaux"/>
    <s v="0"/>
    <s v="1"/>
    <s v="1"/>
    <s v="1"/>
    <s v="1"/>
    <s v="0"/>
    <s v="0"/>
    <s v="0"/>
    <s v="0"/>
    <s v="0"/>
    <s v=""/>
    <s v="reorientation signalement"/>
    <s v="0"/>
    <s v="1"/>
    <s v="1"/>
    <s v="0"/>
    <s v="0"/>
    <s v="0"/>
    <s v=""/>
    <s v=""/>
    <s v=""/>
    <s v=""/>
    <s v=""/>
    <s v=""/>
    <s v=""/>
    <s v=""/>
    <s v=""/>
    <s v=""/>
    <s v=""/>
    <s v=""/>
    <s v="medical surete"/>
    <s v="1"/>
    <s v="0"/>
    <s v="0"/>
    <s v="0"/>
    <s v="1"/>
    <s v="0"/>
    <s v="0"/>
    <s v="0"/>
    <s v="0"/>
    <s v=""/>
    <s v=""/>
    <s v="oui"/>
    <s v="manque_definition manque_d'information manque_moyens"/>
    <s v="1"/>
    <s v="0"/>
    <s v="1"/>
    <s v="0"/>
    <s v="0"/>
    <s v="0"/>
    <s v="0"/>
    <s v="1"/>
    <s v="0"/>
    <s v="0"/>
    <s v="0"/>
    <s v=""/>
    <s v=""/>
    <s v=""/>
    <s v=""/>
    <s v=""/>
    <s v=""/>
    <s v=""/>
    <s v=""/>
    <s v=""/>
    <s v="non"/>
    <s v=""/>
    <s v=""/>
    <s v=""/>
    <s v=""/>
    <s v=""/>
    <s v=""/>
    <s v=""/>
    <s v=""/>
    <s v=""/>
    <s v=""/>
    <s v=""/>
    <s v=""/>
    <s v=""/>
    <s v="oui"/>
    <s v=""/>
    <s v="C'est avoir une vie paisible,genre subvenir aux besoins et avoir la tranquillité "/>
    <n v="170030466"/>
    <s v="fdc5f96a-5e0e-457b-aac1-055744328877"/>
    <s v="2021-04-06T18:27:33"/>
    <s v=""/>
    <s v="[]"/>
    <s v="submitted_via_web"/>
    <s v="reach_niger"/>
    <s v=""/>
    <n v="50"/>
  </r>
  <r>
    <s v="2021-04-06T14:53:15.793+01:00"/>
    <s v="2021-04-06T15:41:08.160+01:00"/>
    <s v="2021-04-06"/>
    <s v=""/>
    <s v=""/>
    <s v="Homme"/>
    <x v="8"/>
    <x v="8"/>
    <x v="20"/>
    <s v=""/>
    <s v=""/>
    <s v=""/>
    <s v=""/>
    <s v=""/>
    <s v=""/>
    <s v=""/>
    <s v=""/>
    <s v="Homme"/>
    <s v="31"/>
    <s v="deplace_interne"/>
    <s v=""/>
    <s v=""/>
    <s v="Travailleur humanitaire"/>
    <s v="activite_identique_role"/>
    <s v=""/>
    <s v="niger"/>
    <s v="tillaberi"/>
    <s v="banibangou"/>
    <s v=""/>
    <s v=""/>
    <s v=""/>
    <s v=""/>
    <s v="oui"/>
    <s v="Disputes_intercommunataires extorsions Violences_physique_civils attaques_engins_explosifs"/>
    <s v="0"/>
    <s v="1"/>
    <s v="0"/>
    <s v="1"/>
    <s v="1"/>
    <s v="0"/>
    <s v="0"/>
    <s v="0"/>
    <s v="0"/>
    <s v="0"/>
    <s v="1"/>
    <s v="0"/>
    <s v="0"/>
    <s v="0"/>
    <s v=""/>
    <s v="Toute_population"/>
    <s v="0"/>
    <s v="0"/>
    <s v="0"/>
    <s v="0"/>
    <s v="0"/>
    <s v="0"/>
    <s v="0"/>
    <s v="0"/>
    <s v="0"/>
    <s v="0"/>
    <s v="1"/>
    <s v="0"/>
    <s v="0"/>
    <s v="0"/>
    <s v=""/>
    <s v="plusde5"/>
    <s v="augmente"/>
    <s v=""/>
    <s v="oui"/>
    <s v="travail_force"/>
    <s v="0"/>
    <s v="0"/>
    <s v="0"/>
    <s v="0"/>
    <s v="0"/>
    <s v="0"/>
    <s v="1"/>
    <s v="0"/>
    <s v="0"/>
    <s v="0"/>
    <s v="0"/>
    <s v="0"/>
    <s v="0"/>
    <s v="0"/>
    <s v="0"/>
    <s v=""/>
    <s v="Hommes"/>
    <s v="0"/>
    <s v="0"/>
    <s v="0"/>
    <s v="0"/>
    <s v="0"/>
    <s v="1"/>
    <s v="0"/>
    <s v="0"/>
    <s v="0"/>
    <s v="0"/>
    <s v="0"/>
    <s v="0"/>
    <s v="0"/>
    <s v="0"/>
    <s v=""/>
    <s v="plusde5"/>
    <s v="augmente"/>
    <s v=""/>
    <s v="deterioration_con_abris hausse_tensions_intercomm hausse_nbr_groupes_armees"/>
    <s v="0"/>
    <s v="1"/>
    <s v="0"/>
    <s v="1"/>
    <s v="1"/>
    <s v="0"/>
    <s v="0"/>
    <s v="0"/>
    <s v="0"/>
    <s v="0"/>
    <s v=""/>
    <s v=""/>
    <s v=""/>
    <s v=""/>
    <s v=""/>
    <s v=""/>
    <s v=""/>
    <s v=""/>
    <s v=""/>
    <s v=""/>
    <s v=""/>
    <s v=""/>
    <s v=""/>
    <s v="dplct_abords_com Soutien_famille_amis Integration_com_hote"/>
    <s v="1"/>
    <s v="1"/>
    <s v="1"/>
    <s v="0"/>
    <s v="0"/>
    <s v="0"/>
    <s v="0"/>
    <s v="0"/>
    <s v="0"/>
    <s v=""/>
    <s v=""/>
    <s v="femmes_elite comite_protection famille_accueil comite_gestion_conflits"/>
    <s v="1"/>
    <s v="1"/>
    <s v="1"/>
    <s v="0"/>
    <s v="0"/>
    <s v="1"/>
    <s v="0"/>
    <s v="0"/>
    <s v="0"/>
    <s v="0"/>
    <s v=""/>
    <s v="oui"/>
    <s v="Radio_television Internet Chef_village Differents_comites_villageois Groupement_femmes"/>
    <s v="1"/>
    <s v="0"/>
    <s v="1"/>
    <s v="0"/>
    <s v="1"/>
    <s v="0"/>
    <s v="0"/>
    <s v="1"/>
    <s v="1"/>
    <s v="0"/>
    <s v="0"/>
    <s v="0"/>
    <s v="0"/>
    <s v="0"/>
    <s v=""/>
    <s v="oui_majorite"/>
    <s v="oui_majorite"/>
    <s v="non_fonctionnelle"/>
    <s v="1"/>
    <s v="0"/>
    <s v="0"/>
    <s v="0"/>
    <s v="0"/>
    <s v="0"/>
    <s v="0"/>
    <s v="0"/>
    <s v=""/>
    <s v="majorite"/>
    <s v="majorite"/>
    <s v="Education Service_de_counseling Services_de_sante Acces_aux_doc"/>
    <s v="0"/>
    <s v="1"/>
    <s v="1"/>
    <s v="1"/>
    <s v="1"/>
    <s v="0"/>
    <s v="0"/>
    <s v="0"/>
    <s v="0"/>
    <s v=""/>
    <s v="oui_ensemble"/>
    <s v="oui_ensemble"/>
    <s v="repond_besoins_pop amelioration_futur permet_eviter_conflits"/>
    <s v="1"/>
    <s v="1"/>
    <s v="0"/>
    <s v="1"/>
    <s v="0"/>
    <s v="0"/>
    <s v="0"/>
    <s v="0"/>
    <s v=""/>
    <s v=""/>
    <s v=""/>
    <s v=""/>
    <s v=""/>
    <s v=""/>
    <s v=""/>
    <s v=""/>
    <s v=""/>
    <s v=""/>
    <s v="oui_ensemble"/>
    <s v="ingo"/>
    <s v="0"/>
    <s v="0"/>
    <s v="0"/>
    <s v="0"/>
    <s v="1"/>
    <s v="0"/>
    <s v="0"/>
    <s v="0"/>
    <s v="0"/>
    <s v="0"/>
    <s v=""/>
    <s v=""/>
    <s v=""/>
    <s v="Toute_population"/>
    <s v="0"/>
    <s v="0"/>
    <s v="0"/>
    <s v="0"/>
    <s v="0"/>
    <s v="0"/>
    <s v="0"/>
    <s v="0"/>
    <s v="0"/>
    <s v="0"/>
    <s v="1"/>
    <s v="0"/>
    <s v="0"/>
    <s v="0"/>
    <s v=""/>
    <s v="15"/>
    <s v="Services_medicaux Services_educatifs Appui_psychosocial"/>
    <s v="1"/>
    <s v="1"/>
    <s v="1"/>
    <s v="0"/>
    <s v="0"/>
    <s v="0"/>
    <s v="0"/>
    <s v="0"/>
    <s v="0"/>
    <s v="0"/>
    <s v=""/>
    <s v="signalement reorientation"/>
    <s v="0"/>
    <s v="1"/>
    <s v="1"/>
    <s v="0"/>
    <s v="0"/>
    <s v="0"/>
    <s v=""/>
    <s v=""/>
    <s v=""/>
    <s v=""/>
    <s v=""/>
    <s v=""/>
    <s v=""/>
    <s v=""/>
    <s v=""/>
    <s v=""/>
    <s v=""/>
    <s v=""/>
    <s v="medical surete"/>
    <s v="1"/>
    <s v="0"/>
    <s v="0"/>
    <s v="0"/>
    <s v="1"/>
    <s v="0"/>
    <s v="0"/>
    <s v="0"/>
    <s v="0"/>
    <s v=""/>
    <s v=""/>
    <s v="non"/>
    <s v=""/>
    <s v=""/>
    <s v=""/>
    <s v=""/>
    <s v=""/>
    <s v=""/>
    <s v=""/>
    <s v=""/>
    <s v=""/>
    <s v=""/>
    <s v=""/>
    <s v=""/>
    <s v=""/>
    <s v=""/>
    <s v=""/>
    <s v=""/>
    <s v=""/>
    <s v=""/>
    <s v=""/>
    <s v=""/>
    <s v=""/>
    <s v="non"/>
    <s v=""/>
    <s v=""/>
    <s v=""/>
    <s v=""/>
    <s v=""/>
    <s v=""/>
    <s v=""/>
    <s v=""/>
    <s v=""/>
    <s v=""/>
    <s v=""/>
    <s v=""/>
    <s v=""/>
    <s v="oui"/>
    <s v=""/>
    <s v="Nous aider a pouvoir nous retrouver dans la vie,en nous apprenant des activité "/>
    <n v="170030462"/>
    <s v="ab1bf8ee-7d16-420e-b7d2-b0ebaf5203a6"/>
    <s v="2021-04-06T18:27:33"/>
    <s v=""/>
    <s v="[]"/>
    <s v="submitted_via_web"/>
    <s v="reach_niger"/>
    <s v=""/>
    <n v="49"/>
  </r>
  <r>
    <s v="2021-04-06T13:32:35.307+01:00"/>
    <s v="2021-04-06T14:53:03.581+01:00"/>
    <s v="2021-04-06"/>
    <s v=""/>
    <s v=""/>
    <s v="Homme"/>
    <x v="8"/>
    <x v="8"/>
    <x v="20"/>
    <s v=""/>
    <s v=""/>
    <s v=""/>
    <s v=""/>
    <s v=""/>
    <s v=""/>
    <s v=""/>
    <s v=""/>
    <s v="Homme"/>
    <s v="31"/>
    <s v="deplace_interne"/>
    <s v=""/>
    <s v=""/>
    <s v=""/>
    <s v=""/>
    <s v=""/>
    <s v="niger"/>
    <s v="tillaberi"/>
    <s v="banibangou"/>
    <s v=""/>
    <s v=""/>
    <s v=""/>
    <s v=""/>
    <s v="oui"/>
    <s v="Disputes_intercommunataires extorsions Violences_physique_civils"/>
    <s v="0"/>
    <s v="1"/>
    <s v="0"/>
    <s v="1"/>
    <s v="1"/>
    <s v="0"/>
    <s v="0"/>
    <s v="0"/>
    <s v="0"/>
    <s v="0"/>
    <s v="0"/>
    <s v="0"/>
    <s v="0"/>
    <s v="0"/>
    <s v=""/>
    <s v="Toute_population"/>
    <s v="0"/>
    <s v="0"/>
    <s v="0"/>
    <s v="0"/>
    <s v="0"/>
    <s v="0"/>
    <s v="0"/>
    <s v="0"/>
    <s v="0"/>
    <s v="0"/>
    <s v="1"/>
    <s v="0"/>
    <s v="0"/>
    <s v="0"/>
    <s v=""/>
    <s v="plusde5"/>
    <s v="augmente"/>
    <s v=""/>
    <s v="oui"/>
    <s v="travail_force agression_physique"/>
    <s v="0"/>
    <s v="0"/>
    <s v="1"/>
    <s v="0"/>
    <s v="0"/>
    <s v="0"/>
    <s v="1"/>
    <s v="0"/>
    <s v="0"/>
    <s v="0"/>
    <s v="0"/>
    <s v="0"/>
    <s v="0"/>
    <s v="0"/>
    <s v="0"/>
    <s v=""/>
    <s v="Hommes Hommes_ages"/>
    <s v="0"/>
    <s v="0"/>
    <s v="0"/>
    <s v="0"/>
    <s v="0"/>
    <s v="1"/>
    <s v="0"/>
    <s v="1"/>
    <s v="0"/>
    <s v="0"/>
    <s v="0"/>
    <s v="0"/>
    <s v="0"/>
    <s v="0"/>
    <s v=""/>
    <s v="plusde5"/>
    <s v="augmente"/>
    <s v=""/>
    <s v="autre"/>
    <s v="0"/>
    <s v="0"/>
    <s v="0"/>
    <s v="0"/>
    <s v="0"/>
    <s v="0"/>
    <s v="0"/>
    <s v="1"/>
    <s v="0"/>
    <s v="0"/>
    <s v="Aucune riposte contre eux"/>
    <s v=""/>
    <s v=""/>
    <s v=""/>
    <s v=""/>
    <s v=""/>
    <s v=""/>
    <s v=""/>
    <s v=""/>
    <s v=""/>
    <s v=""/>
    <s v=""/>
    <s v=""/>
    <s v="dplct_abords_com"/>
    <s v="1"/>
    <s v="0"/>
    <s v="0"/>
    <s v="0"/>
    <s v="0"/>
    <s v="0"/>
    <s v="0"/>
    <s v="0"/>
    <s v="0"/>
    <s v=""/>
    <s v=""/>
    <s v="femmes_elite comite_protection comite_gestion_conflits comite_alerte"/>
    <s v="1"/>
    <s v="1"/>
    <s v="0"/>
    <s v="1"/>
    <s v="0"/>
    <s v="1"/>
    <s v="0"/>
    <s v="0"/>
    <s v="0"/>
    <s v="0"/>
    <s v=""/>
    <s v="oui"/>
    <s v="Ecole Internet Radio_television Travailleurs_sociaux/hum Differents_comites_villageois"/>
    <s v="1"/>
    <s v="0"/>
    <s v="1"/>
    <s v="0"/>
    <s v="0"/>
    <s v="0"/>
    <s v="0"/>
    <s v="0"/>
    <s v="1"/>
    <s v="0"/>
    <s v="1"/>
    <s v="1"/>
    <s v="0"/>
    <s v="0"/>
    <s v=""/>
    <s v="oui_majorite"/>
    <s v="oui_majorite"/>
    <s v="insecurite"/>
    <s v="0"/>
    <s v="0"/>
    <s v="0"/>
    <s v="0"/>
    <s v="0"/>
    <s v="1"/>
    <s v="0"/>
    <s v="0"/>
    <s v=""/>
    <s v="majorite"/>
    <s v="majorite"/>
    <s v="Education Services_de_sante Acces_aux_doc"/>
    <s v="0"/>
    <s v="1"/>
    <s v="0"/>
    <s v="1"/>
    <s v="1"/>
    <s v="0"/>
    <s v="0"/>
    <s v="0"/>
    <s v="0"/>
    <s v=""/>
    <s v="oui_majorite"/>
    <s v="oui_majorite"/>
    <s v="repond_besoins_pop permet_eviter_conflits diminution_tensions"/>
    <s v="0"/>
    <s v="1"/>
    <s v="0"/>
    <s v="1"/>
    <s v="0"/>
    <s v="1"/>
    <s v="0"/>
    <s v="0"/>
    <s v=""/>
    <s v="ne_contribue_pas"/>
    <s v="1"/>
    <s v="0"/>
    <s v="0"/>
    <s v="0"/>
    <s v="0"/>
    <s v="0"/>
    <s v=""/>
    <s v=""/>
    <s v="oui_majorite"/>
    <s v="ingo"/>
    <s v="0"/>
    <s v="0"/>
    <s v="0"/>
    <s v="0"/>
    <s v="1"/>
    <s v="0"/>
    <s v="0"/>
    <s v="0"/>
    <s v="0"/>
    <s v="0"/>
    <s v=""/>
    <s v="oui"/>
    <s v=""/>
    <s v="Femmes Hommes Femmes_agees Hommes_ages"/>
    <s v="0"/>
    <s v="0"/>
    <s v="0"/>
    <s v="0"/>
    <s v="1"/>
    <s v="1"/>
    <s v="1"/>
    <s v="1"/>
    <s v="0"/>
    <s v="0"/>
    <s v="0"/>
    <s v="0"/>
    <s v="0"/>
    <s v="0"/>
    <s v=""/>
    <s v="20"/>
    <s v="Services_medicaux Services_educatifs Services_conseil acces_docs"/>
    <s v="0"/>
    <s v="1"/>
    <s v="1"/>
    <s v="1"/>
    <s v="1"/>
    <s v="0"/>
    <s v="0"/>
    <s v="0"/>
    <s v="0"/>
    <s v="0"/>
    <s v=""/>
    <s v="reorientation signalement"/>
    <s v="0"/>
    <s v="1"/>
    <s v="1"/>
    <s v="0"/>
    <s v="0"/>
    <s v="0"/>
    <s v=""/>
    <s v=""/>
    <s v=""/>
    <s v=""/>
    <s v=""/>
    <s v=""/>
    <s v=""/>
    <s v=""/>
    <s v=""/>
    <s v=""/>
    <s v=""/>
    <s v=""/>
    <s v="medical surete Psychosocia"/>
    <s v="1"/>
    <s v="1"/>
    <s v="0"/>
    <s v="0"/>
    <s v="1"/>
    <s v="0"/>
    <s v="0"/>
    <s v="0"/>
    <s v="0"/>
    <s v=""/>
    <s v=""/>
    <s v="oui"/>
    <s v="insecurite_zone manque_moyens"/>
    <s v="1"/>
    <s v="0"/>
    <s v="0"/>
    <s v="0"/>
    <s v="1"/>
    <s v="0"/>
    <s v="0"/>
    <s v="0"/>
    <s v="0"/>
    <s v="0"/>
    <s v="0"/>
    <s v=""/>
    <s v=""/>
    <s v=""/>
    <s v=""/>
    <s v=""/>
    <s v=""/>
    <s v=""/>
    <s v=""/>
    <s v=""/>
    <s v="non"/>
    <s v=""/>
    <s v=""/>
    <s v=""/>
    <s v=""/>
    <s v=""/>
    <s v=""/>
    <s v=""/>
    <s v=""/>
    <s v=""/>
    <s v=""/>
    <s v=""/>
    <s v=""/>
    <s v=""/>
    <s v="oui"/>
    <s v=""/>
    <s v="Avoir une activité pour subvenir a nos besoin et avoir la paix dans notre village pour y retourner "/>
    <n v="170030458"/>
    <s v="48550592-086b-465a-a4f3-e2b981c04fdb"/>
    <s v="2021-04-06T18:27:32"/>
    <s v=""/>
    <s v="[]"/>
    <s v="submitted_via_web"/>
    <s v="reach_niger"/>
    <s v=""/>
    <n v="48"/>
  </r>
  <r>
    <s v="2021-04-01T13:18:00.025+01:00"/>
    <s v="2021-04-01T14:21:17.604+01:00"/>
    <s v="2021-04-01"/>
    <s v=""/>
    <s v=""/>
    <s v="Homme"/>
    <x v="4"/>
    <x v="9"/>
    <x v="21"/>
    <s v=""/>
    <s v=""/>
    <s v=""/>
    <s v=""/>
    <s v=""/>
    <s v=""/>
    <s v=""/>
    <s v=""/>
    <s v="Homme"/>
    <s v="47"/>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outien_famille_amis Soutien_chef_village"/>
    <s v="0"/>
    <s v="1"/>
    <s v="1"/>
    <s v="1"/>
    <s v="0"/>
    <s v="0"/>
    <s v="0"/>
    <s v="0"/>
    <s v="0"/>
    <s v=""/>
    <s v=""/>
    <s v="comite_protection famille_accueil"/>
    <s v="0"/>
    <s v="1"/>
    <s v="1"/>
    <s v="0"/>
    <s v="0"/>
    <s v="0"/>
    <s v="0"/>
    <s v="0"/>
    <s v="0"/>
    <s v="0"/>
    <s v=""/>
    <s v="oui"/>
    <s v="famille_amis Chef_village"/>
    <s v="0"/>
    <s v="0"/>
    <s v="0"/>
    <s v="0"/>
    <s v="1"/>
    <s v="1"/>
    <s v="0"/>
    <s v="0"/>
    <s v="0"/>
    <s v="0"/>
    <s v="0"/>
    <s v="0"/>
    <s v="0"/>
    <s v="0"/>
    <s v=""/>
    <s v="oui_majorite"/>
    <s v="oui_majorite"/>
    <s v="manque_info"/>
    <s v="0"/>
    <s v="1"/>
    <s v="0"/>
    <s v="0"/>
    <s v="0"/>
    <s v="0"/>
    <s v="0"/>
    <s v="0"/>
    <s v=""/>
    <s v="majorite"/>
    <s v="majorite"/>
    <s v="Education Services_de_sante Acces_aux_doc"/>
    <s v="0"/>
    <s v="1"/>
    <s v="0"/>
    <s v="1"/>
    <s v="1"/>
    <s v="0"/>
    <s v="0"/>
    <s v="0"/>
    <s v="0"/>
    <s v=""/>
    <s v="oui_ensemble"/>
    <s v="oui_ensemble"/>
    <s v="amelioration_futur repond_besoins_pop permet_eviter_conflits"/>
    <s v="1"/>
    <s v="1"/>
    <s v="0"/>
    <s v="1"/>
    <s v="0"/>
    <s v="0"/>
    <s v="0"/>
    <s v="0"/>
    <s v=""/>
    <s v=""/>
    <s v=""/>
    <s v=""/>
    <s v=""/>
    <s v=""/>
    <s v=""/>
    <s v=""/>
    <s v=""/>
    <s v=""/>
    <s v="non"/>
    <s v=""/>
    <s v=""/>
    <s v=""/>
    <s v=""/>
    <s v=""/>
    <s v=""/>
    <s v=""/>
    <s v=""/>
    <s v=""/>
    <s v=""/>
    <s v=""/>
    <s v=""/>
    <s v="oui"/>
    <s v=""/>
    <s v=""/>
    <s v=""/>
    <s v=""/>
    <s v=""/>
    <s v=""/>
    <s v=""/>
    <s v=""/>
    <s v=""/>
    <s v=""/>
    <s v=""/>
    <s v=""/>
    <s v=""/>
    <s v=""/>
    <s v=""/>
    <s v=""/>
    <s v=""/>
    <s v="1"/>
    <s v="acces_docs Services_medicaux"/>
    <s v="0"/>
    <s v="1"/>
    <s v="0"/>
    <s v="0"/>
    <s v="1"/>
    <s v="0"/>
    <s v="0"/>
    <s v="0"/>
    <s v="0"/>
    <s v="0"/>
    <s v=""/>
    <s v="reorientation"/>
    <s v="0"/>
    <s v="1"/>
    <s v="0"/>
    <s v="0"/>
    <s v="0"/>
    <s v="0"/>
    <s v=""/>
    <s v=""/>
    <s v=""/>
    <s v=""/>
    <s v=""/>
    <s v=""/>
    <s v=""/>
    <s v=""/>
    <s v=""/>
    <s v=""/>
    <s v=""/>
    <s v=""/>
    <s v="point_ecoute"/>
    <s v="0"/>
    <s v="0"/>
    <s v="1"/>
    <s v="0"/>
    <s v="0"/>
    <s v="0"/>
    <s v="0"/>
    <s v="0"/>
    <s v="0"/>
    <s v=""/>
    <s v=""/>
    <s v="non"/>
    <s v=""/>
    <s v=""/>
    <s v=""/>
    <s v=""/>
    <s v=""/>
    <s v=""/>
    <s v=""/>
    <s v=""/>
    <s v=""/>
    <s v=""/>
    <s v=""/>
    <s v=""/>
    <s v=""/>
    <s v=""/>
    <s v=""/>
    <s v=""/>
    <s v=""/>
    <s v=""/>
    <s v=""/>
    <s v=""/>
    <s v=""/>
    <s v="non"/>
    <s v=""/>
    <s v=""/>
    <s v=""/>
    <s v=""/>
    <s v=""/>
    <s v=""/>
    <s v=""/>
    <s v=""/>
    <s v=""/>
    <s v=""/>
    <s v=""/>
    <s v=""/>
    <s v=""/>
    <s v="oui"/>
    <s v=""/>
    <s v=""/>
    <n v="169219605"/>
    <s v="57635968-d9e1-4531-b1f9-b3e2398ea5ca"/>
    <s v="2021-04-01T19:45:17"/>
    <s v=""/>
    <s v="[]"/>
    <s v="submitted_via_web"/>
    <s v="reach_niger"/>
    <s v=""/>
    <n v="18"/>
  </r>
  <r>
    <s v="2021-04-01T09:41:30.475+01:00"/>
    <s v="2021-04-01T10:28:01.271+01:00"/>
    <s v="2021-04-01"/>
    <s v=""/>
    <s v=""/>
    <s v="Homme"/>
    <x v="4"/>
    <x v="9"/>
    <x v="22"/>
    <s v=""/>
    <s v=""/>
    <s v=""/>
    <s v=""/>
    <s v=""/>
    <s v=""/>
    <s v=""/>
    <s v=""/>
    <s v="Femme"/>
    <s v="45"/>
    <s v="Hote"/>
    <s v=""/>
    <s v=""/>
    <s v=""/>
    <s v=""/>
    <s v=""/>
    <s v=""/>
    <s v=""/>
    <s v=""/>
    <s v=""/>
    <s v=""/>
    <s v=""/>
    <s v=""/>
    <s v="oui"/>
    <s v="extorsions Vols_braquages"/>
    <s v="0"/>
    <s v="0"/>
    <s v="1"/>
    <s v="1"/>
    <s v="0"/>
    <s v="0"/>
    <s v="0"/>
    <s v="0"/>
    <s v="0"/>
    <s v="0"/>
    <s v="0"/>
    <s v="0"/>
    <s v="0"/>
    <s v="0"/>
    <s v=""/>
    <s v="Hommes Femmes"/>
    <s v="0"/>
    <s v="0"/>
    <s v="0"/>
    <s v="0"/>
    <s v="1"/>
    <s v="1"/>
    <s v="0"/>
    <s v="0"/>
    <s v="0"/>
    <s v="0"/>
    <s v="0"/>
    <s v="0"/>
    <s v="0"/>
    <s v="0"/>
    <s v=""/>
    <s v="1"/>
    <s v="stable"/>
    <s v=""/>
    <s v="non"/>
    <s v=""/>
    <s v=""/>
    <s v=""/>
    <s v=""/>
    <s v=""/>
    <s v=""/>
    <s v=""/>
    <s v=""/>
    <s v=""/>
    <s v=""/>
    <s v=""/>
    <s v=""/>
    <s v=""/>
    <s v=""/>
    <s v=""/>
    <s v=""/>
    <s v=""/>
    <s v=""/>
    <s v=""/>
    <s v=""/>
    <s v=""/>
    <s v=""/>
    <s v=""/>
    <s v=""/>
    <s v=""/>
    <s v=""/>
    <s v=""/>
    <s v=""/>
    <s v=""/>
    <s v=""/>
    <s v=""/>
    <s v=""/>
    <s v=""/>
    <s v=""/>
    <s v=""/>
    <s v=""/>
    <s v=""/>
    <s v=""/>
    <s v=""/>
    <s v=""/>
    <s v=""/>
    <s v=""/>
    <s v=""/>
    <s v=""/>
    <s v=""/>
    <s v=""/>
    <s v=""/>
    <s v=""/>
    <s v=""/>
    <s v=""/>
    <s v=""/>
    <s v=""/>
    <s v=""/>
    <s v=""/>
    <s v=""/>
    <s v=""/>
    <s v=""/>
    <s v=""/>
    <s v=""/>
    <s v=""/>
    <s v="Integration_com_hote Soutien_famille_amis"/>
    <s v="0"/>
    <s v="1"/>
    <s v="1"/>
    <s v="0"/>
    <s v="0"/>
    <s v="0"/>
    <s v="0"/>
    <s v="0"/>
    <s v="0"/>
    <s v=""/>
    <s v=""/>
    <s v="comite_protection femmes_elite famille_accueil"/>
    <s v="1"/>
    <s v="1"/>
    <s v="1"/>
    <s v="0"/>
    <s v="0"/>
    <s v="0"/>
    <s v="0"/>
    <s v="0"/>
    <s v="0"/>
    <s v="0"/>
    <s v=""/>
    <s v="oui"/>
    <s v="Groupement_femmes Chef_village"/>
    <s v="0"/>
    <s v="0"/>
    <s v="0"/>
    <s v="0"/>
    <s v="1"/>
    <s v="0"/>
    <s v="0"/>
    <s v="1"/>
    <s v="0"/>
    <s v="0"/>
    <s v="0"/>
    <s v="0"/>
    <s v="0"/>
    <s v="0"/>
    <s v=""/>
    <s v="oui_majorite"/>
    <s v="oui_majorite"/>
    <s v="manque_info"/>
    <s v="0"/>
    <s v="1"/>
    <s v="0"/>
    <s v="0"/>
    <s v="0"/>
    <s v="0"/>
    <s v="0"/>
    <s v="0"/>
    <s v=""/>
    <s v="majorite"/>
    <s v="majorite"/>
    <s v="Services_de_sante Education Acces_aux_doc"/>
    <s v="0"/>
    <s v="1"/>
    <s v="0"/>
    <s v="1"/>
    <s v="1"/>
    <s v="0"/>
    <s v="0"/>
    <s v="0"/>
    <s v="0"/>
    <s v=""/>
    <s v="oui_majorite"/>
    <s v="oui_majorite"/>
    <s v="repond_besoins_pop permet_eviter_conflits amelioration_futur"/>
    <s v="1"/>
    <s v="1"/>
    <s v="0"/>
    <s v="1"/>
    <s v="0"/>
    <s v="0"/>
    <s v="0"/>
    <s v="0"/>
    <s v=""/>
    <s v="ne_repond_pas ne_contribue_pas"/>
    <s v="1"/>
    <s v="1"/>
    <s v="0"/>
    <s v="0"/>
    <s v="0"/>
    <s v="0"/>
    <s v=""/>
    <s v=""/>
    <s v="non"/>
    <s v=""/>
    <s v=""/>
    <s v=""/>
    <s v=""/>
    <s v=""/>
    <s v=""/>
    <s v=""/>
    <s v=""/>
    <s v=""/>
    <s v=""/>
    <s v=""/>
    <s v=""/>
    <s v="oui"/>
    <s v=""/>
    <s v="Femmes Hommes"/>
    <s v="0"/>
    <s v="0"/>
    <s v="0"/>
    <s v="0"/>
    <s v="1"/>
    <s v="1"/>
    <s v="0"/>
    <s v="0"/>
    <s v="0"/>
    <s v="0"/>
    <s v="0"/>
    <s v="0"/>
    <s v="0"/>
    <s v="0"/>
    <s v=""/>
    <s v="1"/>
    <s v="Services_medicaux points_ecoute"/>
    <s v="0"/>
    <s v="1"/>
    <s v="0"/>
    <s v="0"/>
    <s v="0"/>
    <s v="0"/>
    <s v="0"/>
    <s v="1"/>
    <s v="0"/>
    <s v="0"/>
    <s v=""/>
    <s v="reorientation"/>
    <s v="0"/>
    <s v="1"/>
    <s v="0"/>
    <s v="0"/>
    <s v="0"/>
    <s v="0"/>
    <s v=""/>
    <s v=""/>
    <s v=""/>
    <s v=""/>
    <s v=""/>
    <s v=""/>
    <s v=""/>
    <s v=""/>
    <s v=""/>
    <s v=""/>
    <s v=""/>
    <s v=""/>
    <s v="point_ecoute"/>
    <s v="0"/>
    <s v="0"/>
    <s v="1"/>
    <s v="0"/>
    <s v="0"/>
    <s v="0"/>
    <s v="0"/>
    <s v="0"/>
    <s v="0"/>
    <s v=""/>
    <s v=""/>
    <s v="oui"/>
    <s v="manque_moyens probleme_orientation manque_definition"/>
    <s v="1"/>
    <s v="0"/>
    <s v="0"/>
    <s v="1"/>
    <s v="0"/>
    <s v="0"/>
    <s v="0"/>
    <s v="1"/>
    <s v="0"/>
    <s v="0"/>
    <s v="0"/>
    <s v=""/>
    <s v="pb_protection_donnee pb_logistiques pb_coordination"/>
    <s v="1"/>
    <s v="1"/>
    <s v="0"/>
    <s v="1"/>
    <s v="0"/>
    <s v="0"/>
    <s v=""/>
    <s v="non"/>
    <s v=""/>
    <s v=""/>
    <s v=""/>
    <s v=""/>
    <s v=""/>
    <s v=""/>
    <s v=""/>
    <s v=""/>
    <s v=""/>
    <s v=""/>
    <s v=""/>
    <s v=""/>
    <s v=""/>
    <s v="oui"/>
    <s v=""/>
    <s v=""/>
    <n v="169219588"/>
    <s v="9a806334-fa0b-4b0a-b93f-6cc54034100b"/>
    <s v="2021-04-01T19:45:06"/>
    <s v=""/>
    <s v="[]"/>
    <s v="submitted_via_web"/>
    <s v="reach_niger"/>
    <s v=""/>
    <n v="17"/>
  </r>
  <r>
    <s v="2021-04-01T14:51:45.991+01:00"/>
    <s v="2021-04-01T17:02:12.211+01:00"/>
    <s v="2021-04-01"/>
    <s v=""/>
    <s v=""/>
    <s v="Homme"/>
    <x v="9"/>
    <x v="10"/>
    <x v="23"/>
    <s v=""/>
    <s v=""/>
    <s v=""/>
    <s v=""/>
    <s v=""/>
    <s v=""/>
    <s v=""/>
    <s v=""/>
    <s v="Homme"/>
    <s v="51"/>
    <s v="deplace_interne"/>
    <s v=""/>
    <s v=""/>
    <s v=""/>
    <s v=""/>
    <s v=""/>
    <s v="niger"/>
    <s v="tillaberi"/>
    <s v="banibangou"/>
    <s v=""/>
    <s v=""/>
    <s v=""/>
    <s v=""/>
    <s v="oui"/>
    <s v="extorsions Violences_physique_civils Disputes_intercommunataires"/>
    <s v="0"/>
    <s v="1"/>
    <s v="0"/>
    <s v="1"/>
    <s v="1"/>
    <s v="0"/>
    <s v="0"/>
    <s v="0"/>
    <s v="0"/>
    <s v="0"/>
    <s v="0"/>
    <s v="0"/>
    <s v="0"/>
    <s v="0"/>
    <s v=""/>
    <s v="Toute_population"/>
    <s v="0"/>
    <s v="0"/>
    <s v="0"/>
    <s v="0"/>
    <s v="0"/>
    <s v="0"/>
    <s v="0"/>
    <s v="0"/>
    <s v="0"/>
    <s v="0"/>
    <s v="1"/>
    <s v="0"/>
    <s v="0"/>
    <s v="0"/>
    <s v=""/>
    <s v="plusde5"/>
    <s v="augmente"/>
    <s v=""/>
    <s v="non"/>
    <s v=""/>
    <s v=""/>
    <s v=""/>
    <s v=""/>
    <s v=""/>
    <s v=""/>
    <s v=""/>
    <s v=""/>
    <s v=""/>
    <s v=""/>
    <s v=""/>
    <s v=""/>
    <s v=""/>
    <s v=""/>
    <s v=""/>
    <s v=""/>
    <s v=""/>
    <s v=""/>
    <s v=""/>
    <s v=""/>
    <s v=""/>
    <s v=""/>
    <s v=""/>
    <s v=""/>
    <s v=""/>
    <s v=""/>
    <s v=""/>
    <s v=""/>
    <s v=""/>
    <s v=""/>
    <s v=""/>
    <s v=""/>
    <s v=""/>
    <s v=""/>
    <s v=""/>
    <s v=""/>
    <s v="diminution_moyens_existence hausse_tensions_intercomm"/>
    <s v="1"/>
    <s v="0"/>
    <s v="0"/>
    <s v="1"/>
    <s v="0"/>
    <s v="0"/>
    <s v="0"/>
    <s v="0"/>
    <s v="0"/>
    <s v="0"/>
    <s v=""/>
    <s v=""/>
    <s v=""/>
    <s v=""/>
    <s v=""/>
    <s v=""/>
    <s v=""/>
    <s v=""/>
    <s v=""/>
    <s v=""/>
    <s v=""/>
    <s v=""/>
    <s v=""/>
    <s v="Soutien_chef_village"/>
    <s v="0"/>
    <s v="0"/>
    <s v="0"/>
    <s v="1"/>
    <s v="0"/>
    <s v="0"/>
    <s v="0"/>
    <s v="0"/>
    <s v="0"/>
    <s v=""/>
    <s v=""/>
    <s v="comite_gestion_conflits femmes_elite famille_accueil"/>
    <s v="1"/>
    <s v="0"/>
    <s v="1"/>
    <s v="0"/>
    <s v="0"/>
    <s v="1"/>
    <s v="0"/>
    <s v="0"/>
    <s v="0"/>
    <s v="0"/>
    <s v=""/>
    <s v="oui"/>
    <s v="Autre"/>
    <s v="0"/>
    <s v="0"/>
    <s v="0"/>
    <s v="0"/>
    <s v="0"/>
    <n v="1"/>
    <s v="0"/>
    <s v="0"/>
    <s v="0"/>
    <s v="0"/>
    <s v="0"/>
    <s v="0"/>
    <n v="0"/>
    <s v="0"/>
    <s v=""/>
    <s v="oui_ensemble"/>
    <s v="oui_moitie"/>
    <s v="non_fonctionnelle"/>
    <s v="1"/>
    <s v="0"/>
    <s v="0"/>
    <s v="0"/>
    <s v="0"/>
    <s v="0"/>
    <s v="0"/>
    <s v="0"/>
    <s v=""/>
    <s v="majorite"/>
    <s v="majorite"/>
    <s v="Services_de_sante"/>
    <s v="0"/>
    <s v="0"/>
    <s v="0"/>
    <s v="1"/>
    <s v="0"/>
    <s v="0"/>
    <s v="0"/>
    <s v="0"/>
    <s v="0"/>
    <s v=""/>
    <s v="oui_majorite"/>
    <s v="oui_majorite"/>
    <s v="amelioration_futur diminution_tensions"/>
    <s v="1"/>
    <s v="0"/>
    <s v="0"/>
    <s v="0"/>
    <s v="0"/>
    <s v="1"/>
    <s v="0"/>
    <s v="0"/>
    <s v=""/>
    <s v="ne_contribue_pas ne_repond_pas"/>
    <s v="1"/>
    <s v="1"/>
    <s v="0"/>
    <s v="0"/>
    <s v="0"/>
    <s v="0"/>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Nous on veux avoir seulement la paix dans notre pays pour qu'on puisse nous préoccupe a nos occupations"/>
    <n v="169217130"/>
    <s v="9bfe184b-e147-4dae-af55-d51117065e18"/>
    <s v="2021-04-01T19:25:56"/>
    <s v=""/>
    <s v="[]"/>
    <s v="submitted_via_web"/>
    <s v="reach_niger"/>
    <s v=""/>
    <n v="16"/>
  </r>
  <r>
    <s v="2021-04-16T12:19:40.239+01:00"/>
    <s v="2021-04-16T13:00:54.109+01:00"/>
    <s v="2021-04-16"/>
    <s v=""/>
    <s v=""/>
    <s v="Homme"/>
    <x v="5"/>
    <x v="11"/>
    <x v="24"/>
    <s v=""/>
    <s v=""/>
    <s v=""/>
    <s v=""/>
    <s v=""/>
    <s v=""/>
    <s v=""/>
    <s v=""/>
    <s v="Homme"/>
    <s v="62"/>
    <s v="deplace_interne"/>
    <s v=""/>
    <s v=""/>
    <s v=""/>
    <s v=""/>
    <s v=""/>
    <s v="niger"/>
    <s v="tillaberi"/>
    <s v="ter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outien_chef_village Soutien_famille_amis"/>
    <s v="0"/>
    <s v="1"/>
    <s v="1"/>
    <s v="1"/>
    <s v="0"/>
    <s v="0"/>
    <s v="0"/>
    <s v="0"/>
    <s v="0"/>
    <s v=""/>
    <s v=""/>
    <s v="comite_protection comite_gestion_conflits famille_accueil"/>
    <s v="0"/>
    <s v="1"/>
    <s v="1"/>
    <s v="0"/>
    <s v="0"/>
    <s v="1"/>
    <s v="0"/>
    <s v="0"/>
    <s v="0"/>
    <s v="0"/>
    <s v=""/>
    <s v="oui"/>
    <s v="Internet Chef_village Differents_comites_villageois"/>
    <s v="0"/>
    <s v="0"/>
    <s v="1"/>
    <s v="0"/>
    <s v="1"/>
    <s v="0"/>
    <s v="0"/>
    <s v="0"/>
    <s v="1"/>
    <s v="0"/>
    <s v="0"/>
    <s v="0"/>
    <s v="0"/>
    <s v="0"/>
    <s v=""/>
    <s v="oui_ensemble"/>
    <s v="oui_ensemble"/>
    <s v=""/>
    <s v=""/>
    <s v=""/>
    <s v=""/>
    <s v=""/>
    <s v=""/>
    <s v=""/>
    <s v=""/>
    <s v=""/>
    <s v=""/>
    <s v="ensemble"/>
    <s v="ensemble"/>
    <s v="Services_de_sante Acces_aux_doc"/>
    <s v="0"/>
    <s v="0"/>
    <s v="0"/>
    <s v="1"/>
    <s v="1"/>
    <s v="0"/>
    <s v="0"/>
    <s v="0"/>
    <s v="0"/>
    <s v=""/>
    <s v="oui_majorite"/>
    <s v="oui_ensemble"/>
    <s v="repond_besoins_pop diminution_tensions amelioration_futur"/>
    <s v="1"/>
    <s v="1"/>
    <s v="0"/>
    <s v="0"/>
    <s v="0"/>
    <s v="1"/>
    <s v="0"/>
    <s v="0"/>
    <s v=""/>
    <s v="ne_contribue_pas non_diminition_tension ne_repond_pas"/>
    <s v="1"/>
    <s v="1"/>
    <s v="0"/>
    <s v="1"/>
    <s v="0"/>
    <s v="0"/>
    <s v=""/>
    <s v=""/>
    <s v="oui_minorite"/>
    <s v="ingo"/>
    <s v="0"/>
    <s v="0"/>
    <s v="0"/>
    <s v="0"/>
    <s v="1"/>
    <s v="0"/>
    <s v="0"/>
    <s v="0"/>
    <s v="0"/>
    <s v="0"/>
    <s v=""/>
    <s v="oui"/>
    <s v=""/>
    <s v=""/>
    <s v=""/>
    <s v=""/>
    <s v=""/>
    <s v=""/>
    <s v=""/>
    <s v=""/>
    <s v=""/>
    <s v=""/>
    <s v=""/>
    <s v=""/>
    <s v=""/>
    <s v=""/>
    <s v=""/>
    <s v=""/>
    <s v=""/>
    <s v="6"/>
    <s v="Services_medicaux Services_educatifs acces_docs points_ecoute service_judiciaire"/>
    <s v="0"/>
    <s v="1"/>
    <s v="1"/>
    <s v="0"/>
    <s v="1"/>
    <s v="1"/>
    <s v="0"/>
    <s v="1"/>
    <s v="0"/>
    <s v="0"/>
    <s v=""/>
    <s v="signalement prise_enchage reorientation"/>
    <s v="1"/>
    <s v="1"/>
    <s v="1"/>
    <s v="0"/>
    <s v="0"/>
    <s v="0"/>
    <s v=""/>
    <s v="point_ecoute surete"/>
    <s v="0"/>
    <s v="0"/>
    <s v="1"/>
    <s v="0"/>
    <s v="1"/>
    <s v="0"/>
    <s v="0"/>
    <s v="0"/>
    <s v="0"/>
    <s v=""/>
    <s v="point_ecoute surete"/>
    <s v="0"/>
    <s v="0"/>
    <s v="1"/>
    <s v="0"/>
    <s v="1"/>
    <s v="0"/>
    <s v="0"/>
    <s v="0"/>
    <s v="0"/>
    <s v=""/>
    <s v=""/>
    <s v="non"/>
    <s v=""/>
    <s v=""/>
    <s v=""/>
    <s v=""/>
    <s v=""/>
    <s v=""/>
    <s v=""/>
    <s v=""/>
    <s v=""/>
    <s v=""/>
    <s v=""/>
    <s v=""/>
    <s v=""/>
    <s v=""/>
    <s v=""/>
    <s v=""/>
    <s v=""/>
    <s v=""/>
    <s v=""/>
    <s v=""/>
    <s v=""/>
    <s v="non"/>
    <s v=""/>
    <s v=""/>
    <s v=""/>
    <s v=""/>
    <s v=""/>
    <s v=""/>
    <s v=""/>
    <s v=""/>
    <s v=""/>
    <s v=""/>
    <s v=""/>
    <s v=""/>
    <s v=""/>
    <s v="oui"/>
    <s v=""/>
    <s v=""/>
    <n v="172011408"/>
    <s v="784c850a-6d0f-48e6-8cf0-97fc2af13ad5"/>
    <s v="2021-04-16T16:12:07"/>
    <s v=""/>
    <s v="[]"/>
    <s v="submitted_via_web"/>
    <s v="reach_niger"/>
    <s v=""/>
    <n v="73"/>
  </r>
  <r>
    <s v="2021-04-03T12:54:26.131+01:00"/>
    <s v="2021-04-03T13:48:10.398+01:00"/>
    <s v="2021-04-03"/>
    <s v=""/>
    <s v=""/>
    <s v="Homme"/>
    <x v="5"/>
    <x v="11"/>
    <x v="25"/>
    <s v=""/>
    <s v=""/>
    <s v=""/>
    <s v=""/>
    <s v=""/>
    <s v=""/>
    <s v=""/>
    <s v=""/>
    <s v="Homme"/>
    <s v="49"/>
    <s v="deplace_interne"/>
    <s v=""/>
    <s v=""/>
    <s v=""/>
    <s v=""/>
    <s v=""/>
    <s v="niger"/>
    <s v="tillaberi"/>
    <s v="ter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 v="0"/>
    <s v="1"/>
    <s v="0"/>
    <s v="0"/>
    <s v="0"/>
    <s v="0"/>
    <s v="0"/>
    <s v="0"/>
    <s v="0"/>
    <s v=""/>
    <s v=""/>
    <s v="comite_protection"/>
    <s v="0"/>
    <s v="1"/>
    <s v="0"/>
    <s v="0"/>
    <s v="0"/>
    <s v="0"/>
    <s v="0"/>
    <s v="0"/>
    <s v="0"/>
    <s v="0"/>
    <s v=""/>
    <s v="oui"/>
    <s v="Radio_television manif_sociales famille_amis"/>
    <s v="1"/>
    <s v="0"/>
    <s v="0"/>
    <s v="1"/>
    <s v="0"/>
    <s v="1"/>
    <s v="0"/>
    <s v="0"/>
    <s v="0"/>
    <s v="0"/>
    <s v="0"/>
    <s v="0"/>
    <s v="0"/>
    <s v="0"/>
    <s v=""/>
    <s v="oui_ensemble"/>
    <s v="oui_ensemble"/>
    <s v=""/>
    <s v=""/>
    <s v=""/>
    <s v=""/>
    <s v=""/>
    <s v=""/>
    <s v=""/>
    <s v=""/>
    <s v=""/>
    <s v=""/>
    <s v="ensemble"/>
    <s v="majorite"/>
    <s v="Services_de_sante Acces_aux_doc Suivi_judiciaire"/>
    <s v="0"/>
    <s v="0"/>
    <s v="0"/>
    <s v="1"/>
    <s v="1"/>
    <s v="1"/>
    <s v="0"/>
    <s v="0"/>
    <s v="0"/>
    <s v=""/>
    <s v="oui_majorite"/>
    <s v="oui_majorite"/>
    <s v="amelioration_futur repond_besoins_pop permet_obtenir_conseils"/>
    <s v="1"/>
    <s v="1"/>
    <s v="1"/>
    <s v="0"/>
    <s v="0"/>
    <s v="0"/>
    <s v="0"/>
    <s v="0"/>
    <s v=""/>
    <s v="ne_contribue_pas ne_repond_pas"/>
    <s v="1"/>
    <s v="1"/>
    <s v="0"/>
    <s v="0"/>
    <s v="0"/>
    <s v="0"/>
    <s v=""/>
    <s v=""/>
    <s v="oui_ensemble"/>
    <s v="autorite_locale_leaders ong_locale"/>
    <s v="0"/>
    <s v="0"/>
    <s v="1"/>
    <s v="0"/>
    <s v="0"/>
    <s v="1"/>
    <s v="0"/>
    <s v="0"/>
    <s v="0"/>
    <s v="0"/>
    <s v=""/>
    <s v=""/>
    <s v=""/>
    <s v=""/>
    <s v=""/>
    <s v=""/>
    <s v=""/>
    <s v=""/>
    <s v=""/>
    <s v=""/>
    <s v=""/>
    <s v=""/>
    <s v=""/>
    <s v=""/>
    <s v=""/>
    <s v=""/>
    <s v=""/>
    <s v=""/>
    <s v=""/>
    <s v="3"/>
    <s v="Services_medicaux acces_docs service_judiciaire"/>
    <s v="0"/>
    <s v="1"/>
    <s v="0"/>
    <s v="0"/>
    <s v="1"/>
    <s v="1"/>
    <s v="0"/>
    <s v="0"/>
    <s v="0"/>
    <s v="0"/>
    <s v=""/>
    <s v="reorientation signalement"/>
    <s v="0"/>
    <s v="1"/>
    <s v="1"/>
    <s v="0"/>
    <s v="0"/>
    <s v="0"/>
    <s v=""/>
    <s v=""/>
    <s v=""/>
    <s v=""/>
    <s v=""/>
    <s v=""/>
    <s v=""/>
    <s v=""/>
    <s v=""/>
    <s v=""/>
    <s v=""/>
    <s v=""/>
    <s v="medical point_ecoute juridique"/>
    <s v="1"/>
    <s v="0"/>
    <s v="1"/>
    <s v="1"/>
    <s v="0"/>
    <s v="0"/>
    <s v="0"/>
    <s v="0"/>
    <s v="0"/>
    <s v=""/>
    <s v=""/>
    <s v="oui"/>
    <s v="manque_moyens"/>
    <s v="1"/>
    <s v="0"/>
    <s v="0"/>
    <s v="0"/>
    <s v="0"/>
    <s v="0"/>
    <s v="0"/>
    <s v="0"/>
    <s v="0"/>
    <s v="0"/>
    <s v="0"/>
    <s v=""/>
    <s v=""/>
    <s v=""/>
    <s v=""/>
    <s v=""/>
    <s v=""/>
    <s v=""/>
    <s v=""/>
    <s v=""/>
    <s v="non"/>
    <s v=""/>
    <s v=""/>
    <s v=""/>
    <s v=""/>
    <s v=""/>
    <s v=""/>
    <s v=""/>
    <s v=""/>
    <s v=""/>
    <s v=""/>
    <s v=""/>
    <s v=""/>
    <s v=""/>
    <s v="oui"/>
    <s v=""/>
    <s v=""/>
    <n v="169457767"/>
    <s v="b93e9e4f-6440-43a3-b03f-7c660be9549a"/>
    <s v="2021-04-03T14:04:01"/>
    <s v=""/>
    <s v="[]"/>
    <s v="submitted_via_web"/>
    <s v="reach_niger"/>
    <s v=""/>
    <n v="38"/>
  </r>
  <r>
    <s v="2021-04-01T09:27:46.077+01:00"/>
    <s v="2021-04-01T10:08:27.449+01:00"/>
    <s v="2021-04-01"/>
    <s v=""/>
    <s v=""/>
    <s v="Homme"/>
    <x v="5"/>
    <x v="11"/>
    <x v="25"/>
    <s v=""/>
    <s v=""/>
    <s v=""/>
    <s v=""/>
    <s v=""/>
    <s v=""/>
    <s v=""/>
    <s v=""/>
    <s v="Homme"/>
    <s v="29"/>
    <s v="Hote"/>
    <s v=""/>
    <s v=""/>
    <s v=""/>
    <s v=""/>
    <s v=""/>
    <s v=""/>
    <s v=""/>
    <s v=""/>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Soutien_psychosocial Integration_com_hote"/>
    <s v="0"/>
    <s v="1"/>
    <s v="0"/>
    <s v="0"/>
    <s v="1"/>
    <s v="0"/>
    <s v="0"/>
    <s v="0"/>
    <s v="0"/>
    <s v=""/>
    <s v=""/>
    <s v="famille_accueil comite_protection comite_gestion_conflits"/>
    <s v="0"/>
    <s v="1"/>
    <s v="1"/>
    <s v="0"/>
    <s v="0"/>
    <s v="1"/>
    <s v="0"/>
    <s v="0"/>
    <s v="0"/>
    <s v="0"/>
    <s v=""/>
    <s v="oui"/>
    <s v="Radio_television Differents_comites_villageois Internet"/>
    <s v="1"/>
    <s v="0"/>
    <s v="1"/>
    <s v="0"/>
    <s v="0"/>
    <s v="0"/>
    <s v="0"/>
    <s v="0"/>
    <s v="1"/>
    <s v="0"/>
    <s v="0"/>
    <s v="0"/>
    <s v="0"/>
    <s v="0"/>
    <s v=""/>
    <s v="oui_majorite"/>
    <s v="oui_ensemble"/>
    <s v=""/>
    <s v=""/>
    <s v=""/>
    <s v=""/>
    <s v=""/>
    <s v=""/>
    <s v=""/>
    <s v=""/>
    <s v=""/>
    <s v=""/>
    <s v="majorite"/>
    <s v="majorite"/>
    <s v="Appui_psychosocial Service_de_counseling Services_de_sante Acces_aux_doc Suivi_judiciaire"/>
    <s v="1"/>
    <s v="0"/>
    <s v="1"/>
    <s v="1"/>
    <s v="1"/>
    <s v="1"/>
    <s v="0"/>
    <s v="0"/>
    <s v="0"/>
    <s v=""/>
    <s v="oui_majorite"/>
    <s v="oui_majorite"/>
    <s v="amelioration_futur repond_besoins_pop permet_obtenir_conseils"/>
    <s v="1"/>
    <s v="1"/>
    <s v="1"/>
    <s v="0"/>
    <s v="0"/>
    <s v="0"/>
    <s v="0"/>
    <s v="0"/>
    <s v=""/>
    <s v="Autre"/>
    <s v="0"/>
    <s v="0"/>
    <s v="0"/>
    <s v="0"/>
    <s v="1"/>
    <s v="0"/>
    <s v="Difficulté d'accès aux services pour manque d'informations"/>
    <s v=""/>
    <s v="oui_majorite"/>
    <s v="autorite_locale_leaders famille_amis"/>
    <s v="0"/>
    <s v="0"/>
    <s v="1"/>
    <s v="0"/>
    <s v="0"/>
    <s v="0"/>
    <s v="1"/>
    <s v="0"/>
    <s v="0"/>
    <s v="0"/>
    <s v=""/>
    <s v="oui"/>
    <s v=""/>
    <s v=""/>
    <s v=""/>
    <s v=""/>
    <s v=""/>
    <s v=""/>
    <s v=""/>
    <s v=""/>
    <s v=""/>
    <s v=""/>
    <s v=""/>
    <s v=""/>
    <s v=""/>
    <s v=""/>
    <s v=""/>
    <s v=""/>
    <s v=""/>
    <s v="2"/>
    <s v="Appui_psychosocial Services_medicaux Services_conseil service_judiciaire"/>
    <s v="1"/>
    <s v="1"/>
    <s v="0"/>
    <s v="1"/>
    <s v="0"/>
    <s v="1"/>
    <s v="0"/>
    <s v="0"/>
    <s v="0"/>
    <s v="0"/>
    <s v=""/>
    <s v="prise_enchage reorientation signalement"/>
    <s v="1"/>
    <s v="1"/>
    <s v="1"/>
    <s v="0"/>
    <s v="0"/>
    <s v="0"/>
    <s v=""/>
    <s v="medical Psychosocia juridique"/>
    <s v="1"/>
    <s v="1"/>
    <s v="0"/>
    <s v="1"/>
    <s v="0"/>
    <s v="0"/>
    <s v="0"/>
    <s v="0"/>
    <s v="0"/>
    <s v=""/>
    <s v="medical Psychosocia juridique"/>
    <s v="1"/>
    <s v="1"/>
    <s v="0"/>
    <s v="1"/>
    <s v="0"/>
    <s v="0"/>
    <s v="0"/>
    <s v="0"/>
    <s v="0"/>
    <s v=""/>
    <s v=""/>
    <s v="non"/>
    <s v=""/>
    <s v=""/>
    <s v=""/>
    <s v=""/>
    <s v=""/>
    <s v=""/>
    <s v=""/>
    <s v=""/>
    <s v=""/>
    <s v=""/>
    <s v=""/>
    <s v=""/>
    <s v=""/>
    <s v=""/>
    <s v=""/>
    <s v=""/>
    <s v=""/>
    <s v=""/>
    <s v=""/>
    <s v=""/>
    <s v=""/>
    <s v="non"/>
    <s v=""/>
    <s v=""/>
    <s v=""/>
    <s v=""/>
    <s v=""/>
    <s v=""/>
    <s v=""/>
    <s v=""/>
    <s v=""/>
    <s v=""/>
    <s v=""/>
    <s v=""/>
    <s v=""/>
    <s v="oui"/>
    <s v=""/>
    <s v=""/>
    <n v="169351706"/>
    <s v="542d43a4-5e9b-4525-bfc7-6147f6b16cee"/>
    <s v="2021-04-02T19:02:43"/>
    <s v=""/>
    <s v="[]"/>
    <s v="submitted_via_web"/>
    <s v="reach_niger"/>
    <s v=""/>
    <n v="31"/>
  </r>
  <r>
    <s v="2021-03-31T10:05:59.828+01:00"/>
    <s v="2021-03-31T10:34:16.376+01:00"/>
    <s v="2021-03-31"/>
    <s v=""/>
    <s v=""/>
    <s v="Homme"/>
    <x v="5"/>
    <x v="11"/>
    <x v="25"/>
    <s v=""/>
    <s v=""/>
    <s v=""/>
    <s v=""/>
    <s v=""/>
    <s v=""/>
    <s v=""/>
    <s v=""/>
    <s v="Femme"/>
    <s v="37"/>
    <s v="deplace_interne"/>
    <s v=""/>
    <s v=""/>
    <s v=""/>
    <s v=""/>
    <s v=""/>
    <s v="niger"/>
    <s v="tillaberi"/>
    <s v="tera"/>
    <s v=""/>
    <s v=""/>
    <s v=""/>
    <s v=""/>
    <s v="oui"/>
    <s v="Vols_braquages extorsions Attaques_ecoles_sante Disputes_intercommunataires Violences_physique_civils"/>
    <s v="0"/>
    <s v="1"/>
    <s v="1"/>
    <s v="1"/>
    <s v="1"/>
    <s v="0"/>
    <s v="0"/>
    <s v="1"/>
    <s v="0"/>
    <s v="0"/>
    <s v="0"/>
    <s v="0"/>
    <s v="0"/>
    <s v="0"/>
    <s v=""/>
    <s v="Bebes/Bambins Enfants Femmes_agees Filles Garçons"/>
    <s v="1"/>
    <s v="1"/>
    <s v="1"/>
    <s v="1"/>
    <s v="0"/>
    <s v="0"/>
    <s v="1"/>
    <s v="0"/>
    <s v="0"/>
    <s v="0"/>
    <s v="0"/>
    <s v="0"/>
    <s v="0"/>
    <s v="0"/>
    <s v=""/>
    <s v="4"/>
    <s v="augmente"/>
    <s v=""/>
    <s v="non"/>
    <s v=""/>
    <s v=""/>
    <s v=""/>
    <s v=""/>
    <s v=""/>
    <s v=""/>
    <s v=""/>
    <s v=""/>
    <s v=""/>
    <s v=""/>
    <s v=""/>
    <s v=""/>
    <s v=""/>
    <s v=""/>
    <s v=""/>
    <s v=""/>
    <s v=""/>
    <s v=""/>
    <s v=""/>
    <s v=""/>
    <s v=""/>
    <s v=""/>
    <s v=""/>
    <s v=""/>
    <s v=""/>
    <s v=""/>
    <s v=""/>
    <s v=""/>
    <s v=""/>
    <s v=""/>
    <s v=""/>
    <s v=""/>
    <s v=""/>
    <s v=""/>
    <s v=""/>
    <s v=""/>
    <s v="deterioration_con_abris diminution_moyens_existence hausse_chomeurs"/>
    <s v="1"/>
    <s v="1"/>
    <s v="0"/>
    <s v="0"/>
    <s v="0"/>
    <s v="0"/>
    <s v="1"/>
    <s v="0"/>
    <s v="0"/>
    <s v="0"/>
    <s v=""/>
    <s v=""/>
    <s v=""/>
    <s v=""/>
    <s v=""/>
    <s v=""/>
    <s v=""/>
    <s v=""/>
    <s v=""/>
    <s v=""/>
    <s v=""/>
    <s v=""/>
    <s v=""/>
    <s v="Integration_com_hote dplct_abords_com Soutien_famille_amis Soutien_chef_village"/>
    <s v="1"/>
    <s v="1"/>
    <s v="1"/>
    <s v="1"/>
    <s v="0"/>
    <s v="0"/>
    <s v="0"/>
    <s v="0"/>
    <s v="0"/>
    <s v=""/>
    <s v=""/>
    <s v="femmes_elite famille_accueil"/>
    <s v="1"/>
    <s v="0"/>
    <s v="1"/>
    <s v="0"/>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oui_moitie"/>
    <s v="ingo"/>
    <s v="0"/>
    <s v="0"/>
    <s v="0"/>
    <s v="0"/>
    <s v="1"/>
    <s v="0"/>
    <s v="0"/>
    <s v="0"/>
    <s v="0"/>
    <s v="0"/>
    <s v=""/>
    <s v="oui"/>
    <s v=""/>
    <s v="Bebes/Bambins Enfants Filles Femmes_agees Hommes_ages"/>
    <s v="1"/>
    <s v="1"/>
    <s v="1"/>
    <s v="0"/>
    <s v="0"/>
    <s v="0"/>
    <s v="1"/>
    <s v="1"/>
    <s v="0"/>
    <s v="0"/>
    <s v="0"/>
    <s v="0"/>
    <s v="0"/>
    <s v="0"/>
    <s v=""/>
    <s v="10"/>
    <s v="NA"/>
    <s v="NA"/>
    <s v="NA"/>
    <s v="NA"/>
    <s v="NA"/>
    <s v="NA"/>
    <s v="NA"/>
    <s v="NA"/>
    <s v="NA"/>
    <s v="NA"/>
    <s v="NA"/>
    <s v=""/>
    <s v="signalement reorientation"/>
    <s v="0"/>
    <s v="1"/>
    <s v="1"/>
    <n v="0"/>
    <s v="0"/>
    <s v="0"/>
    <s v=""/>
    <s v=""/>
    <s v=""/>
    <s v=""/>
    <s v=""/>
    <s v=""/>
    <s v=""/>
    <s v=""/>
    <s v=""/>
    <s v=""/>
    <s v=""/>
    <s v=""/>
    <s v="surete centre_formation medical Psychosocia"/>
    <s v="1"/>
    <s v="1"/>
    <s v="0"/>
    <s v="0"/>
    <s v="1"/>
    <s v="0"/>
    <s v="1"/>
    <s v="0"/>
    <s v="0"/>
    <s v=""/>
    <s v=""/>
    <s v="oui"/>
    <s v="manque_moyens manque_personnes manque_d'information insecurite_zone tensions_locales"/>
    <s v="1"/>
    <s v="1"/>
    <s v="1"/>
    <s v="0"/>
    <s v="1"/>
    <s v="1"/>
    <s v="0"/>
    <s v="0"/>
    <s v="0"/>
    <s v="0"/>
    <s v="0"/>
    <s v=""/>
    <s v=""/>
    <s v=""/>
    <s v=""/>
    <s v=""/>
    <s v=""/>
    <s v=""/>
    <s v=""/>
    <s v=""/>
    <s v="non"/>
    <s v=""/>
    <s v=""/>
    <s v=""/>
    <s v=""/>
    <s v=""/>
    <s v=""/>
    <s v=""/>
    <s v=""/>
    <s v=""/>
    <s v=""/>
    <s v=""/>
    <s v=""/>
    <s v=""/>
    <s v="oui"/>
    <s v=""/>
    <s v="Appel aux ONG et appu aux régénératrice de revenus"/>
    <n v="168983515"/>
    <s v="ff465deb-b738-4edb-80b3-18b7db548378"/>
    <s v="2021-03-31T21:00:12"/>
    <s v=""/>
    <s v="[]"/>
    <s v="submitted_via_web"/>
    <s v="reach_niger"/>
    <s v=""/>
    <n v="4"/>
  </r>
  <r>
    <s v="2021-04-01T19:48:23.558+01:00"/>
    <s v="2021-04-01T20:01:04.538+01:00"/>
    <s v="2021-04-01"/>
    <s v=""/>
    <s v=""/>
    <s v="Homme"/>
    <x v="5"/>
    <x v="11"/>
    <x v="26"/>
    <s v=""/>
    <s v=""/>
    <s v=""/>
    <s v=""/>
    <s v=""/>
    <s v=""/>
    <s v=""/>
    <s v=""/>
    <s v="Homme"/>
    <s v="54"/>
    <s v="deplace_interne"/>
    <s v=""/>
    <s v=""/>
    <s v=""/>
    <s v=""/>
    <s v=""/>
    <s v="niger"/>
    <s v="tillaberi"/>
    <s v="tera"/>
    <s v=""/>
    <s v=""/>
    <s v=""/>
    <s v=""/>
    <s v="oui"/>
    <s v="Disputes_intercommunataires Vols_braquages extorsions Attaques_ecoles_sante Recrutement_enfants"/>
    <s v="0"/>
    <s v="1"/>
    <s v="1"/>
    <s v="1"/>
    <s v="0"/>
    <s v="0"/>
    <s v="1"/>
    <s v="1"/>
    <s v="0"/>
    <s v="0"/>
    <s v="0"/>
    <s v="0"/>
    <s v="0"/>
    <s v="0"/>
    <s v=""/>
    <s v="Bebes/Bambins Enfants Filles Femmes Hommes"/>
    <s v="1"/>
    <s v="1"/>
    <s v="1"/>
    <s v="0"/>
    <s v="1"/>
    <s v="1"/>
    <s v="0"/>
    <s v="0"/>
    <s v="0"/>
    <s v="0"/>
    <s v="0"/>
    <s v="0"/>
    <s v="0"/>
    <s v="0"/>
    <s v=""/>
    <s v="3"/>
    <s v="augmente"/>
    <s v=""/>
    <s v="oui"/>
    <s v="agression_physique agression_psychologique travail_force exploitations_sexuelles exploitations_enfant"/>
    <s v="0"/>
    <s v="0"/>
    <s v="1"/>
    <s v="0"/>
    <s v="1"/>
    <s v="0"/>
    <s v="1"/>
    <s v="0"/>
    <s v="1"/>
    <s v="1"/>
    <s v="0"/>
    <s v="0"/>
    <s v="0"/>
    <s v="0"/>
    <s v="0"/>
    <s v=""/>
    <s v="Bebes/Bambins Enfants Filles Femmes Hommes"/>
    <s v="1"/>
    <s v="1"/>
    <s v="1"/>
    <s v="0"/>
    <s v="1"/>
    <s v="1"/>
    <s v="0"/>
    <s v="0"/>
    <s v="0"/>
    <s v="0"/>
    <s v="0"/>
    <s v="0"/>
    <s v="0"/>
    <s v="0"/>
    <s v=""/>
    <s v="3"/>
    <s v="augmente"/>
    <s v=""/>
    <s v="deterioration_con_abris deterioration_acces_service_base hausse_chomeurs"/>
    <s v="0"/>
    <s v="1"/>
    <s v="1"/>
    <s v="0"/>
    <s v="0"/>
    <s v="0"/>
    <s v="1"/>
    <s v="0"/>
    <s v="0"/>
    <s v="0"/>
    <s v=""/>
    <s v=""/>
    <s v=""/>
    <s v=""/>
    <s v=""/>
    <s v=""/>
    <s v=""/>
    <s v=""/>
    <s v=""/>
    <s v=""/>
    <s v=""/>
    <s v=""/>
    <s v=""/>
    <s v="Integration_com_hote Soutien_famille_amis Soutien_psychosocial"/>
    <s v="0"/>
    <s v="1"/>
    <s v="1"/>
    <s v="0"/>
    <s v="1"/>
    <s v="0"/>
    <s v="0"/>
    <s v="0"/>
    <s v="0"/>
    <s v=""/>
    <s v=""/>
    <s v="femmes_elite comite_protection famille_accueil comite_redevabilite"/>
    <s v="1"/>
    <s v="1"/>
    <s v="1"/>
    <s v="0"/>
    <s v="1"/>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
    <s v="oui"/>
    <s v=""/>
    <s v="Bebes/Bambins Filles Enfants Femmes Garçons"/>
    <s v="1"/>
    <s v="1"/>
    <s v="1"/>
    <s v="1"/>
    <s v="1"/>
    <s v="0"/>
    <s v="0"/>
    <s v="0"/>
    <s v="0"/>
    <s v="0"/>
    <s v="0"/>
    <s v="0"/>
    <s v="0"/>
    <s v="0"/>
    <s v=""/>
    <s v="6"/>
    <s v="NA"/>
    <s v="NA"/>
    <s v="NA"/>
    <s v="NA"/>
    <s v="NA"/>
    <s v="NA"/>
    <s v="NA"/>
    <s v="NA"/>
    <s v="NA"/>
    <s v="NA"/>
    <s v="NA"/>
    <s v=""/>
    <s v="prise_enchage reorientation signalement"/>
    <s v="1"/>
    <s v="1"/>
    <s v="1"/>
    <s v="0"/>
    <s v="0"/>
    <s v="0"/>
    <s v=""/>
    <s v="medical juridique centre_formation surete Psychosocia"/>
    <s v="1"/>
    <s v="1"/>
    <s v="0"/>
    <s v="1"/>
    <s v="1"/>
    <s v="0"/>
    <s v="1"/>
    <s v="0"/>
    <s v="0"/>
    <s v=""/>
    <s v="medical Psychosocia point_ecoute surete centre_formation"/>
    <s v="1"/>
    <s v="1"/>
    <s v="1"/>
    <s v="0"/>
    <s v="1"/>
    <s v="0"/>
    <s v="1"/>
    <s v="0"/>
    <s v="0"/>
    <s v=""/>
    <s v=""/>
    <s v="oui"/>
    <s v="manque_moyens manque_personnes manque_d'information insecurite_zone manque_cordination"/>
    <s v="1"/>
    <s v="1"/>
    <s v="1"/>
    <s v="0"/>
    <s v="1"/>
    <s v="0"/>
    <s v="1"/>
    <s v="0"/>
    <s v="0"/>
    <s v="0"/>
    <s v="0"/>
    <s v=""/>
    <s v=""/>
    <s v=""/>
    <s v=""/>
    <s v=""/>
    <s v=""/>
    <s v=""/>
    <s v=""/>
    <s v=""/>
    <s v="oui"/>
    <s v="violence_physique violence_psycho menace_entourage menace_mort"/>
    <s v="1"/>
    <s v="1"/>
    <s v="0"/>
    <s v="1"/>
    <s v="1"/>
    <s v="0"/>
    <s v="0"/>
    <s v="0"/>
    <s v="0"/>
    <s v="0"/>
    <s v=""/>
    <s v="oui"/>
    <s v="oui"/>
    <s v=""/>
    <s v="Nous avons un manque d abris et nourriture"/>
    <n v="169351660"/>
    <s v="dbf6ba85-c1d2-4a12-8e3b-52ab89ac6183"/>
    <s v="2021-04-02T19:02:01"/>
    <s v=""/>
    <s v="[]"/>
    <s v="submitted_via_web"/>
    <s v="reach_niger"/>
    <s v=""/>
    <n v="27"/>
  </r>
  <r>
    <s v="2021-04-01T18:28:51.655+01:00"/>
    <s v="2021-04-01T18:58:33.343+01:00"/>
    <s v="2021-04-01"/>
    <s v=""/>
    <s v=""/>
    <s v="Homme"/>
    <x v="5"/>
    <x v="11"/>
    <x v="27"/>
    <s v="Farko"/>
    <s v=""/>
    <s v=""/>
    <s v=""/>
    <s v=""/>
    <s v=""/>
    <s v=""/>
    <s v=""/>
    <s v="Femme"/>
    <s v="45"/>
    <s v="deplace_interne"/>
    <s v=""/>
    <s v="Volontaire_comm"/>
    <s v=""/>
    <s v=""/>
    <s v=""/>
    <s v="niger"/>
    <s v="tillaberi"/>
    <s v="tera"/>
    <s v=""/>
    <s v=""/>
    <s v=""/>
    <s v=""/>
    <s v="oui"/>
    <s v="extorsions Violences_physique_civils Attaques_ecoles_sante Vols_braquages Disputes_intercommunataires"/>
    <s v="0"/>
    <s v="1"/>
    <s v="1"/>
    <s v="1"/>
    <s v="1"/>
    <s v="0"/>
    <s v="0"/>
    <s v="1"/>
    <s v="0"/>
    <s v="0"/>
    <s v="0"/>
    <s v="0"/>
    <s v="0"/>
    <s v="0"/>
    <s v=""/>
    <s v="Bebes/Bambins Enfants Filles Femmes Garçons"/>
    <s v="1"/>
    <s v="1"/>
    <s v="1"/>
    <s v="1"/>
    <s v="1"/>
    <s v="0"/>
    <s v="0"/>
    <s v="0"/>
    <s v="0"/>
    <s v="0"/>
    <s v="0"/>
    <s v="0"/>
    <s v="0"/>
    <s v="0"/>
    <s v=""/>
    <s v="2"/>
    <s v="augmente"/>
    <s v=""/>
    <s v="oui"/>
    <s v="agression_physique agression_psychologique menace defus_de_acces_aide exploitations_enfant"/>
    <s v="0"/>
    <s v="0"/>
    <s v="1"/>
    <s v="0"/>
    <s v="1"/>
    <s v="0"/>
    <s v="0"/>
    <s v="1"/>
    <s v="1"/>
    <s v="0"/>
    <s v="1"/>
    <s v="0"/>
    <s v="0"/>
    <s v="0"/>
    <s v="0"/>
    <s v=""/>
    <s v="Bebes/Bambins Enfants Femmes Filles Hommes"/>
    <s v="1"/>
    <s v="1"/>
    <s v="1"/>
    <s v="0"/>
    <s v="1"/>
    <s v="1"/>
    <s v="0"/>
    <s v="0"/>
    <s v="0"/>
    <s v="0"/>
    <s v="0"/>
    <s v="0"/>
    <s v="0"/>
    <s v="0"/>
    <s v=""/>
    <s v="2"/>
    <s v="augmente"/>
    <s v=""/>
    <s v="deterioration_con_abris deterioration_acces_service_base hausse_chomeurs"/>
    <s v="0"/>
    <s v="1"/>
    <s v="1"/>
    <s v="0"/>
    <s v="0"/>
    <s v="0"/>
    <s v="1"/>
    <s v="0"/>
    <s v="0"/>
    <s v="0"/>
    <s v=""/>
    <s v=""/>
    <s v=""/>
    <s v=""/>
    <s v=""/>
    <s v=""/>
    <s v=""/>
    <s v=""/>
    <s v=""/>
    <s v=""/>
    <s v=""/>
    <s v=""/>
    <s v=""/>
    <s v="Integration_com_hote Soutien_famille_amis Soutien_psychosocial dplct_abords_com"/>
    <s v="1"/>
    <s v="1"/>
    <s v="1"/>
    <s v="0"/>
    <s v="1"/>
    <s v="0"/>
    <s v="0"/>
    <s v="0"/>
    <s v="0"/>
    <s v=""/>
    <s v=""/>
    <s v="comite_protection famille_accueil comite_gestion_conflits"/>
    <s v="0"/>
    <s v="1"/>
    <s v="1"/>
    <s v="0"/>
    <s v="0"/>
    <s v="1"/>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
    <s v="oui"/>
    <s v=""/>
    <s v="Bebes/Bambins Filles Enfants Hommes Femmes"/>
    <s v="1"/>
    <s v="1"/>
    <s v="1"/>
    <s v="0"/>
    <s v="1"/>
    <s v="1"/>
    <s v="0"/>
    <s v="0"/>
    <s v="0"/>
    <s v="0"/>
    <s v="0"/>
    <s v="0"/>
    <s v="0"/>
    <s v="0"/>
    <s v=""/>
    <s v="5"/>
    <s v="NA"/>
    <s v="NA"/>
    <s v="NA"/>
    <s v="NA"/>
    <s v="NA"/>
    <s v="NA"/>
    <s v="NA"/>
    <s v="NA"/>
    <s v="NA"/>
    <s v="NA"/>
    <s v="NA"/>
    <s v=""/>
    <s v="prise_enchage reorientation signalement"/>
    <s v="1"/>
    <s v="1"/>
    <s v="1"/>
    <s v="0"/>
    <s v="0"/>
    <s v="0"/>
    <s v=""/>
    <s v="surete centre_formation point_ecoute Psychosocia medical"/>
    <s v="1"/>
    <s v="1"/>
    <s v="1"/>
    <s v="0"/>
    <s v="1"/>
    <s v="0"/>
    <s v="1"/>
    <s v="0"/>
    <s v="0"/>
    <s v=""/>
    <s v="medical Psychosocia point_ecoute centre_formation surete"/>
    <s v="1"/>
    <s v="1"/>
    <s v="1"/>
    <s v="0"/>
    <s v="1"/>
    <s v="0"/>
    <s v="1"/>
    <s v="0"/>
    <s v="0"/>
    <s v=""/>
    <s v=""/>
    <s v="non"/>
    <s v=""/>
    <s v=""/>
    <s v=""/>
    <s v=""/>
    <s v=""/>
    <s v=""/>
    <s v=""/>
    <s v=""/>
    <s v=""/>
    <s v=""/>
    <s v=""/>
    <s v=""/>
    <s v=""/>
    <s v=""/>
    <s v=""/>
    <s v=""/>
    <s v=""/>
    <s v=""/>
    <s v=""/>
    <s v=""/>
    <s v=""/>
    <s v="oui"/>
    <s v="violence_physique violence_psycho menace_entourage message menace_mort"/>
    <s v="1"/>
    <s v="1"/>
    <s v="1"/>
    <s v="1"/>
    <s v="1"/>
    <s v="0"/>
    <s v="0"/>
    <s v="0"/>
    <s v="0"/>
    <s v="0"/>
    <s v=""/>
    <s v="oui"/>
    <s v="oui"/>
    <s v=""/>
    <s v="Appu en formation professionnelle"/>
    <n v="169351652"/>
    <s v="13aa18d8-0988-415c-92d7-0665d942b2d0"/>
    <s v="2021-04-02T19:01:57"/>
    <s v=""/>
    <s v="[]"/>
    <s v="submitted_via_web"/>
    <s v="reach_niger"/>
    <s v=""/>
    <n v="26"/>
  </r>
  <r>
    <s v="2021-04-01T14:01:03.046+01:00"/>
    <s v="2021-04-01T14:30:25.597+01:00"/>
    <s v="2021-04-01"/>
    <s v=""/>
    <s v=""/>
    <s v="Homme"/>
    <x v="5"/>
    <x v="11"/>
    <x v="23"/>
    <s v="Zongo"/>
    <s v=""/>
    <s v=""/>
    <s v=""/>
    <s v=""/>
    <s v=""/>
    <s v=""/>
    <s v=""/>
    <s v="Homme"/>
    <s v="56"/>
    <s v="deplace_interne"/>
    <s v=""/>
    <s v=""/>
    <s v=""/>
    <s v=""/>
    <s v=""/>
    <s v="niger"/>
    <s v="tillaberi"/>
    <s v="tera"/>
    <s v=""/>
    <s v=""/>
    <s v=""/>
    <s v=""/>
    <s v="oui"/>
    <s v="Vols_braquages extorsions Violences_physique_civils Combat_groupes_armes Attaques_ecoles_sante"/>
    <s v="1"/>
    <s v="0"/>
    <s v="1"/>
    <s v="1"/>
    <s v="1"/>
    <s v="0"/>
    <s v="0"/>
    <s v="1"/>
    <s v="0"/>
    <s v="0"/>
    <s v="0"/>
    <s v="0"/>
    <s v="0"/>
    <s v="0"/>
    <s v=""/>
    <s v="Bebes/Bambins Enfants Filles Femmes_agees Hommes_ages"/>
    <s v="1"/>
    <s v="1"/>
    <s v="1"/>
    <s v="0"/>
    <s v="0"/>
    <s v="0"/>
    <s v="1"/>
    <s v="1"/>
    <s v="0"/>
    <s v="0"/>
    <s v="0"/>
    <s v="0"/>
    <s v="0"/>
    <s v="0"/>
    <s v=""/>
    <s v="4"/>
    <s v="augmente"/>
    <s v=""/>
    <s v="oui"/>
    <s v="agression_physique agression_psychologique exploitations_enfant menace travail_force"/>
    <s v="0"/>
    <s v="0"/>
    <s v="1"/>
    <s v="0"/>
    <s v="1"/>
    <s v="0"/>
    <s v="1"/>
    <s v="0"/>
    <s v="1"/>
    <s v="0"/>
    <s v="1"/>
    <s v="0"/>
    <s v="0"/>
    <s v="0"/>
    <s v="0"/>
    <s v=""/>
    <s v="Bebes/Bambins Enfants Filles Hommes_ages Femmes_agees"/>
    <s v="1"/>
    <s v="1"/>
    <s v="1"/>
    <s v="0"/>
    <s v="0"/>
    <s v="0"/>
    <s v="1"/>
    <s v="1"/>
    <s v="0"/>
    <s v="0"/>
    <s v="0"/>
    <s v="0"/>
    <s v="0"/>
    <s v="0"/>
    <s v=""/>
    <s v="4"/>
    <s v="augmente"/>
    <s v=""/>
    <s v="deterioration_con_abris deterioration_acces_service_base hausse_chomeurs"/>
    <s v="0"/>
    <s v="1"/>
    <s v="1"/>
    <s v="0"/>
    <s v="0"/>
    <s v="0"/>
    <s v="1"/>
    <s v="0"/>
    <s v="0"/>
    <s v="0"/>
    <s v=""/>
    <s v=""/>
    <s v=""/>
    <s v=""/>
    <s v=""/>
    <s v=""/>
    <s v=""/>
    <s v=""/>
    <s v=""/>
    <s v=""/>
    <s v=""/>
    <s v=""/>
    <s v=""/>
    <s v="Soutien_famille_amis Integration_com_hote dplct_abords_com"/>
    <s v="1"/>
    <s v="1"/>
    <s v="1"/>
    <s v="0"/>
    <s v="0"/>
    <s v="0"/>
    <s v="0"/>
    <s v="0"/>
    <s v="0"/>
    <s v=""/>
    <s v=""/>
    <s v="famille_accueil comite_protection femmes_elite comite_alerte"/>
    <s v="1"/>
    <s v="1"/>
    <s v="1"/>
    <s v="1"/>
    <s v="0"/>
    <s v="0"/>
    <s v="0"/>
    <s v="0"/>
    <s v="0"/>
    <s v="0"/>
    <s v=""/>
    <s v="non"/>
    <s v=""/>
    <s v=""/>
    <s v=""/>
    <s v=""/>
    <s v=""/>
    <s v=""/>
    <s v=""/>
    <s v=""/>
    <s v=""/>
    <s v=""/>
    <s v=""/>
    <s v=""/>
    <s v=""/>
    <s v=""/>
    <s v=""/>
    <s v=""/>
    <s v=""/>
    <s v=""/>
    <s v=""/>
    <s v=""/>
    <s v=""/>
    <s v=""/>
    <s v=""/>
    <s v=""/>
    <s v=""/>
    <s v=""/>
    <s v=""/>
    <s v=""/>
    <s v=""/>
    <s v=""/>
    <s v=""/>
    <s v=""/>
    <s v=""/>
    <s v=""/>
    <s v=""/>
    <s v=""/>
    <s v=""/>
    <s v=""/>
    <s v=""/>
    <s v=""/>
    <s v=""/>
    <s v=""/>
    <s v=""/>
    <s v=""/>
    <s v=""/>
    <s v=""/>
    <s v=""/>
    <s v=""/>
    <s v=""/>
    <s v=""/>
    <s v=""/>
    <s v=""/>
    <s v=""/>
    <s v=""/>
    <s v=""/>
    <s v=""/>
    <s v=""/>
    <s v=""/>
    <s v=""/>
    <s v=""/>
    <s v=""/>
    <s v=""/>
    <s v="oui_minorite"/>
    <s v="ingo ong_locale famille_amis"/>
    <s v="0"/>
    <s v="0"/>
    <s v="0"/>
    <s v="0"/>
    <s v="1"/>
    <s v="1"/>
    <s v="1"/>
    <s v="0"/>
    <s v="0"/>
    <s v="0"/>
    <s v=""/>
    <s v="oui"/>
    <s v=""/>
    <s v="Bebes/Bambins Enfants Femmes_agees Hommes_ages"/>
    <s v="1"/>
    <s v="1"/>
    <s v="0"/>
    <s v="0"/>
    <s v="0"/>
    <s v="0"/>
    <s v="1"/>
    <s v="1"/>
    <s v="0"/>
    <s v="0"/>
    <s v="0"/>
    <s v="0"/>
    <s v="0"/>
    <s v="0"/>
    <s v=""/>
    <s v="13"/>
    <s v="NA"/>
    <s v="NA"/>
    <s v="NA"/>
    <s v="NA"/>
    <s v="NA"/>
    <s v="NA"/>
    <s v="NA"/>
    <s v="NA"/>
    <s v="NA"/>
    <s v="NA"/>
    <s v="NA"/>
    <s v=""/>
    <s v="prise_enchage reorientation signalement"/>
    <s v="1"/>
    <s v="1"/>
    <s v="1"/>
    <s v="0"/>
    <s v="0"/>
    <s v="0"/>
    <s v=""/>
    <s v="medical Psychosocia surete centre_formation point_ecoute"/>
    <s v="1"/>
    <s v="1"/>
    <s v="1"/>
    <s v="0"/>
    <s v="1"/>
    <s v="0"/>
    <s v="1"/>
    <s v="0"/>
    <s v="0"/>
    <s v=""/>
    <s v="medical Psychosocia point_ecoute surete centre_formation"/>
    <s v="1"/>
    <s v="1"/>
    <s v="1"/>
    <s v="0"/>
    <s v="1"/>
    <s v="0"/>
    <s v="1"/>
    <s v="0"/>
    <s v="0"/>
    <s v=""/>
    <s v=""/>
    <s v="oui"/>
    <s v="manque_moyens manque_d'information insecurite_zone manque_cordination manque_personnes"/>
    <s v="1"/>
    <s v="1"/>
    <s v="1"/>
    <s v="0"/>
    <s v="1"/>
    <s v="0"/>
    <s v="1"/>
    <s v="0"/>
    <s v="0"/>
    <s v="0"/>
    <s v="0"/>
    <s v=""/>
    <s v=""/>
    <s v=""/>
    <s v=""/>
    <s v=""/>
    <s v=""/>
    <s v=""/>
    <s v=""/>
    <s v=""/>
    <s v="oui"/>
    <s v="violence_physique menace_mort violence_psycho menace_entourage"/>
    <s v="1"/>
    <s v="1"/>
    <s v="0"/>
    <s v="1"/>
    <s v="1"/>
    <s v="0"/>
    <s v="0"/>
    <s v="0"/>
    <s v="0"/>
    <s v="0"/>
    <s v=""/>
    <s v="oui"/>
    <s v="oui"/>
    <s v=""/>
    <s v="Manque d abris et surtout l alimentation"/>
    <n v="169351634"/>
    <s v="7d4602c8-7b62-46e7-bf3b-e3652356e498"/>
    <s v="2021-04-02T19:01:50"/>
    <s v=""/>
    <s v="[]"/>
    <s v="submitted_via_web"/>
    <s v="reach_niger"/>
    <s v=""/>
    <n v="24"/>
  </r>
  <r>
    <s v="2021-04-16T16:04:17.242+01:00"/>
    <s v="2021-04-16T16:23:40.958+01:00"/>
    <s v="2021-04-16"/>
    <s v=""/>
    <s v=""/>
    <s v="Homme"/>
    <x v="5"/>
    <x v="11"/>
    <x v="26"/>
    <s v=""/>
    <s v=""/>
    <s v=""/>
    <s v=""/>
    <s v=""/>
    <s v=""/>
    <s v=""/>
    <s v=""/>
    <s v="Femme"/>
    <s v="35"/>
    <s v="deplace_interne"/>
    <s v=""/>
    <s v=""/>
    <s v=""/>
    <s v=""/>
    <s v=""/>
    <s v="niger"/>
    <s v="tillaberi"/>
    <s v="tera"/>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outien_famille_amis Soutien_chef_village"/>
    <s v="0"/>
    <s v="1"/>
    <s v="1"/>
    <s v="1"/>
    <s v="0"/>
    <s v="0"/>
    <s v="0"/>
    <s v="0"/>
    <s v="0"/>
    <s v=""/>
    <s v=""/>
    <s v="comite_protection comite_gestion_conflits femmes_elite"/>
    <s v="1"/>
    <s v="1"/>
    <s v="0"/>
    <s v="0"/>
    <s v="0"/>
    <s v="1"/>
    <s v="0"/>
    <s v="0"/>
    <s v="0"/>
    <s v="0"/>
    <s v=""/>
    <s v="oui"/>
    <s v="Internet Radio_television Chef_village"/>
    <s v="1"/>
    <s v="0"/>
    <s v="1"/>
    <s v="0"/>
    <s v="1"/>
    <s v="0"/>
    <s v="0"/>
    <s v="0"/>
    <s v="0"/>
    <s v="0"/>
    <s v="0"/>
    <s v="0"/>
    <s v="0"/>
    <s v="0"/>
    <s v=""/>
    <s v="oui_majorite"/>
    <s v="oui_ensemble"/>
    <s v=""/>
    <s v=""/>
    <s v=""/>
    <s v=""/>
    <s v=""/>
    <s v=""/>
    <s v=""/>
    <s v=""/>
    <s v=""/>
    <s v=""/>
    <s v="majorite"/>
    <s v="ensemble"/>
    <s v="Services_de_sante Education Acces_aux_doc"/>
    <s v="0"/>
    <s v="1"/>
    <s v="0"/>
    <s v="1"/>
    <s v="1"/>
    <s v="0"/>
    <s v="0"/>
    <s v="0"/>
    <s v="0"/>
    <s v=""/>
    <s v="oui_ensemble"/>
    <s v="oui_ensemble"/>
    <s v="amelioration_futur repond_besoins_pop diminution_tensions"/>
    <s v="1"/>
    <s v="1"/>
    <s v="0"/>
    <s v="0"/>
    <s v="0"/>
    <s v="1"/>
    <s v="0"/>
    <s v="0"/>
    <s v=""/>
    <s v=""/>
    <s v=""/>
    <s v=""/>
    <s v=""/>
    <s v=""/>
    <s v=""/>
    <s v=""/>
    <s v=""/>
    <s v=""/>
    <s v="oui_moitie"/>
    <s v="ingo"/>
    <s v="0"/>
    <s v="0"/>
    <s v="0"/>
    <s v="0"/>
    <s v="1"/>
    <s v="0"/>
    <s v="0"/>
    <s v="0"/>
    <s v="0"/>
    <s v="0"/>
    <s v=""/>
    <s v="oui"/>
    <s v=""/>
    <s v=""/>
    <s v=""/>
    <s v=""/>
    <s v=""/>
    <s v=""/>
    <s v=""/>
    <s v=""/>
    <s v=""/>
    <s v=""/>
    <s v=""/>
    <s v=""/>
    <s v=""/>
    <s v=""/>
    <s v=""/>
    <s v=""/>
    <s v=""/>
    <s v="60"/>
    <s v="Services_conseil points_ecoute"/>
    <s v="0"/>
    <s v="0"/>
    <s v="0"/>
    <s v="1"/>
    <s v="0"/>
    <s v="0"/>
    <s v="0"/>
    <s v="1"/>
    <s v="0"/>
    <s v="0"/>
    <s v=""/>
    <s v="signalement reorientation"/>
    <s v="0"/>
    <s v="1"/>
    <s v="1"/>
    <s v="0"/>
    <s v="0"/>
    <s v="0"/>
    <s v=""/>
    <s v=""/>
    <s v=""/>
    <s v=""/>
    <s v=""/>
    <s v=""/>
    <s v=""/>
    <s v=""/>
    <s v=""/>
    <s v=""/>
    <s v=""/>
    <s v=""/>
    <s v="medical point_ecoute surete"/>
    <s v="1"/>
    <s v="0"/>
    <s v="1"/>
    <s v="0"/>
    <s v="1"/>
    <s v="0"/>
    <s v="0"/>
    <s v="0"/>
    <s v="0"/>
    <s v=""/>
    <s v=""/>
    <s v="non"/>
    <s v=""/>
    <s v=""/>
    <s v=""/>
    <s v=""/>
    <s v=""/>
    <s v=""/>
    <s v=""/>
    <s v=""/>
    <s v=""/>
    <s v=""/>
    <s v=""/>
    <s v=""/>
    <s v=""/>
    <s v=""/>
    <s v=""/>
    <s v=""/>
    <s v=""/>
    <s v=""/>
    <s v=""/>
    <s v=""/>
    <s v=""/>
    <s v="non"/>
    <s v=""/>
    <s v=""/>
    <s v=""/>
    <s v=""/>
    <s v=""/>
    <s v=""/>
    <s v=""/>
    <s v=""/>
    <s v=""/>
    <s v=""/>
    <s v=""/>
    <s v=""/>
    <s v=""/>
    <s v="oui"/>
    <s v=""/>
    <s v=""/>
    <n v="172011410"/>
    <s v="aae4d7a2-79eb-4ce9-a93b-6a42e2a5b220"/>
    <s v="2021-04-16T16:12:08"/>
    <s v=""/>
    <s v="[]"/>
    <s v="submitted_via_web"/>
    <s v="reach_niger"/>
    <s v=""/>
    <n v="74"/>
  </r>
  <r>
    <s v="2021-03-30T11:17:51.425+01:00"/>
    <s v="2021-03-31T12:22:35.794+01:00"/>
    <s v="2021-03-30"/>
    <s v=""/>
    <s v=""/>
    <s v="Homme"/>
    <x v="5"/>
    <x v="11"/>
    <x v="28"/>
    <s v="Base"/>
    <s v=""/>
    <s v=""/>
    <s v=""/>
    <s v=""/>
    <s v=""/>
    <s v=""/>
    <s v=""/>
    <s v="Femme"/>
    <s v="40"/>
    <s v="deplace_interne"/>
    <s v=""/>
    <s v=""/>
    <s v=""/>
    <s v=""/>
    <s v=""/>
    <s v="niger"/>
    <s v="tillaberi"/>
    <s v="tera"/>
    <s v=""/>
    <s v=""/>
    <s v=""/>
    <s v=""/>
    <s v="oui"/>
    <s v="Violences_physique_civils"/>
    <s v="0"/>
    <s v="0"/>
    <s v="0"/>
    <s v="0"/>
    <s v="1"/>
    <s v="0"/>
    <s v="0"/>
    <s v="0"/>
    <s v="0"/>
    <s v="0"/>
    <s v="0"/>
    <s v="0"/>
    <s v="0"/>
    <s v="0"/>
    <s v=""/>
    <s v="Femmes"/>
    <s v="0"/>
    <s v="0"/>
    <s v="0"/>
    <s v="0"/>
    <s v="1"/>
    <s v="0"/>
    <s v="0"/>
    <s v="0"/>
    <s v="0"/>
    <s v="0"/>
    <s v="0"/>
    <s v="0"/>
    <s v="0"/>
    <s v="0"/>
    <s v=""/>
    <s v="3"/>
    <s v="stable"/>
    <s v=""/>
    <s v="oui"/>
    <s v="menace agression_physique"/>
    <s v="0"/>
    <s v="0"/>
    <s v="1"/>
    <s v="0"/>
    <s v="0"/>
    <s v="0"/>
    <s v="0"/>
    <s v="0"/>
    <s v="0"/>
    <s v="0"/>
    <s v="1"/>
    <s v="0"/>
    <s v="0"/>
    <s v="0"/>
    <s v="0"/>
    <s v=""/>
    <s v="Femmes Filles"/>
    <s v="0"/>
    <s v="0"/>
    <s v="1"/>
    <s v="0"/>
    <s v="1"/>
    <s v="0"/>
    <s v="0"/>
    <s v="0"/>
    <s v="0"/>
    <s v="0"/>
    <s v="0"/>
    <s v="0"/>
    <s v="0"/>
    <s v="0"/>
    <s v=""/>
    <s v="3"/>
    <s v="stable"/>
    <s v=""/>
    <s v=""/>
    <s v=""/>
    <s v=""/>
    <s v=""/>
    <s v=""/>
    <s v=""/>
    <s v=""/>
    <s v=""/>
    <s v=""/>
    <s v=""/>
    <s v=""/>
    <s v=""/>
    <s v=""/>
    <s v=""/>
    <s v=""/>
    <s v=""/>
    <s v=""/>
    <s v=""/>
    <s v=""/>
    <s v=""/>
    <s v=""/>
    <s v=""/>
    <s v=""/>
    <s v=""/>
    <s v="dplct_abords_com Soutien_famille_amis"/>
    <s v="1"/>
    <s v="0"/>
    <s v="1"/>
    <s v="0"/>
    <s v="0"/>
    <s v="0"/>
    <s v="0"/>
    <s v="0"/>
    <s v="0"/>
    <s v=""/>
    <s v=""/>
    <s v="femmes_elite comite_redevabilite"/>
    <s v="1"/>
    <s v="0"/>
    <s v="0"/>
    <s v="0"/>
    <s v="1"/>
    <s v="0"/>
    <s v="0"/>
    <s v="0"/>
    <s v="0"/>
    <s v="0"/>
    <s v=""/>
    <s v="oui"/>
    <s v="Radio_television Internet"/>
    <s v="1"/>
    <s v="0"/>
    <s v="1"/>
    <s v="0"/>
    <s v="0"/>
    <s v="0"/>
    <s v="0"/>
    <s v="0"/>
    <s v="0"/>
    <s v="0"/>
    <s v="0"/>
    <s v="0"/>
    <s v="0"/>
    <s v="0"/>
    <s v=""/>
    <s v="oui_majorite"/>
    <s v="oui_majorite"/>
    <s v="manque_info non_fonctionnelle"/>
    <s v="1"/>
    <s v="1"/>
    <s v="0"/>
    <s v="0"/>
    <s v="0"/>
    <s v="0"/>
    <s v="0"/>
    <s v="0"/>
    <s v=""/>
    <s v="majorite"/>
    <s v="majorite"/>
    <s v="Service_de_counseling Services_de_sante Acces_aux_doc"/>
    <s v="0"/>
    <s v="0"/>
    <s v="1"/>
    <s v="1"/>
    <s v="1"/>
    <s v="0"/>
    <s v="0"/>
    <s v="0"/>
    <s v="0"/>
    <s v=""/>
    <s v="oui_majorite"/>
    <s v="oui_majorite"/>
    <s v="repond_besoins_pop amelioration_futur permet_obtenir_conseils"/>
    <s v="1"/>
    <s v="1"/>
    <s v="1"/>
    <s v="0"/>
    <s v="0"/>
    <s v="0"/>
    <s v="0"/>
    <s v="0"/>
    <s v=""/>
    <s v="ne_contribue_pas ne_repond_pas"/>
    <s v="1"/>
    <s v="1"/>
    <s v="0"/>
    <s v="0"/>
    <s v="0"/>
    <s v="0"/>
    <s v=""/>
    <s v=""/>
    <s v="oui_majorite"/>
    <s v="autorite_locale_leaders famille_amis"/>
    <s v="0"/>
    <s v="0"/>
    <s v="1"/>
    <s v="0"/>
    <s v="0"/>
    <s v="0"/>
    <s v="1"/>
    <s v="0"/>
    <s v="0"/>
    <s v="0"/>
    <s v=""/>
    <s v="oui"/>
    <s v=""/>
    <s v="Femmes Femmes_agees Filles Garçons Toute_population"/>
    <s v="0"/>
    <s v="0"/>
    <s v="1"/>
    <s v="1"/>
    <s v="1"/>
    <s v="0"/>
    <s v="1"/>
    <s v="0"/>
    <s v="0"/>
    <s v="0"/>
    <s v="1"/>
    <s v="0"/>
    <s v="0"/>
    <s v="0"/>
    <s v=""/>
    <s v="3"/>
    <s v="Appui_psychosocial Services_conseil"/>
    <s v="1"/>
    <s v="0"/>
    <s v="0"/>
    <s v="1"/>
    <s v="0"/>
    <s v="0"/>
    <s v="0"/>
    <s v="0"/>
    <s v="0"/>
    <s v="0"/>
    <s v=""/>
    <s v="reorientation"/>
    <s v="0"/>
    <s v="1"/>
    <s v="0"/>
    <s v="0"/>
    <s v="0"/>
    <s v="0"/>
    <s v=""/>
    <s v=""/>
    <s v=""/>
    <s v=""/>
    <s v=""/>
    <s v=""/>
    <s v=""/>
    <s v=""/>
    <s v=""/>
    <s v=""/>
    <s v=""/>
    <s v=""/>
    <s v="juridique medical"/>
    <s v="1"/>
    <s v="0"/>
    <s v="0"/>
    <s v="1"/>
    <s v="0"/>
    <s v="0"/>
    <s v="0"/>
    <s v="0"/>
    <s v="0"/>
    <s v=""/>
    <s v=""/>
    <s v="oui"/>
    <s v="manque_moyens probleme_orientation"/>
    <s v="1"/>
    <s v="0"/>
    <s v="0"/>
    <s v="1"/>
    <s v="0"/>
    <s v="0"/>
    <s v="0"/>
    <s v="0"/>
    <s v="0"/>
    <s v="0"/>
    <s v="0"/>
    <s v=""/>
    <s v="pb_logistiques pb_secu"/>
    <s v="0"/>
    <s v="1"/>
    <s v="1"/>
    <s v="0"/>
    <s v="0"/>
    <s v="0"/>
    <s v=""/>
    <s v="non"/>
    <s v=""/>
    <s v=""/>
    <s v=""/>
    <s v=""/>
    <s v=""/>
    <s v=""/>
    <s v=""/>
    <s v=""/>
    <s v=""/>
    <s v=""/>
    <s v=""/>
    <s v=""/>
    <s v=""/>
    <s v="oui"/>
    <s v=""/>
    <s v=""/>
    <n v="168989897"/>
    <s v="54087329-f893-4f35-abab-9fd6e219334b"/>
    <s v="2021-03-31T22:12:33"/>
    <s v=""/>
    <s v="[]"/>
    <s v="submitted_via_web"/>
    <s v="reach_niger"/>
    <s v=""/>
    <n v="8"/>
  </r>
  <r>
    <s v="2021-04-01T08:32:40.948+01:00"/>
    <s v="2021-04-01T09:07:36.245+01:00"/>
    <s v="2021-04-01"/>
    <s v=""/>
    <s v=""/>
    <s v="Homme"/>
    <x v="5"/>
    <x v="11"/>
    <x v="25"/>
    <s v=""/>
    <s v=""/>
    <s v=""/>
    <s v=""/>
    <s v=""/>
    <s v=""/>
    <s v=""/>
    <s v=""/>
    <s v="Homme"/>
    <s v="55"/>
    <s v="Hote"/>
    <s v=""/>
    <s v=""/>
    <s v=""/>
    <s v=""/>
    <s v=""/>
    <s v=""/>
    <s v=""/>
    <s v=""/>
    <s v=""/>
    <s v=""/>
    <s v=""/>
    <s v=""/>
    <s v="oui"/>
    <s v="Vols_braquages extorsions Attaques_ecoles_sante Violences_physique_civils Recrutement_enfants"/>
    <s v="0"/>
    <s v="0"/>
    <s v="1"/>
    <s v="1"/>
    <s v="1"/>
    <s v="0"/>
    <s v="1"/>
    <s v="1"/>
    <s v="0"/>
    <s v="0"/>
    <s v="0"/>
    <s v="0"/>
    <s v="0"/>
    <s v="0"/>
    <s v=""/>
    <s v="Bebes/Bambins Enfants Filles Femmes_agees Hommes_ages"/>
    <s v="1"/>
    <s v="1"/>
    <s v="1"/>
    <s v="0"/>
    <s v="0"/>
    <s v="0"/>
    <s v="1"/>
    <s v="1"/>
    <s v="0"/>
    <s v="0"/>
    <s v="0"/>
    <s v="0"/>
    <s v="0"/>
    <s v="0"/>
    <s v=""/>
    <s v="4"/>
    <s v="augmente"/>
    <s v=""/>
    <s v="oui"/>
    <s v="viol agression_sexuelle agression_physique travail_force menace"/>
    <s v="1"/>
    <s v="1"/>
    <s v="1"/>
    <s v="0"/>
    <s v="0"/>
    <s v="0"/>
    <s v="1"/>
    <s v="0"/>
    <s v="0"/>
    <s v="0"/>
    <s v="1"/>
    <s v="0"/>
    <s v="0"/>
    <s v="0"/>
    <s v="0"/>
    <s v=""/>
    <s v="Bebes/Bambins Enfants Filles Femmes_agees Hommes_ages"/>
    <s v="1"/>
    <s v="1"/>
    <s v="1"/>
    <s v="0"/>
    <s v="0"/>
    <s v="0"/>
    <s v="1"/>
    <s v="1"/>
    <s v="0"/>
    <s v="0"/>
    <s v="0"/>
    <s v="0"/>
    <s v="0"/>
    <s v="0"/>
    <s v=""/>
    <s v="4"/>
    <s v="augmente"/>
    <s v=""/>
    <s v="deterioration_con_abris hausse_chomeurs diminution_moyens_existence"/>
    <s v="1"/>
    <s v="1"/>
    <s v="0"/>
    <s v="0"/>
    <s v="0"/>
    <s v="0"/>
    <s v="1"/>
    <s v="0"/>
    <s v="0"/>
    <s v="0"/>
    <s v=""/>
    <s v=""/>
    <s v=""/>
    <s v=""/>
    <s v=""/>
    <s v=""/>
    <s v=""/>
    <s v=""/>
    <s v=""/>
    <s v=""/>
    <s v=""/>
    <s v=""/>
    <s v=""/>
    <s v="Soutien_famille_amis Soutien_chef_village dplct_abords_com"/>
    <s v="1"/>
    <s v="0"/>
    <s v="1"/>
    <s v="1"/>
    <s v="0"/>
    <s v="0"/>
    <s v="0"/>
    <s v="0"/>
    <s v="0"/>
    <s v=""/>
    <s v=""/>
    <s v="famille_accueil comite_alerte femmes_elite"/>
    <s v="1"/>
    <s v="0"/>
    <s v="1"/>
    <s v="1"/>
    <s v="0"/>
    <s v="0"/>
    <s v="0"/>
    <s v="0"/>
    <s v="0"/>
    <s v="0"/>
    <s v=""/>
    <s v="oui"/>
    <s v="manif_sociales Chef_village Groupement_femmes Leaders_religieux"/>
    <s v="0"/>
    <s v="0"/>
    <s v="0"/>
    <s v="1"/>
    <s v="1"/>
    <s v="0"/>
    <s v="1"/>
    <s v="1"/>
    <s v="0"/>
    <s v="0"/>
    <s v="0"/>
    <s v="0"/>
    <s v="0"/>
    <s v="0"/>
    <s v=""/>
    <s v="oui_minorite"/>
    <s v="oui_minorite"/>
    <s v="manque_info trop_du_monde insecurite"/>
    <s v="0"/>
    <s v="1"/>
    <s v="0"/>
    <s v="0"/>
    <s v="1"/>
    <s v="1"/>
    <s v="0"/>
    <s v="0"/>
    <s v=""/>
    <s v="minorite"/>
    <s v="minorite"/>
    <s v="Education Service_de_counseling Services_de_sante Appui_psychosocial"/>
    <s v="1"/>
    <s v="1"/>
    <s v="1"/>
    <s v="1"/>
    <s v="0"/>
    <s v="0"/>
    <s v="0"/>
    <s v="0"/>
    <s v="0"/>
    <s v=""/>
    <s v="oui_minorite"/>
    <s v="oui_minorite"/>
    <s v="diminution_tensions repond_besoins_pop permet_negociation"/>
    <s v="0"/>
    <s v="1"/>
    <s v="0"/>
    <s v="0"/>
    <s v="1"/>
    <s v="1"/>
    <s v="0"/>
    <s v="0"/>
    <s v=""/>
    <s v="ne_repond_pas non_obtention_info ne_contribue_pas"/>
    <s v="1"/>
    <s v="1"/>
    <s v="1"/>
    <s v="0"/>
    <s v="0"/>
    <s v="0"/>
    <s v=""/>
    <s v=""/>
    <s v="oui_minorite"/>
    <s v="ingo autorite_locale_leaders ong_locale"/>
    <s v="0"/>
    <s v="0"/>
    <s v="1"/>
    <s v="0"/>
    <s v="1"/>
    <s v="1"/>
    <s v="0"/>
    <s v="0"/>
    <s v="0"/>
    <s v="0"/>
    <s v=""/>
    <s v="oui"/>
    <s v=""/>
    <s v="Bebes/Bambins Enfants Filles Femmes_agees Hommes_ages"/>
    <s v="1"/>
    <s v="1"/>
    <s v="1"/>
    <s v="0"/>
    <s v="0"/>
    <s v="0"/>
    <s v="1"/>
    <s v="1"/>
    <s v="0"/>
    <s v="0"/>
    <s v="0"/>
    <s v="0"/>
    <s v="0"/>
    <s v="0"/>
    <s v=""/>
    <s v="10"/>
    <s v="Services_conseil Services_educatifs Services_medicaux Appui_psychosocial"/>
    <s v="1"/>
    <s v="1"/>
    <s v="1"/>
    <s v="1"/>
    <s v="0"/>
    <s v="0"/>
    <s v="0"/>
    <s v="0"/>
    <s v="0"/>
    <s v="0"/>
    <s v=""/>
    <s v="prise_enchage reorientation signalement"/>
    <s v="1"/>
    <s v="1"/>
    <s v="1"/>
    <s v="0"/>
    <s v="0"/>
    <s v="0"/>
    <s v=""/>
    <s v="medical Psychosocia point_ecoute juridique centre_formation"/>
    <s v="1"/>
    <s v="1"/>
    <s v="1"/>
    <s v="1"/>
    <s v="0"/>
    <s v="0"/>
    <s v="1"/>
    <s v="0"/>
    <s v="0"/>
    <s v=""/>
    <s v="medical Psychosocia point_ecoute surete reinsertion"/>
    <s v="1"/>
    <s v="1"/>
    <s v="1"/>
    <s v="0"/>
    <s v="1"/>
    <s v="1"/>
    <s v="0"/>
    <s v="0"/>
    <s v="0"/>
    <s v=""/>
    <s v=""/>
    <s v="oui"/>
    <s v="manque_moyens manque_d'information manque_personnes tensions_locales manque_cordination"/>
    <s v="1"/>
    <s v="1"/>
    <s v="1"/>
    <s v="0"/>
    <s v="0"/>
    <s v="1"/>
    <s v="1"/>
    <s v="0"/>
    <s v="0"/>
    <s v="0"/>
    <s v="0"/>
    <s v=""/>
    <s v=""/>
    <s v=""/>
    <s v=""/>
    <s v=""/>
    <s v=""/>
    <s v=""/>
    <s v=""/>
    <s v=""/>
    <s v="non"/>
    <s v=""/>
    <s v=""/>
    <s v=""/>
    <s v=""/>
    <s v=""/>
    <s v=""/>
    <s v=""/>
    <s v=""/>
    <s v=""/>
    <s v=""/>
    <s v=""/>
    <s v=""/>
    <s v=""/>
    <s v="oui"/>
    <s v=""/>
    <s v="Plan d action"/>
    <n v="169351621"/>
    <s v="2c45eae5-09b0-45df-aaa6-49943c949afb"/>
    <s v="2021-04-02T19:01:44"/>
    <s v=""/>
    <s v="[]"/>
    <s v="submitted_via_web"/>
    <s v="reach_niger"/>
    <s v=""/>
    <n v="22"/>
  </r>
  <r>
    <s v="2021-03-31T15:47:17.884+01:00"/>
    <s v="2021-03-31T16:21:21.778+01:00"/>
    <s v="2021-03-31"/>
    <s v=""/>
    <s v=""/>
    <s v="Homme"/>
    <x v="5"/>
    <x v="11"/>
    <x v="29"/>
    <s v=""/>
    <s v=""/>
    <s v=""/>
    <s v=""/>
    <s v=""/>
    <s v=""/>
    <s v=""/>
    <s v=""/>
    <s v="Homme"/>
    <s v="25"/>
    <s v="deplace_interne"/>
    <s v=""/>
    <s v=""/>
    <s v=""/>
    <s v=""/>
    <s v=""/>
    <s v="niger"/>
    <s v="tillaberi"/>
    <s v="tera"/>
    <s v=""/>
    <s v=""/>
    <s v=""/>
    <s v=""/>
    <s v="oui"/>
    <s v="Attaques_ecoles_sante extorsions Violences_physique_civils Vols_braquages Kidnapping_Disparitions_forcees"/>
    <s v="0"/>
    <s v="0"/>
    <s v="1"/>
    <s v="1"/>
    <s v="1"/>
    <s v="1"/>
    <s v="0"/>
    <s v="1"/>
    <s v="0"/>
    <s v="0"/>
    <s v="0"/>
    <s v="0"/>
    <s v="0"/>
    <s v="0"/>
    <s v=""/>
    <s v="Bebes/Bambins Enfants Filles Femmes_agees Hommes_ages"/>
    <s v="1"/>
    <s v="1"/>
    <s v="1"/>
    <s v="0"/>
    <s v="0"/>
    <s v="0"/>
    <s v="1"/>
    <s v="1"/>
    <s v="0"/>
    <s v="0"/>
    <s v="0"/>
    <s v="0"/>
    <s v="0"/>
    <s v="0"/>
    <s v=""/>
    <s v="4"/>
    <s v="augmente"/>
    <s v=""/>
    <s v="oui"/>
    <s v="agression_physique travail_force exploitations_enfant menace enscrimination_acces_services"/>
    <s v="0"/>
    <s v="0"/>
    <s v="1"/>
    <s v="0"/>
    <s v="0"/>
    <s v="0"/>
    <s v="1"/>
    <s v="0"/>
    <s v="1"/>
    <s v="0"/>
    <s v="1"/>
    <s v="1"/>
    <s v="0"/>
    <s v="0"/>
    <s v="0"/>
    <s v=""/>
    <s v="Bebes/Bambins Enfants Filles Femmes_agees Hommes_ages"/>
    <s v="1"/>
    <s v="1"/>
    <s v="1"/>
    <s v="0"/>
    <s v="0"/>
    <s v="0"/>
    <s v="1"/>
    <s v="1"/>
    <s v="0"/>
    <s v="0"/>
    <s v="0"/>
    <s v="0"/>
    <s v="0"/>
    <s v="0"/>
    <s v=""/>
    <s v="4"/>
    <s v="augmente"/>
    <s v=""/>
    <s v="diminution_moyens_existence deterioration_con_abris hausse_chomeurs"/>
    <s v="1"/>
    <s v="1"/>
    <s v="0"/>
    <s v="0"/>
    <s v="0"/>
    <s v="0"/>
    <s v="1"/>
    <s v="0"/>
    <s v="0"/>
    <s v="0"/>
    <s v=""/>
    <s v=""/>
    <s v=""/>
    <s v=""/>
    <s v=""/>
    <s v=""/>
    <s v=""/>
    <s v=""/>
    <s v=""/>
    <s v=""/>
    <s v=""/>
    <s v=""/>
    <s v=""/>
    <s v="Soutien_famille_amis dplct_abords_com Integration_com_hote"/>
    <s v="1"/>
    <s v="1"/>
    <s v="1"/>
    <s v="0"/>
    <s v="0"/>
    <s v="0"/>
    <s v="0"/>
    <s v="0"/>
    <s v="0"/>
    <s v=""/>
    <s v=""/>
    <s v="famille_accueil comite_redevabilite femmes_elite"/>
    <s v="1"/>
    <s v="0"/>
    <s v="1"/>
    <s v="0"/>
    <s v="1"/>
    <s v="0"/>
    <s v="0"/>
    <s v="0"/>
    <s v="0"/>
    <s v="0"/>
    <s v=""/>
    <s v="oui"/>
    <s v="famille_amis Differents_comites_villageois manif_sociales Chef_village"/>
    <s v="0"/>
    <s v="0"/>
    <s v="0"/>
    <s v="1"/>
    <s v="1"/>
    <s v="1"/>
    <s v="0"/>
    <s v="0"/>
    <s v="1"/>
    <s v="0"/>
    <s v="0"/>
    <s v="0"/>
    <s v="0"/>
    <s v="0"/>
    <s v=""/>
    <s v="oui_minorite"/>
    <s v="oui_minorite"/>
    <s v="manque_info trop_du_monde insecurite"/>
    <s v="0"/>
    <s v="1"/>
    <s v="0"/>
    <s v="0"/>
    <s v="1"/>
    <s v="1"/>
    <s v="0"/>
    <s v="0"/>
    <s v=""/>
    <s v="minorite"/>
    <s v="minorite"/>
    <s v="Service_de_counseling Appui_psychosocial Education Services_de_sante"/>
    <s v="1"/>
    <s v="1"/>
    <s v="1"/>
    <s v="1"/>
    <s v="0"/>
    <s v="0"/>
    <s v="0"/>
    <s v="0"/>
    <s v="0"/>
    <s v=""/>
    <s v="oui_minorite"/>
    <s v="oui_minorite"/>
    <s v="diminution_tensions permet_eviter_conflits amelioration_futur"/>
    <s v="1"/>
    <s v="0"/>
    <s v="0"/>
    <s v="1"/>
    <s v="0"/>
    <s v="1"/>
    <s v="0"/>
    <s v="0"/>
    <s v=""/>
    <s v="ne_repond_pas ne_contribue_pas non_obtention_info"/>
    <s v="1"/>
    <s v="1"/>
    <s v="1"/>
    <s v="0"/>
    <s v="0"/>
    <s v="0"/>
    <s v=""/>
    <s v=""/>
    <s v="oui_minorite"/>
    <s v="ingo ong_locale autorite_locale_leaders"/>
    <s v="0"/>
    <s v="0"/>
    <s v="1"/>
    <s v="0"/>
    <s v="1"/>
    <s v="1"/>
    <s v="0"/>
    <s v="0"/>
    <s v="0"/>
    <s v="0"/>
    <s v=""/>
    <s v="oui"/>
    <s v=""/>
    <s v="Bebes/Bambins Enfants Filles Femmes_agees Hommes_ages"/>
    <s v="1"/>
    <s v="1"/>
    <s v="1"/>
    <s v="0"/>
    <s v="0"/>
    <s v="0"/>
    <s v="1"/>
    <s v="1"/>
    <s v="0"/>
    <s v="0"/>
    <s v="0"/>
    <s v="0"/>
    <s v="0"/>
    <s v="0"/>
    <s v=""/>
    <s v="10"/>
    <s v="Services_medicaux Services_educatifs Services_conseil acces_docs Appui_psychosocial"/>
    <s v="1"/>
    <s v="1"/>
    <s v="1"/>
    <s v="1"/>
    <s v="1"/>
    <s v="0"/>
    <s v="0"/>
    <s v="0"/>
    <s v="0"/>
    <s v="0"/>
    <s v=""/>
    <s v="reorientation prise_enchage signalement"/>
    <s v="1"/>
    <s v="1"/>
    <s v="1"/>
    <s v="0"/>
    <s v="0"/>
    <s v="0"/>
    <s v=""/>
    <s v="surete centre_formation Psychosocia medical point_ecoute"/>
    <s v="1"/>
    <s v="1"/>
    <s v="1"/>
    <s v="0"/>
    <s v="1"/>
    <s v="0"/>
    <s v="1"/>
    <s v="0"/>
    <s v="0"/>
    <s v=""/>
    <s v="medical Psychosocia surete centre_formation point_ecoute"/>
    <s v="1"/>
    <s v="1"/>
    <s v="1"/>
    <s v="0"/>
    <s v="1"/>
    <s v="0"/>
    <s v="1"/>
    <s v="0"/>
    <s v="0"/>
    <s v=""/>
    <s v=""/>
    <s v="oui"/>
    <s v="manque_moyens manque_d'information manque_personnes tensions_locales manque_definition"/>
    <s v="1"/>
    <s v="1"/>
    <s v="1"/>
    <s v="0"/>
    <s v="0"/>
    <s v="1"/>
    <s v="0"/>
    <s v="1"/>
    <s v="0"/>
    <s v="0"/>
    <s v="0"/>
    <s v=""/>
    <s v=""/>
    <s v=""/>
    <s v=""/>
    <s v=""/>
    <s v=""/>
    <s v=""/>
    <s v=""/>
    <s v=""/>
    <s v="oui"/>
    <s v="violence_physique violence_psycho menace_mort menace_enlevement"/>
    <s v="1"/>
    <s v="1"/>
    <s v="0"/>
    <s v="0"/>
    <s v="1"/>
    <s v="1"/>
    <s v="0"/>
    <s v="0"/>
    <s v="0"/>
    <s v="0"/>
    <s v=""/>
    <s v="non"/>
    <s v="oui"/>
    <s v=""/>
    <s v="Manque d eau et surtout manque de vivres alimentaire"/>
    <n v="168983534"/>
    <s v="5a69afca-39c4-42b3-adf8-6b7e98c35f20"/>
    <s v="2021-03-31T21:00:27"/>
    <s v=""/>
    <s v="[]"/>
    <s v="submitted_via_web"/>
    <s v="reach_niger"/>
    <s v=""/>
    <n v="1"/>
  </r>
  <r>
    <s v="2021-04-03T09:41:49.968+01:00"/>
    <s v="2021-04-03T10:17:35.323+01:00"/>
    <s v="2021-04-03"/>
    <s v=""/>
    <s v=""/>
    <s v="Homme"/>
    <x v="4"/>
    <x v="12"/>
    <x v="30"/>
    <s v=""/>
    <s v=""/>
    <s v=""/>
    <s v=""/>
    <s v=""/>
    <s v=""/>
    <s v=""/>
    <s v=""/>
    <s v="Homme"/>
    <s v="45"/>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 v="1"/>
    <s v="1"/>
    <s v="0"/>
    <s v="0"/>
    <s v="0"/>
    <s v="0"/>
    <s v="0"/>
    <s v="0"/>
    <s v="0"/>
    <s v=""/>
    <s v=""/>
    <s v="comite_protection comite_gestion_conflits"/>
    <s v="0"/>
    <s v="1"/>
    <s v="0"/>
    <s v="0"/>
    <s v="0"/>
    <s v="1"/>
    <s v="0"/>
    <s v="0"/>
    <s v="0"/>
    <s v="0"/>
    <s v=""/>
    <s v="oui"/>
    <s v="Chef_village famille_amis"/>
    <s v="0"/>
    <s v="0"/>
    <s v="0"/>
    <s v="0"/>
    <s v="1"/>
    <s v="1"/>
    <s v="0"/>
    <s v="0"/>
    <s v="0"/>
    <s v="0"/>
    <s v="0"/>
    <s v="0"/>
    <s v="0"/>
    <s v="0"/>
    <s v=""/>
    <s v="oui_moitie"/>
    <s v="oui_moitie"/>
    <s v="manque_info"/>
    <s v="0"/>
    <s v="1"/>
    <s v="0"/>
    <s v="0"/>
    <s v="0"/>
    <s v="0"/>
    <s v="0"/>
    <s v="0"/>
    <s v=""/>
    <s v="majorite"/>
    <s v="majorite"/>
    <s v="Education Services_de_sante Appui_psychosocial"/>
    <s v="1"/>
    <s v="1"/>
    <s v="0"/>
    <s v="1"/>
    <s v="0"/>
    <s v="0"/>
    <s v="0"/>
    <s v="0"/>
    <s v="0"/>
    <s v=""/>
    <s v="oui_minorite"/>
    <s v="oui_minorite"/>
    <s v="amelioration_futur repond_besoins_pop permet_obtenir_conseils"/>
    <s v="1"/>
    <s v="1"/>
    <s v="1"/>
    <s v="0"/>
    <s v="0"/>
    <s v="0"/>
    <s v="0"/>
    <s v="0"/>
    <s v=""/>
    <s v="ne_contribue_pas ne_repond_pas non_obtention_info"/>
    <s v="1"/>
    <s v="1"/>
    <s v="1"/>
    <s v="0"/>
    <s v="0"/>
    <s v="0"/>
    <s v=""/>
    <s v=""/>
    <s v="oui_ensemble"/>
    <s v="ingo"/>
    <s v="0"/>
    <s v="0"/>
    <s v="0"/>
    <s v="0"/>
    <s v="1"/>
    <s v="0"/>
    <s v="0"/>
    <s v="0"/>
    <s v="0"/>
    <s v="0"/>
    <s v=""/>
    <s v=""/>
    <s v=""/>
    <s v=""/>
    <s v=""/>
    <s v=""/>
    <s v=""/>
    <s v=""/>
    <s v=""/>
    <s v=""/>
    <s v=""/>
    <s v=""/>
    <s v=""/>
    <s v=""/>
    <s v=""/>
    <s v=""/>
    <s v=""/>
    <s v=""/>
    <s v=""/>
    <s v="1"/>
    <s v="Services_medicaux Services_educatifs acces_docs"/>
    <s v="0"/>
    <s v="1"/>
    <s v="1"/>
    <s v="0"/>
    <s v="1"/>
    <s v="0"/>
    <s v="0"/>
    <s v="0"/>
    <s v="0"/>
    <s v="0"/>
    <s v=""/>
    <s v="reorientation"/>
    <s v="0"/>
    <s v="1"/>
    <s v="0"/>
    <s v="0"/>
    <s v="0"/>
    <s v="0"/>
    <s v=""/>
    <s v=""/>
    <s v=""/>
    <s v=""/>
    <s v=""/>
    <s v=""/>
    <s v=""/>
    <s v=""/>
    <s v=""/>
    <s v=""/>
    <s v=""/>
    <s v=""/>
    <s v="point_ecoute reinsertion"/>
    <s v="0"/>
    <s v="0"/>
    <s v="1"/>
    <s v="0"/>
    <s v="0"/>
    <s v="1"/>
    <s v="0"/>
    <s v="0"/>
    <s v="0"/>
    <s v=""/>
    <s v=""/>
    <s v="oui"/>
    <s v="manque_moyens manque_cordination"/>
    <s v="1"/>
    <s v="0"/>
    <s v="0"/>
    <s v="0"/>
    <s v="0"/>
    <s v="0"/>
    <s v="1"/>
    <s v="0"/>
    <s v="0"/>
    <s v="0"/>
    <s v="0"/>
    <s v=""/>
    <s v=""/>
    <s v=""/>
    <s v=""/>
    <s v=""/>
    <s v=""/>
    <s v=""/>
    <s v=""/>
    <s v=""/>
    <s v="non"/>
    <s v=""/>
    <s v=""/>
    <s v=""/>
    <s v=""/>
    <s v=""/>
    <s v=""/>
    <s v=""/>
    <s v=""/>
    <s v=""/>
    <s v=""/>
    <s v=""/>
    <s v=""/>
    <s v=""/>
    <s v="oui"/>
    <s v=""/>
    <s v=""/>
    <n v="169469469"/>
    <s v="c4365d9a-f053-4bfc-9cdf-b67ceddbe41e"/>
    <s v="2021-04-03T15:16:57"/>
    <s v=""/>
    <s v="[]"/>
    <s v="submitted_via_web"/>
    <s v="reach_niger"/>
    <s v=""/>
    <n v="39"/>
  </r>
  <r>
    <s v="2021-04-03T11:28:23.971+01:00"/>
    <s v="2021-04-03T11:45:23.965+01:00"/>
    <s v="2021-04-03"/>
    <s v=""/>
    <s v=""/>
    <s v="Homme"/>
    <x v="4"/>
    <x v="12"/>
    <x v="31"/>
    <s v=""/>
    <s v=""/>
    <s v=""/>
    <s v=""/>
    <s v=""/>
    <s v=""/>
    <s v=""/>
    <s v=""/>
    <s v="Homme"/>
    <s v="39"/>
    <s v="deplace_interne"/>
    <s v=""/>
    <s v=""/>
    <s v=""/>
    <s v=""/>
    <s v=""/>
    <s v="niger"/>
    <s v="tillaberi"/>
    <s v="ayerou"/>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Integration_com_hote"/>
    <s v="0"/>
    <s v="1"/>
    <s v="0"/>
    <s v="0"/>
    <s v="0"/>
    <s v="0"/>
    <s v="0"/>
    <s v="0"/>
    <s v="0"/>
    <s v=""/>
    <s v=""/>
    <s v="comite_protection"/>
    <s v="0"/>
    <s v="1"/>
    <s v="0"/>
    <s v="0"/>
    <s v="0"/>
    <s v="0"/>
    <s v="0"/>
    <s v="0"/>
    <s v="0"/>
    <s v="0"/>
    <s v=""/>
    <s v="oui"/>
    <s v="Radio_television Chef_village"/>
    <s v="1"/>
    <s v="0"/>
    <s v="0"/>
    <s v="0"/>
    <s v="1"/>
    <s v="0"/>
    <s v="0"/>
    <s v="0"/>
    <s v="0"/>
    <s v="0"/>
    <s v="0"/>
    <s v="0"/>
    <s v="0"/>
    <s v="0"/>
    <s v=""/>
    <s v="oui_ensemble"/>
    <s v="oui_moitie"/>
    <s v="manque_info"/>
    <s v="0"/>
    <s v="1"/>
    <s v="0"/>
    <s v="0"/>
    <s v="0"/>
    <s v="0"/>
    <s v="0"/>
    <s v="0"/>
    <s v=""/>
    <s v="moitie"/>
    <s v="majorite"/>
    <s v="Education Services_de_sante Acces_aux_doc"/>
    <s v="0"/>
    <s v="1"/>
    <s v="0"/>
    <s v="1"/>
    <s v="1"/>
    <s v="0"/>
    <s v="0"/>
    <s v="0"/>
    <s v="0"/>
    <s v=""/>
    <s v="oui_ensemble"/>
    <s v="oui_ensemble"/>
    <s v="amelioration_futur repond_besoins_pop permet_eviter_conflits"/>
    <s v="1"/>
    <s v="1"/>
    <s v="0"/>
    <s v="1"/>
    <s v="0"/>
    <s v="0"/>
    <s v="0"/>
    <s v="0"/>
    <s v=""/>
    <s v=""/>
    <s v=""/>
    <s v=""/>
    <s v=""/>
    <s v=""/>
    <s v=""/>
    <s v=""/>
    <s v=""/>
    <s v=""/>
    <s v="non"/>
    <s v=""/>
    <s v=""/>
    <s v=""/>
    <s v=""/>
    <s v=""/>
    <s v=""/>
    <s v=""/>
    <s v=""/>
    <s v=""/>
    <s v=""/>
    <s v=""/>
    <s v=""/>
    <s v="oui"/>
    <s v=""/>
    <s v=""/>
    <s v=""/>
    <s v=""/>
    <s v=""/>
    <s v=""/>
    <s v=""/>
    <s v=""/>
    <s v=""/>
    <s v=""/>
    <s v=""/>
    <s v=""/>
    <s v=""/>
    <s v=""/>
    <s v=""/>
    <s v=""/>
    <s v=""/>
    <s v="1"/>
    <s v="Services_medicaux acces_docs Services_conseil"/>
    <s v="0"/>
    <s v="1"/>
    <s v="0"/>
    <s v="1"/>
    <s v="1"/>
    <s v="0"/>
    <s v="0"/>
    <s v="0"/>
    <s v="0"/>
    <s v="0"/>
    <s v=""/>
    <s v="reorientation"/>
    <s v="0"/>
    <s v="1"/>
    <s v="0"/>
    <s v="0"/>
    <s v="0"/>
    <s v="0"/>
    <s v=""/>
    <s v=""/>
    <s v=""/>
    <s v=""/>
    <s v=""/>
    <s v=""/>
    <s v=""/>
    <s v=""/>
    <s v=""/>
    <s v=""/>
    <s v=""/>
    <s v=""/>
    <s v="point_ecoute reinsertion"/>
    <s v="0"/>
    <s v="0"/>
    <s v="1"/>
    <s v="0"/>
    <s v="0"/>
    <s v="1"/>
    <s v="0"/>
    <s v="0"/>
    <s v="0"/>
    <s v=""/>
    <s v=""/>
    <s v="non"/>
    <s v=""/>
    <s v=""/>
    <s v=""/>
    <s v=""/>
    <s v=""/>
    <s v=""/>
    <s v=""/>
    <s v=""/>
    <s v=""/>
    <s v=""/>
    <s v=""/>
    <s v=""/>
    <s v=""/>
    <s v=""/>
    <s v=""/>
    <s v=""/>
    <s v=""/>
    <s v=""/>
    <s v=""/>
    <s v=""/>
    <s v=""/>
    <s v="non"/>
    <s v=""/>
    <s v=""/>
    <s v=""/>
    <s v=""/>
    <s v=""/>
    <s v=""/>
    <s v=""/>
    <s v=""/>
    <s v=""/>
    <s v=""/>
    <s v=""/>
    <s v=""/>
    <s v=""/>
    <s v="non"/>
    <s v=""/>
    <s v=""/>
    <n v="169469480"/>
    <s v="24d5d018-15b8-4956-96a2-5a9f22803457"/>
    <s v="2021-04-03T15:17:11"/>
    <s v=""/>
    <s v="[]"/>
    <s v="submitted_via_web"/>
    <s v="reach_niger"/>
    <s v=""/>
    <n v="40"/>
  </r>
  <r>
    <s v="2021-04-07T13:42:06.836+01:00"/>
    <s v="2021-04-07T14:05:56.183+01:00"/>
    <s v="2021-04-07"/>
    <s v=""/>
    <s v=""/>
    <s v="Homme"/>
    <x v="8"/>
    <x v="13"/>
    <x v="32"/>
    <s v=""/>
    <s v=""/>
    <s v=""/>
    <s v=""/>
    <s v=""/>
    <s v=""/>
    <s v=""/>
    <s v=""/>
    <s v="Homme"/>
    <s v="30"/>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Autre"/>
    <s v="0"/>
    <s v="0"/>
    <s v="0"/>
    <s v="0"/>
    <s v="0"/>
    <s v="0"/>
    <s v="0"/>
    <s v="1"/>
    <s v="0"/>
    <s v="0"/>
    <s v="Chef de village "/>
    <s v="ne_sait_pas"/>
    <s v=""/>
    <s v=""/>
    <s v=""/>
    <s v=""/>
    <s v=""/>
    <s v=""/>
    <s v=""/>
    <s v=""/>
    <s v=""/>
    <s v=""/>
    <s v=""/>
    <s v=""/>
    <s v=""/>
    <s v=""/>
    <s v=""/>
    <s v=""/>
    <s v=""/>
    <s v=""/>
    <s v=""/>
    <s v=""/>
    <s v=""/>
    <s v=""/>
    <s v=""/>
    <s v=""/>
    <s v=""/>
    <s v=""/>
    <s v=""/>
    <s v=""/>
    <s v=""/>
    <s v=""/>
    <s v=""/>
    <s v=""/>
    <s v=""/>
    <s v=""/>
    <s v=""/>
    <s v=""/>
    <s v=""/>
    <s v=""/>
    <s v=""/>
    <s v=""/>
    <s v=""/>
    <s v=""/>
    <s v=""/>
    <s v=""/>
    <s v=""/>
    <s v=""/>
    <s v=""/>
    <s v=""/>
    <s v=""/>
    <s v=""/>
    <s v=""/>
    <s v=""/>
    <s v=""/>
    <s v=""/>
    <s v=""/>
    <s v=""/>
    <s v=""/>
    <s v=""/>
    <s v=""/>
    <s v=""/>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Paix,sécurité et le reste va venir tels que l'alimentation "/>
    <n v="170268445"/>
    <s v="d5ba87a2-015b-4a2f-95ff-e2f732a967d8"/>
    <s v="2021-04-07T17:50:17"/>
    <s v=""/>
    <s v="[]"/>
    <s v="submitted_via_web"/>
    <s v="reach_niger"/>
    <s v=""/>
    <n v="53"/>
  </r>
  <r>
    <s v="2021-04-08T14:33:28.425+01:00"/>
    <s v="2021-04-08T15:07:08.603+01:00"/>
    <s v="2021-04-08"/>
    <s v=""/>
    <s v=""/>
    <s v="Femme"/>
    <x v="8"/>
    <x v="13"/>
    <x v="33"/>
    <s v=""/>
    <s v=""/>
    <s v=""/>
    <s v=""/>
    <s v=""/>
    <s v=""/>
    <s v=""/>
    <s v=""/>
    <s v="Femme"/>
    <s v="18"/>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Ne_sait_pas"/>
    <s v="0"/>
    <s v="0"/>
    <s v="0"/>
    <s v="0"/>
    <s v="0"/>
    <s v="0"/>
    <s v="0"/>
    <s v="0"/>
    <s v="1"/>
    <s v="0"/>
    <s v=""/>
    <s v="oui"/>
    <s v="Radio_television Chef_village"/>
    <s v="1"/>
    <s v="0"/>
    <s v="0"/>
    <s v="0"/>
    <s v="1"/>
    <s v="0"/>
    <s v="0"/>
    <s v="0"/>
    <s v="0"/>
    <s v="0"/>
    <s v="0"/>
    <s v="0"/>
    <s v="0"/>
    <s v="0"/>
    <s v=""/>
    <s v="oui_minorite"/>
    <s v="oui_ensemble"/>
    <s v=""/>
    <s v=""/>
    <s v=""/>
    <s v=""/>
    <s v=""/>
    <s v=""/>
    <s v=""/>
    <s v=""/>
    <s v=""/>
    <s v=""/>
    <s v="moitie"/>
    <s v="majorite"/>
    <s v="Autre"/>
    <s v="0"/>
    <s v="0"/>
    <s v="0"/>
    <s v="0"/>
    <s v="0"/>
    <s v="0"/>
    <s v="0"/>
    <s v="1"/>
    <s v="0"/>
    <s v="Chef de village "/>
    <s v="oui_majorite"/>
    <s v="oui_majorite"/>
    <s v="amelioration_futur"/>
    <s v="1"/>
    <s v="0"/>
    <s v="0"/>
    <s v="0"/>
    <s v="0"/>
    <s v="0"/>
    <s v="0"/>
    <s v="0"/>
    <s v=""/>
    <s v="ne_contribue_pas"/>
    <s v="1"/>
    <s v="0"/>
    <s v="0"/>
    <s v="0"/>
    <s v="0"/>
    <s v="0"/>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Avoir vraiment la paix et retourner chez nous,c'est ca nôtre plus grand souhait"/>
    <n v="170583892"/>
    <s v="5f657c67-54a6-4b6c-acf6-9e0d817daced"/>
    <s v="2021-04-09T08:43:01"/>
    <s v=""/>
    <s v="[]"/>
    <s v="submitted_via_web"/>
    <s v="reach_niger"/>
    <s v=""/>
    <n v="61"/>
  </r>
  <r>
    <s v="2021-04-08T12:24:26.599+01:00"/>
    <s v="2021-04-08T12:56:01.524+01:00"/>
    <s v="2021-04-08"/>
    <s v=""/>
    <s v=""/>
    <s v="Homme"/>
    <x v="8"/>
    <x v="13"/>
    <x v="34"/>
    <s v=""/>
    <s v=""/>
    <s v=""/>
    <s v=""/>
    <s v=""/>
    <s v=""/>
    <s v=""/>
    <s v=""/>
    <s v="Homme"/>
    <s v="26"/>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Ne_sait_pas"/>
    <s v="0"/>
    <s v="0"/>
    <s v="0"/>
    <s v="0"/>
    <s v="0"/>
    <s v="0"/>
    <s v="0"/>
    <s v="0"/>
    <s v="1"/>
    <s v="0"/>
    <s v=""/>
    <s v="oui"/>
    <s v="Radio_television Chef_village"/>
    <s v="1"/>
    <s v="0"/>
    <s v="0"/>
    <s v="0"/>
    <s v="1"/>
    <s v="0"/>
    <s v="0"/>
    <s v="0"/>
    <s v="0"/>
    <s v="0"/>
    <s v="0"/>
    <s v="0"/>
    <s v="0"/>
    <s v="0"/>
    <s v=""/>
    <s v="oui_majorite"/>
    <s v="oui_majorite"/>
    <s v="manque_info"/>
    <s v="0"/>
    <s v="1"/>
    <s v="0"/>
    <s v="0"/>
    <s v="0"/>
    <s v="0"/>
    <s v="0"/>
    <s v="0"/>
    <s v=""/>
    <s v="majorite"/>
    <s v="majorite"/>
    <s v="Autre"/>
    <s v="0"/>
    <s v="0"/>
    <s v="0"/>
    <s v="0"/>
    <s v="0"/>
    <s v="0"/>
    <s v="0"/>
    <s v="1"/>
    <s v="0"/>
    <s v="Chef de village "/>
    <s v="oui_ensemble"/>
    <s v="oui_ensemble"/>
    <s v="amelioration_futur permet_eviter_conflits"/>
    <s v="1"/>
    <s v="0"/>
    <s v="0"/>
    <s v="1"/>
    <s v="0"/>
    <s v="0"/>
    <s v="0"/>
    <s v="0"/>
    <s v=""/>
    <s v=""/>
    <s v=""/>
    <s v=""/>
    <s v=""/>
    <s v=""/>
    <s v=""/>
    <s v=""/>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Être heureux,avoir l'accès aux services de base"/>
    <n v="170583875"/>
    <s v="cd124284-5b82-4317-b34e-7c1f127b64ca"/>
    <s v="2021-04-09T08:42:55"/>
    <s v=""/>
    <s v="[]"/>
    <s v="submitted_via_web"/>
    <s v="reach_niger"/>
    <s v=""/>
    <n v="59"/>
  </r>
  <r>
    <s v="2021-04-08T13:58:51.231+01:00"/>
    <s v="2021-04-08T14:32:40.075+01:00"/>
    <s v="2021-04-08"/>
    <s v=""/>
    <s v=""/>
    <s v="Homme"/>
    <x v="8"/>
    <x v="13"/>
    <x v="33"/>
    <s v=""/>
    <s v=""/>
    <s v=""/>
    <s v=""/>
    <s v=""/>
    <s v=""/>
    <s v=""/>
    <s v=""/>
    <s v="Femme"/>
    <s v="40"/>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Ne_sait_pas"/>
    <s v="0"/>
    <s v="0"/>
    <s v="0"/>
    <s v="0"/>
    <s v="0"/>
    <s v="0"/>
    <s v="0"/>
    <s v="0"/>
    <s v="1"/>
    <s v="0"/>
    <s v=""/>
    <s v="oui"/>
    <s v="Chef_village"/>
    <s v="0"/>
    <s v="0"/>
    <s v="0"/>
    <s v="0"/>
    <s v="1"/>
    <s v="0"/>
    <s v="0"/>
    <s v="0"/>
    <s v="0"/>
    <s v="0"/>
    <s v="0"/>
    <s v="0"/>
    <s v="0"/>
    <s v="0"/>
    <s v=""/>
    <s v="oui_minorite"/>
    <s v="oui_minorite"/>
    <s v="manque_info"/>
    <s v="0"/>
    <s v="1"/>
    <s v="0"/>
    <s v="0"/>
    <s v="0"/>
    <s v="0"/>
    <s v="0"/>
    <s v="0"/>
    <s v=""/>
    <s v="aucun"/>
    <s v="aucun"/>
    <s v=""/>
    <s v=""/>
    <s v=""/>
    <s v=""/>
    <s v=""/>
    <s v=""/>
    <s v=""/>
    <s v=""/>
    <s v=""/>
    <s v=""/>
    <s v=""/>
    <s v="oui_minorite"/>
    <s v="oui_minorite"/>
    <s v="amelioration_futur"/>
    <s v="1"/>
    <s v="0"/>
    <s v="0"/>
    <s v="0"/>
    <s v="0"/>
    <s v="0"/>
    <s v="0"/>
    <s v="0"/>
    <s v=""/>
    <s v="Autre"/>
    <s v="0"/>
    <s v="0"/>
    <s v="0"/>
    <s v="0"/>
    <s v="1"/>
    <s v="0"/>
    <s v="Difficulté d'accès aux services pour manque d'informations"/>
    <s v=""/>
    <s v="non"/>
    <s v=""/>
    <s v=""/>
    <s v=""/>
    <s v=""/>
    <s v=""/>
    <s v=""/>
    <s v=""/>
    <s v=""/>
    <s v=""/>
    <s v=""/>
    <s v=""/>
    <s v=""/>
    <s v="oui"/>
    <s v=""/>
    <s v=""/>
    <s v=""/>
    <s v=""/>
    <s v=""/>
    <s v=""/>
    <s v=""/>
    <s v=""/>
    <s v=""/>
    <s v=""/>
    <s v=""/>
    <s v=""/>
    <s v=""/>
    <s v=""/>
    <s v=""/>
    <s v=""/>
    <s v=""/>
    <s v="2"/>
    <s v="points_ecoute"/>
    <s v="0"/>
    <s v="0"/>
    <s v="0"/>
    <s v="0"/>
    <s v="0"/>
    <s v="0"/>
    <s v="0"/>
    <s v="1"/>
    <s v="0"/>
    <s v="0"/>
    <s v=""/>
    <s v="signalement"/>
    <s v="0"/>
    <s v="0"/>
    <s v="1"/>
    <s v="0"/>
    <s v="0"/>
    <s v="0"/>
    <s v=""/>
    <s v=""/>
    <s v=""/>
    <s v=""/>
    <s v=""/>
    <s v=""/>
    <s v=""/>
    <s v=""/>
    <s v=""/>
    <s v=""/>
    <s v=""/>
    <s v=""/>
    <s v="surete point_ecoute"/>
    <s v="0"/>
    <s v="0"/>
    <s v="1"/>
    <s v="0"/>
    <s v="1"/>
    <s v="0"/>
    <s v="0"/>
    <s v="0"/>
    <s v="0"/>
    <s v=""/>
    <s v=""/>
    <s v="ne_sait_pas"/>
    <s v=""/>
    <s v=""/>
    <s v=""/>
    <s v=""/>
    <s v=""/>
    <s v=""/>
    <s v=""/>
    <s v=""/>
    <s v=""/>
    <s v=""/>
    <s v=""/>
    <s v=""/>
    <s v=""/>
    <s v=""/>
    <s v=""/>
    <s v=""/>
    <s v=""/>
    <s v=""/>
    <s v=""/>
    <s v=""/>
    <s v=""/>
    <s v="non"/>
    <s v=""/>
    <s v=""/>
    <s v=""/>
    <s v=""/>
    <s v=""/>
    <s v=""/>
    <s v=""/>
    <s v=""/>
    <s v=""/>
    <s v=""/>
    <s v=""/>
    <s v=""/>
    <s v=""/>
    <s v="oui"/>
    <s v=""/>
    <s v="Manger a sa faim,la santé,s'habiller et avoir de l'eau "/>
    <n v="170583888"/>
    <s v="d755a6c7-c370-401e-8246-e0f206b8d833"/>
    <s v="2021-04-09T08:43:00"/>
    <s v=""/>
    <s v="[]"/>
    <s v="submitted_via_web"/>
    <s v="reach_niger"/>
    <s v=""/>
    <n v="60"/>
  </r>
  <r>
    <s v="2021-04-07T12:45:52.334+01:00"/>
    <s v="2021-04-07T13:27:10.327+01:00"/>
    <s v="2021-04-07"/>
    <s v=""/>
    <s v=""/>
    <s v="Homme"/>
    <x v="8"/>
    <x v="13"/>
    <x v="32"/>
    <s v=""/>
    <s v=""/>
    <s v=""/>
    <s v=""/>
    <s v=""/>
    <s v=""/>
    <s v=""/>
    <s v=""/>
    <s v="Homme"/>
    <s v="42"/>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Ne_sait_pas"/>
    <s v="0"/>
    <s v="0"/>
    <s v="0"/>
    <s v="0"/>
    <s v="0"/>
    <s v="0"/>
    <s v="0"/>
    <s v="0"/>
    <s v="1"/>
    <s v="0"/>
    <s v=""/>
    <s v="oui"/>
    <s v="Chef_village"/>
    <s v="0"/>
    <s v="0"/>
    <s v="0"/>
    <s v="0"/>
    <s v="1"/>
    <s v="0"/>
    <s v="0"/>
    <s v="0"/>
    <s v="0"/>
    <s v="0"/>
    <s v="0"/>
    <s v="0"/>
    <s v="0"/>
    <s v="0"/>
    <s v=""/>
    <s v="oui_moitie"/>
    <s v="oui_moitie"/>
    <s v="manque_info"/>
    <s v="0"/>
    <s v="1"/>
    <s v="0"/>
    <s v="0"/>
    <s v="0"/>
    <s v="0"/>
    <s v="0"/>
    <s v="0"/>
    <s v=""/>
    <s v="minorite"/>
    <s v="minorite"/>
    <s v="Autre"/>
    <s v="0"/>
    <s v="0"/>
    <s v="0"/>
    <s v="0"/>
    <s v="0"/>
    <s v="0"/>
    <s v="0"/>
    <s v="1"/>
    <s v="0"/>
    <s v="Chef de village "/>
    <s v="oui_moitie"/>
    <s v="oui_moitie"/>
    <s v="amelioration_futur"/>
    <s v="1"/>
    <s v="0"/>
    <s v="0"/>
    <s v="0"/>
    <s v="0"/>
    <s v="0"/>
    <s v="0"/>
    <s v="0"/>
    <s v=""/>
    <s v="Autre"/>
    <s v="0"/>
    <s v="0"/>
    <s v="0"/>
    <s v="0"/>
    <s v="1"/>
    <s v="0"/>
    <s v="Difficulté d'accès aux services pour manque d'informations"/>
    <s v=""/>
    <s v="non"/>
    <s v=""/>
    <s v=""/>
    <s v=""/>
    <s v=""/>
    <s v=""/>
    <s v=""/>
    <s v=""/>
    <s v=""/>
    <s v=""/>
    <s v=""/>
    <s v=""/>
    <s v=""/>
    <s v="oui"/>
    <s v=""/>
    <s v=""/>
    <s v=""/>
    <s v=""/>
    <s v=""/>
    <s v=""/>
    <s v=""/>
    <s v=""/>
    <s v=""/>
    <s v=""/>
    <s v=""/>
    <s v=""/>
    <s v=""/>
    <s v=""/>
    <s v=""/>
    <s v=""/>
    <s v=""/>
    <s v="7"/>
    <s v="Services_conseil acces_docs"/>
    <s v="0"/>
    <s v="0"/>
    <s v="0"/>
    <s v="1"/>
    <s v="1"/>
    <s v="0"/>
    <s v="0"/>
    <s v="0"/>
    <s v="0"/>
    <s v="0"/>
    <s v=""/>
    <s v="signalement reorientation"/>
    <s v="0"/>
    <s v="1"/>
    <s v="1"/>
    <s v="0"/>
    <s v="0"/>
    <s v="0"/>
    <s v=""/>
    <s v=""/>
    <s v=""/>
    <s v=""/>
    <s v=""/>
    <s v=""/>
    <s v=""/>
    <s v=""/>
    <s v=""/>
    <s v=""/>
    <s v=""/>
    <s v=""/>
    <s v="Autre"/>
    <s v="0"/>
    <s v="0"/>
    <s v="0"/>
    <s v="0"/>
    <s v="0"/>
    <s v="0"/>
    <s v="0"/>
    <s v="1"/>
    <s v="0"/>
    <s v="Chef de village "/>
    <s v=""/>
    <s v="non"/>
    <s v=""/>
    <s v=""/>
    <s v=""/>
    <s v=""/>
    <s v=""/>
    <s v=""/>
    <s v=""/>
    <s v=""/>
    <s v=""/>
    <s v=""/>
    <s v=""/>
    <s v=""/>
    <s v=""/>
    <s v=""/>
    <s v=""/>
    <s v=""/>
    <s v=""/>
    <s v=""/>
    <s v=""/>
    <s v=""/>
    <s v=""/>
    <s v="non"/>
    <s v=""/>
    <s v=""/>
    <s v=""/>
    <s v=""/>
    <s v=""/>
    <s v=""/>
    <s v=""/>
    <s v=""/>
    <s v=""/>
    <s v=""/>
    <s v=""/>
    <s v=""/>
    <s v=""/>
    <s v="oui"/>
    <s v=""/>
    <s v="On veux la paix,manger a sa faim,avoir suffisamment d'eau "/>
    <n v="170268443"/>
    <s v="7e8e3932-526f-4633-8f11-e1ab80d1435f"/>
    <s v="2021-04-07T17:50:16"/>
    <s v=""/>
    <s v="[]"/>
    <s v="submitted_via_web"/>
    <s v="reach_niger"/>
    <s v=""/>
    <n v="52"/>
  </r>
  <r>
    <s v="2021-04-08T11:38:21.316+01:00"/>
    <s v="2021-04-08T12:24:14.792+01:00"/>
    <s v="2021-04-08"/>
    <s v=""/>
    <s v=""/>
    <s v="Homme"/>
    <x v="8"/>
    <x v="13"/>
    <x v="34"/>
    <s v=""/>
    <s v=""/>
    <s v=""/>
    <s v=""/>
    <s v=""/>
    <s v=""/>
    <s v=""/>
    <s v=""/>
    <s v="Homme"/>
    <s v="60"/>
    <s v="deplace_interne"/>
    <s v=""/>
    <s v=""/>
    <s v=""/>
    <s v=""/>
    <s v=""/>
    <s v="niger"/>
    <s v="tillaberi"/>
    <s v="ouallam"/>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s v="1"/>
    <s v="0"/>
    <s v="0"/>
    <s v="0"/>
    <s v="0"/>
    <s v="0"/>
    <s v="0"/>
    <s v="0"/>
    <s v="0"/>
    <s v=""/>
    <s v=""/>
    <s v="femmes_elite comite_gestion_conflits comite_protection"/>
    <s v="1"/>
    <s v="1"/>
    <s v="0"/>
    <s v="0"/>
    <s v="0"/>
    <s v="1"/>
    <s v="0"/>
    <s v="0"/>
    <s v="0"/>
    <s v="0"/>
    <s v=""/>
    <s v="oui"/>
    <s v="Radio_television Chef_village"/>
    <s v="1"/>
    <s v="0"/>
    <s v="0"/>
    <s v="0"/>
    <s v="1"/>
    <s v="0"/>
    <s v="0"/>
    <s v="0"/>
    <s v="0"/>
    <s v="0"/>
    <s v="0"/>
    <s v="0"/>
    <s v="0"/>
    <s v="0"/>
    <s v=""/>
    <s v="oui_majorite"/>
    <s v="oui_ensemble"/>
    <s v=""/>
    <s v=""/>
    <s v=""/>
    <s v=""/>
    <s v=""/>
    <s v=""/>
    <s v=""/>
    <s v=""/>
    <s v=""/>
    <s v=""/>
    <s v="majorite"/>
    <s v="majorite"/>
    <s v="Autre"/>
    <s v="0"/>
    <s v="0"/>
    <s v="0"/>
    <s v="0"/>
    <s v="0"/>
    <s v="0"/>
    <s v="0"/>
    <s v="1"/>
    <s v="0"/>
    <s v="Chef de village "/>
    <s v="oui_majorite"/>
    <s v="oui_majorite"/>
    <s v="amelioration_futur repond_besoins_pop"/>
    <s v="1"/>
    <s v="1"/>
    <s v="0"/>
    <s v="0"/>
    <s v="0"/>
    <s v="0"/>
    <s v="0"/>
    <s v="0"/>
    <s v=""/>
    <s v="Autre"/>
    <s v="0"/>
    <s v="0"/>
    <s v="0"/>
    <s v="0"/>
    <s v="1"/>
    <s v="0"/>
    <s v="Difficulté d'accès aux services pour manque d'informations"/>
    <s v=""/>
    <s v="oui_minorite"/>
    <s v="ingo"/>
    <s v="0"/>
    <s v="0"/>
    <s v="0"/>
    <s v="0"/>
    <s v="1"/>
    <s v="0"/>
    <s v="0"/>
    <s v="0"/>
    <s v="0"/>
    <s v="0"/>
    <s v=""/>
    <s v="oui"/>
    <s v=""/>
    <s v=""/>
    <s v=""/>
    <s v=""/>
    <s v=""/>
    <s v=""/>
    <s v=""/>
    <s v=""/>
    <s v=""/>
    <s v=""/>
    <s v=""/>
    <s v=""/>
    <s v=""/>
    <s v=""/>
    <s v=""/>
    <s v=""/>
    <s v=""/>
    <s v="103"/>
    <s v="acces_docs"/>
    <s v="0"/>
    <s v="0"/>
    <s v="0"/>
    <s v="0"/>
    <s v="1"/>
    <s v="0"/>
    <s v="0"/>
    <s v="0"/>
    <s v="0"/>
    <s v="0"/>
    <s v=""/>
    <s v="signalement"/>
    <s v="0"/>
    <s v="0"/>
    <s v="1"/>
    <n v="0"/>
    <s v="0"/>
    <s v="0"/>
    <s v=""/>
    <s v=""/>
    <s v=""/>
    <s v=""/>
    <s v=""/>
    <s v=""/>
    <s v=""/>
    <s v=""/>
    <s v=""/>
    <s v=""/>
    <s v=""/>
    <s v=""/>
    <s v="surete"/>
    <s v="0"/>
    <s v="0"/>
    <s v="0"/>
    <s v="0"/>
    <s v="1"/>
    <s v="0"/>
    <s v="0"/>
    <s v="0"/>
    <s v="0"/>
    <s v=""/>
    <s v=""/>
    <s v="non"/>
    <s v=""/>
    <s v=""/>
    <s v=""/>
    <s v=""/>
    <s v=""/>
    <s v=""/>
    <s v=""/>
    <s v=""/>
    <s v=""/>
    <s v=""/>
    <s v=""/>
    <s v=""/>
    <s v=""/>
    <s v=""/>
    <s v=""/>
    <s v=""/>
    <s v=""/>
    <s v=""/>
    <s v=""/>
    <s v=""/>
    <s v=""/>
    <s v="non"/>
    <s v=""/>
    <s v=""/>
    <s v=""/>
    <s v=""/>
    <s v=""/>
    <s v=""/>
    <s v=""/>
    <s v=""/>
    <s v=""/>
    <s v=""/>
    <s v=""/>
    <s v=""/>
    <s v=""/>
    <s v="oui"/>
    <s v=""/>
    <s v="Avoir a manger et de l'eau c'est largement suffisant "/>
    <n v="170460448"/>
    <s v="0f201dbd-3829-4257-8465-475cfc00abbe"/>
    <s v="2021-04-08T14:13:02"/>
    <s v=""/>
    <s v="[]"/>
    <s v="submitted_via_web"/>
    <s v="reach_niger"/>
    <s v=""/>
    <n v="55"/>
  </r>
  <r>
    <s v="2021-04-15T14:36:25.820+01:00"/>
    <s v="2021-04-15T15:13:39.718+01:00"/>
    <s v="2021-04-15"/>
    <s v=""/>
    <s v=""/>
    <s v="Homme"/>
    <x v="7"/>
    <x v="14"/>
    <x v="35"/>
    <s v="Kobadjé"/>
    <s v=""/>
    <s v=""/>
    <s v=""/>
    <s v=""/>
    <s v=""/>
    <s v=""/>
    <s v=""/>
    <s v="Femme"/>
    <s v="51"/>
    <s v="deplace_interne"/>
    <s v=""/>
    <s v=""/>
    <s v=""/>
    <s v=""/>
    <s v=""/>
    <s v="niger"/>
    <s v="tillaberi"/>
    <s v="torodi"/>
    <s v=""/>
    <s v=""/>
    <s v=""/>
    <s v=""/>
    <s v="non"/>
    <s v=""/>
    <s v=""/>
    <s v=""/>
    <s v=""/>
    <s v=""/>
    <s v=""/>
    <s v=""/>
    <s v=""/>
    <s v=""/>
    <s v=""/>
    <s v=""/>
    <s v=""/>
    <s v=""/>
    <s v=""/>
    <s v=""/>
    <s v=""/>
    <s v=""/>
    <s v=""/>
    <s v=""/>
    <s v=""/>
    <s v=""/>
    <s v=""/>
    <s v=""/>
    <s v=""/>
    <s v=""/>
    <s v=""/>
    <s v=""/>
    <s v=""/>
    <s v=""/>
    <s v=""/>
    <s v=""/>
    <s v=""/>
    <s v=""/>
    <s v=""/>
    <s v=""/>
    <s v="non"/>
    <s v=""/>
    <s v=""/>
    <s v=""/>
    <s v=""/>
    <s v=""/>
    <s v=""/>
    <s v=""/>
    <s v=""/>
    <s v=""/>
    <s v=""/>
    <s v=""/>
    <s v=""/>
    <s v=""/>
    <s v=""/>
    <s v=""/>
    <s v=""/>
    <s v=""/>
    <s v=""/>
    <s v=""/>
    <s v=""/>
    <s v=""/>
    <s v=""/>
    <s v=""/>
    <s v=""/>
    <s v=""/>
    <s v=""/>
    <s v=""/>
    <s v=""/>
    <s v=""/>
    <s v=""/>
    <s v=""/>
    <s v=""/>
    <s v=""/>
    <s v=""/>
    <s v=""/>
    <s v=""/>
    <s v=""/>
    <s v=""/>
    <s v=""/>
    <s v=""/>
    <s v=""/>
    <s v=""/>
    <s v=""/>
    <s v=""/>
    <s v=""/>
    <s v=""/>
    <s v=""/>
    <s v=""/>
    <s v=""/>
    <s v=""/>
    <s v=""/>
    <s v=""/>
    <s v=""/>
    <s v=""/>
    <s v=""/>
    <s v=""/>
    <s v=""/>
    <s v=""/>
    <s v=""/>
    <s v=""/>
    <s v="dplct_abords_com Integration_com_hote Soutien_en_AGR"/>
    <s v="1"/>
    <s v="1"/>
    <s v="0"/>
    <s v="0"/>
    <s v="0"/>
    <s v="1"/>
    <s v="0"/>
    <s v="0"/>
    <s v="0"/>
    <s v=""/>
    <s v=""/>
    <s v="famille_accueil comite_protection"/>
    <s v="0"/>
    <s v="1"/>
    <s v="1"/>
    <s v="0"/>
    <s v="0"/>
    <s v="0"/>
    <s v="0"/>
    <s v="0"/>
    <s v="0"/>
    <s v="0"/>
    <s v=""/>
    <s v="oui"/>
    <s v="Radio_television famille_amis Groupement_femmes"/>
    <s v="1"/>
    <s v="0"/>
    <s v="0"/>
    <s v="0"/>
    <s v="0"/>
    <s v="1"/>
    <s v="0"/>
    <s v="1"/>
    <s v="0"/>
    <s v="0"/>
    <s v="0"/>
    <s v="0"/>
    <s v="0"/>
    <s v="0"/>
    <s v=""/>
    <s v="oui_ensemble"/>
    <s v="oui_ensemble"/>
    <s v=""/>
    <s v=""/>
    <s v=""/>
    <s v=""/>
    <s v=""/>
    <s v=""/>
    <s v=""/>
    <s v=""/>
    <s v=""/>
    <s v=""/>
    <s v="ensemble"/>
    <s v="majorite"/>
    <s v="Appui_psychosocial Education Services_de_sante Acces_aux_doc"/>
    <s v="1"/>
    <s v="1"/>
    <s v="0"/>
    <s v="1"/>
    <s v="1"/>
    <s v="0"/>
    <s v="0"/>
    <s v="0"/>
    <s v="0"/>
    <s v=""/>
    <s v="oui_majorite"/>
    <s v="oui_majorite"/>
    <s v="amelioration_futur repond_besoins_pop permet_obtenir_conseils"/>
    <s v="1"/>
    <s v="1"/>
    <s v="1"/>
    <s v="0"/>
    <s v="0"/>
    <s v="0"/>
    <s v="0"/>
    <s v="0"/>
    <s v=""/>
    <s v="Ne_sait_pas"/>
    <s v="0"/>
    <s v="0"/>
    <s v="0"/>
    <s v="0"/>
    <s v="0"/>
    <s v="1"/>
    <s v=""/>
    <s v=""/>
    <s v="oui_majorite"/>
    <s v="ne_sait_pas"/>
    <s v="0"/>
    <s v="0"/>
    <s v="0"/>
    <s v="0"/>
    <s v="0"/>
    <s v="0"/>
    <s v="0"/>
    <s v="1"/>
    <s v="0"/>
    <s v="0"/>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non"/>
    <s v=""/>
    <s v=""/>
    <n v="171852744"/>
    <s v="0d68c4d2-8eb9-4e1a-90c2-5b734954eb98"/>
    <s v="2021-04-15T18:50:11"/>
    <s v=""/>
    <s v="[]"/>
    <s v="submitted_via_web"/>
    <s v="reach_niger"/>
    <s v=""/>
    <n v="67"/>
  </r>
  <r>
    <s v="2021-04-06T13:55:30.569+01:00"/>
    <s v="2021-04-06T14:37:12.398+01:00"/>
    <s v="2021-04-06"/>
    <s v=""/>
    <s v=""/>
    <s v="Homme"/>
    <x v="7"/>
    <x v="14"/>
    <x v="36"/>
    <s v=""/>
    <s v=""/>
    <s v=""/>
    <s v=""/>
    <s v=""/>
    <s v=""/>
    <s v=""/>
    <s v=""/>
    <s v="Homme"/>
    <s v="52"/>
    <s v="deplace_interne"/>
    <s v=""/>
    <s v=""/>
    <s v=""/>
    <s v=""/>
    <s v=""/>
    <s v="niger"/>
    <s v="tahoua"/>
    <s v="tahoua"/>
    <s v=""/>
    <s v=""/>
    <s v=""/>
    <s v=""/>
    <s v="oui"/>
    <s v="Violences_physique_civils"/>
    <s v="0"/>
    <s v="0"/>
    <s v="0"/>
    <s v="0"/>
    <s v="1"/>
    <s v="0"/>
    <s v="0"/>
    <s v="0"/>
    <s v="0"/>
    <s v="0"/>
    <s v="0"/>
    <s v="0"/>
    <s v="0"/>
    <s v="0"/>
    <s v=""/>
    <s v="Femmes Garçons Filles Hommes_ages Femmes_agees"/>
    <s v="0"/>
    <s v="0"/>
    <s v="1"/>
    <s v="1"/>
    <s v="1"/>
    <s v="0"/>
    <s v="1"/>
    <s v="1"/>
    <s v="0"/>
    <s v="0"/>
    <s v="0"/>
    <s v="0"/>
    <s v="0"/>
    <s v="0"/>
    <s v=""/>
    <s v="2"/>
    <s v="augmente"/>
    <s v=""/>
    <s v="oui"/>
    <s v="deni_de_ressource menace enscrimination_acces_services agression_physique"/>
    <s v="0"/>
    <s v="0"/>
    <s v="1"/>
    <s v="1"/>
    <s v="0"/>
    <s v="0"/>
    <s v="0"/>
    <s v="0"/>
    <s v="0"/>
    <s v="0"/>
    <s v="1"/>
    <s v="1"/>
    <s v="0"/>
    <s v="0"/>
    <s v="0"/>
    <s v=""/>
    <s v="Garçons Filles Femmes Hommes Toute_population"/>
    <s v="0"/>
    <s v="0"/>
    <s v="1"/>
    <s v="1"/>
    <s v="1"/>
    <s v="1"/>
    <s v="0"/>
    <s v="0"/>
    <s v="0"/>
    <s v="0"/>
    <s v="1"/>
    <s v="0"/>
    <s v="0"/>
    <s v="0"/>
    <s v=""/>
    <s v="3"/>
    <s v="augmente"/>
    <s v=""/>
    <s v="hausse_chomeurs deterioration_con_abris hausse_nbr_groupes_armees"/>
    <s v="0"/>
    <s v="1"/>
    <s v="0"/>
    <s v="0"/>
    <s v="1"/>
    <s v="0"/>
    <s v="1"/>
    <s v="0"/>
    <s v="0"/>
    <s v="0"/>
    <s v=""/>
    <s v=""/>
    <s v=""/>
    <s v=""/>
    <s v=""/>
    <s v=""/>
    <s v=""/>
    <s v=""/>
    <s v=""/>
    <s v=""/>
    <s v=""/>
    <s v=""/>
    <s v=""/>
    <s v="Soutien_chef_village dplct_abords_com Integration_com_hote Soutien_famille_amis Soutien_psychosocial"/>
    <s v="1"/>
    <s v="1"/>
    <s v="1"/>
    <s v="1"/>
    <s v="1"/>
    <s v="0"/>
    <s v="0"/>
    <s v="0"/>
    <s v="0"/>
    <s v=""/>
    <s v=""/>
    <s v="comite_protection femmes_elite famille_accueil comite_alerte comite_gestion_conflits enfant_pairs"/>
    <s v="1"/>
    <s v="1"/>
    <s v="1"/>
    <s v="1"/>
    <s v="0"/>
    <s v="1"/>
    <s v="1"/>
    <s v="0"/>
    <s v="0"/>
    <s v="0"/>
    <s v=""/>
    <s v="oui"/>
    <s v="Radio_television manif_sociales Differents_comites_villageois famille_amis"/>
    <s v="1"/>
    <s v="0"/>
    <s v="0"/>
    <s v="1"/>
    <s v="0"/>
    <s v="1"/>
    <s v="0"/>
    <s v="0"/>
    <s v="1"/>
    <s v="0"/>
    <s v="0"/>
    <s v="0"/>
    <s v="0"/>
    <s v="0"/>
    <s v=""/>
    <s v="oui_majorite"/>
    <s v="oui_majorite"/>
    <s v="manque_info non_utilisation trop_du_monde"/>
    <s v="0"/>
    <s v="1"/>
    <s v="0"/>
    <s v="1"/>
    <s v="1"/>
    <s v="0"/>
    <s v="0"/>
    <s v="0"/>
    <s v=""/>
    <s v="moitie"/>
    <s v="moitie"/>
    <s v="Acces_aux_doc Appui_psychosocial Suivi_judiciaire Services_de_sante Education"/>
    <s v="1"/>
    <s v="1"/>
    <s v="0"/>
    <s v="1"/>
    <s v="1"/>
    <s v="1"/>
    <s v="0"/>
    <s v="0"/>
    <s v="0"/>
    <s v=""/>
    <s v="oui_majorite"/>
    <s v="oui_majorite"/>
    <s v="repond_besoins_pop permet_eviter_conflits diminution_tensions"/>
    <s v="0"/>
    <s v="1"/>
    <s v="0"/>
    <s v="1"/>
    <s v="0"/>
    <s v="1"/>
    <s v="0"/>
    <s v="0"/>
    <s v=""/>
    <s v="ne_repond_pas"/>
    <s v="0"/>
    <s v="1"/>
    <s v="0"/>
    <s v="0"/>
    <s v="0"/>
    <s v="0"/>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Merci beaucoup  pour  la considération  et j aimerais  que la paix  règne  dans notre  pays; avec votre soutien  svp priez pour nous! "/>
    <n v="170008280"/>
    <s v="725de734-663a-44dc-be94-08875a93251f"/>
    <s v="2021-04-06T16:19:26"/>
    <s v=""/>
    <s v="[]"/>
    <s v="submitted_via_web"/>
    <s v="reach_niger"/>
    <s v=""/>
    <n v="46"/>
  </r>
  <r>
    <s v="2021-04-01T13:47:00.295+01:00"/>
    <s v="2021-04-01T16:42:03.804+01:00"/>
    <s v="2021-04-01"/>
    <s v=""/>
    <s v=""/>
    <s v="Homme"/>
    <x v="7"/>
    <x v="14"/>
    <x v="37"/>
    <s v=""/>
    <s v=""/>
    <s v=""/>
    <s v=""/>
    <s v=""/>
    <s v=""/>
    <s v=""/>
    <s v=""/>
    <s v="Homme"/>
    <s v="26"/>
    <s v="deplace_interne"/>
    <s v=""/>
    <s v=""/>
    <s v=""/>
    <s v=""/>
    <s v=""/>
    <s v="niger"/>
    <s v="tillaberi"/>
    <s v="torodi"/>
    <s v=""/>
    <s v=""/>
    <s v=""/>
    <s v=""/>
    <s v="oui"/>
    <s v="Violences_physique_civils Combat_groupes_armes"/>
    <s v="1"/>
    <s v="0"/>
    <s v="0"/>
    <s v="0"/>
    <s v="1"/>
    <s v="0"/>
    <s v="0"/>
    <s v="0"/>
    <s v="0"/>
    <s v="0"/>
    <s v="0"/>
    <s v="0"/>
    <s v="0"/>
    <s v="0"/>
    <s v=""/>
    <s v="Filles Femmes Garçons Toute_population Hommes"/>
    <s v="0"/>
    <s v="0"/>
    <s v="1"/>
    <s v="1"/>
    <s v="1"/>
    <s v="1"/>
    <s v="0"/>
    <s v="0"/>
    <s v="0"/>
    <s v="0"/>
    <s v="1"/>
    <s v="0"/>
    <s v="0"/>
    <s v="0"/>
    <s v=""/>
    <s v="1"/>
    <s v="augmente"/>
    <s v=""/>
    <s v="oui"/>
    <s v="agression_physique agression_psychologique mariage_force"/>
    <s v="0"/>
    <s v="0"/>
    <s v="1"/>
    <s v="0"/>
    <s v="1"/>
    <s v="1"/>
    <s v="0"/>
    <s v="0"/>
    <s v="0"/>
    <s v="0"/>
    <s v="0"/>
    <s v="0"/>
    <s v="0"/>
    <s v="0"/>
    <s v="0"/>
    <s v=""/>
    <s v="Hommes Femmes Filles"/>
    <s v="0"/>
    <s v="0"/>
    <s v="1"/>
    <s v="0"/>
    <s v="1"/>
    <s v="1"/>
    <s v="0"/>
    <s v="0"/>
    <s v="0"/>
    <s v="0"/>
    <s v="0"/>
    <s v="0"/>
    <s v="0"/>
    <s v="0"/>
    <s v=""/>
    <s v="1"/>
    <s v="augmente"/>
    <s v=""/>
    <s v="hausse_chomeurs deterioration_con_abris diminution_moyens_existence"/>
    <s v="1"/>
    <s v="1"/>
    <s v="0"/>
    <s v="0"/>
    <s v="0"/>
    <s v="0"/>
    <s v="1"/>
    <s v="0"/>
    <s v="0"/>
    <s v="0"/>
    <s v=""/>
    <s v=""/>
    <s v=""/>
    <s v=""/>
    <s v=""/>
    <s v=""/>
    <s v=""/>
    <s v=""/>
    <s v=""/>
    <s v=""/>
    <s v=""/>
    <s v=""/>
    <s v=""/>
    <s v="dplct_abords_com Soutien_famille_amis Soutien_chef_village Soutien_psychosocial Integration_com_hote"/>
    <s v="1"/>
    <s v="1"/>
    <s v="1"/>
    <s v="1"/>
    <s v="1"/>
    <s v="0"/>
    <s v="0"/>
    <s v="0"/>
    <s v="0"/>
    <s v=""/>
    <s v=""/>
    <s v="famille_accueil comite_gestion_conflits comite_protection comite_alerte comite_redevabilite"/>
    <s v="0"/>
    <s v="1"/>
    <s v="1"/>
    <s v="1"/>
    <s v="1"/>
    <s v="1"/>
    <s v="0"/>
    <s v="0"/>
    <s v="0"/>
    <s v="0"/>
    <s v=""/>
    <s v="oui"/>
    <s v="Radio_television manif_sociales Differents_comites_villageois Groupement_femmes"/>
    <s v="1"/>
    <s v="0"/>
    <s v="0"/>
    <s v="1"/>
    <s v="0"/>
    <s v="0"/>
    <s v="0"/>
    <s v="1"/>
    <s v="1"/>
    <s v="0"/>
    <s v="0"/>
    <s v="0"/>
    <s v="0"/>
    <s v="0"/>
    <s v=""/>
    <s v="oui_moitie"/>
    <s v="oui_moitie"/>
    <s v="manque_info trop_du_monde insecurite"/>
    <s v="0"/>
    <s v="1"/>
    <s v="0"/>
    <s v="0"/>
    <s v="1"/>
    <s v="1"/>
    <s v="0"/>
    <s v="0"/>
    <s v=""/>
    <s v="majorite"/>
    <s v="minorite"/>
    <s v="Acces_aux_doc Services_de_sante Education"/>
    <s v="0"/>
    <s v="1"/>
    <s v="0"/>
    <s v="1"/>
    <s v="1"/>
    <s v="0"/>
    <s v="0"/>
    <s v="0"/>
    <s v="0"/>
    <s v=""/>
    <s v="oui_majorite"/>
    <s v="oui_majorite"/>
    <s v="amelioration_futur repond_besoins_pop permet_eviter_conflits"/>
    <s v="1"/>
    <s v="1"/>
    <s v="0"/>
    <s v="1"/>
    <s v="0"/>
    <s v="0"/>
    <s v="0"/>
    <s v="0"/>
    <s v=""/>
    <s v="ne_contribue_pas ne_repond_pas non_diminition_tension"/>
    <s v="1"/>
    <s v="1"/>
    <s v="0"/>
    <s v="1"/>
    <s v="0"/>
    <s v="0"/>
    <s v=""/>
    <s v=""/>
    <s v="non"/>
    <s v=""/>
    <s v=""/>
    <s v=""/>
    <s v=""/>
    <s v=""/>
    <s v=""/>
    <s v=""/>
    <s v=""/>
    <s v=""/>
    <s v=""/>
    <s v=""/>
    <s v=""/>
    <s v="oui"/>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
    <s v="oui"/>
    <s v=""/>
    <s v="Tout d'abord  merci  beaucoup  a votre organisation pour la considération  et  pour tout les actions  que vous meniez pour nous   juste  pour répondre  a nos principaux  besoins je profite  de l occasion   pour vous demandez  de nous augmenter  ces effort  surtout avec l accroissent de la populations  déplacées  dans notre cite"/>
    <n v="169193429"/>
    <s v="0a047e3d-bf52-4de5-ba00-011a4a2b15e5"/>
    <s v="2021-04-01T16:46:06"/>
    <s v=""/>
    <s v="[]"/>
    <s v="submitted_via_web"/>
    <s v="reach_niger"/>
    <s v=""/>
    <n v="13"/>
  </r>
  <r>
    <s v="2021-04-16T11:25:21.284+01:00"/>
    <s v="2021-04-16T12:02:13.666+01:00"/>
    <s v="2021-04-16"/>
    <s v=""/>
    <s v=""/>
    <s v="Homme"/>
    <x v="7"/>
    <x v="14"/>
    <x v="38"/>
    <s v=""/>
    <s v=""/>
    <s v=""/>
    <s v=""/>
    <s v=""/>
    <s v=""/>
    <s v=""/>
    <s v=""/>
    <s v="Homme"/>
    <s v="54"/>
    <s v="deplace_interne"/>
    <s v=""/>
    <s v=""/>
    <s v=""/>
    <s v=""/>
    <s v=""/>
    <s v="niger"/>
    <s v="tillaberi"/>
    <s v="tillaberi"/>
    <s v=""/>
    <s v=""/>
    <s v=""/>
    <s v=""/>
    <s v="oui"/>
    <s v="Vols_braquages Violences_physique_civils Attaques_ecoles_sante"/>
    <s v="0"/>
    <s v="0"/>
    <s v="1"/>
    <s v="0"/>
    <s v="1"/>
    <s v="0"/>
    <s v="0"/>
    <s v="1"/>
    <s v="0"/>
    <s v="0"/>
    <s v="0"/>
    <s v="0"/>
    <s v="0"/>
    <s v="0"/>
    <s v=""/>
    <s v="Femmes_agees Hommes Femmes Garçons Hommes_ages"/>
    <s v="0"/>
    <s v="0"/>
    <s v="0"/>
    <s v="1"/>
    <s v="1"/>
    <s v="1"/>
    <s v="1"/>
    <s v="1"/>
    <s v="0"/>
    <s v="0"/>
    <s v="0"/>
    <s v="0"/>
    <s v="0"/>
    <s v="0"/>
    <s v=""/>
    <s v="4"/>
    <s v="augmente"/>
    <s v=""/>
    <s v="non"/>
    <s v=""/>
    <s v=""/>
    <s v=""/>
    <s v=""/>
    <s v=""/>
    <s v=""/>
    <s v=""/>
    <s v=""/>
    <s v=""/>
    <s v=""/>
    <s v=""/>
    <s v=""/>
    <s v=""/>
    <s v=""/>
    <s v=""/>
    <s v=""/>
    <s v=""/>
    <s v=""/>
    <s v=""/>
    <s v=""/>
    <s v=""/>
    <s v=""/>
    <s v=""/>
    <s v=""/>
    <s v=""/>
    <s v=""/>
    <s v=""/>
    <s v=""/>
    <s v=""/>
    <s v=""/>
    <s v=""/>
    <s v=""/>
    <s v=""/>
    <s v=""/>
    <s v=""/>
    <s v=""/>
    <s v="deterioration_acces_service_base diminution_moyens_existence hausse_nbr_groupes_armees"/>
    <s v="1"/>
    <s v="0"/>
    <s v="1"/>
    <s v="0"/>
    <s v="1"/>
    <s v="0"/>
    <s v="0"/>
    <s v="0"/>
    <s v="0"/>
    <s v="0"/>
    <s v=""/>
    <s v=""/>
    <s v=""/>
    <s v=""/>
    <s v=""/>
    <s v=""/>
    <s v=""/>
    <s v=""/>
    <s v=""/>
    <s v=""/>
    <s v=""/>
    <s v=""/>
    <s v=""/>
    <s v="Soutien_famille_amis Soutien_chef_village Integration_com_hote"/>
    <s v="0"/>
    <s v="1"/>
    <s v="1"/>
    <s v="1"/>
    <s v="0"/>
    <s v="0"/>
    <s v="0"/>
    <s v="0"/>
    <s v="0"/>
    <s v=""/>
    <s v=""/>
    <s v="comite_protection"/>
    <s v="0"/>
    <s v="1"/>
    <s v="0"/>
    <s v="0"/>
    <s v="0"/>
    <s v="0"/>
    <s v="0"/>
    <s v="0"/>
    <s v="0"/>
    <s v="0"/>
    <s v=""/>
    <s v="oui"/>
    <s v="Radio_television Chef_village Leaders_religieux famille_amis"/>
    <s v="1"/>
    <s v="0"/>
    <s v="0"/>
    <s v="0"/>
    <s v="1"/>
    <s v="1"/>
    <s v="1"/>
    <s v="0"/>
    <s v="0"/>
    <s v="0"/>
    <s v="0"/>
    <s v="0"/>
    <s v="0"/>
    <s v="0"/>
    <s v=""/>
    <s v="oui_majorite"/>
    <s v="oui_ensemble"/>
    <s v=""/>
    <s v=""/>
    <s v=""/>
    <s v=""/>
    <s v=""/>
    <s v=""/>
    <s v=""/>
    <s v=""/>
    <s v=""/>
    <s v=""/>
    <s v="ensemble"/>
    <s v="ensemble"/>
    <s v="Education Services_de_sante Acces_aux_doc"/>
    <s v="0"/>
    <s v="1"/>
    <s v="0"/>
    <s v="1"/>
    <s v="1"/>
    <s v="0"/>
    <s v="0"/>
    <s v="0"/>
    <s v="0"/>
    <s v=""/>
    <s v="oui_majorite"/>
    <s v="oui_ensemble"/>
    <s v="repond_besoins_pop permet_obtenir_conseils"/>
    <s v="0"/>
    <s v="1"/>
    <s v="1"/>
    <s v="0"/>
    <s v="0"/>
    <s v="0"/>
    <s v="0"/>
    <s v="0"/>
    <s v=""/>
    <s v="ne_contribue_pas"/>
    <s v="1"/>
    <s v="0"/>
    <s v="0"/>
    <s v="0"/>
    <s v="0"/>
    <s v="0"/>
    <s v=""/>
    <s v=""/>
    <s v="oui_ensemble"/>
    <s v="ingo fds_arme gvt"/>
    <s v="1"/>
    <s v="1"/>
    <s v="0"/>
    <s v="0"/>
    <s v="1"/>
    <s v="0"/>
    <s v="0"/>
    <s v="0"/>
    <s v="0"/>
    <s v="0"/>
    <s v=""/>
    <s v=""/>
    <s v=""/>
    <s v="Filles Garçons Femmes Femmes_agees handicap_physique"/>
    <s v="0"/>
    <s v="0"/>
    <s v="1"/>
    <s v="1"/>
    <s v="1"/>
    <s v="0"/>
    <s v="1"/>
    <s v="0"/>
    <s v="1"/>
    <s v="0"/>
    <s v="0"/>
    <s v="0"/>
    <s v="0"/>
    <s v="0"/>
    <s v=""/>
    <s v="100"/>
    <s v="Appui_psychosocial Services_medicaux Services_conseil acces_docs"/>
    <s v="1"/>
    <s v="1"/>
    <s v="0"/>
    <s v="1"/>
    <s v="1"/>
    <s v="0"/>
    <s v="0"/>
    <s v="0"/>
    <s v="0"/>
    <s v="0"/>
    <s v=""/>
    <s v="reorientation signalement"/>
    <s v="0"/>
    <s v="1"/>
    <s v="1"/>
    <s v="0"/>
    <s v="0"/>
    <s v="0"/>
    <s v=""/>
    <s v=""/>
    <s v=""/>
    <s v=""/>
    <s v=""/>
    <s v=""/>
    <s v=""/>
    <s v=""/>
    <s v=""/>
    <s v=""/>
    <s v=""/>
    <s v=""/>
    <s v="medical surete Psychosocia"/>
    <s v="1"/>
    <s v="1"/>
    <s v="0"/>
    <s v="0"/>
    <s v="1"/>
    <s v="0"/>
    <s v="0"/>
    <s v="0"/>
    <s v="0"/>
    <s v=""/>
    <s v=""/>
    <s v="non"/>
    <s v=""/>
    <s v=""/>
    <s v=""/>
    <s v=""/>
    <s v=""/>
    <s v=""/>
    <s v=""/>
    <s v=""/>
    <s v=""/>
    <s v=""/>
    <s v=""/>
    <s v=""/>
    <s v=""/>
    <s v=""/>
    <s v=""/>
    <s v=""/>
    <s v=""/>
    <s v=""/>
    <s v=""/>
    <s v=""/>
    <s v=""/>
    <s v="non"/>
    <s v=""/>
    <s v=""/>
    <s v=""/>
    <s v=""/>
    <s v=""/>
    <s v=""/>
    <s v=""/>
    <s v=""/>
    <s v=""/>
    <s v=""/>
    <s v=""/>
    <s v=""/>
    <s v=""/>
    <s v="oui"/>
    <s v=""/>
    <s v=""/>
    <n v="172010456"/>
    <s v="36016775-8b32-4563-b0aa-31f0c9e19495"/>
    <s v="2021-04-16T16:05:52"/>
    <s v=""/>
    <s v="[]"/>
    <s v="submitted_via_web"/>
    <s v="reach_niger"/>
    <s v=""/>
    <n v="71"/>
  </r>
  <r>
    <s v="2021-04-06T11:54:31.291+01:00"/>
    <s v="2021-04-06T12:20:30.773+01:00"/>
    <s v="2021-04-06"/>
    <s v=""/>
    <s v=""/>
    <s v="Homme"/>
    <x v="7"/>
    <x v="14"/>
    <x v="39"/>
    <s v=""/>
    <s v=""/>
    <s v=""/>
    <s v=""/>
    <s v=""/>
    <s v=""/>
    <s v=""/>
    <s v=""/>
    <s v="Homme"/>
    <s v="58"/>
    <s v="deplace_interne"/>
    <s v=""/>
    <s v=""/>
    <s v=""/>
    <s v=""/>
    <s v=""/>
    <s v="niger"/>
    <s v="tillaberi"/>
    <s v="torodi"/>
    <s v=""/>
    <s v=""/>
    <s v=""/>
    <s v=""/>
    <s v="oui"/>
    <s v="Vols_braquages attaques_engins_explosifs"/>
    <s v="0"/>
    <s v="0"/>
    <s v="1"/>
    <s v="0"/>
    <s v="0"/>
    <s v="0"/>
    <s v="0"/>
    <s v="0"/>
    <s v="0"/>
    <s v="0"/>
    <n v="1"/>
    <n v="0"/>
    <s v="0"/>
    <s v="0"/>
    <s v=""/>
    <s v="Femmes Hommes"/>
    <s v="0"/>
    <s v="0"/>
    <s v="0"/>
    <s v="0"/>
    <s v="1"/>
    <s v="1"/>
    <s v="0"/>
    <s v="0"/>
    <s v="0"/>
    <s v="0"/>
    <s v="0"/>
    <s v="0"/>
    <s v="0"/>
    <s v="0"/>
    <s v=""/>
    <s v="1"/>
    <s v="stable"/>
    <s v=""/>
    <s v="oui"/>
    <s v="agression_sexuelle mariage_force travail_force"/>
    <s v="0"/>
    <s v="1"/>
    <s v="0"/>
    <s v="0"/>
    <s v="0"/>
    <s v="1"/>
    <s v="1"/>
    <s v="0"/>
    <s v="0"/>
    <s v="0"/>
    <s v="0"/>
    <s v="0"/>
    <s v="0"/>
    <s v="0"/>
    <s v="0"/>
    <s v=""/>
    <s v="Filles Femmes Garçons"/>
    <s v="0"/>
    <s v="0"/>
    <s v="1"/>
    <s v="1"/>
    <s v="1"/>
    <s v="0"/>
    <s v="0"/>
    <s v="0"/>
    <s v="0"/>
    <s v="0"/>
    <s v="0"/>
    <s v="0"/>
    <s v="0"/>
    <s v="0"/>
    <s v=""/>
    <s v="1"/>
    <s v="stable"/>
    <s v=""/>
    <s v=""/>
    <s v=""/>
    <s v=""/>
    <s v=""/>
    <s v=""/>
    <s v=""/>
    <s v=""/>
    <s v=""/>
    <s v=""/>
    <s v=""/>
    <s v=""/>
    <s v=""/>
    <s v=""/>
    <s v=""/>
    <s v=""/>
    <s v=""/>
    <s v=""/>
    <s v=""/>
    <s v=""/>
    <s v=""/>
    <s v=""/>
    <s v=""/>
    <s v=""/>
    <s v=""/>
    <s v="Integration_com_hote"/>
    <s v="0"/>
    <s v="1"/>
    <s v="0"/>
    <s v="0"/>
    <s v="0"/>
    <s v="0"/>
    <s v="0"/>
    <s v="0"/>
    <s v="0"/>
    <s v=""/>
    <s v=""/>
    <s v="comite_protection"/>
    <s v="0"/>
    <s v="1"/>
    <s v="0"/>
    <s v="0"/>
    <s v="0"/>
    <s v="0"/>
    <s v="0"/>
    <s v="0"/>
    <s v="0"/>
    <s v="0"/>
    <s v=""/>
    <s v="oui"/>
    <s v="famille_amis Differents_comites_villageois Travailleurs_sociaux/hum"/>
    <s v="0"/>
    <s v="0"/>
    <s v="0"/>
    <s v="0"/>
    <s v="0"/>
    <s v="1"/>
    <s v="0"/>
    <s v="0"/>
    <s v="1"/>
    <s v="0"/>
    <s v="1"/>
    <s v="0"/>
    <s v="0"/>
    <s v="0"/>
    <s v=""/>
    <s v="oui_minorite"/>
    <s v="oui_minorite"/>
    <s v="non_fonctionnelle"/>
    <s v="1"/>
    <s v="0"/>
    <s v="0"/>
    <s v="0"/>
    <s v="0"/>
    <s v="0"/>
    <s v="0"/>
    <s v="0"/>
    <s v=""/>
    <s v="minorite"/>
    <s v="minorite"/>
    <s v="Education Services_de_sante Acces_aux_doc Suivi_judiciaire"/>
    <s v="0"/>
    <s v="1"/>
    <s v="0"/>
    <s v="1"/>
    <s v="1"/>
    <s v="1"/>
    <s v="0"/>
    <s v="0"/>
    <s v="0"/>
    <s v=""/>
    <s v="oui_minorite"/>
    <s v="oui_minorite"/>
    <s v="amelioration_futur repond_besoins_pop permet_obtenir_conseils"/>
    <s v="1"/>
    <s v="1"/>
    <s v="1"/>
    <s v="0"/>
    <s v="0"/>
    <s v="0"/>
    <s v="0"/>
    <s v="0"/>
    <s v=""/>
    <s v="ne_repond_pas"/>
    <s v="0"/>
    <s v="1"/>
    <s v="0"/>
    <s v="0"/>
    <s v="0"/>
    <s v="0"/>
    <s v=""/>
    <s v=""/>
    <s v="non"/>
    <s v=""/>
    <s v=""/>
    <s v=""/>
    <s v=""/>
    <s v=""/>
    <s v=""/>
    <s v=""/>
    <s v=""/>
    <s v=""/>
    <s v=""/>
    <s v=""/>
    <s v=""/>
    <s v="oui"/>
    <s v=""/>
    <s v="Enfants Bebes/Bambins Filles Femmes Garçons Hommes"/>
    <s v="1"/>
    <s v="1"/>
    <s v="1"/>
    <s v="1"/>
    <s v="1"/>
    <s v="1"/>
    <s v="0"/>
    <s v="0"/>
    <s v="0"/>
    <s v="0"/>
    <s v="0"/>
    <s v="0"/>
    <s v="0"/>
    <s v="0"/>
    <s v=""/>
    <s v="15"/>
    <s v="Appui_psychosocial Services_medicaux Services_educatifs acces_docs service_judiciaire"/>
    <s v="1"/>
    <s v="1"/>
    <s v="1"/>
    <s v="0"/>
    <s v="1"/>
    <s v="1"/>
    <s v="0"/>
    <s v="0"/>
    <s v="0"/>
    <s v="0"/>
    <s v=""/>
    <s v="reorientation"/>
    <s v="0"/>
    <s v="1"/>
    <s v="0"/>
    <s v="0"/>
    <s v="0"/>
    <s v="0"/>
    <s v=""/>
    <s v=""/>
    <s v=""/>
    <s v=""/>
    <s v=""/>
    <s v=""/>
    <s v=""/>
    <s v=""/>
    <s v=""/>
    <s v=""/>
    <s v=""/>
    <s v=""/>
    <s v="medical juridique"/>
    <s v="1"/>
    <s v="0"/>
    <s v="0"/>
    <s v="1"/>
    <s v="0"/>
    <s v="0"/>
    <s v="0"/>
    <s v="0"/>
    <s v="0"/>
    <s v=""/>
    <s v=""/>
    <s v="oui"/>
    <s v="manque_moyens manque_d'information manque_cordination manque_definition"/>
    <s v="1"/>
    <s v="0"/>
    <s v="1"/>
    <s v="0"/>
    <s v="0"/>
    <s v="0"/>
    <s v="1"/>
    <s v="1"/>
    <s v="0"/>
    <s v="0"/>
    <s v="0"/>
    <s v=""/>
    <s v=""/>
    <s v=""/>
    <s v=""/>
    <s v=""/>
    <s v=""/>
    <s v=""/>
    <s v=""/>
    <s v=""/>
    <s v="non"/>
    <s v=""/>
    <s v=""/>
    <s v=""/>
    <s v=""/>
    <s v=""/>
    <s v=""/>
    <s v=""/>
    <s v=""/>
    <s v=""/>
    <s v=""/>
    <s v=""/>
    <s v=""/>
    <s v=""/>
    <s v="oui"/>
    <s v=""/>
    <s v="Le viol existe dans la population mais aucun cas avec les deplacés internes"/>
    <n v="170008209"/>
    <s v="8362a8f2-dc3a-4d4e-a868-8db308208fe3"/>
    <s v="2021-04-06T16:18:23"/>
    <s v=""/>
    <s v="[]"/>
    <s v="submitted_via_web"/>
    <s v="reach_niger"/>
    <s v=""/>
    <n v="43"/>
  </r>
  <r>
    <s v="2021-03-30T16:37:58.527+01:00"/>
    <s v="2021-03-30T16:59:23.950+01:00"/>
    <s v="2021-03-30"/>
    <s v=""/>
    <s v=""/>
    <s v="Homme"/>
    <x v="7"/>
    <x v="14"/>
    <x v="40"/>
    <s v=""/>
    <s v=""/>
    <s v=""/>
    <s v=""/>
    <s v=""/>
    <s v=""/>
    <s v=""/>
    <s v=""/>
    <s v="Homme"/>
    <s v="53"/>
    <s v="deplace_interne"/>
    <s v=""/>
    <s v=""/>
    <s v=""/>
    <s v=""/>
    <s v=""/>
    <s v="niger"/>
    <s v="tillaberi"/>
    <s v="torodi"/>
    <s v=""/>
    <s v=""/>
    <s v=""/>
    <s v=""/>
    <s v="oui"/>
    <s v="extorsions"/>
    <s v="0"/>
    <s v="0"/>
    <s v="0"/>
    <n v="1"/>
    <s v="0"/>
    <s v="0"/>
    <s v="0"/>
    <s v="0"/>
    <s v="0"/>
    <s v="0"/>
    <s v="0"/>
    <n v="0"/>
    <s v="0"/>
    <s v="0"/>
    <s v=""/>
    <s v="Femmes Filles"/>
    <s v="0"/>
    <s v="0"/>
    <s v="1"/>
    <s v="0"/>
    <s v="1"/>
    <s v="0"/>
    <s v="0"/>
    <s v="0"/>
    <s v="0"/>
    <s v="0"/>
    <s v="0"/>
    <s v="0"/>
    <s v="0"/>
    <s v="0"/>
    <s v=""/>
    <s v="3"/>
    <s v="stable"/>
    <s v=""/>
    <s v="oui"/>
    <s v="mariage_force travail_force exploitations_enfant"/>
    <s v="0"/>
    <s v="0"/>
    <s v="0"/>
    <s v="0"/>
    <s v="0"/>
    <s v="1"/>
    <s v="1"/>
    <s v="0"/>
    <s v="1"/>
    <s v="0"/>
    <s v="0"/>
    <s v="0"/>
    <s v="0"/>
    <s v="0"/>
    <s v="0"/>
    <s v=""/>
    <s v="Filles Femmes Garçons"/>
    <s v="0"/>
    <s v="0"/>
    <s v="1"/>
    <s v="1"/>
    <s v="1"/>
    <s v="0"/>
    <s v="0"/>
    <s v="0"/>
    <s v="0"/>
    <s v="0"/>
    <s v="0"/>
    <s v="0"/>
    <s v="0"/>
    <s v="0"/>
    <s v=""/>
    <s v="4"/>
    <s v="augmente"/>
    <s v=""/>
    <s v="diminution_moyens_existence hausse_chomeurs"/>
    <s v="1"/>
    <s v="0"/>
    <s v="0"/>
    <s v="0"/>
    <s v="0"/>
    <s v="0"/>
    <s v="1"/>
    <s v="0"/>
    <s v="0"/>
    <s v="0"/>
    <s v=""/>
    <s v=""/>
    <s v=""/>
    <s v=""/>
    <s v=""/>
    <s v=""/>
    <s v=""/>
    <s v=""/>
    <s v=""/>
    <s v=""/>
    <s v=""/>
    <s v=""/>
    <s v=""/>
    <s v="Integration_com_hote"/>
    <s v="0"/>
    <s v="1"/>
    <s v="0"/>
    <s v="0"/>
    <s v="0"/>
    <s v="0"/>
    <s v="0"/>
    <s v="0"/>
    <s v="0"/>
    <s v=""/>
    <s v=""/>
    <s v="Aucun"/>
    <s v="0"/>
    <s v="0"/>
    <s v="0"/>
    <s v="0"/>
    <s v="0"/>
    <s v="0"/>
    <s v="0"/>
    <s v="0"/>
    <s v="0"/>
    <s v="1"/>
    <s v=""/>
    <s v="oui"/>
    <s v="manif_sociales Chef_village"/>
    <s v="0"/>
    <s v="0"/>
    <s v="0"/>
    <s v="1"/>
    <s v="1"/>
    <s v="0"/>
    <s v="0"/>
    <s v="0"/>
    <s v="0"/>
    <s v="0"/>
    <s v="0"/>
    <s v="0"/>
    <s v="0"/>
    <s v="0"/>
    <s v=""/>
    <s v="oui_moitie"/>
    <s v="oui_moitie"/>
    <s v="non_utilisation"/>
    <s v="0"/>
    <s v="0"/>
    <s v="0"/>
    <s v="1"/>
    <s v="0"/>
    <s v="0"/>
    <s v="0"/>
    <s v="0"/>
    <s v=""/>
    <s v="minorite"/>
    <s v="minorite"/>
    <s v="Education Services_de_sante"/>
    <s v="0"/>
    <s v="1"/>
    <s v="0"/>
    <s v="1"/>
    <s v="0"/>
    <s v="0"/>
    <s v="0"/>
    <s v="0"/>
    <s v="0"/>
    <s v=""/>
    <s v="oui_minorite"/>
    <s v="oui_minorite"/>
    <s v="amelioration_futur permet_obtenir_conseils"/>
    <s v="1"/>
    <s v="0"/>
    <s v="1"/>
    <s v="0"/>
    <s v="0"/>
    <s v="0"/>
    <s v="0"/>
    <s v="0"/>
    <s v=""/>
    <s v="ne_contribue_pas ne_repond_pas"/>
    <s v="1"/>
    <s v="1"/>
    <s v="0"/>
    <s v="0"/>
    <s v="0"/>
    <s v="0"/>
    <s v=""/>
    <s v=""/>
    <s v="non"/>
    <s v=""/>
    <s v=""/>
    <s v=""/>
    <s v=""/>
    <s v=""/>
    <s v=""/>
    <s v=""/>
    <s v=""/>
    <s v=""/>
    <s v=""/>
    <s v=""/>
    <s v=""/>
    <s v="oui"/>
    <s v=""/>
    <s v="Hommes"/>
    <s v="0"/>
    <s v="0"/>
    <s v="0"/>
    <s v="0"/>
    <s v="0"/>
    <s v="1"/>
    <s v="0"/>
    <s v="0"/>
    <s v="0"/>
    <s v="0"/>
    <s v="0"/>
    <s v="0"/>
    <s v="0"/>
    <s v="0"/>
    <s v=""/>
    <s v="11"/>
    <s v="Services_medicaux Services_educatifs"/>
    <s v="0"/>
    <s v="1"/>
    <s v="1"/>
    <s v="0"/>
    <s v="0"/>
    <s v="0"/>
    <s v="0"/>
    <s v="0"/>
    <s v="0"/>
    <s v="0"/>
    <s v=""/>
    <s v="reorientation"/>
    <s v="0"/>
    <s v="1"/>
    <s v="0"/>
    <s v="0"/>
    <s v="0"/>
    <s v="0"/>
    <s v=""/>
    <s v=""/>
    <s v=""/>
    <s v=""/>
    <s v=""/>
    <s v=""/>
    <s v=""/>
    <s v=""/>
    <s v=""/>
    <s v=""/>
    <s v=""/>
    <s v=""/>
    <s v="medical juridique"/>
    <s v="1"/>
    <s v="0"/>
    <s v="0"/>
    <s v="1"/>
    <s v="0"/>
    <s v="0"/>
    <s v="0"/>
    <s v="0"/>
    <s v="0"/>
    <s v=""/>
    <s v=""/>
    <s v="oui"/>
    <s v="manque_moyens manque_personnes manque_d'information probleme_orientation manque_definition"/>
    <s v="1"/>
    <s v="1"/>
    <s v="1"/>
    <s v="1"/>
    <s v="0"/>
    <s v="0"/>
    <s v="0"/>
    <s v="1"/>
    <s v="0"/>
    <s v="0"/>
    <s v="0"/>
    <s v=""/>
    <s v="pb_secu pb_coordination"/>
    <s v="0"/>
    <s v="0"/>
    <s v="1"/>
    <s v="1"/>
    <s v="0"/>
    <s v="0"/>
    <s v=""/>
    <s v="non"/>
    <s v=""/>
    <s v=""/>
    <s v=""/>
    <s v=""/>
    <s v=""/>
    <s v=""/>
    <s v=""/>
    <s v=""/>
    <s v=""/>
    <s v=""/>
    <s v=""/>
    <s v=""/>
    <s v=""/>
    <s v="oui"/>
    <s v=""/>
    <s v="Besoin crucial d'un comité effective et des sensibilisation sur le systeme de referencement"/>
    <n v="168634044"/>
    <s v="02a9caf3-64b7-41c2-874a-a83d26d75258"/>
    <s v="2021-03-30T16:58:17"/>
    <s v=""/>
    <s v="[]"/>
    <s v="submitted_via_web"/>
    <s v="reach_niger"/>
    <s v=""/>
    <n v="5"/>
  </r>
  <r>
    <s v="2021-03-30T14:55:22.911+01:00"/>
    <s v="2021-03-30T15:21:18.690+01:00"/>
    <s v="2021-03-30"/>
    <s v=""/>
    <s v=""/>
    <s v="Homme"/>
    <x v="7"/>
    <x v="14"/>
    <x v="41"/>
    <s v=""/>
    <s v=""/>
    <s v=""/>
    <s v=""/>
    <s v=""/>
    <s v=""/>
    <s v=""/>
    <s v=""/>
    <s v="Homme"/>
    <s v="57"/>
    <s v="deplace_interne"/>
    <s v=""/>
    <s v=""/>
    <s v=""/>
    <s v=""/>
    <s v=""/>
    <s v="niger"/>
    <s v="tillaberi"/>
    <s v="torodi"/>
    <s v=""/>
    <s v=""/>
    <s v=""/>
    <s v=""/>
    <s v="oui"/>
    <s v="Violences_physique_civils"/>
    <s v="0"/>
    <s v="0"/>
    <s v="0"/>
    <s v="0"/>
    <s v="1"/>
    <s v="0"/>
    <s v="0"/>
    <s v="0"/>
    <s v="0"/>
    <s v="0"/>
    <s v="0"/>
    <s v="0"/>
    <s v="0"/>
    <s v="0"/>
    <s v=""/>
    <s v="Hommes_ages"/>
    <s v="0"/>
    <s v="0"/>
    <s v="0"/>
    <s v="0"/>
    <s v="0"/>
    <s v="0"/>
    <s v="0"/>
    <s v="1"/>
    <s v="0"/>
    <s v="0"/>
    <s v="0"/>
    <s v="0"/>
    <s v="0"/>
    <s v="0"/>
    <s v=""/>
    <s v="plusde5"/>
    <s v="diminue"/>
    <s v=""/>
    <s v="oui"/>
    <s v="exploitations_enfant"/>
    <s v="0"/>
    <s v="0"/>
    <s v="0"/>
    <s v="0"/>
    <s v="0"/>
    <s v="0"/>
    <s v="0"/>
    <s v="0"/>
    <s v="1"/>
    <s v="0"/>
    <s v="0"/>
    <s v="0"/>
    <s v="0"/>
    <s v="0"/>
    <s v="0"/>
    <s v=""/>
    <s v="Enfants Filles"/>
    <s v="0"/>
    <s v="1"/>
    <s v="1"/>
    <s v="0"/>
    <s v="0"/>
    <s v="0"/>
    <s v="0"/>
    <s v="0"/>
    <s v="0"/>
    <s v="0"/>
    <s v="0"/>
    <s v="0"/>
    <s v="0"/>
    <s v="0"/>
    <s v=""/>
    <s v="3"/>
    <s v="diminue"/>
    <s v=""/>
    <s v=""/>
    <s v=""/>
    <s v=""/>
    <s v=""/>
    <s v=""/>
    <s v=""/>
    <s v=""/>
    <s v=""/>
    <s v=""/>
    <s v=""/>
    <s v=""/>
    <s v=""/>
    <s v="stabilisation_aug_moyen_existence amelioration_acces_service_base"/>
    <s v="1"/>
    <s v="0"/>
    <s v="1"/>
    <s v="0"/>
    <s v="0"/>
    <s v="0"/>
    <s v="0"/>
    <s v="0"/>
    <s v="0"/>
    <s v=""/>
    <s v=""/>
    <s v="Integration_com_hote Soutien_psychosocial Soutien_en_AGR"/>
    <s v="0"/>
    <s v="1"/>
    <s v="0"/>
    <s v="0"/>
    <s v="1"/>
    <s v="1"/>
    <s v="0"/>
    <s v="0"/>
    <s v="0"/>
    <s v=""/>
    <s v=""/>
    <s v="comite_protection famille_accueil comite_redevabilite comite_gestion_conflits enfant_pairs"/>
    <s v="0"/>
    <s v="1"/>
    <s v="1"/>
    <s v="0"/>
    <s v="1"/>
    <s v="1"/>
    <s v="1"/>
    <s v="0"/>
    <s v="0"/>
    <s v="0"/>
    <s v=""/>
    <s v="oui"/>
    <s v="Travailleurs_sociaux/hum Groupement_femmes famille_amis"/>
    <s v="0"/>
    <s v="0"/>
    <s v="0"/>
    <s v="0"/>
    <s v="0"/>
    <s v="1"/>
    <s v="0"/>
    <s v="1"/>
    <s v="0"/>
    <s v="0"/>
    <s v="1"/>
    <s v="0"/>
    <s v="0"/>
    <s v="0"/>
    <s v=""/>
    <s v="oui_majorite"/>
    <s v="oui_majorite"/>
    <s v="manque_info"/>
    <s v="0"/>
    <s v="1"/>
    <s v="0"/>
    <s v="0"/>
    <s v="0"/>
    <s v="0"/>
    <s v="0"/>
    <s v="0"/>
    <s v=""/>
    <s v="majorite"/>
    <s v="majorite"/>
    <s v="Education Services_de_sante Suivi_judiciaire"/>
    <s v="0"/>
    <s v="1"/>
    <s v="0"/>
    <s v="1"/>
    <s v="0"/>
    <s v="1"/>
    <s v="0"/>
    <s v="0"/>
    <s v="0"/>
    <s v=""/>
    <s v="oui_majorite"/>
    <s v="oui_majorite"/>
    <s v="repond_besoins_pop permet_eviter_conflits amelioration_futur"/>
    <s v="1"/>
    <s v="1"/>
    <s v="0"/>
    <s v="1"/>
    <s v="0"/>
    <s v="0"/>
    <s v="0"/>
    <s v="0"/>
    <s v=""/>
    <s v="non_obtention_info ne_contribue_pas"/>
    <s v="1"/>
    <s v="0"/>
    <s v="1"/>
    <s v="0"/>
    <s v="0"/>
    <s v="0"/>
    <s v=""/>
    <s v=""/>
    <s v="oui_majorite"/>
    <s v="fds_arme famille_amis"/>
    <s v="0"/>
    <s v="1"/>
    <s v="0"/>
    <s v="0"/>
    <s v="0"/>
    <s v="0"/>
    <s v="1"/>
    <s v="0"/>
    <s v="0"/>
    <s v="0"/>
    <s v=""/>
    <s v="oui"/>
    <s v=""/>
    <s v="Filles Garçons Femmes Hommes"/>
    <s v="0"/>
    <s v="0"/>
    <s v="1"/>
    <s v="1"/>
    <s v="1"/>
    <s v="1"/>
    <s v="0"/>
    <s v="0"/>
    <s v="0"/>
    <s v="0"/>
    <s v="0"/>
    <s v="0"/>
    <s v="0"/>
    <s v="0"/>
    <s v=""/>
    <s v="83"/>
    <s v="Services_medicaux Services_educatifs acces_docs service_judiciaire programme_agr"/>
    <s v="0"/>
    <s v="1"/>
    <s v="1"/>
    <s v="0"/>
    <s v="1"/>
    <s v="1"/>
    <s v="1"/>
    <s v="0"/>
    <s v="0"/>
    <s v="0"/>
    <s v=""/>
    <s v="reorientation"/>
    <s v="0"/>
    <s v="1"/>
    <s v="0"/>
    <s v="0"/>
    <s v="0"/>
    <s v="0"/>
    <s v=""/>
    <s v=""/>
    <s v=""/>
    <s v=""/>
    <s v=""/>
    <s v=""/>
    <s v=""/>
    <s v=""/>
    <s v=""/>
    <s v=""/>
    <s v=""/>
    <s v=""/>
    <s v="medical juridique"/>
    <s v="1"/>
    <s v="0"/>
    <s v="0"/>
    <s v="1"/>
    <s v="0"/>
    <s v="0"/>
    <s v="0"/>
    <s v="0"/>
    <s v="0"/>
    <s v=""/>
    <s v=""/>
    <s v="oui"/>
    <s v="manque_moyens manque_personnes probleme_orientation manque_cordination"/>
    <s v="1"/>
    <s v="1"/>
    <s v="0"/>
    <s v="1"/>
    <s v="0"/>
    <s v="0"/>
    <s v="1"/>
    <s v="0"/>
    <s v="0"/>
    <s v="0"/>
    <s v="0"/>
    <s v=""/>
    <s v="pb_coordination"/>
    <s v="0"/>
    <s v="0"/>
    <s v="0"/>
    <s v="1"/>
    <s v="0"/>
    <s v="0"/>
    <s v=""/>
    <s v="non"/>
    <s v=""/>
    <s v=""/>
    <s v=""/>
    <s v=""/>
    <s v=""/>
    <s v=""/>
    <s v=""/>
    <s v=""/>
    <s v=""/>
    <s v=""/>
    <s v=""/>
    <s v=""/>
    <s v=""/>
    <s v="oui"/>
    <s v=""/>
    <s v="L'IC semble  bien maitriser la qurstion car toutes les informations des deplacés internes passent par lui."/>
    <n v="168634033"/>
    <s v="89461351-e488-4d0c-8e6e-7e08d3e0d976"/>
    <s v="2021-03-30T16:58:16"/>
    <s v=""/>
    <s v="[]"/>
    <s v="submitted_via_web"/>
    <s v="reach_niger"/>
    <s v=""/>
    <n v="2"/>
  </r>
  <r>
    <s v="2021-04-01T11:27:41.126+01:00"/>
    <s v="2021-04-01T17:39:16.636+01:00"/>
    <s v="2021-04-01"/>
    <s v=""/>
    <s v=""/>
    <s v="Homme"/>
    <x v="7"/>
    <x v="14"/>
    <x v="42"/>
    <s v=""/>
    <s v=""/>
    <s v=""/>
    <s v=""/>
    <s v=""/>
    <s v=""/>
    <s v=""/>
    <s v=""/>
    <s v="Homme"/>
    <s v="47"/>
    <s v="deplace_interne"/>
    <s v=""/>
    <s v=""/>
    <s v=""/>
    <s v=""/>
    <s v=""/>
    <s v="niger"/>
    <s v="tillaberi"/>
    <s v="torodi"/>
    <s v=""/>
    <s v=""/>
    <s v=""/>
    <s v=""/>
    <s v="oui"/>
    <s v="Violences_physique_civils"/>
    <s v="0"/>
    <s v="0"/>
    <s v="0"/>
    <s v="0"/>
    <s v="1"/>
    <s v="0"/>
    <s v="0"/>
    <s v="0"/>
    <s v="0"/>
    <s v="0"/>
    <s v="0"/>
    <s v="0"/>
    <s v="0"/>
    <s v="0"/>
    <s v=""/>
    <s v="Filles Femmes"/>
    <s v="0"/>
    <s v="0"/>
    <s v="1"/>
    <s v="0"/>
    <s v="1"/>
    <s v="0"/>
    <s v="0"/>
    <s v="0"/>
    <s v="0"/>
    <s v="0"/>
    <s v="0"/>
    <s v="0"/>
    <s v="0"/>
    <s v="0"/>
    <s v=""/>
    <s v="2"/>
    <s v="augmente"/>
    <s v=""/>
    <s v="oui"/>
    <s v="deni_de_ressource viol mariage_force"/>
    <s v="1"/>
    <s v="0"/>
    <s v="0"/>
    <s v="1"/>
    <s v="0"/>
    <s v="1"/>
    <s v="0"/>
    <s v="0"/>
    <s v="0"/>
    <s v="0"/>
    <s v="0"/>
    <s v="0"/>
    <s v="0"/>
    <s v="0"/>
    <s v="0"/>
    <s v=""/>
    <s v="Filles Enfants Garçons"/>
    <s v="0"/>
    <s v="1"/>
    <s v="1"/>
    <s v="1"/>
    <s v="0"/>
    <s v="0"/>
    <s v="0"/>
    <s v="0"/>
    <s v="0"/>
    <s v="0"/>
    <s v="0"/>
    <s v="0"/>
    <s v="0"/>
    <s v="0"/>
    <s v=""/>
    <s v="plusde5"/>
    <s v="augmente"/>
    <s v=""/>
    <s v="deterioration_con_abris hausse_chomeurs deterioration_acces_service_base"/>
    <s v="0"/>
    <s v="1"/>
    <s v="1"/>
    <s v="0"/>
    <s v="0"/>
    <s v="0"/>
    <s v="1"/>
    <s v="0"/>
    <s v="0"/>
    <s v="0"/>
    <s v=""/>
    <s v=""/>
    <s v=""/>
    <s v=""/>
    <s v=""/>
    <s v=""/>
    <s v=""/>
    <s v=""/>
    <s v=""/>
    <s v=""/>
    <s v=""/>
    <s v=""/>
    <s v=""/>
    <s v="Soutien_chef_village Soutien_famille_amis Soutien_psychosocial Integration_com_hote dplct_abords_com"/>
    <s v="1"/>
    <s v="1"/>
    <s v="1"/>
    <s v="1"/>
    <s v="1"/>
    <s v="0"/>
    <s v="0"/>
    <s v="0"/>
    <s v="0"/>
    <s v=""/>
    <s v=""/>
    <s v="comite_protection famille_accueil comite_alerte comite_gestion_conflits enfant_pairs comite_redevabilite"/>
    <s v="0"/>
    <s v="1"/>
    <s v="1"/>
    <s v="1"/>
    <s v="1"/>
    <s v="1"/>
    <s v="1"/>
    <s v="0"/>
    <s v="0"/>
    <s v="0"/>
    <s v=""/>
    <s v="oui"/>
    <s v="Radio_television Differents_comites_villageois manif_sociales"/>
    <s v="1"/>
    <s v="0"/>
    <s v="0"/>
    <s v="1"/>
    <s v="0"/>
    <s v="0"/>
    <s v="0"/>
    <s v="0"/>
    <s v="1"/>
    <s v="0"/>
    <s v="0"/>
    <s v="0"/>
    <s v="0"/>
    <s v="0"/>
    <s v=""/>
    <s v="oui_majorite"/>
    <s v="oui_majorite"/>
    <s v="manque_info insecurite non_fonctionnelle"/>
    <s v="1"/>
    <s v="1"/>
    <s v="0"/>
    <s v="0"/>
    <s v="0"/>
    <s v="1"/>
    <s v="0"/>
    <s v="0"/>
    <s v=""/>
    <s v="minorite"/>
    <s v="minorite"/>
    <s v="Appui_psychosocial Service_de_counseling Services_de_sante Education Acces_aux_doc Suivi_judiciaire Programme_AGR"/>
    <s v="1"/>
    <s v="1"/>
    <s v="1"/>
    <s v="1"/>
    <s v="1"/>
    <s v="1"/>
    <s v="1"/>
    <s v="0"/>
    <s v="0"/>
    <s v=""/>
    <s v="oui_majorite"/>
    <s v="oui_moitie"/>
    <s v="repond_besoins_pop permet_eviter_conflits diminution_tensions"/>
    <s v="0"/>
    <s v="1"/>
    <s v="0"/>
    <s v="1"/>
    <s v="0"/>
    <s v="1"/>
    <s v="0"/>
    <s v="0"/>
    <s v=""/>
    <s v="ne_repond_pas non_obtention_info non_diminition_tension"/>
    <s v="0"/>
    <s v="1"/>
    <s v="1"/>
    <s v="1"/>
    <s v="0"/>
    <s v="0"/>
    <s v=""/>
    <s v=""/>
    <s v="non"/>
    <s v=""/>
    <s v=""/>
    <s v=""/>
    <s v=""/>
    <s v=""/>
    <s v=""/>
    <s v=""/>
    <s v=""/>
    <s v=""/>
    <s v=""/>
    <s v=""/>
    <s v=""/>
    <s v="oui"/>
    <s v=""/>
    <s v="Femmes Femmes_agees Filles Enfants Bebes/Bambins"/>
    <s v="1"/>
    <s v="1"/>
    <s v="1"/>
    <s v="0"/>
    <s v="1"/>
    <s v="0"/>
    <s v="1"/>
    <s v="0"/>
    <s v="0"/>
    <s v="0"/>
    <s v="0"/>
    <s v="0"/>
    <s v="0"/>
    <s v="0"/>
    <s v=""/>
    <s v="5"/>
    <s v="Appui_psychosocial acces_docs Services_medicaux Services_educatifs Services_conseil"/>
    <s v="1"/>
    <s v="1"/>
    <s v="1"/>
    <s v="1"/>
    <s v="1"/>
    <s v="0"/>
    <s v="0"/>
    <s v="0"/>
    <s v="0"/>
    <s v="0"/>
    <s v=""/>
    <s v="signalement reorientation prise_enchage"/>
    <s v="1"/>
    <s v="1"/>
    <s v="1"/>
    <s v="0"/>
    <s v="0"/>
    <s v="0"/>
    <s v=""/>
    <s v="medical point_ecoute Psychosocia"/>
    <s v="1"/>
    <s v="1"/>
    <s v="1"/>
    <s v="0"/>
    <s v="0"/>
    <s v="0"/>
    <s v="0"/>
    <s v="0"/>
    <s v="0"/>
    <s v=""/>
    <s v="medical Psychosocia point_ecoute"/>
    <s v="1"/>
    <s v="1"/>
    <s v="1"/>
    <s v="0"/>
    <s v="0"/>
    <s v="0"/>
    <s v="0"/>
    <s v="0"/>
    <s v="0"/>
    <s v=""/>
    <s v=""/>
    <s v="oui"/>
    <s v="manque_moyens manque_personnes manque_d'information probleme_orientation insecurite_zone"/>
    <s v="1"/>
    <s v="1"/>
    <s v="1"/>
    <s v="1"/>
    <s v="1"/>
    <s v="0"/>
    <s v="0"/>
    <s v="0"/>
    <s v="0"/>
    <s v="0"/>
    <s v="0"/>
    <s v=""/>
    <s v="pb_logistiques pb_secu pb_coordination"/>
    <s v="0"/>
    <s v="1"/>
    <s v="1"/>
    <s v="1"/>
    <s v="0"/>
    <s v="0"/>
    <s v=""/>
    <s v="oui"/>
    <s v="violence_physique menace_mort suivi violence_psycho"/>
    <s v="1"/>
    <s v="1"/>
    <s v="0"/>
    <s v="0"/>
    <s v="1"/>
    <s v="0"/>
    <s v="1"/>
    <s v="0"/>
    <s v="0"/>
    <s v="0"/>
    <s v=""/>
    <s v="oui"/>
    <s v="oui"/>
    <s v=""/>
    <s v="Tout  d'abord merci  à vous et je vous demande de prier Dieu  pour nous pour que la paix règne  dans notre pays !"/>
    <n v="169193419"/>
    <s v="53e0af19-325d-4544-a7eb-fc3f96a81d34"/>
    <s v="2021-04-01T16:46:04"/>
    <s v=""/>
    <s v="[]"/>
    <s v="submitted_via_web"/>
    <s v="reach_niger"/>
    <s v=""/>
    <n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1" cacheId="17" applyNumberFormats="0" applyBorderFormats="0" applyFontFormats="0" applyPatternFormats="0" applyAlignmentFormats="0" applyWidthHeightFormats="1" dataCaption="Valeurs" updatedVersion="6" minRefreshableVersion="3" useAutoFormatting="1" itemPrintTitles="1" createdVersion="6" indent="0" outline="1" outlineData="1" multipleFieldFilters="0">
  <location ref="A5:B77" firstHeaderRow="1" firstDataRow="1" firstDataCol="1"/>
  <pivotFields count="339">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10">
        <item x="0"/>
        <item x="1"/>
        <item x="9"/>
        <item x="3"/>
        <item x="5"/>
        <item x="4"/>
        <item x="7"/>
        <item x="8"/>
        <item x="6"/>
        <item x="2"/>
      </items>
    </pivotField>
    <pivotField axis="axisRow" showAll="0" defaultSubtotal="0">
      <items count="15">
        <item x="0"/>
        <item x="1"/>
        <item x="3"/>
        <item x="4"/>
        <item x="5"/>
        <item x="7"/>
        <item x="9"/>
        <item x="10"/>
        <item x="11"/>
        <item x="12"/>
        <item x="14"/>
        <item x="8"/>
        <item x="13"/>
        <item x="6"/>
        <item x="2"/>
      </items>
    </pivotField>
    <pivotField axis="axisRow" dataField="1" showAll="0" defaultSubtotal="0">
      <items count="45">
        <item sd="0" x="0"/>
        <item sd="0" x="1"/>
        <item x="4"/>
        <item sd="0" x="2"/>
        <item sd="0" x="3"/>
        <item sd="0" x="29"/>
        <item sd="0" x="24"/>
        <item sd="0" x="10"/>
        <item sd="0" x="42"/>
        <item sd="0" x="13"/>
        <item sd="0" x="26"/>
        <item sd="0" x="12"/>
        <item sd="0" x="11"/>
        <item sd="0" x="14"/>
        <item sd="0" x="22"/>
        <item sd="0" x="41"/>
        <item sd="0" x="37"/>
        <item sd="0" x="21"/>
        <item sd="0" x="30"/>
        <item sd="0" x="25"/>
        <item sd="0" x="40"/>
        <item sd="0" x="31"/>
        <item sd="0" x="23"/>
        <item sd="0" x="39"/>
        <item sd="0" x="38"/>
        <item sd="0" x="36"/>
        <item sd="0" x="18"/>
        <item sd="0" x="20"/>
        <item sd="0" x="19"/>
        <item sd="0" x="32"/>
        <item sd="0" x="16"/>
        <item sd="0" x="34"/>
        <item sd="0" x="15"/>
        <item sd="0" x="33"/>
        <item sd="0" x="5"/>
        <item x="9"/>
        <item x="7"/>
        <item x="8"/>
        <item x="28"/>
        <item x="27"/>
        <item m="1" x="43"/>
        <item m="1" x="44"/>
        <item x="17"/>
        <item x="35"/>
        <item x="6"/>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3">
    <field x="6"/>
    <field x="7"/>
    <field x="8"/>
  </rowFields>
  <rowItems count="72">
    <i>
      <x/>
    </i>
    <i r="1">
      <x/>
    </i>
    <i r="2">
      <x/>
    </i>
    <i r="2">
      <x v="1"/>
    </i>
    <i>
      <x v="1"/>
    </i>
    <i r="1">
      <x v="1"/>
    </i>
    <i r="2">
      <x v="2"/>
    </i>
    <i r="2">
      <x v="3"/>
    </i>
    <i r="2">
      <x v="4"/>
    </i>
    <i>
      <x v="2"/>
    </i>
    <i r="1">
      <x v="7"/>
    </i>
    <i r="2">
      <x v="22"/>
    </i>
    <i>
      <x v="3"/>
    </i>
    <i r="1">
      <x v="2"/>
    </i>
    <i r="2">
      <x v="35"/>
    </i>
    <i r="2">
      <x v="36"/>
    </i>
    <i r="2">
      <x v="37"/>
    </i>
    <i r="2">
      <x v="44"/>
    </i>
    <i>
      <x v="4"/>
    </i>
    <i r="1">
      <x v="4"/>
    </i>
    <i r="2">
      <x v="13"/>
    </i>
    <i r="1">
      <x v="8"/>
    </i>
    <i r="2">
      <x v="5"/>
    </i>
    <i r="2">
      <x v="6"/>
    </i>
    <i r="2">
      <x v="10"/>
    </i>
    <i r="2">
      <x v="19"/>
    </i>
    <i r="2">
      <x v="22"/>
    </i>
    <i r="2">
      <x v="38"/>
    </i>
    <i r="2">
      <x v="39"/>
    </i>
    <i>
      <x v="5"/>
    </i>
    <i r="1">
      <x v="3"/>
    </i>
    <i r="2">
      <x v="7"/>
    </i>
    <i r="2">
      <x v="9"/>
    </i>
    <i r="2">
      <x v="11"/>
    </i>
    <i r="2">
      <x v="12"/>
    </i>
    <i r="1">
      <x v="6"/>
    </i>
    <i r="2">
      <x v="14"/>
    </i>
    <i r="2">
      <x v="17"/>
    </i>
    <i r="1">
      <x v="9"/>
    </i>
    <i r="2">
      <x v="18"/>
    </i>
    <i r="2">
      <x v="21"/>
    </i>
    <i>
      <x v="6"/>
    </i>
    <i r="1">
      <x v="5"/>
    </i>
    <i r="2">
      <x v="2"/>
    </i>
    <i r="2">
      <x v="26"/>
    </i>
    <i r="1">
      <x v="10"/>
    </i>
    <i r="2">
      <x v="8"/>
    </i>
    <i r="2">
      <x v="15"/>
    </i>
    <i r="2">
      <x v="16"/>
    </i>
    <i r="2">
      <x v="20"/>
    </i>
    <i r="2">
      <x v="23"/>
    </i>
    <i r="2">
      <x v="24"/>
    </i>
    <i r="2">
      <x v="25"/>
    </i>
    <i r="2">
      <x v="43"/>
    </i>
    <i>
      <x v="7"/>
    </i>
    <i r="1">
      <x v="11"/>
    </i>
    <i r="2">
      <x v="27"/>
    </i>
    <i r="2">
      <x v="28"/>
    </i>
    <i r="1">
      <x v="12"/>
    </i>
    <i r="2">
      <x v="29"/>
    </i>
    <i r="2">
      <x v="31"/>
    </i>
    <i r="2">
      <x v="33"/>
    </i>
    <i>
      <x v="8"/>
    </i>
    <i r="1">
      <x v="13"/>
    </i>
    <i r="2">
      <x v="30"/>
    </i>
    <i r="2">
      <x v="32"/>
    </i>
    <i r="2">
      <x v="42"/>
    </i>
    <i>
      <x v="9"/>
    </i>
    <i r="1">
      <x v="14"/>
    </i>
    <i r="2">
      <x v="2"/>
    </i>
    <i r="2">
      <x v="34"/>
    </i>
    <i t="grand">
      <x/>
    </i>
  </rowItems>
  <colItems count="1">
    <i/>
  </colItems>
  <dataFields count="1">
    <dataField name="Nombre de localite" fld="8" subtotal="count" baseField="0" baseItem="0"/>
  </dataFields>
  <conditionalFormats count="2">
    <conditionalFormat priority="1">
      <pivotAreas count="38">
        <pivotArea type="data" collapsedLevelsAreSubtotals="1" fieldPosition="0">
          <references count="4">
            <reference field="4294967294" count="1" selected="0">
              <x v="0"/>
            </reference>
            <reference field="6" count="1" selected="0">
              <x v="0"/>
            </reference>
            <reference field="7" count="1" selected="0">
              <x v="0"/>
            </reference>
            <reference field="8" count="2">
              <x v="0"/>
              <x v="1"/>
            </reference>
          </references>
        </pivotArea>
        <pivotArea type="data" collapsedLevelsAreSubtotals="1" fieldPosition="0">
          <references count="2">
            <reference field="4294967294" count="1" selected="0">
              <x v="0"/>
            </reference>
            <reference field="6" count="1">
              <x v="1"/>
            </reference>
          </references>
        </pivotArea>
        <pivotArea type="data" collapsedLevelsAreSubtotals="1" fieldPosition="0">
          <references count="3">
            <reference field="4294967294" count="1" selected="0">
              <x v="0"/>
            </reference>
            <reference field="6" count="1" selected="0">
              <x v="1"/>
            </reference>
            <reference field="7" count="1">
              <x v="1"/>
            </reference>
          </references>
        </pivotArea>
        <pivotArea type="data" collapsedLevelsAreSubtotals="1" fieldPosition="0">
          <references count="4">
            <reference field="4294967294" count="1" selected="0">
              <x v="0"/>
            </reference>
            <reference field="6" count="1" selected="0">
              <x v="1"/>
            </reference>
            <reference field="7" count="1" selected="0">
              <x v="1"/>
            </reference>
            <reference field="8" count="3">
              <x v="2"/>
              <x v="3"/>
              <x v="4"/>
            </reference>
          </references>
        </pivotArea>
        <pivotArea type="data" collapsedLevelsAreSubtotals="1" fieldPosition="0">
          <references count="2">
            <reference field="4294967294" count="1" selected="0">
              <x v="0"/>
            </reference>
            <reference field="6" count="1">
              <x v="2"/>
            </reference>
          </references>
        </pivotArea>
        <pivotArea type="data" collapsedLevelsAreSubtotals="1" fieldPosition="0">
          <references count="3">
            <reference field="4294967294" count="1" selected="0">
              <x v="0"/>
            </reference>
            <reference field="6" count="1" selected="0">
              <x v="2"/>
            </reference>
            <reference field="7" count="1">
              <x v="7"/>
            </reference>
          </references>
        </pivotArea>
        <pivotArea type="data" collapsedLevelsAreSubtotals="1" fieldPosition="0">
          <references count="4">
            <reference field="4294967294" count="1" selected="0">
              <x v="0"/>
            </reference>
            <reference field="6" count="1" selected="0">
              <x v="2"/>
            </reference>
            <reference field="7" count="1" selected="0">
              <x v="7"/>
            </reference>
            <reference field="8" count="1">
              <x v="22"/>
            </reference>
          </references>
        </pivotArea>
        <pivotArea type="data" collapsedLevelsAreSubtotals="1" fieldPosition="0">
          <references count="2">
            <reference field="4294967294" count="1" selected="0">
              <x v="0"/>
            </reference>
            <reference field="6" count="1">
              <x v="3"/>
            </reference>
          </references>
        </pivotArea>
        <pivotArea type="data" collapsedLevelsAreSubtotals="1" fieldPosition="0">
          <references count="3">
            <reference field="4294967294" count="1" selected="0">
              <x v="0"/>
            </reference>
            <reference field="6" count="1" selected="0">
              <x v="3"/>
            </reference>
            <reference field="7" count="1">
              <x v="2"/>
            </reference>
          </references>
        </pivotArea>
        <pivotArea type="data" collapsedLevelsAreSubtotals="1" fieldPosition="0">
          <references count="4">
            <reference field="4294967294" count="1" selected="0">
              <x v="0"/>
            </reference>
            <reference field="6" count="1" selected="0">
              <x v="3"/>
            </reference>
            <reference field="7" count="1" selected="0">
              <x v="2"/>
            </reference>
            <reference field="8" count="4">
              <x v="35"/>
              <x v="36"/>
              <x v="37"/>
              <x v="44"/>
            </reference>
          </references>
        </pivotArea>
        <pivotArea type="data" collapsedLevelsAreSubtotals="1" fieldPosition="0">
          <references count="2">
            <reference field="4294967294" count="1" selected="0">
              <x v="0"/>
            </reference>
            <reference field="6" count="1">
              <x v="4"/>
            </reference>
          </references>
        </pivotArea>
        <pivotArea type="data" collapsedLevelsAreSubtotals="1" fieldPosition="0">
          <references count="3">
            <reference field="4294967294" count="1" selected="0">
              <x v="0"/>
            </reference>
            <reference field="6" count="1" selected="0">
              <x v="4"/>
            </reference>
            <reference field="7" count="1">
              <x v="4"/>
            </reference>
          </references>
        </pivotArea>
        <pivotArea type="data" collapsedLevelsAreSubtotals="1" fieldPosition="0">
          <references count="4">
            <reference field="4294967294" count="1" selected="0">
              <x v="0"/>
            </reference>
            <reference field="6" count="1" selected="0">
              <x v="4"/>
            </reference>
            <reference field="7" count="1" selected="0">
              <x v="4"/>
            </reference>
            <reference field="8" count="1">
              <x v="13"/>
            </reference>
          </references>
        </pivotArea>
        <pivotArea type="data" collapsedLevelsAreSubtotals="1" fieldPosition="0">
          <references count="3">
            <reference field="4294967294" count="1" selected="0">
              <x v="0"/>
            </reference>
            <reference field="6" count="1" selected="0">
              <x v="4"/>
            </reference>
            <reference field="7" count="1">
              <x v="8"/>
            </reference>
          </references>
        </pivotArea>
        <pivotArea type="data" collapsedLevelsAreSubtotals="1" fieldPosition="0">
          <references count="4">
            <reference field="4294967294" count="1" selected="0">
              <x v="0"/>
            </reference>
            <reference field="6" count="1" selected="0">
              <x v="4"/>
            </reference>
            <reference field="7" count="1" selected="0">
              <x v="8"/>
            </reference>
            <reference field="8" count="7">
              <x v="5"/>
              <x v="6"/>
              <x v="10"/>
              <x v="19"/>
              <x v="22"/>
              <x v="38"/>
              <x v="39"/>
            </reference>
          </references>
        </pivotArea>
        <pivotArea type="data" collapsedLevelsAreSubtotals="1" fieldPosition="0">
          <references count="2">
            <reference field="4294967294" count="1" selected="0">
              <x v="0"/>
            </reference>
            <reference field="6" count="1">
              <x v="5"/>
            </reference>
          </references>
        </pivotArea>
        <pivotArea type="data" collapsedLevelsAreSubtotals="1" fieldPosition="0">
          <references count="3">
            <reference field="4294967294" count="1" selected="0">
              <x v="0"/>
            </reference>
            <reference field="6" count="1" selected="0">
              <x v="5"/>
            </reference>
            <reference field="7" count="1">
              <x v="3"/>
            </reference>
          </references>
        </pivotArea>
        <pivotArea type="data" collapsedLevelsAreSubtotals="1" fieldPosition="0">
          <references count="4">
            <reference field="4294967294" count="1" selected="0">
              <x v="0"/>
            </reference>
            <reference field="6" count="1" selected="0">
              <x v="5"/>
            </reference>
            <reference field="7" count="1" selected="0">
              <x v="3"/>
            </reference>
            <reference field="8" count="4">
              <x v="7"/>
              <x v="9"/>
              <x v="11"/>
              <x v="12"/>
            </reference>
          </references>
        </pivotArea>
        <pivotArea type="data" collapsedLevelsAreSubtotals="1" fieldPosition="0">
          <references count="3">
            <reference field="4294967294" count="1" selected="0">
              <x v="0"/>
            </reference>
            <reference field="6" count="1" selected="0">
              <x v="5"/>
            </reference>
            <reference field="7" count="1">
              <x v="6"/>
            </reference>
          </references>
        </pivotArea>
        <pivotArea type="data" collapsedLevelsAreSubtotals="1" fieldPosition="0">
          <references count="4">
            <reference field="4294967294" count="1" selected="0">
              <x v="0"/>
            </reference>
            <reference field="6" count="1" selected="0">
              <x v="5"/>
            </reference>
            <reference field="7" count="1" selected="0">
              <x v="6"/>
            </reference>
            <reference field="8" count="2">
              <x v="14"/>
              <x v="17"/>
            </reference>
          </references>
        </pivotArea>
        <pivotArea type="data" collapsedLevelsAreSubtotals="1" fieldPosition="0">
          <references count="3">
            <reference field="4294967294" count="1" selected="0">
              <x v="0"/>
            </reference>
            <reference field="6" count="1" selected="0">
              <x v="5"/>
            </reference>
            <reference field="7" count="1">
              <x v="9"/>
            </reference>
          </references>
        </pivotArea>
        <pivotArea type="data" collapsedLevelsAreSubtotals="1" fieldPosition="0">
          <references count="4">
            <reference field="4294967294" count="1" selected="0">
              <x v="0"/>
            </reference>
            <reference field="6" count="1" selected="0">
              <x v="5"/>
            </reference>
            <reference field="7" count="1" selected="0">
              <x v="9"/>
            </reference>
            <reference field="8" count="2">
              <x v="18"/>
              <x v="21"/>
            </reference>
          </references>
        </pivotArea>
        <pivotArea type="data" collapsedLevelsAreSubtotals="1" fieldPosition="0">
          <references count="2">
            <reference field="4294967294" count="1" selected="0">
              <x v="0"/>
            </reference>
            <reference field="6" count="1">
              <x v="6"/>
            </reference>
          </references>
        </pivotArea>
        <pivotArea type="data" collapsedLevelsAreSubtotals="1" fieldPosition="0">
          <references count="3">
            <reference field="4294967294" count="1" selected="0">
              <x v="0"/>
            </reference>
            <reference field="6" count="1" selected="0">
              <x v="6"/>
            </reference>
            <reference field="7" count="1">
              <x v="5"/>
            </reference>
          </references>
        </pivotArea>
        <pivotArea type="data" collapsedLevelsAreSubtotals="1" fieldPosition="0">
          <references count="4">
            <reference field="4294967294" count="1" selected="0">
              <x v="0"/>
            </reference>
            <reference field="6" count="1" selected="0">
              <x v="6"/>
            </reference>
            <reference field="7" count="1" selected="0">
              <x v="5"/>
            </reference>
            <reference field="8" count="2">
              <x v="2"/>
              <x v="26"/>
            </reference>
          </references>
        </pivotArea>
        <pivotArea type="data" collapsedLevelsAreSubtotals="1" fieldPosition="0">
          <references count="3">
            <reference field="4294967294" count="1" selected="0">
              <x v="0"/>
            </reference>
            <reference field="6" count="1" selected="0">
              <x v="6"/>
            </reference>
            <reference field="7" count="1">
              <x v="10"/>
            </reference>
          </references>
        </pivotArea>
        <pivotArea type="data" collapsedLevelsAreSubtotals="1" fieldPosition="0">
          <references count="4">
            <reference field="4294967294" count="1" selected="0">
              <x v="0"/>
            </reference>
            <reference field="6" count="1" selected="0">
              <x v="6"/>
            </reference>
            <reference field="7" count="1" selected="0">
              <x v="10"/>
            </reference>
            <reference field="8" count="8">
              <x v="8"/>
              <x v="15"/>
              <x v="16"/>
              <x v="20"/>
              <x v="23"/>
              <x v="24"/>
              <x v="25"/>
              <x v="43"/>
            </reference>
          </references>
        </pivotArea>
        <pivotArea type="data" collapsedLevelsAreSubtotals="1" fieldPosition="0">
          <references count="2">
            <reference field="4294967294" count="1" selected="0">
              <x v="0"/>
            </reference>
            <reference field="6" count="1">
              <x v="7"/>
            </reference>
          </references>
        </pivotArea>
        <pivotArea type="data" collapsedLevelsAreSubtotals="1" fieldPosition="0">
          <references count="3">
            <reference field="4294967294" count="1" selected="0">
              <x v="0"/>
            </reference>
            <reference field="6" count="1" selected="0">
              <x v="7"/>
            </reference>
            <reference field="7" count="1">
              <x v="11"/>
            </reference>
          </references>
        </pivotArea>
        <pivotArea type="data" collapsedLevelsAreSubtotals="1" fieldPosition="0">
          <references count="4">
            <reference field="4294967294" count="1" selected="0">
              <x v="0"/>
            </reference>
            <reference field="6" count="1" selected="0">
              <x v="7"/>
            </reference>
            <reference field="7" count="1" selected="0">
              <x v="11"/>
            </reference>
            <reference field="8" count="2">
              <x v="27"/>
              <x v="28"/>
            </reference>
          </references>
        </pivotArea>
        <pivotArea type="data" collapsedLevelsAreSubtotals="1" fieldPosition="0">
          <references count="3">
            <reference field="4294967294" count="1" selected="0">
              <x v="0"/>
            </reference>
            <reference field="6" count="1" selected="0">
              <x v="7"/>
            </reference>
            <reference field="7" count="1">
              <x v="12"/>
            </reference>
          </references>
        </pivotArea>
        <pivotArea type="data" collapsedLevelsAreSubtotals="1" fieldPosition="0">
          <references count="4">
            <reference field="4294967294" count="1" selected="0">
              <x v="0"/>
            </reference>
            <reference field="6" count="1" selected="0">
              <x v="7"/>
            </reference>
            <reference field="7" count="1" selected="0">
              <x v="12"/>
            </reference>
            <reference field="8" count="3">
              <x v="29"/>
              <x v="31"/>
              <x v="33"/>
            </reference>
          </references>
        </pivotArea>
        <pivotArea type="data" collapsedLevelsAreSubtotals="1" fieldPosition="0">
          <references count="2">
            <reference field="4294967294" count="1" selected="0">
              <x v="0"/>
            </reference>
            <reference field="6" count="1">
              <x v="8"/>
            </reference>
          </references>
        </pivotArea>
        <pivotArea type="data" collapsedLevelsAreSubtotals="1" fieldPosition="0">
          <references count="3">
            <reference field="4294967294" count="1" selected="0">
              <x v="0"/>
            </reference>
            <reference field="6" count="1" selected="0">
              <x v="8"/>
            </reference>
            <reference field="7" count="1">
              <x v="13"/>
            </reference>
          </references>
        </pivotArea>
        <pivotArea type="data" collapsedLevelsAreSubtotals="1" fieldPosition="0">
          <references count="4">
            <reference field="4294967294" count="1" selected="0">
              <x v="0"/>
            </reference>
            <reference field="6" count="1" selected="0">
              <x v="8"/>
            </reference>
            <reference field="7" count="1" selected="0">
              <x v="13"/>
            </reference>
            <reference field="8" count="3">
              <x v="30"/>
              <x v="32"/>
              <x v="42"/>
            </reference>
          </references>
        </pivotArea>
        <pivotArea type="data" collapsedLevelsAreSubtotals="1" fieldPosition="0">
          <references count="2">
            <reference field="4294967294" count="1" selected="0">
              <x v="0"/>
            </reference>
            <reference field="6" count="1">
              <x v="9"/>
            </reference>
          </references>
        </pivotArea>
        <pivotArea type="data" collapsedLevelsAreSubtotals="1" fieldPosition="0">
          <references count="3">
            <reference field="4294967294" count="1" selected="0">
              <x v="0"/>
            </reference>
            <reference field="6" count="1" selected="0">
              <x v="9"/>
            </reference>
            <reference field="7" count="1">
              <x v="14"/>
            </reference>
          </references>
        </pivotArea>
        <pivotArea type="data" collapsedLevelsAreSubtotals="1" fieldPosition="0">
          <references count="4">
            <reference field="4294967294" count="1" selected="0">
              <x v="0"/>
            </reference>
            <reference field="6" count="1" selected="0">
              <x v="9"/>
            </reference>
            <reference field="7" count="1" selected="0">
              <x v="14"/>
            </reference>
            <reference field="8" count="2">
              <x v="2"/>
              <x v="34"/>
            </reference>
          </references>
        </pivotArea>
      </pivotAreas>
    </conditionalFormat>
    <conditionalFormat priority="2">
      <pivotAreas count="35">
        <pivotArea type="data" collapsedLevelsAreSubtotals="1" fieldPosition="0">
          <references count="4">
            <reference field="4294967294" count="1" selected="0">
              <x v="0"/>
            </reference>
            <reference field="6" count="1" selected="0">
              <x v="0"/>
            </reference>
            <reference field="7" count="1" selected="0">
              <x v="0"/>
            </reference>
            <reference field="8" count="2">
              <x v="0"/>
              <x v="1"/>
            </reference>
          </references>
        </pivotArea>
        <pivotArea type="data" collapsedLevelsAreSubtotals="1" fieldPosition="0">
          <references count="2">
            <reference field="4294967294" count="1" selected="0">
              <x v="0"/>
            </reference>
            <reference field="6" count="1">
              <x v="1"/>
            </reference>
          </references>
        </pivotArea>
        <pivotArea type="data" collapsedLevelsAreSubtotals="1" fieldPosition="0">
          <references count="3">
            <reference field="4294967294" count="1" selected="0">
              <x v="0"/>
            </reference>
            <reference field="6" count="1" selected="0">
              <x v="1"/>
            </reference>
            <reference field="7" count="1">
              <x v="1"/>
            </reference>
          </references>
        </pivotArea>
        <pivotArea type="data" collapsedLevelsAreSubtotals="1" fieldPosition="0">
          <references count="4">
            <reference field="4294967294" count="1" selected="0">
              <x v="0"/>
            </reference>
            <reference field="6" count="1" selected="0">
              <x v="1"/>
            </reference>
            <reference field="7" count="1" selected="0">
              <x v="1"/>
            </reference>
            <reference field="8" count="3">
              <x v="2"/>
              <x v="3"/>
              <x v="4"/>
            </reference>
          </references>
        </pivotArea>
        <pivotArea type="data" collapsedLevelsAreSubtotals="1" fieldPosition="0">
          <references count="2">
            <reference field="4294967294" count="1" selected="0">
              <x v="0"/>
            </reference>
            <reference field="6" count="1">
              <x v="2"/>
            </reference>
          </references>
        </pivotArea>
        <pivotArea type="data" collapsedLevelsAreSubtotals="1" fieldPosition="0">
          <references count="3">
            <reference field="4294967294" count="1" selected="0">
              <x v="0"/>
            </reference>
            <reference field="6" count="1" selected="0">
              <x v="2"/>
            </reference>
            <reference field="7" count="1">
              <x v="7"/>
            </reference>
          </references>
        </pivotArea>
        <pivotArea type="data" collapsedLevelsAreSubtotals="1" fieldPosition="0">
          <references count="4">
            <reference field="4294967294" count="1" selected="0">
              <x v="0"/>
            </reference>
            <reference field="6" count="1" selected="0">
              <x v="2"/>
            </reference>
            <reference field="7" count="1" selected="0">
              <x v="7"/>
            </reference>
            <reference field="8" count="1">
              <x v="22"/>
            </reference>
          </references>
        </pivotArea>
        <pivotArea type="data" collapsedLevelsAreSubtotals="1" fieldPosition="0">
          <references count="2">
            <reference field="4294967294" count="1" selected="0">
              <x v="0"/>
            </reference>
            <reference field="6" count="1">
              <x v="3"/>
            </reference>
          </references>
        </pivotArea>
        <pivotArea type="data" collapsedLevelsAreSubtotals="1" fieldPosition="0">
          <references count="3">
            <reference field="4294967294" count="1" selected="0">
              <x v="0"/>
            </reference>
            <reference field="6" count="1" selected="0">
              <x v="3"/>
            </reference>
            <reference field="7" count="1">
              <x v="2"/>
            </reference>
          </references>
        </pivotArea>
        <pivotArea type="data" collapsedLevelsAreSubtotals="1" fieldPosition="0">
          <references count="4">
            <reference field="4294967294" count="1" selected="0">
              <x v="0"/>
            </reference>
            <reference field="6" count="1" selected="0">
              <x v="3"/>
            </reference>
            <reference field="7" count="1" selected="0">
              <x v="2"/>
            </reference>
            <reference field="8" count="4">
              <x v="35"/>
              <x v="36"/>
              <x v="37"/>
              <x v="44"/>
            </reference>
          </references>
        </pivotArea>
        <pivotArea type="data" collapsedLevelsAreSubtotals="1" fieldPosition="0">
          <references count="2">
            <reference field="4294967294" count="1" selected="0">
              <x v="0"/>
            </reference>
            <reference field="6" count="1">
              <x v="4"/>
            </reference>
          </references>
        </pivotArea>
        <pivotArea type="data" collapsedLevelsAreSubtotals="1" fieldPosition="0">
          <references count="3">
            <reference field="4294967294" count="1" selected="0">
              <x v="0"/>
            </reference>
            <reference field="6" count="1" selected="0">
              <x v="4"/>
            </reference>
            <reference field="7" count="1">
              <x v="4"/>
            </reference>
          </references>
        </pivotArea>
        <pivotArea type="data" collapsedLevelsAreSubtotals="1" fieldPosition="0">
          <references count="4">
            <reference field="4294967294" count="1" selected="0">
              <x v="0"/>
            </reference>
            <reference field="6" count="1" selected="0">
              <x v="4"/>
            </reference>
            <reference field="7" count="1" selected="0">
              <x v="4"/>
            </reference>
            <reference field="8" count="1">
              <x v="13"/>
            </reference>
          </references>
        </pivotArea>
        <pivotArea type="data" collapsedLevelsAreSubtotals="1" fieldPosition="0">
          <references count="3">
            <reference field="4294967294" count="1" selected="0">
              <x v="0"/>
            </reference>
            <reference field="6" count="1" selected="0">
              <x v="4"/>
            </reference>
            <reference field="7" count="1">
              <x v="8"/>
            </reference>
          </references>
        </pivotArea>
        <pivotArea type="data" collapsedLevelsAreSubtotals="1" fieldPosition="0">
          <references count="4">
            <reference field="4294967294" count="1" selected="0">
              <x v="0"/>
            </reference>
            <reference field="6" count="1" selected="0">
              <x v="4"/>
            </reference>
            <reference field="7" count="1" selected="0">
              <x v="8"/>
            </reference>
            <reference field="8" count="7">
              <x v="5"/>
              <x v="6"/>
              <x v="10"/>
              <x v="19"/>
              <x v="22"/>
              <x v="38"/>
              <x v="39"/>
            </reference>
          </references>
        </pivotArea>
        <pivotArea type="data" collapsedLevelsAreSubtotals="1" fieldPosition="0">
          <references count="2">
            <reference field="4294967294" count="1" selected="0">
              <x v="0"/>
            </reference>
            <reference field="6" count="1">
              <x v="5"/>
            </reference>
          </references>
        </pivotArea>
        <pivotArea type="data" collapsedLevelsAreSubtotals="1" fieldPosition="0">
          <references count="3">
            <reference field="4294967294" count="1" selected="0">
              <x v="0"/>
            </reference>
            <reference field="6" count="1" selected="0">
              <x v="5"/>
            </reference>
            <reference field="7" count="1">
              <x v="3"/>
            </reference>
          </references>
        </pivotArea>
        <pivotArea type="data" collapsedLevelsAreSubtotals="1" fieldPosition="0">
          <references count="4">
            <reference field="4294967294" count="1" selected="0">
              <x v="0"/>
            </reference>
            <reference field="6" count="1" selected="0">
              <x v="5"/>
            </reference>
            <reference field="7" count="1" selected="0">
              <x v="3"/>
            </reference>
            <reference field="8" count="4">
              <x v="7"/>
              <x v="9"/>
              <x v="11"/>
              <x v="12"/>
            </reference>
          </references>
        </pivotArea>
        <pivotArea type="data" collapsedLevelsAreSubtotals="1" fieldPosition="0">
          <references count="3">
            <reference field="4294967294" count="1" selected="0">
              <x v="0"/>
            </reference>
            <reference field="6" count="1" selected="0">
              <x v="5"/>
            </reference>
            <reference field="7" count="1">
              <x v="6"/>
            </reference>
          </references>
        </pivotArea>
        <pivotArea type="data" collapsedLevelsAreSubtotals="1" fieldPosition="0">
          <references count="4">
            <reference field="4294967294" count="1" selected="0">
              <x v="0"/>
            </reference>
            <reference field="6" count="1" selected="0">
              <x v="5"/>
            </reference>
            <reference field="7" count="1" selected="0">
              <x v="6"/>
            </reference>
            <reference field="8" count="2">
              <x v="14"/>
              <x v="17"/>
            </reference>
          </references>
        </pivotArea>
        <pivotArea type="data" collapsedLevelsAreSubtotals="1" fieldPosition="0">
          <references count="3">
            <reference field="4294967294" count="1" selected="0">
              <x v="0"/>
            </reference>
            <reference field="6" count="1" selected="0">
              <x v="5"/>
            </reference>
            <reference field="7" count="1">
              <x v="9"/>
            </reference>
          </references>
        </pivotArea>
        <pivotArea type="data" collapsedLevelsAreSubtotals="1" fieldPosition="0">
          <references count="4">
            <reference field="4294967294" count="1" selected="0">
              <x v="0"/>
            </reference>
            <reference field="6" count="1" selected="0">
              <x v="5"/>
            </reference>
            <reference field="7" count="1" selected="0">
              <x v="9"/>
            </reference>
            <reference field="8" count="2">
              <x v="18"/>
              <x v="21"/>
            </reference>
          </references>
        </pivotArea>
        <pivotArea type="data" collapsedLevelsAreSubtotals="1" fieldPosition="0">
          <references count="2">
            <reference field="4294967294" count="1" selected="0">
              <x v="0"/>
            </reference>
            <reference field="6" count="1">
              <x v="6"/>
            </reference>
          </references>
        </pivotArea>
        <pivotArea type="data" collapsedLevelsAreSubtotals="1" fieldPosition="0">
          <references count="3">
            <reference field="4294967294" count="1" selected="0">
              <x v="0"/>
            </reference>
            <reference field="6" count="1" selected="0">
              <x v="6"/>
            </reference>
            <reference field="7" count="1">
              <x v="5"/>
            </reference>
          </references>
        </pivotArea>
        <pivotArea type="data" collapsedLevelsAreSubtotals="1" fieldPosition="0">
          <references count="4">
            <reference field="4294967294" count="1" selected="0">
              <x v="0"/>
            </reference>
            <reference field="6" count="1" selected="0">
              <x v="6"/>
            </reference>
            <reference field="7" count="1" selected="0">
              <x v="5"/>
            </reference>
            <reference field="8" count="2">
              <x v="2"/>
              <x v="26"/>
            </reference>
          </references>
        </pivotArea>
        <pivotArea type="data" collapsedLevelsAreSubtotals="1" fieldPosition="0">
          <references count="3">
            <reference field="4294967294" count="1" selected="0">
              <x v="0"/>
            </reference>
            <reference field="6" count="1" selected="0">
              <x v="6"/>
            </reference>
            <reference field="7" count="1">
              <x v="10"/>
            </reference>
          </references>
        </pivotArea>
        <pivotArea type="data" collapsedLevelsAreSubtotals="1" fieldPosition="0">
          <references count="4">
            <reference field="4294967294" count="1" selected="0">
              <x v="0"/>
            </reference>
            <reference field="6" count="1" selected="0">
              <x v="6"/>
            </reference>
            <reference field="7" count="1" selected="0">
              <x v="10"/>
            </reference>
            <reference field="8" count="9">
              <x v="8"/>
              <x v="15"/>
              <x v="16"/>
              <x v="20"/>
              <x v="23"/>
              <x v="24"/>
              <x v="25"/>
              <x v="40"/>
              <x v="43"/>
            </reference>
          </references>
        </pivotArea>
        <pivotArea type="data" collapsedLevelsAreSubtotals="1" fieldPosition="0">
          <references count="2">
            <reference field="4294967294" count="1" selected="0">
              <x v="0"/>
            </reference>
            <reference field="6" count="1">
              <x v="7"/>
            </reference>
          </references>
        </pivotArea>
        <pivotArea type="data" collapsedLevelsAreSubtotals="1" fieldPosition="0">
          <references count="3">
            <reference field="4294967294" count="1" selected="0">
              <x v="0"/>
            </reference>
            <reference field="6" count="1" selected="0">
              <x v="7"/>
            </reference>
            <reference field="7" count="1">
              <x v="11"/>
            </reference>
          </references>
        </pivotArea>
        <pivotArea type="data" collapsedLevelsAreSubtotals="1" fieldPosition="0">
          <references count="4">
            <reference field="4294967294" count="1" selected="0">
              <x v="0"/>
            </reference>
            <reference field="6" count="1" selected="0">
              <x v="7"/>
            </reference>
            <reference field="7" count="1" selected="0">
              <x v="11"/>
            </reference>
            <reference field="8" count="2">
              <x v="27"/>
              <x v="28"/>
            </reference>
          </references>
        </pivotArea>
        <pivotArea type="data" collapsedLevelsAreSubtotals="1" fieldPosition="0">
          <references count="3">
            <reference field="4294967294" count="1" selected="0">
              <x v="0"/>
            </reference>
            <reference field="6" count="1" selected="0">
              <x v="7"/>
            </reference>
            <reference field="7" count="1">
              <x v="12"/>
            </reference>
          </references>
        </pivotArea>
        <pivotArea type="data" collapsedLevelsAreSubtotals="1" fieldPosition="0">
          <references count="4">
            <reference field="4294967294" count="1" selected="0">
              <x v="0"/>
            </reference>
            <reference field="6" count="1" selected="0">
              <x v="7"/>
            </reference>
            <reference field="7" count="1" selected="0">
              <x v="12"/>
            </reference>
            <reference field="8" count="3">
              <x v="29"/>
              <x v="31"/>
              <x v="33"/>
            </reference>
          </references>
        </pivotArea>
        <pivotArea type="data" collapsedLevelsAreSubtotals="1" fieldPosition="0">
          <references count="2">
            <reference field="4294967294" count="1" selected="0">
              <x v="0"/>
            </reference>
            <reference field="6" count="1">
              <x v="8"/>
            </reference>
          </references>
        </pivotArea>
        <pivotArea type="data" collapsedLevelsAreSubtotals="1" fieldPosition="0">
          <references count="3">
            <reference field="4294967294" count="1" selected="0">
              <x v="0"/>
            </reference>
            <reference field="6" count="1" selected="0">
              <x v="8"/>
            </reference>
            <reference field="7" count="1">
              <x v="13"/>
            </reference>
          </references>
        </pivotArea>
        <pivotArea type="data" collapsedLevelsAreSubtotals="1" fieldPosition="0">
          <references count="4">
            <reference field="4294967294" count="1" selected="0">
              <x v="0"/>
            </reference>
            <reference field="6" count="1" selected="0">
              <x v="8"/>
            </reference>
            <reference field="7" count="1" selected="0">
              <x v="13"/>
            </reference>
            <reference field="8" count="4">
              <x v="30"/>
              <x v="32"/>
              <x v="41"/>
              <x v="42"/>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Audit" displayName="Audit" ref="A1:K75" totalsRowShown="0" headerRowDxfId="3">
  <autoFilter ref="A1:K75"/>
  <tableColumns count="11">
    <tableColumn id="1" name="uuid"/>
    <tableColumn id="2" name="start_to_exit"/>
    <tableColumn id="3" name="time_on_questions"/>
    <tableColumn id="4" name="time_on_filterd_questions"/>
    <tableColumn id="5" name="jump"/>
    <tableColumn id="6" name="endscreen"/>
    <tableColumn id="7" name="formsave"/>
    <tableColumn id="8" name="formexit"/>
    <tableColumn id="9" name="formresume"/>
    <tableColumn id="10" name="formfinalize"/>
    <tableColumn id="11" name="saveerror"/>
  </tableColumns>
  <tableStyleInfo name="TableStyleMedium9" showFirstColumn="0" showLastColumn="0" showRowStripes="1" showColumnStripes="0"/>
</table>
</file>

<file path=xl/tables/table2.xml><?xml version="1.0" encoding="utf-8"?>
<table xmlns="http://schemas.openxmlformats.org/spreadsheetml/2006/main" id="2" name="nb_questions" displayName="nb_questions" ref="A1:B75" totalsRowShown="0" headerRowDxfId="2">
  <autoFilter ref="A1:B75"/>
  <tableColumns count="2">
    <tableColumn id="1" name="uuid"/>
    <tableColumn id="2" name="nb_questions"/>
  </tableColumns>
  <tableStyleInfo name="TableStyleMedium9" showFirstColumn="0" showLastColumn="0" showRowStripes="1" showColumnStripes="0"/>
</table>
</file>

<file path=xl/tables/table3.xml><?xml version="1.0" encoding="utf-8"?>
<table xmlns="http://schemas.openxmlformats.org/spreadsheetml/2006/main" id="3" name="code_enqueteurs" displayName="code_enqueteurs" ref="A1:C75" totalsRowShown="0">
  <autoFilter ref="A1:C75"/>
  <sortState ref="A2:C76">
    <sortCondition ref="B1:B76"/>
  </sortState>
  <tableColumns count="3">
    <tableColumn id="1" name="_uuid"/>
    <tableColumn id="2" name="enqueteur"/>
    <tableColumn id="3" name="code enqueteurs"/>
  </tableColumns>
  <tableStyleInfo name="TableStyleMedium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47"/>
  <sheetViews>
    <sheetView topLeftCell="A19" zoomScaleNormal="100" workbookViewId="0">
      <selection activeCell="D23" sqref="D23:H23"/>
    </sheetView>
  </sheetViews>
  <sheetFormatPr baseColWidth="10" defaultColWidth="8.88671875" defaultRowHeight="14.4" x14ac:dyDescent="0.3"/>
  <cols>
    <col min="1" max="1" width="15" customWidth="1"/>
    <col min="2" max="8" width="12.44140625" customWidth="1"/>
  </cols>
  <sheetData>
    <row r="1" spans="1:8" x14ac:dyDescent="0.3">
      <c r="A1" s="47" t="s">
        <v>12</v>
      </c>
      <c r="B1" s="47"/>
      <c r="C1" s="47"/>
      <c r="D1" s="47"/>
      <c r="E1" s="47"/>
      <c r="F1" s="47"/>
      <c r="G1" s="47"/>
      <c r="H1" s="47"/>
    </row>
    <row r="2" spans="1:8" ht="61.5" customHeight="1" x14ac:dyDescent="0.3">
      <c r="A2" s="46" t="s">
        <v>13</v>
      </c>
      <c r="B2" s="46"/>
      <c r="C2" s="46"/>
      <c r="D2" s="46"/>
      <c r="E2" s="46"/>
      <c r="F2" s="46"/>
      <c r="G2" s="46"/>
      <c r="H2" s="46"/>
    </row>
    <row r="4" spans="1:8" x14ac:dyDescent="0.3">
      <c r="A4" s="47" t="s">
        <v>21</v>
      </c>
      <c r="B4" s="47"/>
      <c r="C4" s="47"/>
      <c r="D4" s="47"/>
      <c r="E4" s="47"/>
      <c r="F4" s="47"/>
      <c r="G4" s="47"/>
      <c r="H4" s="47"/>
    </row>
    <row r="5" spans="1:8" x14ac:dyDescent="0.3">
      <c r="A5" s="4" t="s">
        <v>14</v>
      </c>
      <c r="B5" s="52" t="s">
        <v>15</v>
      </c>
      <c r="C5" s="52"/>
      <c r="D5" s="52"/>
      <c r="E5" s="52"/>
      <c r="F5" s="52"/>
      <c r="G5" s="52"/>
      <c r="H5" s="52"/>
    </row>
    <row r="6" spans="1:8" x14ac:dyDescent="0.3">
      <c r="A6" s="13">
        <v>1</v>
      </c>
      <c r="B6" s="46" t="s">
        <v>17</v>
      </c>
      <c r="C6" s="46"/>
      <c r="D6" s="46"/>
      <c r="E6" s="46"/>
      <c r="F6" s="46"/>
      <c r="G6" s="46"/>
      <c r="H6" s="46"/>
    </row>
    <row r="7" spans="1:8" x14ac:dyDescent="0.3">
      <c r="A7" s="3">
        <v>2</v>
      </c>
      <c r="B7" s="46" t="s">
        <v>16</v>
      </c>
      <c r="C7" s="46"/>
      <c r="D7" s="46"/>
      <c r="E7" s="46"/>
      <c r="F7" s="46"/>
      <c r="G7" s="46"/>
      <c r="H7" s="46"/>
    </row>
    <row r="8" spans="1:8" ht="30" customHeight="1" x14ac:dyDescent="0.3">
      <c r="A8" s="3">
        <v>3</v>
      </c>
      <c r="B8" s="46" t="s">
        <v>18</v>
      </c>
      <c r="C8" s="46"/>
      <c r="D8" s="46"/>
      <c r="E8" s="46"/>
      <c r="F8" s="46"/>
      <c r="G8" s="46"/>
      <c r="H8" s="46"/>
    </row>
    <row r="9" spans="1:8" ht="46.5" customHeight="1" x14ac:dyDescent="0.3">
      <c r="A9" s="3">
        <v>4</v>
      </c>
      <c r="B9" s="46" t="s">
        <v>19</v>
      </c>
      <c r="C9" s="46"/>
      <c r="D9" s="46"/>
      <c r="E9" s="46"/>
      <c r="F9" s="46"/>
      <c r="G9" s="46"/>
      <c r="H9" s="46"/>
    </row>
    <row r="10" spans="1:8" ht="119.25" customHeight="1" x14ac:dyDescent="0.3">
      <c r="A10" s="3">
        <v>5</v>
      </c>
      <c r="B10" s="46" t="s">
        <v>20</v>
      </c>
      <c r="C10" s="46"/>
      <c r="D10" s="46"/>
      <c r="E10" s="46"/>
      <c r="F10" s="46"/>
      <c r="G10" s="46"/>
      <c r="H10" s="46"/>
    </row>
    <row r="11" spans="1:8" ht="75.75" customHeight="1" x14ac:dyDescent="0.3">
      <c r="A11" s="3">
        <v>6</v>
      </c>
      <c r="B11" s="46" t="s">
        <v>24</v>
      </c>
      <c r="C11" s="46"/>
      <c r="D11" s="46"/>
      <c r="E11" s="46"/>
      <c r="F11" s="46"/>
      <c r="G11" s="46"/>
      <c r="H11" s="46"/>
    </row>
    <row r="12" spans="1:8" ht="46.5" customHeight="1" x14ac:dyDescent="0.3">
      <c r="A12" s="3">
        <v>7</v>
      </c>
      <c r="B12" s="46" t="s">
        <v>25</v>
      </c>
      <c r="C12" s="46"/>
      <c r="D12" s="46"/>
      <c r="E12" s="46"/>
      <c r="F12" s="46"/>
      <c r="G12" s="46"/>
      <c r="H12" s="46"/>
    </row>
    <row r="13" spans="1:8" s="2" customFormat="1" ht="46.5" customHeight="1" x14ac:dyDescent="0.3">
      <c r="A13" s="3">
        <v>8</v>
      </c>
      <c r="B13" s="46" t="s">
        <v>28</v>
      </c>
      <c r="C13" s="46"/>
      <c r="D13" s="46"/>
      <c r="E13" s="46"/>
      <c r="F13" s="46"/>
      <c r="G13" s="46"/>
      <c r="H13" s="46"/>
    </row>
    <row r="14" spans="1:8" s="2" customFormat="1" ht="60" customHeight="1" x14ac:dyDescent="0.3">
      <c r="A14" s="3">
        <v>9</v>
      </c>
      <c r="B14" s="46" t="s">
        <v>26</v>
      </c>
      <c r="C14" s="46"/>
      <c r="D14" s="46"/>
      <c r="E14" s="46"/>
      <c r="F14" s="46"/>
      <c r="G14" s="46"/>
      <c r="H14" s="46"/>
    </row>
    <row r="15" spans="1:8" s="2" customFormat="1" ht="31.5" customHeight="1" x14ac:dyDescent="0.3">
      <c r="A15" s="3">
        <v>10</v>
      </c>
      <c r="B15" s="46" t="s">
        <v>77</v>
      </c>
      <c r="C15" s="46"/>
      <c r="D15" s="46"/>
      <c r="E15" s="46"/>
      <c r="F15" s="46"/>
      <c r="G15" s="46"/>
      <c r="H15" s="46"/>
    </row>
    <row r="16" spans="1:8" s="2" customFormat="1" ht="47.25" customHeight="1" x14ac:dyDescent="0.3">
      <c r="A16" s="3">
        <v>11</v>
      </c>
      <c r="B16" s="46" t="s">
        <v>27</v>
      </c>
      <c r="C16" s="46"/>
      <c r="D16" s="46"/>
      <c r="E16" s="46"/>
      <c r="F16" s="46"/>
      <c r="G16" s="46"/>
      <c r="H16" s="46"/>
    </row>
    <row r="17" spans="1:8" s="2" customFormat="1" ht="46.5" customHeight="1" x14ac:dyDescent="0.3">
      <c r="A17" s="3">
        <v>12</v>
      </c>
      <c r="B17" s="46" t="s">
        <v>31</v>
      </c>
      <c r="C17" s="46"/>
      <c r="D17" s="46"/>
      <c r="E17" s="46"/>
      <c r="F17" s="46"/>
      <c r="G17" s="46"/>
      <c r="H17" s="46"/>
    </row>
    <row r="19" spans="1:8" s="2" customFormat="1" x14ac:dyDescent="0.3"/>
    <row r="20" spans="1:8" s="2" customFormat="1" x14ac:dyDescent="0.3">
      <c r="A20" s="47" t="s">
        <v>22</v>
      </c>
      <c r="B20" s="47"/>
      <c r="C20" s="47"/>
      <c r="D20" s="47"/>
      <c r="E20" s="47"/>
      <c r="F20" s="47"/>
      <c r="G20" s="47"/>
      <c r="H20" s="47"/>
    </row>
    <row r="21" spans="1:8" s="2" customFormat="1" x14ac:dyDescent="0.3">
      <c r="A21" s="6" t="s">
        <v>32</v>
      </c>
      <c r="B21" s="51" t="s">
        <v>33</v>
      </c>
      <c r="C21" s="51"/>
      <c r="D21" s="51" t="s">
        <v>34</v>
      </c>
      <c r="E21" s="51"/>
      <c r="F21" s="51"/>
      <c r="G21" s="51"/>
      <c r="H21" s="51"/>
    </row>
    <row r="22" spans="1:8" s="2" customFormat="1" ht="75.75" customHeight="1" x14ac:dyDescent="0.3">
      <c r="A22" s="3" t="s">
        <v>38</v>
      </c>
      <c r="B22" s="50" t="s">
        <v>44</v>
      </c>
      <c r="C22" s="50"/>
      <c r="D22" s="46" t="s">
        <v>51</v>
      </c>
      <c r="E22" s="46"/>
      <c r="F22" s="46"/>
      <c r="G22" s="46"/>
      <c r="H22" s="46"/>
    </row>
    <row r="23" spans="1:8" s="2" customFormat="1" ht="46.5" customHeight="1" x14ac:dyDescent="0.3">
      <c r="A23" s="3" t="s">
        <v>35</v>
      </c>
      <c r="B23" s="50" t="s">
        <v>45</v>
      </c>
      <c r="C23" s="50"/>
      <c r="D23" s="46" t="s">
        <v>54</v>
      </c>
      <c r="E23" s="46"/>
      <c r="F23" s="46"/>
      <c r="G23" s="46"/>
      <c r="H23" s="46"/>
    </row>
    <row r="24" spans="1:8" s="2" customFormat="1" ht="46.5" customHeight="1" x14ac:dyDescent="0.3">
      <c r="A24" s="3" t="s">
        <v>39</v>
      </c>
      <c r="B24" s="50" t="s">
        <v>46</v>
      </c>
      <c r="C24" s="50"/>
      <c r="D24" s="46" t="s">
        <v>52</v>
      </c>
      <c r="E24" s="46"/>
      <c r="F24" s="46"/>
      <c r="G24" s="46"/>
      <c r="H24" s="46"/>
    </row>
    <row r="25" spans="1:8" s="2" customFormat="1" ht="31.5" customHeight="1" x14ac:dyDescent="0.3">
      <c r="A25" s="3" t="s">
        <v>36</v>
      </c>
      <c r="B25" s="50" t="s">
        <v>47</v>
      </c>
      <c r="C25" s="50"/>
      <c r="D25" s="46" t="s">
        <v>53</v>
      </c>
      <c r="E25" s="46"/>
      <c r="F25" s="46"/>
      <c r="G25" s="46"/>
      <c r="H25" s="46"/>
    </row>
    <row r="26" spans="1:8" s="2" customFormat="1" ht="76.5" customHeight="1" x14ac:dyDescent="0.3">
      <c r="A26" s="3" t="s">
        <v>37</v>
      </c>
      <c r="B26" s="50" t="s">
        <v>48</v>
      </c>
      <c r="C26" s="50"/>
      <c r="D26" s="46" t="s">
        <v>56</v>
      </c>
      <c r="E26" s="46"/>
      <c r="F26" s="46"/>
      <c r="G26" s="46"/>
      <c r="H26" s="46"/>
    </row>
    <row r="27" spans="1:8" s="2" customFormat="1" ht="45.75" customHeight="1" x14ac:dyDescent="0.3">
      <c r="A27" s="3" t="s">
        <v>73</v>
      </c>
      <c r="B27" s="50" t="s">
        <v>74</v>
      </c>
      <c r="C27" s="50"/>
      <c r="D27" s="46" t="s">
        <v>75</v>
      </c>
      <c r="E27" s="46"/>
      <c r="F27" s="46"/>
      <c r="G27" s="46"/>
      <c r="H27" s="46"/>
    </row>
    <row r="28" spans="1:8" s="2" customFormat="1" ht="16.5" customHeight="1" x14ac:dyDescent="0.3">
      <c r="A28" s="3" t="s">
        <v>67</v>
      </c>
      <c r="B28" s="50" t="s">
        <v>68</v>
      </c>
      <c r="C28" s="50"/>
      <c r="D28" s="46" t="s">
        <v>69</v>
      </c>
      <c r="E28" s="46"/>
      <c r="F28" s="46"/>
      <c r="G28" s="46"/>
      <c r="H28" s="46"/>
    </row>
    <row r="29" spans="1:8" s="2" customFormat="1" ht="30.75" customHeight="1" x14ac:dyDescent="0.3">
      <c r="A29" s="3" t="s">
        <v>40</v>
      </c>
      <c r="B29" s="50" t="s">
        <v>76</v>
      </c>
      <c r="C29" s="50"/>
      <c r="D29" s="46" t="s">
        <v>55</v>
      </c>
      <c r="E29" s="46"/>
      <c r="F29" s="46"/>
      <c r="G29" s="46"/>
      <c r="H29" s="46"/>
    </row>
    <row r="30" spans="1:8" s="2" customFormat="1" x14ac:dyDescent="0.3">
      <c r="B30" s="7"/>
      <c r="C30" s="7"/>
      <c r="D30" s="7"/>
      <c r="E30" s="7"/>
      <c r="F30" s="7"/>
      <c r="G30" s="7"/>
      <c r="H30" s="7"/>
    </row>
    <row r="31" spans="1:8" s="2" customFormat="1" x14ac:dyDescent="0.3">
      <c r="A31" s="47" t="s">
        <v>41</v>
      </c>
      <c r="B31" s="47"/>
      <c r="C31" s="47"/>
      <c r="D31" s="47"/>
      <c r="E31" s="47"/>
      <c r="F31" s="47"/>
      <c r="G31" s="47"/>
      <c r="H31" s="47"/>
    </row>
    <row r="32" spans="1:8" s="2" customFormat="1" x14ac:dyDescent="0.3">
      <c r="A32" s="10" t="s">
        <v>42</v>
      </c>
      <c r="B32" s="9" t="s">
        <v>58</v>
      </c>
      <c r="C32" s="49" t="s">
        <v>43</v>
      </c>
      <c r="D32" s="49"/>
      <c r="E32" s="49"/>
      <c r="F32" s="49"/>
      <c r="G32" s="49"/>
      <c r="H32" s="49"/>
    </row>
    <row r="33" spans="1:8" s="2" customFormat="1" x14ac:dyDescent="0.3">
      <c r="A33" s="5"/>
      <c r="B33" s="7" t="s">
        <v>59</v>
      </c>
      <c r="C33" s="48" t="s">
        <v>62</v>
      </c>
      <c r="D33" s="48"/>
      <c r="E33" s="48"/>
      <c r="F33" s="48"/>
      <c r="G33" s="48"/>
      <c r="H33" s="48"/>
    </row>
    <row r="34" spans="1:8" s="2" customFormat="1" x14ac:dyDescent="0.3">
      <c r="A34" s="11"/>
      <c r="B34" s="7" t="s">
        <v>60</v>
      </c>
      <c r="C34" s="48" t="s">
        <v>61</v>
      </c>
      <c r="D34" s="48"/>
      <c r="E34" s="48"/>
      <c r="F34" s="48"/>
      <c r="G34" s="48"/>
      <c r="H34" s="48"/>
    </row>
    <row r="35" spans="1:8" s="2" customFormat="1" x14ac:dyDescent="0.3">
      <c r="A35" s="12"/>
      <c r="B35" s="7" t="s">
        <v>63</v>
      </c>
      <c r="C35" s="48" t="s">
        <v>64</v>
      </c>
      <c r="D35" s="48"/>
      <c r="E35" s="48"/>
      <c r="F35" s="48"/>
      <c r="G35" s="48"/>
      <c r="H35" s="48"/>
    </row>
    <row r="36" spans="1:8" s="2" customFormat="1" x14ac:dyDescent="0.3">
      <c r="A36" s="8"/>
      <c r="B36" s="7" t="s">
        <v>65</v>
      </c>
      <c r="C36" s="48" t="s">
        <v>66</v>
      </c>
      <c r="D36" s="48"/>
      <c r="E36" s="48"/>
      <c r="F36" s="48"/>
      <c r="G36" s="48"/>
      <c r="H36" s="48"/>
    </row>
    <row r="37" spans="1:8" s="2" customFormat="1" x14ac:dyDescent="0.3">
      <c r="B37" s="7"/>
      <c r="C37" s="7"/>
      <c r="D37" s="7"/>
      <c r="E37" s="7"/>
      <c r="F37" s="7"/>
      <c r="G37" s="7"/>
      <c r="H37" s="7"/>
    </row>
    <row r="38" spans="1:8" x14ac:dyDescent="0.3">
      <c r="A38" s="47" t="s">
        <v>23</v>
      </c>
      <c r="B38" s="47"/>
      <c r="C38" s="47"/>
      <c r="D38" s="47"/>
      <c r="E38" s="47"/>
      <c r="F38" s="47"/>
      <c r="G38" s="47"/>
      <c r="H38" s="47"/>
    </row>
    <row r="39" spans="1:8" s="2" customFormat="1" x14ac:dyDescent="0.3">
      <c r="A39" s="46" t="s">
        <v>78</v>
      </c>
      <c r="B39" s="46"/>
      <c r="C39" s="46"/>
      <c r="D39" s="46"/>
      <c r="E39" s="46"/>
      <c r="F39" s="46"/>
      <c r="G39" s="46"/>
      <c r="H39" s="46"/>
    </row>
    <row r="40" spans="1:8" s="2" customFormat="1" x14ac:dyDescent="0.3">
      <c r="A40" s="46" t="s">
        <v>72</v>
      </c>
      <c r="B40" s="46"/>
      <c r="C40" s="46"/>
      <c r="D40" s="46"/>
      <c r="E40" s="46"/>
      <c r="F40" s="46"/>
      <c r="G40" s="46"/>
      <c r="H40" s="46"/>
    </row>
    <row r="41" spans="1:8" s="2" customFormat="1" ht="31.5" customHeight="1" x14ac:dyDescent="0.3">
      <c r="A41" s="46" t="s">
        <v>57</v>
      </c>
      <c r="B41" s="46"/>
      <c r="C41" s="46"/>
      <c r="D41" s="46"/>
      <c r="E41" s="46"/>
      <c r="F41" s="46"/>
      <c r="G41" s="46"/>
      <c r="H41" s="46"/>
    </row>
    <row r="42" spans="1:8" s="2" customFormat="1" ht="46.5" customHeight="1" x14ac:dyDescent="0.3">
      <c r="A42" s="46" t="s">
        <v>50</v>
      </c>
      <c r="B42" s="46"/>
      <c r="C42" s="46"/>
      <c r="D42" s="46"/>
      <c r="E42" s="46"/>
      <c r="F42" s="46"/>
      <c r="G42" s="46"/>
      <c r="H42" s="46"/>
    </row>
    <row r="43" spans="1:8" s="2" customFormat="1" ht="46.5" customHeight="1" x14ac:dyDescent="0.3">
      <c r="A43" s="46" t="s">
        <v>71</v>
      </c>
      <c r="B43" s="46"/>
      <c r="C43" s="46"/>
      <c r="D43" s="46"/>
      <c r="E43" s="46"/>
      <c r="F43" s="46"/>
      <c r="G43" s="46"/>
      <c r="H43" s="46"/>
    </row>
    <row r="44" spans="1:8" s="2" customFormat="1" ht="30.75" customHeight="1" x14ac:dyDescent="0.3">
      <c r="A44" s="46" t="s">
        <v>30</v>
      </c>
      <c r="B44" s="46"/>
      <c r="C44" s="46"/>
      <c r="D44" s="46"/>
      <c r="E44" s="46"/>
      <c r="F44" s="46"/>
      <c r="G44" s="46"/>
      <c r="H44" s="46"/>
    </row>
    <row r="45" spans="1:8" ht="31.5" customHeight="1" x14ac:dyDescent="0.3">
      <c r="A45" s="46" t="s">
        <v>29</v>
      </c>
      <c r="B45" s="46"/>
      <c r="C45" s="46"/>
      <c r="D45" s="46"/>
      <c r="E45" s="46"/>
      <c r="F45" s="46"/>
      <c r="G45" s="46"/>
      <c r="H45" s="46"/>
    </row>
    <row r="46" spans="1:8" ht="32.25" customHeight="1" x14ac:dyDescent="0.3">
      <c r="A46" s="46" t="s">
        <v>49</v>
      </c>
      <c r="B46" s="46"/>
      <c r="C46" s="46"/>
      <c r="D46" s="46"/>
      <c r="E46" s="46"/>
      <c r="F46" s="46"/>
      <c r="G46" s="46"/>
      <c r="H46" s="46"/>
    </row>
    <row r="47" spans="1:8" ht="76.5" customHeight="1" x14ac:dyDescent="0.3">
      <c r="A47" s="46" t="s">
        <v>70</v>
      </c>
      <c r="B47" s="46"/>
      <c r="C47" s="46"/>
      <c r="D47" s="46"/>
      <c r="E47" s="46"/>
      <c r="F47" s="46"/>
      <c r="G47" s="46"/>
      <c r="H47" s="46"/>
    </row>
  </sheetData>
  <mergeCells count="51">
    <mergeCell ref="B25:C25"/>
    <mergeCell ref="A38:H38"/>
    <mergeCell ref="A20:H20"/>
    <mergeCell ref="B6:H6"/>
    <mergeCell ref="B7:H7"/>
    <mergeCell ref="B8:H8"/>
    <mergeCell ref="B9:H9"/>
    <mergeCell ref="B17:H17"/>
    <mergeCell ref="B13:H13"/>
    <mergeCell ref="B15:H15"/>
    <mergeCell ref="B16:H16"/>
    <mergeCell ref="B11:H11"/>
    <mergeCell ref="B12:H12"/>
    <mergeCell ref="B14:H14"/>
    <mergeCell ref="A1:H1"/>
    <mergeCell ref="A2:H2"/>
    <mergeCell ref="A4:H4"/>
    <mergeCell ref="B5:H5"/>
    <mergeCell ref="B10:H10"/>
    <mergeCell ref="A42:H42"/>
    <mergeCell ref="D29:H29"/>
    <mergeCell ref="B26:C26"/>
    <mergeCell ref="B29:C29"/>
    <mergeCell ref="B21:C21"/>
    <mergeCell ref="B22:C22"/>
    <mergeCell ref="B23:C23"/>
    <mergeCell ref="B28:C28"/>
    <mergeCell ref="B27:C27"/>
    <mergeCell ref="D21:H21"/>
    <mergeCell ref="D22:H22"/>
    <mergeCell ref="D23:H23"/>
    <mergeCell ref="D24:H24"/>
    <mergeCell ref="D25:H25"/>
    <mergeCell ref="A40:H40"/>
    <mergeCell ref="B24:C24"/>
    <mergeCell ref="A39:H39"/>
    <mergeCell ref="A31:H31"/>
    <mergeCell ref="D26:H26"/>
    <mergeCell ref="D27:H27"/>
    <mergeCell ref="A47:H47"/>
    <mergeCell ref="A43:H43"/>
    <mergeCell ref="C33:H33"/>
    <mergeCell ref="C34:H34"/>
    <mergeCell ref="C36:H36"/>
    <mergeCell ref="C35:H35"/>
    <mergeCell ref="A45:H45"/>
    <mergeCell ref="A46:H46"/>
    <mergeCell ref="D28:H28"/>
    <mergeCell ref="C32:H32"/>
    <mergeCell ref="A41:H41"/>
    <mergeCell ref="A44:H44"/>
  </mergeCells>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FF00"/>
  </sheetPr>
  <dimension ref="A1:MA69"/>
  <sheetViews>
    <sheetView topLeftCell="KD1" workbookViewId="0">
      <selection activeCell="KJ1" sqref="KJ1"/>
    </sheetView>
  </sheetViews>
  <sheetFormatPr baseColWidth="10" defaultColWidth="9.21875" defaultRowHeight="14.4" x14ac:dyDescent="0.3"/>
  <cols>
    <col min="1" max="16384" width="9.21875" style="2"/>
  </cols>
  <sheetData>
    <row r="1" spans="1:339" x14ac:dyDescent="0.3">
      <c r="A1" s="2" t="s">
        <v>81</v>
      </c>
      <c r="B1" s="2" t="s">
        <v>80</v>
      </c>
      <c r="C1" s="2" t="s">
        <v>83</v>
      </c>
      <c r="D1" s="2" t="s">
        <v>84</v>
      </c>
      <c r="E1" s="2" t="s">
        <v>85</v>
      </c>
      <c r="F1" s="2" t="s">
        <v>86</v>
      </c>
      <c r="G1" s="2" t="s">
        <v>87</v>
      </c>
      <c r="H1" s="2" t="s">
        <v>88</v>
      </c>
      <c r="I1" s="2" t="s">
        <v>89</v>
      </c>
      <c r="J1" s="2" t="s">
        <v>90</v>
      </c>
      <c r="K1" s="2" t="s">
        <v>91</v>
      </c>
      <c r="L1" s="2" t="s">
        <v>92</v>
      </c>
      <c r="M1" s="2" t="s">
        <v>93</v>
      </c>
      <c r="N1" s="2" t="s">
        <v>94</v>
      </c>
      <c r="O1" s="2" t="s">
        <v>95</v>
      </c>
      <c r="P1" s="2" t="s">
        <v>96</v>
      </c>
      <c r="Q1" s="2" t="s">
        <v>97</v>
      </c>
      <c r="R1" s="2" t="s">
        <v>98</v>
      </c>
      <c r="S1" s="2" t="s">
        <v>99</v>
      </c>
      <c r="T1" s="2" t="s">
        <v>100</v>
      </c>
      <c r="U1" s="2" t="s">
        <v>101</v>
      </c>
      <c r="V1" s="2" t="s">
        <v>102</v>
      </c>
      <c r="W1" s="2" t="s">
        <v>103</v>
      </c>
      <c r="X1" s="2" t="s">
        <v>104</v>
      </c>
      <c r="Y1" s="2" t="s">
        <v>105</v>
      </c>
      <c r="Z1" s="2" t="s">
        <v>106</v>
      </c>
      <c r="AA1" s="2" t="s">
        <v>107</v>
      </c>
      <c r="AB1" s="2" t="s">
        <v>108</v>
      </c>
      <c r="AC1" s="2" t="s">
        <v>109</v>
      </c>
      <c r="AD1" s="2" t="s">
        <v>110</v>
      </c>
      <c r="AE1" s="2" t="s">
        <v>111</v>
      </c>
      <c r="AF1" s="2" t="s">
        <v>112</v>
      </c>
      <c r="AG1" s="2" t="s">
        <v>113</v>
      </c>
      <c r="AH1" s="2" t="s">
        <v>114</v>
      </c>
      <c r="AI1" s="2" t="s">
        <v>115</v>
      </c>
      <c r="AJ1" s="2" t="s">
        <v>116</v>
      </c>
      <c r="AK1" s="2" t="s">
        <v>117</v>
      </c>
      <c r="AL1" s="2" t="s">
        <v>118</v>
      </c>
      <c r="AM1" s="2" t="s">
        <v>119</v>
      </c>
      <c r="AN1" s="2" t="s">
        <v>120</v>
      </c>
      <c r="AO1" s="2" t="s">
        <v>121</v>
      </c>
      <c r="AP1" s="2" t="s">
        <v>122</v>
      </c>
      <c r="AQ1" s="2" t="s">
        <v>123</v>
      </c>
      <c r="AR1" s="2" t="s">
        <v>124</v>
      </c>
      <c r="AS1" s="2" t="s">
        <v>125</v>
      </c>
      <c r="AT1" s="2" t="s">
        <v>126</v>
      </c>
      <c r="AU1" s="2" t="s">
        <v>127</v>
      </c>
      <c r="AV1" s="2" t="s">
        <v>128</v>
      </c>
      <c r="AW1" s="2" t="s">
        <v>129</v>
      </c>
      <c r="AX1" s="2" t="s">
        <v>130</v>
      </c>
      <c r="AY1" s="2" t="s">
        <v>131</v>
      </c>
      <c r="AZ1" s="2" t="s">
        <v>132</v>
      </c>
      <c r="BA1" s="2" t="s">
        <v>133</v>
      </c>
      <c r="BB1" s="2" t="s">
        <v>134</v>
      </c>
      <c r="BC1" s="2" t="s">
        <v>135</v>
      </c>
      <c r="BD1" s="2" t="s">
        <v>136</v>
      </c>
      <c r="BE1" s="2" t="s">
        <v>137</v>
      </c>
      <c r="BF1" s="2" t="s">
        <v>138</v>
      </c>
      <c r="BG1" s="2" t="s">
        <v>139</v>
      </c>
      <c r="BH1" s="2" t="s">
        <v>140</v>
      </c>
      <c r="BI1" s="2" t="s">
        <v>141</v>
      </c>
      <c r="BJ1" s="2" t="s">
        <v>142</v>
      </c>
      <c r="BK1" s="2" t="s">
        <v>143</v>
      </c>
      <c r="BL1" s="2" t="s">
        <v>144</v>
      </c>
      <c r="BM1" s="2" t="s">
        <v>145</v>
      </c>
      <c r="BN1" s="2" t="s">
        <v>146</v>
      </c>
      <c r="BO1" s="2" t="s">
        <v>147</v>
      </c>
      <c r="BP1" s="2" t="s">
        <v>148</v>
      </c>
      <c r="BQ1" s="2" t="s">
        <v>149</v>
      </c>
      <c r="BR1" s="2" t="s">
        <v>150</v>
      </c>
      <c r="BS1" s="2" t="s">
        <v>151</v>
      </c>
      <c r="BT1" s="2" t="s">
        <v>152</v>
      </c>
      <c r="BU1" s="2" t="s">
        <v>153</v>
      </c>
      <c r="BV1" s="2" t="s">
        <v>154</v>
      </c>
      <c r="BW1" s="2" t="s">
        <v>155</v>
      </c>
      <c r="BX1" s="2" t="s">
        <v>156</v>
      </c>
      <c r="BY1" s="2" t="s">
        <v>157</v>
      </c>
      <c r="BZ1" s="2" t="s">
        <v>158</v>
      </c>
      <c r="CA1" s="2" t="s">
        <v>159</v>
      </c>
      <c r="CB1" s="2" t="s">
        <v>160</v>
      </c>
      <c r="CC1" s="2" t="s">
        <v>161</v>
      </c>
      <c r="CD1" s="2" t="s">
        <v>162</v>
      </c>
      <c r="CE1" s="2" t="s">
        <v>163</v>
      </c>
      <c r="CF1" s="2" t="s">
        <v>164</v>
      </c>
      <c r="CG1" s="2" t="s">
        <v>165</v>
      </c>
      <c r="CH1" s="2" t="s">
        <v>166</v>
      </c>
      <c r="CI1" s="2" t="s">
        <v>167</v>
      </c>
      <c r="CJ1" s="2" t="s">
        <v>168</v>
      </c>
      <c r="CK1" s="2" t="s">
        <v>169</v>
      </c>
      <c r="CL1" s="2" t="s">
        <v>170</v>
      </c>
      <c r="CM1" s="2" t="s">
        <v>171</v>
      </c>
      <c r="CN1" s="2" t="s">
        <v>172</v>
      </c>
      <c r="CO1" s="2" t="s">
        <v>173</v>
      </c>
      <c r="CP1" s="2" t="s">
        <v>174</v>
      </c>
      <c r="CQ1" s="2" t="s">
        <v>175</v>
      </c>
      <c r="CR1" s="2" t="s">
        <v>176</v>
      </c>
      <c r="CS1" s="2" t="s">
        <v>177</v>
      </c>
      <c r="CT1" s="2" t="s">
        <v>178</v>
      </c>
      <c r="CU1" s="2" t="s">
        <v>179</v>
      </c>
      <c r="CV1" s="2" t="s">
        <v>180</v>
      </c>
      <c r="CW1" s="2" t="s">
        <v>181</v>
      </c>
      <c r="CX1" s="2" t="s">
        <v>182</v>
      </c>
      <c r="CY1" s="2" t="s">
        <v>183</v>
      </c>
      <c r="CZ1" s="2" t="s">
        <v>184</v>
      </c>
      <c r="DA1" s="2" t="s">
        <v>185</v>
      </c>
      <c r="DB1" s="2" t="s">
        <v>186</v>
      </c>
      <c r="DC1" s="2" t="s">
        <v>187</v>
      </c>
      <c r="DD1" s="2" t="s">
        <v>188</v>
      </c>
      <c r="DE1" s="2" t="s">
        <v>189</v>
      </c>
      <c r="DF1" s="2" t="s">
        <v>190</v>
      </c>
      <c r="DG1" s="2" t="s">
        <v>191</v>
      </c>
      <c r="DH1" s="2" t="s">
        <v>192</v>
      </c>
      <c r="DI1" s="2" t="s">
        <v>193</v>
      </c>
      <c r="DJ1" s="2" t="s">
        <v>194</v>
      </c>
      <c r="DK1" s="2" t="s">
        <v>195</v>
      </c>
      <c r="DL1" s="2" t="s">
        <v>196</v>
      </c>
      <c r="DM1" s="2" t="s">
        <v>197</v>
      </c>
      <c r="DN1" s="2" t="s">
        <v>198</v>
      </c>
      <c r="DO1" s="2" t="s">
        <v>199</v>
      </c>
      <c r="DP1" s="2" t="s">
        <v>200</v>
      </c>
      <c r="DQ1" s="2" t="s">
        <v>201</v>
      </c>
      <c r="DR1" s="2" t="s">
        <v>202</v>
      </c>
      <c r="DS1" s="2" t="s">
        <v>203</v>
      </c>
      <c r="DT1" s="2" t="s">
        <v>204</v>
      </c>
      <c r="DU1" s="2" t="s">
        <v>205</v>
      </c>
      <c r="DV1" s="2" t="s">
        <v>206</v>
      </c>
      <c r="DW1" s="2" t="s">
        <v>207</v>
      </c>
      <c r="DX1" s="2" t="s">
        <v>208</v>
      </c>
      <c r="DY1" s="2" t="s">
        <v>209</v>
      </c>
      <c r="DZ1" s="2" t="s">
        <v>210</v>
      </c>
      <c r="EA1" s="2" t="s">
        <v>211</v>
      </c>
      <c r="EB1" s="2" t="s">
        <v>212</v>
      </c>
      <c r="EC1" s="2" t="s">
        <v>213</v>
      </c>
      <c r="ED1" s="2" t="s">
        <v>214</v>
      </c>
      <c r="EE1" s="2" t="s">
        <v>215</v>
      </c>
      <c r="EF1" s="2" t="s">
        <v>216</v>
      </c>
      <c r="EG1" s="2" t="s">
        <v>217</v>
      </c>
      <c r="EH1" s="2" t="s">
        <v>218</v>
      </c>
      <c r="EI1" s="2" t="s">
        <v>219</v>
      </c>
      <c r="EJ1" s="2" t="s">
        <v>220</v>
      </c>
      <c r="EK1" s="2" t="s">
        <v>221</v>
      </c>
      <c r="EL1" s="2" t="s">
        <v>222</v>
      </c>
      <c r="EM1" s="2" t="s">
        <v>223</v>
      </c>
      <c r="EN1" s="2" t="s">
        <v>224</v>
      </c>
      <c r="EO1" s="2" t="s">
        <v>225</v>
      </c>
      <c r="EP1" s="2" t="s">
        <v>226</v>
      </c>
      <c r="EQ1" s="2" t="s">
        <v>227</v>
      </c>
      <c r="ER1" s="2" t="s">
        <v>228</v>
      </c>
      <c r="ES1" s="2" t="s">
        <v>229</v>
      </c>
      <c r="ET1" s="2" t="s">
        <v>230</v>
      </c>
      <c r="EU1" s="2" t="s">
        <v>231</v>
      </c>
      <c r="EV1" s="2" t="s">
        <v>232</v>
      </c>
      <c r="EW1" s="2" t="s">
        <v>233</v>
      </c>
      <c r="EX1" s="2" t="s">
        <v>234</v>
      </c>
      <c r="EY1" s="2" t="s">
        <v>235</v>
      </c>
      <c r="EZ1" s="2" t="s">
        <v>236</v>
      </c>
      <c r="FA1" s="2" t="s">
        <v>237</v>
      </c>
      <c r="FB1" s="2" t="s">
        <v>238</v>
      </c>
      <c r="FC1" s="2" t="s">
        <v>239</v>
      </c>
      <c r="FD1" s="2" t="s">
        <v>240</v>
      </c>
      <c r="FE1" s="2" t="s">
        <v>241</v>
      </c>
      <c r="FF1" s="2" t="s">
        <v>242</v>
      </c>
      <c r="FG1" s="2" t="s">
        <v>243</v>
      </c>
      <c r="FH1" s="2" t="s">
        <v>244</v>
      </c>
      <c r="FI1" s="2" t="s">
        <v>245</v>
      </c>
      <c r="FJ1" s="2" t="s">
        <v>246</v>
      </c>
      <c r="FK1" s="2" t="s">
        <v>247</v>
      </c>
      <c r="FL1" s="2" t="s">
        <v>248</v>
      </c>
      <c r="FM1" s="2" t="s">
        <v>249</v>
      </c>
      <c r="FN1" s="2" t="s">
        <v>250</v>
      </c>
      <c r="FO1" s="2" t="s">
        <v>251</v>
      </c>
      <c r="FP1" s="2" t="s">
        <v>252</v>
      </c>
      <c r="FQ1" s="2" t="s">
        <v>253</v>
      </c>
      <c r="FR1" s="2" t="s">
        <v>254</v>
      </c>
      <c r="FS1" s="2" t="s">
        <v>255</v>
      </c>
      <c r="FT1" s="2" t="s">
        <v>256</v>
      </c>
      <c r="FU1" s="2" t="s">
        <v>257</v>
      </c>
      <c r="FV1" s="2" t="s">
        <v>258</v>
      </c>
      <c r="FW1" s="2" t="s">
        <v>259</v>
      </c>
      <c r="FX1" s="2" t="s">
        <v>260</v>
      </c>
      <c r="FY1" s="2" t="s">
        <v>261</v>
      </c>
      <c r="FZ1" s="2" t="s">
        <v>262</v>
      </c>
      <c r="GA1" s="2" t="s">
        <v>263</v>
      </c>
      <c r="GB1" s="2" t="s">
        <v>264</v>
      </c>
      <c r="GC1" s="2" t="s">
        <v>265</v>
      </c>
      <c r="GD1" s="2" t="s">
        <v>266</v>
      </c>
      <c r="GE1" s="2" t="s">
        <v>267</v>
      </c>
      <c r="GF1" s="2" t="s">
        <v>268</v>
      </c>
      <c r="GG1" s="2" t="s">
        <v>269</v>
      </c>
      <c r="GH1" s="2" t="s">
        <v>270</v>
      </c>
      <c r="GI1" s="2" t="s">
        <v>271</v>
      </c>
      <c r="GJ1" s="2" t="s">
        <v>272</v>
      </c>
      <c r="GK1" s="2" t="s">
        <v>273</v>
      </c>
      <c r="GL1" s="2" t="s">
        <v>274</v>
      </c>
      <c r="GM1" s="2" t="s">
        <v>275</v>
      </c>
      <c r="GN1" s="2" t="s">
        <v>276</v>
      </c>
      <c r="GO1" s="2" t="s">
        <v>277</v>
      </c>
      <c r="GP1" s="2" t="s">
        <v>278</v>
      </c>
      <c r="GQ1" s="2" t="s">
        <v>279</v>
      </c>
      <c r="GR1" s="2" t="s">
        <v>280</v>
      </c>
      <c r="GS1" s="2" t="s">
        <v>281</v>
      </c>
      <c r="GT1" s="2" t="s">
        <v>282</v>
      </c>
      <c r="GU1" s="2" t="s">
        <v>283</v>
      </c>
      <c r="GV1" s="2" t="s">
        <v>284</v>
      </c>
      <c r="GW1" s="2" t="s">
        <v>285</v>
      </c>
      <c r="GX1" s="2" t="s">
        <v>286</v>
      </c>
      <c r="GY1" s="2" t="s">
        <v>287</v>
      </c>
      <c r="GZ1" s="2" t="s">
        <v>288</v>
      </c>
      <c r="HA1" s="2" t="s">
        <v>289</v>
      </c>
      <c r="HB1" s="2" t="s">
        <v>290</v>
      </c>
      <c r="HC1" s="2" t="s">
        <v>291</v>
      </c>
      <c r="HD1" s="2" t="s">
        <v>292</v>
      </c>
      <c r="HE1" s="2" t="s">
        <v>293</v>
      </c>
      <c r="HF1" s="2" t="s">
        <v>294</v>
      </c>
      <c r="HG1" s="2" t="s">
        <v>295</v>
      </c>
      <c r="HH1" s="2" t="s">
        <v>296</v>
      </c>
      <c r="HI1" s="2" t="s">
        <v>297</v>
      </c>
      <c r="HJ1" s="2" t="s">
        <v>298</v>
      </c>
      <c r="HK1" s="2" t="s">
        <v>299</v>
      </c>
      <c r="HL1" s="2" t="s">
        <v>300</v>
      </c>
      <c r="HM1" s="2" t="s">
        <v>301</v>
      </c>
      <c r="HN1" s="2" t="s">
        <v>302</v>
      </c>
      <c r="HO1" s="2" t="s">
        <v>303</v>
      </c>
      <c r="HP1" s="2" t="s">
        <v>304</v>
      </c>
      <c r="HQ1" s="2" t="s">
        <v>305</v>
      </c>
      <c r="HR1" s="2" t="s">
        <v>306</v>
      </c>
      <c r="HS1" s="2" t="s">
        <v>307</v>
      </c>
      <c r="HT1" s="2" t="s">
        <v>308</v>
      </c>
      <c r="HU1" s="2" t="s">
        <v>309</v>
      </c>
      <c r="HV1" s="2" t="s">
        <v>310</v>
      </c>
      <c r="HW1" s="2" t="s">
        <v>311</v>
      </c>
      <c r="HX1" s="2" t="s">
        <v>312</v>
      </c>
      <c r="HY1" s="2" t="s">
        <v>313</v>
      </c>
      <c r="HZ1" s="2" t="s">
        <v>314</v>
      </c>
      <c r="IA1" s="2" t="s">
        <v>315</v>
      </c>
      <c r="IB1" s="2" t="s">
        <v>316</v>
      </c>
      <c r="IC1" s="2" t="s">
        <v>317</v>
      </c>
      <c r="ID1" s="2" t="s">
        <v>318</v>
      </c>
      <c r="IE1" s="2" t="s">
        <v>319</v>
      </c>
      <c r="IF1" s="2" t="s">
        <v>320</v>
      </c>
      <c r="IG1" s="2" t="s">
        <v>321</v>
      </c>
      <c r="IH1" s="2" t="s">
        <v>322</v>
      </c>
      <c r="II1" s="2" t="s">
        <v>323</v>
      </c>
      <c r="IJ1" s="2" t="s">
        <v>324</v>
      </c>
      <c r="IK1" s="2" t="s">
        <v>325</v>
      </c>
      <c r="IL1" s="2" t="s">
        <v>326</v>
      </c>
      <c r="IM1" s="2" t="s">
        <v>327</v>
      </c>
      <c r="IN1" s="2" t="s">
        <v>328</v>
      </c>
      <c r="IO1" s="2" t="s">
        <v>329</v>
      </c>
      <c r="IP1" s="2" t="s">
        <v>330</v>
      </c>
      <c r="IQ1" s="2" t="s">
        <v>331</v>
      </c>
      <c r="IR1" s="2" t="s">
        <v>332</v>
      </c>
      <c r="IS1" s="2" t="s">
        <v>333</v>
      </c>
      <c r="IT1" s="2" t="s">
        <v>334</v>
      </c>
      <c r="IU1" s="2" t="s">
        <v>335</v>
      </c>
      <c r="IV1" s="2" t="s">
        <v>336</v>
      </c>
      <c r="IW1" s="2" t="s">
        <v>337</v>
      </c>
      <c r="IX1" s="2" t="s">
        <v>338</v>
      </c>
      <c r="IY1" s="2" t="s">
        <v>339</v>
      </c>
      <c r="IZ1" s="2" t="s">
        <v>340</v>
      </c>
      <c r="JA1" s="2" t="s">
        <v>341</v>
      </c>
      <c r="JB1" s="2" t="s">
        <v>342</v>
      </c>
      <c r="JC1" s="2" t="s">
        <v>343</v>
      </c>
      <c r="JD1" s="2" t="s">
        <v>344</v>
      </c>
      <c r="JE1" s="2" t="s">
        <v>345</v>
      </c>
      <c r="JF1" s="2" t="s">
        <v>346</v>
      </c>
      <c r="JG1" s="2" t="s">
        <v>347</v>
      </c>
      <c r="JH1" s="2" t="s">
        <v>348</v>
      </c>
      <c r="JI1" s="2" t="s">
        <v>349</v>
      </c>
      <c r="JJ1" s="2" t="s">
        <v>350</v>
      </c>
      <c r="JK1" s="2" t="s">
        <v>351</v>
      </c>
      <c r="JL1" s="2" t="s">
        <v>352</v>
      </c>
      <c r="JM1" s="2" t="s">
        <v>353</v>
      </c>
      <c r="JN1" s="2" t="s">
        <v>354</v>
      </c>
      <c r="JO1" s="2" t="s">
        <v>355</v>
      </c>
      <c r="JP1" s="2" t="s">
        <v>356</v>
      </c>
      <c r="JQ1" s="2" t="s">
        <v>357</v>
      </c>
      <c r="JR1" s="2" t="s">
        <v>358</v>
      </c>
      <c r="JS1" s="2" t="s">
        <v>359</v>
      </c>
      <c r="JT1" s="2" t="s">
        <v>360</v>
      </c>
      <c r="JU1" s="2" t="s">
        <v>361</v>
      </c>
      <c r="JV1" s="2" t="s">
        <v>362</v>
      </c>
      <c r="JW1" s="2" t="s">
        <v>363</v>
      </c>
      <c r="JX1" s="2" t="s">
        <v>364</v>
      </c>
      <c r="JY1" s="2" t="s">
        <v>365</v>
      </c>
      <c r="JZ1" s="2" t="s">
        <v>366</v>
      </c>
      <c r="KA1" s="2" t="s">
        <v>367</v>
      </c>
      <c r="KB1" s="2" t="s">
        <v>368</v>
      </c>
      <c r="KC1" s="2" t="s">
        <v>369</v>
      </c>
      <c r="KD1" s="2" t="s">
        <v>370</v>
      </c>
      <c r="KE1" s="2" t="s">
        <v>371</v>
      </c>
      <c r="KF1" s="2" t="s">
        <v>372</v>
      </c>
      <c r="KG1" s="2" t="s">
        <v>373</v>
      </c>
      <c r="KH1" s="2" t="s">
        <v>374</v>
      </c>
      <c r="KI1" s="2" t="s">
        <v>375</v>
      </c>
      <c r="KJ1" s="2" t="s">
        <v>1663</v>
      </c>
      <c r="KK1" s="2" t="s">
        <v>377</v>
      </c>
      <c r="KL1" s="2" t="s">
        <v>378</v>
      </c>
      <c r="KM1" s="2" t="s">
        <v>379</v>
      </c>
      <c r="KN1" s="2" t="s">
        <v>380</v>
      </c>
      <c r="KO1" s="2" t="s">
        <v>381</v>
      </c>
      <c r="KP1" s="2" t="s">
        <v>382</v>
      </c>
      <c r="KQ1" s="2" t="s">
        <v>383</v>
      </c>
      <c r="KR1" s="2" t="s">
        <v>384</v>
      </c>
      <c r="KS1" s="2" t="s">
        <v>385</v>
      </c>
      <c r="KT1" s="2" t="s">
        <v>386</v>
      </c>
      <c r="KU1" s="2" t="s">
        <v>387</v>
      </c>
      <c r="KV1" s="2" t="s">
        <v>388</v>
      </c>
      <c r="KW1" s="2" t="s">
        <v>389</v>
      </c>
      <c r="KX1" s="2" t="s">
        <v>390</v>
      </c>
      <c r="KY1" s="2" t="s">
        <v>391</v>
      </c>
      <c r="KZ1" s="2" t="s">
        <v>392</v>
      </c>
      <c r="LA1" s="2" t="s">
        <v>393</v>
      </c>
      <c r="LB1" s="2" t="s">
        <v>394</v>
      </c>
      <c r="LC1" s="2" t="s">
        <v>395</v>
      </c>
      <c r="LD1" s="2" t="s">
        <v>396</v>
      </c>
      <c r="LE1" s="2" t="s">
        <v>397</v>
      </c>
      <c r="LF1" s="2" t="s">
        <v>398</v>
      </c>
      <c r="LG1" s="2" t="s">
        <v>399</v>
      </c>
      <c r="LH1" s="2" t="s">
        <v>400</v>
      </c>
      <c r="LI1" s="2" t="s">
        <v>401</v>
      </c>
      <c r="LJ1" s="2" t="s">
        <v>402</v>
      </c>
      <c r="LK1" s="2" t="s">
        <v>403</v>
      </c>
      <c r="LL1" s="2" t="s">
        <v>404</v>
      </c>
      <c r="LM1" s="2" t="s">
        <v>405</v>
      </c>
      <c r="LN1" s="2" t="s">
        <v>406</v>
      </c>
      <c r="LO1" s="2" t="s">
        <v>407</v>
      </c>
      <c r="LP1" s="2" t="s">
        <v>408</v>
      </c>
      <c r="LQ1" s="2" t="s">
        <v>409</v>
      </c>
      <c r="LR1" s="2" t="s">
        <v>410</v>
      </c>
      <c r="LS1" s="2" t="s">
        <v>411</v>
      </c>
      <c r="LT1" s="2" t="s">
        <v>412</v>
      </c>
      <c r="LU1" s="2" t="s">
        <v>413</v>
      </c>
      <c r="LV1" s="2" t="s">
        <v>414</v>
      </c>
      <c r="LW1" s="2" t="s">
        <v>415</v>
      </c>
      <c r="LX1" s="2" t="s">
        <v>416</v>
      </c>
      <c r="LY1" s="2" t="s">
        <v>417</v>
      </c>
      <c r="LZ1" s="2" t="s">
        <v>418</v>
      </c>
      <c r="MA1" s="2" t="s">
        <v>82</v>
      </c>
    </row>
    <row r="2" spans="1:339" x14ac:dyDescent="0.3">
      <c r="A2" s="2" t="s">
        <v>419</v>
      </c>
      <c r="B2" s="2" t="s">
        <v>420</v>
      </c>
      <c r="C2" s="2" t="s">
        <v>421</v>
      </c>
      <c r="F2" s="2" t="s">
        <v>422</v>
      </c>
      <c r="G2" s="2" t="s">
        <v>423</v>
      </c>
      <c r="H2" s="2" t="s">
        <v>423</v>
      </c>
      <c r="I2" s="2" t="s">
        <v>424</v>
      </c>
      <c r="R2" s="2" t="s">
        <v>422</v>
      </c>
      <c r="S2" s="2" t="s">
        <v>425</v>
      </c>
      <c r="T2" s="2" t="s">
        <v>426</v>
      </c>
      <c r="Z2" s="2" t="s">
        <v>428</v>
      </c>
      <c r="AA2" s="2" t="s">
        <v>429</v>
      </c>
      <c r="AB2" s="2" t="s">
        <v>423</v>
      </c>
      <c r="AG2" s="2" t="s">
        <v>430</v>
      </c>
      <c r="AH2" s="2" t="s">
        <v>431</v>
      </c>
      <c r="AI2" s="2" t="s">
        <v>432</v>
      </c>
      <c r="AJ2" s="2" t="s">
        <v>432</v>
      </c>
      <c r="AK2" s="2" t="s">
        <v>433</v>
      </c>
      <c r="AL2" s="2" t="s">
        <v>433</v>
      </c>
      <c r="AM2" s="2" t="s">
        <v>433</v>
      </c>
      <c r="AN2" s="2" t="s">
        <v>433</v>
      </c>
      <c r="AO2" s="2" t="s">
        <v>432</v>
      </c>
      <c r="AP2" s="2" t="s">
        <v>433</v>
      </c>
      <c r="AQ2" s="2" t="s">
        <v>432</v>
      </c>
      <c r="AR2" s="2" t="s">
        <v>432</v>
      </c>
      <c r="AS2" s="2" t="s">
        <v>432</v>
      </c>
      <c r="AT2" s="2" t="s">
        <v>432</v>
      </c>
      <c r="AU2" s="2" t="s">
        <v>432</v>
      </c>
      <c r="AV2" s="2" t="s">
        <v>432</v>
      </c>
      <c r="AX2" s="2" t="s">
        <v>434</v>
      </c>
      <c r="AY2" s="2" t="s">
        <v>433</v>
      </c>
      <c r="AZ2" s="2" t="s">
        <v>433</v>
      </c>
      <c r="BA2" s="2" t="s">
        <v>433</v>
      </c>
      <c r="BB2" s="2" t="s">
        <v>432</v>
      </c>
      <c r="BC2" s="2" t="s">
        <v>432</v>
      </c>
      <c r="BD2" s="2" t="s">
        <v>432</v>
      </c>
      <c r="BE2" s="2" t="s">
        <v>433</v>
      </c>
      <c r="BF2" s="2" t="s">
        <v>433</v>
      </c>
      <c r="BG2" s="2" t="s">
        <v>432</v>
      </c>
      <c r="BH2" s="2" t="s">
        <v>432</v>
      </c>
      <c r="BI2" s="2" t="s">
        <v>432</v>
      </c>
      <c r="BJ2" s="2" t="s">
        <v>432</v>
      </c>
      <c r="BK2" s="2" t="s">
        <v>432</v>
      </c>
      <c r="BL2" s="2" t="s">
        <v>432</v>
      </c>
      <c r="BN2" s="2" t="s">
        <v>435</v>
      </c>
      <c r="BO2" s="2" t="s">
        <v>436</v>
      </c>
      <c r="BQ2" s="2" t="s">
        <v>430</v>
      </c>
      <c r="BR2" s="2" t="s">
        <v>437</v>
      </c>
      <c r="BS2" s="2" t="s">
        <v>432</v>
      </c>
      <c r="BT2" s="2" t="s">
        <v>432</v>
      </c>
      <c r="BU2" s="2" t="s">
        <v>433</v>
      </c>
      <c r="BV2" s="2" t="s">
        <v>432</v>
      </c>
      <c r="BW2" s="2" t="s">
        <v>432</v>
      </c>
      <c r="BX2" s="2" t="s">
        <v>432</v>
      </c>
      <c r="BY2" s="2" t="s">
        <v>433</v>
      </c>
      <c r="BZ2" s="2" t="s">
        <v>432</v>
      </c>
      <c r="CA2" s="2" t="s">
        <v>433</v>
      </c>
      <c r="CB2" s="2" t="s">
        <v>432</v>
      </c>
      <c r="CC2" s="2" t="s">
        <v>433</v>
      </c>
      <c r="CD2" s="2" t="s">
        <v>433</v>
      </c>
      <c r="CE2" s="2" t="s">
        <v>432</v>
      </c>
      <c r="CF2" s="2" t="s">
        <v>432</v>
      </c>
      <c r="CG2" s="2" t="s">
        <v>432</v>
      </c>
      <c r="CI2" s="2" t="s">
        <v>434</v>
      </c>
      <c r="CJ2" s="2" t="s">
        <v>433</v>
      </c>
      <c r="CK2" s="2" t="s">
        <v>433</v>
      </c>
      <c r="CL2" s="2" t="s">
        <v>433</v>
      </c>
      <c r="CM2" s="2" t="s">
        <v>432</v>
      </c>
      <c r="CN2" s="2" t="s">
        <v>432</v>
      </c>
      <c r="CO2" s="2" t="s">
        <v>432</v>
      </c>
      <c r="CP2" s="2" t="s">
        <v>433</v>
      </c>
      <c r="CQ2" s="2" t="s">
        <v>433</v>
      </c>
      <c r="CR2" s="2" t="s">
        <v>432</v>
      </c>
      <c r="CS2" s="2" t="s">
        <v>432</v>
      </c>
      <c r="CT2" s="2" t="s">
        <v>432</v>
      </c>
      <c r="CU2" s="2" t="s">
        <v>432</v>
      </c>
      <c r="CV2" s="2" t="s">
        <v>432</v>
      </c>
      <c r="CW2" s="2" t="s">
        <v>432</v>
      </c>
      <c r="CY2" s="2" t="s">
        <v>435</v>
      </c>
      <c r="CZ2" s="2" t="s">
        <v>436</v>
      </c>
      <c r="DB2" s="2" t="s">
        <v>438</v>
      </c>
      <c r="DC2" s="2" t="s">
        <v>433</v>
      </c>
      <c r="DD2" s="2" t="s">
        <v>433</v>
      </c>
      <c r="DE2" s="2" t="s">
        <v>432</v>
      </c>
      <c r="DF2" s="2" t="s">
        <v>432</v>
      </c>
      <c r="DG2" s="2" t="s">
        <v>432</v>
      </c>
      <c r="DH2" s="2" t="s">
        <v>432</v>
      </c>
      <c r="DI2" s="2" t="s">
        <v>433</v>
      </c>
      <c r="DJ2" s="2" t="s">
        <v>432</v>
      </c>
      <c r="DK2" s="2" t="s">
        <v>432</v>
      </c>
      <c r="DL2" s="2" t="s">
        <v>432</v>
      </c>
      <c r="DZ2" s="2" t="s">
        <v>439</v>
      </c>
      <c r="EA2" s="2" t="s">
        <v>433</v>
      </c>
      <c r="EB2" s="2" t="s">
        <v>433</v>
      </c>
      <c r="EC2" s="2" t="s">
        <v>433</v>
      </c>
      <c r="ED2" s="2" t="s">
        <v>432</v>
      </c>
      <c r="EE2" s="2" t="s">
        <v>432</v>
      </c>
      <c r="EF2" s="2" t="s">
        <v>432</v>
      </c>
      <c r="EG2" s="2" t="s">
        <v>432</v>
      </c>
      <c r="EH2" s="2" t="s">
        <v>432</v>
      </c>
      <c r="EI2" s="2" t="s">
        <v>432</v>
      </c>
      <c r="EL2" s="2" t="s">
        <v>440</v>
      </c>
      <c r="EM2" s="2" t="s">
        <v>433</v>
      </c>
      <c r="EN2" s="2" t="s">
        <v>432</v>
      </c>
      <c r="EO2" s="2" t="s">
        <v>433</v>
      </c>
      <c r="EP2" s="2" t="s">
        <v>432</v>
      </c>
      <c r="EQ2" s="2" t="s">
        <v>433</v>
      </c>
      <c r="ER2" s="2" t="s">
        <v>432</v>
      </c>
      <c r="ES2" s="2" t="s">
        <v>432</v>
      </c>
      <c r="ET2" s="2" t="s">
        <v>432</v>
      </c>
      <c r="EU2" s="2" t="s">
        <v>432</v>
      </c>
      <c r="EV2" s="2" t="s">
        <v>432</v>
      </c>
      <c r="EX2" s="2" t="s">
        <v>430</v>
      </c>
      <c r="EY2" s="2" t="s">
        <v>441</v>
      </c>
      <c r="EZ2" s="2" t="s">
        <v>432</v>
      </c>
      <c r="FA2" s="2" t="s">
        <v>432</v>
      </c>
      <c r="FB2" s="2" t="s">
        <v>432</v>
      </c>
      <c r="FC2" s="2" t="s">
        <v>433</v>
      </c>
      <c r="FD2" s="2" t="s">
        <v>433</v>
      </c>
      <c r="FE2" s="2" t="s">
        <v>433</v>
      </c>
      <c r="FF2" s="2" t="s">
        <v>432</v>
      </c>
      <c r="FG2" s="2" t="s">
        <v>432</v>
      </c>
      <c r="FH2" s="2" t="s">
        <v>433</v>
      </c>
      <c r="FI2" s="2" t="s">
        <v>432</v>
      </c>
      <c r="FJ2" s="2" t="s">
        <v>432</v>
      </c>
      <c r="FK2" s="2" t="s">
        <v>432</v>
      </c>
      <c r="FL2" s="2" t="s">
        <v>432</v>
      </c>
      <c r="FM2" s="2" t="s">
        <v>432</v>
      </c>
      <c r="FO2" s="2" t="s">
        <v>442</v>
      </c>
      <c r="FP2" s="2" t="s">
        <v>442</v>
      </c>
      <c r="FQ2" s="2" t="s">
        <v>443</v>
      </c>
      <c r="FR2" s="2" t="s">
        <v>432</v>
      </c>
      <c r="FS2" s="2" t="s">
        <v>433</v>
      </c>
      <c r="FT2" s="2" t="s">
        <v>432</v>
      </c>
      <c r="FU2" s="2" t="s">
        <v>432</v>
      </c>
      <c r="FV2" s="2" t="s">
        <v>433</v>
      </c>
      <c r="FW2" s="2" t="s">
        <v>433</v>
      </c>
      <c r="FX2" s="2" t="s">
        <v>432</v>
      </c>
      <c r="FY2" s="2" t="s">
        <v>432</v>
      </c>
      <c r="GA2" s="2" t="s">
        <v>444</v>
      </c>
      <c r="GB2" s="2" t="s">
        <v>444</v>
      </c>
      <c r="GC2" s="2" t="s">
        <v>445</v>
      </c>
      <c r="GD2" s="2" t="s">
        <v>433</v>
      </c>
      <c r="GE2" s="2" t="s">
        <v>433</v>
      </c>
      <c r="GF2" s="2" t="s">
        <v>433</v>
      </c>
      <c r="GG2" s="2" t="s">
        <v>433</v>
      </c>
      <c r="GH2" s="2" t="s">
        <v>432</v>
      </c>
      <c r="GI2" s="2" t="s">
        <v>432</v>
      </c>
      <c r="GJ2" s="2" t="s">
        <v>432</v>
      </c>
      <c r="GK2" s="2" t="s">
        <v>432</v>
      </c>
      <c r="GL2" s="2" t="s">
        <v>432</v>
      </c>
      <c r="GN2" s="2" t="s">
        <v>442</v>
      </c>
      <c r="GO2" s="2" t="s">
        <v>442</v>
      </c>
      <c r="GP2" s="2" t="s">
        <v>446</v>
      </c>
      <c r="GQ2" s="2" t="s">
        <v>433</v>
      </c>
      <c r="GR2" s="2" t="s">
        <v>432</v>
      </c>
      <c r="GS2" s="2" t="s">
        <v>432</v>
      </c>
      <c r="GT2" s="2" t="s">
        <v>433</v>
      </c>
      <c r="GU2" s="2" t="s">
        <v>432</v>
      </c>
      <c r="GV2" s="2" t="s">
        <v>433</v>
      </c>
      <c r="GW2" s="2" t="s">
        <v>432</v>
      </c>
      <c r="GX2" s="2" t="s">
        <v>432</v>
      </c>
      <c r="GZ2" s="2" t="s">
        <v>447</v>
      </c>
      <c r="HA2" s="2" t="s">
        <v>433</v>
      </c>
      <c r="HB2" s="2" t="s">
        <v>433</v>
      </c>
      <c r="HC2" s="2" t="s">
        <v>433</v>
      </c>
      <c r="HD2" s="2" t="s">
        <v>432</v>
      </c>
      <c r="HE2" s="2" t="s">
        <v>432</v>
      </c>
      <c r="HF2" s="2" t="s">
        <v>432</v>
      </c>
      <c r="HI2" s="2" t="s">
        <v>442</v>
      </c>
      <c r="HJ2" s="2" t="s">
        <v>448</v>
      </c>
      <c r="HK2" s="2" t="s">
        <v>432</v>
      </c>
      <c r="HL2" s="2" t="s">
        <v>432</v>
      </c>
      <c r="HM2" s="2" t="s">
        <v>433</v>
      </c>
      <c r="HN2" s="2" t="s">
        <v>432</v>
      </c>
      <c r="HO2" s="2" t="s">
        <v>433</v>
      </c>
      <c r="HP2" s="2" t="s">
        <v>433</v>
      </c>
      <c r="HQ2" s="2" t="s">
        <v>432</v>
      </c>
      <c r="HR2" s="2" t="s">
        <v>432</v>
      </c>
      <c r="HS2" s="2" t="s">
        <v>432</v>
      </c>
      <c r="HT2" s="2" t="s">
        <v>432</v>
      </c>
      <c r="HV2" s="2" t="s">
        <v>430</v>
      </c>
      <c r="HX2" s="2" t="s">
        <v>434</v>
      </c>
      <c r="HY2" s="2" t="s">
        <v>433</v>
      </c>
      <c r="HZ2" s="2" t="s">
        <v>433</v>
      </c>
      <c r="IA2" s="2" t="s">
        <v>433</v>
      </c>
      <c r="IB2" s="2" t="s">
        <v>432</v>
      </c>
      <c r="IC2" s="2" t="s">
        <v>432</v>
      </c>
      <c r="ID2" s="2" t="s">
        <v>432</v>
      </c>
      <c r="IE2" s="2" t="s">
        <v>433</v>
      </c>
      <c r="IF2" s="2" t="s">
        <v>433</v>
      </c>
      <c r="IG2" s="2" t="s">
        <v>432</v>
      </c>
      <c r="IH2" s="2" t="s">
        <v>432</v>
      </c>
      <c r="II2" s="2" t="s">
        <v>432</v>
      </c>
      <c r="IJ2" s="2" t="s">
        <v>432</v>
      </c>
      <c r="IK2" s="2" t="s">
        <v>432</v>
      </c>
      <c r="IL2" s="2" t="s">
        <v>432</v>
      </c>
      <c r="IN2" s="2" t="s">
        <v>449</v>
      </c>
      <c r="IO2" s="2" t="s">
        <v>450</v>
      </c>
      <c r="IP2" s="2" t="s">
        <v>433</v>
      </c>
      <c r="IQ2" s="2" t="s">
        <v>433</v>
      </c>
      <c r="IR2" s="2" t="s">
        <v>433</v>
      </c>
      <c r="IS2" s="2" t="s">
        <v>433</v>
      </c>
      <c r="IT2" s="2" t="s">
        <v>433</v>
      </c>
      <c r="IU2" s="2" t="s">
        <v>432</v>
      </c>
      <c r="IV2" s="2" t="s">
        <v>432</v>
      </c>
      <c r="IW2" s="2" t="s">
        <v>432</v>
      </c>
      <c r="IX2" s="2" t="s">
        <v>432</v>
      </c>
      <c r="IY2" s="2" t="s">
        <v>432</v>
      </c>
      <c r="JA2" s="2" t="s">
        <v>451</v>
      </c>
      <c r="JB2" s="2" t="s">
        <v>433</v>
      </c>
      <c r="JC2" s="2" t="s">
        <v>433</v>
      </c>
      <c r="JD2" s="2" t="s">
        <v>433</v>
      </c>
      <c r="JE2" s="2" t="s">
        <v>432</v>
      </c>
      <c r="JF2" s="2" t="s">
        <v>432</v>
      </c>
      <c r="JG2" s="2" t="s">
        <v>432</v>
      </c>
      <c r="JI2" s="2" t="s">
        <v>452</v>
      </c>
      <c r="JJ2" s="2" t="s">
        <v>433</v>
      </c>
      <c r="JK2" s="2" t="s">
        <v>433</v>
      </c>
      <c r="JL2" s="2" t="s">
        <v>433</v>
      </c>
      <c r="JM2" s="2" t="s">
        <v>432</v>
      </c>
      <c r="JN2" s="2" t="s">
        <v>433</v>
      </c>
      <c r="JO2" s="2" t="s">
        <v>432</v>
      </c>
      <c r="JP2" s="2" t="s">
        <v>433</v>
      </c>
      <c r="JQ2" s="2" t="s">
        <v>432</v>
      </c>
      <c r="JR2" s="2" t="s">
        <v>432</v>
      </c>
      <c r="JT2" s="2" t="s">
        <v>453</v>
      </c>
      <c r="JU2" s="2" t="s">
        <v>433</v>
      </c>
      <c r="JV2" s="2" t="s">
        <v>433</v>
      </c>
      <c r="JW2" s="2" t="s">
        <v>433</v>
      </c>
      <c r="JX2" s="2" t="s">
        <v>432</v>
      </c>
      <c r="JY2" s="2" t="s">
        <v>433</v>
      </c>
      <c r="JZ2" s="2" t="s">
        <v>432</v>
      </c>
      <c r="KA2" s="2" t="s">
        <v>433</v>
      </c>
      <c r="KB2" s="2" t="s">
        <v>432</v>
      </c>
      <c r="KC2" s="2" t="s">
        <v>432</v>
      </c>
      <c r="KF2" s="2" t="s">
        <v>430</v>
      </c>
      <c r="KG2" s="2" t="s">
        <v>454</v>
      </c>
      <c r="KH2" s="2" t="s">
        <v>433</v>
      </c>
      <c r="KI2" s="2" t="s">
        <v>433</v>
      </c>
      <c r="KJ2" s="2" t="s">
        <v>433</v>
      </c>
      <c r="KK2" s="2" t="s">
        <v>432</v>
      </c>
      <c r="KL2" s="2" t="s">
        <v>432</v>
      </c>
      <c r="KM2" s="2" t="s">
        <v>433</v>
      </c>
      <c r="KN2" s="2" t="s">
        <v>432</v>
      </c>
      <c r="KO2" s="2" t="s">
        <v>433</v>
      </c>
      <c r="KP2" s="2" t="s">
        <v>432</v>
      </c>
      <c r="KQ2" s="2" t="s">
        <v>432</v>
      </c>
      <c r="KR2" s="2" t="s">
        <v>432</v>
      </c>
      <c r="LB2" s="2" t="s">
        <v>430</v>
      </c>
      <c r="LC2" s="2" t="s">
        <v>455</v>
      </c>
      <c r="LD2" s="2" t="s">
        <v>433</v>
      </c>
      <c r="LE2" s="2" t="s">
        <v>433</v>
      </c>
      <c r="LF2" s="2" t="s">
        <v>432</v>
      </c>
      <c r="LG2" s="2" t="s">
        <v>432</v>
      </c>
      <c r="LH2" s="2" t="s">
        <v>433</v>
      </c>
      <c r="LI2" s="2" t="s">
        <v>433</v>
      </c>
      <c r="LJ2" s="2" t="s">
        <v>432</v>
      </c>
      <c r="LK2" s="2" t="s">
        <v>432</v>
      </c>
      <c r="LL2" s="2" t="s">
        <v>432</v>
      </c>
      <c r="LM2" s="2" t="s">
        <v>432</v>
      </c>
      <c r="LO2" s="2" t="s">
        <v>456</v>
      </c>
      <c r="LP2" s="2" t="s">
        <v>430</v>
      </c>
      <c r="LR2" s="2" t="s">
        <v>457</v>
      </c>
      <c r="LS2" s="2">
        <v>168983534</v>
      </c>
      <c r="LT2" s="2" t="s">
        <v>458</v>
      </c>
      <c r="LU2" s="2" t="s">
        <v>459</v>
      </c>
      <c r="LW2" s="2" t="s">
        <v>460</v>
      </c>
      <c r="LX2" s="2" t="s">
        <v>461</v>
      </c>
      <c r="LY2" s="2" t="s">
        <v>462</v>
      </c>
      <c r="MA2" s="2">
        <v>1</v>
      </c>
    </row>
    <row r="3" spans="1:339" x14ac:dyDescent="0.3">
      <c r="A3" s="2" t="s">
        <v>463</v>
      </c>
      <c r="B3" s="2" t="s">
        <v>464</v>
      </c>
      <c r="C3" s="2" t="s">
        <v>465</v>
      </c>
      <c r="F3" s="2" t="s">
        <v>422</v>
      </c>
      <c r="G3" s="2" t="s">
        <v>466</v>
      </c>
      <c r="H3" s="2" t="s">
        <v>466</v>
      </c>
      <c r="I3" s="2" t="s">
        <v>467</v>
      </c>
      <c r="R3" s="2" t="s">
        <v>422</v>
      </c>
      <c r="S3" s="2" t="s">
        <v>468</v>
      </c>
      <c r="T3" s="2" t="s">
        <v>426</v>
      </c>
      <c r="Z3" s="2" t="s">
        <v>428</v>
      </c>
      <c r="AA3" s="2" t="s">
        <v>429</v>
      </c>
      <c r="AB3" s="2" t="s">
        <v>466</v>
      </c>
      <c r="AG3" s="2" t="s">
        <v>430</v>
      </c>
      <c r="AH3" s="2" t="s">
        <v>470</v>
      </c>
      <c r="AI3" s="2" t="s">
        <v>432</v>
      </c>
      <c r="AJ3" s="2" t="s">
        <v>432</v>
      </c>
      <c r="AK3" s="2" t="s">
        <v>432</v>
      </c>
      <c r="AL3" s="2" t="s">
        <v>432</v>
      </c>
      <c r="AM3" s="2" t="s">
        <v>433</v>
      </c>
      <c r="AN3" s="2" t="s">
        <v>432</v>
      </c>
      <c r="AO3" s="2" t="s">
        <v>432</v>
      </c>
      <c r="AP3" s="2" t="s">
        <v>432</v>
      </c>
      <c r="AQ3" s="2" t="s">
        <v>432</v>
      </c>
      <c r="AR3" s="2" t="s">
        <v>432</v>
      </c>
      <c r="AS3" s="2" t="s">
        <v>432</v>
      </c>
      <c r="AT3" s="2" t="s">
        <v>432</v>
      </c>
      <c r="AU3" s="2" t="s">
        <v>432</v>
      </c>
      <c r="AV3" s="2" t="s">
        <v>432</v>
      </c>
      <c r="AX3" s="2" t="s">
        <v>471</v>
      </c>
      <c r="AY3" s="2" t="s">
        <v>432</v>
      </c>
      <c r="AZ3" s="2" t="s">
        <v>432</v>
      </c>
      <c r="BA3" s="2" t="s">
        <v>432</v>
      </c>
      <c r="BB3" s="2" t="s">
        <v>432</v>
      </c>
      <c r="BC3" s="2" t="s">
        <v>432</v>
      </c>
      <c r="BD3" s="2" t="s">
        <v>432</v>
      </c>
      <c r="BE3" s="2" t="s">
        <v>432</v>
      </c>
      <c r="BF3" s="2" t="s">
        <v>433</v>
      </c>
      <c r="BG3" s="2" t="s">
        <v>432</v>
      </c>
      <c r="BH3" s="2" t="s">
        <v>432</v>
      </c>
      <c r="BI3" s="2" t="s">
        <v>432</v>
      </c>
      <c r="BJ3" s="2" t="s">
        <v>432</v>
      </c>
      <c r="BK3" s="2" t="s">
        <v>432</v>
      </c>
      <c r="BL3" s="2" t="s">
        <v>432</v>
      </c>
      <c r="BN3" s="2" t="s">
        <v>472</v>
      </c>
      <c r="BO3" s="2" t="s">
        <v>473</v>
      </c>
      <c r="BQ3" s="2" t="s">
        <v>430</v>
      </c>
      <c r="BR3" s="2" t="s">
        <v>474</v>
      </c>
      <c r="BS3" s="2" t="s">
        <v>432</v>
      </c>
      <c r="BT3" s="2" t="s">
        <v>432</v>
      </c>
      <c r="BU3" s="2" t="s">
        <v>432</v>
      </c>
      <c r="BV3" s="2" t="s">
        <v>432</v>
      </c>
      <c r="BW3" s="2" t="s">
        <v>432</v>
      </c>
      <c r="BX3" s="2" t="s">
        <v>432</v>
      </c>
      <c r="BY3" s="2" t="s">
        <v>432</v>
      </c>
      <c r="BZ3" s="2" t="s">
        <v>432</v>
      </c>
      <c r="CA3" s="2" t="s">
        <v>433</v>
      </c>
      <c r="CB3" s="2" t="s">
        <v>432</v>
      </c>
      <c r="CC3" s="2" t="s">
        <v>432</v>
      </c>
      <c r="CD3" s="2" t="s">
        <v>432</v>
      </c>
      <c r="CE3" s="2" t="s">
        <v>432</v>
      </c>
      <c r="CF3" s="2" t="s">
        <v>432</v>
      </c>
      <c r="CG3" s="2" t="s">
        <v>432</v>
      </c>
      <c r="CI3" s="2" t="s">
        <v>475</v>
      </c>
      <c r="CJ3" s="2" t="s">
        <v>432</v>
      </c>
      <c r="CK3" s="2" t="s">
        <v>433</v>
      </c>
      <c r="CL3" s="2" t="s">
        <v>433</v>
      </c>
      <c r="CM3" s="2" t="s">
        <v>432</v>
      </c>
      <c r="CN3" s="2" t="s">
        <v>432</v>
      </c>
      <c r="CO3" s="2" t="s">
        <v>432</v>
      </c>
      <c r="CP3" s="2" t="s">
        <v>432</v>
      </c>
      <c r="CQ3" s="2" t="s">
        <v>432</v>
      </c>
      <c r="CR3" s="2" t="s">
        <v>432</v>
      </c>
      <c r="CS3" s="2" t="s">
        <v>432</v>
      </c>
      <c r="CT3" s="2" t="s">
        <v>432</v>
      </c>
      <c r="CU3" s="2" t="s">
        <v>432</v>
      </c>
      <c r="CV3" s="2" t="s">
        <v>432</v>
      </c>
      <c r="CW3" s="2" t="s">
        <v>432</v>
      </c>
      <c r="CY3" s="2" t="s">
        <v>476</v>
      </c>
      <c r="CZ3" s="2" t="s">
        <v>473</v>
      </c>
      <c r="DN3" s="2" t="s">
        <v>477</v>
      </c>
      <c r="DO3" s="2" t="s">
        <v>433</v>
      </c>
      <c r="DP3" s="2" t="s">
        <v>432</v>
      </c>
      <c r="DQ3" s="2" t="s">
        <v>433</v>
      </c>
      <c r="DR3" s="2" t="s">
        <v>432</v>
      </c>
      <c r="DS3" s="2" t="s">
        <v>432</v>
      </c>
      <c r="DT3" s="2" t="s">
        <v>432</v>
      </c>
      <c r="DU3" s="2" t="s">
        <v>432</v>
      </c>
      <c r="DV3" s="2" t="s">
        <v>432</v>
      </c>
      <c r="DW3" s="2" t="s">
        <v>432</v>
      </c>
      <c r="DZ3" s="2" t="s">
        <v>478</v>
      </c>
      <c r="EA3" s="2" t="s">
        <v>432</v>
      </c>
      <c r="EB3" s="2" t="s">
        <v>433</v>
      </c>
      <c r="EC3" s="2" t="s">
        <v>432</v>
      </c>
      <c r="ED3" s="2" t="s">
        <v>432</v>
      </c>
      <c r="EE3" s="2" t="s">
        <v>433</v>
      </c>
      <c r="EF3" s="2" t="s">
        <v>433</v>
      </c>
      <c r="EG3" s="2" t="s">
        <v>432</v>
      </c>
      <c r="EH3" s="2" t="s">
        <v>432</v>
      </c>
      <c r="EI3" s="2" t="s">
        <v>432</v>
      </c>
      <c r="EL3" s="2" t="s">
        <v>479</v>
      </c>
      <c r="EM3" s="2" t="s">
        <v>432</v>
      </c>
      <c r="EN3" s="2" t="s">
        <v>433</v>
      </c>
      <c r="EO3" s="2" t="s">
        <v>433</v>
      </c>
      <c r="EP3" s="2" t="s">
        <v>432</v>
      </c>
      <c r="EQ3" s="2" t="s">
        <v>433</v>
      </c>
      <c r="ER3" s="2" t="s">
        <v>433</v>
      </c>
      <c r="ES3" s="2" t="s">
        <v>433</v>
      </c>
      <c r="ET3" s="2" t="s">
        <v>432</v>
      </c>
      <c r="EU3" s="2" t="s">
        <v>432</v>
      </c>
      <c r="EV3" s="2" t="s">
        <v>432</v>
      </c>
      <c r="EX3" s="2" t="s">
        <v>430</v>
      </c>
      <c r="EY3" s="2" t="s">
        <v>480</v>
      </c>
      <c r="EZ3" s="2" t="s">
        <v>432</v>
      </c>
      <c r="FA3" s="2" t="s">
        <v>432</v>
      </c>
      <c r="FB3" s="2" t="s">
        <v>432</v>
      </c>
      <c r="FC3" s="2" t="s">
        <v>432</v>
      </c>
      <c r="FD3" s="2" t="s">
        <v>432</v>
      </c>
      <c r="FE3" s="2" t="s">
        <v>433</v>
      </c>
      <c r="FF3" s="2" t="s">
        <v>432</v>
      </c>
      <c r="FG3" s="2" t="s">
        <v>433</v>
      </c>
      <c r="FH3" s="2" t="s">
        <v>432</v>
      </c>
      <c r="FI3" s="2" t="s">
        <v>432</v>
      </c>
      <c r="FJ3" s="2" t="s">
        <v>433</v>
      </c>
      <c r="FK3" s="2" t="s">
        <v>432</v>
      </c>
      <c r="FL3" s="2" t="s">
        <v>432</v>
      </c>
      <c r="FM3" s="2" t="s">
        <v>432</v>
      </c>
      <c r="FO3" s="2" t="s">
        <v>481</v>
      </c>
      <c r="FP3" s="2" t="s">
        <v>481</v>
      </c>
      <c r="FQ3" s="2" t="s">
        <v>482</v>
      </c>
      <c r="FR3" s="2" t="s">
        <v>432</v>
      </c>
      <c r="FS3" s="2" t="s">
        <v>433</v>
      </c>
      <c r="FT3" s="2" t="s">
        <v>432</v>
      </c>
      <c r="FU3" s="2" t="s">
        <v>432</v>
      </c>
      <c r="FV3" s="2" t="s">
        <v>432</v>
      </c>
      <c r="FW3" s="2" t="s">
        <v>432</v>
      </c>
      <c r="FX3" s="2" t="s">
        <v>432</v>
      </c>
      <c r="FY3" s="2" t="s">
        <v>432</v>
      </c>
      <c r="GA3" s="2" t="s">
        <v>483</v>
      </c>
      <c r="GB3" s="2" t="s">
        <v>483</v>
      </c>
      <c r="GC3" s="2" t="s">
        <v>484</v>
      </c>
      <c r="GD3" s="2" t="s">
        <v>432</v>
      </c>
      <c r="GE3" s="2" t="s">
        <v>433</v>
      </c>
      <c r="GF3" s="2" t="s">
        <v>432</v>
      </c>
      <c r="GG3" s="2" t="s">
        <v>433</v>
      </c>
      <c r="GH3" s="2" t="s">
        <v>432</v>
      </c>
      <c r="GI3" s="2" t="s">
        <v>433</v>
      </c>
      <c r="GJ3" s="2" t="s">
        <v>432</v>
      </c>
      <c r="GK3" s="2" t="s">
        <v>432</v>
      </c>
      <c r="GL3" s="2" t="s">
        <v>432</v>
      </c>
      <c r="GN3" s="2" t="s">
        <v>481</v>
      </c>
      <c r="GO3" s="2" t="s">
        <v>481</v>
      </c>
      <c r="GP3" s="2" t="s">
        <v>485</v>
      </c>
      <c r="GQ3" s="2" t="s">
        <v>433</v>
      </c>
      <c r="GR3" s="2" t="s">
        <v>433</v>
      </c>
      <c r="GS3" s="2" t="s">
        <v>432</v>
      </c>
      <c r="GT3" s="2" t="s">
        <v>433</v>
      </c>
      <c r="GU3" s="2" t="s">
        <v>432</v>
      </c>
      <c r="GV3" s="2" t="s">
        <v>432</v>
      </c>
      <c r="GW3" s="2" t="s">
        <v>432</v>
      </c>
      <c r="GX3" s="2" t="s">
        <v>432</v>
      </c>
      <c r="GZ3" s="2" t="s">
        <v>486</v>
      </c>
      <c r="HA3" s="2" t="s">
        <v>433</v>
      </c>
      <c r="HB3" s="2" t="s">
        <v>432</v>
      </c>
      <c r="HC3" s="2" t="s">
        <v>433</v>
      </c>
      <c r="HD3" s="2" t="s">
        <v>432</v>
      </c>
      <c r="HE3" s="2" t="s">
        <v>432</v>
      </c>
      <c r="HF3" s="2" t="s">
        <v>432</v>
      </c>
      <c r="HI3" s="2" t="s">
        <v>481</v>
      </c>
      <c r="HJ3" s="2" t="s">
        <v>487</v>
      </c>
      <c r="HK3" s="2" t="s">
        <v>432</v>
      </c>
      <c r="HL3" s="2" t="s">
        <v>433</v>
      </c>
      <c r="HM3" s="2" t="s">
        <v>432</v>
      </c>
      <c r="HN3" s="2" t="s">
        <v>432</v>
      </c>
      <c r="HO3" s="2" t="s">
        <v>432</v>
      </c>
      <c r="HP3" s="2" t="s">
        <v>432</v>
      </c>
      <c r="HQ3" s="2" t="s">
        <v>433</v>
      </c>
      <c r="HR3" s="2" t="s">
        <v>432</v>
      </c>
      <c r="HS3" s="2" t="s">
        <v>432</v>
      </c>
      <c r="HT3" s="2" t="s">
        <v>432</v>
      </c>
      <c r="HV3" s="2" t="s">
        <v>430</v>
      </c>
      <c r="HX3" s="2" t="s">
        <v>488</v>
      </c>
      <c r="HY3" s="2" t="s">
        <v>432</v>
      </c>
      <c r="HZ3" s="2" t="s">
        <v>432</v>
      </c>
      <c r="IA3" s="2" t="s">
        <v>433</v>
      </c>
      <c r="IB3" s="2" t="s">
        <v>433</v>
      </c>
      <c r="IC3" s="2" t="s">
        <v>433</v>
      </c>
      <c r="ID3" s="2" t="s">
        <v>433</v>
      </c>
      <c r="IE3" s="2" t="s">
        <v>432</v>
      </c>
      <c r="IF3" s="2" t="s">
        <v>432</v>
      </c>
      <c r="IG3" s="2" t="s">
        <v>432</v>
      </c>
      <c r="IH3" s="2" t="s">
        <v>432</v>
      </c>
      <c r="II3" s="2" t="s">
        <v>432</v>
      </c>
      <c r="IJ3" s="2" t="s">
        <v>432</v>
      </c>
      <c r="IK3" s="2" t="s">
        <v>432</v>
      </c>
      <c r="IL3" s="2" t="s">
        <v>432</v>
      </c>
      <c r="IN3" s="2" t="s">
        <v>489</v>
      </c>
      <c r="IO3" s="2" t="s">
        <v>490</v>
      </c>
      <c r="IP3" s="2" t="s">
        <v>432</v>
      </c>
      <c r="IQ3" s="2" t="s">
        <v>433</v>
      </c>
      <c r="IR3" s="2" t="s">
        <v>433</v>
      </c>
      <c r="IS3" s="2" t="s">
        <v>432</v>
      </c>
      <c r="IT3" s="2" t="s">
        <v>433</v>
      </c>
      <c r="IU3" s="2" t="s">
        <v>433</v>
      </c>
      <c r="IV3" s="2" t="s">
        <v>433</v>
      </c>
      <c r="IW3" s="2" t="s">
        <v>432</v>
      </c>
      <c r="IX3" s="2" t="s">
        <v>432</v>
      </c>
      <c r="IY3" s="2" t="s">
        <v>432</v>
      </c>
      <c r="JA3" s="2" t="s">
        <v>491</v>
      </c>
      <c r="JB3" s="2" t="s">
        <v>432</v>
      </c>
      <c r="JC3" s="2" t="s">
        <v>433</v>
      </c>
      <c r="JD3" s="2" t="s">
        <v>432</v>
      </c>
      <c r="JE3" s="2" t="s">
        <v>432</v>
      </c>
      <c r="JF3" s="2" t="s">
        <v>432</v>
      </c>
      <c r="JG3" s="2" t="s">
        <v>432</v>
      </c>
      <c r="JT3" s="2" t="s">
        <v>492</v>
      </c>
      <c r="JU3" s="2" t="s">
        <v>433</v>
      </c>
      <c r="JV3" s="2" t="s">
        <v>432</v>
      </c>
      <c r="JW3" s="2" t="s">
        <v>432</v>
      </c>
      <c r="JX3" s="2" t="s">
        <v>433</v>
      </c>
      <c r="JY3" s="2" t="s">
        <v>432</v>
      </c>
      <c r="JZ3" s="2" t="s">
        <v>432</v>
      </c>
      <c r="KA3" s="2" t="s">
        <v>432</v>
      </c>
      <c r="KB3" s="2" t="s">
        <v>432</v>
      </c>
      <c r="KC3" s="2" t="s">
        <v>432</v>
      </c>
      <c r="KF3" s="2" t="s">
        <v>430</v>
      </c>
      <c r="KG3" s="2" t="s">
        <v>493</v>
      </c>
      <c r="KH3" s="2" t="s">
        <v>433</v>
      </c>
      <c r="KI3" s="2" t="s">
        <v>433</v>
      </c>
      <c r="KJ3" s="2" t="s">
        <v>432</v>
      </c>
      <c r="KK3" s="2" t="s">
        <v>433</v>
      </c>
      <c r="KL3" s="2" t="s">
        <v>432</v>
      </c>
      <c r="KM3" s="2" t="s">
        <v>432</v>
      </c>
      <c r="KN3" s="2" t="s">
        <v>433</v>
      </c>
      <c r="KO3" s="2" t="s">
        <v>432</v>
      </c>
      <c r="KP3" s="2" t="s">
        <v>432</v>
      </c>
      <c r="KQ3" s="2" t="s">
        <v>432</v>
      </c>
      <c r="KR3" s="2" t="s">
        <v>432</v>
      </c>
      <c r="KT3" s="2" t="s">
        <v>494</v>
      </c>
      <c r="KU3" s="2" t="s">
        <v>432</v>
      </c>
      <c r="KV3" s="2" t="s">
        <v>432</v>
      </c>
      <c r="KW3" s="2" t="s">
        <v>432</v>
      </c>
      <c r="KX3" s="2" t="s">
        <v>433</v>
      </c>
      <c r="KY3" s="2" t="s">
        <v>432</v>
      </c>
      <c r="KZ3" s="2" t="s">
        <v>432</v>
      </c>
      <c r="LB3" s="2" t="s">
        <v>456</v>
      </c>
      <c r="LP3" s="2" t="s">
        <v>430</v>
      </c>
      <c r="LR3" s="2" t="s">
        <v>495</v>
      </c>
      <c r="LS3" s="2">
        <v>168634033</v>
      </c>
      <c r="LT3" s="2" t="s">
        <v>496</v>
      </c>
      <c r="LU3" s="2" t="s">
        <v>497</v>
      </c>
      <c r="LW3" s="2" t="s">
        <v>460</v>
      </c>
      <c r="LX3" s="2" t="s">
        <v>461</v>
      </c>
      <c r="LY3" s="2" t="s">
        <v>462</v>
      </c>
      <c r="MA3" s="2">
        <v>2</v>
      </c>
    </row>
    <row r="4" spans="1:339" x14ac:dyDescent="0.3">
      <c r="A4" s="2" t="s">
        <v>498</v>
      </c>
      <c r="B4" s="2" t="s">
        <v>499</v>
      </c>
      <c r="C4" s="2" t="s">
        <v>421</v>
      </c>
      <c r="F4" s="2" t="s">
        <v>422</v>
      </c>
      <c r="G4" s="2" t="s">
        <v>429</v>
      </c>
      <c r="H4" s="2" t="s">
        <v>500</v>
      </c>
      <c r="I4" s="2" t="s">
        <v>501</v>
      </c>
      <c r="R4" s="2" t="s">
        <v>422</v>
      </c>
      <c r="S4" s="2" t="s">
        <v>502</v>
      </c>
      <c r="T4" s="2" t="s">
        <v>503</v>
      </c>
      <c r="AG4" s="2" t="s">
        <v>456</v>
      </c>
      <c r="BQ4" s="2" t="s">
        <v>456</v>
      </c>
      <c r="DZ4" s="2" t="s">
        <v>505</v>
      </c>
      <c r="EA4" s="2" t="s">
        <v>432</v>
      </c>
      <c r="EB4" s="2" t="s">
        <v>433</v>
      </c>
      <c r="EC4" s="2" t="s">
        <v>433</v>
      </c>
      <c r="ED4" s="2" t="s">
        <v>432</v>
      </c>
      <c r="EE4" s="2" t="s">
        <v>432</v>
      </c>
      <c r="EF4" s="2" t="s">
        <v>432</v>
      </c>
      <c r="EG4" s="2" t="s">
        <v>432</v>
      </c>
      <c r="EH4" s="2" t="s">
        <v>432</v>
      </c>
      <c r="EI4" s="2" t="s">
        <v>432</v>
      </c>
      <c r="EL4" s="2" t="s">
        <v>506</v>
      </c>
      <c r="EM4" s="2" t="s">
        <v>432</v>
      </c>
      <c r="EN4" s="2" t="s">
        <v>433</v>
      </c>
      <c r="EO4" s="2" t="s">
        <v>433</v>
      </c>
      <c r="EP4" s="2" t="s">
        <v>432</v>
      </c>
      <c r="EQ4" s="2" t="s">
        <v>432</v>
      </c>
      <c r="ER4" s="2" t="s">
        <v>433</v>
      </c>
      <c r="ES4" s="2" t="s">
        <v>432</v>
      </c>
      <c r="ET4" s="2" t="s">
        <v>432</v>
      </c>
      <c r="EU4" s="2" t="s">
        <v>432</v>
      </c>
      <c r="EV4" s="2" t="s">
        <v>432</v>
      </c>
      <c r="EX4" s="2" t="s">
        <v>430</v>
      </c>
      <c r="EY4" s="2" t="s">
        <v>507</v>
      </c>
      <c r="EZ4" s="2" t="s">
        <v>433</v>
      </c>
      <c r="FA4" s="2" t="s">
        <v>432</v>
      </c>
      <c r="FB4" s="2" t="s">
        <v>432</v>
      </c>
      <c r="FC4" s="2" t="s">
        <v>433</v>
      </c>
      <c r="FD4" s="2" t="s">
        <v>433</v>
      </c>
      <c r="FE4" s="2" t="s">
        <v>432</v>
      </c>
      <c r="FF4" s="2" t="s">
        <v>432</v>
      </c>
      <c r="FG4" s="2" t="s">
        <v>433</v>
      </c>
      <c r="FH4" s="2" t="s">
        <v>432</v>
      </c>
      <c r="FI4" s="2" t="s">
        <v>432</v>
      </c>
      <c r="FJ4" s="2" t="s">
        <v>432</v>
      </c>
      <c r="FK4" s="2" t="s">
        <v>432</v>
      </c>
      <c r="FL4" s="2" t="s">
        <v>432</v>
      </c>
      <c r="FM4" s="2" t="s">
        <v>432</v>
      </c>
      <c r="FO4" s="2" t="s">
        <v>508</v>
      </c>
      <c r="FP4" s="2" t="s">
        <v>508</v>
      </c>
      <c r="FQ4" s="2" t="s">
        <v>443</v>
      </c>
      <c r="FR4" s="2" t="s">
        <v>432</v>
      </c>
      <c r="FS4" s="2" t="s">
        <v>433</v>
      </c>
      <c r="FT4" s="2" t="s">
        <v>432</v>
      </c>
      <c r="FU4" s="2" t="s">
        <v>432</v>
      </c>
      <c r="FV4" s="2" t="s">
        <v>433</v>
      </c>
      <c r="FW4" s="2" t="s">
        <v>433</v>
      </c>
      <c r="FX4" s="2" t="s">
        <v>432</v>
      </c>
      <c r="FY4" s="2" t="s">
        <v>432</v>
      </c>
      <c r="GA4" s="2" t="s">
        <v>509</v>
      </c>
      <c r="GB4" s="2" t="s">
        <v>509</v>
      </c>
      <c r="GC4" s="2" t="s">
        <v>510</v>
      </c>
      <c r="GD4" s="2" t="s">
        <v>432</v>
      </c>
      <c r="GE4" s="2" t="s">
        <v>433</v>
      </c>
      <c r="GF4" s="2" t="s">
        <v>432</v>
      </c>
      <c r="GG4" s="2" t="s">
        <v>433</v>
      </c>
      <c r="GH4" s="2" t="s">
        <v>433</v>
      </c>
      <c r="GI4" s="2" t="s">
        <v>432</v>
      </c>
      <c r="GJ4" s="2" t="s">
        <v>432</v>
      </c>
      <c r="GK4" s="2" t="s">
        <v>432</v>
      </c>
      <c r="GL4" s="2" t="s">
        <v>432</v>
      </c>
      <c r="GN4" s="2" t="s">
        <v>442</v>
      </c>
      <c r="GO4" s="2" t="s">
        <v>481</v>
      </c>
      <c r="GP4" s="2" t="s">
        <v>511</v>
      </c>
      <c r="GQ4" s="2" t="s">
        <v>433</v>
      </c>
      <c r="GR4" s="2" t="s">
        <v>433</v>
      </c>
      <c r="GS4" s="2" t="s">
        <v>433</v>
      </c>
      <c r="GT4" s="2" t="s">
        <v>432</v>
      </c>
      <c r="GU4" s="2" t="s">
        <v>432</v>
      </c>
      <c r="GV4" s="2" t="s">
        <v>432</v>
      </c>
      <c r="GW4" s="2" t="s">
        <v>432</v>
      </c>
      <c r="GX4" s="2" t="s">
        <v>432</v>
      </c>
      <c r="GZ4" s="2" t="s">
        <v>512</v>
      </c>
      <c r="HA4" s="2" t="s">
        <v>432</v>
      </c>
      <c r="HB4" s="2" t="s">
        <v>433</v>
      </c>
      <c r="HC4" s="2" t="s">
        <v>433</v>
      </c>
      <c r="HD4" s="2" t="s">
        <v>433</v>
      </c>
      <c r="HE4" s="2" t="s">
        <v>432</v>
      </c>
      <c r="HF4" s="2" t="s">
        <v>432</v>
      </c>
      <c r="HI4" s="2" t="s">
        <v>456</v>
      </c>
      <c r="HV4" s="2" t="s">
        <v>430</v>
      </c>
      <c r="IN4" s="2" t="s">
        <v>513</v>
      </c>
      <c r="IO4" s="2" t="s">
        <v>514</v>
      </c>
      <c r="IP4" s="2" t="s">
        <v>432</v>
      </c>
      <c r="IQ4" s="2" t="s">
        <v>433</v>
      </c>
      <c r="IR4" s="2" t="s">
        <v>433</v>
      </c>
      <c r="IS4" s="2" t="s">
        <v>432</v>
      </c>
      <c r="IT4" s="2" t="s">
        <v>433</v>
      </c>
      <c r="IU4" s="2" t="s">
        <v>432</v>
      </c>
      <c r="IV4" s="2" t="s">
        <v>432</v>
      </c>
      <c r="IW4" s="2" t="s">
        <v>432</v>
      </c>
      <c r="IX4" s="2" t="s">
        <v>432</v>
      </c>
      <c r="IY4" s="2" t="s">
        <v>432</v>
      </c>
      <c r="JA4" s="2" t="s">
        <v>515</v>
      </c>
      <c r="JB4" s="2" t="s">
        <v>433</v>
      </c>
      <c r="JC4" s="2" t="s">
        <v>433</v>
      </c>
      <c r="JD4" s="2" t="s">
        <v>433</v>
      </c>
      <c r="JE4" s="2" t="s">
        <v>432</v>
      </c>
      <c r="JF4" s="2" t="s">
        <v>432</v>
      </c>
      <c r="JG4" s="2" t="s">
        <v>432</v>
      </c>
      <c r="JI4" s="2" t="s">
        <v>516</v>
      </c>
      <c r="JJ4" s="2" t="s">
        <v>433</v>
      </c>
      <c r="JK4" s="2" t="s">
        <v>432</v>
      </c>
      <c r="JL4" s="2" t="s">
        <v>433</v>
      </c>
      <c r="JM4" s="2" t="s">
        <v>432</v>
      </c>
      <c r="JN4" s="2" t="s">
        <v>433</v>
      </c>
      <c r="JO4" s="2" t="s">
        <v>432</v>
      </c>
      <c r="JP4" s="2" t="s">
        <v>432</v>
      </c>
      <c r="JQ4" s="2" t="s">
        <v>432</v>
      </c>
      <c r="JR4" s="2" t="s">
        <v>432</v>
      </c>
      <c r="JT4" s="2" t="s">
        <v>516</v>
      </c>
      <c r="JU4" s="2" t="s">
        <v>433</v>
      </c>
      <c r="JV4" s="2" t="s">
        <v>432</v>
      </c>
      <c r="JW4" s="2" t="s">
        <v>433</v>
      </c>
      <c r="JX4" s="2" t="s">
        <v>432</v>
      </c>
      <c r="JY4" s="2" t="s">
        <v>433</v>
      </c>
      <c r="JZ4" s="2" t="s">
        <v>432</v>
      </c>
      <c r="KA4" s="2" t="s">
        <v>432</v>
      </c>
      <c r="KB4" s="2" t="s">
        <v>432</v>
      </c>
      <c r="KC4" s="2" t="s">
        <v>432</v>
      </c>
      <c r="KF4" s="2" t="s">
        <v>430</v>
      </c>
      <c r="KG4" s="2" t="s">
        <v>517</v>
      </c>
      <c r="KH4" s="2" t="s">
        <v>433</v>
      </c>
      <c r="KI4" s="2" t="s">
        <v>432</v>
      </c>
      <c r="KJ4" s="2" t="s">
        <v>432</v>
      </c>
      <c r="KK4" s="2" t="s">
        <v>433</v>
      </c>
      <c r="KL4" s="2" t="s">
        <v>433</v>
      </c>
      <c r="KM4" s="2" t="s">
        <v>432</v>
      </c>
      <c r="KN4" s="2" t="s">
        <v>432</v>
      </c>
      <c r="KO4" s="2" t="s">
        <v>432</v>
      </c>
      <c r="KP4" s="2" t="s">
        <v>432</v>
      </c>
      <c r="KQ4" s="2" t="s">
        <v>432</v>
      </c>
      <c r="KR4" s="2" t="s">
        <v>432</v>
      </c>
      <c r="KT4" s="2" t="s">
        <v>518</v>
      </c>
      <c r="KU4" s="2" t="s">
        <v>432</v>
      </c>
      <c r="KV4" s="2" t="s">
        <v>433</v>
      </c>
      <c r="KW4" s="2" t="s">
        <v>433</v>
      </c>
      <c r="KX4" s="2" t="s">
        <v>432</v>
      </c>
      <c r="KY4" s="2" t="s">
        <v>432</v>
      </c>
      <c r="KZ4" s="2" t="s">
        <v>432</v>
      </c>
      <c r="LB4" s="2" t="s">
        <v>456</v>
      </c>
      <c r="LP4" s="2" t="s">
        <v>430</v>
      </c>
      <c r="LS4" s="2">
        <v>168954344</v>
      </c>
      <c r="LT4" s="2" t="s">
        <v>519</v>
      </c>
      <c r="LU4" s="2" t="s">
        <v>520</v>
      </c>
      <c r="LW4" s="2" t="s">
        <v>460</v>
      </c>
      <c r="LX4" s="2" t="s">
        <v>461</v>
      </c>
      <c r="LY4" s="2" t="s">
        <v>462</v>
      </c>
      <c r="MA4" s="2">
        <v>3</v>
      </c>
    </row>
    <row r="5" spans="1:339" x14ac:dyDescent="0.3">
      <c r="A5" s="2" t="s">
        <v>521</v>
      </c>
      <c r="B5" s="2" t="s">
        <v>522</v>
      </c>
      <c r="C5" s="2" t="s">
        <v>421</v>
      </c>
      <c r="F5" s="2" t="s">
        <v>422</v>
      </c>
      <c r="G5" s="2" t="s">
        <v>423</v>
      </c>
      <c r="H5" s="2" t="s">
        <v>423</v>
      </c>
      <c r="I5" s="2" t="s">
        <v>423</v>
      </c>
      <c r="R5" s="2" t="s">
        <v>523</v>
      </c>
      <c r="S5" s="2" t="s">
        <v>524</v>
      </c>
      <c r="T5" s="2" t="s">
        <v>426</v>
      </c>
      <c r="Z5" s="2" t="s">
        <v>428</v>
      </c>
      <c r="AA5" s="2" t="s">
        <v>429</v>
      </c>
      <c r="AB5" s="2" t="s">
        <v>423</v>
      </c>
      <c r="AG5" s="2" t="s">
        <v>430</v>
      </c>
      <c r="AH5" s="2" t="s">
        <v>525</v>
      </c>
      <c r="AI5" s="2" t="s">
        <v>432</v>
      </c>
      <c r="AJ5" s="2" t="s">
        <v>433</v>
      </c>
      <c r="AK5" s="2" t="s">
        <v>433</v>
      </c>
      <c r="AL5" s="2" t="s">
        <v>433</v>
      </c>
      <c r="AM5" s="2" t="s">
        <v>433</v>
      </c>
      <c r="AN5" s="2" t="s">
        <v>432</v>
      </c>
      <c r="AO5" s="2" t="s">
        <v>432</v>
      </c>
      <c r="AP5" s="2" t="s">
        <v>433</v>
      </c>
      <c r="AQ5" s="2" t="s">
        <v>432</v>
      </c>
      <c r="AR5" s="2" t="s">
        <v>432</v>
      </c>
      <c r="AS5" s="2" t="s">
        <v>432</v>
      </c>
      <c r="AT5" s="2" t="s">
        <v>432</v>
      </c>
      <c r="AU5" s="2" t="s">
        <v>432</v>
      </c>
      <c r="AV5" s="2" t="s">
        <v>432</v>
      </c>
      <c r="AX5" s="2" t="s">
        <v>526</v>
      </c>
      <c r="AY5" s="2" t="s">
        <v>433</v>
      </c>
      <c r="AZ5" s="2" t="s">
        <v>433</v>
      </c>
      <c r="BA5" s="2" t="s">
        <v>433</v>
      </c>
      <c r="BB5" s="2" t="s">
        <v>433</v>
      </c>
      <c r="BC5" s="2" t="s">
        <v>432</v>
      </c>
      <c r="BD5" s="2" t="s">
        <v>432</v>
      </c>
      <c r="BE5" s="2" t="s">
        <v>433</v>
      </c>
      <c r="BF5" s="2" t="s">
        <v>432</v>
      </c>
      <c r="BG5" s="2" t="s">
        <v>432</v>
      </c>
      <c r="BH5" s="2" t="s">
        <v>432</v>
      </c>
      <c r="BI5" s="2" t="s">
        <v>432</v>
      </c>
      <c r="BJ5" s="2" t="s">
        <v>432</v>
      </c>
      <c r="BK5" s="2" t="s">
        <v>432</v>
      </c>
      <c r="BL5" s="2" t="s">
        <v>432</v>
      </c>
      <c r="BN5" s="2" t="s">
        <v>435</v>
      </c>
      <c r="BO5" s="2" t="s">
        <v>436</v>
      </c>
      <c r="BQ5" s="2" t="s">
        <v>456</v>
      </c>
      <c r="DB5" s="2" t="s">
        <v>527</v>
      </c>
      <c r="DC5" s="2" t="s">
        <v>433</v>
      </c>
      <c r="DD5" s="2" t="s">
        <v>433</v>
      </c>
      <c r="DE5" s="2" t="s">
        <v>432</v>
      </c>
      <c r="DF5" s="2" t="s">
        <v>432</v>
      </c>
      <c r="DG5" s="2" t="s">
        <v>432</v>
      </c>
      <c r="DH5" s="2" t="s">
        <v>432</v>
      </c>
      <c r="DI5" s="2" t="s">
        <v>433</v>
      </c>
      <c r="DJ5" s="2" t="s">
        <v>432</v>
      </c>
      <c r="DK5" s="2" t="s">
        <v>432</v>
      </c>
      <c r="DL5" s="2" t="s">
        <v>432</v>
      </c>
      <c r="DZ5" s="2" t="s">
        <v>528</v>
      </c>
      <c r="EA5" s="2" t="s">
        <v>433</v>
      </c>
      <c r="EB5" s="2" t="s">
        <v>433</v>
      </c>
      <c r="EC5" s="2" t="s">
        <v>433</v>
      </c>
      <c r="ED5" s="2" t="s">
        <v>433</v>
      </c>
      <c r="EE5" s="2" t="s">
        <v>432</v>
      </c>
      <c r="EF5" s="2" t="s">
        <v>432</v>
      </c>
      <c r="EG5" s="2" t="s">
        <v>432</v>
      </c>
      <c r="EH5" s="2" t="s">
        <v>432</v>
      </c>
      <c r="EI5" s="2" t="s">
        <v>432</v>
      </c>
      <c r="EL5" s="2" t="s">
        <v>529</v>
      </c>
      <c r="EM5" s="2" t="s">
        <v>433</v>
      </c>
      <c r="EN5" s="2" t="s">
        <v>432</v>
      </c>
      <c r="EO5" s="2" t="s">
        <v>433</v>
      </c>
      <c r="EP5" s="2" t="s">
        <v>432</v>
      </c>
      <c r="EQ5" s="2" t="s">
        <v>432</v>
      </c>
      <c r="ER5" s="2" t="s">
        <v>432</v>
      </c>
      <c r="ES5" s="2" t="s">
        <v>432</v>
      </c>
      <c r="ET5" s="2" t="s">
        <v>432</v>
      </c>
      <c r="EU5" s="2" t="s">
        <v>432</v>
      </c>
      <c r="EV5" s="2" t="s">
        <v>432</v>
      </c>
      <c r="EX5" s="2" t="s">
        <v>456</v>
      </c>
      <c r="GN5" s="2" t="s">
        <v>481</v>
      </c>
      <c r="GO5" s="2" t="s">
        <v>481</v>
      </c>
      <c r="GP5" s="2" t="s">
        <v>530</v>
      </c>
      <c r="GQ5" s="2" t="s">
        <v>432</v>
      </c>
      <c r="GR5" s="2" t="s">
        <v>433</v>
      </c>
      <c r="GS5" s="2" t="s">
        <v>432</v>
      </c>
      <c r="GT5" s="2" t="s">
        <v>433</v>
      </c>
      <c r="GU5" s="2" t="s">
        <v>432</v>
      </c>
      <c r="GV5" s="2" t="s">
        <v>433</v>
      </c>
      <c r="GW5" s="2" t="s">
        <v>432</v>
      </c>
      <c r="GX5" s="2" t="s">
        <v>432</v>
      </c>
      <c r="GZ5" s="2" t="s">
        <v>531</v>
      </c>
      <c r="HA5" s="2" t="s">
        <v>433</v>
      </c>
      <c r="HB5" s="2" t="s">
        <v>433</v>
      </c>
      <c r="HC5" s="2" t="s">
        <v>432</v>
      </c>
      <c r="HD5" s="2" t="s">
        <v>433</v>
      </c>
      <c r="HE5" s="2" t="s">
        <v>432</v>
      </c>
      <c r="HF5" s="2" t="s">
        <v>432</v>
      </c>
      <c r="HI5" s="2" t="s">
        <v>508</v>
      </c>
      <c r="HJ5" s="2" t="s">
        <v>532</v>
      </c>
      <c r="HK5" s="2" t="s">
        <v>432</v>
      </c>
      <c r="HL5" s="2" t="s">
        <v>432</v>
      </c>
      <c r="HM5" s="2" t="s">
        <v>432</v>
      </c>
      <c r="HN5" s="2" t="s">
        <v>432</v>
      </c>
      <c r="HO5" s="2" t="s">
        <v>433</v>
      </c>
      <c r="HP5" s="2" t="s">
        <v>432</v>
      </c>
      <c r="HQ5" s="2" t="s">
        <v>432</v>
      </c>
      <c r="HR5" s="2" t="s">
        <v>432</v>
      </c>
      <c r="HS5" s="2" t="s">
        <v>432</v>
      </c>
      <c r="HT5" s="2" t="s">
        <v>432</v>
      </c>
      <c r="HV5" s="2" t="s">
        <v>430</v>
      </c>
      <c r="HX5" s="2" t="s">
        <v>434</v>
      </c>
      <c r="HY5" s="2" t="s">
        <v>433</v>
      </c>
      <c r="HZ5" s="2" t="s">
        <v>433</v>
      </c>
      <c r="IA5" s="2" t="s">
        <v>433</v>
      </c>
      <c r="IB5" s="2" t="s">
        <v>432</v>
      </c>
      <c r="IC5" s="2" t="s">
        <v>432</v>
      </c>
      <c r="ID5" s="2" t="s">
        <v>432</v>
      </c>
      <c r="IE5" s="2" t="s">
        <v>433</v>
      </c>
      <c r="IF5" s="2" t="s">
        <v>433</v>
      </c>
      <c r="IG5" s="2" t="s">
        <v>432</v>
      </c>
      <c r="IH5" s="2" t="s">
        <v>432</v>
      </c>
      <c r="II5" s="2" t="s">
        <v>432</v>
      </c>
      <c r="IJ5" s="2" t="s">
        <v>432</v>
      </c>
      <c r="IK5" s="2" t="s">
        <v>432</v>
      </c>
      <c r="IL5" s="2" t="s">
        <v>432</v>
      </c>
      <c r="IN5" s="2" t="s">
        <v>449</v>
      </c>
      <c r="JA5" s="2" t="s">
        <v>533</v>
      </c>
      <c r="JB5" s="2" t="s">
        <v>432</v>
      </c>
      <c r="JC5" s="2" t="s">
        <v>433</v>
      </c>
      <c r="JD5" s="2" t="s">
        <v>433</v>
      </c>
      <c r="JE5" s="2" t="s">
        <v>433</v>
      </c>
      <c r="JF5" s="2" t="s">
        <v>432</v>
      </c>
      <c r="JG5" s="2" t="s">
        <v>432</v>
      </c>
      <c r="JH5" s="2" t="s">
        <v>534</v>
      </c>
      <c r="JT5" s="2" t="s">
        <v>535</v>
      </c>
      <c r="JU5" s="2" t="s">
        <v>433</v>
      </c>
      <c r="JV5" s="2" t="s">
        <v>433</v>
      </c>
      <c r="JW5" s="2" t="s">
        <v>432</v>
      </c>
      <c r="JX5" s="2" t="s">
        <v>432</v>
      </c>
      <c r="JY5" s="2" t="s">
        <v>433</v>
      </c>
      <c r="JZ5" s="2" t="s">
        <v>432</v>
      </c>
      <c r="KA5" s="2" t="s">
        <v>433</v>
      </c>
      <c r="KB5" s="2" t="s">
        <v>432</v>
      </c>
      <c r="KC5" s="2" t="s">
        <v>432</v>
      </c>
      <c r="KF5" s="2" t="s">
        <v>430</v>
      </c>
      <c r="KG5" s="2" t="s">
        <v>536</v>
      </c>
      <c r="KH5" s="2" t="s">
        <v>433</v>
      </c>
      <c r="KI5" s="2" t="s">
        <v>433</v>
      </c>
      <c r="KJ5" s="2" t="s">
        <v>433</v>
      </c>
      <c r="KK5" s="2" t="s">
        <v>432</v>
      </c>
      <c r="KL5" s="2" t="s">
        <v>433</v>
      </c>
      <c r="KM5" s="2" t="s">
        <v>433</v>
      </c>
      <c r="KN5" s="2" t="s">
        <v>432</v>
      </c>
      <c r="KO5" s="2" t="s">
        <v>432</v>
      </c>
      <c r="KP5" s="2" t="s">
        <v>432</v>
      </c>
      <c r="KQ5" s="2" t="s">
        <v>432</v>
      </c>
      <c r="KR5" s="2" t="s">
        <v>432</v>
      </c>
      <c r="LB5" s="2" t="s">
        <v>456</v>
      </c>
      <c r="LP5" s="2" t="s">
        <v>430</v>
      </c>
      <c r="LR5" s="2" t="s">
        <v>537</v>
      </c>
      <c r="LS5" s="2">
        <v>168983515</v>
      </c>
      <c r="LT5" s="2" t="s">
        <v>538</v>
      </c>
      <c r="LU5" s="2" t="s">
        <v>539</v>
      </c>
      <c r="LW5" s="2" t="s">
        <v>460</v>
      </c>
      <c r="LX5" s="2" t="s">
        <v>461</v>
      </c>
      <c r="LY5" s="2" t="s">
        <v>462</v>
      </c>
      <c r="MA5" s="2">
        <v>4</v>
      </c>
    </row>
    <row r="6" spans="1:339" x14ac:dyDescent="0.3">
      <c r="A6" s="2" t="s">
        <v>540</v>
      </c>
      <c r="B6" s="2" t="s">
        <v>541</v>
      </c>
      <c r="C6" s="2" t="s">
        <v>465</v>
      </c>
      <c r="F6" s="2" t="s">
        <v>422</v>
      </c>
      <c r="G6" s="2" t="s">
        <v>466</v>
      </c>
      <c r="H6" s="2" t="s">
        <v>466</v>
      </c>
      <c r="I6" s="2" t="s">
        <v>542</v>
      </c>
      <c r="R6" s="2" t="s">
        <v>422</v>
      </c>
      <c r="S6" s="2" t="s">
        <v>543</v>
      </c>
      <c r="T6" s="2" t="s">
        <v>426</v>
      </c>
      <c r="Z6" s="2" t="s">
        <v>428</v>
      </c>
      <c r="AA6" s="2" t="s">
        <v>429</v>
      </c>
      <c r="AB6" s="2" t="s">
        <v>466</v>
      </c>
      <c r="AG6" s="2" t="s">
        <v>430</v>
      </c>
      <c r="AH6" s="2" t="s">
        <v>544</v>
      </c>
      <c r="AI6" s="2" t="s">
        <v>432</v>
      </c>
      <c r="AJ6" s="2" t="s">
        <v>432</v>
      </c>
      <c r="AK6" s="2" t="s">
        <v>432</v>
      </c>
      <c r="AL6" s="2" t="s">
        <v>432</v>
      </c>
      <c r="AM6" s="2" t="s">
        <v>432</v>
      </c>
      <c r="AN6" s="2" t="s">
        <v>432</v>
      </c>
      <c r="AO6" s="2" t="s">
        <v>432</v>
      </c>
      <c r="AP6" s="2" t="s">
        <v>432</v>
      </c>
      <c r="AQ6" s="2" t="s">
        <v>432</v>
      </c>
      <c r="AR6" s="2" t="s">
        <v>432</v>
      </c>
      <c r="AS6" s="2" t="s">
        <v>432</v>
      </c>
      <c r="AT6" s="2" t="s">
        <v>433</v>
      </c>
      <c r="AU6" s="2" t="s">
        <v>432</v>
      </c>
      <c r="AV6" s="2" t="s">
        <v>432</v>
      </c>
      <c r="AW6" s="2" t="s">
        <v>545</v>
      </c>
      <c r="AX6" s="2" t="s">
        <v>546</v>
      </c>
      <c r="AY6" s="2" t="s">
        <v>432</v>
      </c>
      <c r="AZ6" s="2" t="s">
        <v>432</v>
      </c>
      <c r="BA6" s="2" t="s">
        <v>433</v>
      </c>
      <c r="BB6" s="2" t="s">
        <v>432</v>
      </c>
      <c r="BC6" s="2" t="s">
        <v>433</v>
      </c>
      <c r="BD6" s="2" t="s">
        <v>432</v>
      </c>
      <c r="BE6" s="2" t="s">
        <v>432</v>
      </c>
      <c r="BF6" s="2" t="s">
        <v>432</v>
      </c>
      <c r="BG6" s="2" t="s">
        <v>432</v>
      </c>
      <c r="BH6" s="2" t="s">
        <v>432</v>
      </c>
      <c r="BI6" s="2" t="s">
        <v>432</v>
      </c>
      <c r="BJ6" s="2" t="s">
        <v>432</v>
      </c>
      <c r="BK6" s="2" t="s">
        <v>432</v>
      </c>
      <c r="BL6" s="2" t="s">
        <v>432</v>
      </c>
      <c r="BN6" s="2" t="s">
        <v>476</v>
      </c>
      <c r="BO6" s="2" t="s">
        <v>547</v>
      </c>
      <c r="BQ6" s="2" t="s">
        <v>430</v>
      </c>
      <c r="BR6" s="2" t="s">
        <v>548</v>
      </c>
      <c r="BS6" s="2" t="s">
        <v>432</v>
      </c>
      <c r="BT6" s="2" t="s">
        <v>432</v>
      </c>
      <c r="BU6" s="2" t="s">
        <v>432</v>
      </c>
      <c r="BV6" s="2" t="s">
        <v>432</v>
      </c>
      <c r="BW6" s="2" t="s">
        <v>432</v>
      </c>
      <c r="BX6" s="2" t="s">
        <v>433</v>
      </c>
      <c r="BY6" s="2" t="s">
        <v>433</v>
      </c>
      <c r="BZ6" s="2" t="s">
        <v>432</v>
      </c>
      <c r="CA6" s="2" t="s">
        <v>433</v>
      </c>
      <c r="CB6" s="2" t="s">
        <v>432</v>
      </c>
      <c r="CC6" s="2" t="s">
        <v>432</v>
      </c>
      <c r="CD6" s="2" t="s">
        <v>432</v>
      </c>
      <c r="CE6" s="2" t="s">
        <v>432</v>
      </c>
      <c r="CF6" s="2" t="s">
        <v>432</v>
      </c>
      <c r="CG6" s="2" t="s">
        <v>432</v>
      </c>
      <c r="CI6" s="2" t="s">
        <v>549</v>
      </c>
      <c r="CJ6" s="2" t="s">
        <v>432</v>
      </c>
      <c r="CK6" s="2" t="s">
        <v>432</v>
      </c>
      <c r="CL6" s="2" t="s">
        <v>433</v>
      </c>
      <c r="CM6" s="2" t="s">
        <v>433</v>
      </c>
      <c r="CN6" s="2" t="s">
        <v>433</v>
      </c>
      <c r="CO6" s="2" t="s">
        <v>432</v>
      </c>
      <c r="CP6" s="2" t="s">
        <v>432</v>
      </c>
      <c r="CQ6" s="2" t="s">
        <v>432</v>
      </c>
      <c r="CR6" s="2" t="s">
        <v>432</v>
      </c>
      <c r="CS6" s="2" t="s">
        <v>432</v>
      </c>
      <c r="CT6" s="2" t="s">
        <v>432</v>
      </c>
      <c r="CU6" s="2" t="s">
        <v>432</v>
      </c>
      <c r="CV6" s="2" t="s">
        <v>432</v>
      </c>
      <c r="CW6" s="2" t="s">
        <v>432</v>
      </c>
      <c r="CY6" s="2" t="s">
        <v>435</v>
      </c>
      <c r="CZ6" s="2" t="s">
        <v>436</v>
      </c>
      <c r="DB6" s="2" t="s">
        <v>550</v>
      </c>
      <c r="DC6" s="2" t="s">
        <v>433</v>
      </c>
      <c r="DD6" s="2" t="s">
        <v>432</v>
      </c>
      <c r="DE6" s="2" t="s">
        <v>432</v>
      </c>
      <c r="DF6" s="2" t="s">
        <v>432</v>
      </c>
      <c r="DG6" s="2" t="s">
        <v>432</v>
      </c>
      <c r="DH6" s="2" t="s">
        <v>432</v>
      </c>
      <c r="DI6" s="2" t="s">
        <v>433</v>
      </c>
      <c r="DJ6" s="2" t="s">
        <v>432</v>
      </c>
      <c r="DK6" s="2" t="s">
        <v>432</v>
      </c>
      <c r="DL6" s="2" t="s">
        <v>432</v>
      </c>
      <c r="DZ6" s="2" t="s">
        <v>551</v>
      </c>
      <c r="EA6" s="2" t="s">
        <v>432</v>
      </c>
      <c r="EB6" s="2" t="s">
        <v>433</v>
      </c>
      <c r="EC6" s="2" t="s">
        <v>432</v>
      </c>
      <c r="ED6" s="2" t="s">
        <v>432</v>
      </c>
      <c r="EE6" s="2" t="s">
        <v>432</v>
      </c>
      <c r="EF6" s="2" t="s">
        <v>432</v>
      </c>
      <c r="EG6" s="2" t="s">
        <v>432</v>
      </c>
      <c r="EH6" s="2" t="s">
        <v>432</v>
      </c>
      <c r="EI6" s="2" t="s">
        <v>432</v>
      </c>
      <c r="EL6" s="2" t="s">
        <v>552</v>
      </c>
      <c r="EM6" s="2" t="s">
        <v>432</v>
      </c>
      <c r="EN6" s="2" t="s">
        <v>432</v>
      </c>
      <c r="EO6" s="2" t="s">
        <v>432</v>
      </c>
      <c r="EP6" s="2" t="s">
        <v>432</v>
      </c>
      <c r="EQ6" s="2" t="s">
        <v>432</v>
      </c>
      <c r="ER6" s="2" t="s">
        <v>432</v>
      </c>
      <c r="ES6" s="2" t="s">
        <v>432</v>
      </c>
      <c r="ET6" s="2" t="s">
        <v>432</v>
      </c>
      <c r="EU6" s="2" t="s">
        <v>432</v>
      </c>
      <c r="EV6" s="2" t="s">
        <v>433</v>
      </c>
      <c r="EX6" s="2" t="s">
        <v>430</v>
      </c>
      <c r="EY6" s="2" t="s">
        <v>553</v>
      </c>
      <c r="EZ6" s="2" t="s">
        <v>432</v>
      </c>
      <c r="FA6" s="2" t="s">
        <v>432</v>
      </c>
      <c r="FB6" s="2" t="s">
        <v>432</v>
      </c>
      <c r="FC6" s="2" t="s">
        <v>433</v>
      </c>
      <c r="FD6" s="2" t="s">
        <v>433</v>
      </c>
      <c r="FE6" s="2" t="s">
        <v>432</v>
      </c>
      <c r="FF6" s="2" t="s">
        <v>432</v>
      </c>
      <c r="FG6" s="2" t="s">
        <v>432</v>
      </c>
      <c r="FH6" s="2" t="s">
        <v>432</v>
      </c>
      <c r="FI6" s="2" t="s">
        <v>432</v>
      </c>
      <c r="FJ6" s="2" t="s">
        <v>432</v>
      </c>
      <c r="FK6" s="2" t="s">
        <v>432</v>
      </c>
      <c r="FL6" s="2" t="s">
        <v>432</v>
      </c>
      <c r="FM6" s="2" t="s">
        <v>432</v>
      </c>
      <c r="FO6" s="2" t="s">
        <v>508</v>
      </c>
      <c r="FP6" s="2" t="s">
        <v>508</v>
      </c>
      <c r="FQ6" s="2" t="s">
        <v>554</v>
      </c>
      <c r="FR6" s="2" t="s">
        <v>432</v>
      </c>
      <c r="FS6" s="2" t="s">
        <v>432</v>
      </c>
      <c r="FT6" s="2" t="s">
        <v>432</v>
      </c>
      <c r="FU6" s="2" t="s">
        <v>433</v>
      </c>
      <c r="FV6" s="2" t="s">
        <v>432</v>
      </c>
      <c r="FW6" s="2" t="s">
        <v>432</v>
      </c>
      <c r="FX6" s="2" t="s">
        <v>432</v>
      </c>
      <c r="FY6" s="2" t="s">
        <v>432</v>
      </c>
      <c r="GA6" s="2" t="s">
        <v>444</v>
      </c>
      <c r="GB6" s="2" t="s">
        <v>444</v>
      </c>
      <c r="GC6" s="2" t="s">
        <v>555</v>
      </c>
      <c r="GD6" s="2" t="s">
        <v>432</v>
      </c>
      <c r="GE6" s="2" t="s">
        <v>433</v>
      </c>
      <c r="GF6" s="2" t="s">
        <v>432</v>
      </c>
      <c r="GG6" s="2" t="s">
        <v>433</v>
      </c>
      <c r="GH6" s="2" t="s">
        <v>432</v>
      </c>
      <c r="GI6" s="2" t="s">
        <v>432</v>
      </c>
      <c r="GJ6" s="2" t="s">
        <v>432</v>
      </c>
      <c r="GK6" s="2" t="s">
        <v>432</v>
      </c>
      <c r="GL6" s="2" t="s">
        <v>432</v>
      </c>
      <c r="GN6" s="2" t="s">
        <v>442</v>
      </c>
      <c r="GO6" s="2" t="s">
        <v>442</v>
      </c>
      <c r="GP6" s="2" t="s">
        <v>556</v>
      </c>
      <c r="GQ6" s="2" t="s">
        <v>433</v>
      </c>
      <c r="GR6" s="2" t="s">
        <v>432</v>
      </c>
      <c r="GS6" s="2" t="s">
        <v>433</v>
      </c>
      <c r="GT6" s="2" t="s">
        <v>432</v>
      </c>
      <c r="GU6" s="2" t="s">
        <v>432</v>
      </c>
      <c r="GV6" s="2" t="s">
        <v>432</v>
      </c>
      <c r="GW6" s="2" t="s">
        <v>432</v>
      </c>
      <c r="GX6" s="2" t="s">
        <v>432</v>
      </c>
      <c r="GZ6" s="2" t="s">
        <v>557</v>
      </c>
      <c r="HA6" s="2" t="s">
        <v>433</v>
      </c>
      <c r="HB6" s="2" t="s">
        <v>433</v>
      </c>
      <c r="HC6" s="2" t="s">
        <v>432</v>
      </c>
      <c r="HD6" s="2" t="s">
        <v>432</v>
      </c>
      <c r="HE6" s="2" t="s">
        <v>432</v>
      </c>
      <c r="HF6" s="2" t="s">
        <v>432</v>
      </c>
      <c r="HI6" s="2" t="s">
        <v>456</v>
      </c>
      <c r="HV6" s="2" t="s">
        <v>430</v>
      </c>
      <c r="HX6" s="2" t="s">
        <v>558</v>
      </c>
      <c r="HY6" s="2" t="s">
        <v>432</v>
      </c>
      <c r="HZ6" s="2" t="s">
        <v>432</v>
      </c>
      <c r="IA6" s="2" t="s">
        <v>432</v>
      </c>
      <c r="IB6" s="2" t="s">
        <v>432</v>
      </c>
      <c r="IC6" s="2" t="s">
        <v>432</v>
      </c>
      <c r="ID6" s="2" t="s">
        <v>433</v>
      </c>
      <c r="IE6" s="2" t="s">
        <v>432</v>
      </c>
      <c r="IF6" s="2" t="s">
        <v>432</v>
      </c>
      <c r="IG6" s="2" t="s">
        <v>432</v>
      </c>
      <c r="IH6" s="2" t="s">
        <v>432</v>
      </c>
      <c r="II6" s="2" t="s">
        <v>432</v>
      </c>
      <c r="IJ6" s="2" t="s">
        <v>432</v>
      </c>
      <c r="IK6" s="2" t="s">
        <v>432</v>
      </c>
      <c r="IL6" s="2" t="s">
        <v>432</v>
      </c>
      <c r="IN6" s="2" t="s">
        <v>559</v>
      </c>
      <c r="IO6" s="2" t="s">
        <v>560</v>
      </c>
      <c r="IP6" s="2" t="s">
        <v>432</v>
      </c>
      <c r="IQ6" s="2" t="s">
        <v>433</v>
      </c>
      <c r="IR6" s="2" t="s">
        <v>433</v>
      </c>
      <c r="IS6" s="2" t="s">
        <v>432</v>
      </c>
      <c r="IT6" s="2" t="s">
        <v>432</v>
      </c>
      <c r="IU6" s="2" t="s">
        <v>432</v>
      </c>
      <c r="IV6" s="2" t="s">
        <v>432</v>
      </c>
      <c r="IW6" s="2" t="s">
        <v>432</v>
      </c>
      <c r="IX6" s="2" t="s">
        <v>432</v>
      </c>
      <c r="IY6" s="2" t="s">
        <v>432</v>
      </c>
      <c r="JA6" s="2" t="s">
        <v>491</v>
      </c>
      <c r="JB6" s="2" t="s">
        <v>432</v>
      </c>
      <c r="JC6" s="2" t="s">
        <v>433</v>
      </c>
      <c r="JD6" s="2" t="s">
        <v>432</v>
      </c>
      <c r="JE6" s="2" t="s">
        <v>432</v>
      </c>
      <c r="JF6" s="2" t="s">
        <v>432</v>
      </c>
      <c r="JG6" s="2" t="s">
        <v>432</v>
      </c>
      <c r="JT6" s="2" t="s">
        <v>492</v>
      </c>
      <c r="JU6" s="2" t="s">
        <v>433</v>
      </c>
      <c r="JV6" s="2" t="s">
        <v>432</v>
      </c>
      <c r="JW6" s="2" t="s">
        <v>432</v>
      </c>
      <c r="JX6" s="2" t="s">
        <v>433</v>
      </c>
      <c r="JY6" s="2" t="s">
        <v>432</v>
      </c>
      <c r="JZ6" s="2" t="s">
        <v>432</v>
      </c>
      <c r="KA6" s="2" t="s">
        <v>432</v>
      </c>
      <c r="KB6" s="2" t="s">
        <v>432</v>
      </c>
      <c r="KC6" s="2" t="s">
        <v>432</v>
      </c>
      <c r="KF6" s="2" t="s">
        <v>430</v>
      </c>
      <c r="KG6" s="2" t="s">
        <v>561</v>
      </c>
      <c r="KH6" s="2" t="s">
        <v>433</v>
      </c>
      <c r="KI6" s="2" t="s">
        <v>433</v>
      </c>
      <c r="KJ6" s="2" t="s">
        <v>433</v>
      </c>
      <c r="KK6" s="2" t="s">
        <v>433</v>
      </c>
      <c r="KL6" s="2" t="s">
        <v>432</v>
      </c>
      <c r="KM6" s="2" t="s">
        <v>432</v>
      </c>
      <c r="KN6" s="2" t="s">
        <v>432</v>
      </c>
      <c r="KO6" s="2" t="s">
        <v>433</v>
      </c>
      <c r="KP6" s="2" t="s">
        <v>432</v>
      </c>
      <c r="KQ6" s="2" t="s">
        <v>432</v>
      </c>
      <c r="KR6" s="2" t="s">
        <v>432</v>
      </c>
      <c r="KT6" s="2" t="s">
        <v>562</v>
      </c>
      <c r="KU6" s="2" t="s">
        <v>432</v>
      </c>
      <c r="KV6" s="2" t="s">
        <v>432</v>
      </c>
      <c r="KW6" s="2" t="s">
        <v>433</v>
      </c>
      <c r="KX6" s="2" t="s">
        <v>433</v>
      </c>
      <c r="KY6" s="2" t="s">
        <v>432</v>
      </c>
      <c r="KZ6" s="2" t="s">
        <v>432</v>
      </c>
      <c r="LB6" s="2" t="s">
        <v>456</v>
      </c>
      <c r="LP6" s="2" t="s">
        <v>430</v>
      </c>
      <c r="LR6" s="2" t="s">
        <v>563</v>
      </c>
      <c r="LS6" s="2">
        <v>168634044</v>
      </c>
      <c r="LT6" s="2" t="s">
        <v>564</v>
      </c>
      <c r="LU6" s="2" t="s">
        <v>565</v>
      </c>
      <c r="LW6" s="2" t="s">
        <v>460</v>
      </c>
      <c r="LX6" s="2" t="s">
        <v>461</v>
      </c>
      <c r="LY6" s="2" t="s">
        <v>462</v>
      </c>
      <c r="MA6" s="2">
        <v>5</v>
      </c>
    </row>
    <row r="7" spans="1:339" x14ac:dyDescent="0.3">
      <c r="A7" s="2" t="s">
        <v>566</v>
      </c>
      <c r="B7" s="2" t="s">
        <v>567</v>
      </c>
      <c r="C7" s="2" t="s">
        <v>421</v>
      </c>
      <c r="F7" s="2" t="s">
        <v>422</v>
      </c>
      <c r="G7" s="2" t="s">
        <v>429</v>
      </c>
      <c r="H7" s="2" t="s">
        <v>500</v>
      </c>
      <c r="I7" s="2" t="s">
        <v>568</v>
      </c>
      <c r="R7" s="2" t="s">
        <v>422</v>
      </c>
      <c r="S7" s="2" t="s">
        <v>569</v>
      </c>
      <c r="T7" s="2" t="s">
        <v>503</v>
      </c>
      <c r="AG7" s="2" t="s">
        <v>430</v>
      </c>
      <c r="AH7" s="2" t="s">
        <v>570</v>
      </c>
      <c r="AI7" s="2" t="s">
        <v>432</v>
      </c>
      <c r="AJ7" s="2" t="s">
        <v>432</v>
      </c>
      <c r="AK7" s="2" t="s">
        <v>433</v>
      </c>
      <c r="AL7" s="2" t="s">
        <v>433</v>
      </c>
      <c r="AM7" s="2" t="s">
        <v>433</v>
      </c>
      <c r="AN7" s="2" t="s">
        <v>432</v>
      </c>
      <c r="AO7" s="2" t="s">
        <v>432</v>
      </c>
      <c r="AP7" s="2" t="s">
        <v>433</v>
      </c>
      <c r="AQ7" s="2" t="s">
        <v>432</v>
      </c>
      <c r="AR7" s="2" t="s">
        <v>432</v>
      </c>
      <c r="AS7" s="2" t="s">
        <v>432</v>
      </c>
      <c r="AT7" s="2" t="s">
        <v>432</v>
      </c>
      <c r="AU7" s="2" t="s">
        <v>432</v>
      </c>
      <c r="AV7" s="2" t="s">
        <v>432</v>
      </c>
      <c r="AX7" s="2" t="s">
        <v>558</v>
      </c>
      <c r="AY7" s="2" t="s">
        <v>432</v>
      </c>
      <c r="AZ7" s="2" t="s">
        <v>432</v>
      </c>
      <c r="BA7" s="2" t="s">
        <v>432</v>
      </c>
      <c r="BB7" s="2" t="s">
        <v>432</v>
      </c>
      <c r="BC7" s="2" t="s">
        <v>432</v>
      </c>
      <c r="BD7" s="2" t="s">
        <v>433</v>
      </c>
      <c r="BE7" s="2" t="s">
        <v>432</v>
      </c>
      <c r="BF7" s="2" t="s">
        <v>432</v>
      </c>
      <c r="BG7" s="2" t="s">
        <v>432</v>
      </c>
      <c r="BH7" s="2" t="s">
        <v>432</v>
      </c>
      <c r="BI7" s="2" t="s">
        <v>432</v>
      </c>
      <c r="BJ7" s="2" t="s">
        <v>432</v>
      </c>
      <c r="BK7" s="2" t="s">
        <v>432</v>
      </c>
      <c r="BL7" s="2" t="s">
        <v>432</v>
      </c>
      <c r="BN7" s="2" t="s">
        <v>433</v>
      </c>
      <c r="BO7" s="2" t="s">
        <v>473</v>
      </c>
      <c r="BQ7" s="2" t="s">
        <v>456</v>
      </c>
      <c r="DN7" s="2" t="s">
        <v>571</v>
      </c>
      <c r="DO7" s="2" t="s">
        <v>432</v>
      </c>
      <c r="DP7" s="2" t="s">
        <v>433</v>
      </c>
      <c r="DQ7" s="2" t="s">
        <v>433</v>
      </c>
      <c r="DR7" s="2" t="s">
        <v>432</v>
      </c>
      <c r="DS7" s="2" t="s">
        <v>432</v>
      </c>
      <c r="DT7" s="2" t="s">
        <v>432</v>
      </c>
      <c r="DU7" s="2" t="s">
        <v>432</v>
      </c>
      <c r="DV7" s="2" t="s">
        <v>432</v>
      </c>
      <c r="DW7" s="2" t="s">
        <v>432</v>
      </c>
      <c r="DZ7" s="2" t="s">
        <v>505</v>
      </c>
      <c r="EA7" s="2" t="s">
        <v>432</v>
      </c>
      <c r="EB7" s="2" t="s">
        <v>433</v>
      </c>
      <c r="EC7" s="2" t="s">
        <v>433</v>
      </c>
      <c r="ED7" s="2" t="s">
        <v>432</v>
      </c>
      <c r="EE7" s="2" t="s">
        <v>432</v>
      </c>
      <c r="EF7" s="2" t="s">
        <v>432</v>
      </c>
      <c r="EG7" s="2" t="s">
        <v>432</v>
      </c>
      <c r="EH7" s="2" t="s">
        <v>432</v>
      </c>
      <c r="EI7" s="2" t="s">
        <v>432</v>
      </c>
      <c r="EL7" s="2" t="s">
        <v>572</v>
      </c>
      <c r="EM7" s="2" t="s">
        <v>432</v>
      </c>
      <c r="EN7" s="2" t="s">
        <v>433</v>
      </c>
      <c r="EO7" s="2" t="s">
        <v>433</v>
      </c>
      <c r="EP7" s="2" t="s">
        <v>432</v>
      </c>
      <c r="EQ7" s="2" t="s">
        <v>432</v>
      </c>
      <c r="ER7" s="2" t="s">
        <v>432</v>
      </c>
      <c r="ES7" s="2" t="s">
        <v>432</v>
      </c>
      <c r="ET7" s="2" t="s">
        <v>432</v>
      </c>
      <c r="EU7" s="2" t="s">
        <v>432</v>
      </c>
      <c r="EV7" s="2" t="s">
        <v>432</v>
      </c>
      <c r="EX7" s="2" t="s">
        <v>430</v>
      </c>
      <c r="EY7" s="2" t="s">
        <v>573</v>
      </c>
      <c r="EZ7" s="2" t="s">
        <v>432</v>
      </c>
      <c r="FA7" s="2" t="s">
        <v>432</v>
      </c>
      <c r="FB7" s="2" t="s">
        <v>432</v>
      </c>
      <c r="FC7" s="2" t="s">
        <v>432</v>
      </c>
      <c r="FD7" s="2" t="s">
        <v>432</v>
      </c>
      <c r="FE7" s="2" t="s">
        <v>433</v>
      </c>
      <c r="FF7" s="2" t="s">
        <v>432</v>
      </c>
      <c r="FG7" s="2" t="s">
        <v>432</v>
      </c>
      <c r="FH7" s="2" t="s">
        <v>432</v>
      </c>
      <c r="FI7" s="2" t="s">
        <v>432</v>
      </c>
      <c r="FJ7" s="2" t="s">
        <v>432</v>
      </c>
      <c r="FK7" s="2" t="s">
        <v>432</v>
      </c>
      <c r="FL7" s="2" t="s">
        <v>432</v>
      </c>
      <c r="FM7" s="2" t="s">
        <v>432</v>
      </c>
      <c r="FO7" s="2" t="s">
        <v>481</v>
      </c>
      <c r="FP7" s="2" t="s">
        <v>508</v>
      </c>
      <c r="FQ7" s="2" t="s">
        <v>574</v>
      </c>
      <c r="FR7" s="2" t="s">
        <v>432</v>
      </c>
      <c r="FS7" s="2" t="s">
        <v>433</v>
      </c>
      <c r="FT7" s="2" t="s">
        <v>432</v>
      </c>
      <c r="FU7" s="2" t="s">
        <v>432</v>
      </c>
      <c r="FV7" s="2" t="s">
        <v>433</v>
      </c>
      <c r="FW7" s="2" t="s">
        <v>432</v>
      </c>
      <c r="FX7" s="2" t="s">
        <v>432</v>
      </c>
      <c r="FY7" s="2" t="s">
        <v>432</v>
      </c>
      <c r="GA7" s="2" t="s">
        <v>444</v>
      </c>
      <c r="GB7" s="2" t="s">
        <v>483</v>
      </c>
      <c r="GC7" s="2" t="s">
        <v>575</v>
      </c>
      <c r="GD7" s="2" t="s">
        <v>432</v>
      </c>
      <c r="GE7" s="2" t="s">
        <v>432</v>
      </c>
      <c r="GF7" s="2" t="s">
        <v>432</v>
      </c>
      <c r="GG7" s="2" t="s">
        <v>433</v>
      </c>
      <c r="GH7" s="2" t="s">
        <v>432</v>
      </c>
      <c r="GI7" s="2" t="s">
        <v>432</v>
      </c>
      <c r="GJ7" s="2" t="s">
        <v>432</v>
      </c>
      <c r="GK7" s="2" t="s">
        <v>432</v>
      </c>
      <c r="GL7" s="2" t="s">
        <v>432</v>
      </c>
      <c r="GN7" s="2" t="s">
        <v>481</v>
      </c>
      <c r="GO7" s="2" t="s">
        <v>481</v>
      </c>
      <c r="GP7" s="2" t="s">
        <v>576</v>
      </c>
      <c r="GQ7" s="2" t="s">
        <v>432</v>
      </c>
      <c r="GR7" s="2" t="s">
        <v>433</v>
      </c>
      <c r="GS7" s="2" t="s">
        <v>432</v>
      </c>
      <c r="GT7" s="2" t="s">
        <v>432</v>
      </c>
      <c r="GU7" s="2" t="s">
        <v>432</v>
      </c>
      <c r="GV7" s="2" t="s">
        <v>432</v>
      </c>
      <c r="GW7" s="2" t="s">
        <v>432</v>
      </c>
      <c r="GX7" s="2" t="s">
        <v>432</v>
      </c>
      <c r="GZ7" s="2" t="s">
        <v>577</v>
      </c>
      <c r="HA7" s="2" t="s">
        <v>432</v>
      </c>
      <c r="HB7" s="2" t="s">
        <v>433</v>
      </c>
      <c r="HC7" s="2" t="s">
        <v>432</v>
      </c>
      <c r="HD7" s="2" t="s">
        <v>432</v>
      </c>
      <c r="HE7" s="2" t="s">
        <v>432</v>
      </c>
      <c r="HF7" s="2" t="s">
        <v>432</v>
      </c>
      <c r="HI7" s="2" t="s">
        <v>456</v>
      </c>
      <c r="HV7" s="2" t="s">
        <v>430</v>
      </c>
      <c r="HX7" s="2" t="s">
        <v>578</v>
      </c>
      <c r="HY7" s="2" t="s">
        <v>432</v>
      </c>
      <c r="HZ7" s="2" t="s">
        <v>432</v>
      </c>
      <c r="IA7" s="2" t="s">
        <v>432</v>
      </c>
      <c r="IB7" s="2" t="s">
        <v>432</v>
      </c>
      <c r="IC7" s="2" t="s">
        <v>433</v>
      </c>
      <c r="ID7" s="2" t="s">
        <v>433</v>
      </c>
      <c r="IE7" s="2" t="s">
        <v>432</v>
      </c>
      <c r="IF7" s="2" t="s">
        <v>433</v>
      </c>
      <c r="IG7" s="2" t="s">
        <v>432</v>
      </c>
      <c r="IH7" s="2" t="s">
        <v>432</v>
      </c>
      <c r="II7" s="2" t="s">
        <v>432</v>
      </c>
      <c r="IJ7" s="2" t="s">
        <v>432</v>
      </c>
      <c r="IK7" s="2" t="s">
        <v>432</v>
      </c>
      <c r="IL7" s="2" t="s">
        <v>432</v>
      </c>
      <c r="IN7" s="2" t="s">
        <v>513</v>
      </c>
      <c r="IO7" s="2" t="s">
        <v>579</v>
      </c>
      <c r="IP7" s="2" t="s">
        <v>432</v>
      </c>
      <c r="IQ7" s="2" t="s">
        <v>433</v>
      </c>
      <c r="IR7" s="2" t="s">
        <v>432</v>
      </c>
      <c r="IS7" s="2" t="s">
        <v>432</v>
      </c>
      <c r="IT7" s="2" t="s">
        <v>432</v>
      </c>
      <c r="IU7" s="2" t="s">
        <v>432</v>
      </c>
      <c r="IV7" s="2" t="s">
        <v>432</v>
      </c>
      <c r="IW7" s="2" t="s">
        <v>432</v>
      </c>
      <c r="IX7" s="2" t="s">
        <v>433</v>
      </c>
      <c r="IY7" s="2" t="s">
        <v>432</v>
      </c>
      <c r="JA7" s="2" t="s">
        <v>580</v>
      </c>
      <c r="JB7" s="2" t="s">
        <v>432</v>
      </c>
      <c r="JC7" s="2" t="s">
        <v>433</v>
      </c>
      <c r="JD7" s="2" t="s">
        <v>433</v>
      </c>
      <c r="JE7" s="2" t="s">
        <v>432</v>
      </c>
      <c r="JF7" s="2" t="s">
        <v>432</v>
      </c>
      <c r="JG7" s="2" t="s">
        <v>432</v>
      </c>
      <c r="JT7" s="2" t="s">
        <v>581</v>
      </c>
      <c r="JU7" s="2" t="s">
        <v>433</v>
      </c>
      <c r="JV7" s="2" t="s">
        <v>432</v>
      </c>
      <c r="JW7" s="2" t="s">
        <v>433</v>
      </c>
      <c r="JX7" s="2" t="s">
        <v>432</v>
      </c>
      <c r="JY7" s="2" t="s">
        <v>432</v>
      </c>
      <c r="JZ7" s="2" t="s">
        <v>432</v>
      </c>
      <c r="KA7" s="2" t="s">
        <v>432</v>
      </c>
      <c r="KB7" s="2" t="s">
        <v>432</v>
      </c>
      <c r="KC7" s="2" t="s">
        <v>432</v>
      </c>
      <c r="KF7" s="2" t="s">
        <v>430</v>
      </c>
      <c r="KG7" s="2" t="s">
        <v>582</v>
      </c>
      <c r="KH7" s="2" t="s">
        <v>433</v>
      </c>
      <c r="KI7" s="2" t="s">
        <v>432</v>
      </c>
      <c r="KJ7" s="2" t="s">
        <v>432</v>
      </c>
      <c r="KK7" s="2" t="s">
        <v>433</v>
      </c>
      <c r="KL7" s="2" t="s">
        <v>433</v>
      </c>
      <c r="KM7" s="2" t="s">
        <v>432</v>
      </c>
      <c r="KN7" s="2" t="s">
        <v>432</v>
      </c>
      <c r="KO7" s="2" t="s">
        <v>432</v>
      </c>
      <c r="KP7" s="2" t="s">
        <v>432</v>
      </c>
      <c r="KQ7" s="2" t="s">
        <v>432</v>
      </c>
      <c r="KR7" s="2" t="s">
        <v>432</v>
      </c>
      <c r="KT7" s="2" t="s">
        <v>583</v>
      </c>
      <c r="KU7" s="2" t="s">
        <v>432</v>
      </c>
      <c r="KV7" s="2" t="s">
        <v>433</v>
      </c>
      <c r="KW7" s="2" t="s">
        <v>432</v>
      </c>
      <c r="KX7" s="2" t="s">
        <v>433</v>
      </c>
      <c r="KY7" s="2" t="s">
        <v>432</v>
      </c>
      <c r="KZ7" s="2" t="s">
        <v>432</v>
      </c>
      <c r="LB7" s="2" t="s">
        <v>456</v>
      </c>
      <c r="LP7" s="2" t="s">
        <v>430</v>
      </c>
      <c r="LS7" s="2">
        <v>168951339</v>
      </c>
      <c r="LT7" s="2" t="s">
        <v>584</v>
      </c>
      <c r="LU7" s="2" t="s">
        <v>585</v>
      </c>
      <c r="LW7" s="2" t="s">
        <v>460</v>
      </c>
      <c r="LX7" s="2" t="s">
        <v>461</v>
      </c>
      <c r="LY7" s="2" t="s">
        <v>462</v>
      </c>
      <c r="MA7" s="2">
        <v>6</v>
      </c>
    </row>
    <row r="8" spans="1:339" x14ac:dyDescent="0.3">
      <c r="A8" s="2" t="s">
        <v>586</v>
      </c>
      <c r="B8" s="2" t="s">
        <v>587</v>
      </c>
      <c r="C8" s="2" t="s">
        <v>421</v>
      </c>
      <c r="F8" s="2" t="s">
        <v>422</v>
      </c>
      <c r="G8" s="2" t="s">
        <v>466</v>
      </c>
      <c r="H8" s="2" t="s">
        <v>588</v>
      </c>
      <c r="I8" s="2" t="s">
        <v>427</v>
      </c>
      <c r="J8" s="2" t="s">
        <v>589</v>
      </c>
      <c r="R8" s="2" t="s">
        <v>422</v>
      </c>
      <c r="S8" s="2" t="s">
        <v>590</v>
      </c>
      <c r="T8" s="2" t="s">
        <v>544</v>
      </c>
      <c r="U8" s="2" t="s">
        <v>591</v>
      </c>
      <c r="AG8" s="2" t="s">
        <v>430</v>
      </c>
      <c r="AH8" s="2" t="s">
        <v>593</v>
      </c>
      <c r="AI8" s="2" t="s">
        <v>432</v>
      </c>
      <c r="AJ8" s="2" t="s">
        <v>432</v>
      </c>
      <c r="AK8" s="2" t="s">
        <v>432</v>
      </c>
      <c r="AL8" s="2" t="s">
        <v>432</v>
      </c>
      <c r="AM8" s="2" t="s">
        <v>432</v>
      </c>
      <c r="AN8" s="2" t="s">
        <v>433</v>
      </c>
      <c r="AO8" s="2" t="s">
        <v>432</v>
      </c>
      <c r="AP8" s="2" t="s">
        <v>432</v>
      </c>
      <c r="AQ8" s="2" t="s">
        <v>432</v>
      </c>
      <c r="AR8" s="2" t="s">
        <v>432</v>
      </c>
      <c r="AS8" s="2" t="s">
        <v>432</v>
      </c>
      <c r="AT8" s="2" t="s">
        <v>432</v>
      </c>
      <c r="AU8" s="2" t="s">
        <v>432</v>
      </c>
      <c r="AV8" s="2" t="s">
        <v>432</v>
      </c>
      <c r="AX8" s="2" t="s">
        <v>594</v>
      </c>
      <c r="AY8" s="2" t="s">
        <v>432</v>
      </c>
      <c r="AZ8" s="2" t="s">
        <v>432</v>
      </c>
      <c r="BA8" s="2" t="s">
        <v>432</v>
      </c>
      <c r="BB8" s="2" t="s">
        <v>433</v>
      </c>
      <c r="BC8" s="2" t="s">
        <v>432</v>
      </c>
      <c r="BD8" s="2" t="s">
        <v>433</v>
      </c>
      <c r="BE8" s="2" t="s">
        <v>432</v>
      </c>
      <c r="BF8" s="2" t="s">
        <v>432</v>
      </c>
      <c r="BG8" s="2" t="s">
        <v>432</v>
      </c>
      <c r="BH8" s="2" t="s">
        <v>432</v>
      </c>
      <c r="BI8" s="2" t="s">
        <v>432</v>
      </c>
      <c r="BJ8" s="2" t="s">
        <v>432</v>
      </c>
      <c r="BK8" s="2" t="s">
        <v>432</v>
      </c>
      <c r="BL8" s="2" t="s">
        <v>432</v>
      </c>
      <c r="BN8" s="2" t="s">
        <v>476</v>
      </c>
      <c r="BO8" s="2" t="s">
        <v>436</v>
      </c>
      <c r="BQ8" s="2" t="s">
        <v>430</v>
      </c>
      <c r="BR8" s="2" t="s">
        <v>595</v>
      </c>
      <c r="BS8" s="2" t="s">
        <v>433</v>
      </c>
      <c r="BT8" s="2" t="s">
        <v>432</v>
      </c>
      <c r="BU8" s="2" t="s">
        <v>432</v>
      </c>
      <c r="BV8" s="2" t="s">
        <v>432</v>
      </c>
      <c r="BW8" s="2" t="s">
        <v>432</v>
      </c>
      <c r="BX8" s="2" t="s">
        <v>432</v>
      </c>
      <c r="BY8" s="2" t="s">
        <v>432</v>
      </c>
      <c r="BZ8" s="2" t="s">
        <v>432</v>
      </c>
      <c r="CA8" s="2" t="s">
        <v>432</v>
      </c>
      <c r="CB8" s="2" t="s">
        <v>432</v>
      </c>
      <c r="CC8" s="2" t="s">
        <v>432</v>
      </c>
      <c r="CD8" s="2" t="s">
        <v>432</v>
      </c>
      <c r="CE8" s="2" t="s">
        <v>432</v>
      </c>
      <c r="CF8" s="2" t="s">
        <v>432</v>
      </c>
      <c r="CG8" s="2" t="s">
        <v>432</v>
      </c>
      <c r="CI8" s="2" t="s">
        <v>596</v>
      </c>
      <c r="CJ8" s="2" t="s">
        <v>432</v>
      </c>
      <c r="CK8" s="2" t="s">
        <v>432</v>
      </c>
      <c r="CL8" s="2" t="s">
        <v>433</v>
      </c>
      <c r="CM8" s="2" t="s">
        <v>432</v>
      </c>
      <c r="CN8" s="2" t="s">
        <v>433</v>
      </c>
      <c r="CO8" s="2" t="s">
        <v>432</v>
      </c>
      <c r="CP8" s="2" t="s">
        <v>432</v>
      </c>
      <c r="CQ8" s="2" t="s">
        <v>432</v>
      </c>
      <c r="CR8" s="2" t="s">
        <v>432</v>
      </c>
      <c r="CS8" s="2" t="s">
        <v>432</v>
      </c>
      <c r="CT8" s="2" t="s">
        <v>432</v>
      </c>
      <c r="CU8" s="2" t="s">
        <v>432</v>
      </c>
      <c r="CV8" s="2" t="s">
        <v>432</v>
      </c>
      <c r="CW8" s="2" t="s">
        <v>432</v>
      </c>
      <c r="CY8" s="2" t="s">
        <v>433</v>
      </c>
      <c r="CZ8" s="2" t="s">
        <v>473</v>
      </c>
      <c r="DB8" s="2" t="s">
        <v>597</v>
      </c>
      <c r="DC8" s="2" t="s">
        <v>432</v>
      </c>
      <c r="DD8" s="2" t="s">
        <v>432</v>
      </c>
      <c r="DE8" s="2" t="s">
        <v>432</v>
      </c>
      <c r="DF8" s="2" t="s">
        <v>432</v>
      </c>
      <c r="DG8" s="2" t="s">
        <v>432</v>
      </c>
      <c r="DH8" s="2" t="s">
        <v>432</v>
      </c>
      <c r="DI8" s="2" t="s">
        <v>432</v>
      </c>
      <c r="DJ8" s="2" t="s">
        <v>432</v>
      </c>
      <c r="DK8" s="2" t="s">
        <v>433</v>
      </c>
      <c r="DL8" s="2" t="s">
        <v>432</v>
      </c>
      <c r="DN8" s="2" t="s">
        <v>598</v>
      </c>
      <c r="DO8" s="2" t="s">
        <v>433</v>
      </c>
      <c r="DP8" s="2" t="s">
        <v>432</v>
      </c>
      <c r="DQ8" s="2" t="s">
        <v>433</v>
      </c>
      <c r="DR8" s="2" t="s">
        <v>432</v>
      </c>
      <c r="DS8" s="2" t="s">
        <v>432</v>
      </c>
      <c r="DT8" s="2" t="s">
        <v>432</v>
      </c>
      <c r="DU8" s="2" t="s">
        <v>432</v>
      </c>
      <c r="DV8" s="2" t="s">
        <v>432</v>
      </c>
      <c r="DW8" s="2" t="s">
        <v>432</v>
      </c>
      <c r="DZ8" s="2" t="s">
        <v>551</v>
      </c>
      <c r="EA8" s="2" t="s">
        <v>432</v>
      </c>
      <c r="EB8" s="2" t="s">
        <v>433</v>
      </c>
      <c r="EC8" s="2" t="s">
        <v>432</v>
      </c>
      <c r="ED8" s="2" t="s">
        <v>432</v>
      </c>
      <c r="EE8" s="2" t="s">
        <v>432</v>
      </c>
      <c r="EF8" s="2" t="s">
        <v>432</v>
      </c>
      <c r="EG8" s="2" t="s">
        <v>432</v>
      </c>
      <c r="EH8" s="2" t="s">
        <v>432</v>
      </c>
      <c r="EI8" s="2" t="s">
        <v>432</v>
      </c>
      <c r="EL8" s="2" t="s">
        <v>599</v>
      </c>
      <c r="EM8" s="2" t="s">
        <v>433</v>
      </c>
      <c r="EN8" s="2" t="s">
        <v>433</v>
      </c>
      <c r="EO8" s="2" t="s">
        <v>433</v>
      </c>
      <c r="EP8" s="2" t="s">
        <v>433</v>
      </c>
      <c r="EQ8" s="2" t="s">
        <v>432</v>
      </c>
      <c r="ER8" s="2" t="s">
        <v>433</v>
      </c>
      <c r="ES8" s="2" t="s">
        <v>432</v>
      </c>
      <c r="ET8" s="2" t="s">
        <v>432</v>
      </c>
      <c r="EU8" s="2" t="s">
        <v>432</v>
      </c>
      <c r="EV8" s="2" t="s">
        <v>432</v>
      </c>
      <c r="EX8" s="2" t="s">
        <v>430</v>
      </c>
      <c r="EY8" s="2" t="s">
        <v>600</v>
      </c>
      <c r="EZ8" s="2" t="s">
        <v>432</v>
      </c>
      <c r="FA8" s="2" t="s">
        <v>432</v>
      </c>
      <c r="FB8" s="2" t="s">
        <v>432</v>
      </c>
      <c r="FC8" s="2" t="s">
        <v>432</v>
      </c>
      <c r="FD8" s="2" t="s">
        <v>432</v>
      </c>
      <c r="FE8" s="2" t="s">
        <v>432</v>
      </c>
      <c r="FF8" s="2" t="s">
        <v>432</v>
      </c>
      <c r="FG8" s="2" t="s">
        <v>432</v>
      </c>
      <c r="FH8" s="2" t="s">
        <v>432</v>
      </c>
      <c r="FI8" s="2" t="s">
        <v>432</v>
      </c>
      <c r="FJ8" s="2" t="s">
        <v>433</v>
      </c>
      <c r="FK8" s="2" t="s">
        <v>432</v>
      </c>
      <c r="FL8" s="2" t="s">
        <v>432</v>
      </c>
      <c r="FM8" s="2" t="s">
        <v>432</v>
      </c>
      <c r="FO8" s="2" t="s">
        <v>601</v>
      </c>
      <c r="FP8" s="2" t="s">
        <v>601</v>
      </c>
      <c r="GA8" s="2" t="s">
        <v>602</v>
      </c>
      <c r="GB8" s="2" t="s">
        <v>602</v>
      </c>
      <c r="GC8" s="2" t="s">
        <v>603</v>
      </c>
      <c r="GD8" s="2" t="s">
        <v>433</v>
      </c>
      <c r="GE8" s="2" t="s">
        <v>433</v>
      </c>
      <c r="GF8" s="2" t="s">
        <v>432</v>
      </c>
      <c r="GG8" s="2" t="s">
        <v>433</v>
      </c>
      <c r="GH8" s="2" t="s">
        <v>433</v>
      </c>
      <c r="GI8" s="2" t="s">
        <v>432</v>
      </c>
      <c r="GJ8" s="2" t="s">
        <v>432</v>
      </c>
      <c r="GK8" s="2" t="s">
        <v>432</v>
      </c>
      <c r="GL8" s="2" t="s">
        <v>432</v>
      </c>
      <c r="GN8" s="2" t="s">
        <v>601</v>
      </c>
      <c r="GO8" s="2" t="s">
        <v>601</v>
      </c>
      <c r="GP8" s="2" t="s">
        <v>604</v>
      </c>
      <c r="GQ8" s="2" t="s">
        <v>433</v>
      </c>
      <c r="GR8" s="2" t="s">
        <v>433</v>
      </c>
      <c r="GS8" s="2" t="s">
        <v>432</v>
      </c>
      <c r="GT8" s="2" t="s">
        <v>433</v>
      </c>
      <c r="GU8" s="2" t="s">
        <v>432</v>
      </c>
      <c r="GV8" s="2" t="s">
        <v>432</v>
      </c>
      <c r="GW8" s="2" t="s">
        <v>432</v>
      </c>
      <c r="GX8" s="2" t="s">
        <v>432</v>
      </c>
      <c r="GZ8" s="2" t="s">
        <v>597</v>
      </c>
      <c r="HA8" s="2" t="s">
        <v>432</v>
      </c>
      <c r="HB8" s="2" t="s">
        <v>432</v>
      </c>
      <c r="HC8" s="2" t="s">
        <v>432</v>
      </c>
      <c r="HD8" s="2" t="s">
        <v>432</v>
      </c>
      <c r="HE8" s="2" t="s">
        <v>432</v>
      </c>
      <c r="HF8" s="2" t="s">
        <v>433</v>
      </c>
      <c r="HI8" s="2" t="s">
        <v>442</v>
      </c>
      <c r="HJ8" s="2" t="s">
        <v>532</v>
      </c>
      <c r="HK8" s="2" t="s">
        <v>432</v>
      </c>
      <c r="HL8" s="2" t="s">
        <v>432</v>
      </c>
      <c r="HM8" s="2" t="s">
        <v>432</v>
      </c>
      <c r="HN8" s="2" t="s">
        <v>432</v>
      </c>
      <c r="HO8" s="2" t="s">
        <v>433</v>
      </c>
      <c r="HP8" s="2" t="s">
        <v>432</v>
      </c>
      <c r="HQ8" s="2" t="s">
        <v>432</v>
      </c>
      <c r="HR8" s="2" t="s">
        <v>432</v>
      </c>
      <c r="HS8" s="2" t="s">
        <v>432</v>
      </c>
      <c r="HT8" s="2" t="s">
        <v>432</v>
      </c>
      <c r="HV8" s="2" t="s">
        <v>456</v>
      </c>
      <c r="HX8" s="2" t="s">
        <v>596</v>
      </c>
      <c r="HY8" s="2" t="s">
        <v>432</v>
      </c>
      <c r="HZ8" s="2" t="s">
        <v>432</v>
      </c>
      <c r="IA8" s="2" t="s">
        <v>433</v>
      </c>
      <c r="IB8" s="2" t="s">
        <v>432</v>
      </c>
      <c r="IC8" s="2" t="s">
        <v>433</v>
      </c>
      <c r="ID8" s="2" t="s">
        <v>432</v>
      </c>
      <c r="IE8" s="2" t="s">
        <v>432</v>
      </c>
      <c r="IF8" s="2" t="s">
        <v>432</v>
      </c>
      <c r="IG8" s="2" t="s">
        <v>432</v>
      </c>
      <c r="IH8" s="2" t="s">
        <v>432</v>
      </c>
      <c r="II8" s="2" t="s">
        <v>432</v>
      </c>
      <c r="IJ8" s="2" t="s">
        <v>432</v>
      </c>
      <c r="IK8" s="2" t="s">
        <v>432</v>
      </c>
      <c r="IL8" s="2" t="s">
        <v>432</v>
      </c>
      <c r="IN8" s="2" t="s">
        <v>605</v>
      </c>
      <c r="IO8" s="2" t="s">
        <v>606</v>
      </c>
      <c r="IP8" s="2" t="s">
        <v>433</v>
      </c>
      <c r="IQ8" s="2" t="s">
        <v>433</v>
      </c>
      <c r="IR8" s="2" t="s">
        <v>433</v>
      </c>
      <c r="IS8" s="2" t="s">
        <v>433</v>
      </c>
      <c r="IT8" s="2" t="s">
        <v>433</v>
      </c>
      <c r="IU8" s="2" t="s">
        <v>432</v>
      </c>
      <c r="IV8" s="2" t="s">
        <v>432</v>
      </c>
      <c r="IW8" s="2" t="s">
        <v>432</v>
      </c>
      <c r="IX8" s="2" t="s">
        <v>432</v>
      </c>
      <c r="IY8" s="2" t="s">
        <v>432</v>
      </c>
      <c r="JA8" s="2" t="s">
        <v>515</v>
      </c>
      <c r="JB8" s="2" t="s">
        <v>433</v>
      </c>
      <c r="JC8" s="2" t="s">
        <v>433</v>
      </c>
      <c r="JD8" s="2" t="s">
        <v>433</v>
      </c>
      <c r="JE8" s="2" t="s">
        <v>432</v>
      </c>
      <c r="JF8" s="2" t="s">
        <v>432</v>
      </c>
      <c r="JG8" s="2" t="s">
        <v>432</v>
      </c>
      <c r="JI8" s="2" t="s">
        <v>607</v>
      </c>
      <c r="JJ8" s="2" t="s">
        <v>433</v>
      </c>
      <c r="JK8" s="2" t="s">
        <v>433</v>
      </c>
      <c r="JL8" s="2" t="s">
        <v>433</v>
      </c>
      <c r="JM8" s="2" t="s">
        <v>432</v>
      </c>
      <c r="JN8" s="2" t="s">
        <v>432</v>
      </c>
      <c r="JO8" s="2" t="s">
        <v>432</v>
      </c>
      <c r="JP8" s="2" t="s">
        <v>432</v>
      </c>
      <c r="JQ8" s="2" t="s">
        <v>432</v>
      </c>
      <c r="JR8" s="2" t="s">
        <v>432</v>
      </c>
      <c r="JT8" s="2" t="s">
        <v>608</v>
      </c>
      <c r="JU8" s="2" t="s">
        <v>433</v>
      </c>
      <c r="JV8" s="2" t="s">
        <v>433</v>
      </c>
      <c r="JW8" s="2" t="s">
        <v>433</v>
      </c>
      <c r="JX8" s="2" t="s">
        <v>432</v>
      </c>
      <c r="JY8" s="2" t="s">
        <v>433</v>
      </c>
      <c r="JZ8" s="2" t="s">
        <v>432</v>
      </c>
      <c r="KA8" s="2" t="s">
        <v>432</v>
      </c>
      <c r="KB8" s="2" t="s">
        <v>432</v>
      </c>
      <c r="KC8" s="2" t="s">
        <v>432</v>
      </c>
      <c r="KF8" s="2" t="s">
        <v>456</v>
      </c>
      <c r="LB8" s="2" t="s">
        <v>456</v>
      </c>
      <c r="LP8" s="2" t="s">
        <v>430</v>
      </c>
      <c r="LS8" s="2">
        <v>168950705</v>
      </c>
      <c r="LT8" s="2" t="s">
        <v>609</v>
      </c>
      <c r="LU8" s="2" t="s">
        <v>610</v>
      </c>
      <c r="LW8" s="2" t="s">
        <v>460</v>
      </c>
      <c r="LX8" s="2" t="s">
        <v>461</v>
      </c>
      <c r="LY8" s="2" t="s">
        <v>462</v>
      </c>
      <c r="MA8" s="2">
        <v>7</v>
      </c>
    </row>
    <row r="9" spans="1:339" x14ac:dyDescent="0.3">
      <c r="A9" s="2" t="s">
        <v>611</v>
      </c>
      <c r="B9" s="2" t="s">
        <v>612</v>
      </c>
      <c r="C9" s="2" t="s">
        <v>465</v>
      </c>
      <c r="F9" s="2" t="s">
        <v>422</v>
      </c>
      <c r="G9" s="2" t="s">
        <v>423</v>
      </c>
      <c r="H9" s="2" t="s">
        <v>423</v>
      </c>
      <c r="I9" s="2" t="s">
        <v>427</v>
      </c>
      <c r="J9" s="2" t="s">
        <v>613</v>
      </c>
      <c r="R9" s="2" t="s">
        <v>523</v>
      </c>
      <c r="S9" s="2" t="s">
        <v>614</v>
      </c>
      <c r="T9" s="2" t="s">
        <v>426</v>
      </c>
      <c r="Z9" s="2" t="s">
        <v>428</v>
      </c>
      <c r="AA9" s="2" t="s">
        <v>429</v>
      </c>
      <c r="AB9" s="2" t="s">
        <v>423</v>
      </c>
      <c r="AG9" s="2" t="s">
        <v>430</v>
      </c>
      <c r="AH9" s="2" t="s">
        <v>470</v>
      </c>
      <c r="AI9" s="2" t="s">
        <v>432</v>
      </c>
      <c r="AJ9" s="2" t="s">
        <v>432</v>
      </c>
      <c r="AK9" s="2" t="s">
        <v>432</v>
      </c>
      <c r="AL9" s="2" t="s">
        <v>432</v>
      </c>
      <c r="AM9" s="2" t="s">
        <v>433</v>
      </c>
      <c r="AN9" s="2" t="s">
        <v>432</v>
      </c>
      <c r="AO9" s="2" t="s">
        <v>432</v>
      </c>
      <c r="AP9" s="2" t="s">
        <v>432</v>
      </c>
      <c r="AQ9" s="2" t="s">
        <v>432</v>
      </c>
      <c r="AR9" s="2" t="s">
        <v>432</v>
      </c>
      <c r="AS9" s="2" t="s">
        <v>432</v>
      </c>
      <c r="AT9" s="2" t="s">
        <v>432</v>
      </c>
      <c r="AU9" s="2" t="s">
        <v>432</v>
      </c>
      <c r="AV9" s="2" t="s">
        <v>432</v>
      </c>
      <c r="AX9" s="2" t="s">
        <v>615</v>
      </c>
      <c r="AY9" s="2" t="s">
        <v>432</v>
      </c>
      <c r="AZ9" s="2" t="s">
        <v>432</v>
      </c>
      <c r="BA9" s="2" t="s">
        <v>432</v>
      </c>
      <c r="BB9" s="2" t="s">
        <v>432</v>
      </c>
      <c r="BC9" s="2" t="s">
        <v>433</v>
      </c>
      <c r="BD9" s="2" t="s">
        <v>432</v>
      </c>
      <c r="BE9" s="2" t="s">
        <v>432</v>
      </c>
      <c r="BF9" s="2" t="s">
        <v>432</v>
      </c>
      <c r="BG9" s="2" t="s">
        <v>432</v>
      </c>
      <c r="BH9" s="2" t="s">
        <v>432</v>
      </c>
      <c r="BI9" s="2" t="s">
        <v>432</v>
      </c>
      <c r="BJ9" s="2" t="s">
        <v>432</v>
      </c>
      <c r="BK9" s="2" t="s">
        <v>432</v>
      </c>
      <c r="BL9" s="2" t="s">
        <v>432</v>
      </c>
      <c r="BN9" s="2" t="s">
        <v>476</v>
      </c>
      <c r="BO9" s="2" t="s">
        <v>547</v>
      </c>
      <c r="BQ9" s="2" t="s">
        <v>430</v>
      </c>
      <c r="BR9" s="2" t="s">
        <v>616</v>
      </c>
      <c r="BS9" s="2" t="s">
        <v>432</v>
      </c>
      <c r="BT9" s="2" t="s">
        <v>432</v>
      </c>
      <c r="BU9" s="2" t="s">
        <v>433</v>
      </c>
      <c r="BV9" s="2" t="s">
        <v>432</v>
      </c>
      <c r="BW9" s="2" t="s">
        <v>432</v>
      </c>
      <c r="BX9" s="2" t="s">
        <v>432</v>
      </c>
      <c r="BY9" s="2" t="s">
        <v>432</v>
      </c>
      <c r="BZ9" s="2" t="s">
        <v>432</v>
      </c>
      <c r="CA9" s="2" t="s">
        <v>432</v>
      </c>
      <c r="CB9" s="2" t="s">
        <v>432</v>
      </c>
      <c r="CC9" s="2" t="s">
        <v>433</v>
      </c>
      <c r="CD9" s="2" t="s">
        <v>432</v>
      </c>
      <c r="CE9" s="2" t="s">
        <v>432</v>
      </c>
      <c r="CF9" s="2" t="s">
        <v>432</v>
      </c>
      <c r="CG9" s="2" t="s">
        <v>432</v>
      </c>
      <c r="CI9" s="2" t="s">
        <v>546</v>
      </c>
      <c r="CJ9" s="2" t="s">
        <v>432</v>
      </c>
      <c r="CK9" s="2" t="s">
        <v>432</v>
      </c>
      <c r="CL9" s="2" t="s">
        <v>433</v>
      </c>
      <c r="CM9" s="2" t="s">
        <v>432</v>
      </c>
      <c r="CN9" s="2" t="s">
        <v>433</v>
      </c>
      <c r="CO9" s="2" t="s">
        <v>432</v>
      </c>
      <c r="CP9" s="2" t="s">
        <v>432</v>
      </c>
      <c r="CQ9" s="2" t="s">
        <v>432</v>
      </c>
      <c r="CR9" s="2" t="s">
        <v>432</v>
      </c>
      <c r="CS9" s="2" t="s">
        <v>432</v>
      </c>
      <c r="CT9" s="2" t="s">
        <v>432</v>
      </c>
      <c r="CU9" s="2" t="s">
        <v>432</v>
      </c>
      <c r="CV9" s="2" t="s">
        <v>432</v>
      </c>
      <c r="CW9" s="2" t="s">
        <v>432</v>
      </c>
      <c r="CY9" s="2" t="s">
        <v>476</v>
      </c>
      <c r="CZ9" s="2" t="s">
        <v>547</v>
      </c>
      <c r="DZ9" s="2" t="s">
        <v>617</v>
      </c>
      <c r="EA9" s="2" t="s">
        <v>433</v>
      </c>
      <c r="EB9" s="2" t="s">
        <v>432</v>
      </c>
      <c r="EC9" s="2" t="s">
        <v>433</v>
      </c>
      <c r="ED9" s="2" t="s">
        <v>432</v>
      </c>
      <c r="EE9" s="2" t="s">
        <v>432</v>
      </c>
      <c r="EF9" s="2" t="s">
        <v>432</v>
      </c>
      <c r="EG9" s="2" t="s">
        <v>432</v>
      </c>
      <c r="EH9" s="2" t="s">
        <v>432</v>
      </c>
      <c r="EI9" s="2" t="s">
        <v>432</v>
      </c>
      <c r="EL9" s="2" t="s">
        <v>618</v>
      </c>
      <c r="EM9" s="2" t="s">
        <v>433</v>
      </c>
      <c r="EN9" s="2" t="s">
        <v>432</v>
      </c>
      <c r="EO9" s="2" t="s">
        <v>432</v>
      </c>
      <c r="EP9" s="2" t="s">
        <v>432</v>
      </c>
      <c r="EQ9" s="2" t="s">
        <v>433</v>
      </c>
      <c r="ER9" s="2" t="s">
        <v>432</v>
      </c>
      <c r="ES9" s="2" t="s">
        <v>432</v>
      </c>
      <c r="ET9" s="2" t="s">
        <v>432</v>
      </c>
      <c r="EU9" s="2" t="s">
        <v>432</v>
      </c>
      <c r="EV9" s="2" t="s">
        <v>432</v>
      </c>
      <c r="EX9" s="2" t="s">
        <v>430</v>
      </c>
      <c r="EY9" s="2" t="s">
        <v>619</v>
      </c>
      <c r="EZ9" s="2" t="s">
        <v>433</v>
      </c>
      <c r="FA9" s="2" t="s">
        <v>432</v>
      </c>
      <c r="FB9" s="2" t="s">
        <v>433</v>
      </c>
      <c r="FC9" s="2" t="s">
        <v>432</v>
      </c>
      <c r="FD9" s="2" t="s">
        <v>432</v>
      </c>
      <c r="FE9" s="2" t="s">
        <v>432</v>
      </c>
      <c r="FF9" s="2" t="s">
        <v>432</v>
      </c>
      <c r="FG9" s="2" t="s">
        <v>432</v>
      </c>
      <c r="FH9" s="2" t="s">
        <v>432</v>
      </c>
      <c r="FI9" s="2" t="s">
        <v>432</v>
      </c>
      <c r="FJ9" s="2" t="s">
        <v>432</v>
      </c>
      <c r="FK9" s="2" t="s">
        <v>432</v>
      </c>
      <c r="FL9" s="2" t="s">
        <v>432</v>
      </c>
      <c r="FM9" s="2" t="s">
        <v>432</v>
      </c>
      <c r="FO9" s="2" t="s">
        <v>481</v>
      </c>
      <c r="FP9" s="2" t="s">
        <v>481</v>
      </c>
      <c r="FQ9" s="2" t="s">
        <v>620</v>
      </c>
      <c r="FR9" s="2" t="s">
        <v>433</v>
      </c>
      <c r="FS9" s="2" t="s">
        <v>433</v>
      </c>
      <c r="FT9" s="2" t="s">
        <v>432</v>
      </c>
      <c r="FU9" s="2" t="s">
        <v>432</v>
      </c>
      <c r="FV9" s="2" t="s">
        <v>432</v>
      </c>
      <c r="FW9" s="2" t="s">
        <v>432</v>
      </c>
      <c r="FX9" s="2" t="s">
        <v>432</v>
      </c>
      <c r="FY9" s="2" t="s">
        <v>432</v>
      </c>
      <c r="GA9" s="2" t="s">
        <v>483</v>
      </c>
      <c r="GB9" s="2" t="s">
        <v>483</v>
      </c>
      <c r="GC9" s="2" t="s">
        <v>621</v>
      </c>
      <c r="GD9" s="2" t="s">
        <v>432</v>
      </c>
      <c r="GE9" s="2" t="s">
        <v>432</v>
      </c>
      <c r="GF9" s="2" t="s">
        <v>433</v>
      </c>
      <c r="GG9" s="2" t="s">
        <v>433</v>
      </c>
      <c r="GH9" s="2" t="s">
        <v>433</v>
      </c>
      <c r="GI9" s="2" t="s">
        <v>432</v>
      </c>
      <c r="GJ9" s="2" t="s">
        <v>432</v>
      </c>
      <c r="GK9" s="2" t="s">
        <v>432</v>
      </c>
      <c r="GL9" s="2" t="s">
        <v>432</v>
      </c>
      <c r="GN9" s="2" t="s">
        <v>481</v>
      </c>
      <c r="GO9" s="2" t="s">
        <v>481</v>
      </c>
      <c r="GP9" s="2" t="s">
        <v>622</v>
      </c>
      <c r="GQ9" s="2" t="s">
        <v>433</v>
      </c>
      <c r="GR9" s="2" t="s">
        <v>433</v>
      </c>
      <c r="GS9" s="2" t="s">
        <v>433</v>
      </c>
      <c r="GT9" s="2" t="s">
        <v>432</v>
      </c>
      <c r="GU9" s="2" t="s">
        <v>432</v>
      </c>
      <c r="GV9" s="2" t="s">
        <v>432</v>
      </c>
      <c r="GW9" s="2" t="s">
        <v>432</v>
      </c>
      <c r="GX9" s="2" t="s">
        <v>432</v>
      </c>
      <c r="GZ9" s="2" t="s">
        <v>557</v>
      </c>
      <c r="HA9" s="2" t="s">
        <v>433</v>
      </c>
      <c r="HB9" s="2" t="s">
        <v>433</v>
      </c>
      <c r="HC9" s="2" t="s">
        <v>432</v>
      </c>
      <c r="HD9" s="2" t="s">
        <v>432</v>
      </c>
      <c r="HE9" s="2" t="s">
        <v>432</v>
      </c>
      <c r="HF9" s="2" t="s">
        <v>432</v>
      </c>
      <c r="HI9" s="2" t="s">
        <v>481</v>
      </c>
      <c r="HJ9" s="2" t="s">
        <v>623</v>
      </c>
      <c r="HK9" s="2" t="s">
        <v>432</v>
      </c>
      <c r="HL9" s="2" t="s">
        <v>432</v>
      </c>
      <c r="HM9" s="2" t="s">
        <v>433</v>
      </c>
      <c r="HN9" s="2" t="s">
        <v>432</v>
      </c>
      <c r="HO9" s="2" t="s">
        <v>432</v>
      </c>
      <c r="HP9" s="2" t="s">
        <v>432</v>
      </c>
      <c r="HQ9" s="2" t="s">
        <v>433</v>
      </c>
      <c r="HR9" s="2" t="s">
        <v>432</v>
      </c>
      <c r="HS9" s="2" t="s">
        <v>432</v>
      </c>
      <c r="HT9" s="2" t="s">
        <v>432</v>
      </c>
      <c r="HV9" s="2" t="s">
        <v>430</v>
      </c>
      <c r="HX9" s="2" t="s">
        <v>624</v>
      </c>
      <c r="HY9" s="2" t="s">
        <v>432</v>
      </c>
      <c r="HZ9" s="2" t="s">
        <v>432</v>
      </c>
      <c r="IA9" s="2" t="s">
        <v>433</v>
      </c>
      <c r="IB9" s="2" t="s">
        <v>433</v>
      </c>
      <c r="IC9" s="2" t="s">
        <v>433</v>
      </c>
      <c r="ID9" s="2" t="s">
        <v>432</v>
      </c>
      <c r="IE9" s="2" t="s">
        <v>433</v>
      </c>
      <c r="IF9" s="2" t="s">
        <v>432</v>
      </c>
      <c r="IG9" s="2" t="s">
        <v>432</v>
      </c>
      <c r="IH9" s="2" t="s">
        <v>432</v>
      </c>
      <c r="II9" s="2" t="s">
        <v>433</v>
      </c>
      <c r="IJ9" s="2" t="s">
        <v>432</v>
      </c>
      <c r="IK9" s="2" t="s">
        <v>432</v>
      </c>
      <c r="IL9" s="2" t="s">
        <v>432</v>
      </c>
      <c r="IN9" s="2" t="s">
        <v>476</v>
      </c>
      <c r="IO9" s="2" t="s">
        <v>625</v>
      </c>
      <c r="IP9" s="2" t="s">
        <v>433</v>
      </c>
      <c r="IQ9" s="2" t="s">
        <v>432</v>
      </c>
      <c r="IR9" s="2" t="s">
        <v>432</v>
      </c>
      <c r="IS9" s="2" t="s">
        <v>433</v>
      </c>
      <c r="IT9" s="2" t="s">
        <v>432</v>
      </c>
      <c r="IU9" s="2" t="s">
        <v>432</v>
      </c>
      <c r="IV9" s="2" t="s">
        <v>432</v>
      </c>
      <c r="IW9" s="2" t="s">
        <v>432</v>
      </c>
      <c r="IX9" s="2" t="s">
        <v>432</v>
      </c>
      <c r="IY9" s="2" t="s">
        <v>432</v>
      </c>
      <c r="JA9" s="2" t="s">
        <v>491</v>
      </c>
      <c r="JB9" s="2" t="s">
        <v>432</v>
      </c>
      <c r="JC9" s="2" t="s">
        <v>433</v>
      </c>
      <c r="JD9" s="2" t="s">
        <v>432</v>
      </c>
      <c r="JE9" s="2" t="s">
        <v>432</v>
      </c>
      <c r="JF9" s="2" t="s">
        <v>432</v>
      </c>
      <c r="JG9" s="2" t="s">
        <v>432</v>
      </c>
      <c r="JT9" s="2" t="s">
        <v>626</v>
      </c>
      <c r="JU9" s="2" t="s">
        <v>433</v>
      </c>
      <c r="JV9" s="2" t="s">
        <v>432</v>
      </c>
      <c r="JW9" s="2" t="s">
        <v>432</v>
      </c>
      <c r="JX9" s="2" t="s">
        <v>433</v>
      </c>
      <c r="JY9" s="2" t="s">
        <v>432</v>
      </c>
      <c r="JZ9" s="2" t="s">
        <v>432</v>
      </c>
      <c r="KA9" s="2" t="s">
        <v>432</v>
      </c>
      <c r="KB9" s="2" t="s">
        <v>432</v>
      </c>
      <c r="KC9" s="2" t="s">
        <v>432</v>
      </c>
      <c r="KF9" s="2" t="s">
        <v>430</v>
      </c>
      <c r="KG9" s="2" t="s">
        <v>627</v>
      </c>
      <c r="KH9" s="2" t="s">
        <v>433</v>
      </c>
      <c r="KI9" s="2" t="s">
        <v>432</v>
      </c>
      <c r="KJ9" s="2" t="s">
        <v>432</v>
      </c>
      <c r="KK9" s="2" t="s">
        <v>433</v>
      </c>
      <c r="KL9" s="2" t="s">
        <v>432</v>
      </c>
      <c r="KM9" s="2" t="s">
        <v>432</v>
      </c>
      <c r="KN9" s="2" t="s">
        <v>432</v>
      </c>
      <c r="KO9" s="2" t="s">
        <v>432</v>
      </c>
      <c r="KP9" s="2" t="s">
        <v>432</v>
      </c>
      <c r="KQ9" s="2" t="s">
        <v>432</v>
      </c>
      <c r="KR9" s="2" t="s">
        <v>432</v>
      </c>
      <c r="KT9" s="2" t="s">
        <v>518</v>
      </c>
      <c r="KU9" s="2" t="s">
        <v>432</v>
      </c>
      <c r="KV9" s="2" t="s">
        <v>433</v>
      </c>
      <c r="KW9" s="2" t="s">
        <v>433</v>
      </c>
      <c r="KX9" s="2" t="s">
        <v>432</v>
      </c>
      <c r="KY9" s="2" t="s">
        <v>432</v>
      </c>
      <c r="KZ9" s="2" t="s">
        <v>432</v>
      </c>
      <c r="LB9" s="2" t="s">
        <v>456</v>
      </c>
      <c r="LP9" s="2" t="s">
        <v>430</v>
      </c>
      <c r="LR9" s="2" t="s">
        <v>628</v>
      </c>
      <c r="LS9" s="2">
        <v>168989897</v>
      </c>
      <c r="LT9" s="2" t="s">
        <v>629</v>
      </c>
      <c r="LU9" s="2" t="s">
        <v>630</v>
      </c>
      <c r="LW9" s="2" t="s">
        <v>460</v>
      </c>
      <c r="LX9" s="2" t="s">
        <v>461</v>
      </c>
      <c r="LY9" s="2" t="s">
        <v>462</v>
      </c>
      <c r="MA9" s="2">
        <v>8</v>
      </c>
    </row>
    <row r="10" spans="1:339" x14ac:dyDescent="0.3">
      <c r="A10" s="2" t="s">
        <v>631</v>
      </c>
      <c r="B10" s="2" t="s">
        <v>632</v>
      </c>
      <c r="C10" s="2" t="s">
        <v>421</v>
      </c>
      <c r="F10" s="2" t="s">
        <v>422</v>
      </c>
      <c r="G10" s="2" t="s">
        <v>633</v>
      </c>
      <c r="H10" s="2" t="s">
        <v>633</v>
      </c>
      <c r="I10" s="2" t="s">
        <v>427</v>
      </c>
      <c r="J10" s="2" t="s">
        <v>634</v>
      </c>
      <c r="R10" s="2" t="s">
        <v>422</v>
      </c>
      <c r="S10" s="2" t="s">
        <v>502</v>
      </c>
      <c r="T10" s="2" t="s">
        <v>426</v>
      </c>
      <c r="Z10" s="2" t="s">
        <v>428</v>
      </c>
      <c r="AA10" s="2" t="s">
        <v>429</v>
      </c>
      <c r="AB10" s="2" t="s">
        <v>633</v>
      </c>
      <c r="AG10" s="2" t="s">
        <v>456</v>
      </c>
      <c r="BQ10" s="2" t="s">
        <v>456</v>
      </c>
      <c r="DZ10" s="2" t="s">
        <v>636</v>
      </c>
      <c r="EA10" s="2" t="s">
        <v>433</v>
      </c>
      <c r="EB10" s="2" t="s">
        <v>433</v>
      </c>
      <c r="EC10" s="2" t="s">
        <v>432</v>
      </c>
      <c r="ED10" s="2" t="s">
        <v>433</v>
      </c>
      <c r="EE10" s="2" t="s">
        <v>433</v>
      </c>
      <c r="EF10" s="2" t="s">
        <v>433</v>
      </c>
      <c r="EG10" s="2" t="s">
        <v>432</v>
      </c>
      <c r="EH10" s="2" t="s">
        <v>432</v>
      </c>
      <c r="EI10" s="2" t="s">
        <v>432</v>
      </c>
      <c r="EL10" s="2" t="s">
        <v>637</v>
      </c>
      <c r="EM10" s="2" t="s">
        <v>432</v>
      </c>
      <c r="EN10" s="2" t="s">
        <v>433</v>
      </c>
      <c r="EO10" s="2" t="s">
        <v>433</v>
      </c>
      <c r="EP10" s="2" t="s">
        <v>432</v>
      </c>
      <c r="EQ10" s="2" t="s">
        <v>433</v>
      </c>
      <c r="ER10" s="2" t="s">
        <v>433</v>
      </c>
      <c r="ES10" s="2" t="s">
        <v>432</v>
      </c>
      <c r="ET10" s="2" t="s">
        <v>432</v>
      </c>
      <c r="EU10" s="2" t="s">
        <v>432</v>
      </c>
      <c r="EV10" s="2" t="s">
        <v>432</v>
      </c>
      <c r="EX10" s="2" t="s">
        <v>430</v>
      </c>
      <c r="EY10" s="2" t="s">
        <v>638</v>
      </c>
      <c r="EZ10" s="2" t="s">
        <v>432</v>
      </c>
      <c r="FA10" s="2" t="s">
        <v>432</v>
      </c>
      <c r="FB10" s="2" t="s">
        <v>432</v>
      </c>
      <c r="FC10" s="2" t="s">
        <v>433</v>
      </c>
      <c r="FD10" s="2" t="s">
        <v>433</v>
      </c>
      <c r="FE10" s="2" t="s">
        <v>433</v>
      </c>
      <c r="FF10" s="2" t="s">
        <v>432</v>
      </c>
      <c r="FG10" s="2" t="s">
        <v>432</v>
      </c>
      <c r="FH10" s="2" t="s">
        <v>432</v>
      </c>
      <c r="FI10" s="2" t="s">
        <v>432</v>
      </c>
      <c r="FJ10" s="2" t="s">
        <v>432</v>
      </c>
      <c r="FK10" s="2" t="s">
        <v>432</v>
      </c>
      <c r="FL10" s="2" t="s">
        <v>432</v>
      </c>
      <c r="FM10" s="2" t="s">
        <v>432</v>
      </c>
      <c r="FO10" s="2" t="s">
        <v>481</v>
      </c>
      <c r="FP10" s="2" t="s">
        <v>481</v>
      </c>
      <c r="FQ10" s="2" t="s">
        <v>639</v>
      </c>
      <c r="FR10" s="2" t="s">
        <v>433</v>
      </c>
      <c r="FS10" s="2" t="s">
        <v>433</v>
      </c>
      <c r="FT10" s="2" t="s">
        <v>432</v>
      </c>
      <c r="FU10" s="2" t="s">
        <v>432</v>
      </c>
      <c r="FV10" s="2" t="s">
        <v>432</v>
      </c>
      <c r="FW10" s="2" t="s">
        <v>432</v>
      </c>
      <c r="FX10" s="2" t="s">
        <v>432</v>
      </c>
      <c r="FY10" s="2" t="s">
        <v>433</v>
      </c>
      <c r="FZ10" s="2" t="s">
        <v>640</v>
      </c>
      <c r="GA10" s="2" t="s">
        <v>483</v>
      </c>
      <c r="GB10" s="2" t="s">
        <v>444</v>
      </c>
      <c r="GC10" s="2" t="s">
        <v>641</v>
      </c>
      <c r="GD10" s="2" t="s">
        <v>432</v>
      </c>
      <c r="GE10" s="2" t="s">
        <v>433</v>
      </c>
      <c r="GF10" s="2" t="s">
        <v>433</v>
      </c>
      <c r="GG10" s="2" t="s">
        <v>433</v>
      </c>
      <c r="GH10" s="2" t="s">
        <v>433</v>
      </c>
      <c r="GI10" s="2" t="s">
        <v>432</v>
      </c>
      <c r="GJ10" s="2" t="s">
        <v>433</v>
      </c>
      <c r="GK10" s="2" t="s">
        <v>432</v>
      </c>
      <c r="GL10" s="2" t="s">
        <v>432</v>
      </c>
      <c r="GN10" s="2" t="s">
        <v>601</v>
      </c>
      <c r="GO10" s="2" t="s">
        <v>481</v>
      </c>
      <c r="GP10" s="2" t="s">
        <v>642</v>
      </c>
      <c r="GQ10" s="2" t="s">
        <v>433</v>
      </c>
      <c r="GR10" s="2" t="s">
        <v>433</v>
      </c>
      <c r="GS10" s="2" t="s">
        <v>433</v>
      </c>
      <c r="GT10" s="2" t="s">
        <v>432</v>
      </c>
      <c r="GU10" s="2" t="s">
        <v>432</v>
      </c>
      <c r="GV10" s="2" t="s">
        <v>432</v>
      </c>
      <c r="GW10" s="2" t="s">
        <v>432</v>
      </c>
      <c r="GX10" s="2" t="s">
        <v>432</v>
      </c>
      <c r="GZ10" s="2" t="s">
        <v>643</v>
      </c>
      <c r="HA10" s="2" t="s">
        <v>433</v>
      </c>
      <c r="HB10" s="2" t="s">
        <v>432</v>
      </c>
      <c r="HC10" s="2" t="s">
        <v>432</v>
      </c>
      <c r="HD10" s="2" t="s">
        <v>432</v>
      </c>
      <c r="HE10" s="2" t="s">
        <v>432</v>
      </c>
      <c r="HF10" s="2" t="s">
        <v>432</v>
      </c>
      <c r="HI10" s="2" t="s">
        <v>442</v>
      </c>
      <c r="HJ10" s="2" t="s">
        <v>532</v>
      </c>
      <c r="HK10" s="2" t="s">
        <v>432</v>
      </c>
      <c r="HL10" s="2" t="s">
        <v>432</v>
      </c>
      <c r="HM10" s="2" t="s">
        <v>432</v>
      </c>
      <c r="HN10" s="2" t="s">
        <v>432</v>
      </c>
      <c r="HO10" s="2" t="s">
        <v>433</v>
      </c>
      <c r="HP10" s="2" t="s">
        <v>432</v>
      </c>
      <c r="HQ10" s="2" t="s">
        <v>432</v>
      </c>
      <c r="HR10" s="2" t="s">
        <v>432</v>
      </c>
      <c r="HS10" s="2" t="s">
        <v>432</v>
      </c>
      <c r="HT10" s="2" t="s">
        <v>432</v>
      </c>
      <c r="HV10" s="2" t="s">
        <v>430</v>
      </c>
      <c r="IN10" s="2" t="s">
        <v>644</v>
      </c>
      <c r="IO10" s="2" t="s">
        <v>645</v>
      </c>
      <c r="IP10" s="2" t="s">
        <v>432</v>
      </c>
      <c r="IQ10" s="2" t="s">
        <v>433</v>
      </c>
      <c r="IR10" s="2" t="s">
        <v>433</v>
      </c>
      <c r="IS10" s="2" t="s">
        <v>433</v>
      </c>
      <c r="IT10" s="2" t="s">
        <v>433</v>
      </c>
      <c r="IU10" s="2" t="s">
        <v>432</v>
      </c>
      <c r="IV10" s="2" t="s">
        <v>433</v>
      </c>
      <c r="IW10" s="2" t="s">
        <v>432</v>
      </c>
      <c r="IX10" s="2" t="s">
        <v>433</v>
      </c>
      <c r="IY10" s="2" t="s">
        <v>432</v>
      </c>
      <c r="JA10" s="2" t="s">
        <v>646</v>
      </c>
      <c r="JB10" s="2" t="s">
        <v>433</v>
      </c>
      <c r="JC10" s="2" t="s">
        <v>433</v>
      </c>
      <c r="JD10" s="2" t="s">
        <v>433</v>
      </c>
      <c r="JE10" s="2" t="s">
        <v>432</v>
      </c>
      <c r="JF10" s="2" t="s">
        <v>432</v>
      </c>
      <c r="JG10" s="2" t="s">
        <v>432</v>
      </c>
      <c r="JI10" s="2" t="s">
        <v>647</v>
      </c>
      <c r="JJ10" s="2" t="s">
        <v>432</v>
      </c>
      <c r="JK10" s="2" t="s">
        <v>433</v>
      </c>
      <c r="JL10" s="2" t="s">
        <v>432</v>
      </c>
      <c r="JM10" s="2" t="s">
        <v>432</v>
      </c>
      <c r="JN10" s="2" t="s">
        <v>433</v>
      </c>
      <c r="JO10" s="2" t="s">
        <v>432</v>
      </c>
      <c r="JP10" s="2" t="s">
        <v>432</v>
      </c>
      <c r="JQ10" s="2" t="s">
        <v>432</v>
      </c>
      <c r="JR10" s="2" t="s">
        <v>432</v>
      </c>
      <c r="JT10" s="2" t="s">
        <v>648</v>
      </c>
      <c r="JU10" s="2" t="s">
        <v>433</v>
      </c>
      <c r="JV10" s="2" t="s">
        <v>432</v>
      </c>
      <c r="JW10" s="2" t="s">
        <v>432</v>
      </c>
      <c r="JX10" s="2" t="s">
        <v>433</v>
      </c>
      <c r="JY10" s="2" t="s">
        <v>432</v>
      </c>
      <c r="JZ10" s="2" t="s">
        <v>433</v>
      </c>
      <c r="KA10" s="2" t="s">
        <v>433</v>
      </c>
      <c r="KB10" s="2" t="s">
        <v>432</v>
      </c>
      <c r="KC10" s="2" t="s">
        <v>432</v>
      </c>
      <c r="KF10" s="2" t="s">
        <v>430</v>
      </c>
      <c r="KG10" s="2" t="s">
        <v>649</v>
      </c>
      <c r="KH10" s="2" t="s">
        <v>433</v>
      </c>
      <c r="KI10" s="2" t="s">
        <v>433</v>
      </c>
      <c r="KJ10" s="2" t="s">
        <v>432</v>
      </c>
      <c r="KK10" s="2" t="s">
        <v>432</v>
      </c>
      <c r="KL10" s="2" t="s">
        <v>433</v>
      </c>
      <c r="KM10" s="2" t="s">
        <v>432</v>
      </c>
      <c r="KN10" s="2" t="s">
        <v>433</v>
      </c>
      <c r="KO10" s="2" t="s">
        <v>432</v>
      </c>
      <c r="KP10" s="2" t="s">
        <v>432</v>
      </c>
      <c r="KQ10" s="2" t="s">
        <v>432</v>
      </c>
      <c r="KR10" s="2" t="s">
        <v>432</v>
      </c>
      <c r="LB10" s="2" t="s">
        <v>456</v>
      </c>
      <c r="LP10" s="2" t="s">
        <v>430</v>
      </c>
      <c r="LR10" s="2" t="s">
        <v>650</v>
      </c>
      <c r="LS10" s="2">
        <v>168996971</v>
      </c>
      <c r="LT10" s="2" t="s">
        <v>651</v>
      </c>
      <c r="LU10" s="2" t="s">
        <v>652</v>
      </c>
      <c r="LW10" s="2" t="s">
        <v>460</v>
      </c>
      <c r="LX10" s="2" t="s">
        <v>461</v>
      </c>
      <c r="LY10" s="2" t="s">
        <v>462</v>
      </c>
      <c r="MA10" s="2">
        <v>9</v>
      </c>
    </row>
    <row r="11" spans="1:339" x14ac:dyDescent="0.3">
      <c r="A11" s="2" t="s">
        <v>653</v>
      </c>
      <c r="B11" s="2" t="s">
        <v>654</v>
      </c>
      <c r="C11" s="2" t="s">
        <v>421</v>
      </c>
      <c r="F11" s="2" t="s">
        <v>523</v>
      </c>
      <c r="G11" s="2" t="s">
        <v>655</v>
      </c>
      <c r="H11" s="2" t="s">
        <v>655</v>
      </c>
      <c r="I11" s="2" t="s">
        <v>656</v>
      </c>
      <c r="R11" s="2" t="s">
        <v>422</v>
      </c>
      <c r="S11" s="2" t="s">
        <v>657</v>
      </c>
      <c r="T11" s="2" t="s">
        <v>426</v>
      </c>
      <c r="Z11" s="2" t="s">
        <v>428</v>
      </c>
      <c r="AA11" s="2" t="s">
        <v>429</v>
      </c>
      <c r="AB11" s="2" t="s">
        <v>655</v>
      </c>
      <c r="AG11" s="2" t="s">
        <v>456</v>
      </c>
      <c r="BQ11" s="2" t="s">
        <v>456</v>
      </c>
      <c r="DZ11" s="2" t="s">
        <v>658</v>
      </c>
      <c r="EA11" s="2" t="s">
        <v>432</v>
      </c>
      <c r="EB11" s="2" t="s">
        <v>432</v>
      </c>
      <c r="EC11" s="2" t="s">
        <v>433</v>
      </c>
      <c r="ED11" s="2" t="s">
        <v>432</v>
      </c>
      <c r="EE11" s="2" t="s">
        <v>433</v>
      </c>
      <c r="EF11" s="2" t="s">
        <v>432</v>
      </c>
      <c r="EG11" s="2" t="s">
        <v>432</v>
      </c>
      <c r="EH11" s="2" t="s">
        <v>432</v>
      </c>
      <c r="EI11" s="2" t="s">
        <v>432</v>
      </c>
      <c r="EL11" s="2" t="s">
        <v>659</v>
      </c>
      <c r="EM11" s="2" t="s">
        <v>433</v>
      </c>
      <c r="EN11" s="2" t="s">
        <v>433</v>
      </c>
      <c r="EO11" s="2" t="s">
        <v>432</v>
      </c>
      <c r="EP11" s="2" t="s">
        <v>432</v>
      </c>
      <c r="EQ11" s="2" t="s">
        <v>432</v>
      </c>
      <c r="ER11" s="2" t="s">
        <v>433</v>
      </c>
      <c r="ES11" s="2" t="s">
        <v>432</v>
      </c>
      <c r="ET11" s="2" t="s">
        <v>432</v>
      </c>
      <c r="EU11" s="2" t="s">
        <v>432</v>
      </c>
      <c r="EV11" s="2" t="s">
        <v>432</v>
      </c>
      <c r="EX11" s="2" t="s">
        <v>430</v>
      </c>
      <c r="EY11" s="2" t="s">
        <v>660</v>
      </c>
      <c r="EZ11" s="2" t="s">
        <v>433</v>
      </c>
      <c r="FA11" s="2" t="s">
        <v>432</v>
      </c>
      <c r="FB11" s="2" t="s">
        <v>432</v>
      </c>
      <c r="FC11" s="2" t="s">
        <v>432</v>
      </c>
      <c r="FD11" s="2" t="s">
        <v>432</v>
      </c>
      <c r="FE11" s="2" t="s">
        <v>432</v>
      </c>
      <c r="FF11" s="2" t="s">
        <v>432</v>
      </c>
      <c r="FG11" s="2" t="s">
        <v>432</v>
      </c>
      <c r="FH11" s="2" t="s">
        <v>432</v>
      </c>
      <c r="FI11" s="2" t="s">
        <v>432</v>
      </c>
      <c r="FJ11" s="2" t="s">
        <v>432</v>
      </c>
      <c r="FK11" s="2" t="s">
        <v>432</v>
      </c>
      <c r="FL11" s="2" t="s">
        <v>432</v>
      </c>
      <c r="FM11" s="2" t="s">
        <v>432</v>
      </c>
      <c r="FO11" s="2" t="s">
        <v>601</v>
      </c>
      <c r="FP11" s="2" t="s">
        <v>601</v>
      </c>
      <c r="GA11" s="2" t="s">
        <v>602</v>
      </c>
      <c r="GB11" s="2" t="s">
        <v>602</v>
      </c>
      <c r="GC11" s="2" t="s">
        <v>661</v>
      </c>
      <c r="GD11" s="2" t="s">
        <v>432</v>
      </c>
      <c r="GE11" s="2" t="s">
        <v>433</v>
      </c>
      <c r="GF11" s="2" t="s">
        <v>432</v>
      </c>
      <c r="GG11" s="2" t="s">
        <v>433</v>
      </c>
      <c r="GH11" s="2" t="s">
        <v>432</v>
      </c>
      <c r="GI11" s="2" t="s">
        <v>432</v>
      </c>
      <c r="GJ11" s="2" t="s">
        <v>432</v>
      </c>
      <c r="GK11" s="2" t="s">
        <v>432</v>
      </c>
      <c r="GL11" s="2" t="s">
        <v>432</v>
      </c>
      <c r="GN11" s="2" t="s">
        <v>601</v>
      </c>
      <c r="GO11" s="2" t="s">
        <v>601</v>
      </c>
      <c r="GP11" s="2" t="s">
        <v>576</v>
      </c>
      <c r="GQ11" s="2" t="s">
        <v>432</v>
      </c>
      <c r="GR11" s="2" t="s">
        <v>433</v>
      </c>
      <c r="GS11" s="2" t="s">
        <v>432</v>
      </c>
      <c r="GT11" s="2" t="s">
        <v>432</v>
      </c>
      <c r="GU11" s="2" t="s">
        <v>432</v>
      </c>
      <c r="GV11" s="2" t="s">
        <v>432</v>
      </c>
      <c r="GW11" s="2" t="s">
        <v>432</v>
      </c>
      <c r="GX11" s="2" t="s">
        <v>432</v>
      </c>
      <c r="GZ11" s="2" t="s">
        <v>643</v>
      </c>
      <c r="HA11" s="2" t="s">
        <v>433</v>
      </c>
      <c r="HB11" s="2" t="s">
        <v>432</v>
      </c>
      <c r="HC11" s="2" t="s">
        <v>432</v>
      </c>
      <c r="HD11" s="2" t="s">
        <v>432</v>
      </c>
      <c r="HE11" s="2" t="s">
        <v>432</v>
      </c>
      <c r="HF11" s="2" t="s">
        <v>432</v>
      </c>
      <c r="HI11" s="2" t="s">
        <v>456</v>
      </c>
      <c r="HV11" s="2" t="s">
        <v>430</v>
      </c>
      <c r="IN11" s="2" t="s">
        <v>644</v>
      </c>
      <c r="IO11" s="2" t="s">
        <v>662</v>
      </c>
      <c r="IP11" s="2" t="s">
        <v>432</v>
      </c>
      <c r="IQ11" s="2" t="s">
        <v>433</v>
      </c>
      <c r="IR11" s="2" t="s">
        <v>433</v>
      </c>
      <c r="IS11" s="2" t="s">
        <v>432</v>
      </c>
      <c r="IT11" s="2" t="s">
        <v>433</v>
      </c>
      <c r="IU11" s="2" t="s">
        <v>432</v>
      </c>
      <c r="IV11" s="2" t="s">
        <v>432</v>
      </c>
      <c r="IW11" s="2" t="s">
        <v>432</v>
      </c>
      <c r="IX11" s="2" t="s">
        <v>432</v>
      </c>
      <c r="IY11" s="2" t="s">
        <v>432</v>
      </c>
      <c r="JA11" s="2" t="s">
        <v>663</v>
      </c>
      <c r="JB11" s="2" t="s">
        <v>433</v>
      </c>
      <c r="JC11" s="2" t="s">
        <v>433</v>
      </c>
      <c r="JD11" s="2" t="s">
        <v>432</v>
      </c>
      <c r="JE11" s="2" t="s">
        <v>432</v>
      </c>
      <c r="JF11" s="2" t="s">
        <v>432</v>
      </c>
      <c r="JG11" s="2" t="s">
        <v>432</v>
      </c>
      <c r="JI11" s="2" t="s">
        <v>664</v>
      </c>
      <c r="JJ11" s="2" t="s">
        <v>432</v>
      </c>
      <c r="JK11" s="2" t="s">
        <v>432</v>
      </c>
      <c r="JL11" s="2" t="s">
        <v>433</v>
      </c>
      <c r="JM11" s="2" t="s">
        <v>432</v>
      </c>
      <c r="JN11" s="2" t="s">
        <v>432</v>
      </c>
      <c r="JO11" s="2" t="s">
        <v>432</v>
      </c>
      <c r="JP11" s="2" t="s">
        <v>432</v>
      </c>
      <c r="JQ11" s="2" t="s">
        <v>432</v>
      </c>
      <c r="JR11" s="2" t="s">
        <v>432</v>
      </c>
      <c r="JT11" s="2" t="s">
        <v>626</v>
      </c>
      <c r="JU11" s="2" t="s">
        <v>433</v>
      </c>
      <c r="JV11" s="2" t="s">
        <v>432</v>
      </c>
      <c r="JW11" s="2" t="s">
        <v>432</v>
      </c>
      <c r="JX11" s="2" t="s">
        <v>433</v>
      </c>
      <c r="JY11" s="2" t="s">
        <v>432</v>
      </c>
      <c r="JZ11" s="2" t="s">
        <v>432</v>
      </c>
      <c r="KA11" s="2" t="s">
        <v>432</v>
      </c>
      <c r="KB11" s="2" t="s">
        <v>432</v>
      </c>
      <c r="KC11" s="2" t="s">
        <v>432</v>
      </c>
      <c r="KF11" s="2" t="s">
        <v>430</v>
      </c>
      <c r="KG11" s="2" t="s">
        <v>665</v>
      </c>
      <c r="KH11" s="2" t="s">
        <v>433</v>
      </c>
      <c r="KI11" s="2" t="s">
        <v>432</v>
      </c>
      <c r="KJ11" s="2" t="s">
        <v>432</v>
      </c>
      <c r="KK11" s="2" t="s">
        <v>432</v>
      </c>
      <c r="KL11" s="2" t="s">
        <v>433</v>
      </c>
      <c r="KM11" s="2" t="s">
        <v>432</v>
      </c>
      <c r="KN11" s="2" t="s">
        <v>432</v>
      </c>
      <c r="KO11" s="2" t="s">
        <v>432</v>
      </c>
      <c r="KP11" s="2" t="s">
        <v>432</v>
      </c>
      <c r="KQ11" s="2" t="s">
        <v>432</v>
      </c>
      <c r="KR11" s="2" t="s">
        <v>432</v>
      </c>
      <c r="LB11" s="2" t="s">
        <v>456</v>
      </c>
      <c r="LP11" s="2" t="s">
        <v>430</v>
      </c>
      <c r="LR11" s="2" t="s">
        <v>666</v>
      </c>
      <c r="LS11" s="2">
        <v>169049290</v>
      </c>
      <c r="LT11" s="2" t="s">
        <v>667</v>
      </c>
      <c r="LU11" s="2" t="s">
        <v>668</v>
      </c>
      <c r="LW11" s="2" t="s">
        <v>460</v>
      </c>
      <c r="LX11" s="2" t="s">
        <v>461</v>
      </c>
      <c r="LY11" s="2" t="s">
        <v>462</v>
      </c>
      <c r="MA11" s="2">
        <v>10</v>
      </c>
    </row>
    <row r="12" spans="1:339" x14ac:dyDescent="0.3">
      <c r="A12" s="2" t="s">
        <v>669</v>
      </c>
      <c r="B12" s="2" t="s">
        <v>670</v>
      </c>
      <c r="C12" s="2" t="s">
        <v>421</v>
      </c>
      <c r="F12" s="2" t="s">
        <v>523</v>
      </c>
      <c r="G12" s="2" t="s">
        <v>655</v>
      </c>
      <c r="H12" s="2" t="s">
        <v>655</v>
      </c>
      <c r="I12" s="2" t="s">
        <v>671</v>
      </c>
      <c r="R12" s="2" t="s">
        <v>523</v>
      </c>
      <c r="S12" s="2" t="s">
        <v>672</v>
      </c>
      <c r="T12" s="2" t="s">
        <v>673</v>
      </c>
      <c r="Z12" s="2" t="s">
        <v>674</v>
      </c>
      <c r="AA12" s="2" t="s">
        <v>675</v>
      </c>
      <c r="AB12" s="2" t="s">
        <v>676</v>
      </c>
      <c r="AG12" s="2" t="s">
        <v>430</v>
      </c>
      <c r="AH12" s="2" t="s">
        <v>677</v>
      </c>
      <c r="AI12" s="2" t="s">
        <v>432</v>
      </c>
      <c r="AJ12" s="2" t="s">
        <v>432</v>
      </c>
      <c r="AK12" s="2" t="s">
        <v>433</v>
      </c>
      <c r="AL12" s="2" t="s">
        <v>432</v>
      </c>
      <c r="AM12" s="2" t="s">
        <v>433</v>
      </c>
      <c r="AN12" s="2" t="s">
        <v>432</v>
      </c>
      <c r="AO12" s="2" t="s">
        <v>432</v>
      </c>
      <c r="AP12" s="2" t="s">
        <v>432</v>
      </c>
      <c r="AQ12" s="2" t="s">
        <v>432</v>
      </c>
      <c r="AR12" s="2" t="s">
        <v>432</v>
      </c>
      <c r="AS12" s="2" t="s">
        <v>432</v>
      </c>
      <c r="AT12" s="2" t="s">
        <v>432</v>
      </c>
      <c r="AU12" s="2" t="s">
        <v>432</v>
      </c>
      <c r="AV12" s="2" t="s">
        <v>432</v>
      </c>
      <c r="AX12" s="2" t="s">
        <v>678</v>
      </c>
      <c r="AY12" s="2" t="s">
        <v>432</v>
      </c>
      <c r="AZ12" s="2" t="s">
        <v>432</v>
      </c>
      <c r="BA12" s="2" t="s">
        <v>432</v>
      </c>
      <c r="BB12" s="2" t="s">
        <v>432</v>
      </c>
      <c r="BC12" s="2" t="s">
        <v>432</v>
      </c>
      <c r="BD12" s="2" t="s">
        <v>432</v>
      </c>
      <c r="BE12" s="2" t="s">
        <v>432</v>
      </c>
      <c r="BF12" s="2" t="s">
        <v>432</v>
      </c>
      <c r="BG12" s="2" t="s">
        <v>432</v>
      </c>
      <c r="BH12" s="2" t="s">
        <v>432</v>
      </c>
      <c r="BI12" s="2" t="s">
        <v>433</v>
      </c>
      <c r="BJ12" s="2" t="s">
        <v>432</v>
      </c>
      <c r="BK12" s="2" t="s">
        <v>432</v>
      </c>
      <c r="BL12" s="2" t="s">
        <v>432</v>
      </c>
      <c r="BN12" s="2" t="s">
        <v>435</v>
      </c>
      <c r="BO12" s="2" t="s">
        <v>436</v>
      </c>
      <c r="BQ12" s="2" t="s">
        <v>430</v>
      </c>
      <c r="BR12" s="2" t="s">
        <v>679</v>
      </c>
      <c r="BS12" s="2" t="s">
        <v>433</v>
      </c>
      <c r="BT12" s="2" t="s">
        <v>432</v>
      </c>
      <c r="BU12" s="2" t="s">
        <v>432</v>
      </c>
      <c r="BV12" s="2" t="s">
        <v>432</v>
      </c>
      <c r="BW12" s="2" t="s">
        <v>432</v>
      </c>
      <c r="BX12" s="2" t="s">
        <v>432</v>
      </c>
      <c r="BY12" s="2" t="s">
        <v>432</v>
      </c>
      <c r="BZ12" s="2" t="s">
        <v>432</v>
      </c>
      <c r="CA12" s="2" t="s">
        <v>432</v>
      </c>
      <c r="CB12" s="2" t="s">
        <v>432</v>
      </c>
      <c r="CC12" s="2" t="s">
        <v>432</v>
      </c>
      <c r="CD12" s="2" t="s">
        <v>433</v>
      </c>
      <c r="CE12" s="2" t="s">
        <v>432</v>
      </c>
      <c r="CF12" s="2" t="s">
        <v>432</v>
      </c>
      <c r="CG12" s="2" t="s">
        <v>432</v>
      </c>
      <c r="CI12" s="2" t="s">
        <v>680</v>
      </c>
      <c r="CJ12" s="2" t="s">
        <v>432</v>
      </c>
      <c r="CK12" s="2" t="s">
        <v>432</v>
      </c>
      <c r="CL12" s="2" t="s">
        <v>432</v>
      </c>
      <c r="CM12" s="2" t="s">
        <v>432</v>
      </c>
      <c r="CN12" s="2" t="s">
        <v>433</v>
      </c>
      <c r="CO12" s="2" t="s">
        <v>433</v>
      </c>
      <c r="CP12" s="2" t="s">
        <v>432</v>
      </c>
      <c r="CQ12" s="2" t="s">
        <v>432</v>
      </c>
      <c r="CR12" s="2" t="s">
        <v>432</v>
      </c>
      <c r="CS12" s="2" t="s">
        <v>432</v>
      </c>
      <c r="CT12" s="2" t="s">
        <v>432</v>
      </c>
      <c r="CU12" s="2" t="s">
        <v>432</v>
      </c>
      <c r="CV12" s="2" t="s">
        <v>432</v>
      </c>
      <c r="CW12" s="2" t="s">
        <v>432</v>
      </c>
      <c r="CY12" s="2" t="s">
        <v>513</v>
      </c>
      <c r="CZ12" s="2" t="s">
        <v>473</v>
      </c>
      <c r="DB12" s="2" t="s">
        <v>550</v>
      </c>
      <c r="DC12" s="2" t="s">
        <v>433</v>
      </c>
      <c r="DD12" s="2" t="s">
        <v>432</v>
      </c>
      <c r="DE12" s="2" t="s">
        <v>432</v>
      </c>
      <c r="DF12" s="2" t="s">
        <v>432</v>
      </c>
      <c r="DG12" s="2" t="s">
        <v>432</v>
      </c>
      <c r="DH12" s="2" t="s">
        <v>432</v>
      </c>
      <c r="DI12" s="2" t="s">
        <v>433</v>
      </c>
      <c r="DJ12" s="2" t="s">
        <v>432</v>
      </c>
      <c r="DK12" s="2" t="s">
        <v>432</v>
      </c>
      <c r="DL12" s="2" t="s">
        <v>432</v>
      </c>
      <c r="DN12" s="2" t="s">
        <v>681</v>
      </c>
      <c r="DO12" s="2" t="s">
        <v>432</v>
      </c>
      <c r="DP12" s="2" t="s">
        <v>432</v>
      </c>
      <c r="DQ12" s="2" t="s">
        <v>432</v>
      </c>
      <c r="DR12" s="2" t="s">
        <v>433</v>
      </c>
      <c r="DS12" s="2" t="s">
        <v>432</v>
      </c>
      <c r="DT12" s="2" t="s">
        <v>432</v>
      </c>
      <c r="DU12" s="2" t="s">
        <v>433</v>
      </c>
      <c r="DV12" s="2" t="s">
        <v>432</v>
      </c>
      <c r="DW12" s="2" t="s">
        <v>432</v>
      </c>
      <c r="DX12" s="2" t="s">
        <v>682</v>
      </c>
      <c r="DZ12" s="2" t="s">
        <v>683</v>
      </c>
      <c r="EA12" s="2" t="s">
        <v>432</v>
      </c>
      <c r="EB12" s="2" t="s">
        <v>432</v>
      </c>
      <c r="EC12" s="2" t="s">
        <v>432</v>
      </c>
      <c r="ED12" s="2" t="s">
        <v>432</v>
      </c>
      <c r="EE12" s="2" t="s">
        <v>433</v>
      </c>
      <c r="EF12" s="2" t="s">
        <v>432</v>
      </c>
      <c r="EG12" s="2" t="s">
        <v>432</v>
      </c>
      <c r="EH12" s="2" t="s">
        <v>432</v>
      </c>
      <c r="EI12" s="2" t="s">
        <v>432</v>
      </c>
      <c r="EL12" s="2" t="s">
        <v>684</v>
      </c>
      <c r="EM12" s="2" t="s">
        <v>433</v>
      </c>
      <c r="EN12" s="2" t="s">
        <v>433</v>
      </c>
      <c r="EO12" s="2" t="s">
        <v>432</v>
      </c>
      <c r="EP12" s="2" t="s">
        <v>433</v>
      </c>
      <c r="EQ12" s="2" t="s">
        <v>432</v>
      </c>
      <c r="ER12" s="2" t="s">
        <v>433</v>
      </c>
      <c r="ES12" s="2" t="s">
        <v>432</v>
      </c>
      <c r="ET12" s="2" t="s">
        <v>432</v>
      </c>
      <c r="EU12" s="2" t="s">
        <v>432</v>
      </c>
      <c r="EV12" s="2" t="s">
        <v>432</v>
      </c>
      <c r="EX12" s="2" t="s">
        <v>430</v>
      </c>
      <c r="EY12" s="2" t="s">
        <v>685</v>
      </c>
      <c r="EZ12" s="2" t="s">
        <v>433</v>
      </c>
      <c r="FA12" s="2" t="s">
        <v>432</v>
      </c>
      <c r="FB12" s="2" t="s">
        <v>432</v>
      </c>
      <c r="FC12" s="2" t="s">
        <v>433</v>
      </c>
      <c r="FD12" s="2" t="s">
        <v>432</v>
      </c>
      <c r="FE12" s="2" t="s">
        <v>432</v>
      </c>
      <c r="FF12" s="2" t="s">
        <v>432</v>
      </c>
      <c r="FG12" s="2" t="s">
        <v>432</v>
      </c>
      <c r="FH12" s="2" t="s">
        <v>432</v>
      </c>
      <c r="FI12" s="2" t="s">
        <v>432</v>
      </c>
      <c r="FJ12" s="2" t="s">
        <v>432</v>
      </c>
      <c r="FK12" s="2" t="s">
        <v>432</v>
      </c>
      <c r="FL12" s="2" t="s">
        <v>432</v>
      </c>
      <c r="FM12" s="2" t="s">
        <v>432</v>
      </c>
      <c r="FO12" s="2" t="s">
        <v>601</v>
      </c>
      <c r="FP12" s="2" t="s">
        <v>601</v>
      </c>
      <c r="GA12" s="2" t="s">
        <v>602</v>
      </c>
      <c r="GB12" s="2" t="s">
        <v>602</v>
      </c>
      <c r="GC12" s="2" t="s">
        <v>686</v>
      </c>
      <c r="GD12" s="2" t="s">
        <v>432</v>
      </c>
      <c r="GE12" s="2" t="s">
        <v>433</v>
      </c>
      <c r="GF12" s="2" t="s">
        <v>432</v>
      </c>
      <c r="GG12" s="2" t="s">
        <v>433</v>
      </c>
      <c r="GH12" s="2" t="s">
        <v>433</v>
      </c>
      <c r="GI12" s="2" t="s">
        <v>432</v>
      </c>
      <c r="GJ12" s="2" t="s">
        <v>432</v>
      </c>
      <c r="GK12" s="2" t="s">
        <v>432</v>
      </c>
      <c r="GL12" s="2" t="s">
        <v>432</v>
      </c>
      <c r="GN12" s="2" t="s">
        <v>601</v>
      </c>
      <c r="GO12" s="2" t="s">
        <v>601</v>
      </c>
      <c r="GP12" s="2" t="s">
        <v>687</v>
      </c>
      <c r="GQ12" s="2" t="s">
        <v>433</v>
      </c>
      <c r="GR12" s="2" t="s">
        <v>433</v>
      </c>
      <c r="GS12" s="2" t="s">
        <v>432</v>
      </c>
      <c r="GT12" s="2" t="s">
        <v>432</v>
      </c>
      <c r="GU12" s="2" t="s">
        <v>432</v>
      </c>
      <c r="GV12" s="2" t="s">
        <v>432</v>
      </c>
      <c r="GW12" s="2" t="s">
        <v>432</v>
      </c>
      <c r="GX12" s="2" t="s">
        <v>432</v>
      </c>
      <c r="GZ12" s="2" t="s">
        <v>643</v>
      </c>
      <c r="HA12" s="2" t="s">
        <v>433</v>
      </c>
      <c r="HB12" s="2" t="s">
        <v>432</v>
      </c>
      <c r="HC12" s="2" t="s">
        <v>432</v>
      </c>
      <c r="HD12" s="2" t="s">
        <v>432</v>
      </c>
      <c r="HE12" s="2" t="s">
        <v>432</v>
      </c>
      <c r="HF12" s="2" t="s">
        <v>432</v>
      </c>
      <c r="HI12" s="2" t="s">
        <v>601</v>
      </c>
      <c r="HJ12" s="2" t="s">
        <v>688</v>
      </c>
      <c r="HK12" s="2" t="s">
        <v>432</v>
      </c>
      <c r="HL12" s="2" t="s">
        <v>432</v>
      </c>
      <c r="HM12" s="2" t="s">
        <v>433</v>
      </c>
      <c r="HN12" s="2" t="s">
        <v>432</v>
      </c>
      <c r="HO12" s="2" t="s">
        <v>432</v>
      </c>
      <c r="HP12" s="2" t="s">
        <v>433</v>
      </c>
      <c r="HQ12" s="2" t="s">
        <v>432</v>
      </c>
      <c r="HR12" s="2" t="s">
        <v>432</v>
      </c>
      <c r="HS12" s="2" t="s">
        <v>432</v>
      </c>
      <c r="HT12" s="2" t="s">
        <v>432</v>
      </c>
      <c r="HX12" s="2" t="s">
        <v>680</v>
      </c>
      <c r="HY12" s="2" t="s">
        <v>432</v>
      </c>
      <c r="HZ12" s="2" t="s">
        <v>432</v>
      </c>
      <c r="IA12" s="2" t="s">
        <v>432</v>
      </c>
      <c r="IB12" s="2" t="s">
        <v>432</v>
      </c>
      <c r="IC12" s="2" t="s">
        <v>433</v>
      </c>
      <c r="ID12" s="2" t="s">
        <v>433</v>
      </c>
      <c r="IE12" s="2" t="s">
        <v>432</v>
      </c>
      <c r="IF12" s="2" t="s">
        <v>432</v>
      </c>
      <c r="IG12" s="2" t="s">
        <v>432</v>
      </c>
      <c r="IH12" s="2" t="s">
        <v>432</v>
      </c>
      <c r="II12" s="2" t="s">
        <v>432</v>
      </c>
      <c r="IJ12" s="2" t="s">
        <v>432</v>
      </c>
      <c r="IK12" s="2" t="s">
        <v>432</v>
      </c>
      <c r="IL12" s="2" t="s">
        <v>432</v>
      </c>
      <c r="IN12" s="2" t="s">
        <v>689</v>
      </c>
      <c r="IO12" s="2" t="s">
        <v>690</v>
      </c>
      <c r="IP12" s="2" t="s">
        <v>432</v>
      </c>
      <c r="IQ12" s="2" t="s">
        <v>433</v>
      </c>
      <c r="IR12" s="2" t="s">
        <v>432</v>
      </c>
      <c r="IS12" s="2" t="s">
        <v>432</v>
      </c>
      <c r="IT12" s="2" t="s">
        <v>432</v>
      </c>
      <c r="IU12" s="2" t="s">
        <v>432</v>
      </c>
      <c r="IV12" s="2" t="s">
        <v>432</v>
      </c>
      <c r="IW12" s="2" t="s">
        <v>432</v>
      </c>
      <c r="IX12" s="2" t="s">
        <v>432</v>
      </c>
      <c r="IY12" s="2" t="s">
        <v>432</v>
      </c>
      <c r="JA12" s="2" t="s">
        <v>663</v>
      </c>
      <c r="JB12" s="2" t="s">
        <v>433</v>
      </c>
      <c r="JC12" s="2" t="s">
        <v>433</v>
      </c>
      <c r="JD12" s="2" t="s">
        <v>432</v>
      </c>
      <c r="JE12" s="2" t="s">
        <v>432</v>
      </c>
      <c r="JF12" s="2" t="s">
        <v>432</v>
      </c>
      <c r="JG12" s="2" t="s">
        <v>432</v>
      </c>
      <c r="JI12" s="2" t="s">
        <v>664</v>
      </c>
      <c r="JJ12" s="2" t="s">
        <v>432</v>
      </c>
      <c r="JK12" s="2" t="s">
        <v>432</v>
      </c>
      <c r="JL12" s="2" t="s">
        <v>433</v>
      </c>
      <c r="JM12" s="2" t="s">
        <v>432</v>
      </c>
      <c r="JN12" s="2" t="s">
        <v>432</v>
      </c>
      <c r="JO12" s="2" t="s">
        <v>432</v>
      </c>
      <c r="JP12" s="2" t="s">
        <v>432</v>
      </c>
      <c r="JQ12" s="2" t="s">
        <v>432</v>
      </c>
      <c r="JR12" s="2" t="s">
        <v>432</v>
      </c>
      <c r="JT12" s="2" t="s">
        <v>664</v>
      </c>
      <c r="JU12" s="2" t="s">
        <v>432</v>
      </c>
      <c r="JV12" s="2" t="s">
        <v>432</v>
      </c>
      <c r="JW12" s="2" t="s">
        <v>433</v>
      </c>
      <c r="JX12" s="2" t="s">
        <v>432</v>
      </c>
      <c r="JY12" s="2" t="s">
        <v>432</v>
      </c>
      <c r="JZ12" s="2" t="s">
        <v>432</v>
      </c>
      <c r="KA12" s="2" t="s">
        <v>432</v>
      </c>
      <c r="KB12" s="2" t="s">
        <v>432</v>
      </c>
      <c r="KC12" s="2" t="s">
        <v>432</v>
      </c>
      <c r="KF12" s="2" t="s">
        <v>430</v>
      </c>
      <c r="KG12" s="2" t="s">
        <v>552</v>
      </c>
      <c r="KH12" s="2" t="s">
        <v>432</v>
      </c>
      <c r="KI12" s="2" t="s">
        <v>432</v>
      </c>
      <c r="KJ12" s="2" t="s">
        <v>432</v>
      </c>
      <c r="KK12" s="2" t="s">
        <v>432</v>
      </c>
      <c r="KL12" s="2" t="s">
        <v>432</v>
      </c>
      <c r="KM12" s="2" t="s">
        <v>432</v>
      </c>
      <c r="KN12" s="2" t="s">
        <v>432</v>
      </c>
      <c r="KO12" s="2" t="s">
        <v>432</v>
      </c>
      <c r="KP12" s="2" t="s">
        <v>432</v>
      </c>
      <c r="KQ12" s="2" t="s">
        <v>433</v>
      </c>
      <c r="KR12" s="2" t="s">
        <v>432</v>
      </c>
      <c r="LB12" s="2" t="s">
        <v>456</v>
      </c>
      <c r="LP12" s="2" t="s">
        <v>430</v>
      </c>
      <c r="LR12" s="2" t="s">
        <v>666</v>
      </c>
      <c r="LS12" s="2">
        <v>169049312</v>
      </c>
      <c r="LT12" s="2" t="s">
        <v>691</v>
      </c>
      <c r="LU12" s="2" t="s">
        <v>692</v>
      </c>
      <c r="LW12" s="2" t="s">
        <v>460</v>
      </c>
      <c r="LX12" s="2" t="s">
        <v>461</v>
      </c>
      <c r="LY12" s="2" t="s">
        <v>462</v>
      </c>
      <c r="MA12" s="2">
        <v>11</v>
      </c>
    </row>
    <row r="13" spans="1:339" x14ac:dyDescent="0.3">
      <c r="A13" s="2" t="s">
        <v>693</v>
      </c>
      <c r="B13" s="2" t="s">
        <v>694</v>
      </c>
      <c r="C13" s="2" t="s">
        <v>695</v>
      </c>
      <c r="F13" s="2" t="s">
        <v>422</v>
      </c>
      <c r="G13" s="2" t="s">
        <v>466</v>
      </c>
      <c r="H13" s="2" t="s">
        <v>466</v>
      </c>
      <c r="I13" s="2" t="s">
        <v>696</v>
      </c>
      <c r="R13" s="2" t="s">
        <v>422</v>
      </c>
      <c r="S13" s="2" t="s">
        <v>697</v>
      </c>
      <c r="T13" s="2" t="s">
        <v>426</v>
      </c>
      <c r="Z13" s="2" t="s">
        <v>428</v>
      </c>
      <c r="AA13" s="2" t="s">
        <v>429</v>
      </c>
      <c r="AB13" s="2" t="s">
        <v>466</v>
      </c>
      <c r="AG13" s="2" t="s">
        <v>430</v>
      </c>
      <c r="AH13" s="2" t="s">
        <v>470</v>
      </c>
      <c r="AI13" s="2" t="s">
        <v>432</v>
      </c>
      <c r="AJ13" s="2" t="s">
        <v>432</v>
      </c>
      <c r="AK13" s="2" t="s">
        <v>432</v>
      </c>
      <c r="AL13" s="2" t="s">
        <v>432</v>
      </c>
      <c r="AM13" s="2" t="s">
        <v>433</v>
      </c>
      <c r="AN13" s="2" t="s">
        <v>432</v>
      </c>
      <c r="AO13" s="2" t="s">
        <v>432</v>
      </c>
      <c r="AP13" s="2" t="s">
        <v>432</v>
      </c>
      <c r="AQ13" s="2" t="s">
        <v>432</v>
      </c>
      <c r="AR13" s="2" t="s">
        <v>432</v>
      </c>
      <c r="AS13" s="2" t="s">
        <v>432</v>
      </c>
      <c r="AT13" s="2" t="s">
        <v>432</v>
      </c>
      <c r="AU13" s="2" t="s">
        <v>432</v>
      </c>
      <c r="AV13" s="2" t="s">
        <v>432</v>
      </c>
      <c r="AX13" s="2" t="s">
        <v>596</v>
      </c>
      <c r="AY13" s="2" t="s">
        <v>432</v>
      </c>
      <c r="AZ13" s="2" t="s">
        <v>432</v>
      </c>
      <c r="BA13" s="2" t="s">
        <v>433</v>
      </c>
      <c r="BB13" s="2" t="s">
        <v>432</v>
      </c>
      <c r="BC13" s="2" t="s">
        <v>433</v>
      </c>
      <c r="BD13" s="2" t="s">
        <v>432</v>
      </c>
      <c r="BE13" s="2" t="s">
        <v>432</v>
      </c>
      <c r="BF13" s="2" t="s">
        <v>432</v>
      </c>
      <c r="BG13" s="2" t="s">
        <v>432</v>
      </c>
      <c r="BH13" s="2" t="s">
        <v>432</v>
      </c>
      <c r="BI13" s="2" t="s">
        <v>432</v>
      </c>
      <c r="BJ13" s="2" t="s">
        <v>432</v>
      </c>
      <c r="BK13" s="2" t="s">
        <v>432</v>
      </c>
      <c r="BL13" s="2" t="s">
        <v>432</v>
      </c>
      <c r="BN13" s="2" t="s">
        <v>513</v>
      </c>
      <c r="BO13" s="2" t="s">
        <v>436</v>
      </c>
      <c r="BQ13" s="2" t="s">
        <v>430</v>
      </c>
      <c r="BR13" s="2" t="s">
        <v>698</v>
      </c>
      <c r="BS13" s="2" t="s">
        <v>433</v>
      </c>
      <c r="BT13" s="2" t="s">
        <v>432</v>
      </c>
      <c r="BU13" s="2" t="s">
        <v>432</v>
      </c>
      <c r="BV13" s="2" t="s">
        <v>433</v>
      </c>
      <c r="BW13" s="2" t="s">
        <v>432</v>
      </c>
      <c r="BX13" s="2" t="s">
        <v>433</v>
      </c>
      <c r="BY13" s="2" t="s">
        <v>432</v>
      </c>
      <c r="BZ13" s="2" t="s">
        <v>432</v>
      </c>
      <c r="CA13" s="2" t="s">
        <v>432</v>
      </c>
      <c r="CB13" s="2" t="s">
        <v>432</v>
      </c>
      <c r="CC13" s="2" t="s">
        <v>432</v>
      </c>
      <c r="CD13" s="2" t="s">
        <v>432</v>
      </c>
      <c r="CE13" s="2" t="s">
        <v>432</v>
      </c>
      <c r="CF13" s="2" t="s">
        <v>432</v>
      </c>
      <c r="CG13" s="2" t="s">
        <v>432</v>
      </c>
      <c r="CI13" s="2" t="s">
        <v>699</v>
      </c>
      <c r="CJ13" s="2" t="s">
        <v>432</v>
      </c>
      <c r="CK13" s="2" t="s">
        <v>433</v>
      </c>
      <c r="CL13" s="2" t="s">
        <v>433</v>
      </c>
      <c r="CM13" s="2" t="s">
        <v>433</v>
      </c>
      <c r="CN13" s="2" t="s">
        <v>432</v>
      </c>
      <c r="CO13" s="2" t="s">
        <v>432</v>
      </c>
      <c r="CP13" s="2" t="s">
        <v>432</v>
      </c>
      <c r="CQ13" s="2" t="s">
        <v>432</v>
      </c>
      <c r="CR13" s="2" t="s">
        <v>432</v>
      </c>
      <c r="CS13" s="2" t="s">
        <v>432</v>
      </c>
      <c r="CT13" s="2" t="s">
        <v>432</v>
      </c>
      <c r="CU13" s="2" t="s">
        <v>432</v>
      </c>
      <c r="CV13" s="2" t="s">
        <v>432</v>
      </c>
      <c r="CW13" s="2" t="s">
        <v>432</v>
      </c>
      <c r="CY13" s="2" t="s">
        <v>472</v>
      </c>
      <c r="CZ13" s="2" t="s">
        <v>436</v>
      </c>
      <c r="DB13" s="2" t="s">
        <v>700</v>
      </c>
      <c r="DC13" s="2" t="s">
        <v>432</v>
      </c>
      <c r="DD13" s="2" t="s">
        <v>433</v>
      </c>
      <c r="DE13" s="2" t="s">
        <v>433</v>
      </c>
      <c r="DF13" s="2" t="s">
        <v>432</v>
      </c>
      <c r="DG13" s="2" t="s">
        <v>432</v>
      </c>
      <c r="DH13" s="2" t="s">
        <v>432</v>
      </c>
      <c r="DI13" s="2" t="s">
        <v>433</v>
      </c>
      <c r="DJ13" s="2" t="s">
        <v>432</v>
      </c>
      <c r="DK13" s="2" t="s">
        <v>432</v>
      </c>
      <c r="DL13" s="2" t="s">
        <v>432</v>
      </c>
      <c r="DZ13" s="2" t="s">
        <v>701</v>
      </c>
      <c r="EA13" s="2" t="s">
        <v>433</v>
      </c>
      <c r="EB13" s="2" t="s">
        <v>433</v>
      </c>
      <c r="EC13" s="2" t="s">
        <v>433</v>
      </c>
      <c r="ED13" s="2" t="s">
        <v>433</v>
      </c>
      <c r="EE13" s="2" t="s">
        <v>433</v>
      </c>
      <c r="EF13" s="2" t="s">
        <v>432</v>
      </c>
      <c r="EG13" s="2" t="s">
        <v>432</v>
      </c>
      <c r="EH13" s="2" t="s">
        <v>432</v>
      </c>
      <c r="EI13" s="2" t="s">
        <v>432</v>
      </c>
      <c r="EL13" s="2" t="s">
        <v>702</v>
      </c>
      <c r="EM13" s="2" t="s">
        <v>432</v>
      </c>
      <c r="EN13" s="2" t="s">
        <v>433</v>
      </c>
      <c r="EO13" s="2" t="s">
        <v>433</v>
      </c>
      <c r="EP13" s="2" t="s">
        <v>433</v>
      </c>
      <c r="EQ13" s="2" t="s">
        <v>433</v>
      </c>
      <c r="ER13" s="2" t="s">
        <v>433</v>
      </c>
      <c r="ES13" s="2" t="s">
        <v>433</v>
      </c>
      <c r="ET13" s="2" t="s">
        <v>432</v>
      </c>
      <c r="EU13" s="2" t="s">
        <v>432</v>
      </c>
      <c r="EV13" s="2" t="s">
        <v>432</v>
      </c>
      <c r="EX13" s="2" t="s">
        <v>430</v>
      </c>
      <c r="EY13" s="2" t="s">
        <v>703</v>
      </c>
      <c r="EZ13" s="2" t="s">
        <v>433</v>
      </c>
      <c r="FA13" s="2" t="s">
        <v>432</v>
      </c>
      <c r="FB13" s="2" t="s">
        <v>432</v>
      </c>
      <c r="FC13" s="2" t="s">
        <v>433</v>
      </c>
      <c r="FD13" s="2" t="s">
        <v>432</v>
      </c>
      <c r="FE13" s="2" t="s">
        <v>432</v>
      </c>
      <c r="FF13" s="2" t="s">
        <v>432</v>
      </c>
      <c r="FG13" s="2" t="s">
        <v>432</v>
      </c>
      <c r="FH13" s="2" t="s">
        <v>433</v>
      </c>
      <c r="FI13" s="2" t="s">
        <v>432</v>
      </c>
      <c r="FJ13" s="2" t="s">
        <v>432</v>
      </c>
      <c r="FK13" s="2" t="s">
        <v>432</v>
      </c>
      <c r="FL13" s="2" t="s">
        <v>432</v>
      </c>
      <c r="FM13" s="2" t="s">
        <v>432</v>
      </c>
      <c r="FO13" s="2" t="s">
        <v>481</v>
      </c>
      <c r="FP13" s="2" t="s">
        <v>481</v>
      </c>
      <c r="FQ13" s="2" t="s">
        <v>704</v>
      </c>
      <c r="FR13" s="2" t="s">
        <v>433</v>
      </c>
      <c r="FS13" s="2" t="s">
        <v>433</v>
      </c>
      <c r="FT13" s="2" t="s">
        <v>432</v>
      </c>
      <c r="FU13" s="2" t="s">
        <v>432</v>
      </c>
      <c r="FV13" s="2" t="s">
        <v>432</v>
      </c>
      <c r="FW13" s="2" t="s">
        <v>433</v>
      </c>
      <c r="FX13" s="2" t="s">
        <v>432</v>
      </c>
      <c r="FY13" s="2" t="s">
        <v>432</v>
      </c>
      <c r="GA13" s="2" t="s">
        <v>444</v>
      </c>
      <c r="GB13" s="2" t="s">
        <v>444</v>
      </c>
      <c r="GC13" s="2" t="s">
        <v>705</v>
      </c>
      <c r="GD13" s="2" t="s">
        <v>433</v>
      </c>
      <c r="GE13" s="2" t="s">
        <v>433</v>
      </c>
      <c r="GF13" s="2" t="s">
        <v>433</v>
      </c>
      <c r="GG13" s="2" t="s">
        <v>433</v>
      </c>
      <c r="GH13" s="2" t="s">
        <v>433</v>
      </c>
      <c r="GI13" s="2" t="s">
        <v>433</v>
      </c>
      <c r="GJ13" s="2" t="s">
        <v>433</v>
      </c>
      <c r="GK13" s="2" t="s">
        <v>432</v>
      </c>
      <c r="GL13" s="2" t="s">
        <v>432</v>
      </c>
      <c r="GN13" s="2" t="s">
        <v>481</v>
      </c>
      <c r="GO13" s="2" t="s">
        <v>508</v>
      </c>
      <c r="GP13" s="2" t="s">
        <v>706</v>
      </c>
      <c r="GQ13" s="2" t="s">
        <v>432</v>
      </c>
      <c r="GR13" s="2" t="s">
        <v>433</v>
      </c>
      <c r="GS13" s="2" t="s">
        <v>432</v>
      </c>
      <c r="GT13" s="2" t="s">
        <v>433</v>
      </c>
      <c r="GU13" s="2" t="s">
        <v>432</v>
      </c>
      <c r="GV13" s="2" t="s">
        <v>433</v>
      </c>
      <c r="GW13" s="2" t="s">
        <v>432</v>
      </c>
      <c r="GX13" s="2" t="s">
        <v>432</v>
      </c>
      <c r="GZ13" s="2" t="s">
        <v>707</v>
      </c>
      <c r="HA13" s="2" t="s">
        <v>432</v>
      </c>
      <c r="HB13" s="2" t="s">
        <v>433</v>
      </c>
      <c r="HC13" s="2" t="s">
        <v>433</v>
      </c>
      <c r="HD13" s="2" t="s">
        <v>433</v>
      </c>
      <c r="HE13" s="2" t="s">
        <v>432</v>
      </c>
      <c r="HF13" s="2" t="s">
        <v>432</v>
      </c>
      <c r="HI13" s="2" t="s">
        <v>456</v>
      </c>
      <c r="HV13" s="2" t="s">
        <v>430</v>
      </c>
      <c r="HX13" s="2" t="s">
        <v>708</v>
      </c>
      <c r="HY13" s="2" t="s">
        <v>433</v>
      </c>
      <c r="HZ13" s="2" t="s">
        <v>433</v>
      </c>
      <c r="IA13" s="2" t="s">
        <v>433</v>
      </c>
      <c r="IB13" s="2" t="s">
        <v>432</v>
      </c>
      <c r="IC13" s="2" t="s">
        <v>433</v>
      </c>
      <c r="ID13" s="2" t="s">
        <v>432</v>
      </c>
      <c r="IE13" s="2" t="s">
        <v>433</v>
      </c>
      <c r="IF13" s="2" t="s">
        <v>432</v>
      </c>
      <c r="IG13" s="2" t="s">
        <v>432</v>
      </c>
      <c r="IH13" s="2" t="s">
        <v>432</v>
      </c>
      <c r="II13" s="2" t="s">
        <v>432</v>
      </c>
      <c r="IJ13" s="2" t="s">
        <v>432</v>
      </c>
      <c r="IK13" s="2" t="s">
        <v>432</v>
      </c>
      <c r="IL13" s="2" t="s">
        <v>432</v>
      </c>
      <c r="IN13" s="2" t="s">
        <v>709</v>
      </c>
      <c r="IO13" s="2" t="s">
        <v>710</v>
      </c>
      <c r="IP13" s="2" t="s">
        <v>433</v>
      </c>
      <c r="IQ13" s="2" t="s">
        <v>433</v>
      </c>
      <c r="IR13" s="2" t="s">
        <v>433</v>
      </c>
      <c r="IS13" s="2" t="s">
        <v>433</v>
      </c>
      <c r="IT13" s="2" t="s">
        <v>433</v>
      </c>
      <c r="IU13" s="2" t="s">
        <v>432</v>
      </c>
      <c r="IV13" s="2" t="s">
        <v>432</v>
      </c>
      <c r="IW13" s="2" t="s">
        <v>432</v>
      </c>
      <c r="IX13" s="2" t="s">
        <v>432</v>
      </c>
      <c r="IY13" s="2" t="s">
        <v>432</v>
      </c>
      <c r="JA13" s="2" t="s">
        <v>711</v>
      </c>
      <c r="JB13" s="2" t="s">
        <v>433</v>
      </c>
      <c r="JC13" s="2" t="s">
        <v>433</v>
      </c>
      <c r="JD13" s="2" t="s">
        <v>433</v>
      </c>
      <c r="JE13" s="2" t="s">
        <v>432</v>
      </c>
      <c r="JF13" s="2" t="s">
        <v>432</v>
      </c>
      <c r="JG13" s="2" t="s">
        <v>432</v>
      </c>
      <c r="JI13" s="2" t="s">
        <v>712</v>
      </c>
      <c r="JJ13" s="2" t="s">
        <v>433</v>
      </c>
      <c r="JK13" s="2" t="s">
        <v>433</v>
      </c>
      <c r="JL13" s="2" t="s">
        <v>433</v>
      </c>
      <c r="JM13" s="2" t="s">
        <v>432</v>
      </c>
      <c r="JN13" s="2" t="s">
        <v>432</v>
      </c>
      <c r="JO13" s="2" t="s">
        <v>432</v>
      </c>
      <c r="JP13" s="2" t="s">
        <v>432</v>
      </c>
      <c r="JQ13" s="2" t="s">
        <v>432</v>
      </c>
      <c r="JR13" s="2" t="s">
        <v>432</v>
      </c>
      <c r="JT13" s="2" t="s">
        <v>607</v>
      </c>
      <c r="JU13" s="2" t="s">
        <v>433</v>
      </c>
      <c r="JV13" s="2" t="s">
        <v>433</v>
      </c>
      <c r="JW13" s="2" t="s">
        <v>433</v>
      </c>
      <c r="JX13" s="2" t="s">
        <v>432</v>
      </c>
      <c r="JY13" s="2" t="s">
        <v>432</v>
      </c>
      <c r="JZ13" s="2" t="s">
        <v>432</v>
      </c>
      <c r="KA13" s="2" t="s">
        <v>432</v>
      </c>
      <c r="KB13" s="2" t="s">
        <v>432</v>
      </c>
      <c r="KC13" s="2" t="s">
        <v>432</v>
      </c>
      <c r="KF13" s="2" t="s">
        <v>430</v>
      </c>
      <c r="KG13" s="2" t="s">
        <v>713</v>
      </c>
      <c r="KH13" s="2" t="s">
        <v>433</v>
      </c>
      <c r="KI13" s="2" t="s">
        <v>433</v>
      </c>
      <c r="KJ13" s="2" t="s">
        <v>433</v>
      </c>
      <c r="KK13" s="2" t="s">
        <v>433</v>
      </c>
      <c r="KL13" s="2" t="s">
        <v>433</v>
      </c>
      <c r="KM13" s="2" t="s">
        <v>432</v>
      </c>
      <c r="KN13" s="2" t="s">
        <v>432</v>
      </c>
      <c r="KO13" s="2" t="s">
        <v>432</v>
      </c>
      <c r="KP13" s="2" t="s">
        <v>432</v>
      </c>
      <c r="KQ13" s="2" t="s">
        <v>432</v>
      </c>
      <c r="KR13" s="2" t="s">
        <v>432</v>
      </c>
      <c r="KT13" s="2" t="s">
        <v>714</v>
      </c>
      <c r="KU13" s="2" t="s">
        <v>432</v>
      </c>
      <c r="KV13" s="2" t="s">
        <v>433</v>
      </c>
      <c r="KW13" s="2" t="s">
        <v>433</v>
      </c>
      <c r="KX13" s="2" t="s">
        <v>433</v>
      </c>
      <c r="KY13" s="2" t="s">
        <v>432</v>
      </c>
      <c r="KZ13" s="2" t="s">
        <v>432</v>
      </c>
      <c r="LB13" s="2" t="s">
        <v>430</v>
      </c>
      <c r="LC13" s="2" t="s">
        <v>715</v>
      </c>
      <c r="LD13" s="2" t="s">
        <v>433</v>
      </c>
      <c r="LE13" s="2" t="s">
        <v>433</v>
      </c>
      <c r="LF13" s="2" t="s">
        <v>432</v>
      </c>
      <c r="LG13" s="2" t="s">
        <v>432</v>
      </c>
      <c r="LH13" s="2" t="s">
        <v>433</v>
      </c>
      <c r="LI13" s="2" t="s">
        <v>432</v>
      </c>
      <c r="LJ13" s="2" t="s">
        <v>433</v>
      </c>
      <c r="LK13" s="2" t="s">
        <v>432</v>
      </c>
      <c r="LL13" s="2" t="s">
        <v>432</v>
      </c>
      <c r="LM13" s="2" t="s">
        <v>432</v>
      </c>
      <c r="LO13" s="2" t="s">
        <v>430</v>
      </c>
      <c r="LP13" s="2" t="s">
        <v>430</v>
      </c>
      <c r="LR13" s="2" t="s">
        <v>716</v>
      </c>
      <c r="LS13" s="2">
        <v>169193419</v>
      </c>
      <c r="LT13" s="2" t="s">
        <v>717</v>
      </c>
      <c r="LU13" s="2" t="s">
        <v>718</v>
      </c>
      <c r="LW13" s="2" t="s">
        <v>460</v>
      </c>
      <c r="LX13" s="2" t="s">
        <v>461</v>
      </c>
      <c r="LY13" s="2" t="s">
        <v>462</v>
      </c>
      <c r="MA13" s="2">
        <v>12</v>
      </c>
    </row>
    <row r="14" spans="1:339" x14ac:dyDescent="0.3">
      <c r="A14" s="2" t="s">
        <v>719</v>
      </c>
      <c r="B14" s="2" t="s">
        <v>720</v>
      </c>
      <c r="C14" s="2" t="s">
        <v>695</v>
      </c>
      <c r="F14" s="2" t="s">
        <v>422</v>
      </c>
      <c r="G14" s="2" t="s">
        <v>466</v>
      </c>
      <c r="H14" s="2" t="s">
        <v>466</v>
      </c>
      <c r="I14" s="2" t="s">
        <v>721</v>
      </c>
      <c r="R14" s="2" t="s">
        <v>422</v>
      </c>
      <c r="S14" s="2" t="s">
        <v>722</v>
      </c>
      <c r="T14" s="2" t="s">
        <v>426</v>
      </c>
      <c r="Z14" s="2" t="s">
        <v>428</v>
      </c>
      <c r="AA14" s="2" t="s">
        <v>429</v>
      </c>
      <c r="AB14" s="2" t="s">
        <v>466</v>
      </c>
      <c r="AG14" s="2" t="s">
        <v>430</v>
      </c>
      <c r="AH14" s="2" t="s">
        <v>724</v>
      </c>
      <c r="AI14" s="2" t="s">
        <v>433</v>
      </c>
      <c r="AJ14" s="2" t="s">
        <v>432</v>
      </c>
      <c r="AK14" s="2" t="s">
        <v>432</v>
      </c>
      <c r="AL14" s="2" t="s">
        <v>432</v>
      </c>
      <c r="AM14" s="2" t="s">
        <v>433</v>
      </c>
      <c r="AN14" s="2" t="s">
        <v>432</v>
      </c>
      <c r="AO14" s="2" t="s">
        <v>432</v>
      </c>
      <c r="AP14" s="2" t="s">
        <v>432</v>
      </c>
      <c r="AQ14" s="2" t="s">
        <v>432</v>
      </c>
      <c r="AR14" s="2" t="s">
        <v>432</v>
      </c>
      <c r="AS14" s="2" t="s">
        <v>432</v>
      </c>
      <c r="AT14" s="2" t="s">
        <v>432</v>
      </c>
      <c r="AU14" s="2" t="s">
        <v>432</v>
      </c>
      <c r="AV14" s="2" t="s">
        <v>432</v>
      </c>
      <c r="AX14" s="2" t="s">
        <v>725</v>
      </c>
      <c r="AY14" s="2" t="s">
        <v>432</v>
      </c>
      <c r="AZ14" s="2" t="s">
        <v>432</v>
      </c>
      <c r="BA14" s="2" t="s">
        <v>433</v>
      </c>
      <c r="BB14" s="2" t="s">
        <v>433</v>
      </c>
      <c r="BC14" s="2" t="s">
        <v>433</v>
      </c>
      <c r="BD14" s="2" t="s">
        <v>433</v>
      </c>
      <c r="BE14" s="2" t="s">
        <v>432</v>
      </c>
      <c r="BF14" s="2" t="s">
        <v>432</v>
      </c>
      <c r="BG14" s="2" t="s">
        <v>432</v>
      </c>
      <c r="BH14" s="2" t="s">
        <v>432</v>
      </c>
      <c r="BI14" s="2" t="s">
        <v>433</v>
      </c>
      <c r="BJ14" s="2" t="s">
        <v>432</v>
      </c>
      <c r="BK14" s="2" t="s">
        <v>432</v>
      </c>
      <c r="BL14" s="2" t="s">
        <v>432</v>
      </c>
      <c r="BN14" s="2" t="s">
        <v>433</v>
      </c>
      <c r="BO14" s="2" t="s">
        <v>436</v>
      </c>
      <c r="BQ14" s="2" t="s">
        <v>430</v>
      </c>
      <c r="BR14" s="2" t="s">
        <v>726</v>
      </c>
      <c r="BS14" s="2" t="s">
        <v>432</v>
      </c>
      <c r="BT14" s="2" t="s">
        <v>432</v>
      </c>
      <c r="BU14" s="2" t="s">
        <v>433</v>
      </c>
      <c r="BV14" s="2" t="s">
        <v>432</v>
      </c>
      <c r="BW14" s="2" t="s">
        <v>433</v>
      </c>
      <c r="BX14" s="2" t="s">
        <v>433</v>
      </c>
      <c r="BY14" s="2" t="s">
        <v>432</v>
      </c>
      <c r="BZ14" s="2" t="s">
        <v>432</v>
      </c>
      <c r="CA14" s="2" t="s">
        <v>432</v>
      </c>
      <c r="CB14" s="2" t="s">
        <v>432</v>
      </c>
      <c r="CC14" s="2" t="s">
        <v>432</v>
      </c>
      <c r="CD14" s="2" t="s">
        <v>432</v>
      </c>
      <c r="CE14" s="2" t="s">
        <v>432</v>
      </c>
      <c r="CF14" s="2" t="s">
        <v>432</v>
      </c>
      <c r="CG14" s="2" t="s">
        <v>432</v>
      </c>
      <c r="CI14" s="2" t="s">
        <v>727</v>
      </c>
      <c r="CJ14" s="2" t="s">
        <v>432</v>
      </c>
      <c r="CK14" s="2" t="s">
        <v>432</v>
      </c>
      <c r="CL14" s="2" t="s">
        <v>433</v>
      </c>
      <c r="CM14" s="2" t="s">
        <v>432</v>
      </c>
      <c r="CN14" s="2" t="s">
        <v>433</v>
      </c>
      <c r="CO14" s="2" t="s">
        <v>433</v>
      </c>
      <c r="CP14" s="2" t="s">
        <v>432</v>
      </c>
      <c r="CQ14" s="2" t="s">
        <v>432</v>
      </c>
      <c r="CR14" s="2" t="s">
        <v>432</v>
      </c>
      <c r="CS14" s="2" t="s">
        <v>432</v>
      </c>
      <c r="CT14" s="2" t="s">
        <v>432</v>
      </c>
      <c r="CU14" s="2" t="s">
        <v>432</v>
      </c>
      <c r="CV14" s="2" t="s">
        <v>432</v>
      </c>
      <c r="CW14" s="2" t="s">
        <v>432</v>
      </c>
      <c r="CY14" s="2" t="s">
        <v>433</v>
      </c>
      <c r="CZ14" s="2" t="s">
        <v>436</v>
      </c>
      <c r="DB14" s="2" t="s">
        <v>728</v>
      </c>
      <c r="DC14" s="2" t="s">
        <v>433</v>
      </c>
      <c r="DD14" s="2" t="s">
        <v>433</v>
      </c>
      <c r="DE14" s="2" t="s">
        <v>432</v>
      </c>
      <c r="DF14" s="2" t="s">
        <v>432</v>
      </c>
      <c r="DG14" s="2" t="s">
        <v>432</v>
      </c>
      <c r="DH14" s="2" t="s">
        <v>432</v>
      </c>
      <c r="DI14" s="2" t="s">
        <v>433</v>
      </c>
      <c r="DJ14" s="2" t="s">
        <v>432</v>
      </c>
      <c r="DK14" s="2" t="s">
        <v>432</v>
      </c>
      <c r="DL14" s="2" t="s">
        <v>432</v>
      </c>
      <c r="DZ14" s="2" t="s">
        <v>729</v>
      </c>
      <c r="EA14" s="2" t="s">
        <v>433</v>
      </c>
      <c r="EB14" s="2" t="s">
        <v>433</v>
      </c>
      <c r="EC14" s="2" t="s">
        <v>433</v>
      </c>
      <c r="ED14" s="2" t="s">
        <v>433</v>
      </c>
      <c r="EE14" s="2" t="s">
        <v>433</v>
      </c>
      <c r="EF14" s="2" t="s">
        <v>432</v>
      </c>
      <c r="EG14" s="2" t="s">
        <v>432</v>
      </c>
      <c r="EH14" s="2" t="s">
        <v>432</v>
      </c>
      <c r="EI14" s="2" t="s">
        <v>432</v>
      </c>
      <c r="EL14" s="2" t="s">
        <v>730</v>
      </c>
      <c r="EM14" s="2" t="s">
        <v>432</v>
      </c>
      <c r="EN14" s="2" t="s">
        <v>433</v>
      </c>
      <c r="EO14" s="2" t="s">
        <v>433</v>
      </c>
      <c r="EP14" s="2" t="s">
        <v>433</v>
      </c>
      <c r="EQ14" s="2" t="s">
        <v>433</v>
      </c>
      <c r="ER14" s="2" t="s">
        <v>433</v>
      </c>
      <c r="ES14" s="2" t="s">
        <v>432</v>
      </c>
      <c r="ET14" s="2" t="s">
        <v>432</v>
      </c>
      <c r="EU14" s="2" t="s">
        <v>432</v>
      </c>
      <c r="EV14" s="2" t="s">
        <v>432</v>
      </c>
      <c r="EX14" s="2" t="s">
        <v>430</v>
      </c>
      <c r="EY14" s="2" t="s">
        <v>731</v>
      </c>
      <c r="EZ14" s="2" t="s">
        <v>433</v>
      </c>
      <c r="FA14" s="2" t="s">
        <v>432</v>
      </c>
      <c r="FB14" s="2" t="s">
        <v>432</v>
      </c>
      <c r="FC14" s="2" t="s">
        <v>433</v>
      </c>
      <c r="FD14" s="2" t="s">
        <v>432</v>
      </c>
      <c r="FE14" s="2" t="s">
        <v>432</v>
      </c>
      <c r="FF14" s="2" t="s">
        <v>432</v>
      </c>
      <c r="FG14" s="2" t="s">
        <v>433</v>
      </c>
      <c r="FH14" s="2" t="s">
        <v>433</v>
      </c>
      <c r="FI14" s="2" t="s">
        <v>432</v>
      </c>
      <c r="FJ14" s="2" t="s">
        <v>432</v>
      </c>
      <c r="FK14" s="2" t="s">
        <v>432</v>
      </c>
      <c r="FL14" s="2" t="s">
        <v>432</v>
      </c>
      <c r="FM14" s="2" t="s">
        <v>432</v>
      </c>
      <c r="FO14" s="2" t="s">
        <v>508</v>
      </c>
      <c r="FP14" s="2" t="s">
        <v>508</v>
      </c>
      <c r="FQ14" s="2" t="s">
        <v>443</v>
      </c>
      <c r="FR14" s="2" t="s">
        <v>432</v>
      </c>
      <c r="FS14" s="2" t="s">
        <v>433</v>
      </c>
      <c r="FT14" s="2" t="s">
        <v>432</v>
      </c>
      <c r="FU14" s="2" t="s">
        <v>432</v>
      </c>
      <c r="FV14" s="2" t="s">
        <v>433</v>
      </c>
      <c r="FW14" s="2" t="s">
        <v>433</v>
      </c>
      <c r="FX14" s="2" t="s">
        <v>432</v>
      </c>
      <c r="FY14" s="2" t="s">
        <v>432</v>
      </c>
      <c r="GA14" s="2" t="s">
        <v>483</v>
      </c>
      <c r="GB14" s="2" t="s">
        <v>444</v>
      </c>
      <c r="GC14" s="2" t="s">
        <v>732</v>
      </c>
      <c r="GD14" s="2" t="s">
        <v>432</v>
      </c>
      <c r="GE14" s="2" t="s">
        <v>433</v>
      </c>
      <c r="GF14" s="2" t="s">
        <v>432</v>
      </c>
      <c r="GG14" s="2" t="s">
        <v>433</v>
      </c>
      <c r="GH14" s="2" t="s">
        <v>433</v>
      </c>
      <c r="GI14" s="2" t="s">
        <v>432</v>
      </c>
      <c r="GJ14" s="2" t="s">
        <v>432</v>
      </c>
      <c r="GK14" s="2" t="s">
        <v>432</v>
      </c>
      <c r="GL14" s="2" t="s">
        <v>432</v>
      </c>
      <c r="GN14" s="2" t="s">
        <v>481</v>
      </c>
      <c r="GO14" s="2" t="s">
        <v>481</v>
      </c>
      <c r="GP14" s="2" t="s">
        <v>733</v>
      </c>
      <c r="GQ14" s="2" t="s">
        <v>433</v>
      </c>
      <c r="GR14" s="2" t="s">
        <v>433</v>
      </c>
      <c r="GS14" s="2" t="s">
        <v>432</v>
      </c>
      <c r="GT14" s="2" t="s">
        <v>433</v>
      </c>
      <c r="GU14" s="2" t="s">
        <v>432</v>
      </c>
      <c r="GV14" s="2" t="s">
        <v>432</v>
      </c>
      <c r="GW14" s="2" t="s">
        <v>432</v>
      </c>
      <c r="GX14" s="2" t="s">
        <v>432</v>
      </c>
      <c r="GZ14" s="2" t="s">
        <v>734</v>
      </c>
      <c r="HA14" s="2" t="s">
        <v>433</v>
      </c>
      <c r="HB14" s="2" t="s">
        <v>433</v>
      </c>
      <c r="HC14" s="2" t="s">
        <v>432</v>
      </c>
      <c r="HD14" s="2" t="s">
        <v>433</v>
      </c>
      <c r="HE14" s="2" t="s">
        <v>432</v>
      </c>
      <c r="HF14" s="2" t="s">
        <v>432</v>
      </c>
      <c r="HI14" s="2" t="s">
        <v>456</v>
      </c>
      <c r="HV14" s="2" t="s">
        <v>430</v>
      </c>
      <c r="HX14" s="2" t="s">
        <v>735</v>
      </c>
      <c r="HY14" s="2" t="s">
        <v>432</v>
      </c>
      <c r="HZ14" s="2" t="s">
        <v>432</v>
      </c>
      <c r="IA14" s="2" t="s">
        <v>433</v>
      </c>
      <c r="IB14" s="2" t="s">
        <v>433</v>
      </c>
      <c r="IC14" s="2" t="s">
        <v>432</v>
      </c>
      <c r="ID14" s="2" t="s">
        <v>433</v>
      </c>
      <c r="IE14" s="2" t="s">
        <v>432</v>
      </c>
      <c r="IF14" s="2" t="s">
        <v>432</v>
      </c>
      <c r="IG14" s="2" t="s">
        <v>432</v>
      </c>
      <c r="IH14" s="2" t="s">
        <v>432</v>
      </c>
      <c r="II14" s="2" t="s">
        <v>432</v>
      </c>
      <c r="IJ14" s="2" t="s">
        <v>432</v>
      </c>
      <c r="IK14" s="2" t="s">
        <v>432</v>
      </c>
      <c r="IL14" s="2" t="s">
        <v>432</v>
      </c>
      <c r="IN14" s="2" t="s">
        <v>736</v>
      </c>
      <c r="IO14" s="2" t="s">
        <v>737</v>
      </c>
      <c r="IP14" s="2" t="s">
        <v>433</v>
      </c>
      <c r="IQ14" s="2" t="s">
        <v>433</v>
      </c>
      <c r="IR14" s="2" t="s">
        <v>433</v>
      </c>
      <c r="IS14" s="2" t="s">
        <v>432</v>
      </c>
      <c r="IT14" s="2" t="s">
        <v>433</v>
      </c>
      <c r="IU14" s="2" t="s">
        <v>432</v>
      </c>
      <c r="IV14" s="2" t="s">
        <v>432</v>
      </c>
      <c r="IW14" s="2" t="s">
        <v>432</v>
      </c>
      <c r="IX14" s="2" t="s">
        <v>432</v>
      </c>
      <c r="IY14" s="2" t="s">
        <v>432</v>
      </c>
      <c r="JA14" s="2" t="s">
        <v>738</v>
      </c>
      <c r="JB14" s="2" t="s">
        <v>432</v>
      </c>
      <c r="JC14" s="2" t="s">
        <v>433</v>
      </c>
      <c r="JD14" s="2" t="s">
        <v>433</v>
      </c>
      <c r="JE14" s="2" t="s">
        <v>432</v>
      </c>
      <c r="JF14" s="2" t="s">
        <v>432</v>
      </c>
      <c r="JG14" s="2" t="s">
        <v>432</v>
      </c>
      <c r="JT14" s="2" t="s">
        <v>607</v>
      </c>
      <c r="JU14" s="2" t="s">
        <v>433</v>
      </c>
      <c r="JV14" s="2" t="s">
        <v>433</v>
      </c>
      <c r="JW14" s="2" t="s">
        <v>433</v>
      </c>
      <c r="JX14" s="2" t="s">
        <v>432</v>
      </c>
      <c r="JY14" s="2" t="s">
        <v>432</v>
      </c>
      <c r="JZ14" s="2" t="s">
        <v>432</v>
      </c>
      <c r="KA14" s="2" t="s">
        <v>432</v>
      </c>
      <c r="KB14" s="2" t="s">
        <v>432</v>
      </c>
      <c r="KC14" s="2" t="s">
        <v>432</v>
      </c>
      <c r="KF14" s="2" t="s">
        <v>430</v>
      </c>
      <c r="KG14" s="2" t="s">
        <v>739</v>
      </c>
      <c r="KH14" s="2" t="s">
        <v>433</v>
      </c>
      <c r="KI14" s="2" t="s">
        <v>433</v>
      </c>
      <c r="KJ14" s="2" t="s">
        <v>433</v>
      </c>
      <c r="KK14" s="2" t="s">
        <v>433</v>
      </c>
      <c r="KL14" s="2" t="s">
        <v>433</v>
      </c>
      <c r="KM14" s="2" t="s">
        <v>432</v>
      </c>
      <c r="KN14" s="2" t="s">
        <v>432</v>
      </c>
      <c r="KO14" s="2" t="s">
        <v>432</v>
      </c>
      <c r="KP14" s="2" t="s">
        <v>432</v>
      </c>
      <c r="KQ14" s="2" t="s">
        <v>432</v>
      </c>
      <c r="KR14" s="2" t="s">
        <v>432</v>
      </c>
      <c r="KT14" s="2" t="s">
        <v>518</v>
      </c>
      <c r="KU14" s="2" t="s">
        <v>432</v>
      </c>
      <c r="KV14" s="2" t="s">
        <v>433</v>
      </c>
      <c r="KW14" s="2" t="s">
        <v>433</v>
      </c>
      <c r="KX14" s="2" t="s">
        <v>432</v>
      </c>
      <c r="KY14" s="2" t="s">
        <v>432</v>
      </c>
      <c r="KZ14" s="2" t="s">
        <v>432</v>
      </c>
      <c r="LB14" s="2" t="s">
        <v>430</v>
      </c>
      <c r="LC14" s="2" t="s">
        <v>740</v>
      </c>
      <c r="LD14" s="2" t="s">
        <v>433</v>
      </c>
      <c r="LE14" s="2" t="s">
        <v>432</v>
      </c>
      <c r="LF14" s="2" t="s">
        <v>432</v>
      </c>
      <c r="LG14" s="2" t="s">
        <v>433</v>
      </c>
      <c r="LH14" s="2" t="s">
        <v>433</v>
      </c>
      <c r="LI14" s="2" t="s">
        <v>432</v>
      </c>
      <c r="LJ14" s="2" t="s">
        <v>432</v>
      </c>
      <c r="LK14" s="2" t="s">
        <v>432</v>
      </c>
      <c r="LL14" s="2" t="s">
        <v>432</v>
      </c>
      <c r="LM14" s="2" t="s">
        <v>432</v>
      </c>
      <c r="LO14" s="2" t="s">
        <v>430</v>
      </c>
      <c r="LP14" s="2" t="s">
        <v>430</v>
      </c>
      <c r="LR14" s="2" t="s">
        <v>741</v>
      </c>
      <c r="LS14" s="2">
        <v>169193429</v>
      </c>
      <c r="LT14" s="2" t="s">
        <v>742</v>
      </c>
      <c r="LU14" s="2" t="s">
        <v>743</v>
      </c>
      <c r="LW14" s="2" t="s">
        <v>460</v>
      </c>
      <c r="LX14" s="2" t="s">
        <v>461</v>
      </c>
      <c r="LY14" s="2" t="s">
        <v>462</v>
      </c>
      <c r="MA14" s="2">
        <v>13</v>
      </c>
    </row>
    <row r="15" spans="1:339" x14ac:dyDescent="0.3">
      <c r="A15" s="2" t="s">
        <v>744</v>
      </c>
      <c r="B15" s="2" t="s">
        <v>745</v>
      </c>
      <c r="C15" s="2" t="s">
        <v>695</v>
      </c>
      <c r="F15" s="2" t="s">
        <v>422</v>
      </c>
      <c r="G15" s="2" t="s">
        <v>466</v>
      </c>
      <c r="H15" s="2" t="s">
        <v>588</v>
      </c>
      <c r="I15" s="2" t="s">
        <v>427</v>
      </c>
      <c r="J15" s="2" t="s">
        <v>746</v>
      </c>
      <c r="R15" s="2" t="s">
        <v>523</v>
      </c>
      <c r="S15" s="2" t="s">
        <v>747</v>
      </c>
      <c r="T15" s="2" t="s">
        <v>503</v>
      </c>
      <c r="AG15" s="2" t="s">
        <v>456</v>
      </c>
      <c r="BQ15" s="2" t="s">
        <v>430</v>
      </c>
      <c r="BR15" s="2" t="s">
        <v>749</v>
      </c>
      <c r="BS15" s="2" t="s">
        <v>433</v>
      </c>
      <c r="BT15" s="2" t="s">
        <v>432</v>
      </c>
      <c r="BU15" s="2" t="s">
        <v>433</v>
      </c>
      <c r="BV15" s="2" t="s">
        <v>432</v>
      </c>
      <c r="BW15" s="2" t="s">
        <v>433</v>
      </c>
      <c r="BX15" s="2" t="s">
        <v>433</v>
      </c>
      <c r="BY15" s="2" t="s">
        <v>432</v>
      </c>
      <c r="BZ15" s="2" t="s">
        <v>432</v>
      </c>
      <c r="CA15" s="2" t="s">
        <v>432</v>
      </c>
      <c r="CB15" s="2" t="s">
        <v>432</v>
      </c>
      <c r="CC15" s="2" t="s">
        <v>432</v>
      </c>
      <c r="CD15" s="2" t="s">
        <v>432</v>
      </c>
      <c r="CE15" s="2" t="s">
        <v>432</v>
      </c>
      <c r="CF15" s="2" t="s">
        <v>432</v>
      </c>
      <c r="CG15" s="2" t="s">
        <v>432</v>
      </c>
      <c r="CI15" s="2" t="s">
        <v>750</v>
      </c>
      <c r="CJ15" s="2" t="s">
        <v>432</v>
      </c>
      <c r="CK15" s="2" t="s">
        <v>432</v>
      </c>
      <c r="CL15" s="2" t="s">
        <v>432</v>
      </c>
      <c r="CM15" s="2" t="s">
        <v>433</v>
      </c>
      <c r="CN15" s="2" t="s">
        <v>433</v>
      </c>
      <c r="CO15" s="2" t="s">
        <v>432</v>
      </c>
      <c r="CP15" s="2" t="s">
        <v>432</v>
      </c>
      <c r="CQ15" s="2" t="s">
        <v>432</v>
      </c>
      <c r="CR15" s="2" t="s">
        <v>432</v>
      </c>
      <c r="CS15" s="2" t="s">
        <v>432</v>
      </c>
      <c r="CT15" s="2" t="s">
        <v>432</v>
      </c>
      <c r="CU15" s="2" t="s">
        <v>432</v>
      </c>
      <c r="CV15" s="2" t="s">
        <v>432</v>
      </c>
      <c r="CW15" s="2" t="s">
        <v>432</v>
      </c>
      <c r="CY15" s="2" t="s">
        <v>433</v>
      </c>
      <c r="CZ15" s="2" t="s">
        <v>547</v>
      </c>
      <c r="DZ15" s="2" t="s">
        <v>751</v>
      </c>
      <c r="EA15" s="2" t="s">
        <v>433</v>
      </c>
      <c r="EB15" s="2" t="s">
        <v>432</v>
      </c>
      <c r="EC15" s="2" t="s">
        <v>432</v>
      </c>
      <c r="ED15" s="2" t="s">
        <v>432</v>
      </c>
      <c r="EE15" s="2" t="s">
        <v>433</v>
      </c>
      <c r="EF15" s="2" t="s">
        <v>432</v>
      </c>
      <c r="EG15" s="2" t="s">
        <v>432</v>
      </c>
      <c r="EH15" s="2" t="s">
        <v>432</v>
      </c>
      <c r="EI15" s="2" t="s">
        <v>432</v>
      </c>
      <c r="EL15" s="2" t="s">
        <v>752</v>
      </c>
      <c r="EM15" s="2" t="s">
        <v>432</v>
      </c>
      <c r="EN15" s="2" t="s">
        <v>433</v>
      </c>
      <c r="EO15" s="2" t="s">
        <v>432</v>
      </c>
      <c r="EP15" s="2" t="s">
        <v>433</v>
      </c>
      <c r="EQ15" s="2" t="s">
        <v>432</v>
      </c>
      <c r="ER15" s="2" t="s">
        <v>433</v>
      </c>
      <c r="ES15" s="2" t="s">
        <v>432</v>
      </c>
      <c r="ET15" s="2" t="s">
        <v>432</v>
      </c>
      <c r="EU15" s="2" t="s">
        <v>432</v>
      </c>
      <c r="EV15" s="2" t="s">
        <v>432</v>
      </c>
      <c r="EX15" s="2" t="s">
        <v>430</v>
      </c>
      <c r="EY15" s="2" t="s">
        <v>753</v>
      </c>
      <c r="EZ15" s="2" t="s">
        <v>432</v>
      </c>
      <c r="FA15" s="2" t="s">
        <v>432</v>
      </c>
      <c r="FB15" s="2" t="s">
        <v>432</v>
      </c>
      <c r="FC15" s="2" t="s">
        <v>433</v>
      </c>
      <c r="FD15" s="2" t="s">
        <v>432</v>
      </c>
      <c r="FE15" s="2" t="s">
        <v>432</v>
      </c>
      <c r="FF15" s="2" t="s">
        <v>432</v>
      </c>
      <c r="FG15" s="2" t="s">
        <v>432</v>
      </c>
      <c r="FH15" s="2" t="s">
        <v>432</v>
      </c>
      <c r="FI15" s="2" t="s">
        <v>432</v>
      </c>
      <c r="FJ15" s="2" t="s">
        <v>433</v>
      </c>
      <c r="FK15" s="2" t="s">
        <v>432</v>
      </c>
      <c r="FL15" s="2" t="s">
        <v>432</v>
      </c>
      <c r="FM15" s="2" t="s">
        <v>432</v>
      </c>
      <c r="FO15" s="2" t="s">
        <v>601</v>
      </c>
      <c r="FP15" s="2" t="s">
        <v>601</v>
      </c>
      <c r="GA15" s="2" t="s">
        <v>602</v>
      </c>
      <c r="GB15" s="2" t="s">
        <v>602</v>
      </c>
      <c r="GC15" s="2" t="s">
        <v>754</v>
      </c>
      <c r="GD15" s="2" t="s">
        <v>433</v>
      </c>
      <c r="GE15" s="2" t="s">
        <v>432</v>
      </c>
      <c r="GF15" s="2" t="s">
        <v>433</v>
      </c>
      <c r="GG15" s="2" t="s">
        <v>433</v>
      </c>
      <c r="GH15" s="2" t="s">
        <v>432</v>
      </c>
      <c r="GI15" s="2" t="s">
        <v>432</v>
      </c>
      <c r="GJ15" s="2" t="s">
        <v>432</v>
      </c>
      <c r="GK15" s="2" t="s">
        <v>432</v>
      </c>
      <c r="GL15" s="2" t="s">
        <v>432</v>
      </c>
      <c r="GN15" s="2" t="s">
        <v>601</v>
      </c>
      <c r="GO15" s="2" t="s">
        <v>601</v>
      </c>
      <c r="GP15" s="2" t="s">
        <v>755</v>
      </c>
      <c r="GQ15" s="2" t="s">
        <v>432</v>
      </c>
      <c r="GR15" s="2" t="s">
        <v>433</v>
      </c>
      <c r="GS15" s="2" t="s">
        <v>433</v>
      </c>
      <c r="GT15" s="2" t="s">
        <v>433</v>
      </c>
      <c r="GU15" s="2" t="s">
        <v>432</v>
      </c>
      <c r="GV15" s="2" t="s">
        <v>432</v>
      </c>
      <c r="GW15" s="2" t="s">
        <v>432</v>
      </c>
      <c r="GX15" s="2" t="s">
        <v>432</v>
      </c>
      <c r="GZ15" s="2" t="s">
        <v>544</v>
      </c>
      <c r="HA15" s="2" t="s">
        <v>432</v>
      </c>
      <c r="HB15" s="2" t="s">
        <v>432</v>
      </c>
      <c r="HC15" s="2" t="s">
        <v>432</v>
      </c>
      <c r="HD15" s="2" t="s">
        <v>432</v>
      </c>
      <c r="HE15" s="2" t="s">
        <v>433</v>
      </c>
      <c r="HF15" s="2" t="s">
        <v>432</v>
      </c>
      <c r="HG15" s="2" t="s">
        <v>756</v>
      </c>
      <c r="HI15" s="2" t="s">
        <v>597</v>
      </c>
      <c r="HV15" s="2" t="s">
        <v>430</v>
      </c>
      <c r="HX15" s="2" t="s">
        <v>596</v>
      </c>
      <c r="HY15" s="2" t="s">
        <v>432</v>
      </c>
      <c r="HZ15" s="2" t="s">
        <v>432</v>
      </c>
      <c r="IA15" s="2" t="s">
        <v>433</v>
      </c>
      <c r="IB15" s="2" t="s">
        <v>432</v>
      </c>
      <c r="IC15" s="2" t="s">
        <v>433</v>
      </c>
      <c r="ID15" s="2" t="s">
        <v>432</v>
      </c>
      <c r="IE15" s="2" t="s">
        <v>432</v>
      </c>
      <c r="IF15" s="2" t="s">
        <v>432</v>
      </c>
      <c r="IG15" s="2" t="s">
        <v>432</v>
      </c>
      <c r="IH15" s="2" t="s">
        <v>432</v>
      </c>
      <c r="II15" s="2" t="s">
        <v>432</v>
      </c>
      <c r="IJ15" s="2" t="s">
        <v>432</v>
      </c>
      <c r="IK15" s="2" t="s">
        <v>432</v>
      </c>
      <c r="IL15" s="2" t="s">
        <v>432</v>
      </c>
      <c r="IN15" s="2" t="s">
        <v>757</v>
      </c>
      <c r="IO15" s="2" t="s">
        <v>758</v>
      </c>
      <c r="IP15" s="2" t="s">
        <v>433</v>
      </c>
      <c r="IQ15" s="2" t="s">
        <v>433</v>
      </c>
      <c r="IR15" s="2" t="s">
        <v>432</v>
      </c>
      <c r="IS15" s="2" t="s">
        <v>433</v>
      </c>
      <c r="IT15" s="2" t="s">
        <v>432</v>
      </c>
      <c r="IU15" s="2" t="s">
        <v>433</v>
      </c>
      <c r="IV15" s="2" t="s">
        <v>432</v>
      </c>
      <c r="IW15" s="2" t="s">
        <v>433</v>
      </c>
      <c r="IX15" s="2" t="s">
        <v>433</v>
      </c>
      <c r="IY15" s="2" t="s">
        <v>432</v>
      </c>
      <c r="JA15" s="2" t="s">
        <v>759</v>
      </c>
      <c r="JB15" s="2" t="s">
        <v>433</v>
      </c>
      <c r="JC15" s="2" t="s">
        <v>433</v>
      </c>
      <c r="JD15" s="2" t="s">
        <v>433</v>
      </c>
      <c r="JE15" s="2" t="s">
        <v>432</v>
      </c>
      <c r="JF15" s="2" t="s">
        <v>432</v>
      </c>
      <c r="JG15" s="2" t="s">
        <v>432</v>
      </c>
      <c r="JI15" s="2" t="s">
        <v>760</v>
      </c>
      <c r="JJ15" s="2" t="s">
        <v>433</v>
      </c>
      <c r="JK15" s="2" t="s">
        <v>433</v>
      </c>
      <c r="JL15" s="2" t="s">
        <v>432</v>
      </c>
      <c r="JM15" s="2" t="s">
        <v>432</v>
      </c>
      <c r="JN15" s="2" t="s">
        <v>432</v>
      </c>
      <c r="JO15" s="2" t="s">
        <v>433</v>
      </c>
      <c r="JP15" s="2" t="s">
        <v>432</v>
      </c>
      <c r="JQ15" s="2" t="s">
        <v>432</v>
      </c>
      <c r="JR15" s="2" t="s">
        <v>432</v>
      </c>
      <c r="JT15" s="2" t="s">
        <v>761</v>
      </c>
      <c r="JU15" s="2" t="s">
        <v>433</v>
      </c>
      <c r="JV15" s="2" t="s">
        <v>433</v>
      </c>
      <c r="JW15" s="2" t="s">
        <v>432</v>
      </c>
      <c r="JX15" s="2" t="s">
        <v>432</v>
      </c>
      <c r="JY15" s="2" t="s">
        <v>432</v>
      </c>
      <c r="JZ15" s="2" t="s">
        <v>432</v>
      </c>
      <c r="KA15" s="2" t="s">
        <v>432</v>
      </c>
      <c r="KB15" s="2" t="s">
        <v>432</v>
      </c>
      <c r="KC15" s="2" t="s">
        <v>432</v>
      </c>
      <c r="KF15" s="2" t="s">
        <v>456</v>
      </c>
      <c r="LB15" s="2" t="s">
        <v>456</v>
      </c>
      <c r="LP15" s="2" t="s">
        <v>430</v>
      </c>
      <c r="LS15" s="2">
        <v>169203695</v>
      </c>
      <c r="LT15" s="2" t="s">
        <v>762</v>
      </c>
      <c r="LU15" s="2" t="s">
        <v>763</v>
      </c>
      <c r="LW15" s="2" t="s">
        <v>460</v>
      </c>
      <c r="LX15" s="2" t="s">
        <v>461</v>
      </c>
      <c r="LY15" s="2" t="s">
        <v>462</v>
      </c>
      <c r="MA15" s="2">
        <v>14</v>
      </c>
    </row>
    <row r="16" spans="1:339" x14ac:dyDescent="0.3">
      <c r="A16" s="2" t="s">
        <v>764</v>
      </c>
      <c r="B16" s="2" t="s">
        <v>765</v>
      </c>
      <c r="C16" s="2" t="s">
        <v>695</v>
      </c>
      <c r="F16" s="2" t="s">
        <v>422</v>
      </c>
      <c r="G16" s="2" t="s">
        <v>466</v>
      </c>
      <c r="H16" s="2" t="s">
        <v>588</v>
      </c>
      <c r="I16" s="2" t="s">
        <v>427</v>
      </c>
      <c r="J16" s="2" t="s">
        <v>746</v>
      </c>
      <c r="R16" s="2" t="s">
        <v>422</v>
      </c>
      <c r="S16" s="2" t="s">
        <v>722</v>
      </c>
      <c r="T16" s="2" t="s">
        <v>544</v>
      </c>
      <c r="U16" s="2" t="s">
        <v>748</v>
      </c>
      <c r="AG16" s="2" t="s">
        <v>430</v>
      </c>
      <c r="AH16" s="2" t="s">
        <v>766</v>
      </c>
      <c r="AI16" s="2" t="s">
        <v>432</v>
      </c>
      <c r="AJ16" s="2" t="s">
        <v>432</v>
      </c>
      <c r="AK16" s="2" t="s">
        <v>432</v>
      </c>
      <c r="AL16" s="2" t="s">
        <v>432</v>
      </c>
      <c r="AM16" s="2" t="s">
        <v>433</v>
      </c>
      <c r="AN16" s="2" t="s">
        <v>433</v>
      </c>
      <c r="AO16" s="2" t="s">
        <v>432</v>
      </c>
      <c r="AP16" s="2" t="s">
        <v>432</v>
      </c>
      <c r="AQ16" s="2" t="s">
        <v>432</v>
      </c>
      <c r="AR16" s="2" t="s">
        <v>432</v>
      </c>
      <c r="AS16" s="2" t="s">
        <v>432</v>
      </c>
      <c r="AT16" s="2" t="s">
        <v>432</v>
      </c>
      <c r="AU16" s="2" t="s">
        <v>432</v>
      </c>
      <c r="AV16" s="2" t="s">
        <v>432</v>
      </c>
      <c r="AX16" s="2" t="s">
        <v>767</v>
      </c>
      <c r="AY16" s="2" t="s">
        <v>432</v>
      </c>
      <c r="AZ16" s="2" t="s">
        <v>432</v>
      </c>
      <c r="BA16" s="2" t="s">
        <v>432</v>
      </c>
      <c r="BB16" s="2" t="s">
        <v>432</v>
      </c>
      <c r="BC16" s="2" t="s">
        <v>433</v>
      </c>
      <c r="BD16" s="2" t="s">
        <v>433</v>
      </c>
      <c r="BE16" s="2" t="s">
        <v>432</v>
      </c>
      <c r="BF16" s="2" t="s">
        <v>433</v>
      </c>
      <c r="BG16" s="2" t="s">
        <v>432</v>
      </c>
      <c r="BH16" s="2" t="s">
        <v>432</v>
      </c>
      <c r="BI16" s="2" t="s">
        <v>432</v>
      </c>
      <c r="BJ16" s="2" t="s">
        <v>432</v>
      </c>
      <c r="BK16" s="2" t="s">
        <v>432</v>
      </c>
      <c r="BL16" s="2" t="s">
        <v>432</v>
      </c>
      <c r="BN16" s="2" t="s">
        <v>472</v>
      </c>
      <c r="BO16" s="2" t="s">
        <v>473</v>
      </c>
      <c r="BQ16" s="2" t="s">
        <v>456</v>
      </c>
      <c r="DN16" s="2" t="s">
        <v>597</v>
      </c>
      <c r="DO16" s="2" t="s">
        <v>432</v>
      </c>
      <c r="DP16" s="2" t="s">
        <v>432</v>
      </c>
      <c r="DQ16" s="2" t="s">
        <v>432</v>
      </c>
      <c r="DR16" s="2" t="s">
        <v>432</v>
      </c>
      <c r="DS16" s="2" t="s">
        <v>432</v>
      </c>
      <c r="DT16" s="2" t="s">
        <v>432</v>
      </c>
      <c r="DU16" s="2" t="s">
        <v>432</v>
      </c>
      <c r="DV16" s="2" t="s">
        <v>433</v>
      </c>
      <c r="DW16" s="2" t="s">
        <v>432</v>
      </c>
      <c r="DZ16" s="2" t="s">
        <v>768</v>
      </c>
      <c r="EA16" s="2" t="s">
        <v>433</v>
      </c>
      <c r="EB16" s="2" t="s">
        <v>432</v>
      </c>
      <c r="EC16" s="2" t="s">
        <v>432</v>
      </c>
      <c r="ED16" s="2" t="s">
        <v>432</v>
      </c>
      <c r="EE16" s="2" t="s">
        <v>432</v>
      </c>
      <c r="EF16" s="2" t="s">
        <v>432</v>
      </c>
      <c r="EG16" s="2" t="s">
        <v>432</v>
      </c>
      <c r="EH16" s="2" t="s">
        <v>432</v>
      </c>
      <c r="EI16" s="2" t="s">
        <v>432</v>
      </c>
      <c r="EL16" s="2" t="s">
        <v>769</v>
      </c>
      <c r="EM16" s="2" t="s">
        <v>432</v>
      </c>
      <c r="EN16" s="2" t="s">
        <v>433</v>
      </c>
      <c r="EO16" s="2" t="s">
        <v>433</v>
      </c>
      <c r="EP16" s="2" t="s">
        <v>433</v>
      </c>
      <c r="EQ16" s="2" t="s">
        <v>432</v>
      </c>
      <c r="ER16" s="2" t="s">
        <v>432</v>
      </c>
      <c r="ES16" s="2" t="s">
        <v>432</v>
      </c>
      <c r="ET16" s="2" t="s">
        <v>432</v>
      </c>
      <c r="EU16" s="2" t="s">
        <v>432</v>
      </c>
      <c r="EV16" s="2" t="s">
        <v>432</v>
      </c>
      <c r="EX16" s="2" t="s">
        <v>430</v>
      </c>
      <c r="EY16" s="2" t="s">
        <v>770</v>
      </c>
      <c r="EZ16" s="2" t="s">
        <v>432</v>
      </c>
      <c r="FA16" s="2" t="s">
        <v>432</v>
      </c>
      <c r="FB16" s="2" t="s">
        <v>432</v>
      </c>
      <c r="FC16" s="2" t="s">
        <v>432</v>
      </c>
      <c r="FD16" s="2" t="s">
        <v>432</v>
      </c>
      <c r="FE16" s="2" t="s">
        <v>432</v>
      </c>
      <c r="FF16" s="2" t="s">
        <v>432</v>
      </c>
      <c r="FG16" s="2" t="s">
        <v>432</v>
      </c>
      <c r="FH16" s="2" t="s">
        <v>433</v>
      </c>
      <c r="FI16" s="2" t="s">
        <v>432</v>
      </c>
      <c r="FJ16" s="2" t="s">
        <v>433</v>
      </c>
      <c r="FK16" s="2" t="s">
        <v>432</v>
      </c>
      <c r="FL16" s="2" t="s">
        <v>432</v>
      </c>
      <c r="FM16" s="2" t="s">
        <v>432</v>
      </c>
      <c r="FO16" s="2" t="s">
        <v>601</v>
      </c>
      <c r="FP16" s="2" t="s">
        <v>601</v>
      </c>
      <c r="GA16" s="2" t="s">
        <v>602</v>
      </c>
      <c r="GB16" s="2" t="s">
        <v>602</v>
      </c>
      <c r="GC16" s="2" t="s">
        <v>771</v>
      </c>
      <c r="GD16" s="2" t="s">
        <v>433</v>
      </c>
      <c r="GE16" s="2" t="s">
        <v>433</v>
      </c>
      <c r="GF16" s="2" t="s">
        <v>432</v>
      </c>
      <c r="GG16" s="2" t="s">
        <v>433</v>
      </c>
      <c r="GH16" s="2" t="s">
        <v>432</v>
      </c>
      <c r="GI16" s="2" t="s">
        <v>432</v>
      </c>
      <c r="GJ16" s="2" t="s">
        <v>432</v>
      </c>
      <c r="GK16" s="2" t="s">
        <v>432</v>
      </c>
      <c r="GL16" s="2" t="s">
        <v>432</v>
      </c>
      <c r="GN16" s="2" t="s">
        <v>601</v>
      </c>
      <c r="GO16" s="2" t="s">
        <v>601</v>
      </c>
      <c r="GP16" s="2" t="s">
        <v>622</v>
      </c>
      <c r="GQ16" s="2" t="s">
        <v>433</v>
      </c>
      <c r="GR16" s="2" t="s">
        <v>433</v>
      </c>
      <c r="GS16" s="2" t="s">
        <v>433</v>
      </c>
      <c r="GT16" s="2" t="s">
        <v>432</v>
      </c>
      <c r="GU16" s="2" t="s">
        <v>432</v>
      </c>
      <c r="GV16" s="2" t="s">
        <v>432</v>
      </c>
      <c r="GW16" s="2" t="s">
        <v>432</v>
      </c>
      <c r="GX16" s="2" t="s">
        <v>432</v>
      </c>
      <c r="GZ16" s="2" t="s">
        <v>597</v>
      </c>
      <c r="HA16" s="2" t="s">
        <v>432</v>
      </c>
      <c r="HB16" s="2" t="s">
        <v>432</v>
      </c>
      <c r="HC16" s="2" t="s">
        <v>432</v>
      </c>
      <c r="HD16" s="2" t="s">
        <v>432</v>
      </c>
      <c r="HE16" s="2" t="s">
        <v>432</v>
      </c>
      <c r="HF16" s="2" t="s">
        <v>433</v>
      </c>
      <c r="HI16" s="2" t="s">
        <v>481</v>
      </c>
      <c r="HJ16" s="2" t="s">
        <v>532</v>
      </c>
      <c r="HK16" s="2" t="s">
        <v>432</v>
      </c>
      <c r="HL16" s="2" t="s">
        <v>432</v>
      </c>
      <c r="HM16" s="2" t="s">
        <v>432</v>
      </c>
      <c r="HN16" s="2" t="s">
        <v>432</v>
      </c>
      <c r="HO16" s="2" t="s">
        <v>433</v>
      </c>
      <c r="HP16" s="2" t="s">
        <v>432</v>
      </c>
      <c r="HQ16" s="2" t="s">
        <v>432</v>
      </c>
      <c r="HR16" s="2" t="s">
        <v>432</v>
      </c>
      <c r="HS16" s="2" t="s">
        <v>432</v>
      </c>
      <c r="HT16" s="2" t="s">
        <v>432</v>
      </c>
      <c r="HV16" s="2" t="s">
        <v>430</v>
      </c>
      <c r="HX16" s="2" t="s">
        <v>772</v>
      </c>
      <c r="HY16" s="2" t="s">
        <v>432</v>
      </c>
      <c r="HZ16" s="2" t="s">
        <v>433</v>
      </c>
      <c r="IA16" s="2" t="s">
        <v>433</v>
      </c>
      <c r="IB16" s="2" t="s">
        <v>432</v>
      </c>
      <c r="IC16" s="2" t="s">
        <v>433</v>
      </c>
      <c r="ID16" s="2" t="s">
        <v>433</v>
      </c>
      <c r="IE16" s="2" t="s">
        <v>432</v>
      </c>
      <c r="IF16" s="2" t="s">
        <v>433</v>
      </c>
      <c r="IG16" s="2" t="s">
        <v>432</v>
      </c>
      <c r="IH16" s="2" t="s">
        <v>432</v>
      </c>
      <c r="II16" s="2" t="s">
        <v>432</v>
      </c>
      <c r="IJ16" s="2" t="s">
        <v>432</v>
      </c>
      <c r="IK16" s="2" t="s">
        <v>432</v>
      </c>
      <c r="IL16" s="2" t="s">
        <v>432</v>
      </c>
      <c r="IN16" s="2" t="s">
        <v>747</v>
      </c>
      <c r="IO16" s="2" t="s">
        <v>773</v>
      </c>
      <c r="IP16" s="2" t="s">
        <v>432</v>
      </c>
      <c r="IQ16" s="2" t="s">
        <v>432</v>
      </c>
      <c r="IR16" s="2" t="s">
        <v>432</v>
      </c>
      <c r="IS16" s="2" t="s">
        <v>432</v>
      </c>
      <c r="IT16" s="2" t="s">
        <v>432</v>
      </c>
      <c r="IU16" s="2" t="s">
        <v>432</v>
      </c>
      <c r="IV16" s="2" t="s">
        <v>432</v>
      </c>
      <c r="IW16" s="2" t="s">
        <v>433</v>
      </c>
      <c r="IX16" s="2" t="s">
        <v>432</v>
      </c>
      <c r="IY16" s="2" t="s">
        <v>432</v>
      </c>
      <c r="JA16" s="2" t="s">
        <v>759</v>
      </c>
      <c r="JB16" s="2" t="s">
        <v>433</v>
      </c>
      <c r="JC16" s="2" t="s">
        <v>433</v>
      </c>
      <c r="JD16" s="2" t="s">
        <v>433</v>
      </c>
      <c r="JE16" s="2" t="s">
        <v>432</v>
      </c>
      <c r="JF16" s="2" t="s">
        <v>432</v>
      </c>
      <c r="JG16" s="2" t="s">
        <v>432</v>
      </c>
      <c r="JI16" s="2" t="s">
        <v>774</v>
      </c>
      <c r="JJ16" s="2" t="s">
        <v>432</v>
      </c>
      <c r="JK16" s="2" t="s">
        <v>432</v>
      </c>
      <c r="JL16" s="2" t="s">
        <v>433</v>
      </c>
      <c r="JM16" s="2" t="s">
        <v>432</v>
      </c>
      <c r="JN16" s="2" t="s">
        <v>433</v>
      </c>
      <c r="JO16" s="2" t="s">
        <v>432</v>
      </c>
      <c r="JP16" s="2" t="s">
        <v>432</v>
      </c>
      <c r="JQ16" s="2" t="s">
        <v>433</v>
      </c>
      <c r="JR16" s="2" t="s">
        <v>432</v>
      </c>
      <c r="JS16" s="2" t="s">
        <v>775</v>
      </c>
      <c r="JT16" s="2" t="s">
        <v>776</v>
      </c>
      <c r="JU16" s="2" t="s">
        <v>433</v>
      </c>
      <c r="JV16" s="2" t="s">
        <v>433</v>
      </c>
      <c r="JW16" s="2" t="s">
        <v>433</v>
      </c>
      <c r="JX16" s="2" t="s">
        <v>433</v>
      </c>
      <c r="JY16" s="2" t="s">
        <v>432</v>
      </c>
      <c r="JZ16" s="2" t="s">
        <v>432</v>
      </c>
      <c r="KA16" s="2" t="s">
        <v>432</v>
      </c>
      <c r="KB16" s="2" t="s">
        <v>432</v>
      </c>
      <c r="KC16" s="2" t="s">
        <v>432</v>
      </c>
      <c r="KF16" s="2" t="s">
        <v>430</v>
      </c>
      <c r="KG16" s="2" t="s">
        <v>777</v>
      </c>
      <c r="KH16" s="2" t="s">
        <v>432</v>
      </c>
      <c r="KI16" s="2" t="s">
        <v>432</v>
      </c>
      <c r="KJ16" s="2" t="s">
        <v>432</v>
      </c>
      <c r="KK16" s="2" t="s">
        <v>433</v>
      </c>
      <c r="KL16" s="2" t="s">
        <v>432</v>
      </c>
      <c r="KM16" s="2" t="s">
        <v>432</v>
      </c>
      <c r="KN16" s="2" t="s">
        <v>433</v>
      </c>
      <c r="KO16" s="2" t="s">
        <v>432</v>
      </c>
      <c r="KP16" s="2" t="s">
        <v>432</v>
      </c>
      <c r="KQ16" s="2" t="s">
        <v>432</v>
      </c>
      <c r="KR16" s="2" t="s">
        <v>432</v>
      </c>
      <c r="KT16" s="2" t="s">
        <v>583</v>
      </c>
      <c r="KU16" s="2" t="s">
        <v>432</v>
      </c>
      <c r="KV16" s="2" t="s">
        <v>433</v>
      </c>
      <c r="KW16" s="2" t="s">
        <v>432</v>
      </c>
      <c r="KX16" s="2" t="s">
        <v>433</v>
      </c>
      <c r="KY16" s="2" t="s">
        <v>432</v>
      </c>
      <c r="KZ16" s="2" t="s">
        <v>432</v>
      </c>
      <c r="LB16" s="2" t="s">
        <v>456</v>
      </c>
      <c r="LP16" s="2" t="s">
        <v>430</v>
      </c>
      <c r="LR16" s="2" t="s">
        <v>778</v>
      </c>
      <c r="LS16" s="2">
        <v>169204105</v>
      </c>
      <c r="LT16" s="2" t="s">
        <v>779</v>
      </c>
      <c r="LU16" s="2" t="s">
        <v>780</v>
      </c>
      <c r="LW16" s="2" t="s">
        <v>460</v>
      </c>
      <c r="LX16" s="2" t="s">
        <v>461</v>
      </c>
      <c r="LY16" s="2" t="s">
        <v>462</v>
      </c>
      <c r="MA16" s="2">
        <v>15</v>
      </c>
    </row>
    <row r="17" spans="1:339" x14ac:dyDescent="0.3">
      <c r="A17" s="2" t="s">
        <v>781</v>
      </c>
      <c r="B17" s="2" t="s">
        <v>782</v>
      </c>
      <c r="C17" s="2" t="s">
        <v>695</v>
      </c>
      <c r="F17" s="2" t="s">
        <v>422</v>
      </c>
      <c r="G17" s="2" t="s">
        <v>783</v>
      </c>
      <c r="H17" s="2" t="s">
        <v>784</v>
      </c>
      <c r="I17" s="2" t="s">
        <v>785</v>
      </c>
      <c r="R17" s="2" t="s">
        <v>422</v>
      </c>
      <c r="S17" s="2" t="s">
        <v>786</v>
      </c>
      <c r="T17" s="2" t="s">
        <v>426</v>
      </c>
      <c r="Z17" s="2" t="s">
        <v>428</v>
      </c>
      <c r="AA17" s="2" t="s">
        <v>429</v>
      </c>
      <c r="AB17" s="2" t="s">
        <v>787</v>
      </c>
      <c r="AG17" s="2" t="s">
        <v>430</v>
      </c>
      <c r="AH17" s="2" t="s">
        <v>788</v>
      </c>
      <c r="AI17" s="2" t="s">
        <v>432</v>
      </c>
      <c r="AJ17" s="2" t="s">
        <v>433</v>
      </c>
      <c r="AK17" s="2" t="s">
        <v>432</v>
      </c>
      <c r="AL17" s="2" t="s">
        <v>433</v>
      </c>
      <c r="AM17" s="2" t="s">
        <v>433</v>
      </c>
      <c r="AN17" s="2" t="s">
        <v>432</v>
      </c>
      <c r="AO17" s="2" t="s">
        <v>432</v>
      </c>
      <c r="AP17" s="2" t="s">
        <v>432</v>
      </c>
      <c r="AQ17" s="2" t="s">
        <v>432</v>
      </c>
      <c r="AR17" s="2" t="s">
        <v>432</v>
      </c>
      <c r="AS17" s="2" t="s">
        <v>432</v>
      </c>
      <c r="AT17" s="2" t="s">
        <v>432</v>
      </c>
      <c r="AU17" s="2" t="s">
        <v>432</v>
      </c>
      <c r="AV17" s="2" t="s">
        <v>432</v>
      </c>
      <c r="AX17" s="2" t="s">
        <v>678</v>
      </c>
      <c r="AY17" s="2" t="s">
        <v>432</v>
      </c>
      <c r="AZ17" s="2" t="s">
        <v>432</v>
      </c>
      <c r="BA17" s="2" t="s">
        <v>432</v>
      </c>
      <c r="BB17" s="2" t="s">
        <v>432</v>
      </c>
      <c r="BC17" s="2" t="s">
        <v>432</v>
      </c>
      <c r="BD17" s="2" t="s">
        <v>432</v>
      </c>
      <c r="BE17" s="2" t="s">
        <v>432</v>
      </c>
      <c r="BF17" s="2" t="s">
        <v>432</v>
      </c>
      <c r="BG17" s="2" t="s">
        <v>432</v>
      </c>
      <c r="BH17" s="2" t="s">
        <v>432</v>
      </c>
      <c r="BI17" s="2" t="s">
        <v>433</v>
      </c>
      <c r="BJ17" s="2" t="s">
        <v>432</v>
      </c>
      <c r="BK17" s="2" t="s">
        <v>432</v>
      </c>
      <c r="BL17" s="2" t="s">
        <v>432</v>
      </c>
      <c r="BN17" s="2" t="s">
        <v>472</v>
      </c>
      <c r="BO17" s="2" t="s">
        <v>436</v>
      </c>
      <c r="BQ17" s="2" t="s">
        <v>456</v>
      </c>
      <c r="DB17" s="2" t="s">
        <v>789</v>
      </c>
      <c r="DC17" s="2" t="s">
        <v>433</v>
      </c>
      <c r="DD17" s="2" t="s">
        <v>432</v>
      </c>
      <c r="DE17" s="2" t="s">
        <v>432</v>
      </c>
      <c r="DF17" s="2" t="s">
        <v>433</v>
      </c>
      <c r="DG17" s="2" t="s">
        <v>432</v>
      </c>
      <c r="DH17" s="2" t="s">
        <v>432</v>
      </c>
      <c r="DI17" s="2" t="s">
        <v>432</v>
      </c>
      <c r="DJ17" s="2" t="s">
        <v>432</v>
      </c>
      <c r="DK17" s="2" t="s">
        <v>432</v>
      </c>
      <c r="DL17" s="2" t="s">
        <v>432</v>
      </c>
      <c r="DZ17" s="2" t="s">
        <v>790</v>
      </c>
      <c r="EA17" s="2" t="s">
        <v>432</v>
      </c>
      <c r="EB17" s="2" t="s">
        <v>432</v>
      </c>
      <c r="EC17" s="2" t="s">
        <v>432</v>
      </c>
      <c r="ED17" s="2" t="s">
        <v>433</v>
      </c>
      <c r="EE17" s="2" t="s">
        <v>432</v>
      </c>
      <c r="EF17" s="2" t="s">
        <v>432</v>
      </c>
      <c r="EG17" s="2" t="s">
        <v>432</v>
      </c>
      <c r="EH17" s="2" t="s">
        <v>432</v>
      </c>
      <c r="EI17" s="2" t="s">
        <v>432</v>
      </c>
      <c r="EL17" s="2" t="s">
        <v>791</v>
      </c>
      <c r="EM17" s="2" t="s">
        <v>433</v>
      </c>
      <c r="EN17" s="2" t="s">
        <v>432</v>
      </c>
      <c r="EO17" s="2" t="s">
        <v>433</v>
      </c>
      <c r="EP17" s="2" t="s">
        <v>432</v>
      </c>
      <c r="EQ17" s="2" t="s">
        <v>432</v>
      </c>
      <c r="ER17" s="2" t="s">
        <v>433</v>
      </c>
      <c r="ES17" s="2" t="s">
        <v>432</v>
      </c>
      <c r="ET17" s="2" t="s">
        <v>432</v>
      </c>
      <c r="EU17" s="2" t="s">
        <v>432</v>
      </c>
      <c r="EV17" s="2" t="s">
        <v>432</v>
      </c>
      <c r="EX17" s="2" t="s">
        <v>430</v>
      </c>
      <c r="EY17" s="2" t="s">
        <v>544</v>
      </c>
      <c r="EZ17" s="2" t="s">
        <v>432</v>
      </c>
      <c r="FA17" s="2" t="s">
        <v>432</v>
      </c>
      <c r="FB17" s="2" t="s">
        <v>432</v>
      </c>
      <c r="FC17" s="2" t="s">
        <v>432</v>
      </c>
      <c r="FD17" s="2" t="s">
        <v>432</v>
      </c>
      <c r="FE17" s="2" t="s">
        <v>432</v>
      </c>
      <c r="FF17" s="2" t="s">
        <v>432</v>
      </c>
      <c r="FG17" s="2" t="s">
        <v>432</v>
      </c>
      <c r="FH17" s="2" t="s">
        <v>432</v>
      </c>
      <c r="FI17" s="2" t="s">
        <v>432</v>
      </c>
      <c r="FJ17" s="2" t="s">
        <v>432</v>
      </c>
      <c r="FK17" s="2" t="s">
        <v>432</v>
      </c>
      <c r="FL17" s="2" t="s">
        <v>433</v>
      </c>
      <c r="FM17" s="2" t="s">
        <v>432</v>
      </c>
      <c r="FN17" s="2" t="s">
        <v>792</v>
      </c>
      <c r="FO17" s="2" t="s">
        <v>601</v>
      </c>
      <c r="FP17" s="2" t="s">
        <v>508</v>
      </c>
      <c r="FQ17" s="2" t="s">
        <v>793</v>
      </c>
      <c r="FR17" s="2" t="s">
        <v>433</v>
      </c>
      <c r="FS17" s="2" t="s">
        <v>432</v>
      </c>
      <c r="FT17" s="2" t="s">
        <v>432</v>
      </c>
      <c r="FU17" s="2" t="s">
        <v>432</v>
      </c>
      <c r="FV17" s="2" t="s">
        <v>432</v>
      </c>
      <c r="FW17" s="2" t="s">
        <v>432</v>
      </c>
      <c r="FX17" s="2" t="s">
        <v>432</v>
      </c>
      <c r="FY17" s="2" t="s">
        <v>432</v>
      </c>
      <c r="GA17" s="2" t="s">
        <v>483</v>
      </c>
      <c r="GB17" s="2" t="s">
        <v>483</v>
      </c>
      <c r="GC17" s="2" t="s">
        <v>575</v>
      </c>
      <c r="GD17" s="2" t="s">
        <v>432</v>
      </c>
      <c r="GE17" s="2" t="s">
        <v>432</v>
      </c>
      <c r="GF17" s="2" t="s">
        <v>432</v>
      </c>
      <c r="GG17" s="2" t="s">
        <v>433</v>
      </c>
      <c r="GH17" s="2" t="s">
        <v>432</v>
      </c>
      <c r="GI17" s="2" t="s">
        <v>432</v>
      </c>
      <c r="GJ17" s="2" t="s">
        <v>432</v>
      </c>
      <c r="GK17" s="2" t="s">
        <v>432</v>
      </c>
      <c r="GL17" s="2" t="s">
        <v>432</v>
      </c>
      <c r="GN17" s="2" t="s">
        <v>481</v>
      </c>
      <c r="GO17" s="2" t="s">
        <v>481</v>
      </c>
      <c r="GP17" s="2" t="s">
        <v>794</v>
      </c>
      <c r="GQ17" s="2" t="s">
        <v>433</v>
      </c>
      <c r="GR17" s="2" t="s">
        <v>432</v>
      </c>
      <c r="GS17" s="2" t="s">
        <v>432</v>
      </c>
      <c r="GT17" s="2" t="s">
        <v>432</v>
      </c>
      <c r="GU17" s="2" t="s">
        <v>432</v>
      </c>
      <c r="GV17" s="2" t="s">
        <v>433</v>
      </c>
      <c r="GW17" s="2" t="s">
        <v>432</v>
      </c>
      <c r="GX17" s="2" t="s">
        <v>432</v>
      </c>
      <c r="GZ17" s="2" t="s">
        <v>557</v>
      </c>
      <c r="HA17" s="2" t="s">
        <v>433</v>
      </c>
      <c r="HB17" s="2" t="s">
        <v>433</v>
      </c>
      <c r="HC17" s="2" t="s">
        <v>432</v>
      </c>
      <c r="HD17" s="2" t="s">
        <v>432</v>
      </c>
      <c r="HE17" s="2" t="s">
        <v>432</v>
      </c>
      <c r="HF17" s="2" t="s">
        <v>432</v>
      </c>
      <c r="HI17" s="2" t="s">
        <v>456</v>
      </c>
      <c r="HV17" s="2" t="s">
        <v>430</v>
      </c>
      <c r="HX17" s="2" t="s">
        <v>795</v>
      </c>
      <c r="HY17" s="2" t="s">
        <v>432</v>
      </c>
      <c r="HZ17" s="2" t="s">
        <v>432</v>
      </c>
      <c r="IA17" s="2" t="s">
        <v>432</v>
      </c>
      <c r="IB17" s="2" t="s">
        <v>432</v>
      </c>
      <c r="IC17" s="2" t="s">
        <v>433</v>
      </c>
      <c r="ID17" s="2" t="s">
        <v>433</v>
      </c>
      <c r="IE17" s="2" t="s">
        <v>433</v>
      </c>
      <c r="IF17" s="2" t="s">
        <v>433</v>
      </c>
      <c r="IG17" s="2" t="s">
        <v>432</v>
      </c>
      <c r="IH17" s="2" t="s">
        <v>432</v>
      </c>
      <c r="II17" s="2" t="s">
        <v>432</v>
      </c>
      <c r="IJ17" s="2" t="s">
        <v>432</v>
      </c>
      <c r="IK17" s="2" t="s">
        <v>432</v>
      </c>
      <c r="IL17" s="2" t="s">
        <v>432</v>
      </c>
      <c r="IN17" s="2" t="s">
        <v>476</v>
      </c>
      <c r="IO17" s="2" t="s">
        <v>796</v>
      </c>
      <c r="IP17" s="2" t="s">
        <v>432</v>
      </c>
      <c r="IQ17" s="2" t="s">
        <v>433</v>
      </c>
      <c r="IR17" s="2" t="s">
        <v>432</v>
      </c>
      <c r="IS17" s="2" t="s">
        <v>433</v>
      </c>
      <c r="IT17" s="2" t="s">
        <v>432</v>
      </c>
      <c r="IU17" s="2" t="s">
        <v>432</v>
      </c>
      <c r="IV17" s="2" t="s">
        <v>432</v>
      </c>
      <c r="IW17" s="2" t="s">
        <v>432</v>
      </c>
      <c r="IX17" s="2" t="s">
        <v>432</v>
      </c>
      <c r="IY17" s="2" t="s">
        <v>432</v>
      </c>
      <c r="JA17" s="2" t="s">
        <v>451</v>
      </c>
      <c r="JB17" s="2" t="s">
        <v>433</v>
      </c>
      <c r="JC17" s="2" t="s">
        <v>433</v>
      </c>
      <c r="JD17" s="2" t="s">
        <v>433</v>
      </c>
      <c r="JE17" s="2" t="s">
        <v>432</v>
      </c>
      <c r="JF17" s="2" t="s">
        <v>432</v>
      </c>
      <c r="JG17" s="2" t="s">
        <v>432</v>
      </c>
      <c r="JI17" s="2" t="s">
        <v>516</v>
      </c>
      <c r="JJ17" s="2" t="s">
        <v>433</v>
      </c>
      <c r="JK17" s="2" t="s">
        <v>432</v>
      </c>
      <c r="JL17" s="2" t="s">
        <v>433</v>
      </c>
      <c r="JM17" s="2" t="s">
        <v>432</v>
      </c>
      <c r="JN17" s="2" t="s">
        <v>433</v>
      </c>
      <c r="JO17" s="2" t="s">
        <v>432</v>
      </c>
      <c r="JP17" s="2" t="s">
        <v>432</v>
      </c>
      <c r="JQ17" s="2" t="s">
        <v>432</v>
      </c>
      <c r="JR17" s="2" t="s">
        <v>432</v>
      </c>
      <c r="JT17" s="2" t="s">
        <v>797</v>
      </c>
      <c r="JU17" s="2" t="s">
        <v>432</v>
      </c>
      <c r="JV17" s="2" t="s">
        <v>432</v>
      </c>
      <c r="JW17" s="2" t="s">
        <v>433</v>
      </c>
      <c r="JX17" s="2" t="s">
        <v>432</v>
      </c>
      <c r="JY17" s="2" t="s">
        <v>433</v>
      </c>
      <c r="JZ17" s="2" t="s">
        <v>433</v>
      </c>
      <c r="KA17" s="2" t="s">
        <v>432</v>
      </c>
      <c r="KB17" s="2" t="s">
        <v>432</v>
      </c>
      <c r="KC17" s="2" t="s">
        <v>432</v>
      </c>
      <c r="KF17" s="2" t="s">
        <v>456</v>
      </c>
      <c r="LB17" s="2" t="s">
        <v>456</v>
      </c>
      <c r="LP17" s="2" t="s">
        <v>430</v>
      </c>
      <c r="LR17" s="2" t="s">
        <v>798</v>
      </c>
      <c r="LS17" s="2">
        <v>169217130</v>
      </c>
      <c r="LT17" s="2" t="s">
        <v>799</v>
      </c>
      <c r="LU17" s="2" t="s">
        <v>800</v>
      </c>
      <c r="LW17" s="2" t="s">
        <v>460</v>
      </c>
      <c r="LX17" s="2" t="s">
        <v>461</v>
      </c>
      <c r="LY17" s="2" t="s">
        <v>462</v>
      </c>
      <c r="MA17" s="2">
        <v>16</v>
      </c>
    </row>
    <row r="18" spans="1:339" x14ac:dyDescent="0.3">
      <c r="A18" s="2" t="s">
        <v>801</v>
      </c>
      <c r="B18" s="2" t="s">
        <v>802</v>
      </c>
      <c r="C18" s="2" t="s">
        <v>695</v>
      </c>
      <c r="F18" s="2" t="s">
        <v>422</v>
      </c>
      <c r="G18" s="2" t="s">
        <v>429</v>
      </c>
      <c r="H18" s="2" t="s">
        <v>803</v>
      </c>
      <c r="I18" s="2" t="s">
        <v>804</v>
      </c>
      <c r="R18" s="2" t="s">
        <v>523</v>
      </c>
      <c r="S18" s="2" t="s">
        <v>805</v>
      </c>
      <c r="T18" s="2" t="s">
        <v>503</v>
      </c>
      <c r="AG18" s="2" t="s">
        <v>430</v>
      </c>
      <c r="AH18" s="2" t="s">
        <v>806</v>
      </c>
      <c r="AI18" s="2" t="s">
        <v>432</v>
      </c>
      <c r="AJ18" s="2" t="s">
        <v>432</v>
      </c>
      <c r="AK18" s="2" t="s">
        <v>433</v>
      </c>
      <c r="AL18" s="2" t="s">
        <v>433</v>
      </c>
      <c r="AM18" s="2" t="s">
        <v>432</v>
      </c>
      <c r="AN18" s="2" t="s">
        <v>432</v>
      </c>
      <c r="AO18" s="2" t="s">
        <v>432</v>
      </c>
      <c r="AP18" s="2" t="s">
        <v>432</v>
      </c>
      <c r="AQ18" s="2" t="s">
        <v>432</v>
      </c>
      <c r="AR18" s="2" t="s">
        <v>432</v>
      </c>
      <c r="AS18" s="2" t="s">
        <v>432</v>
      </c>
      <c r="AT18" s="2" t="s">
        <v>432</v>
      </c>
      <c r="AU18" s="2" t="s">
        <v>432</v>
      </c>
      <c r="AV18" s="2" t="s">
        <v>432</v>
      </c>
      <c r="AX18" s="2" t="s">
        <v>807</v>
      </c>
      <c r="AY18" s="2" t="s">
        <v>432</v>
      </c>
      <c r="AZ18" s="2" t="s">
        <v>432</v>
      </c>
      <c r="BA18" s="2" t="s">
        <v>432</v>
      </c>
      <c r="BB18" s="2" t="s">
        <v>432</v>
      </c>
      <c r="BC18" s="2" t="s">
        <v>433</v>
      </c>
      <c r="BD18" s="2" t="s">
        <v>433</v>
      </c>
      <c r="BE18" s="2" t="s">
        <v>432</v>
      </c>
      <c r="BF18" s="2" t="s">
        <v>432</v>
      </c>
      <c r="BG18" s="2" t="s">
        <v>432</v>
      </c>
      <c r="BH18" s="2" t="s">
        <v>432</v>
      </c>
      <c r="BI18" s="2" t="s">
        <v>432</v>
      </c>
      <c r="BJ18" s="2" t="s">
        <v>432</v>
      </c>
      <c r="BK18" s="2" t="s">
        <v>432</v>
      </c>
      <c r="BL18" s="2" t="s">
        <v>432</v>
      </c>
      <c r="BN18" s="2" t="s">
        <v>433</v>
      </c>
      <c r="BO18" s="2" t="s">
        <v>547</v>
      </c>
      <c r="BQ18" s="2" t="s">
        <v>456</v>
      </c>
      <c r="DZ18" s="2" t="s">
        <v>808</v>
      </c>
      <c r="EA18" s="2" t="s">
        <v>432</v>
      </c>
      <c r="EB18" s="2" t="s">
        <v>433</v>
      </c>
      <c r="EC18" s="2" t="s">
        <v>433</v>
      </c>
      <c r="ED18" s="2" t="s">
        <v>432</v>
      </c>
      <c r="EE18" s="2" t="s">
        <v>432</v>
      </c>
      <c r="EF18" s="2" t="s">
        <v>432</v>
      </c>
      <c r="EG18" s="2" t="s">
        <v>432</v>
      </c>
      <c r="EH18" s="2" t="s">
        <v>432</v>
      </c>
      <c r="EI18" s="2" t="s">
        <v>432</v>
      </c>
      <c r="EL18" s="2" t="s">
        <v>809</v>
      </c>
      <c r="EM18" s="2" t="s">
        <v>433</v>
      </c>
      <c r="EN18" s="2" t="s">
        <v>433</v>
      </c>
      <c r="EO18" s="2" t="s">
        <v>433</v>
      </c>
      <c r="EP18" s="2" t="s">
        <v>432</v>
      </c>
      <c r="EQ18" s="2" t="s">
        <v>432</v>
      </c>
      <c r="ER18" s="2" t="s">
        <v>432</v>
      </c>
      <c r="ES18" s="2" t="s">
        <v>432</v>
      </c>
      <c r="ET18" s="2" t="s">
        <v>432</v>
      </c>
      <c r="EU18" s="2" t="s">
        <v>432</v>
      </c>
      <c r="EV18" s="2" t="s">
        <v>432</v>
      </c>
      <c r="EX18" s="2" t="s">
        <v>430</v>
      </c>
      <c r="EY18" s="2" t="s">
        <v>810</v>
      </c>
      <c r="EZ18" s="2" t="s">
        <v>432</v>
      </c>
      <c r="FA18" s="2" t="s">
        <v>432</v>
      </c>
      <c r="FB18" s="2" t="s">
        <v>432</v>
      </c>
      <c r="FC18" s="2" t="s">
        <v>432</v>
      </c>
      <c r="FD18" s="2" t="s">
        <v>433</v>
      </c>
      <c r="FE18" s="2" t="s">
        <v>432</v>
      </c>
      <c r="FF18" s="2" t="s">
        <v>432</v>
      </c>
      <c r="FG18" s="2" t="s">
        <v>433</v>
      </c>
      <c r="FH18" s="2" t="s">
        <v>432</v>
      </c>
      <c r="FI18" s="2" t="s">
        <v>432</v>
      </c>
      <c r="FJ18" s="2" t="s">
        <v>432</v>
      </c>
      <c r="FK18" s="2" t="s">
        <v>432</v>
      </c>
      <c r="FL18" s="2" t="s">
        <v>432</v>
      </c>
      <c r="FM18" s="2" t="s">
        <v>432</v>
      </c>
      <c r="FO18" s="2" t="s">
        <v>481</v>
      </c>
      <c r="FP18" s="2" t="s">
        <v>481</v>
      </c>
      <c r="FQ18" s="2" t="s">
        <v>482</v>
      </c>
      <c r="FR18" s="2" t="s">
        <v>432</v>
      </c>
      <c r="FS18" s="2" t="s">
        <v>433</v>
      </c>
      <c r="FT18" s="2" t="s">
        <v>432</v>
      </c>
      <c r="FU18" s="2" t="s">
        <v>432</v>
      </c>
      <c r="FV18" s="2" t="s">
        <v>432</v>
      </c>
      <c r="FW18" s="2" t="s">
        <v>432</v>
      </c>
      <c r="FX18" s="2" t="s">
        <v>432</v>
      </c>
      <c r="FY18" s="2" t="s">
        <v>432</v>
      </c>
      <c r="GA18" s="2" t="s">
        <v>483</v>
      </c>
      <c r="GB18" s="2" t="s">
        <v>483</v>
      </c>
      <c r="GC18" s="2" t="s">
        <v>811</v>
      </c>
      <c r="GD18" s="2" t="s">
        <v>432</v>
      </c>
      <c r="GE18" s="2" t="s">
        <v>433</v>
      </c>
      <c r="GF18" s="2" t="s">
        <v>432</v>
      </c>
      <c r="GG18" s="2" t="s">
        <v>433</v>
      </c>
      <c r="GH18" s="2" t="s">
        <v>433</v>
      </c>
      <c r="GI18" s="2" t="s">
        <v>432</v>
      </c>
      <c r="GJ18" s="2" t="s">
        <v>432</v>
      </c>
      <c r="GK18" s="2" t="s">
        <v>432</v>
      </c>
      <c r="GL18" s="2" t="s">
        <v>432</v>
      </c>
      <c r="GN18" s="2" t="s">
        <v>481</v>
      </c>
      <c r="GO18" s="2" t="s">
        <v>481</v>
      </c>
      <c r="GP18" s="2" t="s">
        <v>485</v>
      </c>
      <c r="GQ18" s="2" t="s">
        <v>433</v>
      </c>
      <c r="GR18" s="2" t="s">
        <v>433</v>
      </c>
      <c r="GS18" s="2" t="s">
        <v>432</v>
      </c>
      <c r="GT18" s="2" t="s">
        <v>433</v>
      </c>
      <c r="GU18" s="2" t="s">
        <v>432</v>
      </c>
      <c r="GV18" s="2" t="s">
        <v>432</v>
      </c>
      <c r="GW18" s="2" t="s">
        <v>432</v>
      </c>
      <c r="GX18" s="2" t="s">
        <v>432</v>
      </c>
      <c r="GZ18" s="2" t="s">
        <v>812</v>
      </c>
      <c r="HA18" s="2" t="s">
        <v>433</v>
      </c>
      <c r="HB18" s="2" t="s">
        <v>433</v>
      </c>
      <c r="HC18" s="2" t="s">
        <v>432</v>
      </c>
      <c r="HD18" s="2" t="s">
        <v>432</v>
      </c>
      <c r="HE18" s="2" t="s">
        <v>432</v>
      </c>
      <c r="HF18" s="2" t="s">
        <v>432</v>
      </c>
      <c r="HI18" s="2" t="s">
        <v>456</v>
      </c>
      <c r="HV18" s="2" t="s">
        <v>430</v>
      </c>
      <c r="HX18" s="2" t="s">
        <v>680</v>
      </c>
      <c r="HY18" s="2" t="s">
        <v>432</v>
      </c>
      <c r="HZ18" s="2" t="s">
        <v>432</v>
      </c>
      <c r="IA18" s="2" t="s">
        <v>432</v>
      </c>
      <c r="IB18" s="2" t="s">
        <v>432</v>
      </c>
      <c r="IC18" s="2" t="s">
        <v>433</v>
      </c>
      <c r="ID18" s="2" t="s">
        <v>433</v>
      </c>
      <c r="IE18" s="2" t="s">
        <v>432</v>
      </c>
      <c r="IF18" s="2" t="s">
        <v>432</v>
      </c>
      <c r="IG18" s="2" t="s">
        <v>432</v>
      </c>
      <c r="IH18" s="2" t="s">
        <v>432</v>
      </c>
      <c r="II18" s="2" t="s">
        <v>432</v>
      </c>
      <c r="IJ18" s="2" t="s">
        <v>432</v>
      </c>
      <c r="IK18" s="2" t="s">
        <v>432</v>
      </c>
      <c r="IL18" s="2" t="s">
        <v>432</v>
      </c>
      <c r="IN18" s="2" t="s">
        <v>433</v>
      </c>
      <c r="IO18" s="2" t="s">
        <v>813</v>
      </c>
      <c r="IP18" s="2" t="s">
        <v>432</v>
      </c>
      <c r="IQ18" s="2" t="s">
        <v>433</v>
      </c>
      <c r="IR18" s="2" t="s">
        <v>432</v>
      </c>
      <c r="IS18" s="2" t="s">
        <v>432</v>
      </c>
      <c r="IT18" s="2" t="s">
        <v>432</v>
      </c>
      <c r="IU18" s="2" t="s">
        <v>432</v>
      </c>
      <c r="IV18" s="2" t="s">
        <v>432</v>
      </c>
      <c r="IW18" s="2" t="s">
        <v>433</v>
      </c>
      <c r="IX18" s="2" t="s">
        <v>432</v>
      </c>
      <c r="IY18" s="2" t="s">
        <v>432</v>
      </c>
      <c r="JA18" s="2" t="s">
        <v>491</v>
      </c>
      <c r="JB18" s="2" t="s">
        <v>432</v>
      </c>
      <c r="JC18" s="2" t="s">
        <v>433</v>
      </c>
      <c r="JD18" s="2" t="s">
        <v>432</v>
      </c>
      <c r="JE18" s="2" t="s">
        <v>432</v>
      </c>
      <c r="JF18" s="2" t="s">
        <v>432</v>
      </c>
      <c r="JG18" s="2" t="s">
        <v>432</v>
      </c>
      <c r="JT18" s="2" t="s">
        <v>664</v>
      </c>
      <c r="JU18" s="2" t="s">
        <v>432</v>
      </c>
      <c r="JV18" s="2" t="s">
        <v>432</v>
      </c>
      <c r="JW18" s="2" t="s">
        <v>433</v>
      </c>
      <c r="JX18" s="2" t="s">
        <v>432</v>
      </c>
      <c r="JY18" s="2" t="s">
        <v>432</v>
      </c>
      <c r="JZ18" s="2" t="s">
        <v>432</v>
      </c>
      <c r="KA18" s="2" t="s">
        <v>432</v>
      </c>
      <c r="KB18" s="2" t="s">
        <v>432</v>
      </c>
      <c r="KC18" s="2" t="s">
        <v>432</v>
      </c>
      <c r="KF18" s="2" t="s">
        <v>430</v>
      </c>
      <c r="KG18" s="2" t="s">
        <v>814</v>
      </c>
      <c r="KH18" s="2" t="s">
        <v>433</v>
      </c>
      <c r="KI18" s="2" t="s">
        <v>432</v>
      </c>
      <c r="KJ18" s="2" t="s">
        <v>432</v>
      </c>
      <c r="KK18" s="2" t="s">
        <v>433</v>
      </c>
      <c r="KL18" s="2" t="s">
        <v>432</v>
      </c>
      <c r="KM18" s="2" t="s">
        <v>432</v>
      </c>
      <c r="KN18" s="2" t="s">
        <v>432</v>
      </c>
      <c r="KO18" s="2" t="s">
        <v>433</v>
      </c>
      <c r="KP18" s="2" t="s">
        <v>432</v>
      </c>
      <c r="KQ18" s="2" t="s">
        <v>432</v>
      </c>
      <c r="KR18" s="2" t="s">
        <v>432</v>
      </c>
      <c r="KT18" s="2" t="s">
        <v>815</v>
      </c>
      <c r="KU18" s="2" t="s">
        <v>433</v>
      </c>
      <c r="KV18" s="2" t="s">
        <v>433</v>
      </c>
      <c r="KW18" s="2" t="s">
        <v>432</v>
      </c>
      <c r="KX18" s="2" t="s">
        <v>433</v>
      </c>
      <c r="KY18" s="2" t="s">
        <v>432</v>
      </c>
      <c r="KZ18" s="2" t="s">
        <v>432</v>
      </c>
      <c r="LB18" s="2" t="s">
        <v>456</v>
      </c>
      <c r="LP18" s="2" t="s">
        <v>430</v>
      </c>
      <c r="LR18" s="2" t="s">
        <v>816</v>
      </c>
      <c r="LS18" s="2">
        <v>169219588</v>
      </c>
      <c r="LT18" s="2" t="s">
        <v>817</v>
      </c>
      <c r="LU18" s="2" t="s">
        <v>818</v>
      </c>
      <c r="LW18" s="2" t="s">
        <v>460</v>
      </c>
      <c r="LX18" s="2" t="s">
        <v>461</v>
      </c>
      <c r="LY18" s="2" t="s">
        <v>462</v>
      </c>
      <c r="MA18" s="2">
        <v>17</v>
      </c>
    </row>
    <row r="19" spans="1:339" x14ac:dyDescent="0.3">
      <c r="A19" s="2" t="s">
        <v>819</v>
      </c>
      <c r="B19" s="2" t="s">
        <v>820</v>
      </c>
      <c r="C19" s="2" t="s">
        <v>695</v>
      </c>
      <c r="F19" s="2" t="s">
        <v>422</v>
      </c>
      <c r="G19" s="2" t="s">
        <v>429</v>
      </c>
      <c r="H19" s="2" t="s">
        <v>803</v>
      </c>
      <c r="I19" s="2" t="s">
        <v>803</v>
      </c>
      <c r="R19" s="2" t="s">
        <v>422</v>
      </c>
      <c r="S19" s="2" t="s">
        <v>697</v>
      </c>
      <c r="T19" s="2" t="s">
        <v>503</v>
      </c>
      <c r="AG19" s="2" t="s">
        <v>456</v>
      </c>
      <c r="BQ19" s="2" t="s">
        <v>456</v>
      </c>
      <c r="DZ19" s="2" t="s">
        <v>821</v>
      </c>
      <c r="EA19" s="2" t="s">
        <v>432</v>
      </c>
      <c r="EB19" s="2" t="s">
        <v>433</v>
      </c>
      <c r="EC19" s="2" t="s">
        <v>433</v>
      </c>
      <c r="ED19" s="2" t="s">
        <v>433</v>
      </c>
      <c r="EE19" s="2" t="s">
        <v>432</v>
      </c>
      <c r="EF19" s="2" t="s">
        <v>432</v>
      </c>
      <c r="EG19" s="2" t="s">
        <v>432</v>
      </c>
      <c r="EH19" s="2" t="s">
        <v>432</v>
      </c>
      <c r="EI19" s="2" t="s">
        <v>432</v>
      </c>
      <c r="EL19" s="2" t="s">
        <v>822</v>
      </c>
      <c r="EM19" s="2" t="s">
        <v>432</v>
      </c>
      <c r="EN19" s="2" t="s">
        <v>433</v>
      </c>
      <c r="EO19" s="2" t="s">
        <v>433</v>
      </c>
      <c r="EP19" s="2" t="s">
        <v>432</v>
      </c>
      <c r="EQ19" s="2" t="s">
        <v>432</v>
      </c>
      <c r="ER19" s="2" t="s">
        <v>432</v>
      </c>
      <c r="ES19" s="2" t="s">
        <v>432</v>
      </c>
      <c r="ET19" s="2" t="s">
        <v>432</v>
      </c>
      <c r="EU19" s="2" t="s">
        <v>432</v>
      </c>
      <c r="EV19" s="2" t="s">
        <v>432</v>
      </c>
      <c r="EX19" s="2" t="s">
        <v>430</v>
      </c>
      <c r="EY19" s="2" t="s">
        <v>823</v>
      </c>
      <c r="EZ19" s="2" t="s">
        <v>432</v>
      </c>
      <c r="FA19" s="2" t="s">
        <v>432</v>
      </c>
      <c r="FB19" s="2" t="s">
        <v>432</v>
      </c>
      <c r="FC19" s="2" t="s">
        <v>432</v>
      </c>
      <c r="FD19" s="2" t="s">
        <v>433</v>
      </c>
      <c r="FE19" s="2" t="s">
        <v>433</v>
      </c>
      <c r="FF19" s="2" t="s">
        <v>432</v>
      </c>
      <c r="FG19" s="2" t="s">
        <v>432</v>
      </c>
      <c r="FH19" s="2" t="s">
        <v>432</v>
      </c>
      <c r="FI19" s="2" t="s">
        <v>432</v>
      </c>
      <c r="FJ19" s="2" t="s">
        <v>432</v>
      </c>
      <c r="FK19" s="2" t="s">
        <v>432</v>
      </c>
      <c r="FL19" s="2" t="s">
        <v>432</v>
      </c>
      <c r="FM19" s="2" t="s">
        <v>432</v>
      </c>
      <c r="FO19" s="2" t="s">
        <v>481</v>
      </c>
      <c r="FP19" s="2" t="s">
        <v>481</v>
      </c>
      <c r="FQ19" s="2" t="s">
        <v>482</v>
      </c>
      <c r="FR19" s="2" t="s">
        <v>432</v>
      </c>
      <c r="FS19" s="2" t="s">
        <v>433</v>
      </c>
      <c r="FT19" s="2" t="s">
        <v>432</v>
      </c>
      <c r="FU19" s="2" t="s">
        <v>432</v>
      </c>
      <c r="FV19" s="2" t="s">
        <v>432</v>
      </c>
      <c r="FW19" s="2" t="s">
        <v>432</v>
      </c>
      <c r="FX19" s="2" t="s">
        <v>432</v>
      </c>
      <c r="FY19" s="2" t="s">
        <v>432</v>
      </c>
      <c r="GA19" s="2" t="s">
        <v>483</v>
      </c>
      <c r="GB19" s="2" t="s">
        <v>483</v>
      </c>
      <c r="GC19" s="2" t="s">
        <v>510</v>
      </c>
      <c r="GD19" s="2" t="s">
        <v>432</v>
      </c>
      <c r="GE19" s="2" t="s">
        <v>433</v>
      </c>
      <c r="GF19" s="2" t="s">
        <v>432</v>
      </c>
      <c r="GG19" s="2" t="s">
        <v>433</v>
      </c>
      <c r="GH19" s="2" t="s">
        <v>433</v>
      </c>
      <c r="GI19" s="2" t="s">
        <v>432</v>
      </c>
      <c r="GJ19" s="2" t="s">
        <v>432</v>
      </c>
      <c r="GK19" s="2" t="s">
        <v>432</v>
      </c>
      <c r="GL19" s="2" t="s">
        <v>432</v>
      </c>
      <c r="GN19" s="2" t="s">
        <v>601</v>
      </c>
      <c r="GO19" s="2" t="s">
        <v>601</v>
      </c>
      <c r="GP19" s="2" t="s">
        <v>733</v>
      </c>
      <c r="GQ19" s="2" t="s">
        <v>433</v>
      </c>
      <c r="GR19" s="2" t="s">
        <v>433</v>
      </c>
      <c r="GS19" s="2" t="s">
        <v>432</v>
      </c>
      <c r="GT19" s="2" t="s">
        <v>433</v>
      </c>
      <c r="GU19" s="2" t="s">
        <v>432</v>
      </c>
      <c r="GV19" s="2" t="s">
        <v>432</v>
      </c>
      <c r="GW19" s="2" t="s">
        <v>432</v>
      </c>
      <c r="GX19" s="2" t="s">
        <v>432</v>
      </c>
      <c r="GZ19" s="2" t="s">
        <v>812</v>
      </c>
      <c r="HA19" s="2" t="s">
        <v>433</v>
      </c>
      <c r="HB19" s="2" t="s">
        <v>433</v>
      </c>
      <c r="HC19" s="2" t="s">
        <v>432</v>
      </c>
      <c r="HD19" s="2" t="s">
        <v>432</v>
      </c>
      <c r="HE19" s="2" t="s">
        <v>432</v>
      </c>
      <c r="HF19" s="2" t="s">
        <v>432</v>
      </c>
      <c r="HI19" s="2" t="s">
        <v>456</v>
      </c>
      <c r="HV19" s="2" t="s">
        <v>430</v>
      </c>
      <c r="IN19" s="2" t="s">
        <v>433</v>
      </c>
      <c r="IO19" s="2" t="s">
        <v>824</v>
      </c>
      <c r="IP19" s="2" t="s">
        <v>432</v>
      </c>
      <c r="IQ19" s="2" t="s">
        <v>433</v>
      </c>
      <c r="IR19" s="2" t="s">
        <v>432</v>
      </c>
      <c r="IS19" s="2" t="s">
        <v>432</v>
      </c>
      <c r="IT19" s="2" t="s">
        <v>433</v>
      </c>
      <c r="IU19" s="2" t="s">
        <v>432</v>
      </c>
      <c r="IV19" s="2" t="s">
        <v>432</v>
      </c>
      <c r="IW19" s="2" t="s">
        <v>432</v>
      </c>
      <c r="IX19" s="2" t="s">
        <v>432</v>
      </c>
      <c r="IY19" s="2" t="s">
        <v>432</v>
      </c>
      <c r="JA19" s="2" t="s">
        <v>491</v>
      </c>
      <c r="JB19" s="2" t="s">
        <v>432</v>
      </c>
      <c r="JC19" s="2" t="s">
        <v>433</v>
      </c>
      <c r="JD19" s="2" t="s">
        <v>432</v>
      </c>
      <c r="JE19" s="2" t="s">
        <v>432</v>
      </c>
      <c r="JF19" s="2" t="s">
        <v>432</v>
      </c>
      <c r="JG19" s="2" t="s">
        <v>432</v>
      </c>
      <c r="JT19" s="2" t="s">
        <v>664</v>
      </c>
      <c r="JU19" s="2" t="s">
        <v>432</v>
      </c>
      <c r="JV19" s="2" t="s">
        <v>432</v>
      </c>
      <c r="JW19" s="2" t="s">
        <v>433</v>
      </c>
      <c r="JX19" s="2" t="s">
        <v>432</v>
      </c>
      <c r="JY19" s="2" t="s">
        <v>432</v>
      </c>
      <c r="JZ19" s="2" t="s">
        <v>432</v>
      </c>
      <c r="KA19" s="2" t="s">
        <v>432</v>
      </c>
      <c r="KB19" s="2" t="s">
        <v>432</v>
      </c>
      <c r="KC19" s="2" t="s">
        <v>432</v>
      </c>
      <c r="KF19" s="2" t="s">
        <v>456</v>
      </c>
      <c r="LB19" s="2" t="s">
        <v>456</v>
      </c>
      <c r="LP19" s="2" t="s">
        <v>430</v>
      </c>
      <c r="LR19" s="2" t="s">
        <v>816</v>
      </c>
      <c r="LS19" s="2">
        <v>169219605</v>
      </c>
      <c r="LT19" s="2" t="s">
        <v>825</v>
      </c>
      <c r="LU19" s="2" t="s">
        <v>826</v>
      </c>
      <c r="LW19" s="2" t="s">
        <v>460</v>
      </c>
      <c r="LX19" s="2" t="s">
        <v>461</v>
      </c>
      <c r="LY19" s="2" t="s">
        <v>462</v>
      </c>
      <c r="MA19" s="2">
        <v>18</v>
      </c>
    </row>
    <row r="20" spans="1:339" x14ac:dyDescent="0.3">
      <c r="A20" s="2" t="s">
        <v>827</v>
      </c>
      <c r="B20" s="2" t="s">
        <v>828</v>
      </c>
      <c r="C20" s="2" t="s">
        <v>695</v>
      </c>
      <c r="F20" s="2" t="s">
        <v>422</v>
      </c>
      <c r="G20" s="2" t="s">
        <v>633</v>
      </c>
      <c r="H20" s="2" t="s">
        <v>633</v>
      </c>
      <c r="I20" s="2" t="s">
        <v>427</v>
      </c>
      <c r="J20" s="2" t="s">
        <v>829</v>
      </c>
      <c r="R20" s="2" t="s">
        <v>422</v>
      </c>
      <c r="S20" s="2" t="s">
        <v>830</v>
      </c>
      <c r="T20" s="2" t="s">
        <v>426</v>
      </c>
      <c r="Z20" s="2" t="s">
        <v>428</v>
      </c>
      <c r="AA20" s="2" t="s">
        <v>429</v>
      </c>
      <c r="AB20" s="2" t="s">
        <v>633</v>
      </c>
      <c r="AG20" s="2" t="s">
        <v>456</v>
      </c>
      <c r="BQ20" s="2" t="s">
        <v>430</v>
      </c>
      <c r="BR20" s="2" t="s">
        <v>831</v>
      </c>
      <c r="BS20" s="2" t="s">
        <v>432</v>
      </c>
      <c r="BT20" s="2" t="s">
        <v>432</v>
      </c>
      <c r="BU20" s="2" t="s">
        <v>433</v>
      </c>
      <c r="BV20" s="2" t="s">
        <v>432</v>
      </c>
      <c r="BW20" s="2" t="s">
        <v>432</v>
      </c>
      <c r="BX20" s="2" t="s">
        <v>433</v>
      </c>
      <c r="BY20" s="2" t="s">
        <v>432</v>
      </c>
      <c r="BZ20" s="2" t="s">
        <v>432</v>
      </c>
      <c r="CA20" s="2" t="s">
        <v>432</v>
      </c>
      <c r="CB20" s="2" t="s">
        <v>432</v>
      </c>
      <c r="CC20" s="2" t="s">
        <v>432</v>
      </c>
      <c r="CD20" s="2" t="s">
        <v>432</v>
      </c>
      <c r="CE20" s="2" t="s">
        <v>433</v>
      </c>
      <c r="CF20" s="2" t="s">
        <v>432</v>
      </c>
      <c r="CG20" s="2" t="s">
        <v>432</v>
      </c>
      <c r="CH20" s="2" t="s">
        <v>832</v>
      </c>
      <c r="CI20" s="2" t="s">
        <v>596</v>
      </c>
      <c r="CJ20" s="2" t="s">
        <v>432</v>
      </c>
      <c r="CK20" s="2" t="s">
        <v>432</v>
      </c>
      <c r="CL20" s="2" t="s">
        <v>433</v>
      </c>
      <c r="CM20" s="2" t="s">
        <v>432</v>
      </c>
      <c r="CN20" s="2" t="s">
        <v>433</v>
      </c>
      <c r="CO20" s="2" t="s">
        <v>432</v>
      </c>
      <c r="CP20" s="2" t="s">
        <v>432</v>
      </c>
      <c r="CQ20" s="2" t="s">
        <v>432</v>
      </c>
      <c r="CR20" s="2" t="s">
        <v>432</v>
      </c>
      <c r="CS20" s="2" t="s">
        <v>432</v>
      </c>
      <c r="CT20" s="2" t="s">
        <v>432</v>
      </c>
      <c r="CU20" s="2" t="s">
        <v>432</v>
      </c>
      <c r="CV20" s="2" t="s">
        <v>432</v>
      </c>
      <c r="CW20" s="2" t="s">
        <v>432</v>
      </c>
      <c r="CY20" s="2" t="s">
        <v>433</v>
      </c>
      <c r="CZ20" s="2" t="s">
        <v>547</v>
      </c>
      <c r="DZ20" s="2" t="s">
        <v>833</v>
      </c>
      <c r="EA20" s="2" t="s">
        <v>433</v>
      </c>
      <c r="EB20" s="2" t="s">
        <v>433</v>
      </c>
      <c r="EC20" s="2" t="s">
        <v>432</v>
      </c>
      <c r="ED20" s="2" t="s">
        <v>433</v>
      </c>
      <c r="EE20" s="2" t="s">
        <v>432</v>
      </c>
      <c r="EF20" s="2" t="s">
        <v>433</v>
      </c>
      <c r="EG20" s="2" t="s">
        <v>432</v>
      </c>
      <c r="EH20" s="2" t="s">
        <v>432</v>
      </c>
      <c r="EI20" s="2" t="s">
        <v>432</v>
      </c>
      <c r="EL20" s="2" t="s">
        <v>834</v>
      </c>
      <c r="EM20" s="2" t="s">
        <v>432</v>
      </c>
      <c r="EN20" s="2" t="s">
        <v>433</v>
      </c>
      <c r="EO20" s="2" t="s">
        <v>433</v>
      </c>
      <c r="EP20" s="2" t="s">
        <v>432</v>
      </c>
      <c r="EQ20" s="2" t="s">
        <v>433</v>
      </c>
      <c r="ER20" s="2" t="s">
        <v>433</v>
      </c>
      <c r="ES20" s="2" t="s">
        <v>432</v>
      </c>
      <c r="ET20" s="2" t="s">
        <v>432</v>
      </c>
      <c r="EU20" s="2" t="s">
        <v>432</v>
      </c>
      <c r="EV20" s="2" t="s">
        <v>432</v>
      </c>
      <c r="EX20" s="2" t="s">
        <v>430</v>
      </c>
      <c r="EY20" s="2" t="s">
        <v>835</v>
      </c>
      <c r="EZ20" s="2" t="s">
        <v>432</v>
      </c>
      <c r="FA20" s="2" t="s">
        <v>432</v>
      </c>
      <c r="FB20" s="2" t="s">
        <v>432</v>
      </c>
      <c r="FC20" s="2" t="s">
        <v>433</v>
      </c>
      <c r="FD20" s="2" t="s">
        <v>433</v>
      </c>
      <c r="FE20" s="2" t="s">
        <v>433</v>
      </c>
      <c r="FF20" s="2" t="s">
        <v>432</v>
      </c>
      <c r="FG20" s="2" t="s">
        <v>432</v>
      </c>
      <c r="FH20" s="2" t="s">
        <v>432</v>
      </c>
      <c r="FI20" s="2" t="s">
        <v>432</v>
      </c>
      <c r="FJ20" s="2" t="s">
        <v>433</v>
      </c>
      <c r="FK20" s="2" t="s">
        <v>432</v>
      </c>
      <c r="FL20" s="2" t="s">
        <v>432</v>
      </c>
      <c r="FM20" s="2" t="s">
        <v>432</v>
      </c>
      <c r="FO20" s="2" t="s">
        <v>481</v>
      </c>
      <c r="FP20" s="2" t="s">
        <v>481</v>
      </c>
      <c r="FQ20" s="2" t="s">
        <v>836</v>
      </c>
      <c r="FR20" s="2" t="s">
        <v>433</v>
      </c>
      <c r="FS20" s="2" t="s">
        <v>433</v>
      </c>
      <c r="FT20" s="2" t="s">
        <v>432</v>
      </c>
      <c r="FU20" s="2" t="s">
        <v>432</v>
      </c>
      <c r="FV20" s="2" t="s">
        <v>432</v>
      </c>
      <c r="FW20" s="2" t="s">
        <v>432</v>
      </c>
      <c r="FX20" s="2" t="s">
        <v>432</v>
      </c>
      <c r="FY20" s="2" t="s">
        <v>432</v>
      </c>
      <c r="GA20" s="2" t="s">
        <v>444</v>
      </c>
      <c r="GB20" s="2" t="s">
        <v>444</v>
      </c>
      <c r="GC20" s="2" t="s">
        <v>510</v>
      </c>
      <c r="GD20" s="2" t="s">
        <v>432</v>
      </c>
      <c r="GE20" s="2" t="s">
        <v>433</v>
      </c>
      <c r="GF20" s="2" t="s">
        <v>432</v>
      </c>
      <c r="GG20" s="2" t="s">
        <v>433</v>
      </c>
      <c r="GH20" s="2" t="s">
        <v>433</v>
      </c>
      <c r="GI20" s="2" t="s">
        <v>432</v>
      </c>
      <c r="GJ20" s="2" t="s">
        <v>432</v>
      </c>
      <c r="GK20" s="2" t="s">
        <v>432</v>
      </c>
      <c r="GL20" s="2" t="s">
        <v>432</v>
      </c>
      <c r="GN20" s="2" t="s">
        <v>481</v>
      </c>
      <c r="GO20" s="2" t="s">
        <v>481</v>
      </c>
      <c r="GP20" s="2" t="s">
        <v>837</v>
      </c>
      <c r="GQ20" s="2" t="s">
        <v>433</v>
      </c>
      <c r="GR20" s="2" t="s">
        <v>433</v>
      </c>
      <c r="GS20" s="2" t="s">
        <v>432</v>
      </c>
      <c r="GT20" s="2" t="s">
        <v>432</v>
      </c>
      <c r="GU20" s="2" t="s">
        <v>432</v>
      </c>
      <c r="GV20" s="2" t="s">
        <v>433</v>
      </c>
      <c r="GW20" s="2" t="s">
        <v>432</v>
      </c>
      <c r="GX20" s="2" t="s">
        <v>432</v>
      </c>
      <c r="GZ20" s="2" t="s">
        <v>643</v>
      </c>
      <c r="HA20" s="2" t="s">
        <v>433</v>
      </c>
      <c r="HB20" s="2" t="s">
        <v>432</v>
      </c>
      <c r="HC20" s="2" t="s">
        <v>432</v>
      </c>
      <c r="HD20" s="2" t="s">
        <v>432</v>
      </c>
      <c r="HE20" s="2" t="s">
        <v>432</v>
      </c>
      <c r="HF20" s="2" t="s">
        <v>432</v>
      </c>
      <c r="HI20" s="2" t="s">
        <v>442</v>
      </c>
      <c r="HJ20" s="2" t="s">
        <v>532</v>
      </c>
      <c r="HK20" s="2" t="s">
        <v>432</v>
      </c>
      <c r="HL20" s="2" t="s">
        <v>432</v>
      </c>
      <c r="HM20" s="2" t="s">
        <v>432</v>
      </c>
      <c r="HN20" s="2" t="s">
        <v>432</v>
      </c>
      <c r="HO20" s="2" t="s">
        <v>433</v>
      </c>
      <c r="HP20" s="2" t="s">
        <v>432</v>
      </c>
      <c r="HQ20" s="2" t="s">
        <v>432</v>
      </c>
      <c r="HR20" s="2" t="s">
        <v>432</v>
      </c>
      <c r="HS20" s="2" t="s">
        <v>432</v>
      </c>
      <c r="HT20" s="2" t="s">
        <v>432</v>
      </c>
      <c r="HV20" s="2" t="s">
        <v>430</v>
      </c>
      <c r="HX20" s="2" t="s">
        <v>838</v>
      </c>
      <c r="HY20" s="2" t="s">
        <v>432</v>
      </c>
      <c r="HZ20" s="2" t="s">
        <v>432</v>
      </c>
      <c r="IA20" s="2" t="s">
        <v>433</v>
      </c>
      <c r="IB20" s="2" t="s">
        <v>432</v>
      </c>
      <c r="IC20" s="2" t="s">
        <v>433</v>
      </c>
      <c r="ID20" s="2" t="s">
        <v>433</v>
      </c>
      <c r="IE20" s="2" t="s">
        <v>432</v>
      </c>
      <c r="IF20" s="2" t="s">
        <v>433</v>
      </c>
      <c r="IG20" s="2" t="s">
        <v>432</v>
      </c>
      <c r="IH20" s="2" t="s">
        <v>432</v>
      </c>
      <c r="II20" s="2" t="s">
        <v>432</v>
      </c>
      <c r="IJ20" s="2" t="s">
        <v>432</v>
      </c>
      <c r="IK20" s="2" t="s">
        <v>432</v>
      </c>
      <c r="IL20" s="2" t="s">
        <v>432</v>
      </c>
      <c r="IN20" s="2" t="s">
        <v>839</v>
      </c>
      <c r="IO20" s="2" t="s">
        <v>514</v>
      </c>
      <c r="IP20" s="2" t="s">
        <v>432</v>
      </c>
      <c r="IQ20" s="2" t="s">
        <v>433</v>
      </c>
      <c r="IR20" s="2" t="s">
        <v>433</v>
      </c>
      <c r="IS20" s="2" t="s">
        <v>432</v>
      </c>
      <c r="IT20" s="2" t="s">
        <v>433</v>
      </c>
      <c r="IU20" s="2" t="s">
        <v>432</v>
      </c>
      <c r="IV20" s="2" t="s">
        <v>432</v>
      </c>
      <c r="IW20" s="2" t="s">
        <v>432</v>
      </c>
      <c r="IX20" s="2" t="s">
        <v>432</v>
      </c>
      <c r="IY20" s="2" t="s">
        <v>432</v>
      </c>
      <c r="JA20" s="2" t="s">
        <v>840</v>
      </c>
      <c r="JB20" s="2" t="s">
        <v>432</v>
      </c>
      <c r="JC20" s="2" t="s">
        <v>433</v>
      </c>
      <c r="JD20" s="2" t="s">
        <v>433</v>
      </c>
      <c r="JE20" s="2" t="s">
        <v>433</v>
      </c>
      <c r="JF20" s="2" t="s">
        <v>432</v>
      </c>
      <c r="JG20" s="2" t="s">
        <v>432</v>
      </c>
      <c r="JH20" s="2" t="s">
        <v>841</v>
      </c>
      <c r="JT20" s="2" t="s">
        <v>842</v>
      </c>
      <c r="JU20" s="2" t="s">
        <v>433</v>
      </c>
      <c r="JV20" s="2" t="s">
        <v>432</v>
      </c>
      <c r="JW20" s="2" t="s">
        <v>432</v>
      </c>
      <c r="JX20" s="2" t="s">
        <v>433</v>
      </c>
      <c r="JY20" s="2" t="s">
        <v>433</v>
      </c>
      <c r="JZ20" s="2" t="s">
        <v>433</v>
      </c>
      <c r="KA20" s="2" t="s">
        <v>432</v>
      </c>
      <c r="KB20" s="2" t="s">
        <v>432</v>
      </c>
      <c r="KC20" s="2" t="s">
        <v>432</v>
      </c>
      <c r="KF20" s="2" t="s">
        <v>456</v>
      </c>
      <c r="LB20" s="2" t="s">
        <v>456</v>
      </c>
      <c r="LP20" s="2" t="s">
        <v>430</v>
      </c>
      <c r="LR20" s="2" t="s">
        <v>843</v>
      </c>
      <c r="LS20" s="2">
        <v>169235210</v>
      </c>
      <c r="LT20" s="2" t="s">
        <v>844</v>
      </c>
      <c r="LU20" s="2" t="s">
        <v>845</v>
      </c>
      <c r="LW20" s="2" t="s">
        <v>460</v>
      </c>
      <c r="LX20" s="2" t="s">
        <v>461</v>
      </c>
      <c r="LY20" s="2" t="s">
        <v>462</v>
      </c>
      <c r="MA20" s="2">
        <v>19</v>
      </c>
    </row>
    <row r="21" spans="1:339" x14ac:dyDescent="0.3">
      <c r="A21" s="2" t="s">
        <v>846</v>
      </c>
      <c r="B21" s="2" t="s">
        <v>847</v>
      </c>
      <c r="C21" s="2" t="s">
        <v>695</v>
      </c>
      <c r="F21" s="2" t="s">
        <v>422</v>
      </c>
      <c r="G21" s="2" t="s">
        <v>633</v>
      </c>
      <c r="H21" s="2" t="s">
        <v>633</v>
      </c>
      <c r="I21" s="2" t="s">
        <v>427</v>
      </c>
      <c r="J21" s="2" t="s">
        <v>848</v>
      </c>
      <c r="R21" s="2" t="s">
        <v>422</v>
      </c>
      <c r="S21" s="2" t="s">
        <v>849</v>
      </c>
      <c r="T21" s="2" t="s">
        <v>426</v>
      </c>
      <c r="Z21" s="2" t="s">
        <v>428</v>
      </c>
      <c r="AA21" s="2" t="s">
        <v>429</v>
      </c>
      <c r="AB21" s="2" t="s">
        <v>633</v>
      </c>
      <c r="AG21" s="2" t="s">
        <v>456</v>
      </c>
      <c r="BQ21" s="2" t="s">
        <v>456</v>
      </c>
      <c r="DZ21" s="2" t="s">
        <v>850</v>
      </c>
      <c r="EA21" s="2" t="s">
        <v>433</v>
      </c>
      <c r="EB21" s="2" t="s">
        <v>433</v>
      </c>
      <c r="EC21" s="2" t="s">
        <v>433</v>
      </c>
      <c r="ED21" s="2" t="s">
        <v>433</v>
      </c>
      <c r="EE21" s="2" t="s">
        <v>433</v>
      </c>
      <c r="EF21" s="2" t="s">
        <v>432</v>
      </c>
      <c r="EG21" s="2" t="s">
        <v>432</v>
      </c>
      <c r="EH21" s="2" t="s">
        <v>432</v>
      </c>
      <c r="EI21" s="2" t="s">
        <v>432</v>
      </c>
      <c r="EL21" s="2" t="s">
        <v>572</v>
      </c>
      <c r="EM21" s="2" t="s">
        <v>432</v>
      </c>
      <c r="EN21" s="2" t="s">
        <v>433</v>
      </c>
      <c r="EO21" s="2" t="s">
        <v>433</v>
      </c>
      <c r="EP21" s="2" t="s">
        <v>432</v>
      </c>
      <c r="EQ21" s="2" t="s">
        <v>432</v>
      </c>
      <c r="ER21" s="2" t="s">
        <v>432</v>
      </c>
      <c r="ES21" s="2" t="s">
        <v>432</v>
      </c>
      <c r="ET21" s="2" t="s">
        <v>432</v>
      </c>
      <c r="EU21" s="2" t="s">
        <v>432</v>
      </c>
      <c r="EV21" s="2" t="s">
        <v>432</v>
      </c>
      <c r="EX21" s="2" t="s">
        <v>430</v>
      </c>
      <c r="EY21" s="2" t="s">
        <v>851</v>
      </c>
      <c r="EZ21" s="2" t="s">
        <v>432</v>
      </c>
      <c r="FA21" s="2" t="s">
        <v>432</v>
      </c>
      <c r="FB21" s="2" t="s">
        <v>432</v>
      </c>
      <c r="FC21" s="2" t="s">
        <v>433</v>
      </c>
      <c r="FD21" s="2" t="s">
        <v>433</v>
      </c>
      <c r="FE21" s="2" t="s">
        <v>433</v>
      </c>
      <c r="FF21" s="2" t="s">
        <v>432</v>
      </c>
      <c r="FG21" s="2" t="s">
        <v>432</v>
      </c>
      <c r="FH21" s="2" t="s">
        <v>433</v>
      </c>
      <c r="FI21" s="2" t="s">
        <v>432</v>
      </c>
      <c r="FJ21" s="2" t="s">
        <v>433</v>
      </c>
      <c r="FK21" s="2" t="s">
        <v>432</v>
      </c>
      <c r="FL21" s="2" t="s">
        <v>432</v>
      </c>
      <c r="FM21" s="2" t="s">
        <v>432</v>
      </c>
      <c r="FO21" s="2" t="s">
        <v>481</v>
      </c>
      <c r="FP21" s="2" t="s">
        <v>442</v>
      </c>
      <c r="FQ21" s="2" t="s">
        <v>620</v>
      </c>
      <c r="FR21" s="2" t="s">
        <v>433</v>
      </c>
      <c r="FS21" s="2" t="s">
        <v>433</v>
      </c>
      <c r="FT21" s="2" t="s">
        <v>432</v>
      </c>
      <c r="FU21" s="2" t="s">
        <v>432</v>
      </c>
      <c r="FV21" s="2" t="s">
        <v>432</v>
      </c>
      <c r="FW21" s="2" t="s">
        <v>432</v>
      </c>
      <c r="FX21" s="2" t="s">
        <v>432</v>
      </c>
      <c r="FY21" s="2" t="s">
        <v>432</v>
      </c>
      <c r="GA21" s="2" t="s">
        <v>444</v>
      </c>
      <c r="GB21" s="2" t="s">
        <v>483</v>
      </c>
      <c r="GC21" s="2" t="s">
        <v>510</v>
      </c>
      <c r="GD21" s="2" t="s">
        <v>432</v>
      </c>
      <c r="GE21" s="2" t="s">
        <v>433</v>
      </c>
      <c r="GF21" s="2" t="s">
        <v>432</v>
      </c>
      <c r="GG21" s="2" t="s">
        <v>433</v>
      </c>
      <c r="GH21" s="2" t="s">
        <v>433</v>
      </c>
      <c r="GI21" s="2" t="s">
        <v>432</v>
      </c>
      <c r="GJ21" s="2" t="s">
        <v>432</v>
      </c>
      <c r="GK21" s="2" t="s">
        <v>432</v>
      </c>
      <c r="GL21" s="2" t="s">
        <v>432</v>
      </c>
      <c r="GN21" s="2" t="s">
        <v>481</v>
      </c>
      <c r="GO21" s="2" t="s">
        <v>481</v>
      </c>
      <c r="GP21" s="2" t="s">
        <v>642</v>
      </c>
      <c r="GQ21" s="2" t="s">
        <v>433</v>
      </c>
      <c r="GR21" s="2" t="s">
        <v>433</v>
      </c>
      <c r="GS21" s="2" t="s">
        <v>433</v>
      </c>
      <c r="GT21" s="2" t="s">
        <v>432</v>
      </c>
      <c r="GU21" s="2" t="s">
        <v>432</v>
      </c>
      <c r="GV21" s="2" t="s">
        <v>432</v>
      </c>
      <c r="GW21" s="2" t="s">
        <v>432</v>
      </c>
      <c r="GX21" s="2" t="s">
        <v>432</v>
      </c>
      <c r="GZ21" s="2" t="s">
        <v>643</v>
      </c>
      <c r="HA21" s="2" t="s">
        <v>433</v>
      </c>
      <c r="HB21" s="2" t="s">
        <v>432</v>
      </c>
      <c r="HC21" s="2" t="s">
        <v>432</v>
      </c>
      <c r="HD21" s="2" t="s">
        <v>432</v>
      </c>
      <c r="HE21" s="2" t="s">
        <v>432</v>
      </c>
      <c r="HF21" s="2" t="s">
        <v>432</v>
      </c>
      <c r="HI21" s="2" t="s">
        <v>442</v>
      </c>
      <c r="HJ21" s="2" t="s">
        <v>852</v>
      </c>
      <c r="HK21" s="2" t="s">
        <v>433</v>
      </c>
      <c r="HL21" s="2" t="s">
        <v>433</v>
      </c>
      <c r="HM21" s="2" t="s">
        <v>433</v>
      </c>
      <c r="HN21" s="2" t="s">
        <v>433</v>
      </c>
      <c r="HO21" s="2" t="s">
        <v>433</v>
      </c>
      <c r="HP21" s="2" t="s">
        <v>433</v>
      </c>
      <c r="HQ21" s="2" t="s">
        <v>432</v>
      </c>
      <c r="HR21" s="2" t="s">
        <v>432</v>
      </c>
      <c r="HS21" s="2" t="s">
        <v>432</v>
      </c>
      <c r="HT21" s="2" t="s">
        <v>432</v>
      </c>
      <c r="HV21" s="2" t="s">
        <v>430</v>
      </c>
      <c r="IN21" s="2" t="s">
        <v>853</v>
      </c>
      <c r="IO21" s="2" t="s">
        <v>514</v>
      </c>
      <c r="IP21" s="2" t="s">
        <v>432</v>
      </c>
      <c r="IQ21" s="2" t="s">
        <v>433</v>
      </c>
      <c r="IR21" s="2" t="s">
        <v>433</v>
      </c>
      <c r="IS21" s="2" t="s">
        <v>432</v>
      </c>
      <c r="IT21" s="2" t="s">
        <v>433</v>
      </c>
      <c r="IU21" s="2" t="s">
        <v>432</v>
      </c>
      <c r="IV21" s="2" t="s">
        <v>432</v>
      </c>
      <c r="IW21" s="2" t="s">
        <v>432</v>
      </c>
      <c r="IX21" s="2" t="s">
        <v>432</v>
      </c>
      <c r="IY21" s="2" t="s">
        <v>432</v>
      </c>
      <c r="JA21" s="2" t="s">
        <v>738</v>
      </c>
      <c r="JB21" s="2" t="s">
        <v>432</v>
      </c>
      <c r="JC21" s="2" t="s">
        <v>433</v>
      </c>
      <c r="JD21" s="2" t="s">
        <v>433</v>
      </c>
      <c r="JE21" s="2" t="s">
        <v>432</v>
      </c>
      <c r="JF21" s="2" t="s">
        <v>432</v>
      </c>
      <c r="JG21" s="2" t="s">
        <v>432</v>
      </c>
      <c r="JT21" s="2" t="s">
        <v>854</v>
      </c>
      <c r="JU21" s="2" t="s">
        <v>433</v>
      </c>
      <c r="JV21" s="2" t="s">
        <v>432</v>
      </c>
      <c r="JW21" s="2" t="s">
        <v>432</v>
      </c>
      <c r="JX21" s="2" t="s">
        <v>432</v>
      </c>
      <c r="JY21" s="2" t="s">
        <v>433</v>
      </c>
      <c r="JZ21" s="2" t="s">
        <v>433</v>
      </c>
      <c r="KA21" s="2" t="s">
        <v>432</v>
      </c>
      <c r="KB21" s="2" t="s">
        <v>432</v>
      </c>
      <c r="KC21" s="2" t="s">
        <v>432</v>
      </c>
      <c r="KF21" s="2" t="s">
        <v>456</v>
      </c>
      <c r="LB21" s="2" t="s">
        <v>456</v>
      </c>
      <c r="LP21" s="2" t="s">
        <v>430</v>
      </c>
      <c r="LR21" s="2" t="s">
        <v>855</v>
      </c>
      <c r="LS21" s="2">
        <v>169235217</v>
      </c>
      <c r="LT21" s="2" t="s">
        <v>856</v>
      </c>
      <c r="LU21" s="2" t="s">
        <v>857</v>
      </c>
      <c r="LW21" s="2" t="s">
        <v>460</v>
      </c>
      <c r="LX21" s="2" t="s">
        <v>461</v>
      </c>
      <c r="LY21" s="2" t="s">
        <v>462</v>
      </c>
      <c r="MA21" s="2">
        <v>20</v>
      </c>
    </row>
    <row r="22" spans="1:339" x14ac:dyDescent="0.3">
      <c r="A22" s="2" t="s">
        <v>871</v>
      </c>
      <c r="B22" s="2" t="s">
        <v>872</v>
      </c>
      <c r="C22" s="2" t="s">
        <v>695</v>
      </c>
      <c r="F22" s="2" t="s">
        <v>422</v>
      </c>
      <c r="G22" s="2" t="s">
        <v>423</v>
      </c>
      <c r="H22" s="2" t="s">
        <v>423</v>
      </c>
      <c r="I22" s="2" t="s">
        <v>423</v>
      </c>
      <c r="R22" s="2" t="s">
        <v>422</v>
      </c>
      <c r="S22" s="2" t="s">
        <v>657</v>
      </c>
      <c r="T22" s="2" t="s">
        <v>544</v>
      </c>
      <c r="U22" s="2" t="s">
        <v>873</v>
      </c>
      <c r="AG22" s="2" t="s">
        <v>430</v>
      </c>
      <c r="AH22" s="2" t="s">
        <v>874</v>
      </c>
      <c r="AI22" s="2" t="s">
        <v>432</v>
      </c>
      <c r="AJ22" s="2" t="s">
        <v>432</v>
      </c>
      <c r="AK22" s="2" t="s">
        <v>433</v>
      </c>
      <c r="AL22" s="2" t="s">
        <v>433</v>
      </c>
      <c r="AM22" s="2" t="s">
        <v>433</v>
      </c>
      <c r="AN22" s="2" t="s">
        <v>432</v>
      </c>
      <c r="AO22" s="2" t="s">
        <v>433</v>
      </c>
      <c r="AP22" s="2" t="s">
        <v>433</v>
      </c>
      <c r="AQ22" s="2" t="s">
        <v>432</v>
      </c>
      <c r="AR22" s="2" t="s">
        <v>432</v>
      </c>
      <c r="AS22" s="2" t="s">
        <v>432</v>
      </c>
      <c r="AT22" s="2" t="s">
        <v>432</v>
      </c>
      <c r="AU22" s="2" t="s">
        <v>432</v>
      </c>
      <c r="AV22" s="2" t="s">
        <v>432</v>
      </c>
      <c r="AX22" s="2" t="s">
        <v>434</v>
      </c>
      <c r="AY22" s="2" t="s">
        <v>433</v>
      </c>
      <c r="AZ22" s="2" t="s">
        <v>433</v>
      </c>
      <c r="BA22" s="2" t="s">
        <v>433</v>
      </c>
      <c r="BB22" s="2" t="s">
        <v>432</v>
      </c>
      <c r="BC22" s="2" t="s">
        <v>432</v>
      </c>
      <c r="BD22" s="2" t="s">
        <v>432</v>
      </c>
      <c r="BE22" s="2" t="s">
        <v>433</v>
      </c>
      <c r="BF22" s="2" t="s">
        <v>433</v>
      </c>
      <c r="BG22" s="2" t="s">
        <v>432</v>
      </c>
      <c r="BH22" s="2" t="s">
        <v>432</v>
      </c>
      <c r="BI22" s="2" t="s">
        <v>432</v>
      </c>
      <c r="BJ22" s="2" t="s">
        <v>432</v>
      </c>
      <c r="BK22" s="2" t="s">
        <v>432</v>
      </c>
      <c r="BL22" s="2" t="s">
        <v>432</v>
      </c>
      <c r="BN22" s="2" t="s">
        <v>435</v>
      </c>
      <c r="BO22" s="2" t="s">
        <v>436</v>
      </c>
      <c r="BQ22" s="2" t="s">
        <v>430</v>
      </c>
      <c r="BR22" s="2" t="s">
        <v>875</v>
      </c>
      <c r="BS22" s="2" t="s">
        <v>433</v>
      </c>
      <c r="BT22" s="2" t="s">
        <v>433</v>
      </c>
      <c r="BU22" s="2" t="s">
        <v>433</v>
      </c>
      <c r="BV22" s="2" t="s">
        <v>432</v>
      </c>
      <c r="BW22" s="2" t="s">
        <v>432</v>
      </c>
      <c r="BX22" s="2" t="s">
        <v>432</v>
      </c>
      <c r="BY22" s="2" t="s">
        <v>433</v>
      </c>
      <c r="BZ22" s="2" t="s">
        <v>432</v>
      </c>
      <c r="CA22" s="2" t="s">
        <v>432</v>
      </c>
      <c r="CB22" s="2" t="s">
        <v>432</v>
      </c>
      <c r="CC22" s="2" t="s">
        <v>433</v>
      </c>
      <c r="CD22" s="2" t="s">
        <v>432</v>
      </c>
      <c r="CE22" s="2" t="s">
        <v>432</v>
      </c>
      <c r="CF22" s="2" t="s">
        <v>432</v>
      </c>
      <c r="CG22" s="2" t="s">
        <v>432</v>
      </c>
      <c r="CI22" s="2" t="s">
        <v>434</v>
      </c>
      <c r="CJ22" s="2" t="s">
        <v>433</v>
      </c>
      <c r="CK22" s="2" t="s">
        <v>433</v>
      </c>
      <c r="CL22" s="2" t="s">
        <v>433</v>
      </c>
      <c r="CM22" s="2" t="s">
        <v>432</v>
      </c>
      <c r="CN22" s="2" t="s">
        <v>432</v>
      </c>
      <c r="CO22" s="2" t="s">
        <v>432</v>
      </c>
      <c r="CP22" s="2" t="s">
        <v>433</v>
      </c>
      <c r="CQ22" s="2" t="s">
        <v>433</v>
      </c>
      <c r="CR22" s="2" t="s">
        <v>432</v>
      </c>
      <c r="CS22" s="2" t="s">
        <v>432</v>
      </c>
      <c r="CT22" s="2" t="s">
        <v>432</v>
      </c>
      <c r="CU22" s="2" t="s">
        <v>432</v>
      </c>
      <c r="CV22" s="2" t="s">
        <v>432</v>
      </c>
      <c r="CW22" s="2" t="s">
        <v>432</v>
      </c>
      <c r="CY22" s="2" t="s">
        <v>435</v>
      </c>
      <c r="CZ22" s="2" t="s">
        <v>436</v>
      </c>
      <c r="DB22" s="2" t="s">
        <v>876</v>
      </c>
      <c r="DC22" s="2" t="s">
        <v>433</v>
      </c>
      <c r="DD22" s="2" t="s">
        <v>433</v>
      </c>
      <c r="DE22" s="2" t="s">
        <v>432</v>
      </c>
      <c r="DF22" s="2" t="s">
        <v>432</v>
      </c>
      <c r="DG22" s="2" t="s">
        <v>432</v>
      </c>
      <c r="DH22" s="2" t="s">
        <v>432</v>
      </c>
      <c r="DI22" s="2" t="s">
        <v>433</v>
      </c>
      <c r="DJ22" s="2" t="s">
        <v>432</v>
      </c>
      <c r="DK22" s="2" t="s">
        <v>432</v>
      </c>
      <c r="DL22" s="2" t="s">
        <v>432</v>
      </c>
      <c r="DZ22" s="2" t="s">
        <v>877</v>
      </c>
      <c r="EA22" s="2" t="s">
        <v>433</v>
      </c>
      <c r="EB22" s="2" t="s">
        <v>432</v>
      </c>
      <c r="EC22" s="2" t="s">
        <v>433</v>
      </c>
      <c r="ED22" s="2" t="s">
        <v>433</v>
      </c>
      <c r="EE22" s="2" t="s">
        <v>432</v>
      </c>
      <c r="EF22" s="2" t="s">
        <v>432</v>
      </c>
      <c r="EG22" s="2" t="s">
        <v>432</v>
      </c>
      <c r="EH22" s="2" t="s">
        <v>432</v>
      </c>
      <c r="EI22" s="2" t="s">
        <v>432</v>
      </c>
      <c r="EL22" s="2" t="s">
        <v>878</v>
      </c>
      <c r="EM22" s="2" t="s">
        <v>433</v>
      </c>
      <c r="EN22" s="2" t="s">
        <v>432</v>
      </c>
      <c r="EO22" s="2" t="s">
        <v>433</v>
      </c>
      <c r="EP22" s="2" t="s">
        <v>433</v>
      </c>
      <c r="EQ22" s="2" t="s">
        <v>432</v>
      </c>
      <c r="ER22" s="2" t="s">
        <v>432</v>
      </c>
      <c r="ES22" s="2" t="s">
        <v>432</v>
      </c>
      <c r="ET22" s="2" t="s">
        <v>432</v>
      </c>
      <c r="EU22" s="2" t="s">
        <v>432</v>
      </c>
      <c r="EV22" s="2" t="s">
        <v>432</v>
      </c>
      <c r="EX22" s="2" t="s">
        <v>430</v>
      </c>
      <c r="EY22" s="2" t="s">
        <v>879</v>
      </c>
      <c r="EZ22" s="2" t="s">
        <v>432</v>
      </c>
      <c r="FA22" s="2" t="s">
        <v>432</v>
      </c>
      <c r="FB22" s="2" t="s">
        <v>432</v>
      </c>
      <c r="FC22" s="2" t="s">
        <v>433</v>
      </c>
      <c r="FD22" s="2" t="s">
        <v>433</v>
      </c>
      <c r="FE22" s="2" t="s">
        <v>432</v>
      </c>
      <c r="FF22" s="2" t="s">
        <v>433</v>
      </c>
      <c r="FG22" s="2" t="s">
        <v>433</v>
      </c>
      <c r="FH22" s="2" t="s">
        <v>432</v>
      </c>
      <c r="FI22" s="2" t="s">
        <v>432</v>
      </c>
      <c r="FJ22" s="2" t="s">
        <v>432</v>
      </c>
      <c r="FK22" s="2" t="s">
        <v>432</v>
      </c>
      <c r="FL22" s="2" t="s">
        <v>432</v>
      </c>
      <c r="FM22" s="2" t="s">
        <v>432</v>
      </c>
      <c r="FO22" s="2" t="s">
        <v>442</v>
      </c>
      <c r="FP22" s="2" t="s">
        <v>442</v>
      </c>
      <c r="FQ22" s="2" t="s">
        <v>443</v>
      </c>
      <c r="FR22" s="2" t="s">
        <v>432</v>
      </c>
      <c r="FS22" s="2" t="s">
        <v>433</v>
      </c>
      <c r="FT22" s="2" t="s">
        <v>432</v>
      </c>
      <c r="FU22" s="2" t="s">
        <v>432</v>
      </c>
      <c r="FV22" s="2" t="s">
        <v>433</v>
      </c>
      <c r="FW22" s="2" t="s">
        <v>433</v>
      </c>
      <c r="FX22" s="2" t="s">
        <v>432</v>
      </c>
      <c r="FY22" s="2" t="s">
        <v>432</v>
      </c>
      <c r="GA22" s="2" t="s">
        <v>444</v>
      </c>
      <c r="GB22" s="2" t="s">
        <v>444</v>
      </c>
      <c r="GC22" s="2" t="s">
        <v>880</v>
      </c>
      <c r="GD22" s="2" t="s">
        <v>433</v>
      </c>
      <c r="GE22" s="2" t="s">
        <v>433</v>
      </c>
      <c r="GF22" s="2" t="s">
        <v>433</v>
      </c>
      <c r="GG22" s="2" t="s">
        <v>433</v>
      </c>
      <c r="GH22" s="2" t="s">
        <v>432</v>
      </c>
      <c r="GI22" s="2" t="s">
        <v>432</v>
      </c>
      <c r="GJ22" s="2" t="s">
        <v>432</v>
      </c>
      <c r="GK22" s="2" t="s">
        <v>432</v>
      </c>
      <c r="GL22" s="2" t="s">
        <v>432</v>
      </c>
      <c r="GN22" s="2" t="s">
        <v>442</v>
      </c>
      <c r="GO22" s="2" t="s">
        <v>442</v>
      </c>
      <c r="GP22" s="2" t="s">
        <v>881</v>
      </c>
      <c r="GQ22" s="2" t="s">
        <v>432</v>
      </c>
      <c r="GR22" s="2" t="s">
        <v>433</v>
      </c>
      <c r="GS22" s="2" t="s">
        <v>432</v>
      </c>
      <c r="GT22" s="2" t="s">
        <v>432</v>
      </c>
      <c r="GU22" s="2" t="s">
        <v>433</v>
      </c>
      <c r="GV22" s="2" t="s">
        <v>433</v>
      </c>
      <c r="GW22" s="2" t="s">
        <v>432</v>
      </c>
      <c r="GX22" s="2" t="s">
        <v>432</v>
      </c>
      <c r="GZ22" s="2" t="s">
        <v>882</v>
      </c>
      <c r="HA22" s="2" t="s">
        <v>433</v>
      </c>
      <c r="HB22" s="2" t="s">
        <v>433</v>
      </c>
      <c r="HC22" s="2" t="s">
        <v>433</v>
      </c>
      <c r="HD22" s="2" t="s">
        <v>432</v>
      </c>
      <c r="HE22" s="2" t="s">
        <v>432</v>
      </c>
      <c r="HF22" s="2" t="s">
        <v>432</v>
      </c>
      <c r="HI22" s="2" t="s">
        <v>442</v>
      </c>
      <c r="HJ22" s="2" t="s">
        <v>883</v>
      </c>
      <c r="HK22" s="2" t="s">
        <v>432</v>
      </c>
      <c r="HL22" s="2" t="s">
        <v>432</v>
      </c>
      <c r="HM22" s="2" t="s">
        <v>433</v>
      </c>
      <c r="HN22" s="2" t="s">
        <v>432</v>
      </c>
      <c r="HO22" s="2" t="s">
        <v>433</v>
      </c>
      <c r="HP22" s="2" t="s">
        <v>433</v>
      </c>
      <c r="HQ22" s="2" t="s">
        <v>432</v>
      </c>
      <c r="HR22" s="2" t="s">
        <v>432</v>
      </c>
      <c r="HS22" s="2" t="s">
        <v>432</v>
      </c>
      <c r="HT22" s="2" t="s">
        <v>432</v>
      </c>
      <c r="HV22" s="2" t="s">
        <v>430</v>
      </c>
      <c r="HX22" s="2" t="s">
        <v>434</v>
      </c>
      <c r="HY22" s="2" t="s">
        <v>433</v>
      </c>
      <c r="HZ22" s="2" t="s">
        <v>433</v>
      </c>
      <c r="IA22" s="2" t="s">
        <v>433</v>
      </c>
      <c r="IB22" s="2" t="s">
        <v>432</v>
      </c>
      <c r="IC22" s="2" t="s">
        <v>432</v>
      </c>
      <c r="ID22" s="2" t="s">
        <v>432</v>
      </c>
      <c r="IE22" s="2" t="s">
        <v>433</v>
      </c>
      <c r="IF22" s="2" t="s">
        <v>433</v>
      </c>
      <c r="IG22" s="2" t="s">
        <v>432</v>
      </c>
      <c r="IH22" s="2" t="s">
        <v>432</v>
      </c>
      <c r="II22" s="2" t="s">
        <v>432</v>
      </c>
      <c r="IJ22" s="2" t="s">
        <v>432</v>
      </c>
      <c r="IK22" s="2" t="s">
        <v>432</v>
      </c>
      <c r="IL22" s="2" t="s">
        <v>432</v>
      </c>
      <c r="IN22" s="2" t="s">
        <v>449</v>
      </c>
      <c r="IO22" s="2" t="s">
        <v>884</v>
      </c>
      <c r="IP22" s="2" t="s">
        <v>433</v>
      </c>
      <c r="IQ22" s="2" t="s">
        <v>433</v>
      </c>
      <c r="IR22" s="2" t="s">
        <v>433</v>
      </c>
      <c r="IS22" s="2" t="s">
        <v>433</v>
      </c>
      <c r="IT22" s="2" t="s">
        <v>432</v>
      </c>
      <c r="IU22" s="2" t="s">
        <v>432</v>
      </c>
      <c r="IV22" s="2" t="s">
        <v>432</v>
      </c>
      <c r="IW22" s="2" t="s">
        <v>432</v>
      </c>
      <c r="IX22" s="2" t="s">
        <v>432</v>
      </c>
      <c r="IY22" s="2" t="s">
        <v>432</v>
      </c>
      <c r="JA22" s="2" t="s">
        <v>515</v>
      </c>
      <c r="JB22" s="2" t="s">
        <v>433</v>
      </c>
      <c r="JC22" s="2" t="s">
        <v>433</v>
      </c>
      <c r="JD22" s="2" t="s">
        <v>433</v>
      </c>
      <c r="JE22" s="2" t="s">
        <v>432</v>
      </c>
      <c r="JF22" s="2" t="s">
        <v>432</v>
      </c>
      <c r="JG22" s="2" t="s">
        <v>432</v>
      </c>
      <c r="JI22" s="2" t="s">
        <v>885</v>
      </c>
      <c r="JJ22" s="2" t="s">
        <v>433</v>
      </c>
      <c r="JK22" s="2" t="s">
        <v>433</v>
      </c>
      <c r="JL22" s="2" t="s">
        <v>433</v>
      </c>
      <c r="JM22" s="2" t="s">
        <v>433</v>
      </c>
      <c r="JN22" s="2" t="s">
        <v>432</v>
      </c>
      <c r="JO22" s="2" t="s">
        <v>432</v>
      </c>
      <c r="JP22" s="2" t="s">
        <v>433</v>
      </c>
      <c r="JQ22" s="2" t="s">
        <v>432</v>
      </c>
      <c r="JR22" s="2" t="s">
        <v>432</v>
      </c>
      <c r="JT22" s="2" t="s">
        <v>886</v>
      </c>
      <c r="JU22" s="2" t="s">
        <v>433</v>
      </c>
      <c r="JV22" s="2" t="s">
        <v>433</v>
      </c>
      <c r="JW22" s="2" t="s">
        <v>433</v>
      </c>
      <c r="JX22" s="2" t="s">
        <v>432</v>
      </c>
      <c r="JY22" s="2" t="s">
        <v>433</v>
      </c>
      <c r="JZ22" s="2" t="s">
        <v>433</v>
      </c>
      <c r="KA22" s="2" t="s">
        <v>432</v>
      </c>
      <c r="KB22" s="2" t="s">
        <v>432</v>
      </c>
      <c r="KC22" s="2" t="s">
        <v>432</v>
      </c>
      <c r="KF22" s="2" t="s">
        <v>430</v>
      </c>
      <c r="KG22" s="2" t="s">
        <v>887</v>
      </c>
      <c r="KH22" s="2" t="s">
        <v>433</v>
      </c>
      <c r="KI22" s="2" t="s">
        <v>433</v>
      </c>
      <c r="KJ22" s="2" t="s">
        <v>433</v>
      </c>
      <c r="KK22" s="2" t="s">
        <v>432</v>
      </c>
      <c r="KL22" s="2" t="s">
        <v>432</v>
      </c>
      <c r="KM22" s="2" t="s">
        <v>433</v>
      </c>
      <c r="KN22" s="2" t="s">
        <v>433</v>
      </c>
      <c r="KO22" s="2" t="s">
        <v>432</v>
      </c>
      <c r="KP22" s="2" t="s">
        <v>432</v>
      </c>
      <c r="KQ22" s="2" t="s">
        <v>432</v>
      </c>
      <c r="KR22" s="2" t="s">
        <v>432</v>
      </c>
      <c r="LB22" s="2" t="s">
        <v>456</v>
      </c>
      <c r="LP22" s="2" t="s">
        <v>430</v>
      </c>
      <c r="LR22" s="2" t="s">
        <v>888</v>
      </c>
      <c r="LS22" s="2">
        <v>169351621</v>
      </c>
      <c r="LT22" s="2" t="s">
        <v>889</v>
      </c>
      <c r="LU22" s="2" t="s">
        <v>890</v>
      </c>
      <c r="LW22" s="2" t="s">
        <v>460</v>
      </c>
      <c r="LX22" s="2" t="s">
        <v>461</v>
      </c>
      <c r="LY22" s="2" t="s">
        <v>462</v>
      </c>
      <c r="MA22" s="2">
        <v>22</v>
      </c>
    </row>
    <row r="23" spans="1:339" x14ac:dyDescent="0.3">
      <c r="A23" s="2" t="s">
        <v>891</v>
      </c>
      <c r="B23" s="2" t="s">
        <v>892</v>
      </c>
      <c r="C23" s="2" t="s">
        <v>695</v>
      </c>
      <c r="F23" s="2" t="s">
        <v>422</v>
      </c>
      <c r="G23" s="2" t="s">
        <v>423</v>
      </c>
      <c r="H23" s="2" t="s">
        <v>893</v>
      </c>
      <c r="I23" s="2" t="s">
        <v>427</v>
      </c>
      <c r="J23" s="2" t="s">
        <v>894</v>
      </c>
      <c r="R23" s="2" t="s">
        <v>422</v>
      </c>
      <c r="S23" s="2" t="s">
        <v>895</v>
      </c>
      <c r="T23" s="2" t="s">
        <v>544</v>
      </c>
      <c r="U23" s="2" t="s">
        <v>896</v>
      </c>
      <c r="AG23" s="2" t="s">
        <v>430</v>
      </c>
      <c r="AH23" s="2" t="s">
        <v>897</v>
      </c>
      <c r="AI23" s="2" t="s">
        <v>433</v>
      </c>
      <c r="AJ23" s="2" t="s">
        <v>432</v>
      </c>
      <c r="AK23" s="2" t="s">
        <v>433</v>
      </c>
      <c r="AL23" s="2" t="s">
        <v>433</v>
      </c>
      <c r="AM23" s="2" t="s">
        <v>433</v>
      </c>
      <c r="AN23" s="2" t="s">
        <v>432</v>
      </c>
      <c r="AO23" s="2" t="s">
        <v>432</v>
      </c>
      <c r="AP23" s="2" t="s">
        <v>433</v>
      </c>
      <c r="AQ23" s="2" t="s">
        <v>432</v>
      </c>
      <c r="AR23" s="2" t="s">
        <v>432</v>
      </c>
      <c r="AS23" s="2" t="s">
        <v>432</v>
      </c>
      <c r="AT23" s="2" t="s">
        <v>432</v>
      </c>
      <c r="AU23" s="2" t="s">
        <v>432</v>
      </c>
      <c r="AV23" s="2" t="s">
        <v>432</v>
      </c>
      <c r="AX23" s="2" t="s">
        <v>434</v>
      </c>
      <c r="AY23" s="2" t="s">
        <v>433</v>
      </c>
      <c r="AZ23" s="2" t="s">
        <v>433</v>
      </c>
      <c r="BA23" s="2" t="s">
        <v>433</v>
      </c>
      <c r="BB23" s="2" t="s">
        <v>432</v>
      </c>
      <c r="BC23" s="2" t="s">
        <v>432</v>
      </c>
      <c r="BD23" s="2" t="s">
        <v>432</v>
      </c>
      <c r="BE23" s="2" t="s">
        <v>433</v>
      </c>
      <c r="BF23" s="2" t="s">
        <v>433</v>
      </c>
      <c r="BG23" s="2" t="s">
        <v>432</v>
      </c>
      <c r="BH23" s="2" t="s">
        <v>432</v>
      </c>
      <c r="BI23" s="2" t="s">
        <v>432</v>
      </c>
      <c r="BJ23" s="2" t="s">
        <v>432</v>
      </c>
      <c r="BK23" s="2" t="s">
        <v>432</v>
      </c>
      <c r="BL23" s="2" t="s">
        <v>432</v>
      </c>
      <c r="BN23" s="2" t="s">
        <v>435</v>
      </c>
      <c r="BO23" s="2" t="s">
        <v>436</v>
      </c>
      <c r="BQ23" s="2" t="s">
        <v>430</v>
      </c>
      <c r="BR23" s="2" t="s">
        <v>898</v>
      </c>
      <c r="BS23" s="2" t="s">
        <v>433</v>
      </c>
      <c r="BT23" s="2" t="s">
        <v>432</v>
      </c>
      <c r="BU23" s="2" t="s">
        <v>433</v>
      </c>
      <c r="BV23" s="2" t="s">
        <v>432</v>
      </c>
      <c r="BW23" s="2" t="s">
        <v>433</v>
      </c>
      <c r="BX23" s="2" t="s">
        <v>432</v>
      </c>
      <c r="BY23" s="2" t="s">
        <v>432</v>
      </c>
      <c r="BZ23" s="2" t="s">
        <v>433</v>
      </c>
      <c r="CA23" s="2" t="s">
        <v>432</v>
      </c>
      <c r="CB23" s="2" t="s">
        <v>432</v>
      </c>
      <c r="CC23" s="2" t="s">
        <v>433</v>
      </c>
      <c r="CD23" s="2" t="s">
        <v>432</v>
      </c>
      <c r="CE23" s="2" t="s">
        <v>432</v>
      </c>
      <c r="CF23" s="2" t="s">
        <v>432</v>
      </c>
      <c r="CG23" s="2" t="s">
        <v>432</v>
      </c>
      <c r="CI23" s="2" t="s">
        <v>434</v>
      </c>
      <c r="CJ23" s="2" t="s">
        <v>433</v>
      </c>
      <c r="CK23" s="2" t="s">
        <v>433</v>
      </c>
      <c r="CL23" s="2" t="s">
        <v>433</v>
      </c>
      <c r="CM23" s="2" t="s">
        <v>432</v>
      </c>
      <c r="CN23" s="2" t="s">
        <v>432</v>
      </c>
      <c r="CO23" s="2" t="s">
        <v>432</v>
      </c>
      <c r="CP23" s="2" t="s">
        <v>433</v>
      </c>
      <c r="CQ23" s="2" t="s">
        <v>433</v>
      </c>
      <c r="CR23" s="2" t="s">
        <v>432</v>
      </c>
      <c r="CS23" s="2" t="s">
        <v>432</v>
      </c>
      <c r="CT23" s="2" t="s">
        <v>432</v>
      </c>
      <c r="CU23" s="2" t="s">
        <v>432</v>
      </c>
      <c r="CV23" s="2" t="s">
        <v>432</v>
      </c>
      <c r="CW23" s="2" t="s">
        <v>432</v>
      </c>
      <c r="CY23" s="2" t="s">
        <v>435</v>
      </c>
      <c r="CZ23" s="2" t="s">
        <v>436</v>
      </c>
      <c r="DB23" s="2" t="s">
        <v>899</v>
      </c>
      <c r="DC23" s="2" t="s">
        <v>432</v>
      </c>
      <c r="DD23" s="2" t="s">
        <v>433</v>
      </c>
      <c r="DE23" s="2" t="s">
        <v>433</v>
      </c>
      <c r="DF23" s="2" t="s">
        <v>432</v>
      </c>
      <c r="DG23" s="2" t="s">
        <v>432</v>
      </c>
      <c r="DH23" s="2" t="s">
        <v>432</v>
      </c>
      <c r="DI23" s="2" t="s">
        <v>433</v>
      </c>
      <c r="DJ23" s="2" t="s">
        <v>432</v>
      </c>
      <c r="DK23" s="2" t="s">
        <v>432</v>
      </c>
      <c r="DL23" s="2" t="s">
        <v>432</v>
      </c>
      <c r="DZ23" s="2" t="s">
        <v>900</v>
      </c>
      <c r="EA23" s="2" t="s">
        <v>432</v>
      </c>
      <c r="EB23" s="2" t="s">
        <v>432</v>
      </c>
      <c r="EC23" s="2" t="s">
        <v>433</v>
      </c>
      <c r="ED23" s="2" t="s">
        <v>432</v>
      </c>
      <c r="EE23" s="2" t="s">
        <v>432</v>
      </c>
      <c r="EF23" s="2" t="s">
        <v>432</v>
      </c>
      <c r="EG23" s="2" t="s">
        <v>432</v>
      </c>
      <c r="EH23" s="2" t="s">
        <v>432</v>
      </c>
      <c r="EI23" s="2" t="s">
        <v>432</v>
      </c>
      <c r="EL23" s="2" t="s">
        <v>901</v>
      </c>
      <c r="EM23" s="2" t="s">
        <v>432</v>
      </c>
      <c r="EN23" s="2" t="s">
        <v>433</v>
      </c>
      <c r="EO23" s="2" t="s">
        <v>433</v>
      </c>
      <c r="EP23" s="2" t="s">
        <v>432</v>
      </c>
      <c r="EQ23" s="2" t="s">
        <v>433</v>
      </c>
      <c r="ER23" s="2" t="s">
        <v>432</v>
      </c>
      <c r="ES23" s="2" t="s">
        <v>432</v>
      </c>
      <c r="ET23" s="2" t="s">
        <v>432</v>
      </c>
      <c r="EU23" s="2" t="s">
        <v>432</v>
      </c>
      <c r="EV23" s="2" t="s">
        <v>432</v>
      </c>
      <c r="EX23" s="2" t="s">
        <v>430</v>
      </c>
      <c r="EY23" s="2" t="s">
        <v>902</v>
      </c>
      <c r="EZ23" s="2" t="s">
        <v>432</v>
      </c>
      <c r="FA23" s="2" t="s">
        <v>432</v>
      </c>
      <c r="FB23" s="2" t="s">
        <v>432</v>
      </c>
      <c r="FC23" s="2" t="s">
        <v>433</v>
      </c>
      <c r="FD23" s="2" t="s">
        <v>432</v>
      </c>
      <c r="FE23" s="2" t="s">
        <v>433</v>
      </c>
      <c r="FF23" s="2" t="s">
        <v>433</v>
      </c>
      <c r="FG23" s="2" t="s">
        <v>432</v>
      </c>
      <c r="FH23" s="2" t="s">
        <v>432</v>
      </c>
      <c r="FI23" s="2" t="s">
        <v>432</v>
      </c>
      <c r="FJ23" s="2" t="s">
        <v>432</v>
      </c>
      <c r="FK23" s="2" t="s">
        <v>432</v>
      </c>
      <c r="FL23" s="2" t="s">
        <v>432</v>
      </c>
      <c r="FM23" s="2" t="s">
        <v>432</v>
      </c>
      <c r="FO23" s="2" t="s">
        <v>442</v>
      </c>
      <c r="FP23" s="2" t="s">
        <v>442</v>
      </c>
      <c r="FQ23" s="2" t="s">
        <v>903</v>
      </c>
      <c r="FR23" s="2" t="s">
        <v>433</v>
      </c>
      <c r="FS23" s="2" t="s">
        <v>433</v>
      </c>
      <c r="FT23" s="2" t="s">
        <v>432</v>
      </c>
      <c r="FU23" s="2" t="s">
        <v>432</v>
      </c>
      <c r="FV23" s="2" t="s">
        <v>433</v>
      </c>
      <c r="FW23" s="2" t="s">
        <v>432</v>
      </c>
      <c r="FX23" s="2" t="s">
        <v>432</v>
      </c>
      <c r="FY23" s="2" t="s">
        <v>432</v>
      </c>
      <c r="GA23" s="2" t="s">
        <v>444</v>
      </c>
      <c r="GB23" s="2" t="s">
        <v>444</v>
      </c>
      <c r="GC23" s="2" t="s">
        <v>904</v>
      </c>
      <c r="GD23" s="2" t="s">
        <v>433</v>
      </c>
      <c r="GE23" s="2" t="s">
        <v>433</v>
      </c>
      <c r="GF23" s="2" t="s">
        <v>433</v>
      </c>
      <c r="GG23" s="2" t="s">
        <v>433</v>
      </c>
      <c r="GH23" s="2" t="s">
        <v>432</v>
      </c>
      <c r="GI23" s="2" t="s">
        <v>432</v>
      </c>
      <c r="GJ23" s="2" t="s">
        <v>432</v>
      </c>
      <c r="GK23" s="2" t="s">
        <v>432</v>
      </c>
      <c r="GL23" s="2" t="s">
        <v>432</v>
      </c>
      <c r="GN23" s="2" t="s">
        <v>442</v>
      </c>
      <c r="GO23" s="2" t="s">
        <v>442</v>
      </c>
      <c r="GP23" s="2" t="s">
        <v>905</v>
      </c>
      <c r="GQ23" s="2" t="s">
        <v>432</v>
      </c>
      <c r="GR23" s="2" t="s">
        <v>433</v>
      </c>
      <c r="GS23" s="2" t="s">
        <v>433</v>
      </c>
      <c r="GT23" s="2" t="s">
        <v>433</v>
      </c>
      <c r="GU23" s="2" t="s">
        <v>432</v>
      </c>
      <c r="GV23" s="2" t="s">
        <v>432</v>
      </c>
      <c r="GW23" s="2" t="s">
        <v>432</v>
      </c>
      <c r="GX23" s="2" t="s">
        <v>432</v>
      </c>
      <c r="GZ23" s="2" t="s">
        <v>882</v>
      </c>
      <c r="HA23" s="2" t="s">
        <v>433</v>
      </c>
      <c r="HB23" s="2" t="s">
        <v>433</v>
      </c>
      <c r="HC23" s="2" t="s">
        <v>433</v>
      </c>
      <c r="HD23" s="2" t="s">
        <v>432</v>
      </c>
      <c r="HE23" s="2" t="s">
        <v>432</v>
      </c>
      <c r="HF23" s="2" t="s">
        <v>432</v>
      </c>
      <c r="HI23" s="2" t="s">
        <v>442</v>
      </c>
      <c r="HJ23" s="2" t="s">
        <v>906</v>
      </c>
      <c r="HK23" s="2" t="s">
        <v>432</v>
      </c>
      <c r="HL23" s="2" t="s">
        <v>432</v>
      </c>
      <c r="HM23" s="2" t="s">
        <v>432</v>
      </c>
      <c r="HN23" s="2" t="s">
        <v>433</v>
      </c>
      <c r="HO23" s="2" t="s">
        <v>433</v>
      </c>
      <c r="HP23" s="2" t="s">
        <v>433</v>
      </c>
      <c r="HQ23" s="2" t="s">
        <v>432</v>
      </c>
      <c r="HR23" s="2" t="s">
        <v>432</v>
      </c>
      <c r="HS23" s="2" t="s">
        <v>432</v>
      </c>
      <c r="HT23" s="2" t="s">
        <v>432</v>
      </c>
      <c r="HV23" s="2" t="s">
        <v>430</v>
      </c>
      <c r="HX23" s="2" t="s">
        <v>434</v>
      </c>
      <c r="HY23" s="2" t="s">
        <v>433</v>
      </c>
      <c r="HZ23" s="2" t="s">
        <v>433</v>
      </c>
      <c r="IA23" s="2" t="s">
        <v>433</v>
      </c>
      <c r="IB23" s="2" t="s">
        <v>432</v>
      </c>
      <c r="IC23" s="2" t="s">
        <v>432</v>
      </c>
      <c r="ID23" s="2" t="s">
        <v>432</v>
      </c>
      <c r="IE23" s="2" t="s">
        <v>433</v>
      </c>
      <c r="IF23" s="2" t="s">
        <v>433</v>
      </c>
      <c r="IG23" s="2" t="s">
        <v>432</v>
      </c>
      <c r="IH23" s="2" t="s">
        <v>432</v>
      </c>
      <c r="II23" s="2" t="s">
        <v>432</v>
      </c>
      <c r="IJ23" s="2" t="s">
        <v>432</v>
      </c>
      <c r="IK23" s="2" t="s">
        <v>432</v>
      </c>
      <c r="IL23" s="2" t="s">
        <v>432</v>
      </c>
      <c r="IN23" s="2" t="s">
        <v>907</v>
      </c>
      <c r="IO23" s="2" t="s">
        <v>450</v>
      </c>
      <c r="IP23" s="2" t="s">
        <v>433</v>
      </c>
      <c r="IQ23" s="2" t="s">
        <v>433</v>
      </c>
      <c r="IR23" s="2" t="s">
        <v>433</v>
      </c>
      <c r="IS23" s="2" t="s">
        <v>433</v>
      </c>
      <c r="IT23" s="2" t="s">
        <v>433</v>
      </c>
      <c r="IU23" s="2" t="s">
        <v>432</v>
      </c>
      <c r="IV23" s="2" t="s">
        <v>432</v>
      </c>
      <c r="IW23" s="2" t="s">
        <v>432</v>
      </c>
      <c r="IX23" s="2" t="s">
        <v>432</v>
      </c>
      <c r="IY23" s="2" t="s">
        <v>432</v>
      </c>
      <c r="JA23" s="2" t="s">
        <v>515</v>
      </c>
      <c r="JB23" s="2" t="s">
        <v>433</v>
      </c>
      <c r="JC23" s="2" t="s">
        <v>433</v>
      </c>
      <c r="JD23" s="2" t="s">
        <v>433</v>
      </c>
      <c r="JE23" s="2" t="s">
        <v>432</v>
      </c>
      <c r="JF23" s="2" t="s">
        <v>432</v>
      </c>
      <c r="JG23" s="2" t="s">
        <v>432</v>
      </c>
      <c r="JI23" s="2" t="s">
        <v>908</v>
      </c>
      <c r="JJ23" s="2" t="s">
        <v>433</v>
      </c>
      <c r="JK23" s="2" t="s">
        <v>433</v>
      </c>
      <c r="JL23" s="2" t="s">
        <v>432</v>
      </c>
      <c r="JM23" s="2" t="s">
        <v>433</v>
      </c>
      <c r="JN23" s="2" t="s">
        <v>433</v>
      </c>
      <c r="JO23" s="2" t="s">
        <v>433</v>
      </c>
      <c r="JP23" s="2" t="s">
        <v>432</v>
      </c>
      <c r="JQ23" s="2" t="s">
        <v>432</v>
      </c>
      <c r="JR23" s="2" t="s">
        <v>432</v>
      </c>
      <c r="JT23" s="2" t="s">
        <v>909</v>
      </c>
      <c r="JU23" s="2" t="s">
        <v>433</v>
      </c>
      <c r="JV23" s="2" t="s">
        <v>433</v>
      </c>
      <c r="JW23" s="2" t="s">
        <v>433</v>
      </c>
      <c r="JX23" s="2" t="s">
        <v>432</v>
      </c>
      <c r="JY23" s="2" t="s">
        <v>433</v>
      </c>
      <c r="JZ23" s="2" t="s">
        <v>433</v>
      </c>
      <c r="KA23" s="2" t="s">
        <v>432</v>
      </c>
      <c r="KB23" s="2" t="s">
        <v>432</v>
      </c>
      <c r="KC23" s="2" t="s">
        <v>432</v>
      </c>
      <c r="KF23" s="2" t="s">
        <v>456</v>
      </c>
      <c r="LB23" s="2" t="s">
        <v>430</v>
      </c>
      <c r="LC23" s="2" t="s">
        <v>910</v>
      </c>
      <c r="LD23" s="2" t="s">
        <v>433</v>
      </c>
      <c r="LE23" s="2" t="s">
        <v>433</v>
      </c>
      <c r="LF23" s="2" t="s">
        <v>432</v>
      </c>
      <c r="LG23" s="2" t="s">
        <v>433</v>
      </c>
      <c r="LH23" s="2" t="s">
        <v>432</v>
      </c>
      <c r="LI23" s="2" t="s">
        <v>432</v>
      </c>
      <c r="LJ23" s="2" t="s">
        <v>432</v>
      </c>
      <c r="LK23" s="2" t="s">
        <v>432</v>
      </c>
      <c r="LL23" s="2" t="s">
        <v>432</v>
      </c>
      <c r="LM23" s="2" t="s">
        <v>432</v>
      </c>
      <c r="LO23" s="2" t="s">
        <v>430</v>
      </c>
      <c r="LP23" s="2" t="s">
        <v>430</v>
      </c>
      <c r="LR23" s="2" t="s">
        <v>911</v>
      </c>
      <c r="LS23" s="2">
        <v>169351628</v>
      </c>
      <c r="LT23" s="2" t="s">
        <v>912</v>
      </c>
      <c r="LU23" s="2" t="s">
        <v>913</v>
      </c>
      <c r="LW23" s="2" t="s">
        <v>460</v>
      </c>
      <c r="LX23" s="2" t="s">
        <v>461</v>
      </c>
      <c r="LY23" s="2" t="s">
        <v>462</v>
      </c>
      <c r="MA23" s="2">
        <v>23</v>
      </c>
    </row>
    <row r="24" spans="1:339" x14ac:dyDescent="0.3">
      <c r="A24" s="2" t="s">
        <v>914</v>
      </c>
      <c r="B24" s="2" t="s">
        <v>915</v>
      </c>
      <c r="C24" s="2" t="s">
        <v>695</v>
      </c>
      <c r="F24" s="2" t="s">
        <v>422</v>
      </c>
      <c r="G24" s="2" t="s">
        <v>423</v>
      </c>
      <c r="H24" s="2" t="s">
        <v>423</v>
      </c>
      <c r="I24" s="2" t="s">
        <v>427</v>
      </c>
      <c r="J24" s="2" t="s">
        <v>916</v>
      </c>
      <c r="R24" s="2" t="s">
        <v>422</v>
      </c>
      <c r="S24" s="2" t="s">
        <v>917</v>
      </c>
      <c r="T24" s="2" t="s">
        <v>426</v>
      </c>
      <c r="Z24" s="2" t="s">
        <v>428</v>
      </c>
      <c r="AA24" s="2" t="s">
        <v>429</v>
      </c>
      <c r="AB24" s="2" t="s">
        <v>423</v>
      </c>
      <c r="AG24" s="2" t="s">
        <v>430</v>
      </c>
      <c r="AH24" s="2" t="s">
        <v>918</v>
      </c>
      <c r="AI24" s="2" t="s">
        <v>433</v>
      </c>
      <c r="AJ24" s="2" t="s">
        <v>432</v>
      </c>
      <c r="AK24" s="2" t="s">
        <v>433</v>
      </c>
      <c r="AL24" s="2" t="s">
        <v>433</v>
      </c>
      <c r="AM24" s="2" t="s">
        <v>433</v>
      </c>
      <c r="AN24" s="2" t="s">
        <v>432</v>
      </c>
      <c r="AO24" s="2" t="s">
        <v>432</v>
      </c>
      <c r="AP24" s="2" t="s">
        <v>433</v>
      </c>
      <c r="AQ24" s="2" t="s">
        <v>432</v>
      </c>
      <c r="AR24" s="2" t="s">
        <v>432</v>
      </c>
      <c r="AS24" s="2" t="s">
        <v>432</v>
      </c>
      <c r="AT24" s="2" t="s">
        <v>432</v>
      </c>
      <c r="AU24" s="2" t="s">
        <v>432</v>
      </c>
      <c r="AV24" s="2" t="s">
        <v>432</v>
      </c>
      <c r="AX24" s="2" t="s">
        <v>434</v>
      </c>
      <c r="AY24" s="2" t="s">
        <v>433</v>
      </c>
      <c r="AZ24" s="2" t="s">
        <v>433</v>
      </c>
      <c r="BA24" s="2" t="s">
        <v>433</v>
      </c>
      <c r="BB24" s="2" t="s">
        <v>432</v>
      </c>
      <c r="BC24" s="2" t="s">
        <v>432</v>
      </c>
      <c r="BD24" s="2" t="s">
        <v>432</v>
      </c>
      <c r="BE24" s="2" t="s">
        <v>433</v>
      </c>
      <c r="BF24" s="2" t="s">
        <v>433</v>
      </c>
      <c r="BG24" s="2" t="s">
        <v>432</v>
      </c>
      <c r="BH24" s="2" t="s">
        <v>432</v>
      </c>
      <c r="BI24" s="2" t="s">
        <v>432</v>
      </c>
      <c r="BJ24" s="2" t="s">
        <v>432</v>
      </c>
      <c r="BK24" s="2" t="s">
        <v>432</v>
      </c>
      <c r="BL24" s="2" t="s">
        <v>432</v>
      </c>
      <c r="BN24" s="2" t="s">
        <v>435</v>
      </c>
      <c r="BO24" s="2" t="s">
        <v>436</v>
      </c>
      <c r="BQ24" s="2" t="s">
        <v>430</v>
      </c>
      <c r="BR24" s="2" t="s">
        <v>919</v>
      </c>
      <c r="BS24" s="2" t="s">
        <v>432</v>
      </c>
      <c r="BT24" s="2" t="s">
        <v>432</v>
      </c>
      <c r="BU24" s="2" t="s">
        <v>433</v>
      </c>
      <c r="BV24" s="2" t="s">
        <v>432</v>
      </c>
      <c r="BW24" s="2" t="s">
        <v>433</v>
      </c>
      <c r="BX24" s="2" t="s">
        <v>432</v>
      </c>
      <c r="BY24" s="2" t="s">
        <v>433</v>
      </c>
      <c r="BZ24" s="2" t="s">
        <v>432</v>
      </c>
      <c r="CA24" s="2" t="s">
        <v>433</v>
      </c>
      <c r="CB24" s="2" t="s">
        <v>432</v>
      </c>
      <c r="CC24" s="2" t="s">
        <v>433</v>
      </c>
      <c r="CD24" s="2" t="s">
        <v>432</v>
      </c>
      <c r="CE24" s="2" t="s">
        <v>432</v>
      </c>
      <c r="CF24" s="2" t="s">
        <v>432</v>
      </c>
      <c r="CG24" s="2" t="s">
        <v>432</v>
      </c>
      <c r="CI24" s="2" t="s">
        <v>920</v>
      </c>
      <c r="CJ24" s="2" t="s">
        <v>433</v>
      </c>
      <c r="CK24" s="2" t="s">
        <v>433</v>
      </c>
      <c r="CL24" s="2" t="s">
        <v>433</v>
      </c>
      <c r="CM24" s="2" t="s">
        <v>432</v>
      </c>
      <c r="CN24" s="2" t="s">
        <v>432</v>
      </c>
      <c r="CO24" s="2" t="s">
        <v>432</v>
      </c>
      <c r="CP24" s="2" t="s">
        <v>433</v>
      </c>
      <c r="CQ24" s="2" t="s">
        <v>433</v>
      </c>
      <c r="CR24" s="2" t="s">
        <v>432</v>
      </c>
      <c r="CS24" s="2" t="s">
        <v>432</v>
      </c>
      <c r="CT24" s="2" t="s">
        <v>432</v>
      </c>
      <c r="CU24" s="2" t="s">
        <v>432</v>
      </c>
      <c r="CV24" s="2" t="s">
        <v>432</v>
      </c>
      <c r="CW24" s="2" t="s">
        <v>432</v>
      </c>
      <c r="CY24" s="2" t="s">
        <v>435</v>
      </c>
      <c r="CZ24" s="2" t="s">
        <v>436</v>
      </c>
      <c r="DB24" s="2" t="s">
        <v>921</v>
      </c>
      <c r="DC24" s="2" t="s">
        <v>432</v>
      </c>
      <c r="DD24" s="2" t="s">
        <v>433</v>
      </c>
      <c r="DE24" s="2" t="s">
        <v>433</v>
      </c>
      <c r="DF24" s="2" t="s">
        <v>432</v>
      </c>
      <c r="DG24" s="2" t="s">
        <v>432</v>
      </c>
      <c r="DH24" s="2" t="s">
        <v>432</v>
      </c>
      <c r="DI24" s="2" t="s">
        <v>433</v>
      </c>
      <c r="DJ24" s="2" t="s">
        <v>432</v>
      </c>
      <c r="DK24" s="2" t="s">
        <v>432</v>
      </c>
      <c r="DL24" s="2" t="s">
        <v>432</v>
      </c>
      <c r="DZ24" s="2" t="s">
        <v>922</v>
      </c>
      <c r="EA24" s="2" t="s">
        <v>433</v>
      </c>
      <c r="EB24" s="2" t="s">
        <v>433</v>
      </c>
      <c r="EC24" s="2" t="s">
        <v>433</v>
      </c>
      <c r="ED24" s="2" t="s">
        <v>432</v>
      </c>
      <c r="EE24" s="2" t="s">
        <v>432</v>
      </c>
      <c r="EF24" s="2" t="s">
        <v>432</v>
      </c>
      <c r="EG24" s="2" t="s">
        <v>432</v>
      </c>
      <c r="EH24" s="2" t="s">
        <v>432</v>
      </c>
      <c r="EI24" s="2" t="s">
        <v>432</v>
      </c>
      <c r="EL24" s="2" t="s">
        <v>923</v>
      </c>
      <c r="EM24" s="2" t="s">
        <v>433</v>
      </c>
      <c r="EN24" s="2" t="s">
        <v>433</v>
      </c>
      <c r="EO24" s="2" t="s">
        <v>433</v>
      </c>
      <c r="EP24" s="2" t="s">
        <v>433</v>
      </c>
      <c r="EQ24" s="2" t="s">
        <v>432</v>
      </c>
      <c r="ER24" s="2" t="s">
        <v>432</v>
      </c>
      <c r="ES24" s="2" t="s">
        <v>432</v>
      </c>
      <c r="ET24" s="2" t="s">
        <v>432</v>
      </c>
      <c r="EU24" s="2" t="s">
        <v>432</v>
      </c>
      <c r="EV24" s="2" t="s">
        <v>432</v>
      </c>
      <c r="EX24" s="2" t="s">
        <v>456</v>
      </c>
      <c r="GN24" s="2" t="s">
        <v>442</v>
      </c>
      <c r="GO24" s="2" t="s">
        <v>442</v>
      </c>
      <c r="GP24" s="2" t="s">
        <v>755</v>
      </c>
      <c r="GQ24" s="2" t="s">
        <v>432</v>
      </c>
      <c r="GR24" s="2" t="s">
        <v>433</v>
      </c>
      <c r="GS24" s="2" t="s">
        <v>433</v>
      </c>
      <c r="GT24" s="2" t="s">
        <v>433</v>
      </c>
      <c r="GU24" s="2" t="s">
        <v>432</v>
      </c>
      <c r="GV24" s="2" t="s">
        <v>432</v>
      </c>
      <c r="GW24" s="2" t="s">
        <v>432</v>
      </c>
      <c r="GX24" s="2" t="s">
        <v>432</v>
      </c>
      <c r="GZ24" s="2" t="s">
        <v>882</v>
      </c>
      <c r="HA24" s="2" t="s">
        <v>433</v>
      </c>
      <c r="HB24" s="2" t="s">
        <v>433</v>
      </c>
      <c r="HC24" s="2" t="s">
        <v>433</v>
      </c>
      <c r="HD24" s="2" t="s">
        <v>432</v>
      </c>
      <c r="HE24" s="2" t="s">
        <v>432</v>
      </c>
      <c r="HF24" s="2" t="s">
        <v>432</v>
      </c>
      <c r="HI24" s="2" t="s">
        <v>442</v>
      </c>
      <c r="HJ24" s="2" t="s">
        <v>924</v>
      </c>
      <c r="HK24" s="2" t="s">
        <v>432</v>
      </c>
      <c r="HL24" s="2" t="s">
        <v>432</v>
      </c>
      <c r="HM24" s="2" t="s">
        <v>432</v>
      </c>
      <c r="HN24" s="2" t="s">
        <v>432</v>
      </c>
      <c r="HO24" s="2" t="s">
        <v>433</v>
      </c>
      <c r="HP24" s="2" t="s">
        <v>433</v>
      </c>
      <c r="HQ24" s="2" t="s">
        <v>433</v>
      </c>
      <c r="HR24" s="2" t="s">
        <v>432</v>
      </c>
      <c r="HS24" s="2" t="s">
        <v>432</v>
      </c>
      <c r="HT24" s="2" t="s">
        <v>432</v>
      </c>
      <c r="HV24" s="2" t="s">
        <v>430</v>
      </c>
      <c r="HX24" s="2" t="s">
        <v>925</v>
      </c>
      <c r="HY24" s="2" t="s">
        <v>433</v>
      </c>
      <c r="HZ24" s="2" t="s">
        <v>433</v>
      </c>
      <c r="IA24" s="2" t="s">
        <v>432</v>
      </c>
      <c r="IB24" s="2" t="s">
        <v>432</v>
      </c>
      <c r="IC24" s="2" t="s">
        <v>432</v>
      </c>
      <c r="ID24" s="2" t="s">
        <v>432</v>
      </c>
      <c r="IE24" s="2" t="s">
        <v>433</v>
      </c>
      <c r="IF24" s="2" t="s">
        <v>433</v>
      </c>
      <c r="IG24" s="2" t="s">
        <v>432</v>
      </c>
      <c r="IH24" s="2" t="s">
        <v>432</v>
      </c>
      <c r="II24" s="2" t="s">
        <v>432</v>
      </c>
      <c r="IJ24" s="2" t="s">
        <v>432</v>
      </c>
      <c r="IK24" s="2" t="s">
        <v>432</v>
      </c>
      <c r="IL24" s="2" t="s">
        <v>432</v>
      </c>
      <c r="IN24" s="2" t="s">
        <v>605</v>
      </c>
      <c r="JA24" s="2" t="s">
        <v>515</v>
      </c>
      <c r="JB24" s="2" t="s">
        <v>433</v>
      </c>
      <c r="JC24" s="2" t="s">
        <v>433</v>
      </c>
      <c r="JD24" s="2" t="s">
        <v>433</v>
      </c>
      <c r="JE24" s="2" t="s">
        <v>432</v>
      </c>
      <c r="JF24" s="2" t="s">
        <v>432</v>
      </c>
      <c r="JG24" s="2" t="s">
        <v>432</v>
      </c>
      <c r="JI24" s="2" t="s">
        <v>453</v>
      </c>
      <c r="JJ24" s="2" t="s">
        <v>433</v>
      </c>
      <c r="JK24" s="2" t="s">
        <v>433</v>
      </c>
      <c r="JL24" s="2" t="s">
        <v>433</v>
      </c>
      <c r="JM24" s="2" t="s">
        <v>432</v>
      </c>
      <c r="JN24" s="2" t="s">
        <v>433</v>
      </c>
      <c r="JO24" s="2" t="s">
        <v>432</v>
      </c>
      <c r="JP24" s="2" t="s">
        <v>433</v>
      </c>
      <c r="JQ24" s="2" t="s">
        <v>432</v>
      </c>
      <c r="JR24" s="2" t="s">
        <v>432</v>
      </c>
      <c r="JT24" s="2" t="s">
        <v>926</v>
      </c>
      <c r="JU24" s="2" t="s">
        <v>433</v>
      </c>
      <c r="JV24" s="2" t="s">
        <v>433</v>
      </c>
      <c r="JW24" s="2" t="s">
        <v>433</v>
      </c>
      <c r="JX24" s="2" t="s">
        <v>432</v>
      </c>
      <c r="JY24" s="2" t="s">
        <v>433</v>
      </c>
      <c r="JZ24" s="2" t="s">
        <v>432</v>
      </c>
      <c r="KA24" s="2" t="s">
        <v>433</v>
      </c>
      <c r="KB24" s="2" t="s">
        <v>432</v>
      </c>
      <c r="KC24" s="2" t="s">
        <v>432</v>
      </c>
      <c r="KF24" s="2" t="s">
        <v>430</v>
      </c>
      <c r="KG24" s="2" t="s">
        <v>927</v>
      </c>
      <c r="KH24" s="2" t="s">
        <v>433</v>
      </c>
      <c r="KI24" s="2" t="s">
        <v>433</v>
      </c>
      <c r="KJ24" s="2" t="s">
        <v>433</v>
      </c>
      <c r="KK24" s="2" t="s">
        <v>432</v>
      </c>
      <c r="KL24" s="2" t="s">
        <v>433</v>
      </c>
      <c r="KM24" s="2" t="s">
        <v>432</v>
      </c>
      <c r="KN24" s="2" t="s">
        <v>433</v>
      </c>
      <c r="KO24" s="2" t="s">
        <v>432</v>
      </c>
      <c r="KP24" s="2" t="s">
        <v>432</v>
      </c>
      <c r="KQ24" s="2" t="s">
        <v>432</v>
      </c>
      <c r="KR24" s="2" t="s">
        <v>432</v>
      </c>
      <c r="LB24" s="2" t="s">
        <v>430</v>
      </c>
      <c r="LC24" s="2" t="s">
        <v>928</v>
      </c>
      <c r="LD24" s="2" t="s">
        <v>433</v>
      </c>
      <c r="LE24" s="2" t="s">
        <v>433</v>
      </c>
      <c r="LF24" s="2" t="s">
        <v>432</v>
      </c>
      <c r="LG24" s="2" t="s">
        <v>433</v>
      </c>
      <c r="LH24" s="2" t="s">
        <v>433</v>
      </c>
      <c r="LI24" s="2" t="s">
        <v>432</v>
      </c>
      <c r="LJ24" s="2" t="s">
        <v>432</v>
      </c>
      <c r="LK24" s="2" t="s">
        <v>432</v>
      </c>
      <c r="LL24" s="2" t="s">
        <v>432</v>
      </c>
      <c r="LM24" s="2" t="s">
        <v>432</v>
      </c>
      <c r="LO24" s="2" t="s">
        <v>430</v>
      </c>
      <c r="LP24" s="2" t="s">
        <v>430</v>
      </c>
      <c r="LR24" s="2" t="s">
        <v>929</v>
      </c>
      <c r="LS24" s="2">
        <v>169351634</v>
      </c>
      <c r="LT24" s="2" t="s">
        <v>930</v>
      </c>
      <c r="LU24" s="2" t="s">
        <v>931</v>
      </c>
      <c r="LW24" s="2" t="s">
        <v>460</v>
      </c>
      <c r="LX24" s="2" t="s">
        <v>461</v>
      </c>
      <c r="LY24" s="2" t="s">
        <v>462</v>
      </c>
      <c r="MA24" s="2">
        <v>24</v>
      </c>
    </row>
    <row r="25" spans="1:339" x14ac:dyDescent="0.3">
      <c r="A25" s="2" t="s">
        <v>947</v>
      </c>
      <c r="B25" s="2" t="s">
        <v>948</v>
      </c>
      <c r="C25" s="2" t="s">
        <v>695</v>
      </c>
      <c r="F25" s="2" t="s">
        <v>422</v>
      </c>
      <c r="G25" s="2" t="s">
        <v>423</v>
      </c>
      <c r="H25" s="2" t="s">
        <v>423</v>
      </c>
      <c r="I25" s="2" t="s">
        <v>427</v>
      </c>
      <c r="J25" s="2" t="s">
        <v>949</v>
      </c>
      <c r="R25" s="2" t="s">
        <v>523</v>
      </c>
      <c r="S25" s="2" t="s">
        <v>805</v>
      </c>
      <c r="T25" s="2" t="s">
        <v>426</v>
      </c>
      <c r="Z25" s="2" t="s">
        <v>428</v>
      </c>
      <c r="AA25" s="2" t="s">
        <v>429</v>
      </c>
      <c r="AB25" s="2" t="s">
        <v>423</v>
      </c>
      <c r="AG25" s="2" t="s">
        <v>430</v>
      </c>
      <c r="AH25" s="2" t="s">
        <v>950</v>
      </c>
      <c r="AI25" s="2" t="s">
        <v>432</v>
      </c>
      <c r="AJ25" s="2" t="s">
        <v>433</v>
      </c>
      <c r="AK25" s="2" t="s">
        <v>433</v>
      </c>
      <c r="AL25" s="2" t="s">
        <v>433</v>
      </c>
      <c r="AM25" s="2" t="s">
        <v>433</v>
      </c>
      <c r="AN25" s="2" t="s">
        <v>432</v>
      </c>
      <c r="AO25" s="2" t="s">
        <v>432</v>
      </c>
      <c r="AP25" s="2" t="s">
        <v>433</v>
      </c>
      <c r="AQ25" s="2" t="s">
        <v>432</v>
      </c>
      <c r="AR25" s="2" t="s">
        <v>432</v>
      </c>
      <c r="AS25" s="2" t="s">
        <v>432</v>
      </c>
      <c r="AT25" s="2" t="s">
        <v>432</v>
      </c>
      <c r="AU25" s="2" t="s">
        <v>432</v>
      </c>
      <c r="AV25" s="2" t="s">
        <v>432</v>
      </c>
      <c r="AX25" s="2" t="s">
        <v>940</v>
      </c>
      <c r="AY25" s="2" t="s">
        <v>433</v>
      </c>
      <c r="AZ25" s="2" t="s">
        <v>433</v>
      </c>
      <c r="BA25" s="2" t="s">
        <v>433</v>
      </c>
      <c r="BB25" s="2" t="s">
        <v>433</v>
      </c>
      <c r="BC25" s="2" t="s">
        <v>433</v>
      </c>
      <c r="BD25" s="2" t="s">
        <v>432</v>
      </c>
      <c r="BE25" s="2" t="s">
        <v>432</v>
      </c>
      <c r="BF25" s="2" t="s">
        <v>432</v>
      </c>
      <c r="BG25" s="2" t="s">
        <v>432</v>
      </c>
      <c r="BH25" s="2" t="s">
        <v>432</v>
      </c>
      <c r="BI25" s="2" t="s">
        <v>432</v>
      </c>
      <c r="BJ25" s="2" t="s">
        <v>432</v>
      </c>
      <c r="BK25" s="2" t="s">
        <v>432</v>
      </c>
      <c r="BL25" s="2" t="s">
        <v>432</v>
      </c>
      <c r="BN25" s="2" t="s">
        <v>513</v>
      </c>
      <c r="BO25" s="2" t="s">
        <v>436</v>
      </c>
      <c r="BQ25" s="2" t="s">
        <v>430</v>
      </c>
      <c r="BR25" s="2" t="s">
        <v>951</v>
      </c>
      <c r="BS25" s="2" t="s">
        <v>432</v>
      </c>
      <c r="BT25" s="2" t="s">
        <v>432</v>
      </c>
      <c r="BU25" s="2" t="s">
        <v>433</v>
      </c>
      <c r="BV25" s="2" t="s">
        <v>432</v>
      </c>
      <c r="BW25" s="2" t="s">
        <v>433</v>
      </c>
      <c r="BX25" s="2" t="s">
        <v>432</v>
      </c>
      <c r="BY25" s="2" t="s">
        <v>432</v>
      </c>
      <c r="BZ25" s="2" t="s">
        <v>433</v>
      </c>
      <c r="CA25" s="2" t="s">
        <v>433</v>
      </c>
      <c r="CB25" s="2" t="s">
        <v>432</v>
      </c>
      <c r="CC25" s="2" t="s">
        <v>433</v>
      </c>
      <c r="CD25" s="2" t="s">
        <v>432</v>
      </c>
      <c r="CE25" s="2" t="s">
        <v>432</v>
      </c>
      <c r="CF25" s="2" t="s">
        <v>432</v>
      </c>
      <c r="CG25" s="2" t="s">
        <v>432</v>
      </c>
      <c r="CI25" s="2" t="s">
        <v>952</v>
      </c>
      <c r="CJ25" s="2" t="s">
        <v>433</v>
      </c>
      <c r="CK25" s="2" t="s">
        <v>433</v>
      </c>
      <c r="CL25" s="2" t="s">
        <v>433</v>
      </c>
      <c r="CM25" s="2" t="s">
        <v>432</v>
      </c>
      <c r="CN25" s="2" t="s">
        <v>433</v>
      </c>
      <c r="CO25" s="2" t="s">
        <v>433</v>
      </c>
      <c r="CP25" s="2" t="s">
        <v>432</v>
      </c>
      <c r="CQ25" s="2" t="s">
        <v>432</v>
      </c>
      <c r="CR25" s="2" t="s">
        <v>432</v>
      </c>
      <c r="CS25" s="2" t="s">
        <v>432</v>
      </c>
      <c r="CT25" s="2" t="s">
        <v>432</v>
      </c>
      <c r="CU25" s="2" t="s">
        <v>432</v>
      </c>
      <c r="CV25" s="2" t="s">
        <v>432</v>
      </c>
      <c r="CW25" s="2" t="s">
        <v>432</v>
      </c>
      <c r="CY25" s="2" t="s">
        <v>513</v>
      </c>
      <c r="CZ25" s="2" t="s">
        <v>436</v>
      </c>
      <c r="DB25" s="2" t="s">
        <v>921</v>
      </c>
      <c r="DC25" s="2" t="s">
        <v>432</v>
      </c>
      <c r="DD25" s="2" t="s">
        <v>433</v>
      </c>
      <c r="DE25" s="2" t="s">
        <v>433</v>
      </c>
      <c r="DF25" s="2" t="s">
        <v>432</v>
      </c>
      <c r="DG25" s="2" t="s">
        <v>432</v>
      </c>
      <c r="DH25" s="2" t="s">
        <v>432</v>
      </c>
      <c r="DI25" s="2" t="s">
        <v>433</v>
      </c>
      <c r="DJ25" s="2" t="s">
        <v>432</v>
      </c>
      <c r="DK25" s="2" t="s">
        <v>432</v>
      </c>
      <c r="DL25" s="2" t="s">
        <v>432</v>
      </c>
      <c r="DZ25" s="2" t="s">
        <v>953</v>
      </c>
      <c r="EA25" s="2" t="s">
        <v>433</v>
      </c>
      <c r="EB25" s="2" t="s">
        <v>433</v>
      </c>
      <c r="EC25" s="2" t="s">
        <v>433</v>
      </c>
      <c r="ED25" s="2" t="s">
        <v>432</v>
      </c>
      <c r="EE25" s="2" t="s">
        <v>433</v>
      </c>
      <c r="EF25" s="2" t="s">
        <v>432</v>
      </c>
      <c r="EG25" s="2" t="s">
        <v>432</v>
      </c>
      <c r="EH25" s="2" t="s">
        <v>432</v>
      </c>
      <c r="EI25" s="2" t="s">
        <v>432</v>
      </c>
      <c r="EL25" s="2" t="s">
        <v>938</v>
      </c>
      <c r="EM25" s="2" t="s">
        <v>432</v>
      </c>
      <c r="EN25" s="2" t="s">
        <v>433</v>
      </c>
      <c r="EO25" s="2" t="s">
        <v>433</v>
      </c>
      <c r="EP25" s="2" t="s">
        <v>432</v>
      </c>
      <c r="EQ25" s="2" t="s">
        <v>432</v>
      </c>
      <c r="ER25" s="2" t="s">
        <v>433</v>
      </c>
      <c r="ES25" s="2" t="s">
        <v>432</v>
      </c>
      <c r="ET25" s="2" t="s">
        <v>432</v>
      </c>
      <c r="EU25" s="2" t="s">
        <v>432</v>
      </c>
      <c r="EV25" s="2" t="s">
        <v>432</v>
      </c>
      <c r="EX25" s="2" t="s">
        <v>456</v>
      </c>
      <c r="GN25" s="2" t="s">
        <v>508</v>
      </c>
      <c r="GO25" s="2" t="s">
        <v>442</v>
      </c>
      <c r="GP25" s="2" t="s">
        <v>755</v>
      </c>
      <c r="GQ25" s="2" t="s">
        <v>432</v>
      </c>
      <c r="GR25" s="2" t="s">
        <v>433</v>
      </c>
      <c r="GS25" s="2" t="s">
        <v>433</v>
      </c>
      <c r="GT25" s="2" t="s">
        <v>433</v>
      </c>
      <c r="GU25" s="2" t="s">
        <v>432</v>
      </c>
      <c r="GV25" s="2" t="s">
        <v>432</v>
      </c>
      <c r="GW25" s="2" t="s">
        <v>432</v>
      </c>
      <c r="GX25" s="2" t="s">
        <v>432</v>
      </c>
      <c r="GZ25" s="2" t="s">
        <v>707</v>
      </c>
      <c r="HA25" s="2" t="s">
        <v>432</v>
      </c>
      <c r="HB25" s="2" t="s">
        <v>433</v>
      </c>
      <c r="HC25" s="2" t="s">
        <v>433</v>
      </c>
      <c r="HD25" s="2" t="s">
        <v>433</v>
      </c>
      <c r="HE25" s="2" t="s">
        <v>432</v>
      </c>
      <c r="HF25" s="2" t="s">
        <v>432</v>
      </c>
      <c r="HI25" s="2" t="s">
        <v>456</v>
      </c>
      <c r="HV25" s="2" t="s">
        <v>430</v>
      </c>
      <c r="HX25" s="2" t="s">
        <v>954</v>
      </c>
      <c r="HY25" s="2" t="s">
        <v>433</v>
      </c>
      <c r="HZ25" s="2" t="s">
        <v>433</v>
      </c>
      <c r="IA25" s="2" t="s">
        <v>433</v>
      </c>
      <c r="IB25" s="2" t="s">
        <v>432</v>
      </c>
      <c r="IC25" s="2" t="s">
        <v>433</v>
      </c>
      <c r="ID25" s="2" t="s">
        <v>433</v>
      </c>
      <c r="IE25" s="2" t="s">
        <v>432</v>
      </c>
      <c r="IF25" s="2" t="s">
        <v>432</v>
      </c>
      <c r="IG25" s="2" t="s">
        <v>432</v>
      </c>
      <c r="IH25" s="2" t="s">
        <v>432</v>
      </c>
      <c r="II25" s="2" t="s">
        <v>432</v>
      </c>
      <c r="IJ25" s="2" t="s">
        <v>432</v>
      </c>
      <c r="IK25" s="2" t="s">
        <v>432</v>
      </c>
      <c r="IL25" s="2" t="s">
        <v>432</v>
      </c>
      <c r="IN25" s="2" t="s">
        <v>709</v>
      </c>
      <c r="JA25" s="2" t="s">
        <v>515</v>
      </c>
      <c r="JB25" s="2" t="s">
        <v>433</v>
      </c>
      <c r="JC25" s="2" t="s">
        <v>433</v>
      </c>
      <c r="JD25" s="2" t="s">
        <v>433</v>
      </c>
      <c r="JE25" s="2" t="s">
        <v>432</v>
      </c>
      <c r="JF25" s="2" t="s">
        <v>432</v>
      </c>
      <c r="JG25" s="2" t="s">
        <v>432</v>
      </c>
      <c r="JI25" s="2" t="s">
        <v>955</v>
      </c>
      <c r="JJ25" s="2" t="s">
        <v>433</v>
      </c>
      <c r="JK25" s="2" t="s">
        <v>433</v>
      </c>
      <c r="JL25" s="2" t="s">
        <v>433</v>
      </c>
      <c r="JM25" s="2" t="s">
        <v>432</v>
      </c>
      <c r="JN25" s="2" t="s">
        <v>433</v>
      </c>
      <c r="JO25" s="2" t="s">
        <v>432</v>
      </c>
      <c r="JP25" s="2" t="s">
        <v>433</v>
      </c>
      <c r="JQ25" s="2" t="s">
        <v>432</v>
      </c>
      <c r="JR25" s="2" t="s">
        <v>432</v>
      </c>
      <c r="JT25" s="2" t="s">
        <v>956</v>
      </c>
      <c r="JU25" s="2" t="s">
        <v>433</v>
      </c>
      <c r="JV25" s="2" t="s">
        <v>433</v>
      </c>
      <c r="JW25" s="2" t="s">
        <v>433</v>
      </c>
      <c r="JX25" s="2" t="s">
        <v>432</v>
      </c>
      <c r="JY25" s="2" t="s">
        <v>433</v>
      </c>
      <c r="JZ25" s="2" t="s">
        <v>432</v>
      </c>
      <c r="KA25" s="2" t="s">
        <v>433</v>
      </c>
      <c r="KB25" s="2" t="s">
        <v>432</v>
      </c>
      <c r="KC25" s="2" t="s">
        <v>432</v>
      </c>
      <c r="KF25" s="2" t="s">
        <v>456</v>
      </c>
      <c r="LB25" s="2" t="s">
        <v>430</v>
      </c>
      <c r="LC25" s="2" t="s">
        <v>957</v>
      </c>
      <c r="LD25" s="2" t="s">
        <v>433</v>
      </c>
      <c r="LE25" s="2" t="s">
        <v>433</v>
      </c>
      <c r="LF25" s="2" t="s">
        <v>433</v>
      </c>
      <c r="LG25" s="2" t="s">
        <v>433</v>
      </c>
      <c r="LH25" s="2" t="s">
        <v>433</v>
      </c>
      <c r="LI25" s="2" t="s">
        <v>432</v>
      </c>
      <c r="LJ25" s="2" t="s">
        <v>432</v>
      </c>
      <c r="LK25" s="2" t="s">
        <v>432</v>
      </c>
      <c r="LL25" s="2" t="s">
        <v>432</v>
      </c>
      <c r="LM25" s="2" t="s">
        <v>432</v>
      </c>
      <c r="LO25" s="2" t="s">
        <v>430</v>
      </c>
      <c r="LP25" s="2" t="s">
        <v>430</v>
      </c>
      <c r="LR25" s="2" t="s">
        <v>958</v>
      </c>
      <c r="LS25" s="2">
        <v>169351652</v>
      </c>
      <c r="LT25" s="2" t="s">
        <v>959</v>
      </c>
      <c r="LU25" s="2" t="s">
        <v>960</v>
      </c>
      <c r="LW25" s="2" t="s">
        <v>460</v>
      </c>
      <c r="LX25" s="2" t="s">
        <v>461</v>
      </c>
      <c r="LY25" s="2" t="s">
        <v>462</v>
      </c>
      <c r="MA25" s="2">
        <v>26</v>
      </c>
    </row>
    <row r="26" spans="1:339" x14ac:dyDescent="0.3">
      <c r="A26" s="2" t="s">
        <v>961</v>
      </c>
      <c r="B26" s="2" t="s">
        <v>962</v>
      </c>
      <c r="C26" s="2" t="s">
        <v>695</v>
      </c>
      <c r="F26" s="2" t="s">
        <v>422</v>
      </c>
      <c r="G26" s="2" t="s">
        <v>423</v>
      </c>
      <c r="H26" s="2" t="s">
        <v>423</v>
      </c>
      <c r="I26" s="2" t="s">
        <v>963</v>
      </c>
      <c r="R26" s="2" t="s">
        <v>422</v>
      </c>
      <c r="S26" s="2" t="s">
        <v>964</v>
      </c>
      <c r="T26" s="2" t="s">
        <v>426</v>
      </c>
      <c r="Z26" s="2" t="s">
        <v>428</v>
      </c>
      <c r="AA26" s="2" t="s">
        <v>429</v>
      </c>
      <c r="AB26" s="2" t="s">
        <v>423</v>
      </c>
      <c r="AG26" s="2" t="s">
        <v>430</v>
      </c>
      <c r="AH26" s="2" t="s">
        <v>965</v>
      </c>
      <c r="AI26" s="2" t="s">
        <v>432</v>
      </c>
      <c r="AJ26" s="2" t="s">
        <v>433</v>
      </c>
      <c r="AK26" s="2" t="s">
        <v>433</v>
      </c>
      <c r="AL26" s="2" t="s">
        <v>433</v>
      </c>
      <c r="AM26" s="2" t="s">
        <v>432</v>
      </c>
      <c r="AN26" s="2" t="s">
        <v>432</v>
      </c>
      <c r="AO26" s="2" t="s">
        <v>433</v>
      </c>
      <c r="AP26" s="2" t="s">
        <v>433</v>
      </c>
      <c r="AQ26" s="2" t="s">
        <v>432</v>
      </c>
      <c r="AR26" s="2" t="s">
        <v>432</v>
      </c>
      <c r="AS26" s="2" t="s">
        <v>432</v>
      </c>
      <c r="AT26" s="2" t="s">
        <v>432</v>
      </c>
      <c r="AU26" s="2" t="s">
        <v>432</v>
      </c>
      <c r="AV26" s="2" t="s">
        <v>432</v>
      </c>
      <c r="AX26" s="2" t="s">
        <v>966</v>
      </c>
      <c r="AY26" s="2" t="s">
        <v>433</v>
      </c>
      <c r="AZ26" s="2" t="s">
        <v>433</v>
      </c>
      <c r="BA26" s="2" t="s">
        <v>433</v>
      </c>
      <c r="BB26" s="2" t="s">
        <v>432</v>
      </c>
      <c r="BC26" s="2" t="s">
        <v>433</v>
      </c>
      <c r="BD26" s="2" t="s">
        <v>433</v>
      </c>
      <c r="BE26" s="2" t="s">
        <v>432</v>
      </c>
      <c r="BF26" s="2" t="s">
        <v>432</v>
      </c>
      <c r="BG26" s="2" t="s">
        <v>432</v>
      </c>
      <c r="BH26" s="2" t="s">
        <v>432</v>
      </c>
      <c r="BI26" s="2" t="s">
        <v>432</v>
      </c>
      <c r="BJ26" s="2" t="s">
        <v>432</v>
      </c>
      <c r="BK26" s="2" t="s">
        <v>432</v>
      </c>
      <c r="BL26" s="2" t="s">
        <v>432</v>
      </c>
      <c r="BN26" s="2" t="s">
        <v>476</v>
      </c>
      <c r="BO26" s="2" t="s">
        <v>436</v>
      </c>
      <c r="BQ26" s="2" t="s">
        <v>430</v>
      </c>
      <c r="BR26" s="2" t="s">
        <v>967</v>
      </c>
      <c r="BS26" s="2" t="s">
        <v>432</v>
      </c>
      <c r="BT26" s="2" t="s">
        <v>432</v>
      </c>
      <c r="BU26" s="2" t="s">
        <v>433</v>
      </c>
      <c r="BV26" s="2" t="s">
        <v>432</v>
      </c>
      <c r="BW26" s="2" t="s">
        <v>433</v>
      </c>
      <c r="BX26" s="2" t="s">
        <v>432</v>
      </c>
      <c r="BY26" s="2" t="s">
        <v>433</v>
      </c>
      <c r="BZ26" s="2" t="s">
        <v>432</v>
      </c>
      <c r="CA26" s="2" t="s">
        <v>433</v>
      </c>
      <c r="CB26" s="2" t="s">
        <v>433</v>
      </c>
      <c r="CC26" s="2" t="s">
        <v>432</v>
      </c>
      <c r="CD26" s="2" t="s">
        <v>432</v>
      </c>
      <c r="CE26" s="2" t="s">
        <v>432</v>
      </c>
      <c r="CF26" s="2" t="s">
        <v>432</v>
      </c>
      <c r="CG26" s="2" t="s">
        <v>432</v>
      </c>
      <c r="CI26" s="2" t="s">
        <v>966</v>
      </c>
      <c r="CJ26" s="2" t="s">
        <v>433</v>
      </c>
      <c r="CK26" s="2" t="s">
        <v>433</v>
      </c>
      <c r="CL26" s="2" t="s">
        <v>433</v>
      </c>
      <c r="CM26" s="2" t="s">
        <v>432</v>
      </c>
      <c r="CN26" s="2" t="s">
        <v>433</v>
      </c>
      <c r="CO26" s="2" t="s">
        <v>433</v>
      </c>
      <c r="CP26" s="2" t="s">
        <v>432</v>
      </c>
      <c r="CQ26" s="2" t="s">
        <v>432</v>
      </c>
      <c r="CR26" s="2" t="s">
        <v>432</v>
      </c>
      <c r="CS26" s="2" t="s">
        <v>432</v>
      </c>
      <c r="CT26" s="2" t="s">
        <v>432</v>
      </c>
      <c r="CU26" s="2" t="s">
        <v>432</v>
      </c>
      <c r="CV26" s="2" t="s">
        <v>432</v>
      </c>
      <c r="CW26" s="2" t="s">
        <v>432</v>
      </c>
      <c r="CY26" s="2" t="s">
        <v>476</v>
      </c>
      <c r="CZ26" s="2" t="s">
        <v>436</v>
      </c>
      <c r="DB26" s="2" t="s">
        <v>921</v>
      </c>
      <c r="DC26" s="2" t="s">
        <v>432</v>
      </c>
      <c r="DD26" s="2" t="s">
        <v>433</v>
      </c>
      <c r="DE26" s="2" t="s">
        <v>433</v>
      </c>
      <c r="DF26" s="2" t="s">
        <v>432</v>
      </c>
      <c r="DG26" s="2" t="s">
        <v>432</v>
      </c>
      <c r="DH26" s="2" t="s">
        <v>432</v>
      </c>
      <c r="DI26" s="2" t="s">
        <v>433</v>
      </c>
      <c r="DJ26" s="2" t="s">
        <v>432</v>
      </c>
      <c r="DK26" s="2" t="s">
        <v>432</v>
      </c>
      <c r="DL26" s="2" t="s">
        <v>432</v>
      </c>
      <c r="DZ26" s="2" t="s">
        <v>968</v>
      </c>
      <c r="EA26" s="2" t="s">
        <v>432</v>
      </c>
      <c r="EB26" s="2" t="s">
        <v>433</v>
      </c>
      <c r="EC26" s="2" t="s">
        <v>433</v>
      </c>
      <c r="ED26" s="2" t="s">
        <v>432</v>
      </c>
      <c r="EE26" s="2" t="s">
        <v>433</v>
      </c>
      <c r="EF26" s="2" t="s">
        <v>432</v>
      </c>
      <c r="EG26" s="2" t="s">
        <v>432</v>
      </c>
      <c r="EH26" s="2" t="s">
        <v>432</v>
      </c>
      <c r="EI26" s="2" t="s">
        <v>432</v>
      </c>
      <c r="EL26" s="2" t="s">
        <v>969</v>
      </c>
      <c r="EM26" s="2" t="s">
        <v>433</v>
      </c>
      <c r="EN26" s="2" t="s">
        <v>433</v>
      </c>
      <c r="EO26" s="2" t="s">
        <v>433</v>
      </c>
      <c r="EP26" s="2" t="s">
        <v>432</v>
      </c>
      <c r="EQ26" s="2" t="s">
        <v>433</v>
      </c>
      <c r="ER26" s="2" t="s">
        <v>432</v>
      </c>
      <c r="ES26" s="2" t="s">
        <v>432</v>
      </c>
      <c r="ET26" s="2" t="s">
        <v>432</v>
      </c>
      <c r="EU26" s="2" t="s">
        <v>432</v>
      </c>
      <c r="EV26" s="2" t="s">
        <v>432</v>
      </c>
      <c r="EX26" s="2" t="s">
        <v>456</v>
      </c>
      <c r="GN26" s="2" t="s">
        <v>442</v>
      </c>
      <c r="GO26" s="2" t="s">
        <v>442</v>
      </c>
      <c r="GP26" s="2" t="s">
        <v>755</v>
      </c>
      <c r="GQ26" s="2" t="s">
        <v>432</v>
      </c>
      <c r="GR26" s="2" t="s">
        <v>433</v>
      </c>
      <c r="GS26" s="2" t="s">
        <v>433</v>
      </c>
      <c r="GT26" s="2" t="s">
        <v>433</v>
      </c>
      <c r="GU26" s="2" t="s">
        <v>432</v>
      </c>
      <c r="GV26" s="2" t="s">
        <v>432</v>
      </c>
      <c r="GW26" s="2" t="s">
        <v>432</v>
      </c>
      <c r="GX26" s="2" t="s">
        <v>432</v>
      </c>
      <c r="GZ26" s="2" t="s">
        <v>970</v>
      </c>
      <c r="HA26" s="2" t="s">
        <v>432</v>
      </c>
      <c r="HB26" s="2" t="s">
        <v>433</v>
      </c>
      <c r="HC26" s="2" t="s">
        <v>433</v>
      </c>
      <c r="HD26" s="2" t="s">
        <v>433</v>
      </c>
      <c r="HE26" s="2" t="s">
        <v>432</v>
      </c>
      <c r="HF26" s="2" t="s">
        <v>432</v>
      </c>
      <c r="HI26" s="2" t="s">
        <v>456</v>
      </c>
      <c r="HV26" s="2" t="s">
        <v>430</v>
      </c>
      <c r="HX26" s="2" t="s">
        <v>971</v>
      </c>
      <c r="HY26" s="2" t="s">
        <v>433</v>
      </c>
      <c r="HZ26" s="2" t="s">
        <v>433</v>
      </c>
      <c r="IA26" s="2" t="s">
        <v>433</v>
      </c>
      <c r="IB26" s="2" t="s">
        <v>433</v>
      </c>
      <c r="IC26" s="2" t="s">
        <v>433</v>
      </c>
      <c r="ID26" s="2" t="s">
        <v>432</v>
      </c>
      <c r="IE26" s="2" t="s">
        <v>432</v>
      </c>
      <c r="IF26" s="2" t="s">
        <v>432</v>
      </c>
      <c r="IG26" s="2" t="s">
        <v>432</v>
      </c>
      <c r="IH26" s="2" t="s">
        <v>432</v>
      </c>
      <c r="II26" s="2" t="s">
        <v>432</v>
      </c>
      <c r="IJ26" s="2" t="s">
        <v>432</v>
      </c>
      <c r="IK26" s="2" t="s">
        <v>432</v>
      </c>
      <c r="IL26" s="2" t="s">
        <v>432</v>
      </c>
      <c r="IN26" s="2" t="s">
        <v>736</v>
      </c>
      <c r="JA26" s="2" t="s">
        <v>515</v>
      </c>
      <c r="JB26" s="2" t="s">
        <v>433</v>
      </c>
      <c r="JC26" s="2" t="s">
        <v>433</v>
      </c>
      <c r="JD26" s="2" t="s">
        <v>433</v>
      </c>
      <c r="JE26" s="2" t="s">
        <v>432</v>
      </c>
      <c r="JF26" s="2" t="s">
        <v>432</v>
      </c>
      <c r="JG26" s="2" t="s">
        <v>432</v>
      </c>
      <c r="JI26" s="2" t="s">
        <v>972</v>
      </c>
      <c r="JJ26" s="2" t="s">
        <v>433</v>
      </c>
      <c r="JK26" s="2" t="s">
        <v>433</v>
      </c>
      <c r="JL26" s="2" t="s">
        <v>432</v>
      </c>
      <c r="JM26" s="2" t="s">
        <v>433</v>
      </c>
      <c r="JN26" s="2" t="s">
        <v>433</v>
      </c>
      <c r="JO26" s="2" t="s">
        <v>432</v>
      </c>
      <c r="JP26" s="2" t="s">
        <v>433</v>
      </c>
      <c r="JQ26" s="2" t="s">
        <v>432</v>
      </c>
      <c r="JR26" s="2" t="s">
        <v>432</v>
      </c>
      <c r="JT26" s="2" t="s">
        <v>926</v>
      </c>
      <c r="JU26" s="2" t="s">
        <v>433</v>
      </c>
      <c r="JV26" s="2" t="s">
        <v>433</v>
      </c>
      <c r="JW26" s="2" t="s">
        <v>433</v>
      </c>
      <c r="JX26" s="2" t="s">
        <v>432</v>
      </c>
      <c r="JY26" s="2" t="s">
        <v>433</v>
      </c>
      <c r="JZ26" s="2" t="s">
        <v>432</v>
      </c>
      <c r="KA26" s="2" t="s">
        <v>433</v>
      </c>
      <c r="KB26" s="2" t="s">
        <v>432</v>
      </c>
      <c r="KC26" s="2" t="s">
        <v>432</v>
      </c>
      <c r="KF26" s="2" t="s">
        <v>430</v>
      </c>
      <c r="KG26" s="2" t="s">
        <v>973</v>
      </c>
      <c r="KH26" s="2" t="s">
        <v>433</v>
      </c>
      <c r="KI26" s="2" t="s">
        <v>433</v>
      </c>
      <c r="KJ26" s="2" t="s">
        <v>433</v>
      </c>
      <c r="KK26" s="2" t="s">
        <v>432</v>
      </c>
      <c r="KL26" s="2" t="s">
        <v>433</v>
      </c>
      <c r="KM26" s="2" t="s">
        <v>432</v>
      </c>
      <c r="KN26" s="2" t="s">
        <v>433</v>
      </c>
      <c r="KO26" s="2" t="s">
        <v>432</v>
      </c>
      <c r="KP26" s="2" t="s">
        <v>432</v>
      </c>
      <c r="KQ26" s="2" t="s">
        <v>432</v>
      </c>
      <c r="KR26" s="2" t="s">
        <v>432</v>
      </c>
      <c r="LB26" s="2" t="s">
        <v>430</v>
      </c>
      <c r="LC26" s="2" t="s">
        <v>974</v>
      </c>
      <c r="LD26" s="2" t="s">
        <v>433</v>
      </c>
      <c r="LE26" s="2" t="s">
        <v>433</v>
      </c>
      <c r="LF26" s="2" t="s">
        <v>432</v>
      </c>
      <c r="LG26" s="2" t="s">
        <v>433</v>
      </c>
      <c r="LH26" s="2" t="s">
        <v>433</v>
      </c>
      <c r="LI26" s="2" t="s">
        <v>432</v>
      </c>
      <c r="LJ26" s="2" t="s">
        <v>432</v>
      </c>
      <c r="LK26" s="2" t="s">
        <v>432</v>
      </c>
      <c r="LL26" s="2" t="s">
        <v>432</v>
      </c>
      <c r="LM26" s="2" t="s">
        <v>432</v>
      </c>
      <c r="LO26" s="2" t="s">
        <v>430</v>
      </c>
      <c r="LP26" s="2" t="s">
        <v>430</v>
      </c>
      <c r="LR26" s="2" t="s">
        <v>975</v>
      </c>
      <c r="LS26" s="2">
        <v>169351660</v>
      </c>
      <c r="LT26" s="2" t="s">
        <v>976</v>
      </c>
      <c r="LU26" s="2" t="s">
        <v>977</v>
      </c>
      <c r="LW26" s="2" t="s">
        <v>460</v>
      </c>
      <c r="LX26" s="2" t="s">
        <v>461</v>
      </c>
      <c r="LY26" s="2" t="s">
        <v>462</v>
      </c>
      <c r="MA26" s="2">
        <v>27</v>
      </c>
    </row>
    <row r="27" spans="1:339" x14ac:dyDescent="0.3">
      <c r="A27" s="2" t="s">
        <v>978</v>
      </c>
      <c r="B27" s="2" t="s">
        <v>979</v>
      </c>
      <c r="C27" s="2" t="s">
        <v>980</v>
      </c>
      <c r="F27" s="2" t="s">
        <v>422</v>
      </c>
      <c r="G27" s="2" t="s">
        <v>981</v>
      </c>
      <c r="H27" s="2" t="s">
        <v>981</v>
      </c>
      <c r="I27" s="2" t="s">
        <v>427</v>
      </c>
      <c r="J27" s="2" t="s">
        <v>982</v>
      </c>
      <c r="R27" s="2" t="s">
        <v>422</v>
      </c>
      <c r="S27" s="2" t="s">
        <v>983</v>
      </c>
      <c r="T27" s="2" t="s">
        <v>426</v>
      </c>
      <c r="Z27" s="2" t="s">
        <v>428</v>
      </c>
      <c r="AA27" s="2" t="s">
        <v>429</v>
      </c>
      <c r="AB27" s="2" t="s">
        <v>981</v>
      </c>
      <c r="AG27" s="2" t="s">
        <v>430</v>
      </c>
      <c r="AH27" s="2" t="s">
        <v>935</v>
      </c>
      <c r="AI27" s="2" t="s">
        <v>432</v>
      </c>
      <c r="AJ27" s="2" t="s">
        <v>433</v>
      </c>
      <c r="AK27" s="2" t="s">
        <v>433</v>
      </c>
      <c r="AL27" s="2" t="s">
        <v>433</v>
      </c>
      <c r="AM27" s="2" t="s">
        <v>433</v>
      </c>
      <c r="AN27" s="2" t="s">
        <v>432</v>
      </c>
      <c r="AO27" s="2" t="s">
        <v>432</v>
      </c>
      <c r="AP27" s="2" t="s">
        <v>433</v>
      </c>
      <c r="AQ27" s="2" t="s">
        <v>432</v>
      </c>
      <c r="AR27" s="2" t="s">
        <v>432</v>
      </c>
      <c r="AS27" s="2" t="s">
        <v>432</v>
      </c>
      <c r="AT27" s="2" t="s">
        <v>432</v>
      </c>
      <c r="AU27" s="2" t="s">
        <v>432</v>
      </c>
      <c r="AV27" s="2" t="s">
        <v>432</v>
      </c>
      <c r="AX27" s="2" t="s">
        <v>984</v>
      </c>
      <c r="AY27" s="2" t="s">
        <v>433</v>
      </c>
      <c r="AZ27" s="2" t="s">
        <v>433</v>
      </c>
      <c r="BA27" s="2" t="s">
        <v>433</v>
      </c>
      <c r="BB27" s="2" t="s">
        <v>432</v>
      </c>
      <c r="BC27" s="2" t="s">
        <v>433</v>
      </c>
      <c r="BD27" s="2" t="s">
        <v>432</v>
      </c>
      <c r="BE27" s="2" t="s">
        <v>433</v>
      </c>
      <c r="BF27" s="2" t="s">
        <v>432</v>
      </c>
      <c r="BG27" s="2" t="s">
        <v>432</v>
      </c>
      <c r="BH27" s="2" t="s">
        <v>432</v>
      </c>
      <c r="BI27" s="2" t="s">
        <v>432</v>
      </c>
      <c r="BJ27" s="2" t="s">
        <v>432</v>
      </c>
      <c r="BK27" s="2" t="s">
        <v>432</v>
      </c>
      <c r="BL27" s="2" t="s">
        <v>432</v>
      </c>
      <c r="BN27" s="2" t="s">
        <v>476</v>
      </c>
      <c r="BO27" s="2" t="s">
        <v>436</v>
      </c>
      <c r="BQ27" s="2" t="s">
        <v>430</v>
      </c>
      <c r="BR27" s="2" t="s">
        <v>985</v>
      </c>
      <c r="BS27" s="2" t="s">
        <v>432</v>
      </c>
      <c r="BT27" s="2" t="s">
        <v>432</v>
      </c>
      <c r="BU27" s="2" t="s">
        <v>433</v>
      </c>
      <c r="BV27" s="2" t="s">
        <v>432</v>
      </c>
      <c r="BW27" s="2" t="s">
        <v>433</v>
      </c>
      <c r="BX27" s="2" t="s">
        <v>432</v>
      </c>
      <c r="BY27" s="2" t="s">
        <v>433</v>
      </c>
      <c r="BZ27" s="2" t="s">
        <v>432</v>
      </c>
      <c r="CA27" s="2" t="s">
        <v>433</v>
      </c>
      <c r="CB27" s="2" t="s">
        <v>432</v>
      </c>
      <c r="CC27" s="2" t="s">
        <v>433</v>
      </c>
      <c r="CD27" s="2" t="s">
        <v>432</v>
      </c>
      <c r="CE27" s="2" t="s">
        <v>432</v>
      </c>
      <c r="CF27" s="2" t="s">
        <v>432</v>
      </c>
      <c r="CG27" s="2" t="s">
        <v>432</v>
      </c>
      <c r="CI27" s="2" t="s">
        <v>986</v>
      </c>
      <c r="CJ27" s="2" t="s">
        <v>433</v>
      </c>
      <c r="CK27" s="2" t="s">
        <v>433</v>
      </c>
      <c r="CL27" s="2" t="s">
        <v>433</v>
      </c>
      <c r="CM27" s="2" t="s">
        <v>433</v>
      </c>
      <c r="CN27" s="2" t="s">
        <v>433</v>
      </c>
      <c r="CO27" s="2" t="s">
        <v>432</v>
      </c>
      <c r="CP27" s="2" t="s">
        <v>432</v>
      </c>
      <c r="CQ27" s="2" t="s">
        <v>432</v>
      </c>
      <c r="CR27" s="2" t="s">
        <v>432</v>
      </c>
      <c r="CS27" s="2" t="s">
        <v>432</v>
      </c>
      <c r="CT27" s="2" t="s">
        <v>432</v>
      </c>
      <c r="CU27" s="2" t="s">
        <v>432</v>
      </c>
      <c r="CV27" s="2" t="s">
        <v>432</v>
      </c>
      <c r="CW27" s="2" t="s">
        <v>432</v>
      </c>
      <c r="CY27" s="2" t="s">
        <v>476</v>
      </c>
      <c r="CZ27" s="2" t="s">
        <v>436</v>
      </c>
      <c r="DB27" s="2" t="s">
        <v>987</v>
      </c>
      <c r="DC27" s="2" t="s">
        <v>433</v>
      </c>
      <c r="DD27" s="2" t="s">
        <v>433</v>
      </c>
      <c r="DE27" s="2" t="s">
        <v>433</v>
      </c>
      <c r="DF27" s="2" t="s">
        <v>432</v>
      </c>
      <c r="DG27" s="2" t="s">
        <v>432</v>
      </c>
      <c r="DH27" s="2" t="s">
        <v>432</v>
      </c>
      <c r="DI27" s="2" t="s">
        <v>432</v>
      </c>
      <c r="DJ27" s="2" t="s">
        <v>432</v>
      </c>
      <c r="DK27" s="2" t="s">
        <v>432</v>
      </c>
      <c r="DL27" s="2" t="s">
        <v>432</v>
      </c>
      <c r="DZ27" s="2" t="s">
        <v>988</v>
      </c>
      <c r="EA27" s="2" t="s">
        <v>433</v>
      </c>
      <c r="EB27" s="2" t="s">
        <v>433</v>
      </c>
      <c r="EC27" s="2" t="s">
        <v>433</v>
      </c>
      <c r="ED27" s="2" t="s">
        <v>432</v>
      </c>
      <c r="EE27" s="2" t="s">
        <v>432</v>
      </c>
      <c r="EF27" s="2" t="s">
        <v>432</v>
      </c>
      <c r="EG27" s="2" t="s">
        <v>432</v>
      </c>
      <c r="EH27" s="2" t="s">
        <v>432</v>
      </c>
      <c r="EI27" s="2" t="s">
        <v>432</v>
      </c>
      <c r="EL27" s="2" t="s">
        <v>637</v>
      </c>
      <c r="EM27" s="2" t="s">
        <v>432</v>
      </c>
      <c r="EN27" s="2" t="s">
        <v>433</v>
      </c>
      <c r="EO27" s="2" t="s">
        <v>433</v>
      </c>
      <c r="EP27" s="2" t="s">
        <v>432</v>
      </c>
      <c r="EQ27" s="2" t="s">
        <v>433</v>
      </c>
      <c r="ER27" s="2" t="s">
        <v>433</v>
      </c>
      <c r="ES27" s="2" t="s">
        <v>432</v>
      </c>
      <c r="ET27" s="2" t="s">
        <v>432</v>
      </c>
      <c r="EU27" s="2" t="s">
        <v>432</v>
      </c>
      <c r="EV27" s="2" t="s">
        <v>432</v>
      </c>
      <c r="EX27" s="2" t="s">
        <v>430</v>
      </c>
      <c r="EY27" s="2" t="s">
        <v>989</v>
      </c>
      <c r="EZ27" s="2" t="s">
        <v>432</v>
      </c>
      <c r="FA27" s="2" t="s">
        <v>432</v>
      </c>
      <c r="FB27" s="2" t="s">
        <v>432</v>
      </c>
      <c r="FC27" s="2" t="s">
        <v>433</v>
      </c>
      <c r="FD27" s="2" t="s">
        <v>432</v>
      </c>
      <c r="FE27" s="2" t="s">
        <v>433</v>
      </c>
      <c r="FF27" s="2" t="s">
        <v>433</v>
      </c>
      <c r="FG27" s="2" t="s">
        <v>433</v>
      </c>
      <c r="FH27" s="2" t="s">
        <v>433</v>
      </c>
      <c r="FI27" s="2" t="s">
        <v>432</v>
      </c>
      <c r="FJ27" s="2" t="s">
        <v>432</v>
      </c>
      <c r="FK27" s="2" t="s">
        <v>432</v>
      </c>
      <c r="FL27" s="2" t="s">
        <v>432</v>
      </c>
      <c r="FM27" s="2" t="s">
        <v>432</v>
      </c>
      <c r="FO27" s="2" t="s">
        <v>442</v>
      </c>
      <c r="FP27" s="2" t="s">
        <v>442</v>
      </c>
      <c r="FQ27" s="2" t="s">
        <v>990</v>
      </c>
      <c r="FR27" s="2" t="s">
        <v>432</v>
      </c>
      <c r="FS27" s="2" t="s">
        <v>433</v>
      </c>
      <c r="FT27" s="2" t="s">
        <v>433</v>
      </c>
      <c r="FU27" s="2" t="s">
        <v>433</v>
      </c>
      <c r="FV27" s="2" t="s">
        <v>432</v>
      </c>
      <c r="FW27" s="2" t="s">
        <v>432</v>
      </c>
      <c r="FX27" s="2" t="s">
        <v>432</v>
      </c>
      <c r="FY27" s="2" t="s">
        <v>432</v>
      </c>
      <c r="GA27" s="2" t="s">
        <v>444</v>
      </c>
      <c r="GB27" s="2" t="s">
        <v>444</v>
      </c>
      <c r="GC27" s="2" t="s">
        <v>880</v>
      </c>
      <c r="GD27" s="2" t="s">
        <v>433</v>
      </c>
      <c r="GE27" s="2" t="s">
        <v>433</v>
      </c>
      <c r="GF27" s="2" t="s">
        <v>433</v>
      </c>
      <c r="GG27" s="2" t="s">
        <v>433</v>
      </c>
      <c r="GH27" s="2" t="s">
        <v>432</v>
      </c>
      <c r="GI27" s="2" t="s">
        <v>432</v>
      </c>
      <c r="GJ27" s="2" t="s">
        <v>432</v>
      </c>
      <c r="GK27" s="2" t="s">
        <v>432</v>
      </c>
      <c r="GL27" s="2" t="s">
        <v>432</v>
      </c>
      <c r="GN27" s="2" t="s">
        <v>442</v>
      </c>
      <c r="GO27" s="2" t="s">
        <v>442</v>
      </c>
      <c r="GP27" s="2" t="s">
        <v>755</v>
      </c>
      <c r="GQ27" s="2" t="s">
        <v>432</v>
      </c>
      <c r="GR27" s="2" t="s">
        <v>433</v>
      </c>
      <c r="GS27" s="2" t="s">
        <v>433</v>
      </c>
      <c r="GT27" s="2" t="s">
        <v>433</v>
      </c>
      <c r="GU27" s="2" t="s">
        <v>432</v>
      </c>
      <c r="GV27" s="2" t="s">
        <v>432</v>
      </c>
      <c r="GW27" s="2" t="s">
        <v>432</v>
      </c>
      <c r="GX27" s="2" t="s">
        <v>432</v>
      </c>
      <c r="GZ27" s="2" t="s">
        <v>882</v>
      </c>
      <c r="HA27" s="2" t="s">
        <v>433</v>
      </c>
      <c r="HB27" s="2" t="s">
        <v>433</v>
      </c>
      <c r="HC27" s="2" t="s">
        <v>433</v>
      </c>
      <c r="HD27" s="2" t="s">
        <v>432</v>
      </c>
      <c r="HE27" s="2" t="s">
        <v>432</v>
      </c>
      <c r="HF27" s="2" t="s">
        <v>432</v>
      </c>
      <c r="HI27" s="2" t="s">
        <v>456</v>
      </c>
      <c r="HV27" s="2" t="s">
        <v>430</v>
      </c>
      <c r="HX27" s="2" t="s">
        <v>986</v>
      </c>
      <c r="HY27" s="2" t="s">
        <v>433</v>
      </c>
      <c r="HZ27" s="2" t="s">
        <v>433</v>
      </c>
      <c r="IA27" s="2" t="s">
        <v>433</v>
      </c>
      <c r="IB27" s="2" t="s">
        <v>433</v>
      </c>
      <c r="IC27" s="2" t="s">
        <v>433</v>
      </c>
      <c r="ID27" s="2" t="s">
        <v>432</v>
      </c>
      <c r="IE27" s="2" t="s">
        <v>432</v>
      </c>
      <c r="IF27" s="2" t="s">
        <v>432</v>
      </c>
      <c r="IG27" s="2" t="s">
        <v>432</v>
      </c>
      <c r="IH27" s="2" t="s">
        <v>432</v>
      </c>
      <c r="II27" s="2" t="s">
        <v>432</v>
      </c>
      <c r="IJ27" s="2" t="s">
        <v>432</v>
      </c>
      <c r="IK27" s="2" t="s">
        <v>432</v>
      </c>
      <c r="IL27" s="2" t="s">
        <v>432</v>
      </c>
      <c r="IN27" s="2" t="s">
        <v>907</v>
      </c>
      <c r="IO27" s="2" t="s">
        <v>991</v>
      </c>
      <c r="IP27" s="2" t="s">
        <v>432</v>
      </c>
      <c r="IQ27" s="2" t="s">
        <v>433</v>
      </c>
      <c r="IR27" s="2" t="s">
        <v>433</v>
      </c>
      <c r="IS27" s="2" t="s">
        <v>433</v>
      </c>
      <c r="IT27" s="2" t="s">
        <v>432</v>
      </c>
      <c r="IU27" s="2" t="s">
        <v>432</v>
      </c>
      <c r="IV27" s="2" t="s">
        <v>432</v>
      </c>
      <c r="IW27" s="2" t="s">
        <v>433</v>
      </c>
      <c r="IX27" s="2" t="s">
        <v>432</v>
      </c>
      <c r="IY27" s="2" t="s">
        <v>432</v>
      </c>
      <c r="JA27" s="2" t="s">
        <v>515</v>
      </c>
      <c r="JB27" s="2" t="s">
        <v>433</v>
      </c>
      <c r="JC27" s="2" t="s">
        <v>433</v>
      </c>
      <c r="JD27" s="2" t="s">
        <v>433</v>
      </c>
      <c r="JE27" s="2" t="s">
        <v>432</v>
      </c>
      <c r="JF27" s="2" t="s">
        <v>432</v>
      </c>
      <c r="JG27" s="2" t="s">
        <v>432</v>
      </c>
      <c r="JI27" s="2" t="s">
        <v>992</v>
      </c>
      <c r="JJ27" s="2" t="s">
        <v>433</v>
      </c>
      <c r="JK27" s="2" t="s">
        <v>432</v>
      </c>
      <c r="JL27" s="2" t="s">
        <v>433</v>
      </c>
      <c r="JM27" s="2" t="s">
        <v>432</v>
      </c>
      <c r="JN27" s="2" t="s">
        <v>433</v>
      </c>
      <c r="JO27" s="2" t="s">
        <v>433</v>
      </c>
      <c r="JP27" s="2" t="s">
        <v>433</v>
      </c>
      <c r="JQ27" s="2" t="s">
        <v>432</v>
      </c>
      <c r="JR27" s="2" t="s">
        <v>432</v>
      </c>
      <c r="JT27" s="2" t="s">
        <v>886</v>
      </c>
      <c r="JU27" s="2" t="s">
        <v>433</v>
      </c>
      <c r="JV27" s="2" t="s">
        <v>433</v>
      </c>
      <c r="JW27" s="2" t="s">
        <v>433</v>
      </c>
      <c r="JX27" s="2" t="s">
        <v>432</v>
      </c>
      <c r="JY27" s="2" t="s">
        <v>433</v>
      </c>
      <c r="JZ27" s="2" t="s">
        <v>433</v>
      </c>
      <c r="KA27" s="2" t="s">
        <v>432</v>
      </c>
      <c r="KB27" s="2" t="s">
        <v>432</v>
      </c>
      <c r="KC27" s="2" t="s">
        <v>432</v>
      </c>
      <c r="KF27" s="2" t="s">
        <v>430</v>
      </c>
      <c r="KG27" s="2" t="s">
        <v>993</v>
      </c>
      <c r="KH27" s="2" t="s">
        <v>433</v>
      </c>
      <c r="KI27" s="2" t="s">
        <v>433</v>
      </c>
      <c r="KJ27" s="2" t="s">
        <v>433</v>
      </c>
      <c r="KK27" s="2" t="s">
        <v>433</v>
      </c>
      <c r="KL27" s="2" t="s">
        <v>433</v>
      </c>
      <c r="KM27" s="2" t="s">
        <v>432</v>
      </c>
      <c r="KN27" s="2" t="s">
        <v>432</v>
      </c>
      <c r="KO27" s="2" t="s">
        <v>432</v>
      </c>
      <c r="KP27" s="2" t="s">
        <v>432</v>
      </c>
      <c r="KQ27" s="2" t="s">
        <v>432</v>
      </c>
      <c r="KR27" s="2" t="s">
        <v>432</v>
      </c>
      <c r="KT27" s="2" t="s">
        <v>994</v>
      </c>
      <c r="KU27" s="2" t="s">
        <v>433</v>
      </c>
      <c r="KV27" s="2" t="s">
        <v>433</v>
      </c>
      <c r="KW27" s="2" t="s">
        <v>433</v>
      </c>
      <c r="KX27" s="2" t="s">
        <v>432</v>
      </c>
      <c r="KY27" s="2" t="s">
        <v>432</v>
      </c>
      <c r="KZ27" s="2" t="s">
        <v>432</v>
      </c>
      <c r="LB27" s="2" t="s">
        <v>456</v>
      </c>
      <c r="LP27" s="2" t="s">
        <v>430</v>
      </c>
      <c r="LR27" s="2" t="s">
        <v>995</v>
      </c>
      <c r="LS27" s="2">
        <v>169351662</v>
      </c>
      <c r="LT27" s="2" t="s">
        <v>996</v>
      </c>
      <c r="LU27" s="2" t="s">
        <v>997</v>
      </c>
      <c r="LW27" s="2" t="s">
        <v>460</v>
      </c>
      <c r="LX27" s="2" t="s">
        <v>461</v>
      </c>
      <c r="LY27" s="2" t="s">
        <v>462</v>
      </c>
      <c r="MA27" s="2">
        <v>28</v>
      </c>
    </row>
    <row r="28" spans="1:339" x14ac:dyDescent="0.3">
      <c r="A28" s="2" t="s">
        <v>998</v>
      </c>
      <c r="B28" s="2" t="s">
        <v>999</v>
      </c>
      <c r="C28" s="2" t="s">
        <v>980</v>
      </c>
      <c r="F28" s="2" t="s">
        <v>422</v>
      </c>
      <c r="G28" s="2" t="s">
        <v>981</v>
      </c>
      <c r="H28" s="2" t="s">
        <v>981</v>
      </c>
      <c r="I28" s="2" t="s">
        <v>427</v>
      </c>
      <c r="J28" s="2" t="s">
        <v>1000</v>
      </c>
      <c r="R28" s="2" t="s">
        <v>422</v>
      </c>
      <c r="S28" s="2" t="s">
        <v>849</v>
      </c>
      <c r="T28" s="2" t="s">
        <v>673</v>
      </c>
      <c r="Z28" s="2" t="s">
        <v>1001</v>
      </c>
      <c r="AA28" s="2" t="s">
        <v>1002</v>
      </c>
      <c r="AB28" s="2" t="s">
        <v>1003</v>
      </c>
      <c r="AG28" s="2" t="s">
        <v>430</v>
      </c>
      <c r="AH28" s="2" t="s">
        <v>1004</v>
      </c>
      <c r="AI28" s="2" t="s">
        <v>432</v>
      </c>
      <c r="AJ28" s="2" t="s">
        <v>433</v>
      </c>
      <c r="AK28" s="2" t="s">
        <v>433</v>
      </c>
      <c r="AL28" s="2" t="s">
        <v>433</v>
      </c>
      <c r="AM28" s="2" t="s">
        <v>433</v>
      </c>
      <c r="AN28" s="2" t="s">
        <v>432</v>
      </c>
      <c r="AO28" s="2" t="s">
        <v>433</v>
      </c>
      <c r="AP28" s="2" t="s">
        <v>432</v>
      </c>
      <c r="AQ28" s="2" t="s">
        <v>432</v>
      </c>
      <c r="AR28" s="2" t="s">
        <v>432</v>
      </c>
      <c r="AS28" s="2" t="s">
        <v>432</v>
      </c>
      <c r="AT28" s="2" t="s">
        <v>432</v>
      </c>
      <c r="AU28" s="2" t="s">
        <v>432</v>
      </c>
      <c r="AV28" s="2" t="s">
        <v>432</v>
      </c>
      <c r="AX28" s="2" t="s">
        <v>986</v>
      </c>
      <c r="AY28" s="2" t="s">
        <v>433</v>
      </c>
      <c r="AZ28" s="2" t="s">
        <v>433</v>
      </c>
      <c r="BA28" s="2" t="s">
        <v>433</v>
      </c>
      <c r="BB28" s="2" t="s">
        <v>433</v>
      </c>
      <c r="BC28" s="2" t="s">
        <v>433</v>
      </c>
      <c r="BD28" s="2" t="s">
        <v>432</v>
      </c>
      <c r="BE28" s="2" t="s">
        <v>432</v>
      </c>
      <c r="BF28" s="2" t="s">
        <v>432</v>
      </c>
      <c r="BG28" s="2" t="s">
        <v>432</v>
      </c>
      <c r="BH28" s="2" t="s">
        <v>432</v>
      </c>
      <c r="BI28" s="2" t="s">
        <v>432</v>
      </c>
      <c r="BJ28" s="2" t="s">
        <v>432</v>
      </c>
      <c r="BK28" s="2" t="s">
        <v>432</v>
      </c>
      <c r="BL28" s="2" t="s">
        <v>432</v>
      </c>
      <c r="BN28" s="2" t="s">
        <v>476</v>
      </c>
      <c r="BO28" s="2" t="s">
        <v>436</v>
      </c>
      <c r="BQ28" s="2" t="s">
        <v>430</v>
      </c>
      <c r="BR28" s="2" t="s">
        <v>1005</v>
      </c>
      <c r="BS28" s="2" t="s">
        <v>432</v>
      </c>
      <c r="BT28" s="2" t="s">
        <v>432</v>
      </c>
      <c r="BU28" s="2" t="s">
        <v>433</v>
      </c>
      <c r="BV28" s="2" t="s">
        <v>432</v>
      </c>
      <c r="BW28" s="2" t="s">
        <v>433</v>
      </c>
      <c r="BX28" s="2" t="s">
        <v>432</v>
      </c>
      <c r="BY28" s="2" t="s">
        <v>432</v>
      </c>
      <c r="BZ28" s="2" t="s">
        <v>433</v>
      </c>
      <c r="CA28" s="2" t="s">
        <v>433</v>
      </c>
      <c r="CB28" s="2" t="s">
        <v>432</v>
      </c>
      <c r="CC28" s="2" t="s">
        <v>433</v>
      </c>
      <c r="CD28" s="2" t="s">
        <v>432</v>
      </c>
      <c r="CE28" s="2" t="s">
        <v>432</v>
      </c>
      <c r="CF28" s="2" t="s">
        <v>432</v>
      </c>
      <c r="CG28" s="2" t="s">
        <v>432</v>
      </c>
      <c r="CI28" s="2" t="s">
        <v>1006</v>
      </c>
      <c r="CJ28" s="2" t="s">
        <v>433</v>
      </c>
      <c r="CK28" s="2" t="s">
        <v>433</v>
      </c>
      <c r="CL28" s="2" t="s">
        <v>433</v>
      </c>
      <c r="CM28" s="2" t="s">
        <v>433</v>
      </c>
      <c r="CN28" s="2" t="s">
        <v>433</v>
      </c>
      <c r="CO28" s="2" t="s">
        <v>432</v>
      </c>
      <c r="CP28" s="2" t="s">
        <v>432</v>
      </c>
      <c r="CQ28" s="2" t="s">
        <v>432</v>
      </c>
      <c r="CR28" s="2" t="s">
        <v>432</v>
      </c>
      <c r="CS28" s="2" t="s">
        <v>432</v>
      </c>
      <c r="CT28" s="2" t="s">
        <v>432</v>
      </c>
      <c r="CU28" s="2" t="s">
        <v>432</v>
      </c>
      <c r="CV28" s="2" t="s">
        <v>432</v>
      </c>
      <c r="CW28" s="2" t="s">
        <v>432</v>
      </c>
      <c r="CY28" s="2" t="s">
        <v>476</v>
      </c>
      <c r="CZ28" s="2" t="s">
        <v>436</v>
      </c>
      <c r="DB28" s="2" t="s">
        <v>987</v>
      </c>
      <c r="DC28" s="2" t="s">
        <v>433</v>
      </c>
      <c r="DD28" s="2" t="s">
        <v>433</v>
      </c>
      <c r="DE28" s="2" t="s">
        <v>433</v>
      </c>
      <c r="DF28" s="2" t="s">
        <v>432</v>
      </c>
      <c r="DG28" s="2" t="s">
        <v>432</v>
      </c>
      <c r="DH28" s="2" t="s">
        <v>432</v>
      </c>
      <c r="DI28" s="2" t="s">
        <v>432</v>
      </c>
      <c r="DJ28" s="2" t="s">
        <v>432</v>
      </c>
      <c r="DK28" s="2" t="s">
        <v>432</v>
      </c>
      <c r="DL28" s="2" t="s">
        <v>432</v>
      </c>
      <c r="DZ28" s="2" t="s">
        <v>1007</v>
      </c>
      <c r="EA28" s="2" t="s">
        <v>433</v>
      </c>
      <c r="EB28" s="2" t="s">
        <v>433</v>
      </c>
      <c r="EC28" s="2" t="s">
        <v>433</v>
      </c>
      <c r="ED28" s="2" t="s">
        <v>432</v>
      </c>
      <c r="EE28" s="2" t="s">
        <v>432</v>
      </c>
      <c r="EF28" s="2" t="s">
        <v>432</v>
      </c>
      <c r="EG28" s="2" t="s">
        <v>432</v>
      </c>
      <c r="EH28" s="2" t="s">
        <v>432</v>
      </c>
      <c r="EI28" s="2" t="s">
        <v>432</v>
      </c>
      <c r="EL28" s="2" t="s">
        <v>1008</v>
      </c>
      <c r="EM28" s="2" t="s">
        <v>432</v>
      </c>
      <c r="EN28" s="2" t="s">
        <v>433</v>
      </c>
      <c r="EO28" s="2" t="s">
        <v>433</v>
      </c>
      <c r="EP28" s="2" t="s">
        <v>433</v>
      </c>
      <c r="EQ28" s="2" t="s">
        <v>432</v>
      </c>
      <c r="ER28" s="2" t="s">
        <v>433</v>
      </c>
      <c r="ES28" s="2" t="s">
        <v>432</v>
      </c>
      <c r="ET28" s="2" t="s">
        <v>432</v>
      </c>
      <c r="EU28" s="2" t="s">
        <v>432</v>
      </c>
      <c r="EV28" s="2" t="s">
        <v>432</v>
      </c>
      <c r="EX28" s="2" t="s">
        <v>456</v>
      </c>
      <c r="GN28" s="2" t="s">
        <v>442</v>
      </c>
      <c r="GO28" s="2" t="s">
        <v>442</v>
      </c>
      <c r="GP28" s="2" t="s">
        <v>511</v>
      </c>
      <c r="GQ28" s="2" t="s">
        <v>433</v>
      </c>
      <c r="GR28" s="2" t="s">
        <v>433</v>
      </c>
      <c r="GS28" s="2" t="s">
        <v>433</v>
      </c>
      <c r="GT28" s="2" t="s">
        <v>432</v>
      </c>
      <c r="GU28" s="2" t="s">
        <v>432</v>
      </c>
      <c r="GV28" s="2" t="s">
        <v>432</v>
      </c>
      <c r="GW28" s="2" t="s">
        <v>432</v>
      </c>
      <c r="GX28" s="2" t="s">
        <v>432</v>
      </c>
      <c r="GZ28" s="2" t="s">
        <v>1009</v>
      </c>
      <c r="HA28" s="2" t="s">
        <v>433</v>
      </c>
      <c r="HB28" s="2" t="s">
        <v>433</v>
      </c>
      <c r="HC28" s="2" t="s">
        <v>433</v>
      </c>
      <c r="HD28" s="2" t="s">
        <v>432</v>
      </c>
      <c r="HE28" s="2" t="s">
        <v>432</v>
      </c>
      <c r="HF28" s="2" t="s">
        <v>432</v>
      </c>
      <c r="HI28" s="2" t="s">
        <v>456</v>
      </c>
      <c r="HV28" s="2" t="s">
        <v>430</v>
      </c>
      <c r="HX28" s="2" t="s">
        <v>986</v>
      </c>
      <c r="HY28" s="2" t="s">
        <v>433</v>
      </c>
      <c r="HZ28" s="2" t="s">
        <v>433</v>
      </c>
      <c r="IA28" s="2" t="s">
        <v>433</v>
      </c>
      <c r="IB28" s="2" t="s">
        <v>433</v>
      </c>
      <c r="IC28" s="2" t="s">
        <v>433</v>
      </c>
      <c r="ID28" s="2" t="s">
        <v>432</v>
      </c>
      <c r="IE28" s="2" t="s">
        <v>432</v>
      </c>
      <c r="IF28" s="2" t="s">
        <v>432</v>
      </c>
      <c r="IG28" s="2" t="s">
        <v>432</v>
      </c>
      <c r="IH28" s="2" t="s">
        <v>432</v>
      </c>
      <c r="II28" s="2" t="s">
        <v>432</v>
      </c>
      <c r="IJ28" s="2" t="s">
        <v>432</v>
      </c>
      <c r="IK28" s="2" t="s">
        <v>432</v>
      </c>
      <c r="IL28" s="2" t="s">
        <v>432</v>
      </c>
      <c r="IN28" s="2" t="s">
        <v>435</v>
      </c>
      <c r="JA28" s="2" t="s">
        <v>515</v>
      </c>
      <c r="JB28" s="2" t="s">
        <v>433</v>
      </c>
      <c r="JC28" s="2" t="s">
        <v>433</v>
      </c>
      <c r="JD28" s="2" t="s">
        <v>433</v>
      </c>
      <c r="JE28" s="2" t="s">
        <v>432</v>
      </c>
      <c r="JF28" s="2" t="s">
        <v>432</v>
      </c>
      <c r="JG28" s="2" t="s">
        <v>432</v>
      </c>
      <c r="JI28" s="2" t="s">
        <v>1010</v>
      </c>
      <c r="JJ28" s="2" t="s">
        <v>433</v>
      </c>
      <c r="JK28" s="2" t="s">
        <v>433</v>
      </c>
      <c r="JL28" s="2" t="s">
        <v>433</v>
      </c>
      <c r="JM28" s="2" t="s">
        <v>433</v>
      </c>
      <c r="JN28" s="2" t="s">
        <v>433</v>
      </c>
      <c r="JO28" s="2" t="s">
        <v>432</v>
      </c>
      <c r="JP28" s="2" t="s">
        <v>432</v>
      </c>
      <c r="JQ28" s="2" t="s">
        <v>432</v>
      </c>
      <c r="JR28" s="2" t="s">
        <v>432</v>
      </c>
      <c r="JT28" s="2" t="s">
        <v>1011</v>
      </c>
      <c r="JU28" s="2" t="s">
        <v>433</v>
      </c>
      <c r="JV28" s="2" t="s">
        <v>433</v>
      </c>
      <c r="JW28" s="2" t="s">
        <v>433</v>
      </c>
      <c r="JX28" s="2" t="s">
        <v>432</v>
      </c>
      <c r="JY28" s="2" t="s">
        <v>433</v>
      </c>
      <c r="JZ28" s="2" t="s">
        <v>433</v>
      </c>
      <c r="KA28" s="2" t="s">
        <v>432</v>
      </c>
      <c r="KB28" s="2" t="s">
        <v>432</v>
      </c>
      <c r="KC28" s="2" t="s">
        <v>432</v>
      </c>
      <c r="KF28" s="2" t="s">
        <v>430</v>
      </c>
      <c r="KG28" s="2" t="s">
        <v>536</v>
      </c>
      <c r="KH28" s="2" t="s">
        <v>433</v>
      </c>
      <c r="KI28" s="2" t="s">
        <v>433</v>
      </c>
      <c r="KJ28" s="2" t="s">
        <v>433</v>
      </c>
      <c r="KK28" s="2" t="s">
        <v>432</v>
      </c>
      <c r="KL28" s="2" t="s">
        <v>433</v>
      </c>
      <c r="KM28" s="2" t="s">
        <v>433</v>
      </c>
      <c r="KN28" s="2" t="s">
        <v>432</v>
      </c>
      <c r="KO28" s="2" t="s">
        <v>432</v>
      </c>
      <c r="KP28" s="2" t="s">
        <v>432</v>
      </c>
      <c r="KQ28" s="2" t="s">
        <v>432</v>
      </c>
      <c r="KR28" s="2" t="s">
        <v>432</v>
      </c>
      <c r="LB28" s="2" t="s">
        <v>456</v>
      </c>
      <c r="LP28" s="2" t="s">
        <v>430</v>
      </c>
      <c r="LR28" s="2" t="s">
        <v>1012</v>
      </c>
      <c r="LS28" s="2">
        <v>169351669</v>
      </c>
      <c r="LT28" s="2" t="s">
        <v>1013</v>
      </c>
      <c r="LU28" s="2" t="s">
        <v>1014</v>
      </c>
      <c r="LW28" s="2" t="s">
        <v>460</v>
      </c>
      <c r="LX28" s="2" t="s">
        <v>461</v>
      </c>
      <c r="LY28" s="2" t="s">
        <v>462</v>
      </c>
      <c r="MA28" s="2">
        <v>29</v>
      </c>
    </row>
    <row r="29" spans="1:339" x14ac:dyDescent="0.3">
      <c r="A29" s="2" t="s">
        <v>1015</v>
      </c>
      <c r="B29" s="2" t="s">
        <v>1016</v>
      </c>
      <c r="C29" s="2" t="s">
        <v>980</v>
      </c>
      <c r="F29" s="2" t="s">
        <v>422</v>
      </c>
      <c r="G29" s="2" t="s">
        <v>981</v>
      </c>
      <c r="H29" s="2" t="s">
        <v>981</v>
      </c>
      <c r="I29" s="2" t="s">
        <v>427</v>
      </c>
      <c r="J29" s="2" t="s">
        <v>1017</v>
      </c>
      <c r="R29" s="2" t="s">
        <v>422</v>
      </c>
      <c r="S29" s="2" t="s">
        <v>1018</v>
      </c>
      <c r="T29" s="2" t="s">
        <v>426</v>
      </c>
      <c r="Z29" s="2" t="s">
        <v>428</v>
      </c>
      <c r="AA29" s="2" t="s">
        <v>429</v>
      </c>
      <c r="AB29" s="2" t="s">
        <v>981</v>
      </c>
      <c r="AG29" s="2" t="s">
        <v>430</v>
      </c>
      <c r="AH29" s="2" t="s">
        <v>1019</v>
      </c>
      <c r="AI29" s="2" t="s">
        <v>432</v>
      </c>
      <c r="AJ29" s="2" t="s">
        <v>433</v>
      </c>
      <c r="AK29" s="2" t="s">
        <v>433</v>
      </c>
      <c r="AL29" s="2" t="s">
        <v>433</v>
      </c>
      <c r="AM29" s="2" t="s">
        <v>433</v>
      </c>
      <c r="AN29" s="2" t="s">
        <v>432</v>
      </c>
      <c r="AO29" s="2" t="s">
        <v>432</v>
      </c>
      <c r="AP29" s="2" t="s">
        <v>433</v>
      </c>
      <c r="AQ29" s="2" t="s">
        <v>432</v>
      </c>
      <c r="AR29" s="2" t="s">
        <v>432</v>
      </c>
      <c r="AS29" s="2" t="s">
        <v>432</v>
      </c>
      <c r="AT29" s="2" t="s">
        <v>432</v>
      </c>
      <c r="AU29" s="2" t="s">
        <v>432</v>
      </c>
      <c r="AV29" s="2" t="s">
        <v>432</v>
      </c>
      <c r="AX29" s="2" t="s">
        <v>986</v>
      </c>
      <c r="AY29" s="2" t="s">
        <v>433</v>
      </c>
      <c r="AZ29" s="2" t="s">
        <v>433</v>
      </c>
      <c r="BA29" s="2" t="s">
        <v>433</v>
      </c>
      <c r="BB29" s="2" t="s">
        <v>433</v>
      </c>
      <c r="BC29" s="2" t="s">
        <v>433</v>
      </c>
      <c r="BD29" s="2" t="s">
        <v>432</v>
      </c>
      <c r="BE29" s="2" t="s">
        <v>432</v>
      </c>
      <c r="BF29" s="2" t="s">
        <v>432</v>
      </c>
      <c r="BG29" s="2" t="s">
        <v>432</v>
      </c>
      <c r="BH29" s="2" t="s">
        <v>432</v>
      </c>
      <c r="BI29" s="2" t="s">
        <v>432</v>
      </c>
      <c r="BJ29" s="2" t="s">
        <v>432</v>
      </c>
      <c r="BK29" s="2" t="s">
        <v>432</v>
      </c>
      <c r="BL29" s="2" t="s">
        <v>432</v>
      </c>
      <c r="BN29" s="2" t="s">
        <v>709</v>
      </c>
      <c r="BO29" s="2" t="s">
        <v>436</v>
      </c>
      <c r="BQ29" s="2" t="s">
        <v>430</v>
      </c>
      <c r="BR29" s="2" t="s">
        <v>1020</v>
      </c>
      <c r="BS29" s="2" t="s">
        <v>432</v>
      </c>
      <c r="BT29" s="2" t="s">
        <v>432</v>
      </c>
      <c r="BU29" s="2" t="s">
        <v>433</v>
      </c>
      <c r="BV29" s="2" t="s">
        <v>432</v>
      </c>
      <c r="BW29" s="2" t="s">
        <v>433</v>
      </c>
      <c r="BX29" s="2" t="s">
        <v>432</v>
      </c>
      <c r="BY29" s="2" t="s">
        <v>432</v>
      </c>
      <c r="BZ29" s="2" t="s">
        <v>432</v>
      </c>
      <c r="CA29" s="2" t="s">
        <v>433</v>
      </c>
      <c r="CB29" s="2" t="s">
        <v>432</v>
      </c>
      <c r="CC29" s="2" t="s">
        <v>433</v>
      </c>
      <c r="CD29" s="2" t="s">
        <v>433</v>
      </c>
      <c r="CE29" s="2" t="s">
        <v>432</v>
      </c>
      <c r="CF29" s="2" t="s">
        <v>432</v>
      </c>
      <c r="CG29" s="2" t="s">
        <v>432</v>
      </c>
      <c r="CI29" s="2" t="s">
        <v>986</v>
      </c>
      <c r="CJ29" s="2" t="s">
        <v>433</v>
      </c>
      <c r="CK29" s="2" t="s">
        <v>433</v>
      </c>
      <c r="CL29" s="2" t="s">
        <v>433</v>
      </c>
      <c r="CM29" s="2" t="s">
        <v>433</v>
      </c>
      <c r="CN29" s="2" t="s">
        <v>433</v>
      </c>
      <c r="CO29" s="2" t="s">
        <v>432</v>
      </c>
      <c r="CP29" s="2" t="s">
        <v>432</v>
      </c>
      <c r="CQ29" s="2" t="s">
        <v>432</v>
      </c>
      <c r="CR29" s="2" t="s">
        <v>432</v>
      </c>
      <c r="CS29" s="2" t="s">
        <v>432</v>
      </c>
      <c r="CT29" s="2" t="s">
        <v>432</v>
      </c>
      <c r="CU29" s="2" t="s">
        <v>432</v>
      </c>
      <c r="CV29" s="2" t="s">
        <v>432</v>
      </c>
      <c r="CW29" s="2" t="s">
        <v>432</v>
      </c>
      <c r="CY29" s="2" t="s">
        <v>709</v>
      </c>
      <c r="CZ29" s="2" t="s">
        <v>436</v>
      </c>
      <c r="DB29" s="2" t="s">
        <v>1021</v>
      </c>
      <c r="DC29" s="2" t="s">
        <v>433</v>
      </c>
      <c r="DD29" s="2" t="s">
        <v>433</v>
      </c>
      <c r="DE29" s="2" t="s">
        <v>433</v>
      </c>
      <c r="DF29" s="2" t="s">
        <v>432</v>
      </c>
      <c r="DG29" s="2" t="s">
        <v>432</v>
      </c>
      <c r="DH29" s="2" t="s">
        <v>432</v>
      </c>
      <c r="DI29" s="2" t="s">
        <v>432</v>
      </c>
      <c r="DJ29" s="2" t="s">
        <v>432</v>
      </c>
      <c r="DK29" s="2" t="s">
        <v>432</v>
      </c>
      <c r="DL29" s="2" t="s">
        <v>432</v>
      </c>
      <c r="DZ29" s="2" t="s">
        <v>1022</v>
      </c>
      <c r="EA29" s="2" t="s">
        <v>433</v>
      </c>
      <c r="EB29" s="2" t="s">
        <v>433</v>
      </c>
      <c r="EC29" s="2" t="s">
        <v>433</v>
      </c>
      <c r="ED29" s="2" t="s">
        <v>432</v>
      </c>
      <c r="EE29" s="2" t="s">
        <v>432</v>
      </c>
      <c r="EF29" s="2" t="s">
        <v>432</v>
      </c>
      <c r="EG29" s="2" t="s">
        <v>432</v>
      </c>
      <c r="EH29" s="2" t="s">
        <v>432</v>
      </c>
      <c r="EI29" s="2" t="s">
        <v>432</v>
      </c>
      <c r="EL29" s="2" t="s">
        <v>1023</v>
      </c>
      <c r="EM29" s="2" t="s">
        <v>432</v>
      </c>
      <c r="EN29" s="2" t="s">
        <v>433</v>
      </c>
      <c r="EO29" s="2" t="s">
        <v>433</v>
      </c>
      <c r="EP29" s="2" t="s">
        <v>432</v>
      </c>
      <c r="EQ29" s="2" t="s">
        <v>433</v>
      </c>
      <c r="ER29" s="2" t="s">
        <v>432</v>
      </c>
      <c r="ES29" s="2" t="s">
        <v>432</v>
      </c>
      <c r="ET29" s="2" t="s">
        <v>432</v>
      </c>
      <c r="EU29" s="2" t="s">
        <v>432</v>
      </c>
      <c r="EV29" s="2" t="s">
        <v>432</v>
      </c>
      <c r="EX29" s="2" t="s">
        <v>456</v>
      </c>
      <c r="GN29" s="2" t="s">
        <v>442</v>
      </c>
      <c r="GO29" s="2" t="s">
        <v>442</v>
      </c>
      <c r="GP29" s="2" t="s">
        <v>755</v>
      </c>
      <c r="GQ29" s="2" t="s">
        <v>432</v>
      </c>
      <c r="GR29" s="2" t="s">
        <v>433</v>
      </c>
      <c r="GS29" s="2" t="s">
        <v>433</v>
      </c>
      <c r="GT29" s="2" t="s">
        <v>433</v>
      </c>
      <c r="GU29" s="2" t="s">
        <v>432</v>
      </c>
      <c r="GV29" s="2" t="s">
        <v>432</v>
      </c>
      <c r="GW29" s="2" t="s">
        <v>432</v>
      </c>
      <c r="GX29" s="2" t="s">
        <v>432</v>
      </c>
      <c r="GZ29" s="2" t="s">
        <v>882</v>
      </c>
      <c r="HA29" s="2" t="s">
        <v>433</v>
      </c>
      <c r="HB29" s="2" t="s">
        <v>433</v>
      </c>
      <c r="HC29" s="2" t="s">
        <v>433</v>
      </c>
      <c r="HD29" s="2" t="s">
        <v>432</v>
      </c>
      <c r="HE29" s="2" t="s">
        <v>432</v>
      </c>
      <c r="HF29" s="2" t="s">
        <v>432</v>
      </c>
      <c r="HI29" s="2" t="s">
        <v>456</v>
      </c>
      <c r="HV29" s="2" t="s">
        <v>430</v>
      </c>
      <c r="HX29" s="2" t="s">
        <v>986</v>
      </c>
      <c r="HY29" s="2" t="s">
        <v>433</v>
      </c>
      <c r="HZ29" s="2" t="s">
        <v>433</v>
      </c>
      <c r="IA29" s="2" t="s">
        <v>433</v>
      </c>
      <c r="IB29" s="2" t="s">
        <v>433</v>
      </c>
      <c r="IC29" s="2" t="s">
        <v>433</v>
      </c>
      <c r="ID29" s="2" t="s">
        <v>432</v>
      </c>
      <c r="IE29" s="2" t="s">
        <v>432</v>
      </c>
      <c r="IF29" s="2" t="s">
        <v>432</v>
      </c>
      <c r="IG29" s="2" t="s">
        <v>432</v>
      </c>
      <c r="IH29" s="2" t="s">
        <v>432</v>
      </c>
      <c r="II29" s="2" t="s">
        <v>432</v>
      </c>
      <c r="IJ29" s="2" t="s">
        <v>432</v>
      </c>
      <c r="IK29" s="2" t="s">
        <v>432</v>
      </c>
      <c r="IL29" s="2" t="s">
        <v>432</v>
      </c>
      <c r="IN29" s="2" t="s">
        <v>736</v>
      </c>
      <c r="JA29" s="2" t="s">
        <v>515</v>
      </c>
      <c r="JB29" s="2" t="s">
        <v>433</v>
      </c>
      <c r="JC29" s="2" t="s">
        <v>433</v>
      </c>
      <c r="JD29" s="2" t="s">
        <v>433</v>
      </c>
      <c r="JE29" s="2" t="s">
        <v>432</v>
      </c>
      <c r="JF29" s="2" t="s">
        <v>432</v>
      </c>
      <c r="JG29" s="2" t="s">
        <v>432</v>
      </c>
      <c r="JI29" s="2" t="s">
        <v>1024</v>
      </c>
      <c r="JJ29" s="2" t="s">
        <v>433</v>
      </c>
      <c r="JK29" s="2" t="s">
        <v>433</v>
      </c>
      <c r="JL29" s="2" t="s">
        <v>433</v>
      </c>
      <c r="JM29" s="2" t="s">
        <v>432</v>
      </c>
      <c r="JN29" s="2" t="s">
        <v>433</v>
      </c>
      <c r="JO29" s="2" t="s">
        <v>433</v>
      </c>
      <c r="JP29" s="2" t="s">
        <v>432</v>
      </c>
      <c r="JQ29" s="2" t="s">
        <v>432</v>
      </c>
      <c r="JR29" s="2" t="s">
        <v>432</v>
      </c>
      <c r="JT29" s="2" t="s">
        <v>886</v>
      </c>
      <c r="JU29" s="2" t="s">
        <v>433</v>
      </c>
      <c r="JV29" s="2" t="s">
        <v>433</v>
      </c>
      <c r="JW29" s="2" t="s">
        <v>433</v>
      </c>
      <c r="JX29" s="2" t="s">
        <v>432</v>
      </c>
      <c r="JY29" s="2" t="s">
        <v>433</v>
      </c>
      <c r="JZ29" s="2" t="s">
        <v>433</v>
      </c>
      <c r="KA29" s="2" t="s">
        <v>432</v>
      </c>
      <c r="KB29" s="2" t="s">
        <v>432</v>
      </c>
      <c r="KC29" s="2" t="s">
        <v>432</v>
      </c>
      <c r="KF29" s="2" t="s">
        <v>430</v>
      </c>
      <c r="KG29" s="2" t="s">
        <v>1025</v>
      </c>
      <c r="KH29" s="2" t="s">
        <v>433</v>
      </c>
      <c r="KI29" s="2" t="s">
        <v>433</v>
      </c>
      <c r="KJ29" s="2" t="s">
        <v>433</v>
      </c>
      <c r="KK29" s="2" t="s">
        <v>433</v>
      </c>
      <c r="KL29" s="2" t="s">
        <v>433</v>
      </c>
      <c r="KM29" s="2" t="s">
        <v>432</v>
      </c>
      <c r="KN29" s="2" t="s">
        <v>432</v>
      </c>
      <c r="KO29" s="2" t="s">
        <v>432</v>
      </c>
      <c r="KP29" s="2" t="s">
        <v>432</v>
      </c>
      <c r="KQ29" s="2" t="s">
        <v>432</v>
      </c>
      <c r="KR29" s="2" t="s">
        <v>432</v>
      </c>
      <c r="KT29" s="2" t="s">
        <v>1026</v>
      </c>
      <c r="KU29" s="2" t="s">
        <v>433</v>
      </c>
      <c r="KV29" s="2" t="s">
        <v>433</v>
      </c>
      <c r="KW29" s="2" t="s">
        <v>433</v>
      </c>
      <c r="KX29" s="2" t="s">
        <v>432</v>
      </c>
      <c r="KY29" s="2" t="s">
        <v>432</v>
      </c>
      <c r="KZ29" s="2" t="s">
        <v>432</v>
      </c>
      <c r="LB29" s="2" t="s">
        <v>430</v>
      </c>
      <c r="LC29" s="2" t="s">
        <v>1027</v>
      </c>
      <c r="LD29" s="2" t="s">
        <v>433</v>
      </c>
      <c r="LE29" s="2" t="s">
        <v>433</v>
      </c>
      <c r="LF29" s="2" t="s">
        <v>432</v>
      </c>
      <c r="LG29" s="2" t="s">
        <v>432</v>
      </c>
      <c r="LH29" s="2" t="s">
        <v>433</v>
      </c>
      <c r="LI29" s="2" t="s">
        <v>432</v>
      </c>
      <c r="LJ29" s="2" t="s">
        <v>432</v>
      </c>
      <c r="LK29" s="2" t="s">
        <v>432</v>
      </c>
      <c r="LL29" s="2" t="s">
        <v>432</v>
      </c>
      <c r="LM29" s="2" t="s">
        <v>432</v>
      </c>
      <c r="LO29" s="2" t="s">
        <v>430</v>
      </c>
      <c r="LP29" s="2" t="s">
        <v>430</v>
      </c>
      <c r="LR29" s="2" t="s">
        <v>1028</v>
      </c>
      <c r="LS29" s="2">
        <v>169351678</v>
      </c>
      <c r="LT29" s="2" t="s">
        <v>1029</v>
      </c>
      <c r="LU29" s="2" t="s">
        <v>1030</v>
      </c>
      <c r="LW29" s="2" t="s">
        <v>460</v>
      </c>
      <c r="LX29" s="2" t="s">
        <v>461</v>
      </c>
      <c r="LY29" s="2" t="s">
        <v>462</v>
      </c>
      <c r="MA29" s="2">
        <v>30</v>
      </c>
    </row>
    <row r="30" spans="1:339" x14ac:dyDescent="0.3">
      <c r="A30" s="2" t="s">
        <v>1031</v>
      </c>
      <c r="B30" s="2" t="s">
        <v>1032</v>
      </c>
      <c r="C30" s="2" t="s">
        <v>695</v>
      </c>
      <c r="F30" s="2" t="s">
        <v>422</v>
      </c>
      <c r="G30" s="2" t="s">
        <v>423</v>
      </c>
      <c r="H30" s="2" t="s">
        <v>423</v>
      </c>
      <c r="I30" s="2" t="s">
        <v>423</v>
      </c>
      <c r="R30" s="2" t="s">
        <v>422</v>
      </c>
      <c r="S30" s="2" t="s">
        <v>1033</v>
      </c>
      <c r="T30" s="2" t="s">
        <v>544</v>
      </c>
      <c r="U30" s="2" t="s">
        <v>1034</v>
      </c>
      <c r="AG30" s="2" t="s">
        <v>456</v>
      </c>
      <c r="BQ30" s="2" t="s">
        <v>456</v>
      </c>
      <c r="DZ30" s="2" t="s">
        <v>1035</v>
      </c>
      <c r="EA30" s="2" t="s">
        <v>432</v>
      </c>
      <c r="EB30" s="2" t="s">
        <v>433</v>
      </c>
      <c r="EC30" s="2" t="s">
        <v>432</v>
      </c>
      <c r="ED30" s="2" t="s">
        <v>432</v>
      </c>
      <c r="EE30" s="2" t="s">
        <v>433</v>
      </c>
      <c r="EF30" s="2" t="s">
        <v>432</v>
      </c>
      <c r="EG30" s="2" t="s">
        <v>432</v>
      </c>
      <c r="EH30" s="2" t="s">
        <v>432</v>
      </c>
      <c r="EI30" s="2" t="s">
        <v>432</v>
      </c>
      <c r="EL30" s="2" t="s">
        <v>1036</v>
      </c>
      <c r="EM30" s="2" t="s">
        <v>432</v>
      </c>
      <c r="EN30" s="2" t="s">
        <v>433</v>
      </c>
      <c r="EO30" s="2" t="s">
        <v>433</v>
      </c>
      <c r="EP30" s="2" t="s">
        <v>432</v>
      </c>
      <c r="EQ30" s="2" t="s">
        <v>432</v>
      </c>
      <c r="ER30" s="2" t="s">
        <v>433</v>
      </c>
      <c r="ES30" s="2" t="s">
        <v>432</v>
      </c>
      <c r="ET30" s="2" t="s">
        <v>432</v>
      </c>
      <c r="EU30" s="2" t="s">
        <v>432</v>
      </c>
      <c r="EV30" s="2" t="s">
        <v>432</v>
      </c>
      <c r="EX30" s="2" t="s">
        <v>430</v>
      </c>
      <c r="EY30" s="2" t="s">
        <v>1037</v>
      </c>
      <c r="EZ30" s="2" t="s">
        <v>433</v>
      </c>
      <c r="FA30" s="2" t="s">
        <v>432</v>
      </c>
      <c r="FB30" s="2" t="s">
        <v>433</v>
      </c>
      <c r="FC30" s="2" t="s">
        <v>432</v>
      </c>
      <c r="FD30" s="2" t="s">
        <v>432</v>
      </c>
      <c r="FE30" s="2" t="s">
        <v>432</v>
      </c>
      <c r="FF30" s="2" t="s">
        <v>432</v>
      </c>
      <c r="FG30" s="2" t="s">
        <v>432</v>
      </c>
      <c r="FH30" s="2" t="s">
        <v>433</v>
      </c>
      <c r="FI30" s="2" t="s">
        <v>432</v>
      </c>
      <c r="FJ30" s="2" t="s">
        <v>432</v>
      </c>
      <c r="FK30" s="2" t="s">
        <v>432</v>
      </c>
      <c r="FL30" s="2" t="s">
        <v>432</v>
      </c>
      <c r="FM30" s="2" t="s">
        <v>432</v>
      </c>
      <c r="FO30" s="2" t="s">
        <v>481</v>
      </c>
      <c r="FP30" s="2" t="s">
        <v>601</v>
      </c>
      <c r="GA30" s="2" t="s">
        <v>483</v>
      </c>
      <c r="GB30" s="2" t="s">
        <v>483</v>
      </c>
      <c r="GC30" s="2" t="s">
        <v>1038</v>
      </c>
      <c r="GD30" s="2" t="s">
        <v>433</v>
      </c>
      <c r="GE30" s="2" t="s">
        <v>432</v>
      </c>
      <c r="GF30" s="2" t="s">
        <v>433</v>
      </c>
      <c r="GG30" s="2" t="s">
        <v>433</v>
      </c>
      <c r="GH30" s="2" t="s">
        <v>433</v>
      </c>
      <c r="GI30" s="2" t="s">
        <v>433</v>
      </c>
      <c r="GJ30" s="2" t="s">
        <v>432</v>
      </c>
      <c r="GK30" s="2" t="s">
        <v>432</v>
      </c>
      <c r="GL30" s="2" t="s">
        <v>432</v>
      </c>
      <c r="GN30" s="2" t="s">
        <v>481</v>
      </c>
      <c r="GO30" s="2" t="s">
        <v>481</v>
      </c>
      <c r="GP30" s="2" t="s">
        <v>642</v>
      </c>
      <c r="GQ30" s="2" t="s">
        <v>433</v>
      </c>
      <c r="GR30" s="2" t="s">
        <v>433</v>
      </c>
      <c r="GS30" s="2" t="s">
        <v>433</v>
      </c>
      <c r="GT30" s="2" t="s">
        <v>432</v>
      </c>
      <c r="GU30" s="2" t="s">
        <v>432</v>
      </c>
      <c r="GV30" s="2" t="s">
        <v>432</v>
      </c>
      <c r="GW30" s="2" t="s">
        <v>432</v>
      </c>
      <c r="GX30" s="2" t="s">
        <v>432</v>
      </c>
      <c r="GZ30" s="2" t="s">
        <v>544</v>
      </c>
      <c r="HA30" s="2" t="s">
        <v>432</v>
      </c>
      <c r="HB30" s="2" t="s">
        <v>432</v>
      </c>
      <c r="HC30" s="2" t="s">
        <v>432</v>
      </c>
      <c r="HD30" s="2" t="s">
        <v>432</v>
      </c>
      <c r="HE30" s="2" t="s">
        <v>433</v>
      </c>
      <c r="HF30" s="2" t="s">
        <v>432</v>
      </c>
      <c r="HG30" s="2" t="s">
        <v>1039</v>
      </c>
      <c r="HI30" s="2" t="s">
        <v>481</v>
      </c>
      <c r="HJ30" s="2" t="s">
        <v>623</v>
      </c>
      <c r="HK30" s="2" t="s">
        <v>432</v>
      </c>
      <c r="HL30" s="2" t="s">
        <v>432</v>
      </c>
      <c r="HM30" s="2" t="s">
        <v>433</v>
      </c>
      <c r="HN30" s="2" t="s">
        <v>432</v>
      </c>
      <c r="HO30" s="2" t="s">
        <v>432</v>
      </c>
      <c r="HP30" s="2" t="s">
        <v>432</v>
      </c>
      <c r="HQ30" s="2" t="s">
        <v>433</v>
      </c>
      <c r="HR30" s="2" t="s">
        <v>432</v>
      </c>
      <c r="HS30" s="2" t="s">
        <v>432</v>
      </c>
      <c r="HT30" s="2" t="s">
        <v>432</v>
      </c>
      <c r="HV30" s="2" t="s">
        <v>430</v>
      </c>
      <c r="IN30" s="2" t="s">
        <v>513</v>
      </c>
      <c r="IO30" s="2" t="s">
        <v>1040</v>
      </c>
      <c r="IP30" s="2" t="s">
        <v>433</v>
      </c>
      <c r="IQ30" s="2" t="s">
        <v>433</v>
      </c>
      <c r="IR30" s="2" t="s">
        <v>432</v>
      </c>
      <c r="IS30" s="2" t="s">
        <v>433</v>
      </c>
      <c r="IT30" s="2" t="s">
        <v>432</v>
      </c>
      <c r="IU30" s="2" t="s">
        <v>433</v>
      </c>
      <c r="IV30" s="2" t="s">
        <v>432</v>
      </c>
      <c r="IW30" s="2" t="s">
        <v>432</v>
      </c>
      <c r="IX30" s="2" t="s">
        <v>432</v>
      </c>
      <c r="IY30" s="2" t="s">
        <v>432</v>
      </c>
      <c r="JA30" s="2" t="s">
        <v>515</v>
      </c>
      <c r="JB30" s="2" t="s">
        <v>433</v>
      </c>
      <c r="JC30" s="2" t="s">
        <v>433</v>
      </c>
      <c r="JD30" s="2" t="s">
        <v>433</v>
      </c>
      <c r="JE30" s="2" t="s">
        <v>432</v>
      </c>
      <c r="JF30" s="2" t="s">
        <v>432</v>
      </c>
      <c r="JG30" s="2" t="s">
        <v>432</v>
      </c>
      <c r="JI30" s="2" t="s">
        <v>1041</v>
      </c>
      <c r="JJ30" s="2" t="s">
        <v>433</v>
      </c>
      <c r="JK30" s="2" t="s">
        <v>433</v>
      </c>
      <c r="JL30" s="2" t="s">
        <v>432</v>
      </c>
      <c r="JM30" s="2" t="s">
        <v>433</v>
      </c>
      <c r="JN30" s="2" t="s">
        <v>432</v>
      </c>
      <c r="JO30" s="2" t="s">
        <v>432</v>
      </c>
      <c r="JP30" s="2" t="s">
        <v>432</v>
      </c>
      <c r="JQ30" s="2" t="s">
        <v>432</v>
      </c>
      <c r="JR30" s="2" t="s">
        <v>432</v>
      </c>
      <c r="JT30" s="2" t="s">
        <v>1041</v>
      </c>
      <c r="JU30" s="2" t="s">
        <v>433</v>
      </c>
      <c r="JV30" s="2" t="s">
        <v>433</v>
      </c>
      <c r="JW30" s="2" t="s">
        <v>432</v>
      </c>
      <c r="JX30" s="2" t="s">
        <v>433</v>
      </c>
      <c r="JY30" s="2" t="s">
        <v>432</v>
      </c>
      <c r="JZ30" s="2" t="s">
        <v>432</v>
      </c>
      <c r="KA30" s="2" t="s">
        <v>432</v>
      </c>
      <c r="KB30" s="2" t="s">
        <v>432</v>
      </c>
      <c r="KC30" s="2" t="s">
        <v>432</v>
      </c>
      <c r="KF30" s="2" t="s">
        <v>456</v>
      </c>
      <c r="LB30" s="2" t="s">
        <v>456</v>
      </c>
      <c r="LP30" s="2" t="s">
        <v>430</v>
      </c>
      <c r="LR30" s="2" t="s">
        <v>843</v>
      </c>
      <c r="LS30" s="2">
        <v>169351706</v>
      </c>
      <c r="LT30" s="2" t="s">
        <v>1042</v>
      </c>
      <c r="LU30" s="2" t="s">
        <v>1043</v>
      </c>
      <c r="LW30" s="2" t="s">
        <v>460</v>
      </c>
      <c r="LX30" s="2" t="s">
        <v>461</v>
      </c>
      <c r="LY30" s="2" t="s">
        <v>462</v>
      </c>
      <c r="MA30" s="2">
        <v>31</v>
      </c>
    </row>
    <row r="31" spans="1:339" x14ac:dyDescent="0.3">
      <c r="A31" s="2" t="s">
        <v>1044</v>
      </c>
      <c r="B31" s="2" t="s">
        <v>1045</v>
      </c>
      <c r="C31" s="2" t="s">
        <v>695</v>
      </c>
      <c r="F31" s="2" t="s">
        <v>422</v>
      </c>
      <c r="G31" s="2" t="s">
        <v>423</v>
      </c>
      <c r="H31" s="2" t="s">
        <v>893</v>
      </c>
      <c r="I31" s="2" t="s">
        <v>1046</v>
      </c>
      <c r="R31" s="2" t="s">
        <v>422</v>
      </c>
      <c r="S31" s="2" t="s">
        <v>1047</v>
      </c>
      <c r="T31" s="2" t="s">
        <v>426</v>
      </c>
      <c r="Z31" s="2" t="s">
        <v>428</v>
      </c>
      <c r="AA31" s="2" t="s">
        <v>429</v>
      </c>
      <c r="AB31" s="2" t="s">
        <v>423</v>
      </c>
      <c r="AG31" s="2" t="s">
        <v>456</v>
      </c>
      <c r="BQ31" s="2" t="s">
        <v>456</v>
      </c>
      <c r="DZ31" s="2" t="s">
        <v>551</v>
      </c>
      <c r="EA31" s="2" t="s">
        <v>432</v>
      </c>
      <c r="EB31" s="2" t="s">
        <v>433</v>
      </c>
      <c r="EC31" s="2" t="s">
        <v>432</v>
      </c>
      <c r="ED31" s="2" t="s">
        <v>432</v>
      </c>
      <c r="EE31" s="2" t="s">
        <v>432</v>
      </c>
      <c r="EF31" s="2" t="s">
        <v>432</v>
      </c>
      <c r="EG31" s="2" t="s">
        <v>432</v>
      </c>
      <c r="EH31" s="2" t="s">
        <v>432</v>
      </c>
      <c r="EI31" s="2" t="s">
        <v>432</v>
      </c>
      <c r="EL31" s="2" t="s">
        <v>1048</v>
      </c>
      <c r="EM31" s="2" t="s">
        <v>432</v>
      </c>
      <c r="EN31" s="2" t="s">
        <v>432</v>
      </c>
      <c r="EO31" s="2" t="s">
        <v>433</v>
      </c>
      <c r="EP31" s="2" t="s">
        <v>432</v>
      </c>
      <c r="EQ31" s="2" t="s">
        <v>432</v>
      </c>
      <c r="ER31" s="2" t="s">
        <v>432</v>
      </c>
      <c r="ES31" s="2" t="s">
        <v>432</v>
      </c>
      <c r="ET31" s="2" t="s">
        <v>432</v>
      </c>
      <c r="EU31" s="2" t="s">
        <v>432</v>
      </c>
      <c r="EV31" s="2" t="s">
        <v>432</v>
      </c>
      <c r="EX31" s="2" t="s">
        <v>430</v>
      </c>
      <c r="EY31" s="2" t="s">
        <v>1049</v>
      </c>
      <c r="EZ31" s="2" t="s">
        <v>433</v>
      </c>
      <c r="FA31" s="2" t="s">
        <v>432</v>
      </c>
      <c r="FB31" s="2" t="s">
        <v>432</v>
      </c>
      <c r="FC31" s="2" t="s">
        <v>432</v>
      </c>
      <c r="FD31" s="2" t="s">
        <v>433</v>
      </c>
      <c r="FE31" s="2" t="s">
        <v>433</v>
      </c>
      <c r="FF31" s="2" t="s">
        <v>432</v>
      </c>
      <c r="FG31" s="2" t="s">
        <v>432</v>
      </c>
      <c r="FH31" s="2" t="s">
        <v>432</v>
      </c>
      <c r="FI31" s="2" t="s">
        <v>432</v>
      </c>
      <c r="FJ31" s="2" t="s">
        <v>432</v>
      </c>
      <c r="FK31" s="2" t="s">
        <v>432</v>
      </c>
      <c r="FL31" s="2" t="s">
        <v>432</v>
      </c>
      <c r="FM31" s="2" t="s">
        <v>432</v>
      </c>
      <c r="FO31" s="2" t="s">
        <v>481</v>
      </c>
      <c r="FP31" s="2" t="s">
        <v>481</v>
      </c>
      <c r="FQ31" s="2" t="s">
        <v>482</v>
      </c>
      <c r="FR31" s="2" t="s">
        <v>432</v>
      </c>
      <c r="FS31" s="2" t="s">
        <v>433</v>
      </c>
      <c r="FT31" s="2" t="s">
        <v>432</v>
      </c>
      <c r="FU31" s="2" t="s">
        <v>432</v>
      </c>
      <c r="FV31" s="2" t="s">
        <v>432</v>
      </c>
      <c r="FW31" s="2" t="s">
        <v>432</v>
      </c>
      <c r="FX31" s="2" t="s">
        <v>432</v>
      </c>
      <c r="FY31" s="2" t="s">
        <v>432</v>
      </c>
      <c r="GA31" s="2" t="s">
        <v>483</v>
      </c>
      <c r="GB31" s="2" t="s">
        <v>483</v>
      </c>
      <c r="GC31" s="2" t="s">
        <v>1050</v>
      </c>
      <c r="GD31" s="2" t="s">
        <v>433</v>
      </c>
      <c r="GE31" s="2" t="s">
        <v>432</v>
      </c>
      <c r="GF31" s="2" t="s">
        <v>433</v>
      </c>
      <c r="GG31" s="2" t="s">
        <v>433</v>
      </c>
      <c r="GH31" s="2" t="s">
        <v>432</v>
      </c>
      <c r="GI31" s="2" t="s">
        <v>433</v>
      </c>
      <c r="GJ31" s="2" t="s">
        <v>432</v>
      </c>
      <c r="GK31" s="2" t="s">
        <v>432</v>
      </c>
      <c r="GL31" s="2" t="s">
        <v>432</v>
      </c>
      <c r="GN31" s="2" t="s">
        <v>481</v>
      </c>
      <c r="GO31" s="2" t="s">
        <v>481</v>
      </c>
      <c r="GP31" s="2" t="s">
        <v>1051</v>
      </c>
      <c r="GQ31" s="2" t="s">
        <v>433</v>
      </c>
      <c r="GR31" s="2" t="s">
        <v>432</v>
      </c>
      <c r="GS31" s="2" t="s">
        <v>433</v>
      </c>
      <c r="GT31" s="2" t="s">
        <v>433</v>
      </c>
      <c r="GU31" s="2" t="s">
        <v>432</v>
      </c>
      <c r="GV31" s="2" t="s">
        <v>432</v>
      </c>
      <c r="GW31" s="2" t="s">
        <v>432</v>
      </c>
      <c r="GX31" s="2" t="s">
        <v>432</v>
      </c>
      <c r="GZ31" s="2" t="s">
        <v>812</v>
      </c>
      <c r="HA31" s="2" t="s">
        <v>433</v>
      </c>
      <c r="HB31" s="2" t="s">
        <v>433</v>
      </c>
      <c r="HC31" s="2" t="s">
        <v>432</v>
      </c>
      <c r="HD31" s="2" t="s">
        <v>432</v>
      </c>
      <c r="HE31" s="2" t="s">
        <v>432</v>
      </c>
      <c r="HF31" s="2" t="s">
        <v>432</v>
      </c>
      <c r="HI31" s="2" t="s">
        <v>508</v>
      </c>
      <c r="HJ31" s="2" t="s">
        <v>573</v>
      </c>
      <c r="HK31" s="2" t="s">
        <v>432</v>
      </c>
      <c r="HL31" s="2" t="s">
        <v>432</v>
      </c>
      <c r="HM31" s="2" t="s">
        <v>432</v>
      </c>
      <c r="HN31" s="2" t="s">
        <v>432</v>
      </c>
      <c r="HO31" s="2" t="s">
        <v>432</v>
      </c>
      <c r="HP31" s="2" t="s">
        <v>432</v>
      </c>
      <c r="HQ31" s="2" t="s">
        <v>433</v>
      </c>
      <c r="HR31" s="2" t="s">
        <v>432</v>
      </c>
      <c r="HS31" s="2" t="s">
        <v>432</v>
      </c>
      <c r="HT31" s="2" t="s">
        <v>432</v>
      </c>
      <c r="HV31" s="2" t="s">
        <v>430</v>
      </c>
      <c r="IN31" s="2" t="s">
        <v>433</v>
      </c>
      <c r="IO31" s="2" t="s">
        <v>1052</v>
      </c>
      <c r="IP31" s="2" t="s">
        <v>432</v>
      </c>
      <c r="IQ31" s="2" t="s">
        <v>433</v>
      </c>
      <c r="IR31" s="2" t="s">
        <v>432</v>
      </c>
      <c r="IS31" s="2" t="s">
        <v>433</v>
      </c>
      <c r="IT31" s="2" t="s">
        <v>433</v>
      </c>
      <c r="IU31" s="2" t="s">
        <v>433</v>
      </c>
      <c r="IV31" s="2" t="s">
        <v>432</v>
      </c>
      <c r="IW31" s="2" t="s">
        <v>432</v>
      </c>
      <c r="IX31" s="2" t="s">
        <v>432</v>
      </c>
      <c r="IY31" s="2" t="s">
        <v>432</v>
      </c>
      <c r="JA31" s="2" t="s">
        <v>580</v>
      </c>
      <c r="JB31" s="2" t="s">
        <v>432</v>
      </c>
      <c r="JC31" s="2" t="s">
        <v>433</v>
      </c>
      <c r="JD31" s="2" t="s">
        <v>433</v>
      </c>
      <c r="JE31" s="2" t="s">
        <v>432</v>
      </c>
      <c r="JF31" s="2" t="s">
        <v>432</v>
      </c>
      <c r="JG31" s="2" t="s">
        <v>432</v>
      </c>
      <c r="JT31" s="2" t="s">
        <v>1041</v>
      </c>
      <c r="JU31" s="2" t="s">
        <v>433</v>
      </c>
      <c r="JV31" s="2" t="s">
        <v>433</v>
      </c>
      <c r="JW31" s="2" t="s">
        <v>432</v>
      </c>
      <c r="JX31" s="2" t="s">
        <v>433</v>
      </c>
      <c r="JY31" s="2" t="s">
        <v>432</v>
      </c>
      <c r="JZ31" s="2" t="s">
        <v>432</v>
      </c>
      <c r="KA31" s="2" t="s">
        <v>432</v>
      </c>
      <c r="KB31" s="2" t="s">
        <v>432</v>
      </c>
      <c r="KC31" s="2" t="s">
        <v>432</v>
      </c>
      <c r="KF31" s="2" t="s">
        <v>430</v>
      </c>
      <c r="KG31" s="2" t="s">
        <v>1053</v>
      </c>
      <c r="KH31" s="2" t="s">
        <v>433</v>
      </c>
      <c r="KI31" s="2" t="s">
        <v>433</v>
      </c>
      <c r="KJ31" s="2" t="s">
        <v>432</v>
      </c>
      <c r="KK31" s="2" t="s">
        <v>433</v>
      </c>
      <c r="KL31" s="2" t="s">
        <v>432</v>
      </c>
      <c r="KM31" s="2" t="s">
        <v>432</v>
      </c>
      <c r="KN31" s="2" t="s">
        <v>432</v>
      </c>
      <c r="KO31" s="2" t="s">
        <v>433</v>
      </c>
      <c r="KP31" s="2" t="s">
        <v>432</v>
      </c>
      <c r="KQ31" s="2" t="s">
        <v>432</v>
      </c>
      <c r="KR31" s="2" t="s">
        <v>432</v>
      </c>
      <c r="KT31" s="2" t="s">
        <v>714</v>
      </c>
      <c r="KU31" s="2" t="s">
        <v>432</v>
      </c>
      <c r="KV31" s="2" t="s">
        <v>433</v>
      </c>
      <c r="KW31" s="2" t="s">
        <v>433</v>
      </c>
      <c r="KX31" s="2" t="s">
        <v>433</v>
      </c>
      <c r="KY31" s="2" t="s">
        <v>432</v>
      </c>
      <c r="KZ31" s="2" t="s">
        <v>432</v>
      </c>
      <c r="LB31" s="2" t="s">
        <v>456</v>
      </c>
      <c r="LP31" s="2" t="s">
        <v>430</v>
      </c>
      <c r="LR31" s="2" t="s">
        <v>843</v>
      </c>
      <c r="LS31" s="2">
        <v>169351708</v>
      </c>
      <c r="LT31" s="2" t="s">
        <v>1054</v>
      </c>
      <c r="LU31" s="2" t="s">
        <v>1055</v>
      </c>
      <c r="LW31" s="2" t="s">
        <v>460</v>
      </c>
      <c r="LX31" s="2" t="s">
        <v>461</v>
      </c>
      <c r="LY31" s="2" t="s">
        <v>462</v>
      </c>
      <c r="MA31" s="2">
        <v>32</v>
      </c>
    </row>
    <row r="32" spans="1:339" x14ac:dyDescent="0.3">
      <c r="A32" s="2" t="s">
        <v>1056</v>
      </c>
      <c r="B32" s="2" t="s">
        <v>1057</v>
      </c>
      <c r="C32" s="2" t="s">
        <v>980</v>
      </c>
      <c r="F32" s="2" t="s">
        <v>422</v>
      </c>
      <c r="G32" s="2" t="s">
        <v>429</v>
      </c>
      <c r="H32" s="2" t="s">
        <v>500</v>
      </c>
      <c r="I32" s="2" t="s">
        <v>1058</v>
      </c>
      <c r="R32" s="2" t="s">
        <v>422</v>
      </c>
      <c r="S32" s="2" t="s">
        <v>1059</v>
      </c>
      <c r="T32" s="2" t="s">
        <v>503</v>
      </c>
      <c r="AG32" s="2" t="s">
        <v>456</v>
      </c>
      <c r="BQ32" s="2" t="s">
        <v>456</v>
      </c>
      <c r="DZ32" s="2" t="s">
        <v>1060</v>
      </c>
      <c r="EA32" s="2" t="s">
        <v>433</v>
      </c>
      <c r="EB32" s="2" t="s">
        <v>433</v>
      </c>
      <c r="EC32" s="2" t="s">
        <v>432</v>
      </c>
      <c r="ED32" s="2" t="s">
        <v>432</v>
      </c>
      <c r="EE32" s="2" t="s">
        <v>432</v>
      </c>
      <c r="EF32" s="2" t="s">
        <v>432</v>
      </c>
      <c r="EG32" s="2" t="s">
        <v>432</v>
      </c>
      <c r="EH32" s="2" t="s">
        <v>432</v>
      </c>
      <c r="EI32" s="2" t="s">
        <v>432</v>
      </c>
      <c r="EL32" s="2" t="s">
        <v>1061</v>
      </c>
      <c r="EM32" s="2" t="s">
        <v>433</v>
      </c>
      <c r="EN32" s="2" t="s">
        <v>433</v>
      </c>
      <c r="EO32" s="2" t="s">
        <v>432</v>
      </c>
      <c r="EP32" s="2" t="s">
        <v>432</v>
      </c>
      <c r="EQ32" s="2" t="s">
        <v>432</v>
      </c>
      <c r="ER32" s="2" t="s">
        <v>432</v>
      </c>
      <c r="ES32" s="2" t="s">
        <v>432</v>
      </c>
      <c r="ET32" s="2" t="s">
        <v>432</v>
      </c>
      <c r="EU32" s="2" t="s">
        <v>432</v>
      </c>
      <c r="EV32" s="2" t="s">
        <v>432</v>
      </c>
      <c r="EX32" s="2" t="s">
        <v>430</v>
      </c>
      <c r="EY32" s="2" t="s">
        <v>1062</v>
      </c>
      <c r="EZ32" s="2" t="s">
        <v>432</v>
      </c>
      <c r="FA32" s="2" t="s">
        <v>432</v>
      </c>
      <c r="FB32" s="2" t="s">
        <v>432</v>
      </c>
      <c r="FC32" s="2" t="s">
        <v>432</v>
      </c>
      <c r="FD32" s="2" t="s">
        <v>433</v>
      </c>
      <c r="FE32" s="2" t="s">
        <v>432</v>
      </c>
      <c r="FF32" s="2" t="s">
        <v>432</v>
      </c>
      <c r="FG32" s="2" t="s">
        <v>432</v>
      </c>
      <c r="FH32" s="2" t="s">
        <v>433</v>
      </c>
      <c r="FI32" s="2" t="s">
        <v>432</v>
      </c>
      <c r="FJ32" s="2" t="s">
        <v>432</v>
      </c>
      <c r="FK32" s="2" t="s">
        <v>432</v>
      </c>
      <c r="FL32" s="2" t="s">
        <v>432</v>
      </c>
      <c r="FM32" s="2" t="s">
        <v>432</v>
      </c>
      <c r="FO32" s="2" t="s">
        <v>601</v>
      </c>
      <c r="FP32" s="2" t="s">
        <v>601</v>
      </c>
      <c r="GA32" s="2" t="s">
        <v>602</v>
      </c>
      <c r="GB32" s="2" t="s">
        <v>602</v>
      </c>
      <c r="GC32" s="2" t="s">
        <v>575</v>
      </c>
      <c r="GD32" s="2" t="s">
        <v>432</v>
      </c>
      <c r="GE32" s="2" t="s">
        <v>432</v>
      </c>
      <c r="GF32" s="2" t="s">
        <v>432</v>
      </c>
      <c r="GG32" s="2" t="s">
        <v>433</v>
      </c>
      <c r="GH32" s="2" t="s">
        <v>432</v>
      </c>
      <c r="GI32" s="2" t="s">
        <v>432</v>
      </c>
      <c r="GJ32" s="2" t="s">
        <v>432</v>
      </c>
      <c r="GK32" s="2" t="s">
        <v>432</v>
      </c>
      <c r="GL32" s="2" t="s">
        <v>432</v>
      </c>
      <c r="GN32" s="2" t="s">
        <v>601</v>
      </c>
      <c r="GO32" s="2" t="s">
        <v>601</v>
      </c>
      <c r="GP32" s="2" t="s">
        <v>642</v>
      </c>
      <c r="GQ32" s="2" t="s">
        <v>433</v>
      </c>
      <c r="GR32" s="2" t="s">
        <v>433</v>
      </c>
      <c r="GS32" s="2" t="s">
        <v>433</v>
      </c>
      <c r="GT32" s="2" t="s">
        <v>432</v>
      </c>
      <c r="GU32" s="2" t="s">
        <v>432</v>
      </c>
      <c r="GV32" s="2" t="s">
        <v>432</v>
      </c>
      <c r="GW32" s="2" t="s">
        <v>432</v>
      </c>
      <c r="GX32" s="2" t="s">
        <v>432</v>
      </c>
      <c r="GZ32" s="2" t="s">
        <v>1009</v>
      </c>
      <c r="HA32" s="2" t="s">
        <v>433</v>
      </c>
      <c r="HB32" s="2" t="s">
        <v>433</v>
      </c>
      <c r="HC32" s="2" t="s">
        <v>433</v>
      </c>
      <c r="HD32" s="2" t="s">
        <v>432</v>
      </c>
      <c r="HE32" s="2" t="s">
        <v>432</v>
      </c>
      <c r="HF32" s="2" t="s">
        <v>432</v>
      </c>
      <c r="HI32" s="2" t="s">
        <v>456</v>
      </c>
      <c r="HV32" s="2" t="s">
        <v>430</v>
      </c>
      <c r="IN32" s="2" t="s">
        <v>433</v>
      </c>
      <c r="IO32" s="2" t="s">
        <v>690</v>
      </c>
      <c r="IP32" s="2" t="s">
        <v>432</v>
      </c>
      <c r="IQ32" s="2" t="s">
        <v>433</v>
      </c>
      <c r="IR32" s="2" t="s">
        <v>432</v>
      </c>
      <c r="IS32" s="2" t="s">
        <v>432</v>
      </c>
      <c r="IT32" s="2" t="s">
        <v>432</v>
      </c>
      <c r="IU32" s="2" t="s">
        <v>432</v>
      </c>
      <c r="IV32" s="2" t="s">
        <v>432</v>
      </c>
      <c r="IW32" s="2" t="s">
        <v>432</v>
      </c>
      <c r="IX32" s="2" t="s">
        <v>432</v>
      </c>
      <c r="IY32" s="2" t="s">
        <v>432</v>
      </c>
      <c r="JA32" s="2" t="s">
        <v>491</v>
      </c>
      <c r="JB32" s="2" t="s">
        <v>432</v>
      </c>
      <c r="JC32" s="2" t="s">
        <v>433</v>
      </c>
      <c r="JD32" s="2" t="s">
        <v>432</v>
      </c>
      <c r="JE32" s="2" t="s">
        <v>432</v>
      </c>
      <c r="JF32" s="2" t="s">
        <v>432</v>
      </c>
      <c r="JG32" s="2" t="s">
        <v>432</v>
      </c>
      <c r="JT32" s="2" t="s">
        <v>1063</v>
      </c>
      <c r="JU32" s="2" t="s">
        <v>433</v>
      </c>
      <c r="JV32" s="2" t="s">
        <v>432</v>
      </c>
      <c r="JW32" s="2" t="s">
        <v>432</v>
      </c>
      <c r="JX32" s="2" t="s">
        <v>432</v>
      </c>
      <c r="JY32" s="2" t="s">
        <v>432</v>
      </c>
      <c r="JZ32" s="2" t="s">
        <v>432</v>
      </c>
      <c r="KA32" s="2" t="s">
        <v>432</v>
      </c>
      <c r="KB32" s="2" t="s">
        <v>432</v>
      </c>
      <c r="KC32" s="2" t="s">
        <v>432</v>
      </c>
      <c r="KF32" s="2" t="s">
        <v>456</v>
      </c>
      <c r="LB32" s="2" t="s">
        <v>456</v>
      </c>
      <c r="LP32" s="2" t="s">
        <v>430</v>
      </c>
      <c r="LR32" s="2" t="s">
        <v>816</v>
      </c>
      <c r="LS32" s="2">
        <v>169355620</v>
      </c>
      <c r="LT32" s="2" t="s">
        <v>1064</v>
      </c>
      <c r="LU32" s="2" t="s">
        <v>1065</v>
      </c>
      <c r="LW32" s="2" t="s">
        <v>460</v>
      </c>
      <c r="LX32" s="2" t="s">
        <v>461</v>
      </c>
      <c r="LY32" s="2" t="s">
        <v>462</v>
      </c>
      <c r="MA32" s="2">
        <v>33</v>
      </c>
    </row>
    <row r="33" spans="1:339" x14ac:dyDescent="0.3">
      <c r="A33" s="2" t="s">
        <v>1066</v>
      </c>
      <c r="B33" s="2" t="s">
        <v>1067</v>
      </c>
      <c r="C33" s="2" t="s">
        <v>980</v>
      </c>
      <c r="F33" s="2" t="s">
        <v>422</v>
      </c>
      <c r="G33" s="2" t="s">
        <v>429</v>
      </c>
      <c r="H33" s="2" t="s">
        <v>500</v>
      </c>
      <c r="I33" s="2" t="s">
        <v>1068</v>
      </c>
      <c r="R33" s="2" t="s">
        <v>422</v>
      </c>
      <c r="S33" s="2" t="s">
        <v>964</v>
      </c>
      <c r="T33" s="2" t="s">
        <v>426</v>
      </c>
      <c r="Z33" s="2" t="s">
        <v>428</v>
      </c>
      <c r="AA33" s="2" t="s">
        <v>429</v>
      </c>
      <c r="AB33" s="2" t="s">
        <v>633</v>
      </c>
      <c r="AG33" s="2" t="s">
        <v>456</v>
      </c>
      <c r="BQ33" s="2" t="s">
        <v>456</v>
      </c>
      <c r="DZ33" s="2" t="s">
        <v>551</v>
      </c>
      <c r="EA33" s="2" t="s">
        <v>432</v>
      </c>
      <c r="EB33" s="2" t="s">
        <v>433</v>
      </c>
      <c r="EC33" s="2" t="s">
        <v>432</v>
      </c>
      <c r="ED33" s="2" t="s">
        <v>432</v>
      </c>
      <c r="EE33" s="2" t="s">
        <v>432</v>
      </c>
      <c r="EF33" s="2" t="s">
        <v>432</v>
      </c>
      <c r="EG33" s="2" t="s">
        <v>432</v>
      </c>
      <c r="EH33" s="2" t="s">
        <v>432</v>
      </c>
      <c r="EI33" s="2" t="s">
        <v>432</v>
      </c>
      <c r="EL33" s="2" t="s">
        <v>1061</v>
      </c>
      <c r="EM33" s="2" t="s">
        <v>433</v>
      </c>
      <c r="EN33" s="2" t="s">
        <v>433</v>
      </c>
      <c r="EO33" s="2" t="s">
        <v>432</v>
      </c>
      <c r="EP33" s="2" t="s">
        <v>432</v>
      </c>
      <c r="EQ33" s="2" t="s">
        <v>432</v>
      </c>
      <c r="ER33" s="2" t="s">
        <v>432</v>
      </c>
      <c r="ES33" s="2" t="s">
        <v>432</v>
      </c>
      <c r="ET33" s="2" t="s">
        <v>432</v>
      </c>
      <c r="EU33" s="2" t="s">
        <v>432</v>
      </c>
      <c r="EV33" s="2" t="s">
        <v>432</v>
      </c>
      <c r="EX33" s="2" t="s">
        <v>430</v>
      </c>
      <c r="EY33" s="2" t="s">
        <v>1069</v>
      </c>
      <c r="EZ33" s="2" t="s">
        <v>432</v>
      </c>
      <c r="FA33" s="2" t="s">
        <v>432</v>
      </c>
      <c r="FB33" s="2" t="s">
        <v>432</v>
      </c>
      <c r="FC33" s="2" t="s">
        <v>432</v>
      </c>
      <c r="FD33" s="2" t="s">
        <v>433</v>
      </c>
      <c r="FE33" s="2" t="s">
        <v>432</v>
      </c>
      <c r="FF33" s="2" t="s">
        <v>432</v>
      </c>
      <c r="FG33" s="2" t="s">
        <v>432</v>
      </c>
      <c r="FH33" s="2" t="s">
        <v>432</v>
      </c>
      <c r="FI33" s="2" t="s">
        <v>432</v>
      </c>
      <c r="FJ33" s="2" t="s">
        <v>432</v>
      </c>
      <c r="FK33" s="2" t="s">
        <v>432</v>
      </c>
      <c r="FL33" s="2" t="s">
        <v>432</v>
      </c>
      <c r="FM33" s="2" t="s">
        <v>432</v>
      </c>
      <c r="FO33" s="2" t="s">
        <v>601</v>
      </c>
      <c r="FP33" s="2" t="s">
        <v>601</v>
      </c>
      <c r="GA33" s="2" t="s">
        <v>602</v>
      </c>
      <c r="GB33" s="2" t="s">
        <v>602</v>
      </c>
      <c r="GC33" s="2" t="s">
        <v>575</v>
      </c>
      <c r="GD33" s="2" t="s">
        <v>432</v>
      </c>
      <c r="GE33" s="2" t="s">
        <v>432</v>
      </c>
      <c r="GF33" s="2" t="s">
        <v>432</v>
      </c>
      <c r="GG33" s="2" t="s">
        <v>433</v>
      </c>
      <c r="GH33" s="2" t="s">
        <v>432</v>
      </c>
      <c r="GI33" s="2" t="s">
        <v>432</v>
      </c>
      <c r="GJ33" s="2" t="s">
        <v>432</v>
      </c>
      <c r="GK33" s="2" t="s">
        <v>432</v>
      </c>
      <c r="GL33" s="2" t="s">
        <v>432</v>
      </c>
      <c r="GN33" s="2" t="s">
        <v>601</v>
      </c>
      <c r="GO33" s="2" t="s">
        <v>601</v>
      </c>
      <c r="GP33" s="2" t="s">
        <v>1070</v>
      </c>
      <c r="GQ33" s="2" t="s">
        <v>433</v>
      </c>
      <c r="GR33" s="2" t="s">
        <v>433</v>
      </c>
      <c r="GS33" s="2" t="s">
        <v>432</v>
      </c>
      <c r="GT33" s="2" t="s">
        <v>432</v>
      </c>
      <c r="GU33" s="2" t="s">
        <v>432</v>
      </c>
      <c r="GV33" s="2" t="s">
        <v>432</v>
      </c>
      <c r="GW33" s="2" t="s">
        <v>432</v>
      </c>
      <c r="GX33" s="2" t="s">
        <v>432</v>
      </c>
      <c r="GZ33" s="2" t="s">
        <v>1071</v>
      </c>
      <c r="HA33" s="2" t="s">
        <v>432</v>
      </c>
      <c r="HB33" s="2" t="s">
        <v>433</v>
      </c>
      <c r="HC33" s="2" t="s">
        <v>433</v>
      </c>
      <c r="HD33" s="2" t="s">
        <v>432</v>
      </c>
      <c r="HE33" s="2" t="s">
        <v>432</v>
      </c>
      <c r="HF33" s="2" t="s">
        <v>432</v>
      </c>
      <c r="HI33" s="2" t="s">
        <v>456</v>
      </c>
      <c r="HV33" s="2" t="s">
        <v>430</v>
      </c>
      <c r="IN33" s="2" t="s">
        <v>513</v>
      </c>
      <c r="IO33" s="2" t="s">
        <v>813</v>
      </c>
      <c r="IP33" s="2" t="s">
        <v>432</v>
      </c>
      <c r="IQ33" s="2" t="s">
        <v>433</v>
      </c>
      <c r="IR33" s="2" t="s">
        <v>432</v>
      </c>
      <c r="IS33" s="2" t="s">
        <v>432</v>
      </c>
      <c r="IT33" s="2" t="s">
        <v>432</v>
      </c>
      <c r="IU33" s="2" t="s">
        <v>432</v>
      </c>
      <c r="IV33" s="2" t="s">
        <v>432</v>
      </c>
      <c r="IW33" s="2" t="s">
        <v>433</v>
      </c>
      <c r="IX33" s="2" t="s">
        <v>432</v>
      </c>
      <c r="IY33" s="2" t="s">
        <v>432</v>
      </c>
      <c r="JA33" s="2" t="s">
        <v>1072</v>
      </c>
      <c r="JB33" s="2" t="s">
        <v>433</v>
      </c>
      <c r="JC33" s="2" t="s">
        <v>432</v>
      </c>
      <c r="JD33" s="2" t="s">
        <v>433</v>
      </c>
      <c r="JE33" s="2" t="s">
        <v>432</v>
      </c>
      <c r="JF33" s="2" t="s">
        <v>432</v>
      </c>
      <c r="JG33" s="2" t="s">
        <v>432</v>
      </c>
      <c r="JI33" s="2" t="s">
        <v>1073</v>
      </c>
      <c r="JJ33" s="2" t="s">
        <v>433</v>
      </c>
      <c r="JK33" s="2" t="s">
        <v>432</v>
      </c>
      <c r="JL33" s="2" t="s">
        <v>433</v>
      </c>
      <c r="JM33" s="2" t="s">
        <v>432</v>
      </c>
      <c r="JN33" s="2" t="s">
        <v>432</v>
      </c>
      <c r="JO33" s="2" t="s">
        <v>432</v>
      </c>
      <c r="JP33" s="2" t="s">
        <v>432</v>
      </c>
      <c r="JQ33" s="2" t="s">
        <v>432</v>
      </c>
      <c r="JR33" s="2" t="s">
        <v>432</v>
      </c>
      <c r="JT33" s="2" t="s">
        <v>1073</v>
      </c>
      <c r="JU33" s="2" t="s">
        <v>433</v>
      </c>
      <c r="JV33" s="2" t="s">
        <v>432</v>
      </c>
      <c r="JW33" s="2" t="s">
        <v>433</v>
      </c>
      <c r="JX33" s="2" t="s">
        <v>432</v>
      </c>
      <c r="JY33" s="2" t="s">
        <v>432</v>
      </c>
      <c r="JZ33" s="2" t="s">
        <v>432</v>
      </c>
      <c r="KA33" s="2" t="s">
        <v>432</v>
      </c>
      <c r="KB33" s="2" t="s">
        <v>432</v>
      </c>
      <c r="KC33" s="2" t="s">
        <v>432</v>
      </c>
      <c r="KF33" s="2" t="s">
        <v>430</v>
      </c>
      <c r="KG33" s="2" t="s">
        <v>627</v>
      </c>
      <c r="KH33" s="2" t="s">
        <v>433</v>
      </c>
      <c r="KI33" s="2" t="s">
        <v>432</v>
      </c>
      <c r="KJ33" s="2" t="s">
        <v>432</v>
      </c>
      <c r="KK33" s="2" t="s">
        <v>433</v>
      </c>
      <c r="KL33" s="2" t="s">
        <v>432</v>
      </c>
      <c r="KM33" s="2" t="s">
        <v>432</v>
      </c>
      <c r="KN33" s="2" t="s">
        <v>432</v>
      </c>
      <c r="KO33" s="2" t="s">
        <v>432</v>
      </c>
      <c r="KP33" s="2" t="s">
        <v>432</v>
      </c>
      <c r="KQ33" s="2" t="s">
        <v>432</v>
      </c>
      <c r="KR33" s="2" t="s">
        <v>432</v>
      </c>
      <c r="KT33" s="2" t="s">
        <v>1074</v>
      </c>
      <c r="KU33" s="2" t="s">
        <v>432</v>
      </c>
      <c r="KV33" s="2" t="s">
        <v>433</v>
      </c>
      <c r="KW33" s="2" t="s">
        <v>432</v>
      </c>
      <c r="KX33" s="2" t="s">
        <v>433</v>
      </c>
      <c r="KY33" s="2" t="s">
        <v>432</v>
      </c>
      <c r="KZ33" s="2" t="s">
        <v>432</v>
      </c>
      <c r="LB33" s="2" t="s">
        <v>456</v>
      </c>
      <c r="LP33" s="2" t="s">
        <v>430</v>
      </c>
      <c r="LR33" s="2" t="s">
        <v>816</v>
      </c>
      <c r="LS33" s="2">
        <v>169355615</v>
      </c>
      <c r="LT33" s="2" t="s">
        <v>1075</v>
      </c>
      <c r="LU33" s="2" t="s">
        <v>1076</v>
      </c>
      <c r="LW33" s="2" t="s">
        <v>460</v>
      </c>
      <c r="LX33" s="2" t="s">
        <v>461</v>
      </c>
      <c r="LY33" s="2" t="s">
        <v>462</v>
      </c>
      <c r="MA33" s="2">
        <v>34</v>
      </c>
    </row>
    <row r="34" spans="1:339" x14ac:dyDescent="0.3">
      <c r="A34" s="2" t="s">
        <v>1077</v>
      </c>
      <c r="B34" s="2" t="s">
        <v>1078</v>
      </c>
      <c r="C34" s="2" t="s">
        <v>980</v>
      </c>
      <c r="F34" s="2" t="s">
        <v>523</v>
      </c>
      <c r="G34" s="2" t="s">
        <v>633</v>
      </c>
      <c r="H34" s="2" t="s">
        <v>633</v>
      </c>
      <c r="I34" s="2" t="s">
        <v>1079</v>
      </c>
      <c r="R34" s="2" t="s">
        <v>523</v>
      </c>
      <c r="S34" s="2" t="s">
        <v>747</v>
      </c>
      <c r="T34" s="2" t="s">
        <v>426</v>
      </c>
      <c r="Z34" s="2" t="s">
        <v>428</v>
      </c>
      <c r="AA34" s="2" t="s">
        <v>429</v>
      </c>
      <c r="AB34" s="2" t="s">
        <v>633</v>
      </c>
      <c r="AG34" s="2" t="s">
        <v>456</v>
      </c>
      <c r="BQ34" s="2" t="s">
        <v>456</v>
      </c>
      <c r="DZ34" s="2" t="s">
        <v>1080</v>
      </c>
      <c r="EA34" s="2" t="s">
        <v>432</v>
      </c>
      <c r="EB34" s="2" t="s">
        <v>432</v>
      </c>
      <c r="EC34" s="2" t="s">
        <v>432</v>
      </c>
      <c r="ED34" s="2" t="s">
        <v>432</v>
      </c>
      <c r="EE34" s="2" t="s">
        <v>432</v>
      </c>
      <c r="EF34" s="2" t="s">
        <v>432</v>
      </c>
      <c r="EG34" s="2" t="s">
        <v>433</v>
      </c>
      <c r="EH34" s="2" t="s">
        <v>432</v>
      </c>
      <c r="EI34" s="2" t="s">
        <v>432</v>
      </c>
      <c r="EL34" s="2" t="s">
        <v>1048</v>
      </c>
      <c r="EM34" s="2" t="s">
        <v>432</v>
      </c>
      <c r="EN34" s="2" t="s">
        <v>432</v>
      </c>
      <c r="EO34" s="2" t="s">
        <v>433</v>
      </c>
      <c r="EP34" s="2" t="s">
        <v>432</v>
      </c>
      <c r="EQ34" s="2" t="s">
        <v>432</v>
      </c>
      <c r="ER34" s="2" t="s">
        <v>432</v>
      </c>
      <c r="ES34" s="2" t="s">
        <v>432</v>
      </c>
      <c r="ET34" s="2" t="s">
        <v>432</v>
      </c>
      <c r="EU34" s="2" t="s">
        <v>432</v>
      </c>
      <c r="EV34" s="2" t="s">
        <v>432</v>
      </c>
      <c r="EX34" s="2" t="s">
        <v>430</v>
      </c>
      <c r="EY34" s="2" t="s">
        <v>573</v>
      </c>
      <c r="EZ34" s="2" t="s">
        <v>432</v>
      </c>
      <c r="FA34" s="2" t="s">
        <v>432</v>
      </c>
      <c r="FB34" s="2" t="s">
        <v>432</v>
      </c>
      <c r="FC34" s="2" t="s">
        <v>432</v>
      </c>
      <c r="FD34" s="2" t="s">
        <v>432</v>
      </c>
      <c r="FE34" s="2" t="s">
        <v>433</v>
      </c>
      <c r="FF34" s="2" t="s">
        <v>432</v>
      </c>
      <c r="FG34" s="2" t="s">
        <v>432</v>
      </c>
      <c r="FH34" s="2" t="s">
        <v>432</v>
      </c>
      <c r="FI34" s="2" t="s">
        <v>432</v>
      </c>
      <c r="FJ34" s="2" t="s">
        <v>432</v>
      </c>
      <c r="FK34" s="2" t="s">
        <v>432</v>
      </c>
      <c r="FL34" s="2" t="s">
        <v>432</v>
      </c>
      <c r="FM34" s="2" t="s">
        <v>432</v>
      </c>
      <c r="FO34" s="2" t="s">
        <v>481</v>
      </c>
      <c r="FP34" s="2" t="s">
        <v>601</v>
      </c>
      <c r="GA34" s="2" t="s">
        <v>509</v>
      </c>
      <c r="GB34" s="2" t="s">
        <v>602</v>
      </c>
      <c r="GC34" s="2" t="s">
        <v>510</v>
      </c>
      <c r="GD34" s="2" t="s">
        <v>432</v>
      </c>
      <c r="GE34" s="2" t="s">
        <v>433</v>
      </c>
      <c r="GF34" s="2" t="s">
        <v>432</v>
      </c>
      <c r="GG34" s="2" t="s">
        <v>433</v>
      </c>
      <c r="GH34" s="2" t="s">
        <v>433</v>
      </c>
      <c r="GI34" s="2" t="s">
        <v>432</v>
      </c>
      <c r="GJ34" s="2" t="s">
        <v>432</v>
      </c>
      <c r="GK34" s="2" t="s">
        <v>432</v>
      </c>
      <c r="GL34" s="2" t="s">
        <v>432</v>
      </c>
      <c r="GN34" s="2" t="s">
        <v>601</v>
      </c>
      <c r="GO34" s="2" t="s">
        <v>601</v>
      </c>
      <c r="GP34" s="2" t="s">
        <v>755</v>
      </c>
      <c r="GQ34" s="2" t="s">
        <v>432</v>
      </c>
      <c r="GR34" s="2" t="s">
        <v>433</v>
      </c>
      <c r="GS34" s="2" t="s">
        <v>433</v>
      </c>
      <c r="GT34" s="2" t="s">
        <v>433</v>
      </c>
      <c r="GU34" s="2" t="s">
        <v>432</v>
      </c>
      <c r="GV34" s="2" t="s">
        <v>432</v>
      </c>
      <c r="GW34" s="2" t="s">
        <v>432</v>
      </c>
      <c r="GX34" s="2" t="s">
        <v>432</v>
      </c>
      <c r="GZ34" s="2" t="s">
        <v>544</v>
      </c>
      <c r="HA34" s="2" t="s">
        <v>432</v>
      </c>
      <c r="HB34" s="2" t="s">
        <v>432</v>
      </c>
      <c r="HC34" s="2" t="s">
        <v>432</v>
      </c>
      <c r="HD34" s="2" t="s">
        <v>432</v>
      </c>
      <c r="HE34" s="2" t="s">
        <v>433</v>
      </c>
      <c r="HF34" s="2" t="s">
        <v>432</v>
      </c>
      <c r="HG34" s="2" t="s">
        <v>544</v>
      </c>
      <c r="HI34" s="2" t="s">
        <v>601</v>
      </c>
      <c r="HJ34" s="2" t="s">
        <v>532</v>
      </c>
      <c r="HK34" s="2" t="s">
        <v>432</v>
      </c>
      <c r="HL34" s="2" t="s">
        <v>432</v>
      </c>
      <c r="HM34" s="2" t="s">
        <v>432</v>
      </c>
      <c r="HN34" s="2" t="s">
        <v>432</v>
      </c>
      <c r="HO34" s="2" t="s">
        <v>433</v>
      </c>
      <c r="HP34" s="2" t="s">
        <v>432</v>
      </c>
      <c r="HQ34" s="2" t="s">
        <v>432</v>
      </c>
      <c r="HR34" s="2" t="s">
        <v>432</v>
      </c>
      <c r="HS34" s="2" t="s">
        <v>432</v>
      </c>
      <c r="HT34" s="2" t="s">
        <v>432</v>
      </c>
      <c r="IN34" s="2" t="s">
        <v>513</v>
      </c>
      <c r="IO34" s="2" t="s">
        <v>514</v>
      </c>
      <c r="IP34" s="2" t="s">
        <v>432</v>
      </c>
      <c r="IQ34" s="2" t="s">
        <v>433</v>
      </c>
      <c r="IR34" s="2" t="s">
        <v>433</v>
      </c>
      <c r="IS34" s="2" t="s">
        <v>432</v>
      </c>
      <c r="IT34" s="2" t="s">
        <v>433</v>
      </c>
      <c r="IU34" s="2" t="s">
        <v>432</v>
      </c>
      <c r="IV34" s="2" t="s">
        <v>432</v>
      </c>
      <c r="IW34" s="2" t="s">
        <v>432</v>
      </c>
      <c r="IX34" s="2" t="s">
        <v>432</v>
      </c>
      <c r="IY34" s="2" t="s">
        <v>432</v>
      </c>
      <c r="JA34" s="2" t="s">
        <v>544</v>
      </c>
      <c r="JB34" s="2" t="s">
        <v>432</v>
      </c>
      <c r="JC34" s="2" t="s">
        <v>432</v>
      </c>
      <c r="JD34" s="2" t="s">
        <v>432</v>
      </c>
      <c r="JE34" s="2" t="s">
        <v>433</v>
      </c>
      <c r="JF34" s="2" t="s">
        <v>432</v>
      </c>
      <c r="JG34" s="2" t="s">
        <v>432</v>
      </c>
      <c r="JH34" s="2" t="s">
        <v>544</v>
      </c>
      <c r="JT34" s="2" t="s">
        <v>1081</v>
      </c>
      <c r="JU34" s="2" t="s">
        <v>433</v>
      </c>
      <c r="JV34" s="2" t="s">
        <v>433</v>
      </c>
      <c r="JW34" s="2" t="s">
        <v>433</v>
      </c>
      <c r="JX34" s="2" t="s">
        <v>432</v>
      </c>
      <c r="JY34" s="2" t="s">
        <v>432</v>
      </c>
      <c r="JZ34" s="2" t="s">
        <v>432</v>
      </c>
      <c r="KA34" s="2" t="s">
        <v>432</v>
      </c>
      <c r="KB34" s="2" t="s">
        <v>432</v>
      </c>
      <c r="KC34" s="2" t="s">
        <v>432</v>
      </c>
      <c r="KF34" s="2" t="s">
        <v>456</v>
      </c>
      <c r="LB34" s="2" t="s">
        <v>456</v>
      </c>
      <c r="LP34" s="2" t="s">
        <v>430</v>
      </c>
      <c r="LR34" s="2" t="s">
        <v>843</v>
      </c>
      <c r="LS34" s="2">
        <v>169365590</v>
      </c>
      <c r="LT34" s="2" t="s">
        <v>1082</v>
      </c>
      <c r="LU34" s="2" t="s">
        <v>1083</v>
      </c>
      <c r="LW34" s="2" t="s">
        <v>460</v>
      </c>
      <c r="LX34" s="2" t="s">
        <v>461</v>
      </c>
      <c r="LY34" s="2" t="s">
        <v>462</v>
      </c>
      <c r="MA34" s="2">
        <v>35</v>
      </c>
    </row>
    <row r="35" spans="1:339" x14ac:dyDescent="0.3">
      <c r="A35" s="2" t="s">
        <v>1084</v>
      </c>
      <c r="B35" s="2" t="s">
        <v>1085</v>
      </c>
      <c r="C35" s="2" t="s">
        <v>980</v>
      </c>
      <c r="F35" s="2" t="s">
        <v>422</v>
      </c>
      <c r="G35" s="2" t="s">
        <v>633</v>
      </c>
      <c r="H35" s="2" t="s">
        <v>633</v>
      </c>
      <c r="I35" s="2" t="s">
        <v>427</v>
      </c>
      <c r="J35" s="2" t="s">
        <v>1086</v>
      </c>
      <c r="R35" s="2" t="s">
        <v>422</v>
      </c>
      <c r="S35" s="2" t="s">
        <v>983</v>
      </c>
      <c r="T35" s="2" t="s">
        <v>503</v>
      </c>
      <c r="AG35" s="2" t="s">
        <v>456</v>
      </c>
      <c r="BQ35" s="2" t="s">
        <v>456</v>
      </c>
      <c r="DZ35" s="2" t="s">
        <v>1087</v>
      </c>
      <c r="EA35" s="2" t="s">
        <v>433</v>
      </c>
      <c r="EB35" s="2" t="s">
        <v>433</v>
      </c>
      <c r="EC35" s="2" t="s">
        <v>433</v>
      </c>
      <c r="ED35" s="2" t="s">
        <v>433</v>
      </c>
      <c r="EE35" s="2" t="s">
        <v>433</v>
      </c>
      <c r="EF35" s="2" t="s">
        <v>433</v>
      </c>
      <c r="EG35" s="2" t="s">
        <v>432</v>
      </c>
      <c r="EH35" s="2" t="s">
        <v>432</v>
      </c>
      <c r="EI35" s="2" t="s">
        <v>432</v>
      </c>
      <c r="EL35" s="2" t="s">
        <v>1088</v>
      </c>
      <c r="EM35" s="2" t="s">
        <v>432</v>
      </c>
      <c r="EN35" s="2" t="s">
        <v>433</v>
      </c>
      <c r="EO35" s="2" t="s">
        <v>433</v>
      </c>
      <c r="EP35" s="2" t="s">
        <v>433</v>
      </c>
      <c r="EQ35" s="2" t="s">
        <v>433</v>
      </c>
      <c r="ER35" s="2" t="s">
        <v>433</v>
      </c>
      <c r="ES35" s="2" t="s">
        <v>433</v>
      </c>
      <c r="ET35" s="2" t="s">
        <v>432</v>
      </c>
      <c r="EU35" s="2" t="s">
        <v>432</v>
      </c>
      <c r="EV35" s="2" t="s">
        <v>432</v>
      </c>
      <c r="EX35" s="2" t="s">
        <v>430</v>
      </c>
      <c r="EY35" s="2" t="s">
        <v>1089</v>
      </c>
      <c r="EZ35" s="2" t="s">
        <v>433</v>
      </c>
      <c r="FA35" s="2" t="s">
        <v>432</v>
      </c>
      <c r="FB35" s="2" t="s">
        <v>433</v>
      </c>
      <c r="FC35" s="2" t="s">
        <v>433</v>
      </c>
      <c r="FD35" s="2" t="s">
        <v>432</v>
      </c>
      <c r="FE35" s="2" t="s">
        <v>433</v>
      </c>
      <c r="FF35" s="2" t="s">
        <v>432</v>
      </c>
      <c r="FG35" s="2" t="s">
        <v>432</v>
      </c>
      <c r="FH35" s="2" t="s">
        <v>433</v>
      </c>
      <c r="FI35" s="2" t="s">
        <v>432</v>
      </c>
      <c r="FJ35" s="2" t="s">
        <v>433</v>
      </c>
      <c r="FK35" s="2" t="s">
        <v>433</v>
      </c>
      <c r="FL35" s="2" t="s">
        <v>432</v>
      </c>
      <c r="FM35" s="2" t="s">
        <v>432</v>
      </c>
      <c r="FO35" s="2" t="s">
        <v>481</v>
      </c>
      <c r="FP35" s="2" t="s">
        <v>481</v>
      </c>
      <c r="FQ35" s="2" t="s">
        <v>836</v>
      </c>
      <c r="FR35" s="2" t="s">
        <v>433</v>
      </c>
      <c r="FS35" s="2" t="s">
        <v>433</v>
      </c>
      <c r="FT35" s="2" t="s">
        <v>432</v>
      </c>
      <c r="FU35" s="2" t="s">
        <v>432</v>
      </c>
      <c r="FV35" s="2" t="s">
        <v>432</v>
      </c>
      <c r="FW35" s="2" t="s">
        <v>432</v>
      </c>
      <c r="FX35" s="2" t="s">
        <v>432</v>
      </c>
      <c r="FY35" s="2" t="s">
        <v>432</v>
      </c>
      <c r="GA35" s="2" t="s">
        <v>444</v>
      </c>
      <c r="GB35" s="2" t="s">
        <v>483</v>
      </c>
      <c r="GC35" s="2" t="s">
        <v>510</v>
      </c>
      <c r="GD35" s="2" t="s">
        <v>432</v>
      </c>
      <c r="GE35" s="2" t="s">
        <v>433</v>
      </c>
      <c r="GF35" s="2" t="s">
        <v>432</v>
      </c>
      <c r="GG35" s="2" t="s">
        <v>433</v>
      </c>
      <c r="GH35" s="2" t="s">
        <v>433</v>
      </c>
      <c r="GI35" s="2" t="s">
        <v>432</v>
      </c>
      <c r="GJ35" s="2" t="s">
        <v>432</v>
      </c>
      <c r="GK35" s="2" t="s">
        <v>432</v>
      </c>
      <c r="GL35" s="2" t="s">
        <v>432</v>
      </c>
      <c r="GN35" s="2" t="s">
        <v>481</v>
      </c>
      <c r="GO35" s="2" t="s">
        <v>481</v>
      </c>
      <c r="GP35" s="2" t="s">
        <v>1090</v>
      </c>
      <c r="GQ35" s="2" t="s">
        <v>433</v>
      </c>
      <c r="GR35" s="2" t="s">
        <v>432</v>
      </c>
      <c r="GS35" s="2" t="s">
        <v>432</v>
      </c>
      <c r="GT35" s="2" t="s">
        <v>433</v>
      </c>
      <c r="GU35" s="2" t="s">
        <v>432</v>
      </c>
      <c r="GV35" s="2" t="s">
        <v>433</v>
      </c>
      <c r="GW35" s="2" t="s">
        <v>432</v>
      </c>
      <c r="GX35" s="2" t="s">
        <v>432</v>
      </c>
      <c r="GZ35" s="2" t="s">
        <v>643</v>
      </c>
      <c r="HA35" s="2" t="s">
        <v>433</v>
      </c>
      <c r="HB35" s="2" t="s">
        <v>432</v>
      </c>
      <c r="HC35" s="2" t="s">
        <v>432</v>
      </c>
      <c r="HD35" s="2" t="s">
        <v>432</v>
      </c>
      <c r="HE35" s="2" t="s">
        <v>432</v>
      </c>
      <c r="HF35" s="2" t="s">
        <v>432</v>
      </c>
      <c r="HI35" s="2" t="s">
        <v>442</v>
      </c>
      <c r="HJ35" s="2" t="s">
        <v>1091</v>
      </c>
      <c r="HK35" s="2" t="s">
        <v>433</v>
      </c>
      <c r="HL35" s="2" t="s">
        <v>433</v>
      </c>
      <c r="HM35" s="2" t="s">
        <v>433</v>
      </c>
      <c r="HN35" s="2" t="s">
        <v>432</v>
      </c>
      <c r="HO35" s="2" t="s">
        <v>433</v>
      </c>
      <c r="HP35" s="2" t="s">
        <v>433</v>
      </c>
      <c r="HQ35" s="2" t="s">
        <v>433</v>
      </c>
      <c r="HR35" s="2" t="s">
        <v>432</v>
      </c>
      <c r="HS35" s="2" t="s">
        <v>432</v>
      </c>
      <c r="HT35" s="2" t="s">
        <v>432</v>
      </c>
      <c r="HV35" s="2" t="s">
        <v>430</v>
      </c>
      <c r="IN35" s="2" t="s">
        <v>1092</v>
      </c>
      <c r="IO35" s="2" t="s">
        <v>1093</v>
      </c>
      <c r="IP35" s="2" t="s">
        <v>432</v>
      </c>
      <c r="IQ35" s="2" t="s">
        <v>433</v>
      </c>
      <c r="IR35" s="2" t="s">
        <v>433</v>
      </c>
      <c r="IS35" s="2" t="s">
        <v>432</v>
      </c>
      <c r="IT35" s="2" t="s">
        <v>433</v>
      </c>
      <c r="IU35" s="2" t="s">
        <v>432</v>
      </c>
      <c r="IV35" s="2" t="s">
        <v>432</v>
      </c>
      <c r="IW35" s="2" t="s">
        <v>432</v>
      </c>
      <c r="IX35" s="2" t="s">
        <v>433</v>
      </c>
      <c r="IY35" s="2" t="s">
        <v>432</v>
      </c>
      <c r="JA35" s="2" t="s">
        <v>515</v>
      </c>
      <c r="JB35" s="2" t="s">
        <v>433</v>
      </c>
      <c r="JC35" s="2" t="s">
        <v>433</v>
      </c>
      <c r="JD35" s="2" t="s">
        <v>433</v>
      </c>
      <c r="JE35" s="2" t="s">
        <v>432</v>
      </c>
      <c r="JF35" s="2" t="s">
        <v>432</v>
      </c>
      <c r="JG35" s="2" t="s">
        <v>432</v>
      </c>
      <c r="JI35" s="2" t="s">
        <v>1094</v>
      </c>
      <c r="JJ35" s="2" t="s">
        <v>433</v>
      </c>
      <c r="JK35" s="2" t="s">
        <v>432</v>
      </c>
      <c r="JL35" s="2" t="s">
        <v>432</v>
      </c>
      <c r="JM35" s="2" t="s">
        <v>433</v>
      </c>
      <c r="JN35" s="2" t="s">
        <v>433</v>
      </c>
      <c r="JO35" s="2" t="s">
        <v>432</v>
      </c>
      <c r="JP35" s="2" t="s">
        <v>432</v>
      </c>
      <c r="JQ35" s="2" t="s">
        <v>432</v>
      </c>
      <c r="JR35" s="2" t="s">
        <v>432</v>
      </c>
      <c r="JT35" s="2" t="s">
        <v>1095</v>
      </c>
      <c r="JU35" s="2" t="s">
        <v>432</v>
      </c>
      <c r="JV35" s="2" t="s">
        <v>432</v>
      </c>
      <c r="JW35" s="2" t="s">
        <v>432</v>
      </c>
      <c r="JX35" s="2" t="s">
        <v>432</v>
      </c>
      <c r="JY35" s="2" t="s">
        <v>432</v>
      </c>
      <c r="JZ35" s="2" t="s">
        <v>432</v>
      </c>
      <c r="KA35" s="2" t="s">
        <v>433</v>
      </c>
      <c r="KB35" s="2" t="s">
        <v>432</v>
      </c>
      <c r="KC35" s="2" t="s">
        <v>432</v>
      </c>
      <c r="KF35" s="2" t="s">
        <v>456</v>
      </c>
      <c r="LB35" s="2" t="s">
        <v>456</v>
      </c>
      <c r="LP35" s="2" t="s">
        <v>430</v>
      </c>
      <c r="LR35" s="2" t="s">
        <v>816</v>
      </c>
      <c r="LS35" s="2">
        <v>169365634</v>
      </c>
      <c r="LT35" s="2" t="s">
        <v>1096</v>
      </c>
      <c r="LU35" s="2" t="s">
        <v>1097</v>
      </c>
      <c r="LW35" s="2" t="s">
        <v>460</v>
      </c>
      <c r="LX35" s="2" t="s">
        <v>461</v>
      </c>
      <c r="LY35" s="2" t="s">
        <v>462</v>
      </c>
      <c r="MA35" s="2">
        <v>36</v>
      </c>
    </row>
    <row r="36" spans="1:339" x14ac:dyDescent="0.3">
      <c r="A36" s="2" t="s">
        <v>1098</v>
      </c>
      <c r="B36" s="2" t="s">
        <v>1099</v>
      </c>
      <c r="C36" s="2" t="s">
        <v>980</v>
      </c>
      <c r="F36" s="2" t="s">
        <v>422</v>
      </c>
      <c r="G36" s="2" t="s">
        <v>633</v>
      </c>
      <c r="H36" s="2" t="s">
        <v>633</v>
      </c>
      <c r="I36" s="2" t="s">
        <v>427</v>
      </c>
      <c r="J36" s="2" t="s">
        <v>1100</v>
      </c>
      <c r="R36" s="2" t="s">
        <v>422</v>
      </c>
      <c r="S36" s="2" t="s">
        <v>747</v>
      </c>
      <c r="T36" s="2" t="s">
        <v>503</v>
      </c>
      <c r="AG36" s="2" t="s">
        <v>456</v>
      </c>
      <c r="BQ36" s="2" t="s">
        <v>456</v>
      </c>
      <c r="DZ36" s="2" t="s">
        <v>1101</v>
      </c>
      <c r="EA36" s="2" t="s">
        <v>433</v>
      </c>
      <c r="EB36" s="2" t="s">
        <v>432</v>
      </c>
      <c r="EC36" s="2" t="s">
        <v>432</v>
      </c>
      <c r="ED36" s="2" t="s">
        <v>433</v>
      </c>
      <c r="EE36" s="2" t="s">
        <v>433</v>
      </c>
      <c r="EF36" s="2" t="s">
        <v>432</v>
      </c>
      <c r="EG36" s="2" t="s">
        <v>432</v>
      </c>
      <c r="EH36" s="2" t="s">
        <v>432</v>
      </c>
      <c r="EI36" s="2" t="s">
        <v>432</v>
      </c>
      <c r="EL36" s="2" t="s">
        <v>1102</v>
      </c>
      <c r="EM36" s="2" t="s">
        <v>433</v>
      </c>
      <c r="EN36" s="2" t="s">
        <v>433</v>
      </c>
      <c r="EO36" s="2" t="s">
        <v>433</v>
      </c>
      <c r="EP36" s="2" t="s">
        <v>433</v>
      </c>
      <c r="EQ36" s="2" t="s">
        <v>433</v>
      </c>
      <c r="ER36" s="2" t="s">
        <v>433</v>
      </c>
      <c r="ES36" s="2" t="s">
        <v>433</v>
      </c>
      <c r="ET36" s="2" t="s">
        <v>432</v>
      </c>
      <c r="EU36" s="2" t="s">
        <v>432</v>
      </c>
      <c r="EV36" s="2" t="s">
        <v>432</v>
      </c>
      <c r="EX36" s="2" t="s">
        <v>430</v>
      </c>
      <c r="EY36" s="2" t="s">
        <v>1103</v>
      </c>
      <c r="EZ36" s="2" t="s">
        <v>433</v>
      </c>
      <c r="FA36" s="2" t="s">
        <v>432</v>
      </c>
      <c r="FB36" s="2" t="s">
        <v>432</v>
      </c>
      <c r="FC36" s="2" t="s">
        <v>433</v>
      </c>
      <c r="FD36" s="2" t="s">
        <v>433</v>
      </c>
      <c r="FE36" s="2" t="s">
        <v>433</v>
      </c>
      <c r="FF36" s="2" t="s">
        <v>432</v>
      </c>
      <c r="FG36" s="2" t="s">
        <v>432</v>
      </c>
      <c r="FH36" s="2" t="s">
        <v>432</v>
      </c>
      <c r="FI36" s="2" t="s">
        <v>432</v>
      </c>
      <c r="FJ36" s="2" t="s">
        <v>432</v>
      </c>
      <c r="FK36" s="2" t="s">
        <v>432</v>
      </c>
      <c r="FL36" s="2" t="s">
        <v>432</v>
      </c>
      <c r="FM36" s="2" t="s">
        <v>432</v>
      </c>
      <c r="FO36" s="2" t="s">
        <v>481</v>
      </c>
      <c r="FP36" s="2" t="s">
        <v>481</v>
      </c>
      <c r="FQ36" s="2" t="s">
        <v>482</v>
      </c>
      <c r="FR36" s="2" t="s">
        <v>432</v>
      </c>
      <c r="FS36" s="2" t="s">
        <v>433</v>
      </c>
      <c r="FT36" s="2" t="s">
        <v>432</v>
      </c>
      <c r="FU36" s="2" t="s">
        <v>432</v>
      </c>
      <c r="FV36" s="2" t="s">
        <v>432</v>
      </c>
      <c r="FW36" s="2" t="s">
        <v>432</v>
      </c>
      <c r="FX36" s="2" t="s">
        <v>432</v>
      </c>
      <c r="FY36" s="2" t="s">
        <v>432</v>
      </c>
      <c r="GA36" s="2" t="s">
        <v>509</v>
      </c>
      <c r="GB36" s="2" t="s">
        <v>483</v>
      </c>
      <c r="GC36" s="2" t="s">
        <v>1104</v>
      </c>
      <c r="GD36" s="2" t="s">
        <v>433</v>
      </c>
      <c r="GE36" s="2" t="s">
        <v>433</v>
      </c>
      <c r="GF36" s="2" t="s">
        <v>432</v>
      </c>
      <c r="GG36" s="2" t="s">
        <v>433</v>
      </c>
      <c r="GH36" s="2" t="s">
        <v>432</v>
      </c>
      <c r="GI36" s="2" t="s">
        <v>432</v>
      </c>
      <c r="GJ36" s="2" t="s">
        <v>432</v>
      </c>
      <c r="GK36" s="2" t="s">
        <v>432</v>
      </c>
      <c r="GL36" s="2" t="s">
        <v>432</v>
      </c>
      <c r="GN36" s="2" t="s">
        <v>481</v>
      </c>
      <c r="GO36" s="2" t="s">
        <v>481</v>
      </c>
      <c r="GP36" s="2" t="s">
        <v>1105</v>
      </c>
      <c r="GQ36" s="2" t="s">
        <v>433</v>
      </c>
      <c r="GR36" s="2" t="s">
        <v>432</v>
      </c>
      <c r="GS36" s="2" t="s">
        <v>433</v>
      </c>
      <c r="GT36" s="2" t="s">
        <v>432</v>
      </c>
      <c r="GU36" s="2" t="s">
        <v>432</v>
      </c>
      <c r="GV36" s="2" t="s">
        <v>433</v>
      </c>
      <c r="GW36" s="2" t="s">
        <v>432</v>
      </c>
      <c r="GX36" s="2" t="s">
        <v>432</v>
      </c>
      <c r="GZ36" s="2" t="s">
        <v>1106</v>
      </c>
      <c r="HA36" s="2" t="s">
        <v>432</v>
      </c>
      <c r="HB36" s="2" t="s">
        <v>433</v>
      </c>
      <c r="HC36" s="2" t="s">
        <v>433</v>
      </c>
      <c r="HD36" s="2" t="s">
        <v>432</v>
      </c>
      <c r="HE36" s="2" t="s">
        <v>432</v>
      </c>
      <c r="HF36" s="2" t="s">
        <v>432</v>
      </c>
      <c r="HI36" s="2" t="s">
        <v>601</v>
      </c>
      <c r="HJ36" s="2" t="s">
        <v>532</v>
      </c>
      <c r="HK36" s="2" t="s">
        <v>432</v>
      </c>
      <c r="HL36" s="2" t="s">
        <v>432</v>
      </c>
      <c r="HM36" s="2" t="s">
        <v>432</v>
      </c>
      <c r="HN36" s="2" t="s">
        <v>432</v>
      </c>
      <c r="HO36" s="2" t="s">
        <v>433</v>
      </c>
      <c r="HP36" s="2" t="s">
        <v>432</v>
      </c>
      <c r="HQ36" s="2" t="s">
        <v>432</v>
      </c>
      <c r="HR36" s="2" t="s">
        <v>432</v>
      </c>
      <c r="HS36" s="2" t="s">
        <v>432</v>
      </c>
      <c r="HT36" s="2" t="s">
        <v>432</v>
      </c>
      <c r="IN36" s="2" t="s">
        <v>513</v>
      </c>
      <c r="IO36" s="2" t="s">
        <v>1107</v>
      </c>
      <c r="IP36" s="2" t="s">
        <v>433</v>
      </c>
      <c r="IQ36" s="2" t="s">
        <v>433</v>
      </c>
      <c r="IR36" s="2" t="s">
        <v>433</v>
      </c>
      <c r="IS36" s="2" t="s">
        <v>432</v>
      </c>
      <c r="IT36" s="2" t="s">
        <v>432</v>
      </c>
      <c r="IU36" s="2" t="s">
        <v>432</v>
      </c>
      <c r="IV36" s="2" t="s">
        <v>432</v>
      </c>
      <c r="IW36" s="2" t="s">
        <v>432</v>
      </c>
      <c r="IX36" s="2" t="s">
        <v>432</v>
      </c>
      <c r="IY36" s="2" t="s">
        <v>432</v>
      </c>
      <c r="JA36" s="2" t="s">
        <v>580</v>
      </c>
      <c r="JB36" s="2" t="s">
        <v>432</v>
      </c>
      <c r="JC36" s="2" t="s">
        <v>433</v>
      </c>
      <c r="JD36" s="2" t="s">
        <v>433</v>
      </c>
      <c r="JE36" s="2" t="s">
        <v>432</v>
      </c>
      <c r="JF36" s="2" t="s">
        <v>432</v>
      </c>
      <c r="JG36" s="2" t="s">
        <v>432</v>
      </c>
      <c r="JT36" s="2" t="s">
        <v>607</v>
      </c>
      <c r="JU36" s="2" t="s">
        <v>433</v>
      </c>
      <c r="JV36" s="2" t="s">
        <v>433</v>
      </c>
      <c r="JW36" s="2" t="s">
        <v>433</v>
      </c>
      <c r="JX36" s="2" t="s">
        <v>432</v>
      </c>
      <c r="JY36" s="2" t="s">
        <v>432</v>
      </c>
      <c r="JZ36" s="2" t="s">
        <v>432</v>
      </c>
      <c r="KA36" s="2" t="s">
        <v>432</v>
      </c>
      <c r="KB36" s="2" t="s">
        <v>432</v>
      </c>
      <c r="KC36" s="2" t="s">
        <v>432</v>
      </c>
      <c r="KF36" s="2" t="s">
        <v>456</v>
      </c>
      <c r="LB36" s="2" t="s">
        <v>456</v>
      </c>
      <c r="LP36" s="2" t="s">
        <v>430</v>
      </c>
      <c r="LR36" s="2" t="s">
        <v>816</v>
      </c>
      <c r="LS36" s="2">
        <v>169365670</v>
      </c>
      <c r="LT36" s="2" t="s">
        <v>1108</v>
      </c>
      <c r="LU36" s="2" t="s">
        <v>1109</v>
      </c>
      <c r="LW36" s="2" t="s">
        <v>460</v>
      </c>
      <c r="LX36" s="2" t="s">
        <v>461</v>
      </c>
      <c r="LY36" s="2" t="s">
        <v>462</v>
      </c>
      <c r="MA36" s="2">
        <v>37</v>
      </c>
    </row>
    <row r="37" spans="1:339" x14ac:dyDescent="0.3">
      <c r="A37" s="2" t="s">
        <v>1110</v>
      </c>
      <c r="B37" s="2" t="s">
        <v>1111</v>
      </c>
      <c r="C37" s="2" t="s">
        <v>1112</v>
      </c>
      <c r="F37" s="2" t="s">
        <v>422</v>
      </c>
      <c r="G37" s="2" t="s">
        <v>423</v>
      </c>
      <c r="H37" s="2" t="s">
        <v>423</v>
      </c>
      <c r="I37" s="2" t="s">
        <v>423</v>
      </c>
      <c r="R37" s="2" t="s">
        <v>422</v>
      </c>
      <c r="S37" s="2" t="s">
        <v>1113</v>
      </c>
      <c r="T37" s="2" t="s">
        <v>426</v>
      </c>
      <c r="Z37" s="2" t="s">
        <v>428</v>
      </c>
      <c r="AA37" s="2" t="s">
        <v>429</v>
      </c>
      <c r="AB37" s="2" t="s">
        <v>423</v>
      </c>
      <c r="AG37" s="2" t="s">
        <v>456</v>
      </c>
      <c r="BQ37" s="2" t="s">
        <v>456</v>
      </c>
      <c r="DZ37" s="2" t="s">
        <v>551</v>
      </c>
      <c r="EA37" s="2" t="s">
        <v>432</v>
      </c>
      <c r="EB37" s="2" t="s">
        <v>433</v>
      </c>
      <c r="EC37" s="2" t="s">
        <v>432</v>
      </c>
      <c r="ED37" s="2" t="s">
        <v>432</v>
      </c>
      <c r="EE37" s="2" t="s">
        <v>432</v>
      </c>
      <c r="EF37" s="2" t="s">
        <v>432</v>
      </c>
      <c r="EG37" s="2" t="s">
        <v>432</v>
      </c>
      <c r="EH37" s="2" t="s">
        <v>432</v>
      </c>
      <c r="EI37" s="2" t="s">
        <v>432</v>
      </c>
      <c r="EL37" s="2" t="s">
        <v>1114</v>
      </c>
      <c r="EM37" s="2" t="s">
        <v>432</v>
      </c>
      <c r="EN37" s="2" t="s">
        <v>433</v>
      </c>
      <c r="EO37" s="2" t="s">
        <v>432</v>
      </c>
      <c r="EP37" s="2" t="s">
        <v>432</v>
      </c>
      <c r="EQ37" s="2" t="s">
        <v>432</v>
      </c>
      <c r="ER37" s="2" t="s">
        <v>432</v>
      </c>
      <c r="ES37" s="2" t="s">
        <v>432</v>
      </c>
      <c r="ET37" s="2" t="s">
        <v>432</v>
      </c>
      <c r="EU37" s="2" t="s">
        <v>432</v>
      </c>
      <c r="EV37" s="2" t="s">
        <v>432</v>
      </c>
      <c r="EX37" s="2" t="s">
        <v>430</v>
      </c>
      <c r="EY37" s="2" t="s">
        <v>1115</v>
      </c>
      <c r="EZ37" s="2" t="s">
        <v>433</v>
      </c>
      <c r="FA37" s="2" t="s">
        <v>432</v>
      </c>
      <c r="FB37" s="2" t="s">
        <v>432</v>
      </c>
      <c r="FC37" s="2" t="s">
        <v>433</v>
      </c>
      <c r="FD37" s="2" t="s">
        <v>432</v>
      </c>
      <c r="FE37" s="2" t="s">
        <v>433</v>
      </c>
      <c r="FF37" s="2" t="s">
        <v>432</v>
      </c>
      <c r="FG37" s="2" t="s">
        <v>432</v>
      </c>
      <c r="FH37" s="2" t="s">
        <v>432</v>
      </c>
      <c r="FI37" s="2" t="s">
        <v>432</v>
      </c>
      <c r="FJ37" s="2" t="s">
        <v>432</v>
      </c>
      <c r="FK37" s="2" t="s">
        <v>432</v>
      </c>
      <c r="FL37" s="2" t="s">
        <v>432</v>
      </c>
      <c r="FM37" s="2" t="s">
        <v>432</v>
      </c>
      <c r="FO37" s="2" t="s">
        <v>601</v>
      </c>
      <c r="FP37" s="2" t="s">
        <v>601</v>
      </c>
      <c r="GA37" s="2" t="s">
        <v>602</v>
      </c>
      <c r="GB37" s="2" t="s">
        <v>483</v>
      </c>
      <c r="GC37" s="2" t="s">
        <v>1116</v>
      </c>
      <c r="GD37" s="2" t="s">
        <v>432</v>
      </c>
      <c r="GE37" s="2" t="s">
        <v>432</v>
      </c>
      <c r="GF37" s="2" t="s">
        <v>432</v>
      </c>
      <c r="GG37" s="2" t="s">
        <v>433</v>
      </c>
      <c r="GH37" s="2" t="s">
        <v>433</v>
      </c>
      <c r="GI37" s="2" t="s">
        <v>433</v>
      </c>
      <c r="GJ37" s="2" t="s">
        <v>432</v>
      </c>
      <c r="GK37" s="2" t="s">
        <v>432</v>
      </c>
      <c r="GL37" s="2" t="s">
        <v>432</v>
      </c>
      <c r="GN37" s="2" t="s">
        <v>481</v>
      </c>
      <c r="GO37" s="2" t="s">
        <v>481</v>
      </c>
      <c r="GP37" s="2" t="s">
        <v>642</v>
      </c>
      <c r="GQ37" s="2" t="s">
        <v>433</v>
      </c>
      <c r="GR37" s="2" t="s">
        <v>433</v>
      </c>
      <c r="GS37" s="2" t="s">
        <v>433</v>
      </c>
      <c r="GT37" s="2" t="s">
        <v>432</v>
      </c>
      <c r="GU37" s="2" t="s">
        <v>432</v>
      </c>
      <c r="GV37" s="2" t="s">
        <v>432</v>
      </c>
      <c r="GW37" s="2" t="s">
        <v>432</v>
      </c>
      <c r="GX37" s="2" t="s">
        <v>432</v>
      </c>
      <c r="GZ37" s="2" t="s">
        <v>557</v>
      </c>
      <c r="HA37" s="2" t="s">
        <v>433</v>
      </c>
      <c r="HB37" s="2" t="s">
        <v>433</v>
      </c>
      <c r="HC37" s="2" t="s">
        <v>432</v>
      </c>
      <c r="HD37" s="2" t="s">
        <v>432</v>
      </c>
      <c r="HE37" s="2" t="s">
        <v>432</v>
      </c>
      <c r="HF37" s="2" t="s">
        <v>432</v>
      </c>
      <c r="HI37" s="2" t="s">
        <v>601</v>
      </c>
      <c r="HJ37" s="2" t="s">
        <v>1117</v>
      </c>
      <c r="HK37" s="2" t="s">
        <v>432</v>
      </c>
      <c r="HL37" s="2" t="s">
        <v>432</v>
      </c>
      <c r="HM37" s="2" t="s">
        <v>433</v>
      </c>
      <c r="HN37" s="2" t="s">
        <v>432</v>
      </c>
      <c r="HO37" s="2" t="s">
        <v>432</v>
      </c>
      <c r="HP37" s="2" t="s">
        <v>433</v>
      </c>
      <c r="HQ37" s="2" t="s">
        <v>432</v>
      </c>
      <c r="HR37" s="2" t="s">
        <v>432</v>
      </c>
      <c r="HS37" s="2" t="s">
        <v>432</v>
      </c>
      <c r="HT37" s="2" t="s">
        <v>432</v>
      </c>
      <c r="IN37" s="2" t="s">
        <v>476</v>
      </c>
      <c r="IO37" s="2" t="s">
        <v>1118</v>
      </c>
      <c r="IP37" s="2" t="s">
        <v>432</v>
      </c>
      <c r="IQ37" s="2" t="s">
        <v>433</v>
      </c>
      <c r="IR37" s="2" t="s">
        <v>432</v>
      </c>
      <c r="IS37" s="2" t="s">
        <v>432</v>
      </c>
      <c r="IT37" s="2" t="s">
        <v>433</v>
      </c>
      <c r="IU37" s="2" t="s">
        <v>433</v>
      </c>
      <c r="IV37" s="2" t="s">
        <v>432</v>
      </c>
      <c r="IW37" s="2" t="s">
        <v>432</v>
      </c>
      <c r="IX37" s="2" t="s">
        <v>432</v>
      </c>
      <c r="IY37" s="2" t="s">
        <v>432</v>
      </c>
      <c r="JA37" s="2" t="s">
        <v>580</v>
      </c>
      <c r="JB37" s="2" t="s">
        <v>432</v>
      </c>
      <c r="JC37" s="2" t="s">
        <v>433</v>
      </c>
      <c r="JD37" s="2" t="s">
        <v>433</v>
      </c>
      <c r="JE37" s="2" t="s">
        <v>432</v>
      </c>
      <c r="JF37" s="2" t="s">
        <v>432</v>
      </c>
      <c r="JG37" s="2" t="s">
        <v>432</v>
      </c>
      <c r="JT37" s="2" t="s">
        <v>1119</v>
      </c>
      <c r="JU37" s="2" t="s">
        <v>433</v>
      </c>
      <c r="JV37" s="2" t="s">
        <v>432</v>
      </c>
      <c r="JW37" s="2" t="s">
        <v>433</v>
      </c>
      <c r="JX37" s="2" t="s">
        <v>433</v>
      </c>
      <c r="JY37" s="2" t="s">
        <v>432</v>
      </c>
      <c r="JZ37" s="2" t="s">
        <v>432</v>
      </c>
      <c r="KA37" s="2" t="s">
        <v>432</v>
      </c>
      <c r="KB37" s="2" t="s">
        <v>432</v>
      </c>
      <c r="KC37" s="2" t="s">
        <v>432</v>
      </c>
      <c r="KF37" s="2" t="s">
        <v>430</v>
      </c>
      <c r="KG37" s="2" t="s">
        <v>1120</v>
      </c>
      <c r="KH37" s="2" t="s">
        <v>433</v>
      </c>
      <c r="KI37" s="2" t="s">
        <v>432</v>
      </c>
      <c r="KJ37" s="2" t="s">
        <v>432</v>
      </c>
      <c r="KK37" s="2" t="s">
        <v>432</v>
      </c>
      <c r="KL37" s="2" t="s">
        <v>432</v>
      </c>
      <c r="KM37" s="2" t="s">
        <v>432</v>
      </c>
      <c r="KN37" s="2" t="s">
        <v>432</v>
      </c>
      <c r="KO37" s="2" t="s">
        <v>432</v>
      </c>
      <c r="KP37" s="2" t="s">
        <v>432</v>
      </c>
      <c r="KQ37" s="2" t="s">
        <v>432</v>
      </c>
      <c r="KR37" s="2" t="s">
        <v>432</v>
      </c>
      <c r="LB37" s="2" t="s">
        <v>456</v>
      </c>
      <c r="LP37" s="2" t="s">
        <v>430</v>
      </c>
      <c r="LR37" s="2" t="s">
        <v>843</v>
      </c>
      <c r="LS37" s="2">
        <v>169457767</v>
      </c>
      <c r="LT37" s="2" t="s">
        <v>1121</v>
      </c>
      <c r="LU37" s="2" t="s">
        <v>1122</v>
      </c>
      <c r="LW37" s="2" t="s">
        <v>460</v>
      </c>
      <c r="LX37" s="2" t="s">
        <v>461</v>
      </c>
      <c r="LY37" s="2" t="s">
        <v>462</v>
      </c>
      <c r="MA37" s="2">
        <v>38</v>
      </c>
    </row>
    <row r="38" spans="1:339" x14ac:dyDescent="0.3">
      <c r="A38" s="2" t="s">
        <v>1123</v>
      </c>
      <c r="B38" s="2" t="s">
        <v>1124</v>
      </c>
      <c r="C38" s="2" t="s">
        <v>1112</v>
      </c>
      <c r="F38" s="2" t="s">
        <v>422</v>
      </c>
      <c r="G38" s="2" t="s">
        <v>429</v>
      </c>
      <c r="H38" s="2" t="s">
        <v>429</v>
      </c>
      <c r="I38" s="2" t="s">
        <v>1125</v>
      </c>
      <c r="R38" s="2" t="s">
        <v>422</v>
      </c>
      <c r="S38" s="2" t="s">
        <v>805</v>
      </c>
      <c r="T38" s="2" t="s">
        <v>426</v>
      </c>
      <c r="Z38" s="2" t="s">
        <v>428</v>
      </c>
      <c r="AA38" s="2" t="s">
        <v>429</v>
      </c>
      <c r="AB38" s="2" t="s">
        <v>1126</v>
      </c>
      <c r="AG38" s="2" t="s">
        <v>456</v>
      </c>
      <c r="BQ38" s="2" t="s">
        <v>456</v>
      </c>
      <c r="DZ38" s="2" t="s">
        <v>1127</v>
      </c>
      <c r="EA38" s="2" t="s">
        <v>433</v>
      </c>
      <c r="EB38" s="2" t="s">
        <v>433</v>
      </c>
      <c r="EC38" s="2" t="s">
        <v>432</v>
      </c>
      <c r="ED38" s="2" t="s">
        <v>432</v>
      </c>
      <c r="EE38" s="2" t="s">
        <v>432</v>
      </c>
      <c r="EF38" s="2" t="s">
        <v>432</v>
      </c>
      <c r="EG38" s="2" t="s">
        <v>432</v>
      </c>
      <c r="EH38" s="2" t="s">
        <v>432</v>
      </c>
      <c r="EI38" s="2" t="s">
        <v>432</v>
      </c>
      <c r="EL38" s="2" t="s">
        <v>1128</v>
      </c>
      <c r="EM38" s="2" t="s">
        <v>432</v>
      </c>
      <c r="EN38" s="2" t="s">
        <v>433</v>
      </c>
      <c r="EO38" s="2" t="s">
        <v>432</v>
      </c>
      <c r="EP38" s="2" t="s">
        <v>432</v>
      </c>
      <c r="EQ38" s="2" t="s">
        <v>432</v>
      </c>
      <c r="ER38" s="2" t="s">
        <v>433</v>
      </c>
      <c r="ES38" s="2" t="s">
        <v>432</v>
      </c>
      <c r="ET38" s="2" t="s">
        <v>432</v>
      </c>
      <c r="EU38" s="2" t="s">
        <v>432</v>
      </c>
      <c r="EV38" s="2" t="s">
        <v>432</v>
      </c>
      <c r="EX38" s="2" t="s">
        <v>430</v>
      </c>
      <c r="EY38" s="2" t="s">
        <v>1129</v>
      </c>
      <c r="EZ38" s="2" t="s">
        <v>432</v>
      </c>
      <c r="FA38" s="2" t="s">
        <v>432</v>
      </c>
      <c r="FB38" s="2" t="s">
        <v>432</v>
      </c>
      <c r="FC38" s="2" t="s">
        <v>432</v>
      </c>
      <c r="FD38" s="2" t="s">
        <v>433</v>
      </c>
      <c r="FE38" s="2" t="s">
        <v>433</v>
      </c>
      <c r="FF38" s="2" t="s">
        <v>432</v>
      </c>
      <c r="FG38" s="2" t="s">
        <v>432</v>
      </c>
      <c r="FH38" s="2" t="s">
        <v>432</v>
      </c>
      <c r="FI38" s="2" t="s">
        <v>432</v>
      </c>
      <c r="FJ38" s="2" t="s">
        <v>432</v>
      </c>
      <c r="FK38" s="2" t="s">
        <v>432</v>
      </c>
      <c r="FL38" s="2" t="s">
        <v>432</v>
      </c>
      <c r="FM38" s="2" t="s">
        <v>432</v>
      </c>
      <c r="FO38" s="2" t="s">
        <v>508</v>
      </c>
      <c r="FP38" s="2" t="s">
        <v>508</v>
      </c>
      <c r="FQ38" s="2" t="s">
        <v>482</v>
      </c>
      <c r="FR38" s="2" t="s">
        <v>432</v>
      </c>
      <c r="FS38" s="2" t="s">
        <v>433</v>
      </c>
      <c r="FT38" s="2" t="s">
        <v>432</v>
      </c>
      <c r="FU38" s="2" t="s">
        <v>432</v>
      </c>
      <c r="FV38" s="2" t="s">
        <v>432</v>
      </c>
      <c r="FW38" s="2" t="s">
        <v>432</v>
      </c>
      <c r="FX38" s="2" t="s">
        <v>432</v>
      </c>
      <c r="FY38" s="2" t="s">
        <v>432</v>
      </c>
      <c r="GA38" s="2" t="s">
        <v>483</v>
      </c>
      <c r="GB38" s="2" t="s">
        <v>483</v>
      </c>
      <c r="GC38" s="2" t="s">
        <v>1130</v>
      </c>
      <c r="GD38" s="2" t="s">
        <v>433</v>
      </c>
      <c r="GE38" s="2" t="s">
        <v>433</v>
      </c>
      <c r="GF38" s="2" t="s">
        <v>432</v>
      </c>
      <c r="GG38" s="2" t="s">
        <v>433</v>
      </c>
      <c r="GH38" s="2" t="s">
        <v>432</v>
      </c>
      <c r="GI38" s="2" t="s">
        <v>432</v>
      </c>
      <c r="GJ38" s="2" t="s">
        <v>432</v>
      </c>
      <c r="GK38" s="2" t="s">
        <v>432</v>
      </c>
      <c r="GL38" s="2" t="s">
        <v>432</v>
      </c>
      <c r="GN38" s="2" t="s">
        <v>442</v>
      </c>
      <c r="GO38" s="2" t="s">
        <v>442</v>
      </c>
      <c r="GP38" s="2" t="s">
        <v>642</v>
      </c>
      <c r="GQ38" s="2" t="s">
        <v>433</v>
      </c>
      <c r="GR38" s="2" t="s">
        <v>433</v>
      </c>
      <c r="GS38" s="2" t="s">
        <v>433</v>
      </c>
      <c r="GT38" s="2" t="s">
        <v>432</v>
      </c>
      <c r="GU38" s="2" t="s">
        <v>432</v>
      </c>
      <c r="GV38" s="2" t="s">
        <v>432</v>
      </c>
      <c r="GW38" s="2" t="s">
        <v>432</v>
      </c>
      <c r="GX38" s="2" t="s">
        <v>432</v>
      </c>
      <c r="GZ38" s="2" t="s">
        <v>1009</v>
      </c>
      <c r="HA38" s="2" t="s">
        <v>433</v>
      </c>
      <c r="HB38" s="2" t="s">
        <v>433</v>
      </c>
      <c r="HC38" s="2" t="s">
        <v>433</v>
      </c>
      <c r="HD38" s="2" t="s">
        <v>432</v>
      </c>
      <c r="HE38" s="2" t="s">
        <v>432</v>
      </c>
      <c r="HF38" s="2" t="s">
        <v>432</v>
      </c>
      <c r="HI38" s="2" t="s">
        <v>601</v>
      </c>
      <c r="HJ38" s="2" t="s">
        <v>532</v>
      </c>
      <c r="HK38" s="2" t="s">
        <v>432</v>
      </c>
      <c r="HL38" s="2" t="s">
        <v>432</v>
      </c>
      <c r="HM38" s="2" t="s">
        <v>432</v>
      </c>
      <c r="HN38" s="2" t="s">
        <v>432</v>
      </c>
      <c r="HO38" s="2" t="s">
        <v>433</v>
      </c>
      <c r="HP38" s="2" t="s">
        <v>432</v>
      </c>
      <c r="HQ38" s="2" t="s">
        <v>432</v>
      </c>
      <c r="HR38" s="2" t="s">
        <v>432</v>
      </c>
      <c r="HS38" s="2" t="s">
        <v>432</v>
      </c>
      <c r="HT38" s="2" t="s">
        <v>432</v>
      </c>
      <c r="IN38" s="2" t="s">
        <v>433</v>
      </c>
      <c r="IO38" s="2" t="s">
        <v>514</v>
      </c>
      <c r="IP38" s="2" t="s">
        <v>432</v>
      </c>
      <c r="IQ38" s="2" t="s">
        <v>433</v>
      </c>
      <c r="IR38" s="2" t="s">
        <v>433</v>
      </c>
      <c r="IS38" s="2" t="s">
        <v>432</v>
      </c>
      <c r="IT38" s="2" t="s">
        <v>433</v>
      </c>
      <c r="IU38" s="2" t="s">
        <v>432</v>
      </c>
      <c r="IV38" s="2" t="s">
        <v>432</v>
      </c>
      <c r="IW38" s="2" t="s">
        <v>432</v>
      </c>
      <c r="IX38" s="2" t="s">
        <v>432</v>
      </c>
      <c r="IY38" s="2" t="s">
        <v>432</v>
      </c>
      <c r="JA38" s="2" t="s">
        <v>491</v>
      </c>
      <c r="JB38" s="2" t="s">
        <v>432</v>
      </c>
      <c r="JC38" s="2" t="s">
        <v>433</v>
      </c>
      <c r="JD38" s="2" t="s">
        <v>432</v>
      </c>
      <c r="JE38" s="2" t="s">
        <v>432</v>
      </c>
      <c r="JF38" s="2" t="s">
        <v>432</v>
      </c>
      <c r="JG38" s="2" t="s">
        <v>432</v>
      </c>
      <c r="JT38" s="2" t="s">
        <v>1131</v>
      </c>
      <c r="JU38" s="2" t="s">
        <v>432</v>
      </c>
      <c r="JV38" s="2" t="s">
        <v>432</v>
      </c>
      <c r="JW38" s="2" t="s">
        <v>433</v>
      </c>
      <c r="JX38" s="2" t="s">
        <v>432</v>
      </c>
      <c r="JY38" s="2" t="s">
        <v>432</v>
      </c>
      <c r="JZ38" s="2" t="s">
        <v>433</v>
      </c>
      <c r="KA38" s="2" t="s">
        <v>432</v>
      </c>
      <c r="KB38" s="2" t="s">
        <v>432</v>
      </c>
      <c r="KC38" s="2" t="s">
        <v>432</v>
      </c>
      <c r="KF38" s="2" t="s">
        <v>430</v>
      </c>
      <c r="KG38" s="2" t="s">
        <v>1132</v>
      </c>
      <c r="KH38" s="2" t="s">
        <v>433</v>
      </c>
      <c r="KI38" s="2" t="s">
        <v>432</v>
      </c>
      <c r="KJ38" s="2" t="s">
        <v>432</v>
      </c>
      <c r="KK38" s="2" t="s">
        <v>432</v>
      </c>
      <c r="KL38" s="2" t="s">
        <v>432</v>
      </c>
      <c r="KM38" s="2" t="s">
        <v>432</v>
      </c>
      <c r="KN38" s="2" t="s">
        <v>433</v>
      </c>
      <c r="KO38" s="2" t="s">
        <v>432</v>
      </c>
      <c r="KP38" s="2" t="s">
        <v>432</v>
      </c>
      <c r="KQ38" s="2" t="s">
        <v>432</v>
      </c>
      <c r="KR38" s="2" t="s">
        <v>432</v>
      </c>
      <c r="LB38" s="2" t="s">
        <v>456</v>
      </c>
      <c r="LP38" s="2" t="s">
        <v>430</v>
      </c>
      <c r="LR38" s="2" t="s">
        <v>816</v>
      </c>
      <c r="LS38" s="2">
        <v>169469469</v>
      </c>
      <c r="LT38" s="2" t="s">
        <v>1133</v>
      </c>
      <c r="LU38" s="2" t="s">
        <v>1134</v>
      </c>
      <c r="LW38" s="2" t="s">
        <v>460</v>
      </c>
      <c r="LX38" s="2" t="s">
        <v>461</v>
      </c>
      <c r="LY38" s="2" t="s">
        <v>462</v>
      </c>
      <c r="MA38" s="2">
        <v>39</v>
      </c>
    </row>
    <row r="39" spans="1:339" x14ac:dyDescent="0.3">
      <c r="A39" s="2" t="s">
        <v>1135</v>
      </c>
      <c r="B39" s="2" t="s">
        <v>1136</v>
      </c>
      <c r="C39" s="2" t="s">
        <v>1112</v>
      </c>
      <c r="F39" s="2" t="s">
        <v>422</v>
      </c>
      <c r="G39" s="2" t="s">
        <v>429</v>
      </c>
      <c r="H39" s="2" t="s">
        <v>429</v>
      </c>
      <c r="I39" s="2" t="s">
        <v>1137</v>
      </c>
      <c r="R39" s="2" t="s">
        <v>422</v>
      </c>
      <c r="S39" s="2" t="s">
        <v>590</v>
      </c>
      <c r="T39" s="2" t="s">
        <v>426</v>
      </c>
      <c r="Z39" s="2" t="s">
        <v>428</v>
      </c>
      <c r="AA39" s="2" t="s">
        <v>429</v>
      </c>
      <c r="AB39" s="2" t="s">
        <v>633</v>
      </c>
      <c r="AG39" s="2" t="s">
        <v>456</v>
      </c>
      <c r="BQ39" s="2" t="s">
        <v>456</v>
      </c>
      <c r="DZ39" s="2" t="s">
        <v>551</v>
      </c>
      <c r="EA39" s="2" t="s">
        <v>432</v>
      </c>
      <c r="EB39" s="2" t="s">
        <v>433</v>
      </c>
      <c r="EC39" s="2" t="s">
        <v>432</v>
      </c>
      <c r="ED39" s="2" t="s">
        <v>432</v>
      </c>
      <c r="EE39" s="2" t="s">
        <v>432</v>
      </c>
      <c r="EF39" s="2" t="s">
        <v>432</v>
      </c>
      <c r="EG39" s="2" t="s">
        <v>432</v>
      </c>
      <c r="EH39" s="2" t="s">
        <v>432</v>
      </c>
      <c r="EI39" s="2" t="s">
        <v>432</v>
      </c>
      <c r="EL39" s="2" t="s">
        <v>1114</v>
      </c>
      <c r="EM39" s="2" t="s">
        <v>432</v>
      </c>
      <c r="EN39" s="2" t="s">
        <v>433</v>
      </c>
      <c r="EO39" s="2" t="s">
        <v>432</v>
      </c>
      <c r="EP39" s="2" t="s">
        <v>432</v>
      </c>
      <c r="EQ39" s="2" t="s">
        <v>432</v>
      </c>
      <c r="ER39" s="2" t="s">
        <v>432</v>
      </c>
      <c r="ES39" s="2" t="s">
        <v>432</v>
      </c>
      <c r="ET39" s="2" t="s">
        <v>432</v>
      </c>
      <c r="EU39" s="2" t="s">
        <v>432</v>
      </c>
      <c r="EV39" s="2" t="s">
        <v>432</v>
      </c>
      <c r="EX39" s="2" t="s">
        <v>430</v>
      </c>
      <c r="EY39" s="2" t="s">
        <v>1138</v>
      </c>
      <c r="EZ39" s="2" t="s">
        <v>433</v>
      </c>
      <c r="FA39" s="2" t="s">
        <v>432</v>
      </c>
      <c r="FB39" s="2" t="s">
        <v>432</v>
      </c>
      <c r="FC39" s="2" t="s">
        <v>432</v>
      </c>
      <c r="FD39" s="2" t="s">
        <v>433</v>
      </c>
      <c r="FE39" s="2" t="s">
        <v>432</v>
      </c>
      <c r="FF39" s="2" t="s">
        <v>432</v>
      </c>
      <c r="FG39" s="2" t="s">
        <v>432</v>
      </c>
      <c r="FH39" s="2" t="s">
        <v>432</v>
      </c>
      <c r="FI39" s="2" t="s">
        <v>432</v>
      </c>
      <c r="FJ39" s="2" t="s">
        <v>432</v>
      </c>
      <c r="FK39" s="2" t="s">
        <v>432</v>
      </c>
      <c r="FL39" s="2" t="s">
        <v>432</v>
      </c>
      <c r="FM39" s="2" t="s">
        <v>432</v>
      </c>
      <c r="FO39" s="2" t="s">
        <v>601</v>
      </c>
      <c r="FP39" s="2" t="s">
        <v>508</v>
      </c>
      <c r="FQ39" s="2" t="s">
        <v>482</v>
      </c>
      <c r="FR39" s="2" t="s">
        <v>432</v>
      </c>
      <c r="FS39" s="2" t="s">
        <v>433</v>
      </c>
      <c r="FT39" s="2" t="s">
        <v>432</v>
      </c>
      <c r="FU39" s="2" t="s">
        <v>432</v>
      </c>
      <c r="FV39" s="2" t="s">
        <v>432</v>
      </c>
      <c r="FW39" s="2" t="s">
        <v>432</v>
      </c>
      <c r="FX39" s="2" t="s">
        <v>432</v>
      </c>
      <c r="FY39" s="2" t="s">
        <v>432</v>
      </c>
      <c r="GA39" s="2" t="s">
        <v>509</v>
      </c>
      <c r="GB39" s="2" t="s">
        <v>483</v>
      </c>
      <c r="GC39" s="2" t="s">
        <v>510</v>
      </c>
      <c r="GD39" s="2" t="s">
        <v>432</v>
      </c>
      <c r="GE39" s="2" t="s">
        <v>433</v>
      </c>
      <c r="GF39" s="2" t="s">
        <v>432</v>
      </c>
      <c r="GG39" s="2" t="s">
        <v>433</v>
      </c>
      <c r="GH39" s="2" t="s">
        <v>433</v>
      </c>
      <c r="GI39" s="2" t="s">
        <v>432</v>
      </c>
      <c r="GJ39" s="2" t="s">
        <v>432</v>
      </c>
      <c r="GK39" s="2" t="s">
        <v>432</v>
      </c>
      <c r="GL39" s="2" t="s">
        <v>432</v>
      </c>
      <c r="GN39" s="2" t="s">
        <v>601</v>
      </c>
      <c r="GO39" s="2" t="s">
        <v>601</v>
      </c>
      <c r="GP39" s="2" t="s">
        <v>733</v>
      </c>
      <c r="GQ39" s="2" t="s">
        <v>433</v>
      </c>
      <c r="GR39" s="2" t="s">
        <v>433</v>
      </c>
      <c r="GS39" s="2" t="s">
        <v>432</v>
      </c>
      <c r="GT39" s="2" t="s">
        <v>433</v>
      </c>
      <c r="GU39" s="2" t="s">
        <v>432</v>
      </c>
      <c r="GV39" s="2" t="s">
        <v>432</v>
      </c>
      <c r="GW39" s="2" t="s">
        <v>432</v>
      </c>
      <c r="GX39" s="2" t="s">
        <v>432</v>
      </c>
      <c r="GZ39" s="2" t="s">
        <v>557</v>
      </c>
      <c r="HA39" s="2" t="s">
        <v>433</v>
      </c>
      <c r="HB39" s="2" t="s">
        <v>433</v>
      </c>
      <c r="HC39" s="2" t="s">
        <v>432</v>
      </c>
      <c r="HD39" s="2" t="s">
        <v>432</v>
      </c>
      <c r="HE39" s="2" t="s">
        <v>432</v>
      </c>
      <c r="HF39" s="2" t="s">
        <v>432</v>
      </c>
      <c r="HI39" s="2" t="s">
        <v>456</v>
      </c>
      <c r="HV39" s="2" t="s">
        <v>430</v>
      </c>
      <c r="IN39" s="2" t="s">
        <v>433</v>
      </c>
      <c r="IO39" s="2" t="s">
        <v>1139</v>
      </c>
      <c r="IP39" s="2" t="s">
        <v>432</v>
      </c>
      <c r="IQ39" s="2" t="s">
        <v>433</v>
      </c>
      <c r="IR39" s="2" t="s">
        <v>432</v>
      </c>
      <c r="IS39" s="2" t="s">
        <v>433</v>
      </c>
      <c r="IT39" s="2" t="s">
        <v>433</v>
      </c>
      <c r="IU39" s="2" t="s">
        <v>432</v>
      </c>
      <c r="IV39" s="2" t="s">
        <v>432</v>
      </c>
      <c r="IW39" s="2" t="s">
        <v>432</v>
      </c>
      <c r="IX39" s="2" t="s">
        <v>432</v>
      </c>
      <c r="IY39" s="2" t="s">
        <v>432</v>
      </c>
      <c r="JA39" s="2" t="s">
        <v>491</v>
      </c>
      <c r="JB39" s="2" t="s">
        <v>432</v>
      </c>
      <c r="JC39" s="2" t="s">
        <v>433</v>
      </c>
      <c r="JD39" s="2" t="s">
        <v>432</v>
      </c>
      <c r="JE39" s="2" t="s">
        <v>432</v>
      </c>
      <c r="JF39" s="2" t="s">
        <v>432</v>
      </c>
      <c r="JG39" s="2" t="s">
        <v>432</v>
      </c>
      <c r="JT39" s="2" t="s">
        <v>1131</v>
      </c>
      <c r="JU39" s="2" t="s">
        <v>432</v>
      </c>
      <c r="JV39" s="2" t="s">
        <v>432</v>
      </c>
      <c r="JW39" s="2" t="s">
        <v>433</v>
      </c>
      <c r="JX39" s="2" t="s">
        <v>432</v>
      </c>
      <c r="JY39" s="2" t="s">
        <v>432</v>
      </c>
      <c r="JZ39" s="2" t="s">
        <v>433</v>
      </c>
      <c r="KA39" s="2" t="s">
        <v>432</v>
      </c>
      <c r="KB39" s="2" t="s">
        <v>432</v>
      </c>
      <c r="KC39" s="2" t="s">
        <v>432</v>
      </c>
      <c r="KF39" s="2" t="s">
        <v>456</v>
      </c>
      <c r="LB39" s="2" t="s">
        <v>456</v>
      </c>
      <c r="LP39" s="2" t="s">
        <v>456</v>
      </c>
      <c r="LR39" s="2" t="s">
        <v>816</v>
      </c>
      <c r="LS39" s="2">
        <v>169469480</v>
      </c>
      <c r="LT39" s="2" t="s">
        <v>1140</v>
      </c>
      <c r="LU39" s="2" t="s">
        <v>1141</v>
      </c>
      <c r="LW39" s="2" t="s">
        <v>460</v>
      </c>
      <c r="LX39" s="2" t="s">
        <v>461</v>
      </c>
      <c r="LY39" s="2" t="s">
        <v>462</v>
      </c>
      <c r="MA39" s="2">
        <v>40</v>
      </c>
    </row>
    <row r="40" spans="1:339" x14ac:dyDescent="0.3">
      <c r="A40" s="2" t="s">
        <v>1142</v>
      </c>
      <c r="B40" s="2" t="s">
        <v>1143</v>
      </c>
      <c r="C40" s="2" t="s">
        <v>1112</v>
      </c>
      <c r="F40" s="2" t="s">
        <v>422</v>
      </c>
      <c r="G40" s="2" t="s">
        <v>633</v>
      </c>
      <c r="H40" s="2" t="s">
        <v>633</v>
      </c>
      <c r="I40" s="2" t="s">
        <v>427</v>
      </c>
      <c r="J40" s="2" t="s">
        <v>1144</v>
      </c>
      <c r="R40" s="2" t="s">
        <v>422</v>
      </c>
      <c r="S40" s="2" t="s">
        <v>614</v>
      </c>
      <c r="T40" s="2" t="s">
        <v>503</v>
      </c>
      <c r="AG40" s="2" t="s">
        <v>456</v>
      </c>
      <c r="BQ40" s="2" t="s">
        <v>430</v>
      </c>
      <c r="BR40" s="2" t="s">
        <v>1145</v>
      </c>
      <c r="BS40" s="2" t="s">
        <v>433</v>
      </c>
      <c r="BT40" s="2" t="s">
        <v>432</v>
      </c>
      <c r="BU40" s="2" t="s">
        <v>432</v>
      </c>
      <c r="BV40" s="2" t="s">
        <v>432</v>
      </c>
      <c r="BW40" s="2" t="s">
        <v>432</v>
      </c>
      <c r="BX40" s="2" t="s">
        <v>433</v>
      </c>
      <c r="BY40" s="2" t="s">
        <v>432</v>
      </c>
      <c r="BZ40" s="2" t="s">
        <v>432</v>
      </c>
      <c r="CA40" s="2" t="s">
        <v>432</v>
      </c>
      <c r="CB40" s="2" t="s">
        <v>432</v>
      </c>
      <c r="CC40" s="2" t="s">
        <v>433</v>
      </c>
      <c r="CD40" s="2" t="s">
        <v>432</v>
      </c>
      <c r="CE40" s="2" t="s">
        <v>432</v>
      </c>
      <c r="CF40" s="2" t="s">
        <v>432</v>
      </c>
      <c r="CG40" s="2" t="s">
        <v>432</v>
      </c>
      <c r="CI40" s="2" t="s">
        <v>1146</v>
      </c>
      <c r="CJ40" s="2" t="s">
        <v>433</v>
      </c>
      <c r="CK40" s="2" t="s">
        <v>432</v>
      </c>
      <c r="CL40" s="2" t="s">
        <v>432</v>
      </c>
      <c r="CM40" s="2" t="s">
        <v>432</v>
      </c>
      <c r="CN40" s="2" t="s">
        <v>432</v>
      </c>
      <c r="CO40" s="2" t="s">
        <v>432</v>
      </c>
      <c r="CP40" s="2" t="s">
        <v>433</v>
      </c>
      <c r="CQ40" s="2" t="s">
        <v>433</v>
      </c>
      <c r="CR40" s="2" t="s">
        <v>432</v>
      </c>
      <c r="CS40" s="2" t="s">
        <v>432</v>
      </c>
      <c r="CT40" s="2" t="s">
        <v>432</v>
      </c>
      <c r="CU40" s="2" t="s">
        <v>432</v>
      </c>
      <c r="CV40" s="2" t="s">
        <v>432</v>
      </c>
      <c r="CW40" s="2" t="s">
        <v>432</v>
      </c>
      <c r="CY40" s="2" t="s">
        <v>433</v>
      </c>
      <c r="CZ40" s="2" t="s">
        <v>436</v>
      </c>
      <c r="DB40" s="2" t="s">
        <v>1147</v>
      </c>
      <c r="DC40" s="2" t="s">
        <v>433</v>
      </c>
      <c r="DD40" s="2" t="s">
        <v>432</v>
      </c>
      <c r="DE40" s="2" t="s">
        <v>432</v>
      </c>
      <c r="DF40" s="2" t="s">
        <v>433</v>
      </c>
      <c r="DG40" s="2" t="s">
        <v>432</v>
      </c>
      <c r="DH40" s="2" t="s">
        <v>432</v>
      </c>
      <c r="DI40" s="2" t="s">
        <v>433</v>
      </c>
      <c r="DJ40" s="2" t="s">
        <v>432</v>
      </c>
      <c r="DK40" s="2" t="s">
        <v>432</v>
      </c>
      <c r="DL40" s="2" t="s">
        <v>432</v>
      </c>
      <c r="DZ40" s="2" t="s">
        <v>1087</v>
      </c>
      <c r="EA40" s="2" t="s">
        <v>433</v>
      </c>
      <c r="EB40" s="2" t="s">
        <v>433</v>
      </c>
      <c r="EC40" s="2" t="s">
        <v>433</v>
      </c>
      <c r="ED40" s="2" t="s">
        <v>433</v>
      </c>
      <c r="EE40" s="2" t="s">
        <v>433</v>
      </c>
      <c r="EF40" s="2" t="s">
        <v>433</v>
      </c>
      <c r="EG40" s="2" t="s">
        <v>432</v>
      </c>
      <c r="EH40" s="2" t="s">
        <v>432</v>
      </c>
      <c r="EI40" s="2" t="s">
        <v>432</v>
      </c>
      <c r="EL40" s="2" t="s">
        <v>1148</v>
      </c>
      <c r="EM40" s="2" t="s">
        <v>432</v>
      </c>
      <c r="EN40" s="2" t="s">
        <v>433</v>
      </c>
      <c r="EO40" s="2" t="s">
        <v>433</v>
      </c>
      <c r="EP40" s="2" t="s">
        <v>433</v>
      </c>
      <c r="EQ40" s="2" t="s">
        <v>433</v>
      </c>
      <c r="ER40" s="2" t="s">
        <v>432</v>
      </c>
      <c r="ES40" s="2" t="s">
        <v>432</v>
      </c>
      <c r="ET40" s="2" t="s">
        <v>432</v>
      </c>
      <c r="EU40" s="2" t="s">
        <v>432</v>
      </c>
      <c r="EV40" s="2" t="s">
        <v>432</v>
      </c>
      <c r="EX40" s="2" t="s">
        <v>430</v>
      </c>
      <c r="EY40" s="2" t="s">
        <v>1149</v>
      </c>
      <c r="EZ40" s="2" t="s">
        <v>433</v>
      </c>
      <c r="FA40" s="2" t="s">
        <v>432</v>
      </c>
      <c r="FB40" s="2" t="s">
        <v>433</v>
      </c>
      <c r="FC40" s="2" t="s">
        <v>433</v>
      </c>
      <c r="FD40" s="2" t="s">
        <v>433</v>
      </c>
      <c r="FE40" s="2" t="s">
        <v>433</v>
      </c>
      <c r="FF40" s="2" t="s">
        <v>433</v>
      </c>
      <c r="FG40" s="2" t="s">
        <v>433</v>
      </c>
      <c r="FH40" s="2" t="s">
        <v>433</v>
      </c>
      <c r="FI40" s="2" t="s">
        <v>433</v>
      </c>
      <c r="FJ40" s="2" t="s">
        <v>433</v>
      </c>
      <c r="FK40" s="2" t="s">
        <v>432</v>
      </c>
      <c r="FL40" s="2" t="s">
        <v>432</v>
      </c>
      <c r="FM40" s="2" t="s">
        <v>432</v>
      </c>
      <c r="FO40" s="2" t="s">
        <v>601</v>
      </c>
      <c r="FP40" s="2" t="s">
        <v>481</v>
      </c>
      <c r="FQ40" s="2" t="s">
        <v>793</v>
      </c>
      <c r="FR40" s="2" t="s">
        <v>433</v>
      </c>
      <c r="FS40" s="2" t="s">
        <v>432</v>
      </c>
      <c r="FT40" s="2" t="s">
        <v>432</v>
      </c>
      <c r="FU40" s="2" t="s">
        <v>432</v>
      </c>
      <c r="FV40" s="2" t="s">
        <v>432</v>
      </c>
      <c r="FW40" s="2" t="s">
        <v>432</v>
      </c>
      <c r="FX40" s="2" t="s">
        <v>432</v>
      </c>
      <c r="FY40" s="2" t="s">
        <v>432</v>
      </c>
      <c r="GA40" s="2" t="s">
        <v>483</v>
      </c>
      <c r="GB40" s="2" t="s">
        <v>483</v>
      </c>
      <c r="GC40" s="2" t="s">
        <v>1150</v>
      </c>
      <c r="GD40" s="2" t="s">
        <v>433</v>
      </c>
      <c r="GE40" s="2" t="s">
        <v>433</v>
      </c>
      <c r="GF40" s="2" t="s">
        <v>432</v>
      </c>
      <c r="GG40" s="2" t="s">
        <v>433</v>
      </c>
      <c r="GH40" s="2" t="s">
        <v>433</v>
      </c>
      <c r="GI40" s="2" t="s">
        <v>432</v>
      </c>
      <c r="GJ40" s="2" t="s">
        <v>433</v>
      </c>
      <c r="GK40" s="2" t="s">
        <v>432</v>
      </c>
      <c r="GL40" s="2" t="s">
        <v>432</v>
      </c>
      <c r="GN40" s="2" t="s">
        <v>481</v>
      </c>
      <c r="GO40" s="2" t="s">
        <v>481</v>
      </c>
      <c r="GP40" s="2" t="s">
        <v>733</v>
      </c>
      <c r="GQ40" s="2" t="s">
        <v>433</v>
      </c>
      <c r="GR40" s="2" t="s">
        <v>433</v>
      </c>
      <c r="GS40" s="2" t="s">
        <v>432</v>
      </c>
      <c r="GT40" s="2" t="s">
        <v>433</v>
      </c>
      <c r="GU40" s="2" t="s">
        <v>432</v>
      </c>
      <c r="GV40" s="2" t="s">
        <v>432</v>
      </c>
      <c r="GW40" s="2" t="s">
        <v>432</v>
      </c>
      <c r="GX40" s="2" t="s">
        <v>432</v>
      </c>
      <c r="GZ40" s="2" t="s">
        <v>643</v>
      </c>
      <c r="HA40" s="2" t="s">
        <v>433</v>
      </c>
      <c r="HB40" s="2" t="s">
        <v>432</v>
      </c>
      <c r="HC40" s="2" t="s">
        <v>432</v>
      </c>
      <c r="HD40" s="2" t="s">
        <v>432</v>
      </c>
      <c r="HE40" s="2" t="s">
        <v>432</v>
      </c>
      <c r="HF40" s="2" t="s">
        <v>432</v>
      </c>
      <c r="HI40" s="2" t="s">
        <v>442</v>
      </c>
      <c r="HJ40" s="2" t="s">
        <v>1091</v>
      </c>
      <c r="HK40" s="2" t="s">
        <v>433</v>
      </c>
      <c r="HL40" s="2" t="s">
        <v>433</v>
      </c>
      <c r="HM40" s="2" t="s">
        <v>433</v>
      </c>
      <c r="HN40" s="2" t="s">
        <v>432</v>
      </c>
      <c r="HO40" s="2" t="s">
        <v>433</v>
      </c>
      <c r="HP40" s="2" t="s">
        <v>433</v>
      </c>
      <c r="HQ40" s="2" t="s">
        <v>433</v>
      </c>
      <c r="HR40" s="2" t="s">
        <v>432</v>
      </c>
      <c r="HS40" s="2" t="s">
        <v>432</v>
      </c>
      <c r="HT40" s="2" t="s">
        <v>432</v>
      </c>
      <c r="HV40" s="2" t="s">
        <v>430</v>
      </c>
      <c r="HX40" s="2" t="s">
        <v>1151</v>
      </c>
      <c r="HY40" s="2" t="s">
        <v>433</v>
      </c>
      <c r="HZ40" s="2" t="s">
        <v>433</v>
      </c>
      <c r="IA40" s="2" t="s">
        <v>433</v>
      </c>
      <c r="IB40" s="2" t="s">
        <v>433</v>
      </c>
      <c r="IC40" s="2" t="s">
        <v>432</v>
      </c>
      <c r="ID40" s="2" t="s">
        <v>432</v>
      </c>
      <c r="IE40" s="2" t="s">
        <v>433</v>
      </c>
      <c r="IF40" s="2" t="s">
        <v>433</v>
      </c>
      <c r="IG40" s="2" t="s">
        <v>432</v>
      </c>
      <c r="IH40" s="2" t="s">
        <v>432</v>
      </c>
      <c r="II40" s="2" t="s">
        <v>432</v>
      </c>
      <c r="IJ40" s="2" t="s">
        <v>432</v>
      </c>
      <c r="IK40" s="2" t="s">
        <v>432</v>
      </c>
      <c r="IL40" s="2" t="s">
        <v>432</v>
      </c>
      <c r="IN40" s="2" t="s">
        <v>941</v>
      </c>
      <c r="IO40" s="2" t="s">
        <v>1152</v>
      </c>
      <c r="IP40" s="2" t="s">
        <v>433</v>
      </c>
      <c r="IQ40" s="2" t="s">
        <v>433</v>
      </c>
      <c r="IR40" s="2" t="s">
        <v>433</v>
      </c>
      <c r="IS40" s="2" t="s">
        <v>433</v>
      </c>
      <c r="IT40" s="2" t="s">
        <v>433</v>
      </c>
      <c r="IU40" s="2" t="s">
        <v>432</v>
      </c>
      <c r="IV40" s="2" t="s">
        <v>433</v>
      </c>
      <c r="IW40" s="2" t="s">
        <v>433</v>
      </c>
      <c r="IX40" s="2" t="s">
        <v>432</v>
      </c>
      <c r="IY40" s="2" t="s">
        <v>432</v>
      </c>
      <c r="JA40" s="2" t="s">
        <v>580</v>
      </c>
      <c r="JB40" s="2" t="s">
        <v>432</v>
      </c>
      <c r="JC40" s="2" t="s">
        <v>433</v>
      </c>
      <c r="JD40" s="2" t="s">
        <v>433</v>
      </c>
      <c r="JE40" s="2" t="s">
        <v>432</v>
      </c>
      <c r="JF40" s="2" t="s">
        <v>432</v>
      </c>
      <c r="JG40" s="2" t="s">
        <v>432</v>
      </c>
      <c r="JT40" s="2" t="s">
        <v>1153</v>
      </c>
      <c r="JU40" s="2" t="s">
        <v>433</v>
      </c>
      <c r="JV40" s="2" t="s">
        <v>432</v>
      </c>
      <c r="JW40" s="2" t="s">
        <v>432</v>
      </c>
      <c r="JX40" s="2" t="s">
        <v>433</v>
      </c>
      <c r="JY40" s="2" t="s">
        <v>432</v>
      </c>
      <c r="JZ40" s="2" t="s">
        <v>433</v>
      </c>
      <c r="KA40" s="2" t="s">
        <v>433</v>
      </c>
      <c r="KB40" s="2" t="s">
        <v>432</v>
      </c>
      <c r="KC40" s="2" t="s">
        <v>432</v>
      </c>
      <c r="KF40" s="2" t="s">
        <v>456</v>
      </c>
      <c r="LB40" s="2" t="s">
        <v>456</v>
      </c>
      <c r="LP40" s="2" t="s">
        <v>430</v>
      </c>
      <c r="LR40" s="2" t="s">
        <v>816</v>
      </c>
      <c r="LS40" s="2">
        <v>169587325</v>
      </c>
      <c r="LT40" s="2" t="s">
        <v>1154</v>
      </c>
      <c r="LU40" s="2" t="s">
        <v>1155</v>
      </c>
      <c r="LW40" s="2" t="s">
        <v>460</v>
      </c>
      <c r="LX40" s="2" t="s">
        <v>461</v>
      </c>
      <c r="LY40" s="2" t="s">
        <v>462</v>
      </c>
      <c r="MA40" s="2">
        <v>41</v>
      </c>
    </row>
    <row r="41" spans="1:339" x14ac:dyDescent="0.3">
      <c r="A41" s="2" t="s">
        <v>1183</v>
      </c>
      <c r="B41" s="2" t="s">
        <v>1184</v>
      </c>
      <c r="C41" s="2" t="s">
        <v>1185</v>
      </c>
      <c r="F41" s="2" t="s">
        <v>422</v>
      </c>
      <c r="G41" s="2" t="s">
        <v>466</v>
      </c>
      <c r="H41" s="2" t="s">
        <v>466</v>
      </c>
      <c r="I41" s="2" t="s">
        <v>1186</v>
      </c>
      <c r="R41" s="2" t="s">
        <v>422</v>
      </c>
      <c r="S41" s="2" t="s">
        <v>1187</v>
      </c>
      <c r="T41" s="2" t="s">
        <v>426</v>
      </c>
      <c r="Z41" s="2" t="s">
        <v>428</v>
      </c>
      <c r="AA41" s="2" t="s">
        <v>429</v>
      </c>
      <c r="AB41" s="2" t="s">
        <v>466</v>
      </c>
      <c r="AG41" s="2" t="s">
        <v>430</v>
      </c>
      <c r="AH41" s="2" t="s">
        <v>1188</v>
      </c>
      <c r="AI41" s="2" t="s">
        <v>432</v>
      </c>
      <c r="AJ41" s="2" t="s">
        <v>432</v>
      </c>
      <c r="AK41" s="2" t="s">
        <v>433</v>
      </c>
      <c r="AL41" s="2" t="s">
        <v>432</v>
      </c>
      <c r="AM41" s="2" t="s">
        <v>432</v>
      </c>
      <c r="AN41" s="2" t="s">
        <v>432</v>
      </c>
      <c r="AO41" s="2" t="s">
        <v>432</v>
      </c>
      <c r="AP41" s="2" t="s">
        <v>432</v>
      </c>
      <c r="AQ41" s="2" t="s">
        <v>432</v>
      </c>
      <c r="AR41" s="2" t="s">
        <v>432</v>
      </c>
      <c r="AS41" s="2" t="s">
        <v>432</v>
      </c>
      <c r="AT41" s="2" t="s">
        <v>433</v>
      </c>
      <c r="AU41" s="2" t="s">
        <v>432</v>
      </c>
      <c r="AV41" s="2" t="s">
        <v>432</v>
      </c>
      <c r="AW41" s="2" t="s">
        <v>1189</v>
      </c>
      <c r="AX41" s="2" t="s">
        <v>680</v>
      </c>
      <c r="AY41" s="2" t="s">
        <v>432</v>
      </c>
      <c r="AZ41" s="2" t="s">
        <v>432</v>
      </c>
      <c r="BA41" s="2" t="s">
        <v>432</v>
      </c>
      <c r="BB41" s="2" t="s">
        <v>432</v>
      </c>
      <c r="BC41" s="2" t="s">
        <v>433</v>
      </c>
      <c r="BD41" s="2" t="s">
        <v>433</v>
      </c>
      <c r="BE41" s="2" t="s">
        <v>432</v>
      </c>
      <c r="BF41" s="2" t="s">
        <v>432</v>
      </c>
      <c r="BG41" s="2" t="s">
        <v>432</v>
      </c>
      <c r="BH41" s="2" t="s">
        <v>432</v>
      </c>
      <c r="BI41" s="2" t="s">
        <v>432</v>
      </c>
      <c r="BJ41" s="2" t="s">
        <v>432</v>
      </c>
      <c r="BK41" s="2" t="s">
        <v>432</v>
      </c>
      <c r="BL41" s="2" t="s">
        <v>432</v>
      </c>
      <c r="BN41" s="2" t="s">
        <v>433</v>
      </c>
      <c r="BO41" s="2" t="s">
        <v>547</v>
      </c>
      <c r="BQ41" s="2" t="s">
        <v>430</v>
      </c>
      <c r="BR41" s="2" t="s">
        <v>1190</v>
      </c>
      <c r="BS41" s="2" t="s">
        <v>432</v>
      </c>
      <c r="BT41" s="2" t="s">
        <v>433</v>
      </c>
      <c r="BU41" s="2" t="s">
        <v>432</v>
      </c>
      <c r="BV41" s="2" t="s">
        <v>432</v>
      </c>
      <c r="BW41" s="2" t="s">
        <v>432</v>
      </c>
      <c r="BX41" s="2" t="s">
        <v>433</v>
      </c>
      <c r="BY41" s="2" t="s">
        <v>433</v>
      </c>
      <c r="BZ41" s="2" t="s">
        <v>432</v>
      </c>
      <c r="CA41" s="2" t="s">
        <v>432</v>
      </c>
      <c r="CB41" s="2" t="s">
        <v>432</v>
      </c>
      <c r="CC41" s="2" t="s">
        <v>432</v>
      </c>
      <c r="CD41" s="2" t="s">
        <v>432</v>
      </c>
      <c r="CE41" s="2" t="s">
        <v>432</v>
      </c>
      <c r="CF41" s="2" t="s">
        <v>432</v>
      </c>
      <c r="CG41" s="2" t="s">
        <v>432</v>
      </c>
      <c r="CI41" s="2" t="s">
        <v>549</v>
      </c>
      <c r="CJ41" s="2" t="s">
        <v>432</v>
      </c>
      <c r="CK41" s="2" t="s">
        <v>432</v>
      </c>
      <c r="CL41" s="2" t="s">
        <v>433</v>
      </c>
      <c r="CM41" s="2" t="s">
        <v>433</v>
      </c>
      <c r="CN41" s="2" t="s">
        <v>433</v>
      </c>
      <c r="CO41" s="2" t="s">
        <v>432</v>
      </c>
      <c r="CP41" s="2" t="s">
        <v>432</v>
      </c>
      <c r="CQ41" s="2" t="s">
        <v>432</v>
      </c>
      <c r="CR41" s="2" t="s">
        <v>432</v>
      </c>
      <c r="CS41" s="2" t="s">
        <v>432</v>
      </c>
      <c r="CT41" s="2" t="s">
        <v>432</v>
      </c>
      <c r="CU41" s="2" t="s">
        <v>432</v>
      </c>
      <c r="CV41" s="2" t="s">
        <v>432</v>
      </c>
      <c r="CW41" s="2" t="s">
        <v>432</v>
      </c>
      <c r="CY41" s="2" t="s">
        <v>433</v>
      </c>
      <c r="CZ41" s="2" t="s">
        <v>547</v>
      </c>
      <c r="DZ41" s="2" t="s">
        <v>551</v>
      </c>
      <c r="EA41" s="2" t="s">
        <v>432</v>
      </c>
      <c r="EB41" s="2" t="s">
        <v>433</v>
      </c>
      <c r="EC41" s="2" t="s">
        <v>432</v>
      </c>
      <c r="ED41" s="2" t="s">
        <v>432</v>
      </c>
      <c r="EE41" s="2" t="s">
        <v>432</v>
      </c>
      <c r="EF41" s="2" t="s">
        <v>432</v>
      </c>
      <c r="EG41" s="2" t="s">
        <v>432</v>
      </c>
      <c r="EH41" s="2" t="s">
        <v>432</v>
      </c>
      <c r="EI41" s="2" t="s">
        <v>432</v>
      </c>
      <c r="EL41" s="2" t="s">
        <v>1114</v>
      </c>
      <c r="EM41" s="2" t="s">
        <v>432</v>
      </c>
      <c r="EN41" s="2" t="s">
        <v>433</v>
      </c>
      <c r="EO41" s="2" t="s">
        <v>432</v>
      </c>
      <c r="EP41" s="2" t="s">
        <v>432</v>
      </c>
      <c r="EQ41" s="2" t="s">
        <v>432</v>
      </c>
      <c r="ER41" s="2" t="s">
        <v>432</v>
      </c>
      <c r="ES41" s="2" t="s">
        <v>432</v>
      </c>
      <c r="ET41" s="2" t="s">
        <v>432</v>
      </c>
      <c r="EU41" s="2" t="s">
        <v>432</v>
      </c>
      <c r="EV41" s="2" t="s">
        <v>432</v>
      </c>
      <c r="EX41" s="2" t="s">
        <v>430</v>
      </c>
      <c r="EY41" s="2" t="s">
        <v>1191</v>
      </c>
      <c r="EZ41" s="2" t="s">
        <v>432</v>
      </c>
      <c r="FA41" s="2" t="s">
        <v>432</v>
      </c>
      <c r="FB41" s="2" t="s">
        <v>432</v>
      </c>
      <c r="FC41" s="2" t="s">
        <v>432</v>
      </c>
      <c r="FD41" s="2" t="s">
        <v>432</v>
      </c>
      <c r="FE41" s="2" t="s">
        <v>433</v>
      </c>
      <c r="FF41" s="2" t="s">
        <v>432</v>
      </c>
      <c r="FG41" s="2" t="s">
        <v>432</v>
      </c>
      <c r="FH41" s="2" t="s">
        <v>433</v>
      </c>
      <c r="FI41" s="2" t="s">
        <v>432</v>
      </c>
      <c r="FJ41" s="2" t="s">
        <v>433</v>
      </c>
      <c r="FK41" s="2" t="s">
        <v>432</v>
      </c>
      <c r="FL41" s="2" t="s">
        <v>432</v>
      </c>
      <c r="FM41" s="2" t="s">
        <v>432</v>
      </c>
      <c r="FO41" s="2" t="s">
        <v>442</v>
      </c>
      <c r="FP41" s="2" t="s">
        <v>442</v>
      </c>
      <c r="FQ41" s="2" t="s">
        <v>793</v>
      </c>
      <c r="FR41" s="2" t="s">
        <v>433</v>
      </c>
      <c r="FS41" s="2" t="s">
        <v>432</v>
      </c>
      <c r="FT41" s="2" t="s">
        <v>432</v>
      </c>
      <c r="FU41" s="2" t="s">
        <v>432</v>
      </c>
      <c r="FV41" s="2" t="s">
        <v>432</v>
      </c>
      <c r="FW41" s="2" t="s">
        <v>432</v>
      </c>
      <c r="FX41" s="2" t="s">
        <v>432</v>
      </c>
      <c r="FY41" s="2" t="s">
        <v>432</v>
      </c>
      <c r="GA41" s="2" t="s">
        <v>444</v>
      </c>
      <c r="GB41" s="2" t="s">
        <v>444</v>
      </c>
      <c r="GC41" s="2" t="s">
        <v>1192</v>
      </c>
      <c r="GD41" s="2" t="s">
        <v>432</v>
      </c>
      <c r="GE41" s="2" t="s">
        <v>433</v>
      </c>
      <c r="GF41" s="2" t="s">
        <v>432</v>
      </c>
      <c r="GG41" s="2" t="s">
        <v>433</v>
      </c>
      <c r="GH41" s="2" t="s">
        <v>433</v>
      </c>
      <c r="GI41" s="2" t="s">
        <v>433</v>
      </c>
      <c r="GJ41" s="2" t="s">
        <v>432</v>
      </c>
      <c r="GK41" s="2" t="s">
        <v>432</v>
      </c>
      <c r="GL41" s="2" t="s">
        <v>432</v>
      </c>
      <c r="GN41" s="2" t="s">
        <v>442</v>
      </c>
      <c r="GO41" s="2" t="s">
        <v>442</v>
      </c>
      <c r="GP41" s="2" t="s">
        <v>642</v>
      </c>
      <c r="GQ41" s="2" t="s">
        <v>433</v>
      </c>
      <c r="GR41" s="2" t="s">
        <v>433</v>
      </c>
      <c r="GS41" s="2" t="s">
        <v>433</v>
      </c>
      <c r="GT41" s="2" t="s">
        <v>432</v>
      </c>
      <c r="GU41" s="2" t="s">
        <v>432</v>
      </c>
      <c r="GV41" s="2" t="s">
        <v>432</v>
      </c>
      <c r="GW41" s="2" t="s">
        <v>432</v>
      </c>
      <c r="GX41" s="2" t="s">
        <v>432</v>
      </c>
      <c r="GZ41" s="2" t="s">
        <v>577</v>
      </c>
      <c r="HA41" s="2" t="s">
        <v>432</v>
      </c>
      <c r="HB41" s="2" t="s">
        <v>433</v>
      </c>
      <c r="HC41" s="2" t="s">
        <v>432</v>
      </c>
      <c r="HD41" s="2" t="s">
        <v>432</v>
      </c>
      <c r="HE41" s="2" t="s">
        <v>432</v>
      </c>
      <c r="HF41" s="2" t="s">
        <v>432</v>
      </c>
      <c r="HI41" s="2" t="s">
        <v>456</v>
      </c>
      <c r="HV41" s="2" t="s">
        <v>430</v>
      </c>
      <c r="HX41" s="2" t="s">
        <v>1193</v>
      </c>
      <c r="HY41" s="2" t="s">
        <v>433</v>
      </c>
      <c r="HZ41" s="2" t="s">
        <v>433</v>
      </c>
      <c r="IA41" s="2" t="s">
        <v>433</v>
      </c>
      <c r="IB41" s="2" t="s">
        <v>433</v>
      </c>
      <c r="IC41" s="2" t="s">
        <v>433</v>
      </c>
      <c r="ID41" s="2" t="s">
        <v>433</v>
      </c>
      <c r="IE41" s="2" t="s">
        <v>432</v>
      </c>
      <c r="IF41" s="2" t="s">
        <v>432</v>
      </c>
      <c r="IG41" s="2" t="s">
        <v>432</v>
      </c>
      <c r="IH41" s="2" t="s">
        <v>432</v>
      </c>
      <c r="II41" s="2" t="s">
        <v>432</v>
      </c>
      <c r="IJ41" s="2" t="s">
        <v>432</v>
      </c>
      <c r="IK41" s="2" t="s">
        <v>432</v>
      </c>
      <c r="IL41" s="2" t="s">
        <v>432</v>
      </c>
      <c r="IN41" s="2" t="s">
        <v>757</v>
      </c>
      <c r="IO41" s="2" t="s">
        <v>1194</v>
      </c>
      <c r="IP41" s="2" t="s">
        <v>433</v>
      </c>
      <c r="IQ41" s="2" t="s">
        <v>433</v>
      </c>
      <c r="IR41" s="2" t="s">
        <v>433</v>
      </c>
      <c r="IS41" s="2" t="s">
        <v>432</v>
      </c>
      <c r="IT41" s="2" t="s">
        <v>433</v>
      </c>
      <c r="IU41" s="2" t="s">
        <v>433</v>
      </c>
      <c r="IV41" s="2" t="s">
        <v>432</v>
      </c>
      <c r="IW41" s="2" t="s">
        <v>432</v>
      </c>
      <c r="IX41" s="2" t="s">
        <v>432</v>
      </c>
      <c r="IY41" s="2" t="s">
        <v>432</v>
      </c>
      <c r="JA41" s="2" t="s">
        <v>491</v>
      </c>
      <c r="JB41" s="2" t="s">
        <v>432</v>
      </c>
      <c r="JC41" s="2" t="s">
        <v>433</v>
      </c>
      <c r="JD41" s="2" t="s">
        <v>432</v>
      </c>
      <c r="JE41" s="2" t="s">
        <v>432</v>
      </c>
      <c r="JF41" s="2" t="s">
        <v>432</v>
      </c>
      <c r="JG41" s="2" t="s">
        <v>432</v>
      </c>
      <c r="JT41" s="2" t="s">
        <v>492</v>
      </c>
      <c r="JU41" s="2" t="s">
        <v>433</v>
      </c>
      <c r="JV41" s="2" t="s">
        <v>432</v>
      </c>
      <c r="JW41" s="2" t="s">
        <v>432</v>
      </c>
      <c r="JX41" s="2" t="s">
        <v>433</v>
      </c>
      <c r="JY41" s="2" t="s">
        <v>432</v>
      </c>
      <c r="JZ41" s="2" t="s">
        <v>432</v>
      </c>
      <c r="KA41" s="2" t="s">
        <v>432</v>
      </c>
      <c r="KB41" s="2" t="s">
        <v>432</v>
      </c>
      <c r="KC41" s="2" t="s">
        <v>432</v>
      </c>
      <c r="KF41" s="2" t="s">
        <v>430</v>
      </c>
      <c r="KG41" s="2" t="s">
        <v>1195</v>
      </c>
      <c r="KH41" s="2" t="s">
        <v>433</v>
      </c>
      <c r="KI41" s="2" t="s">
        <v>432</v>
      </c>
      <c r="KJ41" s="2" t="s">
        <v>433</v>
      </c>
      <c r="KK41" s="2" t="s">
        <v>432</v>
      </c>
      <c r="KL41" s="2" t="s">
        <v>432</v>
      </c>
      <c r="KM41" s="2" t="s">
        <v>432</v>
      </c>
      <c r="KN41" s="2" t="s">
        <v>433</v>
      </c>
      <c r="KO41" s="2" t="s">
        <v>433</v>
      </c>
      <c r="KP41" s="2" t="s">
        <v>432</v>
      </c>
      <c r="KQ41" s="2" t="s">
        <v>432</v>
      </c>
      <c r="KR41" s="2" t="s">
        <v>432</v>
      </c>
      <c r="LB41" s="2" t="s">
        <v>456</v>
      </c>
      <c r="LP41" s="2" t="s">
        <v>430</v>
      </c>
      <c r="LR41" s="2" t="s">
        <v>1196</v>
      </c>
      <c r="LS41" s="2">
        <v>170008209</v>
      </c>
      <c r="LT41" s="2" t="s">
        <v>1197</v>
      </c>
      <c r="LU41" s="2" t="s">
        <v>1198</v>
      </c>
      <c r="LW41" s="2" t="s">
        <v>460</v>
      </c>
      <c r="LX41" s="2" t="s">
        <v>461</v>
      </c>
      <c r="LY41" s="2" t="s">
        <v>462</v>
      </c>
      <c r="MA41" s="2">
        <v>43</v>
      </c>
    </row>
    <row r="42" spans="1:339" x14ac:dyDescent="0.3">
      <c r="A42" s="2" t="s">
        <v>1227</v>
      </c>
      <c r="B42" s="2" t="s">
        <v>1228</v>
      </c>
      <c r="C42" s="2" t="s">
        <v>1185</v>
      </c>
      <c r="F42" s="2" t="s">
        <v>422</v>
      </c>
      <c r="G42" s="2" t="s">
        <v>466</v>
      </c>
      <c r="H42" s="2" t="s">
        <v>466</v>
      </c>
      <c r="I42" s="2" t="s">
        <v>1229</v>
      </c>
      <c r="R42" s="2" t="s">
        <v>422</v>
      </c>
      <c r="S42" s="2" t="s">
        <v>861</v>
      </c>
      <c r="T42" s="2" t="s">
        <v>426</v>
      </c>
      <c r="Z42" s="2" t="s">
        <v>428</v>
      </c>
      <c r="AA42" s="2" t="s">
        <v>1230</v>
      </c>
      <c r="AB42" s="2" t="s">
        <v>1230</v>
      </c>
      <c r="AG42" s="2" t="s">
        <v>430</v>
      </c>
      <c r="AH42" s="2" t="s">
        <v>470</v>
      </c>
      <c r="AI42" s="2" t="s">
        <v>432</v>
      </c>
      <c r="AJ42" s="2" t="s">
        <v>432</v>
      </c>
      <c r="AK42" s="2" t="s">
        <v>432</v>
      </c>
      <c r="AL42" s="2" t="s">
        <v>432</v>
      </c>
      <c r="AM42" s="2" t="s">
        <v>433</v>
      </c>
      <c r="AN42" s="2" t="s">
        <v>432</v>
      </c>
      <c r="AO42" s="2" t="s">
        <v>432</v>
      </c>
      <c r="AP42" s="2" t="s">
        <v>432</v>
      </c>
      <c r="AQ42" s="2" t="s">
        <v>432</v>
      </c>
      <c r="AR42" s="2" t="s">
        <v>432</v>
      </c>
      <c r="AS42" s="2" t="s">
        <v>432</v>
      </c>
      <c r="AT42" s="2" t="s">
        <v>432</v>
      </c>
      <c r="AU42" s="2" t="s">
        <v>432</v>
      </c>
      <c r="AV42" s="2" t="s">
        <v>432</v>
      </c>
      <c r="AX42" s="2" t="s">
        <v>1231</v>
      </c>
      <c r="AY42" s="2" t="s">
        <v>432</v>
      </c>
      <c r="AZ42" s="2" t="s">
        <v>432</v>
      </c>
      <c r="BA42" s="2" t="s">
        <v>433</v>
      </c>
      <c r="BB42" s="2" t="s">
        <v>433</v>
      </c>
      <c r="BC42" s="2" t="s">
        <v>433</v>
      </c>
      <c r="BD42" s="2" t="s">
        <v>432</v>
      </c>
      <c r="BE42" s="2" t="s">
        <v>433</v>
      </c>
      <c r="BF42" s="2" t="s">
        <v>433</v>
      </c>
      <c r="BG42" s="2" t="s">
        <v>432</v>
      </c>
      <c r="BH42" s="2" t="s">
        <v>432</v>
      </c>
      <c r="BI42" s="2" t="s">
        <v>432</v>
      </c>
      <c r="BJ42" s="2" t="s">
        <v>432</v>
      </c>
      <c r="BK42" s="2" t="s">
        <v>432</v>
      </c>
      <c r="BL42" s="2" t="s">
        <v>432</v>
      </c>
      <c r="BN42" s="2" t="s">
        <v>513</v>
      </c>
      <c r="BO42" s="2" t="s">
        <v>436</v>
      </c>
      <c r="BQ42" s="2" t="s">
        <v>430</v>
      </c>
      <c r="BR42" s="2" t="s">
        <v>1232</v>
      </c>
      <c r="BS42" s="2" t="s">
        <v>432</v>
      </c>
      <c r="BT42" s="2" t="s">
        <v>432</v>
      </c>
      <c r="BU42" s="2" t="s">
        <v>433</v>
      </c>
      <c r="BV42" s="2" t="s">
        <v>433</v>
      </c>
      <c r="BW42" s="2" t="s">
        <v>432</v>
      </c>
      <c r="BX42" s="2" t="s">
        <v>432</v>
      </c>
      <c r="BY42" s="2" t="s">
        <v>432</v>
      </c>
      <c r="BZ42" s="2" t="s">
        <v>432</v>
      </c>
      <c r="CA42" s="2" t="s">
        <v>432</v>
      </c>
      <c r="CB42" s="2" t="s">
        <v>432</v>
      </c>
      <c r="CC42" s="2" t="s">
        <v>433</v>
      </c>
      <c r="CD42" s="2" t="s">
        <v>433</v>
      </c>
      <c r="CE42" s="2" t="s">
        <v>432</v>
      </c>
      <c r="CF42" s="2" t="s">
        <v>432</v>
      </c>
      <c r="CG42" s="2" t="s">
        <v>432</v>
      </c>
      <c r="CI42" s="2" t="s">
        <v>1233</v>
      </c>
      <c r="CJ42" s="2" t="s">
        <v>432</v>
      </c>
      <c r="CK42" s="2" t="s">
        <v>432</v>
      </c>
      <c r="CL42" s="2" t="s">
        <v>433</v>
      </c>
      <c r="CM42" s="2" t="s">
        <v>433</v>
      </c>
      <c r="CN42" s="2" t="s">
        <v>433</v>
      </c>
      <c r="CO42" s="2" t="s">
        <v>433</v>
      </c>
      <c r="CP42" s="2" t="s">
        <v>432</v>
      </c>
      <c r="CQ42" s="2" t="s">
        <v>432</v>
      </c>
      <c r="CR42" s="2" t="s">
        <v>432</v>
      </c>
      <c r="CS42" s="2" t="s">
        <v>432</v>
      </c>
      <c r="CT42" s="2" t="s">
        <v>433</v>
      </c>
      <c r="CU42" s="2" t="s">
        <v>432</v>
      </c>
      <c r="CV42" s="2" t="s">
        <v>432</v>
      </c>
      <c r="CW42" s="2" t="s">
        <v>432</v>
      </c>
      <c r="CY42" s="2" t="s">
        <v>476</v>
      </c>
      <c r="CZ42" s="2" t="s">
        <v>436</v>
      </c>
      <c r="DB42" s="2" t="s">
        <v>1234</v>
      </c>
      <c r="DC42" s="2" t="s">
        <v>432</v>
      </c>
      <c r="DD42" s="2" t="s">
        <v>433</v>
      </c>
      <c r="DE42" s="2" t="s">
        <v>432</v>
      </c>
      <c r="DF42" s="2" t="s">
        <v>432</v>
      </c>
      <c r="DG42" s="2" t="s">
        <v>433</v>
      </c>
      <c r="DH42" s="2" t="s">
        <v>432</v>
      </c>
      <c r="DI42" s="2" t="s">
        <v>433</v>
      </c>
      <c r="DJ42" s="2" t="s">
        <v>432</v>
      </c>
      <c r="DK42" s="2" t="s">
        <v>432</v>
      </c>
      <c r="DL42" s="2" t="s">
        <v>432</v>
      </c>
      <c r="DZ42" s="2" t="s">
        <v>1235</v>
      </c>
      <c r="EA42" s="2" t="s">
        <v>433</v>
      </c>
      <c r="EB42" s="2" t="s">
        <v>433</v>
      </c>
      <c r="EC42" s="2" t="s">
        <v>433</v>
      </c>
      <c r="ED42" s="2" t="s">
        <v>433</v>
      </c>
      <c r="EE42" s="2" t="s">
        <v>433</v>
      </c>
      <c r="EF42" s="2" t="s">
        <v>432</v>
      </c>
      <c r="EG42" s="2" t="s">
        <v>432</v>
      </c>
      <c r="EH42" s="2" t="s">
        <v>432</v>
      </c>
      <c r="EI42" s="2" t="s">
        <v>432</v>
      </c>
      <c r="EL42" s="2" t="s">
        <v>1236</v>
      </c>
      <c r="EM42" s="2" t="s">
        <v>433</v>
      </c>
      <c r="EN42" s="2" t="s">
        <v>433</v>
      </c>
      <c r="EO42" s="2" t="s">
        <v>433</v>
      </c>
      <c r="EP42" s="2" t="s">
        <v>433</v>
      </c>
      <c r="EQ42" s="2" t="s">
        <v>432</v>
      </c>
      <c r="ER42" s="2" t="s">
        <v>433</v>
      </c>
      <c r="ES42" s="2" t="s">
        <v>433</v>
      </c>
      <c r="ET42" s="2" t="s">
        <v>432</v>
      </c>
      <c r="EU42" s="2" t="s">
        <v>432</v>
      </c>
      <c r="EV42" s="2" t="s">
        <v>432</v>
      </c>
      <c r="EX42" s="2" t="s">
        <v>430</v>
      </c>
      <c r="EY42" s="2" t="s">
        <v>1237</v>
      </c>
      <c r="EZ42" s="2" t="s">
        <v>433</v>
      </c>
      <c r="FA42" s="2" t="s">
        <v>432</v>
      </c>
      <c r="FB42" s="2" t="s">
        <v>432</v>
      </c>
      <c r="FC42" s="2" t="s">
        <v>433</v>
      </c>
      <c r="FD42" s="2" t="s">
        <v>432</v>
      </c>
      <c r="FE42" s="2" t="s">
        <v>433</v>
      </c>
      <c r="FF42" s="2" t="s">
        <v>432</v>
      </c>
      <c r="FG42" s="2" t="s">
        <v>432</v>
      </c>
      <c r="FH42" s="2" t="s">
        <v>433</v>
      </c>
      <c r="FI42" s="2" t="s">
        <v>432</v>
      </c>
      <c r="FJ42" s="2" t="s">
        <v>432</v>
      </c>
      <c r="FK42" s="2" t="s">
        <v>432</v>
      </c>
      <c r="FL42" s="2" t="s">
        <v>432</v>
      </c>
      <c r="FM42" s="2" t="s">
        <v>432</v>
      </c>
      <c r="FO42" s="2" t="s">
        <v>481</v>
      </c>
      <c r="FP42" s="2" t="s">
        <v>481</v>
      </c>
      <c r="FQ42" s="2" t="s">
        <v>1238</v>
      </c>
      <c r="FR42" s="2" t="s">
        <v>432</v>
      </c>
      <c r="FS42" s="2" t="s">
        <v>433</v>
      </c>
      <c r="FT42" s="2" t="s">
        <v>432</v>
      </c>
      <c r="FU42" s="2" t="s">
        <v>433</v>
      </c>
      <c r="FV42" s="2" t="s">
        <v>433</v>
      </c>
      <c r="FW42" s="2" t="s">
        <v>432</v>
      </c>
      <c r="FX42" s="2" t="s">
        <v>432</v>
      </c>
      <c r="FY42" s="2" t="s">
        <v>432</v>
      </c>
      <c r="GA42" s="2" t="s">
        <v>509</v>
      </c>
      <c r="GB42" s="2" t="s">
        <v>509</v>
      </c>
      <c r="GC42" s="2" t="s">
        <v>1239</v>
      </c>
      <c r="GD42" s="2" t="s">
        <v>433</v>
      </c>
      <c r="GE42" s="2" t="s">
        <v>433</v>
      </c>
      <c r="GF42" s="2" t="s">
        <v>432</v>
      </c>
      <c r="GG42" s="2" t="s">
        <v>433</v>
      </c>
      <c r="GH42" s="2" t="s">
        <v>433</v>
      </c>
      <c r="GI42" s="2" t="s">
        <v>433</v>
      </c>
      <c r="GJ42" s="2" t="s">
        <v>432</v>
      </c>
      <c r="GK42" s="2" t="s">
        <v>432</v>
      </c>
      <c r="GL42" s="2" t="s">
        <v>432</v>
      </c>
      <c r="GN42" s="2" t="s">
        <v>481</v>
      </c>
      <c r="GO42" s="2" t="s">
        <v>481</v>
      </c>
      <c r="GP42" s="2" t="s">
        <v>706</v>
      </c>
      <c r="GQ42" s="2" t="s">
        <v>432</v>
      </c>
      <c r="GR42" s="2" t="s">
        <v>433</v>
      </c>
      <c r="GS42" s="2" t="s">
        <v>432</v>
      </c>
      <c r="GT42" s="2" t="s">
        <v>433</v>
      </c>
      <c r="GU42" s="2" t="s">
        <v>432</v>
      </c>
      <c r="GV42" s="2" t="s">
        <v>433</v>
      </c>
      <c r="GW42" s="2" t="s">
        <v>432</v>
      </c>
      <c r="GX42" s="2" t="s">
        <v>432</v>
      </c>
      <c r="GZ42" s="2" t="s">
        <v>577</v>
      </c>
      <c r="HA42" s="2" t="s">
        <v>432</v>
      </c>
      <c r="HB42" s="2" t="s">
        <v>433</v>
      </c>
      <c r="HC42" s="2" t="s">
        <v>432</v>
      </c>
      <c r="HD42" s="2" t="s">
        <v>432</v>
      </c>
      <c r="HE42" s="2" t="s">
        <v>432</v>
      </c>
      <c r="HF42" s="2" t="s">
        <v>432</v>
      </c>
      <c r="HI42" s="2" t="s">
        <v>456</v>
      </c>
      <c r="HV42" s="2" t="s">
        <v>430</v>
      </c>
      <c r="HX42" s="2" t="s">
        <v>1240</v>
      </c>
      <c r="HY42" s="2" t="s">
        <v>432</v>
      </c>
      <c r="HZ42" s="2" t="s">
        <v>432</v>
      </c>
      <c r="IA42" s="2" t="s">
        <v>432</v>
      </c>
      <c r="IB42" s="2" t="s">
        <v>432</v>
      </c>
      <c r="IC42" s="2" t="s">
        <v>433</v>
      </c>
      <c r="ID42" s="2" t="s">
        <v>433</v>
      </c>
      <c r="IE42" s="2" t="s">
        <v>433</v>
      </c>
      <c r="IF42" s="2" t="s">
        <v>433</v>
      </c>
      <c r="IG42" s="2" t="s">
        <v>432</v>
      </c>
      <c r="IH42" s="2" t="s">
        <v>432</v>
      </c>
      <c r="II42" s="2" t="s">
        <v>433</v>
      </c>
      <c r="IJ42" s="2" t="s">
        <v>432</v>
      </c>
      <c r="IK42" s="2" t="s">
        <v>432</v>
      </c>
      <c r="IL42" s="2" t="s">
        <v>432</v>
      </c>
      <c r="IN42" s="2" t="s">
        <v>709</v>
      </c>
      <c r="IO42" s="2" t="s">
        <v>1241</v>
      </c>
      <c r="IP42" s="2" t="s">
        <v>432</v>
      </c>
      <c r="IQ42" s="2" t="s">
        <v>432</v>
      </c>
      <c r="IR42" s="2" t="s">
        <v>433</v>
      </c>
      <c r="IS42" s="2" t="s">
        <v>432</v>
      </c>
      <c r="IT42" s="2" t="s">
        <v>433</v>
      </c>
      <c r="IU42" s="2" t="s">
        <v>433</v>
      </c>
      <c r="IV42" s="2" t="s">
        <v>432</v>
      </c>
      <c r="IW42" s="2" t="s">
        <v>433</v>
      </c>
      <c r="IX42" s="2" t="s">
        <v>432</v>
      </c>
      <c r="IY42" s="2" t="s">
        <v>432</v>
      </c>
      <c r="JA42" s="2" t="s">
        <v>738</v>
      </c>
      <c r="JB42" s="2" t="s">
        <v>432</v>
      </c>
      <c r="JC42" s="2" t="s">
        <v>433</v>
      </c>
      <c r="JD42" s="2" t="s">
        <v>433</v>
      </c>
      <c r="JE42" s="2" t="s">
        <v>432</v>
      </c>
      <c r="JF42" s="2" t="s">
        <v>432</v>
      </c>
      <c r="JG42" s="2" t="s">
        <v>432</v>
      </c>
      <c r="JT42" s="2" t="s">
        <v>1242</v>
      </c>
      <c r="JU42" s="2" t="s">
        <v>433</v>
      </c>
      <c r="JV42" s="2" t="s">
        <v>432</v>
      </c>
      <c r="JW42" s="2" t="s">
        <v>433</v>
      </c>
      <c r="JX42" s="2" t="s">
        <v>433</v>
      </c>
      <c r="JY42" s="2" t="s">
        <v>432</v>
      </c>
      <c r="JZ42" s="2" t="s">
        <v>432</v>
      </c>
      <c r="KA42" s="2" t="s">
        <v>432</v>
      </c>
      <c r="KB42" s="2" t="s">
        <v>432</v>
      </c>
      <c r="KC42" s="2" t="s">
        <v>432</v>
      </c>
      <c r="KF42" s="2" t="s">
        <v>430</v>
      </c>
      <c r="KG42" s="2" t="s">
        <v>1243</v>
      </c>
      <c r="KH42" s="2" t="s">
        <v>433</v>
      </c>
      <c r="KI42" s="2" t="s">
        <v>433</v>
      </c>
      <c r="KJ42" s="2" t="s">
        <v>433</v>
      </c>
      <c r="KK42" s="2" t="s">
        <v>432</v>
      </c>
      <c r="KL42" s="2" t="s">
        <v>433</v>
      </c>
      <c r="KM42" s="2" t="s">
        <v>432</v>
      </c>
      <c r="KN42" s="2" t="s">
        <v>432</v>
      </c>
      <c r="KO42" s="2" t="s">
        <v>433</v>
      </c>
      <c r="KP42" s="2" t="s">
        <v>432</v>
      </c>
      <c r="KQ42" s="2" t="s">
        <v>432</v>
      </c>
      <c r="KR42" s="2" t="s">
        <v>432</v>
      </c>
      <c r="LB42" s="2" t="s">
        <v>430</v>
      </c>
      <c r="LC42" s="2" t="s">
        <v>1244</v>
      </c>
      <c r="LD42" s="2" t="s">
        <v>433</v>
      </c>
      <c r="LE42" s="2" t="s">
        <v>433</v>
      </c>
      <c r="LF42" s="2" t="s">
        <v>433</v>
      </c>
      <c r="LG42" s="2" t="s">
        <v>433</v>
      </c>
      <c r="LH42" s="2" t="s">
        <v>433</v>
      </c>
      <c r="LI42" s="2" t="s">
        <v>432</v>
      </c>
      <c r="LJ42" s="2" t="s">
        <v>433</v>
      </c>
      <c r="LK42" s="2" t="s">
        <v>432</v>
      </c>
      <c r="LL42" s="2" t="s">
        <v>432</v>
      </c>
      <c r="LM42" s="2" t="s">
        <v>432</v>
      </c>
      <c r="LO42" s="2" t="s">
        <v>430</v>
      </c>
      <c r="LP42" s="2" t="s">
        <v>430</v>
      </c>
      <c r="LR42" s="2" t="s">
        <v>1245</v>
      </c>
      <c r="LS42" s="2">
        <v>170008280</v>
      </c>
      <c r="LT42" s="2" t="s">
        <v>1246</v>
      </c>
      <c r="LU42" s="2" t="s">
        <v>1247</v>
      </c>
      <c r="LW42" s="2" t="s">
        <v>460</v>
      </c>
      <c r="LX42" s="2" t="s">
        <v>461</v>
      </c>
      <c r="LY42" s="2" t="s">
        <v>462</v>
      </c>
      <c r="MA42" s="2">
        <v>46</v>
      </c>
    </row>
    <row r="43" spans="1:339" x14ac:dyDescent="0.3">
      <c r="A43" s="2" t="s">
        <v>1248</v>
      </c>
      <c r="B43" s="2" t="s">
        <v>1249</v>
      </c>
      <c r="C43" s="2" t="s">
        <v>1185</v>
      </c>
      <c r="F43" s="2" t="s">
        <v>422</v>
      </c>
      <c r="G43" s="2" t="s">
        <v>466</v>
      </c>
      <c r="H43" s="2" t="s">
        <v>588</v>
      </c>
      <c r="I43" s="2" t="s">
        <v>1250</v>
      </c>
      <c r="R43" s="2" t="s">
        <v>422</v>
      </c>
      <c r="S43" s="2" t="s">
        <v>1251</v>
      </c>
      <c r="T43" s="2" t="s">
        <v>426</v>
      </c>
      <c r="Z43" s="2" t="s">
        <v>428</v>
      </c>
      <c r="AA43" s="2" t="s">
        <v>429</v>
      </c>
      <c r="AB43" s="2" t="s">
        <v>466</v>
      </c>
      <c r="AG43" s="2" t="s">
        <v>456</v>
      </c>
      <c r="BQ43" s="2" t="s">
        <v>456</v>
      </c>
      <c r="DZ43" s="2" t="s">
        <v>988</v>
      </c>
      <c r="EA43" s="2" t="s">
        <v>433</v>
      </c>
      <c r="EB43" s="2" t="s">
        <v>433</v>
      </c>
      <c r="EC43" s="2" t="s">
        <v>433</v>
      </c>
      <c r="ED43" s="2" t="s">
        <v>432</v>
      </c>
      <c r="EE43" s="2" t="s">
        <v>432</v>
      </c>
      <c r="EF43" s="2" t="s">
        <v>432</v>
      </c>
      <c r="EG43" s="2" t="s">
        <v>432</v>
      </c>
      <c r="EH43" s="2" t="s">
        <v>432</v>
      </c>
      <c r="EI43" s="2" t="s">
        <v>432</v>
      </c>
      <c r="EL43" s="2" t="s">
        <v>1252</v>
      </c>
      <c r="EM43" s="2" t="s">
        <v>432</v>
      </c>
      <c r="EN43" s="2" t="s">
        <v>433</v>
      </c>
      <c r="EO43" s="2" t="s">
        <v>433</v>
      </c>
      <c r="EP43" s="2" t="s">
        <v>433</v>
      </c>
      <c r="EQ43" s="2" t="s">
        <v>432</v>
      </c>
      <c r="ER43" s="2" t="s">
        <v>433</v>
      </c>
      <c r="ES43" s="2" t="s">
        <v>432</v>
      </c>
      <c r="ET43" s="2" t="s">
        <v>432</v>
      </c>
      <c r="EU43" s="2" t="s">
        <v>432</v>
      </c>
      <c r="EV43" s="2" t="s">
        <v>432</v>
      </c>
      <c r="EX43" s="2" t="s">
        <v>430</v>
      </c>
      <c r="EY43" s="2" t="s">
        <v>1253</v>
      </c>
      <c r="EZ43" s="2" t="s">
        <v>432</v>
      </c>
      <c r="FA43" s="2" t="s">
        <v>432</v>
      </c>
      <c r="FB43" s="2" t="s">
        <v>432</v>
      </c>
      <c r="FC43" s="2" t="s">
        <v>433</v>
      </c>
      <c r="FD43" s="2" t="s">
        <v>432</v>
      </c>
      <c r="FE43" s="2" t="s">
        <v>433</v>
      </c>
      <c r="FF43" s="2" t="s">
        <v>432</v>
      </c>
      <c r="FG43" s="2" t="s">
        <v>432</v>
      </c>
      <c r="FH43" s="2" t="s">
        <v>432</v>
      </c>
      <c r="FI43" s="2" t="s">
        <v>432</v>
      </c>
      <c r="FJ43" s="2" t="s">
        <v>433</v>
      </c>
      <c r="FK43" s="2" t="s">
        <v>432</v>
      </c>
      <c r="FL43" s="2" t="s">
        <v>433</v>
      </c>
      <c r="FM43" s="2" t="s">
        <v>432</v>
      </c>
      <c r="FN43" s="2" t="s">
        <v>1254</v>
      </c>
      <c r="FO43" s="2" t="s">
        <v>601</v>
      </c>
      <c r="FP43" s="2" t="s">
        <v>601</v>
      </c>
      <c r="GA43" s="2" t="s">
        <v>483</v>
      </c>
      <c r="GB43" s="2" t="s">
        <v>509</v>
      </c>
      <c r="GC43" s="2" t="s">
        <v>1255</v>
      </c>
      <c r="GD43" s="2" t="s">
        <v>433</v>
      </c>
      <c r="GE43" s="2" t="s">
        <v>432</v>
      </c>
      <c r="GF43" s="2" t="s">
        <v>432</v>
      </c>
      <c r="GG43" s="2" t="s">
        <v>433</v>
      </c>
      <c r="GH43" s="2" t="s">
        <v>433</v>
      </c>
      <c r="GI43" s="2" t="s">
        <v>432</v>
      </c>
      <c r="GJ43" s="2" t="s">
        <v>432</v>
      </c>
      <c r="GK43" s="2" t="s">
        <v>432</v>
      </c>
      <c r="GL43" s="2" t="s">
        <v>432</v>
      </c>
      <c r="GN43" s="2" t="s">
        <v>601</v>
      </c>
      <c r="GO43" s="2" t="s">
        <v>601</v>
      </c>
      <c r="GP43" s="2" t="s">
        <v>1070</v>
      </c>
      <c r="GQ43" s="2" t="s">
        <v>433</v>
      </c>
      <c r="GR43" s="2" t="s">
        <v>433</v>
      </c>
      <c r="GS43" s="2" t="s">
        <v>432</v>
      </c>
      <c r="GT43" s="2" t="s">
        <v>432</v>
      </c>
      <c r="GU43" s="2" t="s">
        <v>432</v>
      </c>
      <c r="GV43" s="2" t="s">
        <v>432</v>
      </c>
      <c r="GW43" s="2" t="s">
        <v>432</v>
      </c>
      <c r="GX43" s="2" t="s">
        <v>432</v>
      </c>
      <c r="GZ43" s="2" t="s">
        <v>577</v>
      </c>
      <c r="HA43" s="2" t="s">
        <v>432</v>
      </c>
      <c r="HB43" s="2" t="s">
        <v>433</v>
      </c>
      <c r="HC43" s="2" t="s">
        <v>432</v>
      </c>
      <c r="HD43" s="2" t="s">
        <v>432</v>
      </c>
      <c r="HE43" s="2" t="s">
        <v>432</v>
      </c>
      <c r="HF43" s="2" t="s">
        <v>432</v>
      </c>
      <c r="HI43" s="2" t="s">
        <v>442</v>
      </c>
      <c r="HJ43" s="2" t="s">
        <v>532</v>
      </c>
      <c r="HK43" s="2" t="s">
        <v>432</v>
      </c>
      <c r="HL43" s="2" t="s">
        <v>432</v>
      </c>
      <c r="HM43" s="2" t="s">
        <v>432</v>
      </c>
      <c r="HN43" s="2" t="s">
        <v>432</v>
      </c>
      <c r="HO43" s="2" t="s">
        <v>433</v>
      </c>
      <c r="HP43" s="2" t="s">
        <v>432</v>
      </c>
      <c r="HQ43" s="2" t="s">
        <v>432</v>
      </c>
      <c r="HR43" s="2" t="s">
        <v>432</v>
      </c>
      <c r="HS43" s="2" t="s">
        <v>432</v>
      </c>
      <c r="HT43" s="2" t="s">
        <v>432</v>
      </c>
      <c r="HV43" s="2" t="s">
        <v>430</v>
      </c>
      <c r="IN43" s="2" t="s">
        <v>689</v>
      </c>
      <c r="IO43" s="2" t="s">
        <v>690</v>
      </c>
      <c r="IP43" s="2" t="s">
        <v>432</v>
      </c>
      <c r="IQ43" s="2" t="s">
        <v>433</v>
      </c>
      <c r="IR43" s="2" t="s">
        <v>432</v>
      </c>
      <c r="IS43" s="2" t="s">
        <v>432</v>
      </c>
      <c r="IT43" s="2" t="s">
        <v>432</v>
      </c>
      <c r="IU43" s="2" t="s">
        <v>432</v>
      </c>
      <c r="IV43" s="2" t="s">
        <v>432</v>
      </c>
      <c r="IW43" s="2" t="s">
        <v>432</v>
      </c>
      <c r="IX43" s="2" t="s">
        <v>432</v>
      </c>
      <c r="IY43" s="2" t="s">
        <v>432</v>
      </c>
      <c r="JA43" s="2" t="s">
        <v>738</v>
      </c>
      <c r="JB43" s="2" t="s">
        <v>432</v>
      </c>
      <c r="JC43" s="2" t="s">
        <v>433</v>
      </c>
      <c r="JD43" s="2" t="s">
        <v>433</v>
      </c>
      <c r="JE43" s="2" t="s">
        <v>432</v>
      </c>
      <c r="JF43" s="2" t="s">
        <v>432</v>
      </c>
      <c r="JG43" s="2" t="s">
        <v>432</v>
      </c>
      <c r="JT43" s="2" t="s">
        <v>607</v>
      </c>
      <c r="JU43" s="2" t="s">
        <v>433</v>
      </c>
      <c r="JV43" s="2" t="s">
        <v>433</v>
      </c>
      <c r="JW43" s="2" t="s">
        <v>433</v>
      </c>
      <c r="JX43" s="2" t="s">
        <v>432</v>
      </c>
      <c r="JY43" s="2" t="s">
        <v>432</v>
      </c>
      <c r="JZ43" s="2" t="s">
        <v>432</v>
      </c>
      <c r="KA43" s="2" t="s">
        <v>432</v>
      </c>
      <c r="KB43" s="2" t="s">
        <v>432</v>
      </c>
      <c r="KC43" s="2" t="s">
        <v>432</v>
      </c>
      <c r="KF43" s="2" t="s">
        <v>430</v>
      </c>
      <c r="KG43" s="2" t="s">
        <v>777</v>
      </c>
      <c r="KH43" s="2" t="s">
        <v>432</v>
      </c>
      <c r="KI43" s="2" t="s">
        <v>432</v>
      </c>
      <c r="KJ43" s="2" t="s">
        <v>432</v>
      </c>
      <c r="KK43" s="2" t="s">
        <v>433</v>
      </c>
      <c r="KL43" s="2" t="s">
        <v>432</v>
      </c>
      <c r="KM43" s="2" t="s">
        <v>432</v>
      </c>
      <c r="KN43" s="2" t="s">
        <v>433</v>
      </c>
      <c r="KO43" s="2" t="s">
        <v>432</v>
      </c>
      <c r="KP43" s="2" t="s">
        <v>432</v>
      </c>
      <c r="KQ43" s="2" t="s">
        <v>432</v>
      </c>
      <c r="KR43" s="2" t="s">
        <v>432</v>
      </c>
      <c r="KT43" s="2" t="s">
        <v>494</v>
      </c>
      <c r="KU43" s="2" t="s">
        <v>432</v>
      </c>
      <c r="KV43" s="2" t="s">
        <v>432</v>
      </c>
      <c r="KW43" s="2" t="s">
        <v>432</v>
      </c>
      <c r="KX43" s="2" t="s">
        <v>433</v>
      </c>
      <c r="KY43" s="2" t="s">
        <v>432</v>
      </c>
      <c r="KZ43" s="2" t="s">
        <v>432</v>
      </c>
      <c r="LB43" s="2" t="s">
        <v>456</v>
      </c>
      <c r="LP43" s="2" t="s">
        <v>430</v>
      </c>
      <c r="LS43" s="2">
        <v>170013259</v>
      </c>
      <c r="LT43" s="2" t="s">
        <v>1256</v>
      </c>
      <c r="LU43" s="2" t="s">
        <v>1257</v>
      </c>
      <c r="LW43" s="2" t="s">
        <v>460</v>
      </c>
      <c r="LX43" s="2" t="s">
        <v>461</v>
      </c>
      <c r="LY43" s="2" t="s">
        <v>462</v>
      </c>
      <c r="MA43" s="2">
        <v>47</v>
      </c>
    </row>
    <row r="44" spans="1:339" x14ac:dyDescent="0.3">
      <c r="A44" s="2" t="s">
        <v>1258</v>
      </c>
      <c r="B44" s="2" t="s">
        <v>1259</v>
      </c>
      <c r="C44" s="2" t="s">
        <v>1185</v>
      </c>
      <c r="F44" s="2" t="s">
        <v>422</v>
      </c>
      <c r="G44" s="2" t="s">
        <v>1126</v>
      </c>
      <c r="H44" s="2" t="s">
        <v>1126</v>
      </c>
      <c r="I44" s="2" t="s">
        <v>1260</v>
      </c>
      <c r="R44" s="2" t="s">
        <v>422</v>
      </c>
      <c r="S44" s="2" t="s">
        <v>502</v>
      </c>
      <c r="T44" s="2" t="s">
        <v>426</v>
      </c>
      <c r="Z44" s="2" t="s">
        <v>428</v>
      </c>
      <c r="AA44" s="2" t="s">
        <v>429</v>
      </c>
      <c r="AB44" s="2" t="s">
        <v>787</v>
      </c>
      <c r="AG44" s="2" t="s">
        <v>430</v>
      </c>
      <c r="AH44" s="2" t="s">
        <v>1261</v>
      </c>
      <c r="AI44" s="2" t="s">
        <v>432</v>
      </c>
      <c r="AJ44" s="2" t="s">
        <v>433</v>
      </c>
      <c r="AK44" s="2" t="s">
        <v>432</v>
      </c>
      <c r="AL44" s="2" t="s">
        <v>433</v>
      </c>
      <c r="AM44" s="2" t="s">
        <v>433</v>
      </c>
      <c r="AN44" s="2" t="s">
        <v>432</v>
      </c>
      <c r="AO44" s="2" t="s">
        <v>432</v>
      </c>
      <c r="AP44" s="2" t="s">
        <v>432</v>
      </c>
      <c r="AQ44" s="2" t="s">
        <v>432</v>
      </c>
      <c r="AR44" s="2" t="s">
        <v>432</v>
      </c>
      <c r="AS44" s="2" t="s">
        <v>432</v>
      </c>
      <c r="AT44" s="2" t="s">
        <v>432</v>
      </c>
      <c r="AU44" s="2" t="s">
        <v>432</v>
      </c>
      <c r="AV44" s="2" t="s">
        <v>432</v>
      </c>
      <c r="AX44" s="2" t="s">
        <v>678</v>
      </c>
      <c r="AY44" s="2" t="s">
        <v>432</v>
      </c>
      <c r="AZ44" s="2" t="s">
        <v>432</v>
      </c>
      <c r="BA44" s="2" t="s">
        <v>432</v>
      </c>
      <c r="BB44" s="2" t="s">
        <v>432</v>
      </c>
      <c r="BC44" s="2" t="s">
        <v>432</v>
      </c>
      <c r="BD44" s="2" t="s">
        <v>432</v>
      </c>
      <c r="BE44" s="2" t="s">
        <v>432</v>
      </c>
      <c r="BF44" s="2" t="s">
        <v>432</v>
      </c>
      <c r="BG44" s="2" t="s">
        <v>432</v>
      </c>
      <c r="BH44" s="2" t="s">
        <v>432</v>
      </c>
      <c r="BI44" s="2" t="s">
        <v>433</v>
      </c>
      <c r="BJ44" s="2" t="s">
        <v>432</v>
      </c>
      <c r="BK44" s="2" t="s">
        <v>432</v>
      </c>
      <c r="BL44" s="2" t="s">
        <v>432</v>
      </c>
      <c r="BN44" s="2" t="s">
        <v>472</v>
      </c>
      <c r="BO44" s="2" t="s">
        <v>436</v>
      </c>
      <c r="BQ44" s="2" t="s">
        <v>430</v>
      </c>
      <c r="BR44" s="2" t="s">
        <v>1262</v>
      </c>
      <c r="BS44" s="2" t="s">
        <v>432</v>
      </c>
      <c r="BT44" s="2" t="s">
        <v>432</v>
      </c>
      <c r="BU44" s="2" t="s">
        <v>433</v>
      </c>
      <c r="BV44" s="2" t="s">
        <v>432</v>
      </c>
      <c r="BW44" s="2" t="s">
        <v>432</v>
      </c>
      <c r="BX44" s="2" t="s">
        <v>432</v>
      </c>
      <c r="BY44" s="2" t="s">
        <v>433</v>
      </c>
      <c r="BZ44" s="2" t="s">
        <v>432</v>
      </c>
      <c r="CA44" s="2" t="s">
        <v>432</v>
      </c>
      <c r="CB44" s="2" t="s">
        <v>432</v>
      </c>
      <c r="CC44" s="2" t="s">
        <v>432</v>
      </c>
      <c r="CD44" s="2" t="s">
        <v>432</v>
      </c>
      <c r="CE44" s="2" t="s">
        <v>432</v>
      </c>
      <c r="CF44" s="2" t="s">
        <v>432</v>
      </c>
      <c r="CG44" s="2" t="s">
        <v>432</v>
      </c>
      <c r="CI44" s="2" t="s">
        <v>1263</v>
      </c>
      <c r="CJ44" s="2" t="s">
        <v>432</v>
      </c>
      <c r="CK44" s="2" t="s">
        <v>432</v>
      </c>
      <c r="CL44" s="2" t="s">
        <v>432</v>
      </c>
      <c r="CM44" s="2" t="s">
        <v>432</v>
      </c>
      <c r="CN44" s="2" t="s">
        <v>432</v>
      </c>
      <c r="CO44" s="2" t="s">
        <v>433</v>
      </c>
      <c r="CP44" s="2" t="s">
        <v>432</v>
      </c>
      <c r="CQ44" s="2" t="s">
        <v>433</v>
      </c>
      <c r="CR44" s="2" t="s">
        <v>432</v>
      </c>
      <c r="CS44" s="2" t="s">
        <v>432</v>
      </c>
      <c r="CT44" s="2" t="s">
        <v>432</v>
      </c>
      <c r="CU44" s="2" t="s">
        <v>432</v>
      </c>
      <c r="CV44" s="2" t="s">
        <v>432</v>
      </c>
      <c r="CW44" s="2" t="s">
        <v>432</v>
      </c>
      <c r="CY44" s="2" t="s">
        <v>472</v>
      </c>
      <c r="CZ44" s="2" t="s">
        <v>436</v>
      </c>
      <c r="DB44" s="2" t="s">
        <v>427</v>
      </c>
      <c r="DC44" s="2" t="s">
        <v>432</v>
      </c>
      <c r="DD44" s="2" t="s">
        <v>432</v>
      </c>
      <c r="DE44" s="2" t="s">
        <v>432</v>
      </c>
      <c r="DF44" s="2" t="s">
        <v>432</v>
      </c>
      <c r="DG44" s="2" t="s">
        <v>432</v>
      </c>
      <c r="DH44" s="2" t="s">
        <v>432</v>
      </c>
      <c r="DI44" s="2" t="s">
        <v>432</v>
      </c>
      <c r="DJ44" s="2" t="s">
        <v>433</v>
      </c>
      <c r="DK44" s="2" t="s">
        <v>432</v>
      </c>
      <c r="DL44" s="2" t="s">
        <v>432</v>
      </c>
      <c r="DM44" s="2" t="s">
        <v>1264</v>
      </c>
      <c r="DZ44" s="2" t="s">
        <v>768</v>
      </c>
      <c r="EA44" s="2" t="s">
        <v>433</v>
      </c>
      <c r="EB44" s="2" t="s">
        <v>432</v>
      </c>
      <c r="EC44" s="2" t="s">
        <v>432</v>
      </c>
      <c r="ED44" s="2" t="s">
        <v>432</v>
      </c>
      <c r="EE44" s="2" t="s">
        <v>432</v>
      </c>
      <c r="EF44" s="2" t="s">
        <v>432</v>
      </c>
      <c r="EG44" s="2" t="s">
        <v>432</v>
      </c>
      <c r="EH44" s="2" t="s">
        <v>432</v>
      </c>
      <c r="EI44" s="2" t="s">
        <v>432</v>
      </c>
      <c r="EL44" s="2" t="s">
        <v>1265</v>
      </c>
      <c r="EM44" s="2" t="s">
        <v>433</v>
      </c>
      <c r="EN44" s="2" t="s">
        <v>433</v>
      </c>
      <c r="EO44" s="2" t="s">
        <v>432</v>
      </c>
      <c r="EP44" s="2" t="s">
        <v>433</v>
      </c>
      <c r="EQ44" s="2" t="s">
        <v>432</v>
      </c>
      <c r="ER44" s="2" t="s">
        <v>433</v>
      </c>
      <c r="ES44" s="2" t="s">
        <v>432</v>
      </c>
      <c r="ET44" s="2" t="s">
        <v>432</v>
      </c>
      <c r="EU44" s="2" t="s">
        <v>432</v>
      </c>
      <c r="EV44" s="2" t="s">
        <v>432</v>
      </c>
      <c r="EX44" s="2" t="s">
        <v>430</v>
      </c>
      <c r="EY44" s="2" t="s">
        <v>1266</v>
      </c>
      <c r="EZ44" s="2" t="s">
        <v>433</v>
      </c>
      <c r="FA44" s="2" t="s">
        <v>432</v>
      </c>
      <c r="FB44" s="2" t="s">
        <v>433</v>
      </c>
      <c r="FC44" s="2" t="s">
        <v>432</v>
      </c>
      <c r="FD44" s="2" t="s">
        <v>432</v>
      </c>
      <c r="FE44" s="2" t="s">
        <v>432</v>
      </c>
      <c r="FF44" s="2" t="s">
        <v>432</v>
      </c>
      <c r="FG44" s="2" t="s">
        <v>432</v>
      </c>
      <c r="FH44" s="2" t="s">
        <v>433</v>
      </c>
      <c r="FI44" s="2" t="s">
        <v>432</v>
      </c>
      <c r="FJ44" s="2" t="s">
        <v>433</v>
      </c>
      <c r="FK44" s="2" t="s">
        <v>433</v>
      </c>
      <c r="FL44" s="2" t="s">
        <v>432</v>
      </c>
      <c r="FM44" s="2" t="s">
        <v>432</v>
      </c>
      <c r="FO44" s="2" t="s">
        <v>481</v>
      </c>
      <c r="FP44" s="2" t="s">
        <v>481</v>
      </c>
      <c r="FQ44" s="2" t="s">
        <v>1267</v>
      </c>
      <c r="FR44" s="2" t="s">
        <v>432</v>
      </c>
      <c r="FS44" s="2" t="s">
        <v>432</v>
      </c>
      <c r="FT44" s="2" t="s">
        <v>432</v>
      </c>
      <c r="FU44" s="2" t="s">
        <v>432</v>
      </c>
      <c r="FV44" s="2" t="s">
        <v>432</v>
      </c>
      <c r="FW44" s="2" t="s">
        <v>433</v>
      </c>
      <c r="FX44" s="2" t="s">
        <v>432</v>
      </c>
      <c r="FY44" s="2" t="s">
        <v>432</v>
      </c>
      <c r="GA44" s="2" t="s">
        <v>483</v>
      </c>
      <c r="GB44" s="2" t="s">
        <v>483</v>
      </c>
      <c r="GC44" s="2" t="s">
        <v>510</v>
      </c>
      <c r="GD44" s="2" t="s">
        <v>432</v>
      </c>
      <c r="GE44" s="2" t="s">
        <v>433</v>
      </c>
      <c r="GF44" s="2" t="s">
        <v>432</v>
      </c>
      <c r="GG44" s="2" t="s">
        <v>433</v>
      </c>
      <c r="GH44" s="2" t="s">
        <v>433</v>
      </c>
      <c r="GI44" s="2" t="s">
        <v>432</v>
      </c>
      <c r="GJ44" s="2" t="s">
        <v>432</v>
      </c>
      <c r="GK44" s="2" t="s">
        <v>432</v>
      </c>
      <c r="GL44" s="2" t="s">
        <v>432</v>
      </c>
      <c r="GN44" s="2" t="s">
        <v>481</v>
      </c>
      <c r="GO44" s="2" t="s">
        <v>481</v>
      </c>
      <c r="GP44" s="2" t="s">
        <v>706</v>
      </c>
      <c r="GQ44" s="2" t="s">
        <v>432</v>
      </c>
      <c r="GR44" s="2" t="s">
        <v>433</v>
      </c>
      <c r="GS44" s="2" t="s">
        <v>432</v>
      </c>
      <c r="GT44" s="2" t="s">
        <v>433</v>
      </c>
      <c r="GU44" s="2" t="s">
        <v>432</v>
      </c>
      <c r="GV44" s="2" t="s">
        <v>433</v>
      </c>
      <c r="GW44" s="2" t="s">
        <v>432</v>
      </c>
      <c r="GX44" s="2" t="s">
        <v>432</v>
      </c>
      <c r="GZ44" s="2" t="s">
        <v>643</v>
      </c>
      <c r="HA44" s="2" t="s">
        <v>433</v>
      </c>
      <c r="HB44" s="2" t="s">
        <v>432</v>
      </c>
      <c r="HC44" s="2" t="s">
        <v>432</v>
      </c>
      <c r="HD44" s="2" t="s">
        <v>432</v>
      </c>
      <c r="HE44" s="2" t="s">
        <v>432</v>
      </c>
      <c r="HF44" s="2" t="s">
        <v>432</v>
      </c>
      <c r="HI44" s="2" t="s">
        <v>481</v>
      </c>
      <c r="HJ44" s="2" t="s">
        <v>532</v>
      </c>
      <c r="HK44" s="2" t="s">
        <v>432</v>
      </c>
      <c r="HL44" s="2" t="s">
        <v>432</v>
      </c>
      <c r="HM44" s="2" t="s">
        <v>432</v>
      </c>
      <c r="HN44" s="2" t="s">
        <v>432</v>
      </c>
      <c r="HO44" s="2" t="s">
        <v>433</v>
      </c>
      <c r="HP44" s="2" t="s">
        <v>432</v>
      </c>
      <c r="HQ44" s="2" t="s">
        <v>432</v>
      </c>
      <c r="HR44" s="2" t="s">
        <v>432</v>
      </c>
      <c r="HS44" s="2" t="s">
        <v>432</v>
      </c>
      <c r="HT44" s="2" t="s">
        <v>432</v>
      </c>
      <c r="HV44" s="2" t="s">
        <v>430</v>
      </c>
      <c r="HX44" s="2" t="s">
        <v>1268</v>
      </c>
      <c r="HY44" s="2" t="s">
        <v>432</v>
      </c>
      <c r="HZ44" s="2" t="s">
        <v>432</v>
      </c>
      <c r="IA44" s="2" t="s">
        <v>432</v>
      </c>
      <c r="IB44" s="2" t="s">
        <v>432</v>
      </c>
      <c r="IC44" s="2" t="s">
        <v>433</v>
      </c>
      <c r="ID44" s="2" t="s">
        <v>433</v>
      </c>
      <c r="IE44" s="2" t="s">
        <v>433</v>
      </c>
      <c r="IF44" s="2" t="s">
        <v>433</v>
      </c>
      <c r="IG44" s="2" t="s">
        <v>432</v>
      </c>
      <c r="IH44" s="2" t="s">
        <v>432</v>
      </c>
      <c r="II44" s="2" t="s">
        <v>432</v>
      </c>
      <c r="IJ44" s="2" t="s">
        <v>432</v>
      </c>
      <c r="IK44" s="2" t="s">
        <v>432</v>
      </c>
      <c r="IL44" s="2" t="s">
        <v>432</v>
      </c>
      <c r="IN44" s="2" t="s">
        <v>1269</v>
      </c>
      <c r="IO44" s="2" t="s">
        <v>1270</v>
      </c>
      <c r="IP44" s="2" t="s">
        <v>432</v>
      </c>
      <c r="IQ44" s="2" t="s">
        <v>433</v>
      </c>
      <c r="IR44" s="2" t="s">
        <v>433</v>
      </c>
      <c r="IS44" s="2" t="s">
        <v>433</v>
      </c>
      <c r="IT44" s="2" t="s">
        <v>433</v>
      </c>
      <c r="IU44" s="2" t="s">
        <v>432</v>
      </c>
      <c r="IV44" s="2" t="s">
        <v>432</v>
      </c>
      <c r="IW44" s="2" t="s">
        <v>432</v>
      </c>
      <c r="IX44" s="2" t="s">
        <v>432</v>
      </c>
      <c r="IY44" s="2" t="s">
        <v>432</v>
      </c>
      <c r="JA44" s="2" t="s">
        <v>580</v>
      </c>
      <c r="JB44" s="2" t="s">
        <v>432</v>
      </c>
      <c r="JC44" s="2" t="s">
        <v>433</v>
      </c>
      <c r="JD44" s="2" t="s">
        <v>433</v>
      </c>
      <c r="JE44" s="2" t="s">
        <v>432</v>
      </c>
      <c r="JF44" s="2" t="s">
        <v>432</v>
      </c>
      <c r="JG44" s="2" t="s">
        <v>432</v>
      </c>
      <c r="JT44" s="2" t="s">
        <v>1271</v>
      </c>
      <c r="JU44" s="2" t="s">
        <v>433</v>
      </c>
      <c r="JV44" s="2" t="s">
        <v>433</v>
      </c>
      <c r="JW44" s="2" t="s">
        <v>432</v>
      </c>
      <c r="JX44" s="2" t="s">
        <v>432</v>
      </c>
      <c r="JY44" s="2" t="s">
        <v>433</v>
      </c>
      <c r="JZ44" s="2" t="s">
        <v>432</v>
      </c>
      <c r="KA44" s="2" t="s">
        <v>432</v>
      </c>
      <c r="KB44" s="2" t="s">
        <v>432</v>
      </c>
      <c r="KC44" s="2" t="s">
        <v>432</v>
      </c>
      <c r="KF44" s="2" t="s">
        <v>430</v>
      </c>
      <c r="KG44" s="2" t="s">
        <v>665</v>
      </c>
      <c r="KH44" s="2" t="s">
        <v>433</v>
      </c>
      <c r="KI44" s="2" t="s">
        <v>432</v>
      </c>
      <c r="KJ44" s="2" t="s">
        <v>432</v>
      </c>
      <c r="KK44" s="2" t="s">
        <v>432</v>
      </c>
      <c r="KL44" s="2" t="s">
        <v>433</v>
      </c>
      <c r="KM44" s="2" t="s">
        <v>432</v>
      </c>
      <c r="KN44" s="2" t="s">
        <v>432</v>
      </c>
      <c r="KO44" s="2" t="s">
        <v>432</v>
      </c>
      <c r="KP44" s="2" t="s">
        <v>432</v>
      </c>
      <c r="KQ44" s="2" t="s">
        <v>432</v>
      </c>
      <c r="KR44" s="2" t="s">
        <v>432</v>
      </c>
      <c r="LB44" s="2" t="s">
        <v>456</v>
      </c>
      <c r="LP44" s="2" t="s">
        <v>430</v>
      </c>
      <c r="LR44" s="2" t="s">
        <v>1272</v>
      </c>
      <c r="LS44" s="2">
        <v>170030458</v>
      </c>
      <c r="LT44" s="2" t="s">
        <v>1273</v>
      </c>
      <c r="LU44" s="2" t="s">
        <v>1274</v>
      </c>
      <c r="LW44" s="2" t="s">
        <v>460</v>
      </c>
      <c r="LX44" s="2" t="s">
        <v>461</v>
      </c>
      <c r="LY44" s="2" t="s">
        <v>462</v>
      </c>
      <c r="MA44" s="2">
        <v>48</v>
      </c>
    </row>
    <row r="45" spans="1:339" x14ac:dyDescent="0.3">
      <c r="A45" s="2" t="s">
        <v>1275</v>
      </c>
      <c r="B45" s="2" t="s">
        <v>1276</v>
      </c>
      <c r="C45" s="2" t="s">
        <v>1185</v>
      </c>
      <c r="F45" s="2" t="s">
        <v>422</v>
      </c>
      <c r="G45" s="2" t="s">
        <v>1126</v>
      </c>
      <c r="H45" s="2" t="s">
        <v>1126</v>
      </c>
      <c r="I45" s="2" t="s">
        <v>1260</v>
      </c>
      <c r="R45" s="2" t="s">
        <v>422</v>
      </c>
      <c r="S45" s="2" t="s">
        <v>502</v>
      </c>
      <c r="T45" s="2" t="s">
        <v>426</v>
      </c>
      <c r="Z45" s="2" t="s">
        <v>428</v>
      </c>
      <c r="AA45" s="2" t="s">
        <v>429</v>
      </c>
      <c r="AB45" s="2" t="s">
        <v>787</v>
      </c>
      <c r="AG45" s="2" t="s">
        <v>430</v>
      </c>
      <c r="AH45" s="2" t="s">
        <v>1278</v>
      </c>
      <c r="AI45" s="2" t="s">
        <v>432</v>
      </c>
      <c r="AJ45" s="2" t="s">
        <v>433</v>
      </c>
      <c r="AK45" s="2" t="s">
        <v>432</v>
      </c>
      <c r="AL45" s="2" t="s">
        <v>433</v>
      </c>
      <c r="AM45" s="2" t="s">
        <v>433</v>
      </c>
      <c r="AN45" s="2" t="s">
        <v>432</v>
      </c>
      <c r="AO45" s="2" t="s">
        <v>432</v>
      </c>
      <c r="AP45" s="2" t="s">
        <v>432</v>
      </c>
      <c r="AQ45" s="2" t="s">
        <v>432</v>
      </c>
      <c r="AR45" s="2" t="s">
        <v>432</v>
      </c>
      <c r="AS45" s="2" t="s">
        <v>433</v>
      </c>
      <c r="AT45" s="2" t="s">
        <v>432</v>
      </c>
      <c r="AU45" s="2" t="s">
        <v>432</v>
      </c>
      <c r="AV45" s="2" t="s">
        <v>432</v>
      </c>
      <c r="AX45" s="2" t="s">
        <v>678</v>
      </c>
      <c r="AY45" s="2" t="s">
        <v>432</v>
      </c>
      <c r="AZ45" s="2" t="s">
        <v>432</v>
      </c>
      <c r="BA45" s="2" t="s">
        <v>432</v>
      </c>
      <c r="BB45" s="2" t="s">
        <v>432</v>
      </c>
      <c r="BC45" s="2" t="s">
        <v>432</v>
      </c>
      <c r="BD45" s="2" t="s">
        <v>432</v>
      </c>
      <c r="BE45" s="2" t="s">
        <v>432</v>
      </c>
      <c r="BF45" s="2" t="s">
        <v>432</v>
      </c>
      <c r="BG45" s="2" t="s">
        <v>432</v>
      </c>
      <c r="BH45" s="2" t="s">
        <v>432</v>
      </c>
      <c r="BI45" s="2" t="s">
        <v>433</v>
      </c>
      <c r="BJ45" s="2" t="s">
        <v>432</v>
      </c>
      <c r="BK45" s="2" t="s">
        <v>432</v>
      </c>
      <c r="BL45" s="2" t="s">
        <v>432</v>
      </c>
      <c r="BN45" s="2" t="s">
        <v>472</v>
      </c>
      <c r="BO45" s="2" t="s">
        <v>436</v>
      </c>
      <c r="BQ45" s="2" t="s">
        <v>430</v>
      </c>
      <c r="BR45" s="2" t="s">
        <v>1217</v>
      </c>
      <c r="BS45" s="2" t="s">
        <v>432</v>
      </c>
      <c r="BT45" s="2" t="s">
        <v>432</v>
      </c>
      <c r="BU45" s="2" t="s">
        <v>432</v>
      </c>
      <c r="BV45" s="2" t="s">
        <v>432</v>
      </c>
      <c r="BW45" s="2" t="s">
        <v>432</v>
      </c>
      <c r="BX45" s="2" t="s">
        <v>432</v>
      </c>
      <c r="BY45" s="2" t="s">
        <v>433</v>
      </c>
      <c r="BZ45" s="2" t="s">
        <v>432</v>
      </c>
      <c r="CA45" s="2" t="s">
        <v>432</v>
      </c>
      <c r="CB45" s="2" t="s">
        <v>432</v>
      </c>
      <c r="CC45" s="2" t="s">
        <v>432</v>
      </c>
      <c r="CD45" s="2" t="s">
        <v>432</v>
      </c>
      <c r="CE45" s="2" t="s">
        <v>432</v>
      </c>
      <c r="CF45" s="2" t="s">
        <v>432</v>
      </c>
      <c r="CG45" s="2" t="s">
        <v>432</v>
      </c>
      <c r="CI45" s="2" t="s">
        <v>558</v>
      </c>
      <c r="CJ45" s="2" t="s">
        <v>432</v>
      </c>
      <c r="CK45" s="2" t="s">
        <v>432</v>
      </c>
      <c r="CL45" s="2" t="s">
        <v>432</v>
      </c>
      <c r="CM45" s="2" t="s">
        <v>432</v>
      </c>
      <c r="CN45" s="2" t="s">
        <v>432</v>
      </c>
      <c r="CO45" s="2" t="s">
        <v>433</v>
      </c>
      <c r="CP45" s="2" t="s">
        <v>432</v>
      </c>
      <c r="CQ45" s="2" t="s">
        <v>432</v>
      </c>
      <c r="CR45" s="2" t="s">
        <v>432</v>
      </c>
      <c r="CS45" s="2" t="s">
        <v>432</v>
      </c>
      <c r="CT45" s="2" t="s">
        <v>432</v>
      </c>
      <c r="CU45" s="2" t="s">
        <v>432</v>
      </c>
      <c r="CV45" s="2" t="s">
        <v>432</v>
      </c>
      <c r="CW45" s="2" t="s">
        <v>432</v>
      </c>
      <c r="CY45" s="2" t="s">
        <v>472</v>
      </c>
      <c r="CZ45" s="2" t="s">
        <v>436</v>
      </c>
      <c r="DB45" s="2" t="s">
        <v>1279</v>
      </c>
      <c r="DC45" s="2" t="s">
        <v>432</v>
      </c>
      <c r="DD45" s="2" t="s">
        <v>433</v>
      </c>
      <c r="DE45" s="2" t="s">
        <v>432</v>
      </c>
      <c r="DF45" s="2" t="s">
        <v>433</v>
      </c>
      <c r="DG45" s="2" t="s">
        <v>433</v>
      </c>
      <c r="DH45" s="2" t="s">
        <v>432</v>
      </c>
      <c r="DI45" s="2" t="s">
        <v>432</v>
      </c>
      <c r="DJ45" s="2" t="s">
        <v>432</v>
      </c>
      <c r="DK45" s="2" t="s">
        <v>432</v>
      </c>
      <c r="DL45" s="2" t="s">
        <v>432</v>
      </c>
      <c r="DZ45" s="2" t="s">
        <v>1007</v>
      </c>
      <c r="EA45" s="2" t="s">
        <v>433</v>
      </c>
      <c r="EB45" s="2" t="s">
        <v>433</v>
      </c>
      <c r="EC45" s="2" t="s">
        <v>433</v>
      </c>
      <c r="ED45" s="2" t="s">
        <v>432</v>
      </c>
      <c r="EE45" s="2" t="s">
        <v>432</v>
      </c>
      <c r="EF45" s="2" t="s">
        <v>432</v>
      </c>
      <c r="EG45" s="2" t="s">
        <v>432</v>
      </c>
      <c r="EH45" s="2" t="s">
        <v>432</v>
      </c>
      <c r="EI45" s="2" t="s">
        <v>432</v>
      </c>
      <c r="EL45" s="2" t="s">
        <v>1280</v>
      </c>
      <c r="EM45" s="2" t="s">
        <v>433</v>
      </c>
      <c r="EN45" s="2" t="s">
        <v>433</v>
      </c>
      <c r="EO45" s="2" t="s">
        <v>433</v>
      </c>
      <c r="EP45" s="2" t="s">
        <v>432</v>
      </c>
      <c r="EQ45" s="2" t="s">
        <v>432</v>
      </c>
      <c r="ER45" s="2" t="s">
        <v>433</v>
      </c>
      <c r="ES45" s="2" t="s">
        <v>432</v>
      </c>
      <c r="ET45" s="2" t="s">
        <v>432</v>
      </c>
      <c r="EU45" s="2" t="s">
        <v>432</v>
      </c>
      <c r="EV45" s="2" t="s">
        <v>432</v>
      </c>
      <c r="EX45" s="2" t="s">
        <v>430</v>
      </c>
      <c r="EY45" s="2" t="s">
        <v>1281</v>
      </c>
      <c r="EZ45" s="2" t="s">
        <v>433</v>
      </c>
      <c r="FA45" s="2" t="s">
        <v>432</v>
      </c>
      <c r="FB45" s="2" t="s">
        <v>433</v>
      </c>
      <c r="FC45" s="2" t="s">
        <v>432</v>
      </c>
      <c r="FD45" s="2" t="s">
        <v>433</v>
      </c>
      <c r="FE45" s="2" t="s">
        <v>432</v>
      </c>
      <c r="FF45" s="2" t="s">
        <v>432</v>
      </c>
      <c r="FG45" s="2" t="s">
        <v>433</v>
      </c>
      <c r="FH45" s="2" t="s">
        <v>433</v>
      </c>
      <c r="FI45" s="2" t="s">
        <v>432</v>
      </c>
      <c r="FJ45" s="2" t="s">
        <v>432</v>
      </c>
      <c r="FK45" s="2" t="s">
        <v>432</v>
      </c>
      <c r="FL45" s="2" t="s">
        <v>432</v>
      </c>
      <c r="FM45" s="2" t="s">
        <v>432</v>
      </c>
      <c r="FO45" s="2" t="s">
        <v>481</v>
      </c>
      <c r="FP45" s="2" t="s">
        <v>481</v>
      </c>
      <c r="FQ45" s="2" t="s">
        <v>793</v>
      </c>
      <c r="FR45" s="2" t="s">
        <v>433</v>
      </c>
      <c r="FS45" s="2" t="s">
        <v>432</v>
      </c>
      <c r="FT45" s="2" t="s">
        <v>432</v>
      </c>
      <c r="FU45" s="2" t="s">
        <v>432</v>
      </c>
      <c r="FV45" s="2" t="s">
        <v>432</v>
      </c>
      <c r="FW45" s="2" t="s">
        <v>432</v>
      </c>
      <c r="FX45" s="2" t="s">
        <v>432</v>
      </c>
      <c r="FY45" s="2" t="s">
        <v>432</v>
      </c>
      <c r="GA45" s="2" t="s">
        <v>483</v>
      </c>
      <c r="GB45" s="2" t="s">
        <v>483</v>
      </c>
      <c r="GC45" s="2" t="s">
        <v>1282</v>
      </c>
      <c r="GD45" s="2" t="s">
        <v>432</v>
      </c>
      <c r="GE45" s="2" t="s">
        <v>433</v>
      </c>
      <c r="GF45" s="2" t="s">
        <v>433</v>
      </c>
      <c r="GG45" s="2" t="s">
        <v>433</v>
      </c>
      <c r="GH45" s="2" t="s">
        <v>433</v>
      </c>
      <c r="GI45" s="2" t="s">
        <v>432</v>
      </c>
      <c r="GJ45" s="2" t="s">
        <v>432</v>
      </c>
      <c r="GK45" s="2" t="s">
        <v>432</v>
      </c>
      <c r="GL45" s="2" t="s">
        <v>432</v>
      </c>
      <c r="GN45" s="2" t="s">
        <v>601</v>
      </c>
      <c r="GO45" s="2" t="s">
        <v>601</v>
      </c>
      <c r="GP45" s="2" t="s">
        <v>604</v>
      </c>
      <c r="GQ45" s="2" t="s">
        <v>433</v>
      </c>
      <c r="GR45" s="2" t="s">
        <v>433</v>
      </c>
      <c r="GS45" s="2" t="s">
        <v>432</v>
      </c>
      <c r="GT45" s="2" t="s">
        <v>433</v>
      </c>
      <c r="GU45" s="2" t="s">
        <v>432</v>
      </c>
      <c r="GV45" s="2" t="s">
        <v>432</v>
      </c>
      <c r="GW45" s="2" t="s">
        <v>432</v>
      </c>
      <c r="GX45" s="2" t="s">
        <v>432</v>
      </c>
      <c r="GZ45" s="2" t="s">
        <v>1283</v>
      </c>
      <c r="HA45" s="2" t="s">
        <v>432</v>
      </c>
      <c r="HB45" s="2" t="s">
        <v>432</v>
      </c>
      <c r="HC45" s="2" t="s">
        <v>433</v>
      </c>
      <c r="HD45" s="2" t="s">
        <v>433</v>
      </c>
      <c r="HE45" s="2" t="s">
        <v>432</v>
      </c>
      <c r="HF45" s="2" t="s">
        <v>432</v>
      </c>
      <c r="HI45" s="2" t="s">
        <v>601</v>
      </c>
      <c r="HJ45" s="2" t="s">
        <v>532</v>
      </c>
      <c r="HK45" s="2" t="s">
        <v>432</v>
      </c>
      <c r="HL45" s="2" t="s">
        <v>432</v>
      </c>
      <c r="HM45" s="2" t="s">
        <v>432</v>
      </c>
      <c r="HN45" s="2" t="s">
        <v>432</v>
      </c>
      <c r="HO45" s="2" t="s">
        <v>433</v>
      </c>
      <c r="HP45" s="2" t="s">
        <v>432</v>
      </c>
      <c r="HQ45" s="2" t="s">
        <v>432</v>
      </c>
      <c r="HR45" s="2" t="s">
        <v>432</v>
      </c>
      <c r="HS45" s="2" t="s">
        <v>432</v>
      </c>
      <c r="HT45" s="2" t="s">
        <v>432</v>
      </c>
      <c r="HX45" s="2" t="s">
        <v>678</v>
      </c>
      <c r="HY45" s="2" t="s">
        <v>432</v>
      </c>
      <c r="HZ45" s="2" t="s">
        <v>432</v>
      </c>
      <c r="IA45" s="2" t="s">
        <v>432</v>
      </c>
      <c r="IB45" s="2" t="s">
        <v>432</v>
      </c>
      <c r="IC45" s="2" t="s">
        <v>432</v>
      </c>
      <c r="ID45" s="2" t="s">
        <v>432</v>
      </c>
      <c r="IE45" s="2" t="s">
        <v>432</v>
      </c>
      <c r="IF45" s="2" t="s">
        <v>432</v>
      </c>
      <c r="IG45" s="2" t="s">
        <v>432</v>
      </c>
      <c r="IH45" s="2" t="s">
        <v>432</v>
      </c>
      <c r="II45" s="2" t="s">
        <v>433</v>
      </c>
      <c r="IJ45" s="2" t="s">
        <v>432</v>
      </c>
      <c r="IK45" s="2" t="s">
        <v>432</v>
      </c>
      <c r="IL45" s="2" t="s">
        <v>432</v>
      </c>
      <c r="IN45" s="2" t="s">
        <v>757</v>
      </c>
      <c r="IO45" s="2" t="s">
        <v>1284</v>
      </c>
      <c r="IP45" s="2" t="s">
        <v>433</v>
      </c>
      <c r="IQ45" s="2" t="s">
        <v>433</v>
      </c>
      <c r="IR45" s="2" t="s">
        <v>433</v>
      </c>
      <c r="IS45" s="2" t="s">
        <v>432</v>
      </c>
      <c r="IT45" s="2" t="s">
        <v>432</v>
      </c>
      <c r="IU45" s="2" t="s">
        <v>432</v>
      </c>
      <c r="IV45" s="2" t="s">
        <v>432</v>
      </c>
      <c r="IW45" s="2" t="s">
        <v>432</v>
      </c>
      <c r="IX45" s="2" t="s">
        <v>432</v>
      </c>
      <c r="IY45" s="2" t="s">
        <v>432</v>
      </c>
      <c r="JA45" s="2" t="s">
        <v>738</v>
      </c>
      <c r="JB45" s="2" t="s">
        <v>432</v>
      </c>
      <c r="JC45" s="2" t="s">
        <v>433</v>
      </c>
      <c r="JD45" s="2" t="s">
        <v>433</v>
      </c>
      <c r="JE45" s="2" t="s">
        <v>432</v>
      </c>
      <c r="JF45" s="2" t="s">
        <v>432</v>
      </c>
      <c r="JG45" s="2" t="s">
        <v>432</v>
      </c>
      <c r="JT45" s="2" t="s">
        <v>1285</v>
      </c>
      <c r="JU45" s="2" t="s">
        <v>433</v>
      </c>
      <c r="JV45" s="2" t="s">
        <v>432</v>
      </c>
      <c r="JW45" s="2" t="s">
        <v>432</v>
      </c>
      <c r="JX45" s="2" t="s">
        <v>432</v>
      </c>
      <c r="JY45" s="2" t="s">
        <v>433</v>
      </c>
      <c r="JZ45" s="2" t="s">
        <v>432</v>
      </c>
      <c r="KA45" s="2" t="s">
        <v>432</v>
      </c>
      <c r="KB45" s="2" t="s">
        <v>432</v>
      </c>
      <c r="KC45" s="2" t="s">
        <v>432</v>
      </c>
      <c r="KF45" s="2" t="s">
        <v>456</v>
      </c>
      <c r="LB45" s="2" t="s">
        <v>456</v>
      </c>
      <c r="LP45" s="2" t="s">
        <v>430</v>
      </c>
      <c r="LR45" s="2" t="s">
        <v>1286</v>
      </c>
      <c r="LS45" s="2">
        <v>170030462</v>
      </c>
      <c r="LT45" s="2" t="s">
        <v>1287</v>
      </c>
      <c r="LU45" s="2" t="s">
        <v>1288</v>
      </c>
      <c r="LW45" s="2" t="s">
        <v>460</v>
      </c>
      <c r="LX45" s="2" t="s">
        <v>461</v>
      </c>
      <c r="LY45" s="2" t="s">
        <v>462</v>
      </c>
      <c r="MA45" s="2">
        <v>49</v>
      </c>
    </row>
    <row r="46" spans="1:339" x14ac:dyDescent="0.3">
      <c r="A46" s="2" t="s">
        <v>1289</v>
      </c>
      <c r="B46" s="2" t="s">
        <v>1290</v>
      </c>
      <c r="C46" s="2" t="s">
        <v>1185</v>
      </c>
      <c r="F46" s="2" t="s">
        <v>422</v>
      </c>
      <c r="G46" s="2" t="s">
        <v>1126</v>
      </c>
      <c r="H46" s="2" t="s">
        <v>1126</v>
      </c>
      <c r="I46" s="2" t="s">
        <v>1291</v>
      </c>
      <c r="R46" s="2" t="s">
        <v>422</v>
      </c>
      <c r="S46" s="2" t="s">
        <v>786</v>
      </c>
      <c r="T46" s="2" t="s">
        <v>673</v>
      </c>
      <c r="Z46" s="2" t="s">
        <v>674</v>
      </c>
      <c r="AA46" s="2" t="s">
        <v>675</v>
      </c>
      <c r="AB46" s="2" t="s">
        <v>675</v>
      </c>
      <c r="AG46" s="2" t="s">
        <v>456</v>
      </c>
      <c r="BQ46" s="2" t="s">
        <v>456</v>
      </c>
      <c r="DZ46" s="2" t="s">
        <v>768</v>
      </c>
      <c r="EA46" s="2" t="s">
        <v>433</v>
      </c>
      <c r="EB46" s="2" t="s">
        <v>432</v>
      </c>
      <c r="EC46" s="2" t="s">
        <v>432</v>
      </c>
      <c r="ED46" s="2" t="s">
        <v>432</v>
      </c>
      <c r="EE46" s="2" t="s">
        <v>432</v>
      </c>
      <c r="EF46" s="2" t="s">
        <v>432</v>
      </c>
      <c r="EG46" s="2" t="s">
        <v>432</v>
      </c>
      <c r="EH46" s="2" t="s">
        <v>432</v>
      </c>
      <c r="EI46" s="2" t="s">
        <v>432</v>
      </c>
      <c r="EL46" s="2" t="s">
        <v>1292</v>
      </c>
      <c r="EM46" s="2" t="s">
        <v>433</v>
      </c>
      <c r="EN46" s="2" t="s">
        <v>433</v>
      </c>
      <c r="EO46" s="2" t="s">
        <v>432</v>
      </c>
      <c r="EP46" s="2" t="s">
        <v>432</v>
      </c>
      <c r="EQ46" s="2" t="s">
        <v>432</v>
      </c>
      <c r="ER46" s="2" t="s">
        <v>433</v>
      </c>
      <c r="ES46" s="2" t="s">
        <v>433</v>
      </c>
      <c r="ET46" s="2" t="s">
        <v>432</v>
      </c>
      <c r="EU46" s="2" t="s">
        <v>432</v>
      </c>
      <c r="EV46" s="2" t="s">
        <v>432</v>
      </c>
      <c r="EX46" s="2" t="s">
        <v>430</v>
      </c>
      <c r="EY46" s="2" t="s">
        <v>685</v>
      </c>
      <c r="EZ46" s="2" t="s">
        <v>433</v>
      </c>
      <c r="FA46" s="2" t="s">
        <v>432</v>
      </c>
      <c r="FB46" s="2" t="s">
        <v>432</v>
      </c>
      <c r="FC46" s="2" t="s">
        <v>433</v>
      </c>
      <c r="FD46" s="2" t="s">
        <v>432</v>
      </c>
      <c r="FE46" s="2" t="s">
        <v>432</v>
      </c>
      <c r="FF46" s="2" t="s">
        <v>432</v>
      </c>
      <c r="FG46" s="2" t="s">
        <v>432</v>
      </c>
      <c r="FH46" s="2" t="s">
        <v>432</v>
      </c>
      <c r="FI46" s="2" t="s">
        <v>432</v>
      </c>
      <c r="FJ46" s="2" t="s">
        <v>432</v>
      </c>
      <c r="FK46" s="2" t="s">
        <v>432</v>
      </c>
      <c r="FL46" s="2" t="s">
        <v>432</v>
      </c>
      <c r="FM46" s="2" t="s">
        <v>432</v>
      </c>
      <c r="FO46" s="2" t="s">
        <v>601</v>
      </c>
      <c r="FP46" s="2" t="s">
        <v>601</v>
      </c>
      <c r="GA46" s="2" t="s">
        <v>602</v>
      </c>
      <c r="GB46" s="2" t="s">
        <v>483</v>
      </c>
      <c r="GC46" s="2" t="s">
        <v>1293</v>
      </c>
      <c r="GD46" s="2" t="s">
        <v>432</v>
      </c>
      <c r="GE46" s="2" t="s">
        <v>432</v>
      </c>
      <c r="GF46" s="2" t="s">
        <v>433</v>
      </c>
      <c r="GG46" s="2" t="s">
        <v>433</v>
      </c>
      <c r="GH46" s="2" t="s">
        <v>432</v>
      </c>
      <c r="GI46" s="2" t="s">
        <v>432</v>
      </c>
      <c r="GJ46" s="2" t="s">
        <v>432</v>
      </c>
      <c r="GK46" s="2" t="s">
        <v>432</v>
      </c>
      <c r="GL46" s="2" t="s">
        <v>432</v>
      </c>
      <c r="GN46" s="2" t="s">
        <v>481</v>
      </c>
      <c r="GO46" s="2" t="s">
        <v>601</v>
      </c>
      <c r="GP46" s="2" t="s">
        <v>1294</v>
      </c>
      <c r="GQ46" s="2" t="s">
        <v>433</v>
      </c>
      <c r="GR46" s="2" t="s">
        <v>432</v>
      </c>
      <c r="GS46" s="2" t="s">
        <v>432</v>
      </c>
      <c r="GT46" s="2" t="s">
        <v>432</v>
      </c>
      <c r="GU46" s="2" t="s">
        <v>432</v>
      </c>
      <c r="GV46" s="2" t="s">
        <v>432</v>
      </c>
      <c r="GW46" s="2" t="s">
        <v>432</v>
      </c>
      <c r="GX46" s="2" t="s">
        <v>432</v>
      </c>
      <c r="GZ46" s="2" t="s">
        <v>544</v>
      </c>
      <c r="HA46" s="2" t="s">
        <v>432</v>
      </c>
      <c r="HB46" s="2" t="s">
        <v>432</v>
      </c>
      <c r="HC46" s="2" t="s">
        <v>432</v>
      </c>
      <c r="HD46" s="2" t="s">
        <v>432</v>
      </c>
      <c r="HE46" s="2" t="s">
        <v>433</v>
      </c>
      <c r="HF46" s="2" t="s">
        <v>432</v>
      </c>
      <c r="HG46" s="2" t="s">
        <v>1295</v>
      </c>
      <c r="HI46" s="2" t="s">
        <v>456</v>
      </c>
      <c r="HV46" s="2" t="s">
        <v>430</v>
      </c>
      <c r="IN46" s="2" t="s">
        <v>747</v>
      </c>
      <c r="IO46" s="2" t="s">
        <v>1296</v>
      </c>
      <c r="IP46" s="2" t="s">
        <v>432</v>
      </c>
      <c r="IQ46" s="2" t="s">
        <v>433</v>
      </c>
      <c r="IR46" s="2" t="s">
        <v>433</v>
      </c>
      <c r="IS46" s="2" t="s">
        <v>433</v>
      </c>
      <c r="IT46" s="2" t="s">
        <v>433</v>
      </c>
      <c r="IU46" s="2" t="s">
        <v>432</v>
      </c>
      <c r="IV46" s="2" t="s">
        <v>432</v>
      </c>
      <c r="IW46" s="2" t="s">
        <v>432</v>
      </c>
      <c r="IX46" s="2" t="s">
        <v>432</v>
      </c>
      <c r="IY46" s="2" t="s">
        <v>432</v>
      </c>
      <c r="JA46" s="2" t="s">
        <v>580</v>
      </c>
      <c r="JB46" s="2" t="s">
        <v>432</v>
      </c>
      <c r="JC46" s="2" t="s">
        <v>433</v>
      </c>
      <c r="JD46" s="2" t="s">
        <v>433</v>
      </c>
      <c r="JE46" s="2" t="s">
        <v>432</v>
      </c>
      <c r="JF46" s="2" t="s">
        <v>432</v>
      </c>
      <c r="JG46" s="2" t="s">
        <v>432</v>
      </c>
      <c r="JT46" s="2" t="s">
        <v>1285</v>
      </c>
      <c r="JU46" s="2" t="s">
        <v>433</v>
      </c>
      <c r="JV46" s="2" t="s">
        <v>432</v>
      </c>
      <c r="JW46" s="2" t="s">
        <v>432</v>
      </c>
      <c r="JX46" s="2" t="s">
        <v>432</v>
      </c>
      <c r="JY46" s="2" t="s">
        <v>433</v>
      </c>
      <c r="JZ46" s="2" t="s">
        <v>432</v>
      </c>
      <c r="KA46" s="2" t="s">
        <v>432</v>
      </c>
      <c r="KB46" s="2" t="s">
        <v>432</v>
      </c>
      <c r="KC46" s="2" t="s">
        <v>432</v>
      </c>
      <c r="KF46" s="2" t="s">
        <v>430</v>
      </c>
      <c r="KG46" s="2" t="s">
        <v>1297</v>
      </c>
      <c r="KH46" s="2" t="s">
        <v>433</v>
      </c>
      <c r="KI46" s="2" t="s">
        <v>432</v>
      </c>
      <c r="KJ46" s="2" t="s">
        <v>433</v>
      </c>
      <c r="KK46" s="2" t="s">
        <v>432</v>
      </c>
      <c r="KL46" s="2" t="s">
        <v>432</v>
      </c>
      <c r="KM46" s="2" t="s">
        <v>432</v>
      </c>
      <c r="KN46" s="2" t="s">
        <v>432</v>
      </c>
      <c r="KO46" s="2" t="s">
        <v>433</v>
      </c>
      <c r="KP46" s="2" t="s">
        <v>432</v>
      </c>
      <c r="KQ46" s="2" t="s">
        <v>432</v>
      </c>
      <c r="KR46" s="2" t="s">
        <v>432</v>
      </c>
      <c r="LB46" s="2" t="s">
        <v>456</v>
      </c>
      <c r="LP46" s="2" t="s">
        <v>430</v>
      </c>
      <c r="LR46" s="2" t="s">
        <v>1298</v>
      </c>
      <c r="LS46" s="2">
        <v>170030466</v>
      </c>
      <c r="LT46" s="2" t="s">
        <v>1299</v>
      </c>
      <c r="LU46" s="2" t="s">
        <v>1288</v>
      </c>
      <c r="LW46" s="2" t="s">
        <v>460</v>
      </c>
      <c r="LX46" s="2" t="s">
        <v>461</v>
      </c>
      <c r="LY46" s="2" t="s">
        <v>462</v>
      </c>
      <c r="MA46" s="2">
        <v>50</v>
      </c>
    </row>
    <row r="47" spans="1:339" x14ac:dyDescent="0.3">
      <c r="A47" s="2" t="s">
        <v>1303</v>
      </c>
      <c r="B47" s="2" t="s">
        <v>1304</v>
      </c>
      <c r="C47" s="2" t="s">
        <v>1305</v>
      </c>
      <c r="F47" s="2" t="s">
        <v>422</v>
      </c>
      <c r="G47" s="2" t="s">
        <v>466</v>
      </c>
      <c r="H47" s="2" t="s">
        <v>588</v>
      </c>
      <c r="I47" s="2" t="s">
        <v>427</v>
      </c>
      <c r="J47" s="2" t="s">
        <v>746</v>
      </c>
      <c r="R47" s="2" t="s">
        <v>422</v>
      </c>
      <c r="S47" s="2" t="s">
        <v>1306</v>
      </c>
      <c r="T47" s="2" t="s">
        <v>426</v>
      </c>
      <c r="Z47" s="2" t="s">
        <v>428</v>
      </c>
      <c r="AA47" s="2" t="s">
        <v>429</v>
      </c>
      <c r="AB47" s="2" t="s">
        <v>466</v>
      </c>
      <c r="AG47" s="2" t="s">
        <v>456</v>
      </c>
      <c r="BQ47" s="2" t="s">
        <v>430</v>
      </c>
      <c r="BR47" s="2" t="s">
        <v>1217</v>
      </c>
      <c r="BS47" s="2" t="s">
        <v>432</v>
      </c>
      <c r="BT47" s="2" t="s">
        <v>432</v>
      </c>
      <c r="BU47" s="2" t="s">
        <v>432</v>
      </c>
      <c r="BV47" s="2" t="s">
        <v>432</v>
      </c>
      <c r="BW47" s="2" t="s">
        <v>432</v>
      </c>
      <c r="BX47" s="2" t="s">
        <v>432</v>
      </c>
      <c r="BY47" s="2" t="s">
        <v>433</v>
      </c>
      <c r="BZ47" s="2" t="s">
        <v>432</v>
      </c>
      <c r="CA47" s="2" t="s">
        <v>432</v>
      </c>
      <c r="CB47" s="2" t="s">
        <v>432</v>
      </c>
      <c r="CC47" s="2" t="s">
        <v>432</v>
      </c>
      <c r="CD47" s="2" t="s">
        <v>432</v>
      </c>
      <c r="CE47" s="2" t="s">
        <v>432</v>
      </c>
      <c r="CF47" s="2" t="s">
        <v>432</v>
      </c>
      <c r="CG47" s="2" t="s">
        <v>432</v>
      </c>
      <c r="CI47" s="2" t="s">
        <v>1307</v>
      </c>
      <c r="CJ47" s="2" t="s">
        <v>432</v>
      </c>
      <c r="CK47" s="2" t="s">
        <v>432</v>
      </c>
      <c r="CL47" s="2" t="s">
        <v>432</v>
      </c>
      <c r="CM47" s="2" t="s">
        <v>433</v>
      </c>
      <c r="CN47" s="2" t="s">
        <v>432</v>
      </c>
      <c r="CO47" s="2" t="s">
        <v>432</v>
      </c>
      <c r="CP47" s="2" t="s">
        <v>432</v>
      </c>
      <c r="CQ47" s="2" t="s">
        <v>432</v>
      </c>
      <c r="CR47" s="2" t="s">
        <v>432</v>
      </c>
      <c r="CS47" s="2" t="s">
        <v>432</v>
      </c>
      <c r="CT47" s="2" t="s">
        <v>432</v>
      </c>
      <c r="CU47" s="2" t="s">
        <v>432</v>
      </c>
      <c r="CV47" s="2" t="s">
        <v>432</v>
      </c>
      <c r="CW47" s="2" t="s">
        <v>432</v>
      </c>
      <c r="CY47" s="2" t="s">
        <v>433</v>
      </c>
      <c r="CZ47" s="2" t="s">
        <v>436</v>
      </c>
      <c r="DB47" s="2" t="s">
        <v>1308</v>
      </c>
      <c r="DC47" s="2" t="s">
        <v>433</v>
      </c>
      <c r="DD47" s="2" t="s">
        <v>432</v>
      </c>
      <c r="DE47" s="2" t="s">
        <v>433</v>
      </c>
      <c r="DF47" s="2" t="s">
        <v>432</v>
      </c>
      <c r="DG47" s="2" t="s">
        <v>432</v>
      </c>
      <c r="DH47" s="2" t="s">
        <v>432</v>
      </c>
      <c r="DI47" s="2" t="s">
        <v>432</v>
      </c>
      <c r="DJ47" s="2" t="s">
        <v>432</v>
      </c>
      <c r="DK47" s="2" t="s">
        <v>432</v>
      </c>
      <c r="DL47" s="2" t="s">
        <v>432</v>
      </c>
      <c r="DZ47" s="2" t="s">
        <v>1127</v>
      </c>
      <c r="EA47" s="2" t="s">
        <v>433</v>
      </c>
      <c r="EB47" s="2" t="s">
        <v>433</v>
      </c>
      <c r="EC47" s="2" t="s">
        <v>432</v>
      </c>
      <c r="ED47" s="2" t="s">
        <v>432</v>
      </c>
      <c r="EE47" s="2" t="s">
        <v>432</v>
      </c>
      <c r="EF47" s="2" t="s">
        <v>432</v>
      </c>
      <c r="EG47" s="2" t="s">
        <v>432</v>
      </c>
      <c r="EH47" s="2" t="s">
        <v>432</v>
      </c>
      <c r="EI47" s="2" t="s">
        <v>432</v>
      </c>
      <c r="EL47" s="2" t="s">
        <v>1309</v>
      </c>
      <c r="EM47" s="2" t="s">
        <v>432</v>
      </c>
      <c r="EN47" s="2" t="s">
        <v>433</v>
      </c>
      <c r="EO47" s="2" t="s">
        <v>432</v>
      </c>
      <c r="EP47" s="2" t="s">
        <v>433</v>
      </c>
      <c r="EQ47" s="2" t="s">
        <v>432</v>
      </c>
      <c r="ER47" s="2" t="s">
        <v>433</v>
      </c>
      <c r="ES47" s="2" t="s">
        <v>432</v>
      </c>
      <c r="ET47" s="2" t="s">
        <v>432</v>
      </c>
      <c r="EU47" s="2" t="s">
        <v>432</v>
      </c>
      <c r="EV47" s="2" t="s">
        <v>432</v>
      </c>
      <c r="EX47" s="2" t="s">
        <v>430</v>
      </c>
      <c r="EY47" s="2" t="s">
        <v>1310</v>
      </c>
      <c r="EZ47" s="2" t="s">
        <v>432</v>
      </c>
      <c r="FA47" s="2" t="s">
        <v>432</v>
      </c>
      <c r="FB47" s="2" t="s">
        <v>432</v>
      </c>
      <c r="FC47" s="2" t="s">
        <v>432</v>
      </c>
      <c r="FD47" s="2" t="s">
        <v>432</v>
      </c>
      <c r="FE47" s="2" t="s">
        <v>432</v>
      </c>
      <c r="FF47" s="2" t="s">
        <v>432</v>
      </c>
      <c r="FG47" s="2" t="s">
        <v>432</v>
      </c>
      <c r="FH47" s="2" t="s">
        <v>432</v>
      </c>
      <c r="FI47" s="2" t="s">
        <v>432</v>
      </c>
      <c r="FJ47" s="2" t="s">
        <v>433</v>
      </c>
      <c r="FK47" s="2" t="s">
        <v>432</v>
      </c>
      <c r="FL47" s="2" t="s">
        <v>433</v>
      </c>
      <c r="FM47" s="2" t="s">
        <v>432</v>
      </c>
      <c r="FN47" s="2" t="s">
        <v>1254</v>
      </c>
      <c r="FO47" s="2" t="s">
        <v>601</v>
      </c>
      <c r="FP47" s="2" t="s">
        <v>601</v>
      </c>
      <c r="GA47" s="2" t="s">
        <v>483</v>
      </c>
      <c r="GB47" s="2" t="s">
        <v>1311</v>
      </c>
      <c r="GC47" s="2" t="s">
        <v>1312</v>
      </c>
      <c r="GD47" s="2" t="s">
        <v>433</v>
      </c>
      <c r="GE47" s="2" t="s">
        <v>433</v>
      </c>
      <c r="GF47" s="2" t="s">
        <v>432</v>
      </c>
      <c r="GG47" s="2" t="s">
        <v>433</v>
      </c>
      <c r="GH47" s="2" t="s">
        <v>433</v>
      </c>
      <c r="GI47" s="2" t="s">
        <v>432</v>
      </c>
      <c r="GJ47" s="2" t="s">
        <v>432</v>
      </c>
      <c r="GK47" s="2" t="s">
        <v>432</v>
      </c>
      <c r="GL47" s="2" t="s">
        <v>432</v>
      </c>
      <c r="GN47" s="2" t="s">
        <v>481</v>
      </c>
      <c r="GO47" s="2" t="s">
        <v>456</v>
      </c>
      <c r="GP47" s="2" t="s">
        <v>511</v>
      </c>
      <c r="GQ47" s="2" t="s">
        <v>433</v>
      </c>
      <c r="GR47" s="2" t="s">
        <v>433</v>
      </c>
      <c r="GS47" s="2" t="s">
        <v>433</v>
      </c>
      <c r="GT47" s="2" t="s">
        <v>432</v>
      </c>
      <c r="GU47" s="2" t="s">
        <v>432</v>
      </c>
      <c r="GV47" s="2" t="s">
        <v>432</v>
      </c>
      <c r="GW47" s="2" t="s">
        <v>432</v>
      </c>
      <c r="GX47" s="2" t="s">
        <v>432</v>
      </c>
      <c r="GZ47" s="2" t="s">
        <v>577</v>
      </c>
      <c r="HA47" s="2" t="s">
        <v>432</v>
      </c>
      <c r="HB47" s="2" t="s">
        <v>433</v>
      </c>
      <c r="HC47" s="2" t="s">
        <v>432</v>
      </c>
      <c r="HD47" s="2" t="s">
        <v>432</v>
      </c>
      <c r="HE47" s="2" t="s">
        <v>432</v>
      </c>
      <c r="HF47" s="2" t="s">
        <v>432</v>
      </c>
      <c r="HI47" s="2" t="s">
        <v>456</v>
      </c>
      <c r="HV47" s="2" t="s">
        <v>430</v>
      </c>
      <c r="HX47" s="2" t="s">
        <v>1307</v>
      </c>
      <c r="HY47" s="2" t="s">
        <v>432</v>
      </c>
      <c r="HZ47" s="2" t="s">
        <v>432</v>
      </c>
      <c r="IA47" s="2" t="s">
        <v>432</v>
      </c>
      <c r="IB47" s="2" t="s">
        <v>433</v>
      </c>
      <c r="IC47" s="2" t="s">
        <v>432</v>
      </c>
      <c r="ID47" s="2" t="s">
        <v>432</v>
      </c>
      <c r="IE47" s="2" t="s">
        <v>432</v>
      </c>
      <c r="IF47" s="2" t="s">
        <v>432</v>
      </c>
      <c r="IG47" s="2" t="s">
        <v>432</v>
      </c>
      <c r="IH47" s="2" t="s">
        <v>432</v>
      </c>
      <c r="II47" s="2" t="s">
        <v>432</v>
      </c>
      <c r="IJ47" s="2" t="s">
        <v>432</v>
      </c>
      <c r="IK47" s="2" t="s">
        <v>432</v>
      </c>
      <c r="IL47" s="2" t="s">
        <v>432</v>
      </c>
      <c r="IN47" s="2" t="s">
        <v>1269</v>
      </c>
      <c r="IO47" s="2" t="s">
        <v>1313</v>
      </c>
      <c r="IP47" s="2" t="s">
        <v>432</v>
      </c>
      <c r="IQ47" s="2" t="s">
        <v>433</v>
      </c>
      <c r="IR47" s="2" t="s">
        <v>432</v>
      </c>
      <c r="IS47" s="2" t="s">
        <v>433</v>
      </c>
      <c r="IT47" s="2" t="s">
        <v>432</v>
      </c>
      <c r="IU47" s="2" t="s">
        <v>432</v>
      </c>
      <c r="IV47" s="2" t="s">
        <v>432</v>
      </c>
      <c r="IW47" s="2" t="s">
        <v>433</v>
      </c>
      <c r="IX47" s="2" t="s">
        <v>432</v>
      </c>
      <c r="IY47" s="2" t="s">
        <v>432</v>
      </c>
      <c r="JA47" s="2" t="s">
        <v>515</v>
      </c>
      <c r="JB47" s="2" t="s">
        <v>433</v>
      </c>
      <c r="JC47" s="2" t="s">
        <v>433</v>
      </c>
      <c r="JD47" s="2" t="s">
        <v>433</v>
      </c>
      <c r="JE47" s="2" t="s">
        <v>432</v>
      </c>
      <c r="JF47" s="2" t="s">
        <v>432</v>
      </c>
      <c r="JG47" s="2" t="s">
        <v>432</v>
      </c>
      <c r="JI47" s="2" t="s">
        <v>1314</v>
      </c>
      <c r="JJ47" s="2" t="s">
        <v>433</v>
      </c>
      <c r="JK47" s="2" t="s">
        <v>433</v>
      </c>
      <c r="JL47" s="2" t="s">
        <v>433</v>
      </c>
      <c r="JM47" s="2" t="s">
        <v>432</v>
      </c>
      <c r="JN47" s="2" t="s">
        <v>432</v>
      </c>
      <c r="JO47" s="2" t="s">
        <v>432</v>
      </c>
      <c r="JP47" s="2" t="s">
        <v>432</v>
      </c>
      <c r="JQ47" s="2" t="s">
        <v>432</v>
      </c>
      <c r="JR47" s="2" t="s">
        <v>432</v>
      </c>
      <c r="JT47" s="2" t="s">
        <v>761</v>
      </c>
      <c r="JU47" s="2" t="s">
        <v>433</v>
      </c>
      <c r="JV47" s="2" t="s">
        <v>433</v>
      </c>
      <c r="JW47" s="2" t="s">
        <v>432</v>
      </c>
      <c r="JX47" s="2" t="s">
        <v>432</v>
      </c>
      <c r="JY47" s="2" t="s">
        <v>432</v>
      </c>
      <c r="JZ47" s="2" t="s">
        <v>432</v>
      </c>
      <c r="KA47" s="2" t="s">
        <v>432</v>
      </c>
      <c r="KB47" s="2" t="s">
        <v>432</v>
      </c>
      <c r="KC47" s="2" t="s">
        <v>432</v>
      </c>
      <c r="KF47" s="2" t="s">
        <v>430</v>
      </c>
      <c r="KG47" s="2" t="s">
        <v>1315</v>
      </c>
      <c r="KH47" s="2" t="s">
        <v>433</v>
      </c>
      <c r="KI47" s="2" t="s">
        <v>432</v>
      </c>
      <c r="KJ47" s="2" t="s">
        <v>433</v>
      </c>
      <c r="KK47" s="2" t="s">
        <v>432</v>
      </c>
      <c r="KL47" s="2" t="s">
        <v>432</v>
      </c>
      <c r="KM47" s="2" t="s">
        <v>432</v>
      </c>
      <c r="KN47" s="2" t="s">
        <v>432</v>
      </c>
      <c r="KO47" s="2" t="s">
        <v>432</v>
      </c>
      <c r="KP47" s="2" t="s">
        <v>432</v>
      </c>
      <c r="KQ47" s="2" t="s">
        <v>432</v>
      </c>
      <c r="KR47" s="2" t="s">
        <v>432</v>
      </c>
      <c r="LB47" s="2" t="s">
        <v>456</v>
      </c>
      <c r="LP47" s="2" t="s">
        <v>430</v>
      </c>
      <c r="LS47" s="2">
        <v>170254163</v>
      </c>
      <c r="LT47" s="2" t="s">
        <v>1316</v>
      </c>
      <c r="LU47" s="2" t="s">
        <v>1317</v>
      </c>
      <c r="LW47" s="2" t="s">
        <v>460</v>
      </c>
      <c r="LX47" s="2" t="s">
        <v>461</v>
      </c>
      <c r="LY47" s="2" t="s">
        <v>462</v>
      </c>
      <c r="MA47" s="2">
        <v>51</v>
      </c>
    </row>
    <row r="48" spans="1:339" x14ac:dyDescent="0.3">
      <c r="A48" s="2" t="s">
        <v>1318</v>
      </c>
      <c r="B48" s="2" t="s">
        <v>1319</v>
      </c>
      <c r="C48" s="2" t="s">
        <v>1305</v>
      </c>
      <c r="F48" s="2" t="s">
        <v>422</v>
      </c>
      <c r="G48" s="2" t="s">
        <v>1126</v>
      </c>
      <c r="H48" s="2" t="s">
        <v>1320</v>
      </c>
      <c r="I48" s="2" t="s">
        <v>1321</v>
      </c>
      <c r="R48" s="2" t="s">
        <v>422</v>
      </c>
      <c r="S48" s="2" t="s">
        <v>1306</v>
      </c>
      <c r="T48" s="2" t="s">
        <v>426</v>
      </c>
      <c r="Z48" s="2" t="s">
        <v>428</v>
      </c>
      <c r="AA48" s="2" t="s">
        <v>429</v>
      </c>
      <c r="AB48" s="2" t="s">
        <v>1126</v>
      </c>
      <c r="AG48" s="2" t="s">
        <v>456</v>
      </c>
      <c r="BQ48" s="2" t="s">
        <v>456</v>
      </c>
      <c r="DZ48" s="2" t="s">
        <v>768</v>
      </c>
      <c r="EA48" s="2" t="s">
        <v>433</v>
      </c>
      <c r="EB48" s="2" t="s">
        <v>432</v>
      </c>
      <c r="EC48" s="2" t="s">
        <v>432</v>
      </c>
      <c r="ED48" s="2" t="s">
        <v>432</v>
      </c>
      <c r="EE48" s="2" t="s">
        <v>432</v>
      </c>
      <c r="EF48" s="2" t="s">
        <v>432</v>
      </c>
      <c r="EG48" s="2" t="s">
        <v>432</v>
      </c>
      <c r="EH48" s="2" t="s">
        <v>432</v>
      </c>
      <c r="EI48" s="2" t="s">
        <v>432</v>
      </c>
      <c r="EL48" s="2" t="s">
        <v>597</v>
      </c>
      <c r="EM48" s="2" t="s">
        <v>432</v>
      </c>
      <c r="EN48" s="2" t="s">
        <v>432</v>
      </c>
      <c r="EO48" s="2" t="s">
        <v>432</v>
      </c>
      <c r="EP48" s="2" t="s">
        <v>432</v>
      </c>
      <c r="EQ48" s="2" t="s">
        <v>432</v>
      </c>
      <c r="ER48" s="2" t="s">
        <v>432</v>
      </c>
      <c r="ES48" s="2" t="s">
        <v>432</v>
      </c>
      <c r="ET48" s="2" t="s">
        <v>432</v>
      </c>
      <c r="EU48" s="2" t="s">
        <v>433</v>
      </c>
      <c r="EV48" s="2" t="s">
        <v>432</v>
      </c>
      <c r="EX48" s="2" t="s">
        <v>430</v>
      </c>
      <c r="EY48" s="2" t="s">
        <v>1069</v>
      </c>
      <c r="EZ48" s="2" t="s">
        <v>432</v>
      </c>
      <c r="FA48" s="2" t="s">
        <v>432</v>
      </c>
      <c r="FB48" s="2" t="s">
        <v>432</v>
      </c>
      <c r="FC48" s="2" t="s">
        <v>432</v>
      </c>
      <c r="FD48" s="2" t="s">
        <v>433</v>
      </c>
      <c r="FE48" s="2" t="s">
        <v>432</v>
      </c>
      <c r="FF48" s="2" t="s">
        <v>432</v>
      </c>
      <c r="FG48" s="2" t="s">
        <v>432</v>
      </c>
      <c r="FH48" s="2" t="s">
        <v>432</v>
      </c>
      <c r="FI48" s="2" t="s">
        <v>432</v>
      </c>
      <c r="FJ48" s="2" t="s">
        <v>432</v>
      </c>
      <c r="FK48" s="2" t="s">
        <v>432</v>
      </c>
      <c r="FL48" s="2" t="s">
        <v>432</v>
      </c>
      <c r="FM48" s="2" t="s">
        <v>432</v>
      </c>
      <c r="FO48" s="2" t="s">
        <v>508</v>
      </c>
      <c r="FP48" s="2" t="s">
        <v>508</v>
      </c>
      <c r="FQ48" s="2" t="s">
        <v>482</v>
      </c>
      <c r="FR48" s="2" t="s">
        <v>432</v>
      </c>
      <c r="FS48" s="2" t="s">
        <v>433</v>
      </c>
      <c r="FT48" s="2" t="s">
        <v>432</v>
      </c>
      <c r="FU48" s="2" t="s">
        <v>432</v>
      </c>
      <c r="FV48" s="2" t="s">
        <v>432</v>
      </c>
      <c r="FW48" s="2" t="s">
        <v>432</v>
      </c>
      <c r="FX48" s="2" t="s">
        <v>432</v>
      </c>
      <c r="FY48" s="2" t="s">
        <v>432</v>
      </c>
      <c r="GA48" s="2" t="s">
        <v>444</v>
      </c>
      <c r="GB48" s="2" t="s">
        <v>444</v>
      </c>
      <c r="GC48" s="2" t="s">
        <v>544</v>
      </c>
      <c r="GD48" s="2" t="s">
        <v>432</v>
      </c>
      <c r="GE48" s="2" t="s">
        <v>432</v>
      </c>
      <c r="GF48" s="2" t="s">
        <v>432</v>
      </c>
      <c r="GG48" s="2" t="s">
        <v>432</v>
      </c>
      <c r="GH48" s="2" t="s">
        <v>432</v>
      </c>
      <c r="GI48" s="2" t="s">
        <v>432</v>
      </c>
      <c r="GJ48" s="2" t="s">
        <v>432</v>
      </c>
      <c r="GK48" s="2" t="s">
        <v>433</v>
      </c>
      <c r="GL48" s="2" t="s">
        <v>432</v>
      </c>
      <c r="GM48" s="2" t="s">
        <v>1322</v>
      </c>
      <c r="GN48" s="2" t="s">
        <v>508</v>
      </c>
      <c r="GO48" s="2" t="s">
        <v>508</v>
      </c>
      <c r="GP48" s="2" t="s">
        <v>1294</v>
      </c>
      <c r="GQ48" s="2" t="s">
        <v>433</v>
      </c>
      <c r="GR48" s="2" t="s">
        <v>432</v>
      </c>
      <c r="GS48" s="2" t="s">
        <v>432</v>
      </c>
      <c r="GT48" s="2" t="s">
        <v>432</v>
      </c>
      <c r="GU48" s="2" t="s">
        <v>432</v>
      </c>
      <c r="GV48" s="2" t="s">
        <v>432</v>
      </c>
      <c r="GW48" s="2" t="s">
        <v>432</v>
      </c>
      <c r="GX48" s="2" t="s">
        <v>432</v>
      </c>
      <c r="GZ48" s="2" t="s">
        <v>544</v>
      </c>
      <c r="HA48" s="2" t="s">
        <v>432</v>
      </c>
      <c r="HB48" s="2" t="s">
        <v>432</v>
      </c>
      <c r="HC48" s="2" t="s">
        <v>432</v>
      </c>
      <c r="HD48" s="2" t="s">
        <v>432</v>
      </c>
      <c r="HE48" s="2" t="s">
        <v>433</v>
      </c>
      <c r="HF48" s="2" t="s">
        <v>432</v>
      </c>
      <c r="HG48" s="2" t="s">
        <v>1323</v>
      </c>
      <c r="HI48" s="2" t="s">
        <v>456</v>
      </c>
      <c r="HV48" s="2" t="s">
        <v>430</v>
      </c>
      <c r="IN48" s="2" t="s">
        <v>907</v>
      </c>
      <c r="IO48" s="2" t="s">
        <v>1324</v>
      </c>
      <c r="IP48" s="2" t="s">
        <v>432</v>
      </c>
      <c r="IQ48" s="2" t="s">
        <v>432</v>
      </c>
      <c r="IR48" s="2" t="s">
        <v>432</v>
      </c>
      <c r="IS48" s="2" t="s">
        <v>433</v>
      </c>
      <c r="IT48" s="2" t="s">
        <v>433</v>
      </c>
      <c r="IU48" s="2" t="s">
        <v>432</v>
      </c>
      <c r="IV48" s="2" t="s">
        <v>432</v>
      </c>
      <c r="IW48" s="2" t="s">
        <v>432</v>
      </c>
      <c r="IX48" s="2" t="s">
        <v>432</v>
      </c>
      <c r="IY48" s="2" t="s">
        <v>432</v>
      </c>
      <c r="JA48" s="2" t="s">
        <v>738</v>
      </c>
      <c r="JB48" s="2" t="s">
        <v>432</v>
      </c>
      <c r="JC48" s="2" t="s">
        <v>433</v>
      </c>
      <c r="JD48" s="2" t="s">
        <v>433</v>
      </c>
      <c r="JE48" s="2" t="s">
        <v>432</v>
      </c>
      <c r="JF48" s="2" t="s">
        <v>432</v>
      </c>
      <c r="JG48" s="2" t="s">
        <v>432</v>
      </c>
      <c r="JT48" s="2" t="s">
        <v>544</v>
      </c>
      <c r="JU48" s="2" t="s">
        <v>432</v>
      </c>
      <c r="JV48" s="2" t="s">
        <v>432</v>
      </c>
      <c r="JW48" s="2" t="s">
        <v>432</v>
      </c>
      <c r="JX48" s="2" t="s">
        <v>432</v>
      </c>
      <c r="JY48" s="2" t="s">
        <v>432</v>
      </c>
      <c r="JZ48" s="2" t="s">
        <v>432</v>
      </c>
      <c r="KA48" s="2" t="s">
        <v>432</v>
      </c>
      <c r="KB48" s="2" t="s">
        <v>433</v>
      </c>
      <c r="KC48" s="2" t="s">
        <v>432</v>
      </c>
      <c r="KD48" s="2" t="s">
        <v>1322</v>
      </c>
      <c r="KF48" s="2" t="s">
        <v>456</v>
      </c>
      <c r="LB48" s="2" t="s">
        <v>456</v>
      </c>
      <c r="LP48" s="2" t="s">
        <v>430</v>
      </c>
      <c r="LR48" s="2" t="s">
        <v>1325</v>
      </c>
      <c r="LS48" s="2">
        <v>170268443</v>
      </c>
      <c r="LT48" s="2" t="s">
        <v>1326</v>
      </c>
      <c r="LU48" s="2" t="s">
        <v>1327</v>
      </c>
      <c r="LW48" s="2" t="s">
        <v>460</v>
      </c>
      <c r="LX48" s="2" t="s">
        <v>461</v>
      </c>
      <c r="LY48" s="2" t="s">
        <v>462</v>
      </c>
      <c r="MA48" s="2">
        <v>52</v>
      </c>
    </row>
    <row r="49" spans="1:339" x14ac:dyDescent="0.3">
      <c r="A49" s="2" t="s">
        <v>1328</v>
      </c>
      <c r="B49" s="2" t="s">
        <v>1329</v>
      </c>
      <c r="C49" s="2" t="s">
        <v>1305</v>
      </c>
      <c r="F49" s="2" t="s">
        <v>422</v>
      </c>
      <c r="G49" s="2" t="s">
        <v>1126</v>
      </c>
      <c r="H49" s="2" t="s">
        <v>1320</v>
      </c>
      <c r="I49" s="2" t="s">
        <v>1321</v>
      </c>
      <c r="R49" s="2" t="s">
        <v>422</v>
      </c>
      <c r="S49" s="2" t="s">
        <v>747</v>
      </c>
      <c r="T49" s="2" t="s">
        <v>426</v>
      </c>
      <c r="Z49" s="2" t="s">
        <v>428</v>
      </c>
      <c r="AA49" s="2" t="s">
        <v>429</v>
      </c>
      <c r="AB49" s="2" t="s">
        <v>1126</v>
      </c>
      <c r="AG49" s="2" t="s">
        <v>456</v>
      </c>
      <c r="BQ49" s="2" t="s">
        <v>456</v>
      </c>
      <c r="DZ49" s="2" t="s">
        <v>768</v>
      </c>
      <c r="EA49" s="2" t="s">
        <v>433</v>
      </c>
      <c r="EB49" s="2" t="s">
        <v>432</v>
      </c>
      <c r="EC49" s="2" t="s">
        <v>432</v>
      </c>
      <c r="ED49" s="2" t="s">
        <v>432</v>
      </c>
      <c r="EE49" s="2" t="s">
        <v>432</v>
      </c>
      <c r="EF49" s="2" t="s">
        <v>432</v>
      </c>
      <c r="EG49" s="2" t="s">
        <v>432</v>
      </c>
      <c r="EH49" s="2" t="s">
        <v>432</v>
      </c>
      <c r="EI49" s="2" t="s">
        <v>432</v>
      </c>
      <c r="EL49" s="2" t="s">
        <v>544</v>
      </c>
      <c r="EM49" s="2" t="s">
        <v>432</v>
      </c>
      <c r="EN49" s="2" t="s">
        <v>432</v>
      </c>
      <c r="EO49" s="2" t="s">
        <v>432</v>
      </c>
      <c r="EP49" s="2" t="s">
        <v>432</v>
      </c>
      <c r="EQ49" s="2" t="s">
        <v>432</v>
      </c>
      <c r="ER49" s="2" t="s">
        <v>432</v>
      </c>
      <c r="ES49" s="2" t="s">
        <v>432</v>
      </c>
      <c r="ET49" s="2" t="s">
        <v>433</v>
      </c>
      <c r="EU49" s="2" t="s">
        <v>432</v>
      </c>
      <c r="EV49" s="2" t="s">
        <v>432</v>
      </c>
      <c r="EW49" s="2" t="s">
        <v>1322</v>
      </c>
      <c r="EX49" s="2" t="s">
        <v>1223</v>
      </c>
      <c r="GN49" s="2" t="s">
        <v>597</v>
      </c>
      <c r="GO49" s="2" t="s">
        <v>597</v>
      </c>
      <c r="HI49" s="2" t="s">
        <v>456</v>
      </c>
      <c r="HV49" s="2" t="s">
        <v>430</v>
      </c>
      <c r="IN49" s="2" t="s">
        <v>435</v>
      </c>
      <c r="JA49" s="2" t="s">
        <v>1330</v>
      </c>
      <c r="JB49" s="2" t="s">
        <v>432</v>
      </c>
      <c r="JC49" s="2" t="s">
        <v>432</v>
      </c>
      <c r="JD49" s="2" t="s">
        <v>433</v>
      </c>
      <c r="JE49" s="2" t="s">
        <v>432</v>
      </c>
      <c r="JF49" s="2" t="s">
        <v>432</v>
      </c>
      <c r="JG49" s="2" t="s">
        <v>432</v>
      </c>
      <c r="JT49" s="2" t="s">
        <v>1331</v>
      </c>
      <c r="JU49" s="2" t="s">
        <v>432</v>
      </c>
      <c r="JV49" s="2" t="s">
        <v>432</v>
      </c>
      <c r="JW49" s="2" t="s">
        <v>433</v>
      </c>
      <c r="JX49" s="2" t="s">
        <v>432</v>
      </c>
      <c r="JY49" s="2" t="s">
        <v>433</v>
      </c>
      <c r="JZ49" s="2" t="s">
        <v>432</v>
      </c>
      <c r="KA49" s="2" t="s">
        <v>432</v>
      </c>
      <c r="KB49" s="2" t="s">
        <v>432</v>
      </c>
      <c r="KC49" s="2" t="s">
        <v>432</v>
      </c>
      <c r="KF49" s="2" t="s">
        <v>456</v>
      </c>
      <c r="LB49" s="2" t="s">
        <v>456</v>
      </c>
      <c r="LP49" s="2" t="s">
        <v>430</v>
      </c>
      <c r="LR49" s="2" t="s">
        <v>1332</v>
      </c>
      <c r="LS49" s="2">
        <v>170268445</v>
      </c>
      <c r="LT49" s="2" t="s">
        <v>1333</v>
      </c>
      <c r="LU49" s="2" t="s">
        <v>1334</v>
      </c>
      <c r="LW49" s="2" t="s">
        <v>460</v>
      </c>
      <c r="LX49" s="2" t="s">
        <v>461</v>
      </c>
      <c r="LY49" s="2" t="s">
        <v>462</v>
      </c>
      <c r="MA49" s="2">
        <v>53</v>
      </c>
    </row>
    <row r="50" spans="1:339" x14ac:dyDescent="0.3">
      <c r="A50" s="2" t="s">
        <v>1335</v>
      </c>
      <c r="B50" s="2" t="s">
        <v>1336</v>
      </c>
      <c r="C50" s="2" t="s">
        <v>1305</v>
      </c>
      <c r="F50" s="2" t="s">
        <v>422</v>
      </c>
      <c r="G50" s="2" t="s">
        <v>1337</v>
      </c>
      <c r="H50" s="2" t="s">
        <v>1337</v>
      </c>
      <c r="I50" s="2" t="s">
        <v>1338</v>
      </c>
      <c r="R50" s="2" t="s">
        <v>422</v>
      </c>
      <c r="S50" s="2" t="s">
        <v>543</v>
      </c>
      <c r="T50" s="2" t="s">
        <v>426</v>
      </c>
      <c r="Z50" s="2" t="s">
        <v>428</v>
      </c>
      <c r="AA50" s="2" t="s">
        <v>429</v>
      </c>
      <c r="AB50" s="2" t="s">
        <v>1337</v>
      </c>
      <c r="AG50" s="2" t="s">
        <v>430</v>
      </c>
      <c r="AH50" s="2" t="s">
        <v>1188</v>
      </c>
      <c r="AI50" s="2" t="s">
        <v>432</v>
      </c>
      <c r="AJ50" s="2" t="s">
        <v>432</v>
      </c>
      <c r="AK50" s="2" t="s">
        <v>433</v>
      </c>
      <c r="AL50" s="2" t="s">
        <v>432</v>
      </c>
      <c r="AM50" s="2" t="s">
        <v>432</v>
      </c>
      <c r="AN50" s="2" t="s">
        <v>432</v>
      </c>
      <c r="AO50" s="2" t="s">
        <v>432</v>
      </c>
      <c r="AP50" s="2" t="s">
        <v>432</v>
      </c>
      <c r="AQ50" s="2" t="s">
        <v>432</v>
      </c>
      <c r="AR50" s="2" t="s">
        <v>432</v>
      </c>
      <c r="AS50" s="2" t="s">
        <v>432</v>
      </c>
      <c r="AT50" s="2" t="s">
        <v>433</v>
      </c>
      <c r="AU50" s="2" t="s">
        <v>432</v>
      </c>
      <c r="AV50" s="2" t="s">
        <v>432</v>
      </c>
      <c r="AW50" s="2" t="s">
        <v>1339</v>
      </c>
      <c r="AX50" s="2" t="s">
        <v>1340</v>
      </c>
      <c r="AY50" s="2" t="s">
        <v>432</v>
      </c>
      <c r="AZ50" s="2" t="s">
        <v>432</v>
      </c>
      <c r="BA50" s="2" t="s">
        <v>432</v>
      </c>
      <c r="BB50" s="2" t="s">
        <v>433</v>
      </c>
      <c r="BC50" s="2" t="s">
        <v>433</v>
      </c>
      <c r="BD50" s="2" t="s">
        <v>433</v>
      </c>
      <c r="BE50" s="2" t="s">
        <v>432</v>
      </c>
      <c r="BF50" s="2" t="s">
        <v>432</v>
      </c>
      <c r="BG50" s="2" t="s">
        <v>432</v>
      </c>
      <c r="BH50" s="2" t="s">
        <v>432</v>
      </c>
      <c r="BI50" s="2" t="s">
        <v>432</v>
      </c>
      <c r="BJ50" s="2" t="s">
        <v>432</v>
      </c>
      <c r="BK50" s="2" t="s">
        <v>432</v>
      </c>
      <c r="BL50" s="2" t="s">
        <v>432</v>
      </c>
      <c r="BN50" s="2" t="s">
        <v>513</v>
      </c>
      <c r="BO50" s="2" t="s">
        <v>547</v>
      </c>
      <c r="BQ50" s="2" t="s">
        <v>430</v>
      </c>
      <c r="BR50" s="2" t="s">
        <v>1341</v>
      </c>
      <c r="BS50" s="2" t="s">
        <v>432</v>
      </c>
      <c r="BT50" s="2" t="s">
        <v>432</v>
      </c>
      <c r="BU50" s="2" t="s">
        <v>432</v>
      </c>
      <c r="BV50" s="2" t="s">
        <v>432</v>
      </c>
      <c r="BW50" s="2" t="s">
        <v>433</v>
      </c>
      <c r="BX50" s="2" t="s">
        <v>433</v>
      </c>
      <c r="BY50" s="2" t="s">
        <v>432</v>
      </c>
      <c r="BZ50" s="2" t="s">
        <v>432</v>
      </c>
      <c r="CA50" s="2" t="s">
        <v>433</v>
      </c>
      <c r="CB50" s="2" t="s">
        <v>432</v>
      </c>
      <c r="CC50" s="2" t="s">
        <v>432</v>
      </c>
      <c r="CD50" s="2" t="s">
        <v>432</v>
      </c>
      <c r="CE50" s="2" t="s">
        <v>432</v>
      </c>
      <c r="CF50" s="2" t="s">
        <v>432</v>
      </c>
      <c r="CG50" s="2" t="s">
        <v>432</v>
      </c>
      <c r="CI50" s="2" t="s">
        <v>1342</v>
      </c>
      <c r="CJ50" s="2" t="s">
        <v>432</v>
      </c>
      <c r="CK50" s="2" t="s">
        <v>433</v>
      </c>
      <c r="CL50" s="2" t="s">
        <v>433</v>
      </c>
      <c r="CM50" s="2" t="s">
        <v>433</v>
      </c>
      <c r="CN50" s="2" t="s">
        <v>433</v>
      </c>
      <c r="CO50" s="2" t="s">
        <v>433</v>
      </c>
      <c r="CP50" s="2" t="s">
        <v>432</v>
      </c>
      <c r="CQ50" s="2" t="s">
        <v>432</v>
      </c>
      <c r="CR50" s="2" t="s">
        <v>432</v>
      </c>
      <c r="CS50" s="2" t="s">
        <v>432</v>
      </c>
      <c r="CT50" s="2" t="s">
        <v>432</v>
      </c>
      <c r="CU50" s="2" t="s">
        <v>432</v>
      </c>
      <c r="CV50" s="2" t="s">
        <v>432</v>
      </c>
      <c r="CW50" s="2" t="s">
        <v>432</v>
      </c>
      <c r="CY50" s="2" t="s">
        <v>476</v>
      </c>
      <c r="CZ50" s="2" t="s">
        <v>547</v>
      </c>
      <c r="DZ50" s="2" t="s">
        <v>1220</v>
      </c>
      <c r="EA50" s="2" t="s">
        <v>432</v>
      </c>
      <c r="EB50" s="2" t="s">
        <v>433</v>
      </c>
      <c r="EC50" s="2" t="s">
        <v>432</v>
      </c>
      <c r="ED50" s="2" t="s">
        <v>432</v>
      </c>
      <c r="EE50" s="2" t="s">
        <v>432</v>
      </c>
      <c r="EF50" s="2" t="s">
        <v>432</v>
      </c>
      <c r="EG50" s="2" t="s">
        <v>432</v>
      </c>
      <c r="EH50" s="2" t="s">
        <v>433</v>
      </c>
      <c r="EI50" s="2" t="s">
        <v>432</v>
      </c>
      <c r="EJ50" s="2" t="s">
        <v>1343</v>
      </c>
      <c r="EL50" s="2" t="s">
        <v>1114</v>
      </c>
      <c r="EM50" s="2" t="s">
        <v>432</v>
      </c>
      <c r="EN50" s="2" t="s">
        <v>433</v>
      </c>
      <c r="EO50" s="2" t="s">
        <v>432</v>
      </c>
      <c r="EP50" s="2" t="s">
        <v>432</v>
      </c>
      <c r="EQ50" s="2" t="s">
        <v>432</v>
      </c>
      <c r="ER50" s="2" t="s">
        <v>432</v>
      </c>
      <c r="ES50" s="2" t="s">
        <v>432</v>
      </c>
      <c r="ET50" s="2" t="s">
        <v>432</v>
      </c>
      <c r="EU50" s="2" t="s">
        <v>432</v>
      </c>
      <c r="EV50" s="2" t="s">
        <v>432</v>
      </c>
      <c r="EX50" s="2" t="s">
        <v>430</v>
      </c>
      <c r="EY50" s="2" t="s">
        <v>553</v>
      </c>
      <c r="EZ50" s="2" t="s">
        <v>432</v>
      </c>
      <c r="FA50" s="2" t="s">
        <v>432</v>
      </c>
      <c r="FB50" s="2" t="s">
        <v>432</v>
      </c>
      <c r="FC50" s="2" t="s">
        <v>433</v>
      </c>
      <c r="FD50" s="2" t="s">
        <v>433</v>
      </c>
      <c r="FE50" s="2" t="s">
        <v>432</v>
      </c>
      <c r="FF50" s="2" t="s">
        <v>432</v>
      </c>
      <c r="FG50" s="2" t="s">
        <v>432</v>
      </c>
      <c r="FH50" s="2" t="s">
        <v>432</v>
      </c>
      <c r="FI50" s="2" t="s">
        <v>432</v>
      </c>
      <c r="FJ50" s="2" t="s">
        <v>432</v>
      </c>
      <c r="FK50" s="2" t="s">
        <v>432</v>
      </c>
      <c r="FL50" s="2" t="s">
        <v>432</v>
      </c>
      <c r="FM50" s="2" t="s">
        <v>432</v>
      </c>
      <c r="FO50" s="2" t="s">
        <v>601</v>
      </c>
      <c r="FP50" s="2" t="s">
        <v>601</v>
      </c>
      <c r="GA50" s="2" t="s">
        <v>444</v>
      </c>
      <c r="GB50" s="2" t="s">
        <v>1311</v>
      </c>
      <c r="GC50" s="2" t="s">
        <v>1192</v>
      </c>
      <c r="GD50" s="2" t="s">
        <v>432</v>
      </c>
      <c r="GE50" s="2" t="s">
        <v>433</v>
      </c>
      <c r="GF50" s="2" t="s">
        <v>432</v>
      </c>
      <c r="GG50" s="2" t="s">
        <v>433</v>
      </c>
      <c r="GH50" s="2" t="s">
        <v>433</v>
      </c>
      <c r="GI50" s="2" t="s">
        <v>433</v>
      </c>
      <c r="GJ50" s="2" t="s">
        <v>432</v>
      </c>
      <c r="GK50" s="2" t="s">
        <v>432</v>
      </c>
      <c r="GL50" s="2" t="s">
        <v>432</v>
      </c>
      <c r="GN50" s="2" t="s">
        <v>442</v>
      </c>
      <c r="GO50" s="2" t="s">
        <v>442</v>
      </c>
      <c r="GP50" s="2" t="s">
        <v>576</v>
      </c>
      <c r="GQ50" s="2" t="s">
        <v>432</v>
      </c>
      <c r="GR50" s="2" t="s">
        <v>433</v>
      </c>
      <c r="GS50" s="2" t="s">
        <v>432</v>
      </c>
      <c r="GT50" s="2" t="s">
        <v>432</v>
      </c>
      <c r="GU50" s="2" t="s">
        <v>432</v>
      </c>
      <c r="GV50" s="2" t="s">
        <v>432</v>
      </c>
      <c r="GW50" s="2" t="s">
        <v>432</v>
      </c>
      <c r="GX50" s="2" t="s">
        <v>432</v>
      </c>
      <c r="GZ50" s="2" t="s">
        <v>1009</v>
      </c>
      <c r="HA50" s="2" t="s">
        <v>433</v>
      </c>
      <c r="HB50" s="2" t="s">
        <v>433</v>
      </c>
      <c r="HC50" s="2" t="s">
        <v>433</v>
      </c>
      <c r="HD50" s="2" t="s">
        <v>432</v>
      </c>
      <c r="HE50" s="2" t="s">
        <v>432</v>
      </c>
      <c r="HF50" s="2" t="s">
        <v>432</v>
      </c>
      <c r="HI50" s="2" t="s">
        <v>456</v>
      </c>
      <c r="HV50" s="2" t="s">
        <v>430</v>
      </c>
      <c r="HX50" s="2" t="s">
        <v>1344</v>
      </c>
      <c r="HY50" s="2" t="s">
        <v>432</v>
      </c>
      <c r="HZ50" s="2" t="s">
        <v>432</v>
      </c>
      <c r="IA50" s="2" t="s">
        <v>433</v>
      </c>
      <c r="IB50" s="2" t="s">
        <v>432</v>
      </c>
      <c r="IC50" s="2" t="s">
        <v>433</v>
      </c>
      <c r="ID50" s="2" t="s">
        <v>433</v>
      </c>
      <c r="IE50" s="2" t="s">
        <v>432</v>
      </c>
      <c r="IF50" s="2" t="s">
        <v>432</v>
      </c>
      <c r="IG50" s="2" t="s">
        <v>432</v>
      </c>
      <c r="IH50" s="2" t="s">
        <v>432</v>
      </c>
      <c r="II50" s="2" t="s">
        <v>432</v>
      </c>
      <c r="IJ50" s="2" t="s">
        <v>432</v>
      </c>
      <c r="IK50" s="2" t="s">
        <v>432</v>
      </c>
      <c r="IL50" s="2" t="s">
        <v>432</v>
      </c>
      <c r="IN50" s="2" t="s">
        <v>1345</v>
      </c>
      <c r="IO50" s="2" t="s">
        <v>1346</v>
      </c>
      <c r="IP50" s="2" t="s">
        <v>432</v>
      </c>
      <c r="IQ50" s="2" t="s">
        <v>433</v>
      </c>
      <c r="IR50" s="2" t="s">
        <v>433</v>
      </c>
      <c r="IS50" s="2" t="s">
        <v>433</v>
      </c>
      <c r="IT50" s="2" t="s">
        <v>432</v>
      </c>
      <c r="IU50" s="2" t="s">
        <v>433</v>
      </c>
      <c r="IV50" s="2" t="s">
        <v>432</v>
      </c>
      <c r="IW50" s="2" t="s">
        <v>432</v>
      </c>
      <c r="IX50" s="2" t="s">
        <v>432</v>
      </c>
      <c r="IY50" s="2" t="s">
        <v>432</v>
      </c>
      <c r="JA50" s="2" t="s">
        <v>580</v>
      </c>
      <c r="JB50" s="2" t="s">
        <v>432</v>
      </c>
      <c r="JC50" s="2" t="s">
        <v>433</v>
      </c>
      <c r="JD50" s="2" t="s">
        <v>433</v>
      </c>
      <c r="JE50" s="2" t="s">
        <v>432</v>
      </c>
      <c r="JF50" s="2" t="s">
        <v>432</v>
      </c>
      <c r="JG50" s="2" t="s">
        <v>432</v>
      </c>
      <c r="JT50" s="2" t="s">
        <v>1063</v>
      </c>
      <c r="JU50" s="2" t="s">
        <v>433</v>
      </c>
      <c r="JV50" s="2" t="s">
        <v>432</v>
      </c>
      <c r="JW50" s="2" t="s">
        <v>432</v>
      </c>
      <c r="JX50" s="2" t="s">
        <v>432</v>
      </c>
      <c r="JY50" s="2" t="s">
        <v>432</v>
      </c>
      <c r="JZ50" s="2" t="s">
        <v>432</v>
      </c>
      <c r="KA50" s="2" t="s">
        <v>432</v>
      </c>
      <c r="KB50" s="2" t="s">
        <v>432</v>
      </c>
      <c r="KC50" s="2" t="s">
        <v>432</v>
      </c>
      <c r="KF50" s="2" t="s">
        <v>430</v>
      </c>
      <c r="KG50" s="2" t="s">
        <v>1347</v>
      </c>
      <c r="KH50" s="2" t="s">
        <v>433</v>
      </c>
      <c r="KI50" s="2" t="s">
        <v>432</v>
      </c>
      <c r="KJ50" s="2" t="s">
        <v>433</v>
      </c>
      <c r="KK50" s="2" t="s">
        <v>432</v>
      </c>
      <c r="KL50" s="2" t="s">
        <v>432</v>
      </c>
      <c r="KM50" s="2" t="s">
        <v>432</v>
      </c>
      <c r="KN50" s="2" t="s">
        <v>432</v>
      </c>
      <c r="KO50" s="2" t="s">
        <v>432</v>
      </c>
      <c r="KP50" s="2" t="s">
        <v>433</v>
      </c>
      <c r="KQ50" s="2" t="s">
        <v>432</v>
      </c>
      <c r="KR50" s="2" t="s">
        <v>432</v>
      </c>
      <c r="KS50" s="2" t="s">
        <v>1348</v>
      </c>
      <c r="LB50" s="2" t="s">
        <v>456</v>
      </c>
      <c r="LP50" s="2" t="s">
        <v>430</v>
      </c>
      <c r="LR50" s="2" t="s">
        <v>1349</v>
      </c>
      <c r="LS50" s="2">
        <v>170268546</v>
      </c>
      <c r="LT50" s="2" t="s">
        <v>1350</v>
      </c>
      <c r="LU50" s="2" t="s">
        <v>1351</v>
      </c>
      <c r="LW50" s="2" t="s">
        <v>460</v>
      </c>
      <c r="LX50" s="2" t="s">
        <v>461</v>
      </c>
      <c r="LY50" s="2" t="s">
        <v>462</v>
      </c>
      <c r="MA50" s="2">
        <v>54</v>
      </c>
    </row>
    <row r="51" spans="1:339" x14ac:dyDescent="0.3">
      <c r="A51" s="2" t="s">
        <v>1352</v>
      </c>
      <c r="B51" s="2" t="s">
        <v>1353</v>
      </c>
      <c r="C51" s="2" t="s">
        <v>1354</v>
      </c>
      <c r="F51" s="2" t="s">
        <v>422</v>
      </c>
      <c r="G51" s="2" t="s">
        <v>1126</v>
      </c>
      <c r="H51" s="2" t="s">
        <v>1320</v>
      </c>
      <c r="I51" s="2" t="s">
        <v>1355</v>
      </c>
      <c r="R51" s="2" t="s">
        <v>422</v>
      </c>
      <c r="S51" s="2" t="s">
        <v>1356</v>
      </c>
      <c r="T51" s="2" t="s">
        <v>426</v>
      </c>
      <c r="Z51" s="2" t="s">
        <v>428</v>
      </c>
      <c r="AA51" s="2" t="s">
        <v>429</v>
      </c>
      <c r="AB51" s="2" t="s">
        <v>1126</v>
      </c>
      <c r="AG51" s="2" t="s">
        <v>456</v>
      </c>
      <c r="BQ51" s="2" t="s">
        <v>456</v>
      </c>
      <c r="DZ51" s="2" t="s">
        <v>768</v>
      </c>
      <c r="EA51" s="2" t="s">
        <v>433</v>
      </c>
      <c r="EB51" s="2" t="s">
        <v>432</v>
      </c>
      <c r="EC51" s="2" t="s">
        <v>432</v>
      </c>
      <c r="ED51" s="2" t="s">
        <v>432</v>
      </c>
      <c r="EE51" s="2" t="s">
        <v>432</v>
      </c>
      <c r="EF51" s="2" t="s">
        <v>432</v>
      </c>
      <c r="EG51" s="2" t="s">
        <v>432</v>
      </c>
      <c r="EH51" s="2" t="s">
        <v>432</v>
      </c>
      <c r="EI51" s="2" t="s">
        <v>432</v>
      </c>
      <c r="EL51" s="2" t="s">
        <v>1357</v>
      </c>
      <c r="EM51" s="2" t="s">
        <v>433</v>
      </c>
      <c r="EN51" s="2" t="s">
        <v>433</v>
      </c>
      <c r="EO51" s="2" t="s">
        <v>432</v>
      </c>
      <c r="EP51" s="2" t="s">
        <v>432</v>
      </c>
      <c r="EQ51" s="2" t="s">
        <v>432</v>
      </c>
      <c r="ER51" s="2" t="s">
        <v>433</v>
      </c>
      <c r="ES51" s="2" t="s">
        <v>432</v>
      </c>
      <c r="ET51" s="2" t="s">
        <v>432</v>
      </c>
      <c r="EU51" s="2" t="s">
        <v>432</v>
      </c>
      <c r="EV51" s="2" t="s">
        <v>432</v>
      </c>
      <c r="EX51" s="2" t="s">
        <v>430</v>
      </c>
      <c r="EY51" s="2" t="s">
        <v>1138</v>
      </c>
      <c r="EZ51" s="2" t="s">
        <v>433</v>
      </c>
      <c r="FA51" s="2" t="s">
        <v>432</v>
      </c>
      <c r="FB51" s="2" t="s">
        <v>432</v>
      </c>
      <c r="FC51" s="2" t="s">
        <v>432</v>
      </c>
      <c r="FD51" s="2" t="s">
        <v>433</v>
      </c>
      <c r="FE51" s="2" t="s">
        <v>432</v>
      </c>
      <c r="FF51" s="2" t="s">
        <v>432</v>
      </c>
      <c r="FG51" s="2" t="s">
        <v>432</v>
      </c>
      <c r="FH51" s="2" t="s">
        <v>432</v>
      </c>
      <c r="FI51" s="2" t="s">
        <v>432</v>
      </c>
      <c r="FJ51" s="2" t="s">
        <v>432</v>
      </c>
      <c r="FK51" s="2" t="s">
        <v>432</v>
      </c>
      <c r="FL51" s="2" t="s">
        <v>432</v>
      </c>
      <c r="FM51" s="2" t="s">
        <v>432</v>
      </c>
      <c r="FO51" s="2" t="s">
        <v>481</v>
      </c>
      <c r="FP51" s="2" t="s">
        <v>601</v>
      </c>
      <c r="GA51" s="2" t="s">
        <v>483</v>
      </c>
      <c r="GB51" s="2" t="s">
        <v>483</v>
      </c>
      <c r="GC51" s="2" t="s">
        <v>544</v>
      </c>
      <c r="GD51" s="2" t="s">
        <v>432</v>
      </c>
      <c r="GE51" s="2" t="s">
        <v>432</v>
      </c>
      <c r="GF51" s="2" t="s">
        <v>432</v>
      </c>
      <c r="GG51" s="2" t="s">
        <v>432</v>
      </c>
      <c r="GH51" s="2" t="s">
        <v>432</v>
      </c>
      <c r="GI51" s="2" t="s">
        <v>432</v>
      </c>
      <c r="GJ51" s="2" t="s">
        <v>432</v>
      </c>
      <c r="GK51" s="2" t="s">
        <v>433</v>
      </c>
      <c r="GL51" s="2" t="s">
        <v>432</v>
      </c>
      <c r="GM51" s="2" t="s">
        <v>1322</v>
      </c>
      <c r="GN51" s="2" t="s">
        <v>481</v>
      </c>
      <c r="GO51" s="2" t="s">
        <v>481</v>
      </c>
      <c r="GP51" s="2" t="s">
        <v>687</v>
      </c>
      <c r="GQ51" s="2" t="s">
        <v>433</v>
      </c>
      <c r="GR51" s="2" t="s">
        <v>433</v>
      </c>
      <c r="GS51" s="2" t="s">
        <v>432</v>
      </c>
      <c r="GT51" s="2" t="s">
        <v>432</v>
      </c>
      <c r="GU51" s="2" t="s">
        <v>432</v>
      </c>
      <c r="GV51" s="2" t="s">
        <v>432</v>
      </c>
      <c r="GW51" s="2" t="s">
        <v>432</v>
      </c>
      <c r="GX51" s="2" t="s">
        <v>432</v>
      </c>
      <c r="GZ51" s="2" t="s">
        <v>544</v>
      </c>
      <c r="HA51" s="2" t="s">
        <v>432</v>
      </c>
      <c r="HB51" s="2" t="s">
        <v>432</v>
      </c>
      <c r="HC51" s="2" t="s">
        <v>432</v>
      </c>
      <c r="HD51" s="2" t="s">
        <v>432</v>
      </c>
      <c r="HE51" s="2" t="s">
        <v>433</v>
      </c>
      <c r="HF51" s="2" t="s">
        <v>432</v>
      </c>
      <c r="HG51" s="2" t="s">
        <v>1358</v>
      </c>
      <c r="HI51" s="2" t="s">
        <v>442</v>
      </c>
      <c r="HJ51" s="2" t="s">
        <v>532</v>
      </c>
      <c r="HK51" s="2" t="s">
        <v>432</v>
      </c>
      <c r="HL51" s="2" t="s">
        <v>432</v>
      </c>
      <c r="HM51" s="2" t="s">
        <v>432</v>
      </c>
      <c r="HN51" s="2" t="s">
        <v>432</v>
      </c>
      <c r="HO51" s="2" t="s">
        <v>433</v>
      </c>
      <c r="HP51" s="2" t="s">
        <v>432</v>
      </c>
      <c r="HQ51" s="2" t="s">
        <v>432</v>
      </c>
      <c r="HR51" s="2" t="s">
        <v>432</v>
      </c>
      <c r="HS51" s="2" t="s">
        <v>432</v>
      </c>
      <c r="HT51" s="2" t="s">
        <v>432</v>
      </c>
      <c r="HV51" s="2" t="s">
        <v>430</v>
      </c>
      <c r="IN51" s="2" t="s">
        <v>1359</v>
      </c>
      <c r="IO51" s="2" t="s">
        <v>1360</v>
      </c>
      <c r="IP51" s="2" t="s">
        <v>432</v>
      </c>
      <c r="IQ51" s="2" t="s">
        <v>432</v>
      </c>
      <c r="IR51" s="2" t="s">
        <v>432</v>
      </c>
      <c r="IS51" s="2" t="s">
        <v>432</v>
      </c>
      <c r="IT51" s="2" t="s">
        <v>433</v>
      </c>
      <c r="IU51" s="2" t="s">
        <v>432</v>
      </c>
      <c r="IV51" s="2" t="s">
        <v>432</v>
      </c>
      <c r="IW51" s="2" t="s">
        <v>432</v>
      </c>
      <c r="IX51" s="2" t="s">
        <v>432</v>
      </c>
      <c r="IY51" s="2" t="s">
        <v>432</v>
      </c>
      <c r="JA51" s="2" t="s">
        <v>1361</v>
      </c>
      <c r="JB51" s="2" t="s">
        <v>432</v>
      </c>
      <c r="JC51" s="2" t="s">
        <v>432</v>
      </c>
      <c r="JD51" s="2" t="s">
        <v>433</v>
      </c>
      <c r="JE51" s="2" t="s">
        <v>433</v>
      </c>
      <c r="JF51" s="2" t="s">
        <v>432</v>
      </c>
      <c r="JG51" s="2" t="s">
        <v>432</v>
      </c>
      <c r="JH51" s="2" t="s">
        <v>1322</v>
      </c>
      <c r="JT51" s="2" t="s">
        <v>1362</v>
      </c>
      <c r="JU51" s="2" t="s">
        <v>432</v>
      </c>
      <c r="JV51" s="2" t="s">
        <v>432</v>
      </c>
      <c r="JW51" s="2" t="s">
        <v>432</v>
      </c>
      <c r="JX51" s="2" t="s">
        <v>432</v>
      </c>
      <c r="JY51" s="2" t="s">
        <v>433</v>
      </c>
      <c r="JZ51" s="2" t="s">
        <v>432</v>
      </c>
      <c r="KA51" s="2" t="s">
        <v>432</v>
      </c>
      <c r="KB51" s="2" t="s">
        <v>432</v>
      </c>
      <c r="KC51" s="2" t="s">
        <v>432</v>
      </c>
      <c r="KF51" s="2" t="s">
        <v>456</v>
      </c>
      <c r="LB51" s="2" t="s">
        <v>456</v>
      </c>
      <c r="LP51" s="2" t="s">
        <v>430</v>
      </c>
      <c r="LR51" s="2" t="s">
        <v>1363</v>
      </c>
      <c r="LS51" s="2">
        <v>170460448</v>
      </c>
      <c r="LT51" s="2" t="s">
        <v>1364</v>
      </c>
      <c r="LU51" s="2" t="s">
        <v>1365</v>
      </c>
      <c r="LW51" s="2" t="s">
        <v>460</v>
      </c>
      <c r="LX51" s="2" t="s">
        <v>461</v>
      </c>
      <c r="LY51" s="2" t="s">
        <v>462</v>
      </c>
      <c r="MA51" s="2">
        <v>55</v>
      </c>
    </row>
    <row r="52" spans="1:339" x14ac:dyDescent="0.3">
      <c r="A52" s="2" t="s">
        <v>1366</v>
      </c>
      <c r="B52" s="2" t="s">
        <v>1367</v>
      </c>
      <c r="C52" s="2" t="s">
        <v>1354</v>
      </c>
      <c r="F52" s="2" t="s">
        <v>422</v>
      </c>
      <c r="G52" s="2" t="s">
        <v>1337</v>
      </c>
      <c r="H52" s="2" t="s">
        <v>1337</v>
      </c>
      <c r="I52" s="2" t="s">
        <v>1337</v>
      </c>
      <c r="R52" s="2" t="s">
        <v>422</v>
      </c>
      <c r="S52" s="2" t="s">
        <v>1356</v>
      </c>
      <c r="T52" s="2" t="s">
        <v>426</v>
      </c>
      <c r="Z52" s="2" t="s">
        <v>428</v>
      </c>
      <c r="AA52" s="2" t="s">
        <v>429</v>
      </c>
      <c r="AB52" s="2" t="s">
        <v>1337</v>
      </c>
      <c r="AG52" s="2" t="s">
        <v>430</v>
      </c>
      <c r="AH52" s="2" t="s">
        <v>1201</v>
      </c>
      <c r="AI52" s="2" t="s">
        <v>432</v>
      </c>
      <c r="AJ52" s="2" t="s">
        <v>432</v>
      </c>
      <c r="AK52" s="2" t="s">
        <v>433</v>
      </c>
      <c r="AL52" s="2" t="s">
        <v>432</v>
      </c>
      <c r="AM52" s="2" t="s">
        <v>432</v>
      </c>
      <c r="AN52" s="2" t="s">
        <v>432</v>
      </c>
      <c r="AO52" s="2" t="s">
        <v>432</v>
      </c>
      <c r="AP52" s="2" t="s">
        <v>432</v>
      </c>
      <c r="AQ52" s="2" t="s">
        <v>432</v>
      </c>
      <c r="AR52" s="2" t="s">
        <v>432</v>
      </c>
      <c r="AS52" s="2" t="s">
        <v>432</v>
      </c>
      <c r="AT52" s="2" t="s">
        <v>432</v>
      </c>
      <c r="AU52" s="2" t="s">
        <v>432</v>
      </c>
      <c r="AV52" s="2" t="s">
        <v>432</v>
      </c>
      <c r="AX52" s="2" t="s">
        <v>807</v>
      </c>
      <c r="AY52" s="2" t="s">
        <v>432</v>
      </c>
      <c r="AZ52" s="2" t="s">
        <v>432</v>
      </c>
      <c r="BA52" s="2" t="s">
        <v>432</v>
      </c>
      <c r="BB52" s="2" t="s">
        <v>432</v>
      </c>
      <c r="BC52" s="2" t="s">
        <v>433</v>
      </c>
      <c r="BD52" s="2" t="s">
        <v>433</v>
      </c>
      <c r="BE52" s="2" t="s">
        <v>432</v>
      </c>
      <c r="BF52" s="2" t="s">
        <v>432</v>
      </c>
      <c r="BG52" s="2" t="s">
        <v>432</v>
      </c>
      <c r="BH52" s="2" t="s">
        <v>432</v>
      </c>
      <c r="BI52" s="2" t="s">
        <v>432</v>
      </c>
      <c r="BJ52" s="2" t="s">
        <v>432</v>
      </c>
      <c r="BK52" s="2" t="s">
        <v>432</v>
      </c>
      <c r="BL52" s="2" t="s">
        <v>432</v>
      </c>
      <c r="BN52" s="2" t="s">
        <v>513</v>
      </c>
      <c r="BO52" s="2" t="s">
        <v>436</v>
      </c>
      <c r="BQ52" s="2" t="s">
        <v>430</v>
      </c>
      <c r="BR52" s="2" t="s">
        <v>1368</v>
      </c>
      <c r="BS52" s="2" t="s">
        <v>432</v>
      </c>
      <c r="BT52" s="2" t="s">
        <v>432</v>
      </c>
      <c r="BU52" s="2" t="s">
        <v>432</v>
      </c>
      <c r="BV52" s="2" t="s">
        <v>432</v>
      </c>
      <c r="BW52" s="2" t="s">
        <v>432</v>
      </c>
      <c r="BX52" s="2" t="s">
        <v>432</v>
      </c>
      <c r="BY52" s="2" t="s">
        <v>433</v>
      </c>
      <c r="BZ52" s="2" t="s">
        <v>432</v>
      </c>
      <c r="CA52" s="2" t="s">
        <v>432</v>
      </c>
      <c r="CB52" s="2" t="s">
        <v>432</v>
      </c>
      <c r="CC52" s="2" t="s">
        <v>433</v>
      </c>
      <c r="CD52" s="2" t="s">
        <v>432</v>
      </c>
      <c r="CE52" s="2" t="s">
        <v>432</v>
      </c>
      <c r="CF52" s="2" t="s">
        <v>432</v>
      </c>
      <c r="CG52" s="2" t="s">
        <v>432</v>
      </c>
      <c r="CI52" s="2" t="s">
        <v>1369</v>
      </c>
      <c r="CJ52" s="2" t="s">
        <v>432</v>
      </c>
      <c r="CK52" s="2" t="s">
        <v>432</v>
      </c>
      <c r="CL52" s="2" t="s">
        <v>433</v>
      </c>
      <c r="CM52" s="2" t="s">
        <v>433</v>
      </c>
      <c r="CN52" s="2" t="s">
        <v>433</v>
      </c>
      <c r="CO52" s="2" t="s">
        <v>433</v>
      </c>
      <c r="CP52" s="2" t="s">
        <v>432</v>
      </c>
      <c r="CQ52" s="2" t="s">
        <v>432</v>
      </c>
      <c r="CR52" s="2" t="s">
        <v>432</v>
      </c>
      <c r="CS52" s="2" t="s">
        <v>432</v>
      </c>
      <c r="CT52" s="2" t="s">
        <v>432</v>
      </c>
      <c r="CU52" s="2" t="s">
        <v>432</v>
      </c>
      <c r="CV52" s="2" t="s">
        <v>432</v>
      </c>
      <c r="CW52" s="2" t="s">
        <v>432</v>
      </c>
      <c r="CY52" s="2" t="s">
        <v>433</v>
      </c>
      <c r="CZ52" s="2" t="s">
        <v>436</v>
      </c>
      <c r="DB52" s="2" t="s">
        <v>550</v>
      </c>
      <c r="DC52" s="2" t="s">
        <v>433</v>
      </c>
      <c r="DD52" s="2" t="s">
        <v>432</v>
      </c>
      <c r="DE52" s="2" t="s">
        <v>432</v>
      </c>
      <c r="DF52" s="2" t="s">
        <v>432</v>
      </c>
      <c r="DG52" s="2" t="s">
        <v>432</v>
      </c>
      <c r="DH52" s="2" t="s">
        <v>432</v>
      </c>
      <c r="DI52" s="2" t="s">
        <v>433</v>
      </c>
      <c r="DJ52" s="2" t="s">
        <v>432</v>
      </c>
      <c r="DK52" s="2" t="s">
        <v>432</v>
      </c>
      <c r="DL52" s="2" t="s">
        <v>432</v>
      </c>
      <c r="DZ52" s="2" t="s">
        <v>551</v>
      </c>
      <c r="EA52" s="2" t="s">
        <v>432</v>
      </c>
      <c r="EB52" s="2" t="s">
        <v>433</v>
      </c>
      <c r="EC52" s="2" t="s">
        <v>432</v>
      </c>
      <c r="ED52" s="2" t="s">
        <v>432</v>
      </c>
      <c r="EE52" s="2" t="s">
        <v>432</v>
      </c>
      <c r="EF52" s="2" t="s">
        <v>432</v>
      </c>
      <c r="EG52" s="2" t="s">
        <v>432</v>
      </c>
      <c r="EH52" s="2" t="s">
        <v>432</v>
      </c>
      <c r="EI52" s="2" t="s">
        <v>432</v>
      </c>
      <c r="EL52" s="2" t="s">
        <v>1048</v>
      </c>
      <c r="EM52" s="2" t="s">
        <v>432</v>
      </c>
      <c r="EN52" s="2" t="s">
        <v>432</v>
      </c>
      <c r="EO52" s="2" t="s">
        <v>433</v>
      </c>
      <c r="EP52" s="2" t="s">
        <v>432</v>
      </c>
      <c r="EQ52" s="2" t="s">
        <v>432</v>
      </c>
      <c r="ER52" s="2" t="s">
        <v>432</v>
      </c>
      <c r="ES52" s="2" t="s">
        <v>432</v>
      </c>
      <c r="ET52" s="2" t="s">
        <v>432</v>
      </c>
      <c r="EU52" s="2" t="s">
        <v>432</v>
      </c>
      <c r="EV52" s="2" t="s">
        <v>432</v>
      </c>
      <c r="EX52" s="2" t="s">
        <v>430</v>
      </c>
      <c r="EY52" s="2" t="s">
        <v>544</v>
      </c>
      <c r="EZ52" s="2" t="s">
        <v>432</v>
      </c>
      <c r="FA52" s="2" t="s">
        <v>432</v>
      </c>
      <c r="FB52" s="2" t="s">
        <v>432</v>
      </c>
      <c r="FC52" s="2" t="s">
        <v>432</v>
      </c>
      <c r="FD52" s="2" t="s">
        <v>432</v>
      </c>
      <c r="FE52" s="2" t="s">
        <v>432</v>
      </c>
      <c r="FF52" s="2" t="s">
        <v>432</v>
      </c>
      <c r="FG52" s="2" t="s">
        <v>432</v>
      </c>
      <c r="FH52" s="2" t="s">
        <v>432</v>
      </c>
      <c r="FI52" s="2" t="s">
        <v>432</v>
      </c>
      <c r="FJ52" s="2" t="s">
        <v>432</v>
      </c>
      <c r="FK52" s="2" t="s">
        <v>432</v>
      </c>
      <c r="FL52" s="2" t="s">
        <v>433</v>
      </c>
      <c r="FM52" s="2" t="s">
        <v>432</v>
      </c>
      <c r="FN52" s="2" t="s">
        <v>1370</v>
      </c>
      <c r="FO52" s="2" t="s">
        <v>601</v>
      </c>
      <c r="FP52" s="2" t="s">
        <v>601</v>
      </c>
      <c r="GA52" s="2" t="s">
        <v>602</v>
      </c>
      <c r="GB52" s="2" t="s">
        <v>1311</v>
      </c>
      <c r="GC52" s="2" t="s">
        <v>484</v>
      </c>
      <c r="GD52" s="2" t="s">
        <v>432</v>
      </c>
      <c r="GE52" s="2" t="s">
        <v>433</v>
      </c>
      <c r="GF52" s="2" t="s">
        <v>432</v>
      </c>
      <c r="GG52" s="2" t="s">
        <v>433</v>
      </c>
      <c r="GH52" s="2" t="s">
        <v>432</v>
      </c>
      <c r="GI52" s="2" t="s">
        <v>433</v>
      </c>
      <c r="GJ52" s="2" t="s">
        <v>432</v>
      </c>
      <c r="GK52" s="2" t="s">
        <v>432</v>
      </c>
      <c r="GL52" s="2" t="s">
        <v>432</v>
      </c>
      <c r="GN52" s="2" t="s">
        <v>601</v>
      </c>
      <c r="GO52" s="2" t="s">
        <v>601</v>
      </c>
      <c r="GP52" s="2" t="s">
        <v>837</v>
      </c>
      <c r="GQ52" s="2" t="s">
        <v>433</v>
      </c>
      <c r="GR52" s="2" t="s">
        <v>433</v>
      </c>
      <c r="GS52" s="2" t="s">
        <v>432</v>
      </c>
      <c r="GT52" s="2" t="s">
        <v>432</v>
      </c>
      <c r="GU52" s="2" t="s">
        <v>432</v>
      </c>
      <c r="GV52" s="2" t="s">
        <v>433</v>
      </c>
      <c r="GW52" s="2" t="s">
        <v>432</v>
      </c>
      <c r="GX52" s="2" t="s">
        <v>432</v>
      </c>
      <c r="GZ52" s="2" t="s">
        <v>577</v>
      </c>
      <c r="HA52" s="2" t="s">
        <v>432</v>
      </c>
      <c r="HB52" s="2" t="s">
        <v>433</v>
      </c>
      <c r="HC52" s="2" t="s">
        <v>432</v>
      </c>
      <c r="HD52" s="2" t="s">
        <v>432</v>
      </c>
      <c r="HE52" s="2" t="s">
        <v>432</v>
      </c>
      <c r="HF52" s="2" t="s">
        <v>432</v>
      </c>
      <c r="HI52" s="2" t="s">
        <v>456</v>
      </c>
      <c r="HV52" s="2" t="s">
        <v>430</v>
      </c>
      <c r="HX52" s="2" t="s">
        <v>1371</v>
      </c>
      <c r="HY52" s="2" t="s">
        <v>432</v>
      </c>
      <c r="HZ52" s="2" t="s">
        <v>432</v>
      </c>
      <c r="IA52" s="2" t="s">
        <v>433</v>
      </c>
      <c r="IB52" s="2" t="s">
        <v>433</v>
      </c>
      <c r="IC52" s="2" t="s">
        <v>433</v>
      </c>
      <c r="ID52" s="2" t="s">
        <v>432</v>
      </c>
      <c r="IE52" s="2" t="s">
        <v>432</v>
      </c>
      <c r="IF52" s="2" t="s">
        <v>432</v>
      </c>
      <c r="IG52" s="2" t="s">
        <v>432</v>
      </c>
      <c r="IH52" s="2" t="s">
        <v>432</v>
      </c>
      <c r="II52" s="2" t="s">
        <v>432</v>
      </c>
      <c r="IJ52" s="2" t="s">
        <v>432</v>
      </c>
      <c r="IK52" s="2" t="s">
        <v>432</v>
      </c>
      <c r="IL52" s="2" t="s">
        <v>432</v>
      </c>
      <c r="IN52" s="2" t="s">
        <v>757</v>
      </c>
      <c r="IO52" s="2" t="s">
        <v>1372</v>
      </c>
      <c r="IP52" s="2" t="s">
        <v>432</v>
      </c>
      <c r="IQ52" s="2" t="s">
        <v>433</v>
      </c>
      <c r="IR52" s="2" t="s">
        <v>433</v>
      </c>
      <c r="IS52" s="2" t="s">
        <v>433</v>
      </c>
      <c r="IT52" s="2" t="s">
        <v>433</v>
      </c>
      <c r="IU52" s="2" t="s">
        <v>433</v>
      </c>
      <c r="IV52" s="2" t="s">
        <v>432</v>
      </c>
      <c r="IW52" s="2" t="s">
        <v>432</v>
      </c>
      <c r="IX52" s="2" t="s">
        <v>432</v>
      </c>
      <c r="IY52" s="2" t="s">
        <v>432</v>
      </c>
      <c r="JA52" s="2" t="s">
        <v>1373</v>
      </c>
      <c r="JB52" s="2" t="s">
        <v>432</v>
      </c>
      <c r="JC52" s="2" t="s">
        <v>433</v>
      </c>
      <c r="JD52" s="2" t="s">
        <v>432</v>
      </c>
      <c r="JE52" s="2" t="s">
        <v>433</v>
      </c>
      <c r="JF52" s="2" t="s">
        <v>432</v>
      </c>
      <c r="JG52" s="2" t="s">
        <v>432</v>
      </c>
      <c r="JH52" s="2" t="s">
        <v>1374</v>
      </c>
      <c r="JT52" s="2" t="s">
        <v>1063</v>
      </c>
      <c r="JU52" s="2" t="s">
        <v>433</v>
      </c>
      <c r="JV52" s="2" t="s">
        <v>432</v>
      </c>
      <c r="JW52" s="2" t="s">
        <v>432</v>
      </c>
      <c r="JX52" s="2" t="s">
        <v>432</v>
      </c>
      <c r="JY52" s="2" t="s">
        <v>432</v>
      </c>
      <c r="JZ52" s="2" t="s">
        <v>432</v>
      </c>
      <c r="KA52" s="2" t="s">
        <v>432</v>
      </c>
      <c r="KB52" s="2" t="s">
        <v>432</v>
      </c>
      <c r="KC52" s="2" t="s">
        <v>432</v>
      </c>
      <c r="KF52" s="2" t="s">
        <v>430</v>
      </c>
      <c r="KG52" s="2" t="s">
        <v>1375</v>
      </c>
      <c r="KH52" s="2" t="s">
        <v>433</v>
      </c>
      <c r="KI52" s="2" t="s">
        <v>433</v>
      </c>
      <c r="KJ52" s="2" t="s">
        <v>433</v>
      </c>
      <c r="KK52" s="2" t="s">
        <v>433</v>
      </c>
      <c r="KL52" s="2" t="s">
        <v>432</v>
      </c>
      <c r="KM52" s="2" t="s">
        <v>432</v>
      </c>
      <c r="KN52" s="2" t="s">
        <v>432</v>
      </c>
      <c r="KO52" s="2" t="s">
        <v>432</v>
      </c>
      <c r="KP52" s="2" t="s">
        <v>433</v>
      </c>
      <c r="KQ52" s="2" t="s">
        <v>432</v>
      </c>
      <c r="KR52" s="2" t="s">
        <v>432</v>
      </c>
      <c r="KS52" s="2" t="s">
        <v>1376</v>
      </c>
      <c r="KT52" s="2" t="s">
        <v>1377</v>
      </c>
      <c r="KU52" s="2" t="s">
        <v>432</v>
      </c>
      <c r="KV52" s="2" t="s">
        <v>433</v>
      </c>
      <c r="KW52" s="2" t="s">
        <v>432</v>
      </c>
      <c r="KX52" s="2" t="s">
        <v>432</v>
      </c>
      <c r="KY52" s="2" t="s">
        <v>432</v>
      </c>
      <c r="KZ52" s="2" t="s">
        <v>432</v>
      </c>
      <c r="LB52" s="2" t="s">
        <v>456</v>
      </c>
      <c r="LP52" s="2" t="s">
        <v>430</v>
      </c>
      <c r="LR52" s="2" t="s">
        <v>1378</v>
      </c>
      <c r="LS52" s="2">
        <v>170478771</v>
      </c>
      <c r="LT52" s="2" t="s">
        <v>1379</v>
      </c>
      <c r="LU52" s="2" t="s">
        <v>1380</v>
      </c>
      <c r="LW52" s="2" t="s">
        <v>460</v>
      </c>
      <c r="LX52" s="2" t="s">
        <v>461</v>
      </c>
      <c r="LY52" s="2" t="s">
        <v>462</v>
      </c>
      <c r="MA52" s="2">
        <v>56</v>
      </c>
    </row>
    <row r="53" spans="1:339" x14ac:dyDescent="0.3">
      <c r="A53" s="2" t="s">
        <v>1381</v>
      </c>
      <c r="B53" s="2" t="s">
        <v>1382</v>
      </c>
      <c r="C53" s="2" t="s">
        <v>1354</v>
      </c>
      <c r="F53" s="2" t="s">
        <v>422</v>
      </c>
      <c r="G53" s="2" t="s">
        <v>1337</v>
      </c>
      <c r="H53" s="2" t="s">
        <v>1337</v>
      </c>
      <c r="I53" s="2" t="s">
        <v>1337</v>
      </c>
      <c r="R53" s="2" t="s">
        <v>422</v>
      </c>
      <c r="S53" s="2" t="s">
        <v>1383</v>
      </c>
      <c r="T53" s="2" t="s">
        <v>544</v>
      </c>
      <c r="U53" s="2" t="s">
        <v>1384</v>
      </c>
      <c r="AG53" s="2" t="s">
        <v>456</v>
      </c>
      <c r="BQ53" s="2" t="s">
        <v>456</v>
      </c>
      <c r="DZ53" s="2" t="s">
        <v>544</v>
      </c>
      <c r="EA53" s="2" t="s">
        <v>432</v>
      </c>
      <c r="EB53" s="2" t="s">
        <v>432</v>
      </c>
      <c r="EC53" s="2" t="s">
        <v>432</v>
      </c>
      <c r="ED53" s="2" t="s">
        <v>432</v>
      </c>
      <c r="EE53" s="2" t="s">
        <v>432</v>
      </c>
      <c r="EF53" s="2" t="s">
        <v>432</v>
      </c>
      <c r="EG53" s="2" t="s">
        <v>432</v>
      </c>
      <c r="EH53" s="2" t="s">
        <v>433</v>
      </c>
      <c r="EI53" s="2" t="s">
        <v>432</v>
      </c>
      <c r="EJ53" s="2" t="s">
        <v>1385</v>
      </c>
      <c r="EL53" s="2" t="s">
        <v>1048</v>
      </c>
      <c r="EM53" s="2" t="s">
        <v>432</v>
      </c>
      <c r="EN53" s="2" t="s">
        <v>432</v>
      </c>
      <c r="EO53" s="2" t="s">
        <v>433</v>
      </c>
      <c r="EP53" s="2" t="s">
        <v>432</v>
      </c>
      <c r="EQ53" s="2" t="s">
        <v>432</v>
      </c>
      <c r="ER53" s="2" t="s">
        <v>432</v>
      </c>
      <c r="ES53" s="2" t="s">
        <v>432</v>
      </c>
      <c r="ET53" s="2" t="s">
        <v>432</v>
      </c>
      <c r="EU53" s="2" t="s">
        <v>432</v>
      </c>
      <c r="EV53" s="2" t="s">
        <v>432</v>
      </c>
      <c r="EX53" s="2" t="s">
        <v>430</v>
      </c>
      <c r="EY53" s="2" t="s">
        <v>1069</v>
      </c>
      <c r="EZ53" s="2" t="s">
        <v>432</v>
      </c>
      <c r="FA53" s="2" t="s">
        <v>432</v>
      </c>
      <c r="FB53" s="2" t="s">
        <v>432</v>
      </c>
      <c r="FC53" s="2" t="s">
        <v>432</v>
      </c>
      <c r="FD53" s="2" t="s">
        <v>433</v>
      </c>
      <c r="FE53" s="2" t="s">
        <v>432</v>
      </c>
      <c r="FF53" s="2" t="s">
        <v>432</v>
      </c>
      <c r="FG53" s="2" t="s">
        <v>432</v>
      </c>
      <c r="FH53" s="2" t="s">
        <v>432</v>
      </c>
      <c r="FI53" s="2" t="s">
        <v>432</v>
      </c>
      <c r="FJ53" s="2" t="s">
        <v>432</v>
      </c>
      <c r="FK53" s="2" t="s">
        <v>432</v>
      </c>
      <c r="FL53" s="2" t="s">
        <v>432</v>
      </c>
      <c r="FM53" s="2" t="s">
        <v>432</v>
      </c>
      <c r="FO53" s="2" t="s">
        <v>601</v>
      </c>
      <c r="FP53" s="2" t="s">
        <v>601</v>
      </c>
      <c r="GA53" s="2" t="s">
        <v>602</v>
      </c>
      <c r="GB53" s="2" t="s">
        <v>1311</v>
      </c>
      <c r="GC53" s="2" t="s">
        <v>1386</v>
      </c>
      <c r="GD53" s="2" t="s">
        <v>432</v>
      </c>
      <c r="GE53" s="2" t="s">
        <v>433</v>
      </c>
      <c r="GF53" s="2" t="s">
        <v>432</v>
      </c>
      <c r="GG53" s="2" t="s">
        <v>433</v>
      </c>
      <c r="GH53" s="2" t="s">
        <v>432</v>
      </c>
      <c r="GI53" s="2" t="s">
        <v>432</v>
      </c>
      <c r="GJ53" s="2" t="s">
        <v>432</v>
      </c>
      <c r="GK53" s="2" t="s">
        <v>433</v>
      </c>
      <c r="GL53" s="2" t="s">
        <v>432</v>
      </c>
      <c r="GM53" s="2" t="s">
        <v>1387</v>
      </c>
      <c r="GN53" s="2" t="s">
        <v>442</v>
      </c>
      <c r="GO53" s="2" t="s">
        <v>442</v>
      </c>
      <c r="GP53" s="2" t="s">
        <v>576</v>
      </c>
      <c r="GQ53" s="2" t="s">
        <v>432</v>
      </c>
      <c r="GR53" s="2" t="s">
        <v>433</v>
      </c>
      <c r="GS53" s="2" t="s">
        <v>432</v>
      </c>
      <c r="GT53" s="2" t="s">
        <v>432</v>
      </c>
      <c r="GU53" s="2" t="s">
        <v>432</v>
      </c>
      <c r="GV53" s="2" t="s">
        <v>432</v>
      </c>
      <c r="GW53" s="2" t="s">
        <v>432</v>
      </c>
      <c r="GX53" s="2" t="s">
        <v>432</v>
      </c>
      <c r="GZ53" s="2" t="s">
        <v>544</v>
      </c>
      <c r="HA53" s="2" t="s">
        <v>432</v>
      </c>
      <c r="HB53" s="2" t="s">
        <v>432</v>
      </c>
      <c r="HC53" s="2" t="s">
        <v>432</v>
      </c>
      <c r="HD53" s="2" t="s">
        <v>432</v>
      </c>
      <c r="HE53" s="2" t="s">
        <v>433</v>
      </c>
      <c r="HF53" s="2" t="s">
        <v>432</v>
      </c>
      <c r="HG53" s="2" t="s">
        <v>1388</v>
      </c>
      <c r="HI53" s="2" t="s">
        <v>456</v>
      </c>
      <c r="HV53" s="2" t="s">
        <v>430</v>
      </c>
      <c r="IN53" s="2" t="s">
        <v>449</v>
      </c>
      <c r="IO53" s="2" t="s">
        <v>690</v>
      </c>
      <c r="IP53" s="2" t="s">
        <v>432</v>
      </c>
      <c r="IQ53" s="2" t="s">
        <v>433</v>
      </c>
      <c r="IR53" s="2" t="s">
        <v>432</v>
      </c>
      <c r="IS53" s="2" t="s">
        <v>432</v>
      </c>
      <c r="IT53" s="2" t="s">
        <v>432</v>
      </c>
      <c r="IU53" s="2" t="s">
        <v>432</v>
      </c>
      <c r="IV53" s="2" t="s">
        <v>432</v>
      </c>
      <c r="IW53" s="2" t="s">
        <v>432</v>
      </c>
      <c r="IX53" s="2" t="s">
        <v>432</v>
      </c>
      <c r="IY53" s="2" t="s">
        <v>432</v>
      </c>
      <c r="JA53" s="2" t="s">
        <v>738</v>
      </c>
      <c r="JB53" s="2" t="s">
        <v>432</v>
      </c>
      <c r="JC53" s="2" t="s">
        <v>433</v>
      </c>
      <c r="JD53" s="2" t="s">
        <v>433</v>
      </c>
      <c r="JE53" s="2" t="s">
        <v>432</v>
      </c>
      <c r="JF53" s="2" t="s">
        <v>432</v>
      </c>
      <c r="JG53" s="2" t="s">
        <v>432</v>
      </c>
      <c r="JT53" s="2" t="s">
        <v>492</v>
      </c>
      <c r="JU53" s="2" t="s">
        <v>433</v>
      </c>
      <c r="JV53" s="2" t="s">
        <v>432</v>
      </c>
      <c r="JW53" s="2" t="s">
        <v>432</v>
      </c>
      <c r="JX53" s="2" t="s">
        <v>433</v>
      </c>
      <c r="JY53" s="2" t="s">
        <v>432</v>
      </c>
      <c r="JZ53" s="2" t="s">
        <v>432</v>
      </c>
      <c r="KA53" s="2" t="s">
        <v>432</v>
      </c>
      <c r="KB53" s="2" t="s">
        <v>432</v>
      </c>
      <c r="KC53" s="2" t="s">
        <v>432</v>
      </c>
      <c r="KF53" s="2" t="s">
        <v>430</v>
      </c>
      <c r="KG53" s="2" t="s">
        <v>1389</v>
      </c>
      <c r="KH53" s="2" t="s">
        <v>433</v>
      </c>
      <c r="KI53" s="2" t="s">
        <v>432</v>
      </c>
      <c r="KJ53" s="2" t="s">
        <v>433</v>
      </c>
      <c r="KK53" s="2" t="s">
        <v>432</v>
      </c>
      <c r="KL53" s="2" t="s">
        <v>432</v>
      </c>
      <c r="KM53" s="2" t="s">
        <v>432</v>
      </c>
      <c r="KN53" s="2" t="s">
        <v>432</v>
      </c>
      <c r="KO53" s="2" t="s">
        <v>432</v>
      </c>
      <c r="KP53" s="2" t="s">
        <v>432</v>
      </c>
      <c r="KQ53" s="2" t="s">
        <v>432</v>
      </c>
      <c r="KR53" s="2" t="s">
        <v>432</v>
      </c>
      <c r="LB53" s="2" t="s">
        <v>430</v>
      </c>
      <c r="LC53" s="2" t="s">
        <v>1390</v>
      </c>
      <c r="LD53" s="2" t="s">
        <v>433</v>
      </c>
      <c r="LE53" s="2" t="s">
        <v>432</v>
      </c>
      <c r="LF53" s="2" t="s">
        <v>432</v>
      </c>
      <c r="LG53" s="2" t="s">
        <v>432</v>
      </c>
      <c r="LH53" s="2" t="s">
        <v>433</v>
      </c>
      <c r="LI53" s="2" t="s">
        <v>433</v>
      </c>
      <c r="LJ53" s="2" t="s">
        <v>432</v>
      </c>
      <c r="LK53" s="2" t="s">
        <v>432</v>
      </c>
      <c r="LL53" s="2" t="s">
        <v>432</v>
      </c>
      <c r="LM53" s="2" t="s">
        <v>432</v>
      </c>
      <c r="LO53" s="2" t="s">
        <v>456</v>
      </c>
      <c r="LP53" s="2" t="s">
        <v>430</v>
      </c>
      <c r="LR53" s="2" t="s">
        <v>1391</v>
      </c>
      <c r="LS53" s="2">
        <v>170478774</v>
      </c>
      <c r="LT53" s="2" t="s">
        <v>1392</v>
      </c>
      <c r="LU53" s="2" t="s">
        <v>1393</v>
      </c>
      <c r="LW53" s="2" t="s">
        <v>460</v>
      </c>
      <c r="LX53" s="2" t="s">
        <v>461</v>
      </c>
      <c r="LY53" s="2" t="s">
        <v>462</v>
      </c>
      <c r="MA53" s="2">
        <v>57</v>
      </c>
    </row>
    <row r="54" spans="1:339" x14ac:dyDescent="0.3">
      <c r="A54" s="2" t="s">
        <v>1394</v>
      </c>
      <c r="B54" s="2" t="s">
        <v>1395</v>
      </c>
      <c r="C54" s="2" t="s">
        <v>1354</v>
      </c>
      <c r="F54" s="2" t="s">
        <v>422</v>
      </c>
      <c r="G54" s="2" t="s">
        <v>1126</v>
      </c>
      <c r="H54" s="2" t="s">
        <v>1126</v>
      </c>
      <c r="I54" s="2" t="s">
        <v>1291</v>
      </c>
      <c r="R54" s="2" t="s">
        <v>422</v>
      </c>
      <c r="S54" s="2" t="s">
        <v>983</v>
      </c>
      <c r="T54" s="2" t="s">
        <v>673</v>
      </c>
      <c r="Z54" s="2" t="s">
        <v>674</v>
      </c>
      <c r="AA54" s="2" t="s">
        <v>675</v>
      </c>
      <c r="AB54" s="2" t="s">
        <v>675</v>
      </c>
      <c r="AG54" s="2" t="s">
        <v>456</v>
      </c>
      <c r="BQ54" s="2" t="s">
        <v>456</v>
      </c>
      <c r="DZ54" s="2" t="s">
        <v>768</v>
      </c>
      <c r="EA54" s="2" t="s">
        <v>433</v>
      </c>
      <c r="EB54" s="2" t="s">
        <v>432</v>
      </c>
      <c r="EC54" s="2" t="s">
        <v>432</v>
      </c>
      <c r="ED54" s="2" t="s">
        <v>432</v>
      </c>
      <c r="EE54" s="2" t="s">
        <v>432</v>
      </c>
      <c r="EF54" s="2" t="s">
        <v>432</v>
      </c>
      <c r="EG54" s="2" t="s">
        <v>432</v>
      </c>
      <c r="EH54" s="2" t="s">
        <v>432</v>
      </c>
      <c r="EI54" s="2" t="s">
        <v>432</v>
      </c>
      <c r="EL54" s="2" t="s">
        <v>1396</v>
      </c>
      <c r="EM54" s="2" t="s">
        <v>433</v>
      </c>
      <c r="EN54" s="2" t="s">
        <v>432</v>
      </c>
      <c r="EO54" s="2" t="s">
        <v>432</v>
      </c>
      <c r="EP54" s="2" t="s">
        <v>432</v>
      </c>
      <c r="EQ54" s="2" t="s">
        <v>432</v>
      </c>
      <c r="ER54" s="2" t="s">
        <v>433</v>
      </c>
      <c r="ES54" s="2" t="s">
        <v>432</v>
      </c>
      <c r="ET54" s="2" t="s">
        <v>432</v>
      </c>
      <c r="EU54" s="2" t="s">
        <v>432</v>
      </c>
      <c r="EV54" s="2" t="s">
        <v>432</v>
      </c>
      <c r="EX54" s="2" t="s">
        <v>430</v>
      </c>
      <c r="EY54" s="2" t="s">
        <v>544</v>
      </c>
      <c r="EZ54" s="2" t="s">
        <v>432</v>
      </c>
      <c r="FA54" s="2" t="s">
        <v>432</v>
      </c>
      <c r="FB54" s="2" t="s">
        <v>432</v>
      </c>
      <c r="FC54" s="2" t="s">
        <v>432</v>
      </c>
      <c r="FD54" s="2" t="s">
        <v>432</v>
      </c>
      <c r="FE54" s="2" t="s">
        <v>432</v>
      </c>
      <c r="FF54" s="2" t="s">
        <v>432</v>
      </c>
      <c r="FG54" s="2" t="s">
        <v>432</v>
      </c>
      <c r="FH54" s="2" t="s">
        <v>432</v>
      </c>
      <c r="FI54" s="2" t="s">
        <v>432</v>
      </c>
      <c r="FJ54" s="2" t="s">
        <v>432</v>
      </c>
      <c r="FK54" s="2" t="s">
        <v>432</v>
      </c>
      <c r="FL54" s="2" t="s">
        <v>433</v>
      </c>
      <c r="FM54" s="2" t="s">
        <v>432</v>
      </c>
      <c r="FN54" s="2" t="s">
        <v>1397</v>
      </c>
      <c r="FO54" s="2" t="s">
        <v>456</v>
      </c>
      <c r="GN54" s="2" t="s">
        <v>481</v>
      </c>
      <c r="GO54" s="2" t="s">
        <v>481</v>
      </c>
      <c r="GP54" s="2" t="s">
        <v>1294</v>
      </c>
      <c r="GQ54" s="2" t="s">
        <v>433</v>
      </c>
      <c r="GR54" s="2" t="s">
        <v>432</v>
      </c>
      <c r="GS54" s="2" t="s">
        <v>432</v>
      </c>
      <c r="GT54" s="2" t="s">
        <v>432</v>
      </c>
      <c r="GU54" s="2" t="s">
        <v>432</v>
      </c>
      <c r="GV54" s="2" t="s">
        <v>432</v>
      </c>
      <c r="GW54" s="2" t="s">
        <v>432</v>
      </c>
      <c r="GX54" s="2" t="s">
        <v>432</v>
      </c>
      <c r="GZ54" s="2" t="s">
        <v>544</v>
      </c>
      <c r="HA54" s="2" t="s">
        <v>432</v>
      </c>
      <c r="HB54" s="2" t="s">
        <v>432</v>
      </c>
      <c r="HC54" s="2" t="s">
        <v>432</v>
      </c>
      <c r="HD54" s="2" t="s">
        <v>432</v>
      </c>
      <c r="HE54" s="2" t="s">
        <v>433</v>
      </c>
      <c r="HF54" s="2" t="s">
        <v>432</v>
      </c>
      <c r="HG54" s="2" t="s">
        <v>1398</v>
      </c>
      <c r="HI54" s="2" t="s">
        <v>456</v>
      </c>
      <c r="HV54" s="2" t="s">
        <v>430</v>
      </c>
      <c r="IN54" s="2" t="s">
        <v>449</v>
      </c>
      <c r="IO54" s="2" t="s">
        <v>1399</v>
      </c>
      <c r="IP54" s="2" t="s">
        <v>432</v>
      </c>
      <c r="IQ54" s="2" t="s">
        <v>432</v>
      </c>
      <c r="IR54" s="2" t="s">
        <v>432</v>
      </c>
      <c r="IS54" s="2" t="s">
        <v>433</v>
      </c>
      <c r="IT54" s="2" t="s">
        <v>432</v>
      </c>
      <c r="IU54" s="2" t="s">
        <v>432</v>
      </c>
      <c r="IV54" s="2" t="s">
        <v>432</v>
      </c>
      <c r="IW54" s="2" t="s">
        <v>433</v>
      </c>
      <c r="IX54" s="2" t="s">
        <v>432</v>
      </c>
      <c r="IY54" s="2" t="s">
        <v>432</v>
      </c>
      <c r="JA54" s="2" t="s">
        <v>738</v>
      </c>
      <c r="JB54" s="2" t="s">
        <v>432</v>
      </c>
      <c r="JC54" s="2" t="s">
        <v>433</v>
      </c>
      <c r="JD54" s="2" t="s">
        <v>433</v>
      </c>
      <c r="JE54" s="2" t="s">
        <v>432</v>
      </c>
      <c r="JF54" s="2" t="s">
        <v>432</v>
      </c>
      <c r="JG54" s="2" t="s">
        <v>432</v>
      </c>
      <c r="JT54" s="2" t="s">
        <v>544</v>
      </c>
      <c r="JU54" s="2" t="s">
        <v>432</v>
      </c>
      <c r="JV54" s="2" t="s">
        <v>432</v>
      </c>
      <c r="JW54" s="2" t="s">
        <v>432</v>
      </c>
      <c r="JX54" s="2" t="s">
        <v>432</v>
      </c>
      <c r="JY54" s="2" t="s">
        <v>432</v>
      </c>
      <c r="JZ54" s="2" t="s">
        <v>432</v>
      </c>
      <c r="KA54" s="2" t="s">
        <v>432</v>
      </c>
      <c r="KB54" s="2" t="s">
        <v>433</v>
      </c>
      <c r="KC54" s="2" t="s">
        <v>432</v>
      </c>
      <c r="KD54" s="2" t="s">
        <v>1400</v>
      </c>
      <c r="KF54" s="2" t="s">
        <v>456</v>
      </c>
      <c r="LB54" s="2" t="s">
        <v>456</v>
      </c>
      <c r="LP54" s="2" t="s">
        <v>430</v>
      </c>
      <c r="LR54" s="2" t="s">
        <v>1401</v>
      </c>
      <c r="LS54" s="2">
        <v>170484797</v>
      </c>
      <c r="LT54" s="2" t="s">
        <v>1402</v>
      </c>
      <c r="LU54" s="2" t="s">
        <v>1403</v>
      </c>
      <c r="LW54" s="2" t="s">
        <v>460</v>
      </c>
      <c r="LX54" s="2" t="s">
        <v>461</v>
      </c>
      <c r="LY54" s="2" t="s">
        <v>462</v>
      </c>
      <c r="MA54" s="2">
        <v>58</v>
      </c>
    </row>
    <row r="55" spans="1:339" x14ac:dyDescent="0.3">
      <c r="A55" s="2" t="s">
        <v>1404</v>
      </c>
      <c r="B55" s="2" t="s">
        <v>1405</v>
      </c>
      <c r="C55" s="2" t="s">
        <v>1354</v>
      </c>
      <c r="F55" s="2" t="s">
        <v>422</v>
      </c>
      <c r="G55" s="2" t="s">
        <v>1126</v>
      </c>
      <c r="H55" s="2" t="s">
        <v>1320</v>
      </c>
      <c r="I55" s="2" t="s">
        <v>1355</v>
      </c>
      <c r="R55" s="2" t="s">
        <v>422</v>
      </c>
      <c r="S55" s="2" t="s">
        <v>722</v>
      </c>
      <c r="T55" s="2" t="s">
        <v>426</v>
      </c>
      <c r="Z55" s="2" t="s">
        <v>428</v>
      </c>
      <c r="AA55" s="2" t="s">
        <v>429</v>
      </c>
      <c r="AB55" s="2" t="s">
        <v>1126</v>
      </c>
      <c r="AG55" s="2" t="s">
        <v>456</v>
      </c>
      <c r="BQ55" s="2" t="s">
        <v>456</v>
      </c>
      <c r="DZ55" s="2" t="s">
        <v>768</v>
      </c>
      <c r="EA55" s="2" t="s">
        <v>433</v>
      </c>
      <c r="EB55" s="2" t="s">
        <v>432</v>
      </c>
      <c r="EC55" s="2" t="s">
        <v>432</v>
      </c>
      <c r="ED55" s="2" t="s">
        <v>432</v>
      </c>
      <c r="EE55" s="2" t="s">
        <v>432</v>
      </c>
      <c r="EF55" s="2" t="s">
        <v>432</v>
      </c>
      <c r="EG55" s="2" t="s">
        <v>432</v>
      </c>
      <c r="EH55" s="2" t="s">
        <v>432</v>
      </c>
      <c r="EI55" s="2" t="s">
        <v>432</v>
      </c>
      <c r="EL55" s="2" t="s">
        <v>597</v>
      </c>
      <c r="EM55" s="2" t="s">
        <v>432</v>
      </c>
      <c r="EN55" s="2" t="s">
        <v>432</v>
      </c>
      <c r="EO55" s="2" t="s">
        <v>432</v>
      </c>
      <c r="EP55" s="2" t="s">
        <v>432</v>
      </c>
      <c r="EQ55" s="2" t="s">
        <v>432</v>
      </c>
      <c r="ER55" s="2" t="s">
        <v>432</v>
      </c>
      <c r="ES55" s="2" t="s">
        <v>432</v>
      </c>
      <c r="ET55" s="2" t="s">
        <v>432</v>
      </c>
      <c r="EU55" s="2" t="s">
        <v>433</v>
      </c>
      <c r="EV55" s="2" t="s">
        <v>432</v>
      </c>
      <c r="EX55" s="2" t="s">
        <v>430</v>
      </c>
      <c r="EY55" s="2" t="s">
        <v>1138</v>
      </c>
      <c r="EZ55" s="2" t="s">
        <v>433</v>
      </c>
      <c r="FA55" s="2" t="s">
        <v>432</v>
      </c>
      <c r="FB55" s="2" t="s">
        <v>432</v>
      </c>
      <c r="FC55" s="2" t="s">
        <v>432</v>
      </c>
      <c r="FD55" s="2" t="s">
        <v>433</v>
      </c>
      <c r="FE55" s="2" t="s">
        <v>432</v>
      </c>
      <c r="FF55" s="2" t="s">
        <v>432</v>
      </c>
      <c r="FG55" s="2" t="s">
        <v>432</v>
      </c>
      <c r="FH55" s="2" t="s">
        <v>432</v>
      </c>
      <c r="FI55" s="2" t="s">
        <v>432</v>
      </c>
      <c r="FJ55" s="2" t="s">
        <v>432</v>
      </c>
      <c r="FK55" s="2" t="s">
        <v>432</v>
      </c>
      <c r="FL55" s="2" t="s">
        <v>432</v>
      </c>
      <c r="FM55" s="2" t="s">
        <v>432</v>
      </c>
      <c r="FO55" s="2" t="s">
        <v>481</v>
      </c>
      <c r="FP55" s="2" t="s">
        <v>481</v>
      </c>
      <c r="FQ55" s="2" t="s">
        <v>482</v>
      </c>
      <c r="FR55" s="2" t="s">
        <v>432</v>
      </c>
      <c r="FS55" s="2" t="s">
        <v>433</v>
      </c>
      <c r="FT55" s="2" t="s">
        <v>432</v>
      </c>
      <c r="FU55" s="2" t="s">
        <v>432</v>
      </c>
      <c r="FV55" s="2" t="s">
        <v>432</v>
      </c>
      <c r="FW55" s="2" t="s">
        <v>432</v>
      </c>
      <c r="FX55" s="2" t="s">
        <v>432</v>
      </c>
      <c r="FY55" s="2" t="s">
        <v>432</v>
      </c>
      <c r="GA55" s="2" t="s">
        <v>483</v>
      </c>
      <c r="GB55" s="2" t="s">
        <v>483</v>
      </c>
      <c r="GC55" s="2" t="s">
        <v>544</v>
      </c>
      <c r="GD55" s="2" t="s">
        <v>432</v>
      </c>
      <c r="GE55" s="2" t="s">
        <v>432</v>
      </c>
      <c r="GF55" s="2" t="s">
        <v>432</v>
      </c>
      <c r="GG55" s="2" t="s">
        <v>432</v>
      </c>
      <c r="GH55" s="2" t="s">
        <v>432</v>
      </c>
      <c r="GI55" s="2" t="s">
        <v>432</v>
      </c>
      <c r="GJ55" s="2" t="s">
        <v>432</v>
      </c>
      <c r="GK55" s="2" t="s">
        <v>433</v>
      </c>
      <c r="GL55" s="2" t="s">
        <v>432</v>
      </c>
      <c r="GM55" s="2" t="s">
        <v>1322</v>
      </c>
      <c r="GN55" s="2" t="s">
        <v>601</v>
      </c>
      <c r="GO55" s="2" t="s">
        <v>601</v>
      </c>
      <c r="GP55" s="2" t="s">
        <v>1406</v>
      </c>
      <c r="GQ55" s="2" t="s">
        <v>433</v>
      </c>
      <c r="GR55" s="2" t="s">
        <v>432</v>
      </c>
      <c r="GS55" s="2" t="s">
        <v>432</v>
      </c>
      <c r="GT55" s="2" t="s">
        <v>433</v>
      </c>
      <c r="GU55" s="2" t="s">
        <v>432</v>
      </c>
      <c r="GV55" s="2" t="s">
        <v>432</v>
      </c>
      <c r="GW55" s="2" t="s">
        <v>432</v>
      </c>
      <c r="GX55" s="2" t="s">
        <v>432</v>
      </c>
      <c r="GZ55" s="2" t="s">
        <v>544</v>
      </c>
      <c r="HA55" s="2" t="s">
        <v>432</v>
      </c>
      <c r="HB55" s="2" t="s">
        <v>432</v>
      </c>
      <c r="HC55" s="2" t="s">
        <v>432</v>
      </c>
      <c r="HD55" s="2" t="s">
        <v>432</v>
      </c>
      <c r="HE55" s="2" t="s">
        <v>433</v>
      </c>
      <c r="HF55" s="2" t="s">
        <v>432</v>
      </c>
      <c r="HG55" s="2" t="s">
        <v>1407</v>
      </c>
      <c r="HI55" s="2" t="s">
        <v>456</v>
      </c>
      <c r="HV55" s="2" t="s">
        <v>430</v>
      </c>
      <c r="IN55" s="2" t="s">
        <v>425</v>
      </c>
      <c r="IO55" s="2" t="s">
        <v>1408</v>
      </c>
      <c r="IP55" s="2" t="s">
        <v>432</v>
      </c>
      <c r="IQ55" s="2" t="s">
        <v>432</v>
      </c>
      <c r="IR55" s="2" t="s">
        <v>432</v>
      </c>
      <c r="IS55" s="2" t="s">
        <v>432</v>
      </c>
      <c r="IT55" s="2" t="s">
        <v>433</v>
      </c>
      <c r="IU55" s="2" t="s">
        <v>432</v>
      </c>
      <c r="IV55" s="2" t="s">
        <v>432</v>
      </c>
      <c r="IW55" s="2" t="s">
        <v>433</v>
      </c>
      <c r="IX55" s="2" t="s">
        <v>432</v>
      </c>
      <c r="IY55" s="2" t="s">
        <v>432</v>
      </c>
      <c r="JA55" s="2" t="s">
        <v>1361</v>
      </c>
      <c r="JB55" s="2" t="s">
        <v>432</v>
      </c>
      <c r="JC55" s="2" t="s">
        <v>432</v>
      </c>
      <c r="JD55" s="2" t="s">
        <v>433</v>
      </c>
      <c r="JE55" s="2" t="s">
        <v>433</v>
      </c>
      <c r="JF55" s="2" t="s">
        <v>432</v>
      </c>
      <c r="JG55" s="2" t="s">
        <v>432</v>
      </c>
      <c r="JH55" s="2" t="s">
        <v>1322</v>
      </c>
      <c r="JT55" s="2" t="s">
        <v>1409</v>
      </c>
      <c r="JU55" s="2" t="s">
        <v>432</v>
      </c>
      <c r="JV55" s="2" t="s">
        <v>432</v>
      </c>
      <c r="JW55" s="2" t="s">
        <v>433</v>
      </c>
      <c r="JX55" s="2" t="s">
        <v>432</v>
      </c>
      <c r="JY55" s="2" t="s">
        <v>433</v>
      </c>
      <c r="JZ55" s="2" t="s">
        <v>432</v>
      </c>
      <c r="KA55" s="2" t="s">
        <v>432</v>
      </c>
      <c r="KB55" s="2" t="s">
        <v>432</v>
      </c>
      <c r="KC55" s="2" t="s">
        <v>432</v>
      </c>
      <c r="KF55" s="2" t="s">
        <v>456</v>
      </c>
      <c r="LB55" s="2" t="s">
        <v>456</v>
      </c>
      <c r="LP55" s="2" t="s">
        <v>430</v>
      </c>
      <c r="LR55" s="2" t="s">
        <v>1410</v>
      </c>
      <c r="LS55" s="2">
        <v>170583875</v>
      </c>
      <c r="LT55" s="2" t="s">
        <v>1411</v>
      </c>
      <c r="LU55" s="2" t="s">
        <v>1412</v>
      </c>
      <c r="LW55" s="2" t="s">
        <v>460</v>
      </c>
      <c r="LX55" s="2" t="s">
        <v>461</v>
      </c>
      <c r="LY55" s="2" t="s">
        <v>462</v>
      </c>
      <c r="MA55" s="2">
        <v>59</v>
      </c>
    </row>
    <row r="56" spans="1:339" x14ac:dyDescent="0.3">
      <c r="A56" s="2" t="s">
        <v>1413</v>
      </c>
      <c r="B56" s="2" t="s">
        <v>1414</v>
      </c>
      <c r="C56" s="2" t="s">
        <v>1354</v>
      </c>
      <c r="F56" s="2" t="s">
        <v>422</v>
      </c>
      <c r="G56" s="2" t="s">
        <v>1126</v>
      </c>
      <c r="H56" s="2" t="s">
        <v>1320</v>
      </c>
      <c r="I56" s="2" t="s">
        <v>1320</v>
      </c>
      <c r="R56" s="2" t="s">
        <v>523</v>
      </c>
      <c r="S56" s="2" t="s">
        <v>614</v>
      </c>
      <c r="T56" s="2" t="s">
        <v>426</v>
      </c>
      <c r="Z56" s="2" t="s">
        <v>428</v>
      </c>
      <c r="AA56" s="2" t="s">
        <v>429</v>
      </c>
      <c r="AB56" s="2" t="s">
        <v>1126</v>
      </c>
      <c r="AG56" s="2" t="s">
        <v>456</v>
      </c>
      <c r="BQ56" s="2" t="s">
        <v>456</v>
      </c>
      <c r="DZ56" s="2" t="s">
        <v>768</v>
      </c>
      <c r="EA56" s="2" t="s">
        <v>433</v>
      </c>
      <c r="EB56" s="2" t="s">
        <v>432</v>
      </c>
      <c r="EC56" s="2" t="s">
        <v>432</v>
      </c>
      <c r="ED56" s="2" t="s">
        <v>432</v>
      </c>
      <c r="EE56" s="2" t="s">
        <v>432</v>
      </c>
      <c r="EF56" s="2" t="s">
        <v>432</v>
      </c>
      <c r="EG56" s="2" t="s">
        <v>432</v>
      </c>
      <c r="EH56" s="2" t="s">
        <v>432</v>
      </c>
      <c r="EI56" s="2" t="s">
        <v>432</v>
      </c>
      <c r="EL56" s="2" t="s">
        <v>597</v>
      </c>
      <c r="EM56" s="2" t="s">
        <v>432</v>
      </c>
      <c r="EN56" s="2" t="s">
        <v>432</v>
      </c>
      <c r="EO56" s="2" t="s">
        <v>432</v>
      </c>
      <c r="EP56" s="2" t="s">
        <v>432</v>
      </c>
      <c r="EQ56" s="2" t="s">
        <v>432</v>
      </c>
      <c r="ER56" s="2" t="s">
        <v>432</v>
      </c>
      <c r="ES56" s="2" t="s">
        <v>432</v>
      </c>
      <c r="ET56" s="2" t="s">
        <v>432</v>
      </c>
      <c r="EU56" s="2" t="s">
        <v>433</v>
      </c>
      <c r="EV56" s="2" t="s">
        <v>432</v>
      </c>
      <c r="EX56" s="2" t="s">
        <v>430</v>
      </c>
      <c r="EY56" s="2" t="s">
        <v>1069</v>
      </c>
      <c r="EZ56" s="2" t="s">
        <v>432</v>
      </c>
      <c r="FA56" s="2" t="s">
        <v>432</v>
      </c>
      <c r="FB56" s="2" t="s">
        <v>432</v>
      </c>
      <c r="FC56" s="2" t="s">
        <v>432</v>
      </c>
      <c r="FD56" s="2" t="s">
        <v>433</v>
      </c>
      <c r="FE56" s="2" t="s">
        <v>432</v>
      </c>
      <c r="FF56" s="2" t="s">
        <v>432</v>
      </c>
      <c r="FG56" s="2" t="s">
        <v>432</v>
      </c>
      <c r="FH56" s="2" t="s">
        <v>432</v>
      </c>
      <c r="FI56" s="2" t="s">
        <v>432</v>
      </c>
      <c r="FJ56" s="2" t="s">
        <v>432</v>
      </c>
      <c r="FK56" s="2" t="s">
        <v>432</v>
      </c>
      <c r="FL56" s="2" t="s">
        <v>432</v>
      </c>
      <c r="FM56" s="2" t="s">
        <v>432</v>
      </c>
      <c r="FO56" s="2" t="s">
        <v>442</v>
      </c>
      <c r="FP56" s="2" t="s">
        <v>442</v>
      </c>
      <c r="FQ56" s="2" t="s">
        <v>482</v>
      </c>
      <c r="FR56" s="2" t="s">
        <v>432</v>
      </c>
      <c r="FS56" s="2" t="s">
        <v>433</v>
      </c>
      <c r="FT56" s="2" t="s">
        <v>432</v>
      </c>
      <c r="FU56" s="2" t="s">
        <v>432</v>
      </c>
      <c r="FV56" s="2" t="s">
        <v>432</v>
      </c>
      <c r="FW56" s="2" t="s">
        <v>432</v>
      </c>
      <c r="FX56" s="2" t="s">
        <v>432</v>
      </c>
      <c r="FY56" s="2" t="s">
        <v>432</v>
      </c>
      <c r="GA56" s="2" t="s">
        <v>1311</v>
      </c>
      <c r="GB56" s="2" t="s">
        <v>1311</v>
      </c>
      <c r="GN56" s="2" t="s">
        <v>442</v>
      </c>
      <c r="GO56" s="2" t="s">
        <v>442</v>
      </c>
      <c r="GP56" s="2" t="s">
        <v>1294</v>
      </c>
      <c r="GQ56" s="2" t="s">
        <v>433</v>
      </c>
      <c r="GR56" s="2" t="s">
        <v>432</v>
      </c>
      <c r="GS56" s="2" t="s">
        <v>432</v>
      </c>
      <c r="GT56" s="2" t="s">
        <v>432</v>
      </c>
      <c r="GU56" s="2" t="s">
        <v>432</v>
      </c>
      <c r="GV56" s="2" t="s">
        <v>432</v>
      </c>
      <c r="GW56" s="2" t="s">
        <v>432</v>
      </c>
      <c r="GX56" s="2" t="s">
        <v>432</v>
      </c>
      <c r="GZ56" s="2" t="s">
        <v>544</v>
      </c>
      <c r="HA56" s="2" t="s">
        <v>432</v>
      </c>
      <c r="HB56" s="2" t="s">
        <v>432</v>
      </c>
      <c r="HC56" s="2" t="s">
        <v>432</v>
      </c>
      <c r="HD56" s="2" t="s">
        <v>432</v>
      </c>
      <c r="HE56" s="2" t="s">
        <v>433</v>
      </c>
      <c r="HF56" s="2" t="s">
        <v>432</v>
      </c>
      <c r="HG56" s="2" t="s">
        <v>1415</v>
      </c>
      <c r="HI56" s="2" t="s">
        <v>456</v>
      </c>
      <c r="HV56" s="2" t="s">
        <v>430</v>
      </c>
      <c r="IN56" s="2" t="s">
        <v>513</v>
      </c>
      <c r="IO56" s="2" t="s">
        <v>773</v>
      </c>
      <c r="IP56" s="2" t="s">
        <v>432</v>
      </c>
      <c r="IQ56" s="2" t="s">
        <v>432</v>
      </c>
      <c r="IR56" s="2" t="s">
        <v>432</v>
      </c>
      <c r="IS56" s="2" t="s">
        <v>432</v>
      </c>
      <c r="IT56" s="2" t="s">
        <v>432</v>
      </c>
      <c r="IU56" s="2" t="s">
        <v>432</v>
      </c>
      <c r="IV56" s="2" t="s">
        <v>432</v>
      </c>
      <c r="IW56" s="2" t="s">
        <v>433</v>
      </c>
      <c r="IX56" s="2" t="s">
        <v>432</v>
      </c>
      <c r="IY56" s="2" t="s">
        <v>432</v>
      </c>
      <c r="JA56" s="2" t="s">
        <v>1330</v>
      </c>
      <c r="JB56" s="2" t="s">
        <v>432</v>
      </c>
      <c r="JC56" s="2" t="s">
        <v>432</v>
      </c>
      <c r="JD56" s="2" t="s">
        <v>433</v>
      </c>
      <c r="JE56" s="2" t="s">
        <v>432</v>
      </c>
      <c r="JF56" s="2" t="s">
        <v>432</v>
      </c>
      <c r="JG56" s="2" t="s">
        <v>432</v>
      </c>
      <c r="JT56" s="2" t="s">
        <v>1331</v>
      </c>
      <c r="JU56" s="2" t="s">
        <v>432</v>
      </c>
      <c r="JV56" s="2" t="s">
        <v>432</v>
      </c>
      <c r="JW56" s="2" t="s">
        <v>433</v>
      </c>
      <c r="JX56" s="2" t="s">
        <v>432</v>
      </c>
      <c r="JY56" s="2" t="s">
        <v>433</v>
      </c>
      <c r="JZ56" s="2" t="s">
        <v>432</v>
      </c>
      <c r="KA56" s="2" t="s">
        <v>432</v>
      </c>
      <c r="KB56" s="2" t="s">
        <v>432</v>
      </c>
      <c r="KC56" s="2" t="s">
        <v>432</v>
      </c>
      <c r="KF56" s="2" t="s">
        <v>1223</v>
      </c>
      <c r="LB56" s="2" t="s">
        <v>456</v>
      </c>
      <c r="LP56" s="2" t="s">
        <v>430</v>
      </c>
      <c r="LR56" s="2" t="s">
        <v>1416</v>
      </c>
      <c r="LS56" s="2">
        <v>170583888</v>
      </c>
      <c r="LT56" s="2" t="s">
        <v>1417</v>
      </c>
      <c r="LU56" s="2" t="s">
        <v>1418</v>
      </c>
      <c r="LW56" s="2" t="s">
        <v>460</v>
      </c>
      <c r="LX56" s="2" t="s">
        <v>461</v>
      </c>
      <c r="LY56" s="2" t="s">
        <v>462</v>
      </c>
      <c r="MA56" s="2">
        <v>60</v>
      </c>
    </row>
    <row r="57" spans="1:339" x14ac:dyDescent="0.3">
      <c r="A57" s="2" t="s">
        <v>1419</v>
      </c>
      <c r="B57" s="2" t="s">
        <v>1420</v>
      </c>
      <c r="C57" s="2" t="s">
        <v>1354</v>
      </c>
      <c r="F57" s="2" t="s">
        <v>523</v>
      </c>
      <c r="G57" s="2" t="s">
        <v>1126</v>
      </c>
      <c r="H57" s="2" t="s">
        <v>1320</v>
      </c>
      <c r="I57" s="2" t="s">
        <v>1320</v>
      </c>
      <c r="R57" s="2" t="s">
        <v>523</v>
      </c>
      <c r="S57" s="2" t="s">
        <v>672</v>
      </c>
      <c r="T57" s="2" t="s">
        <v>426</v>
      </c>
      <c r="Z57" s="2" t="s">
        <v>428</v>
      </c>
      <c r="AA57" s="2" t="s">
        <v>429</v>
      </c>
      <c r="AB57" s="2" t="s">
        <v>1126</v>
      </c>
      <c r="AG57" s="2" t="s">
        <v>456</v>
      </c>
      <c r="BQ57" s="2" t="s">
        <v>456</v>
      </c>
      <c r="DZ57" s="2" t="s">
        <v>768</v>
      </c>
      <c r="EA57" s="2" t="s">
        <v>433</v>
      </c>
      <c r="EB57" s="2" t="s">
        <v>432</v>
      </c>
      <c r="EC57" s="2" t="s">
        <v>432</v>
      </c>
      <c r="ED57" s="2" t="s">
        <v>432</v>
      </c>
      <c r="EE57" s="2" t="s">
        <v>432</v>
      </c>
      <c r="EF57" s="2" t="s">
        <v>432</v>
      </c>
      <c r="EG57" s="2" t="s">
        <v>432</v>
      </c>
      <c r="EH57" s="2" t="s">
        <v>432</v>
      </c>
      <c r="EI57" s="2" t="s">
        <v>432</v>
      </c>
      <c r="EL57" s="2" t="s">
        <v>597</v>
      </c>
      <c r="EM57" s="2" t="s">
        <v>432</v>
      </c>
      <c r="EN57" s="2" t="s">
        <v>432</v>
      </c>
      <c r="EO57" s="2" t="s">
        <v>432</v>
      </c>
      <c r="EP57" s="2" t="s">
        <v>432</v>
      </c>
      <c r="EQ57" s="2" t="s">
        <v>432</v>
      </c>
      <c r="ER57" s="2" t="s">
        <v>432</v>
      </c>
      <c r="ES57" s="2" t="s">
        <v>432</v>
      </c>
      <c r="ET57" s="2" t="s">
        <v>432</v>
      </c>
      <c r="EU57" s="2" t="s">
        <v>433</v>
      </c>
      <c r="EV57" s="2" t="s">
        <v>432</v>
      </c>
      <c r="EX57" s="2" t="s">
        <v>430</v>
      </c>
      <c r="EY57" s="2" t="s">
        <v>1138</v>
      </c>
      <c r="EZ57" s="2" t="s">
        <v>433</v>
      </c>
      <c r="FA57" s="2" t="s">
        <v>432</v>
      </c>
      <c r="FB57" s="2" t="s">
        <v>432</v>
      </c>
      <c r="FC57" s="2" t="s">
        <v>432</v>
      </c>
      <c r="FD57" s="2" t="s">
        <v>433</v>
      </c>
      <c r="FE57" s="2" t="s">
        <v>432</v>
      </c>
      <c r="FF57" s="2" t="s">
        <v>432</v>
      </c>
      <c r="FG57" s="2" t="s">
        <v>432</v>
      </c>
      <c r="FH57" s="2" t="s">
        <v>432</v>
      </c>
      <c r="FI57" s="2" t="s">
        <v>432</v>
      </c>
      <c r="FJ57" s="2" t="s">
        <v>432</v>
      </c>
      <c r="FK57" s="2" t="s">
        <v>432</v>
      </c>
      <c r="FL57" s="2" t="s">
        <v>432</v>
      </c>
      <c r="FM57" s="2" t="s">
        <v>432</v>
      </c>
      <c r="FO57" s="2" t="s">
        <v>442</v>
      </c>
      <c r="FP57" s="2" t="s">
        <v>601</v>
      </c>
      <c r="GA57" s="2" t="s">
        <v>509</v>
      </c>
      <c r="GB57" s="2" t="s">
        <v>483</v>
      </c>
      <c r="GC57" s="2" t="s">
        <v>544</v>
      </c>
      <c r="GD57" s="2" t="s">
        <v>432</v>
      </c>
      <c r="GE57" s="2" t="s">
        <v>432</v>
      </c>
      <c r="GF57" s="2" t="s">
        <v>432</v>
      </c>
      <c r="GG57" s="2" t="s">
        <v>432</v>
      </c>
      <c r="GH57" s="2" t="s">
        <v>432</v>
      </c>
      <c r="GI57" s="2" t="s">
        <v>432</v>
      </c>
      <c r="GJ57" s="2" t="s">
        <v>432</v>
      </c>
      <c r="GK57" s="2" t="s">
        <v>433</v>
      </c>
      <c r="GL57" s="2" t="s">
        <v>432</v>
      </c>
      <c r="GM57" s="2" t="s">
        <v>1322</v>
      </c>
      <c r="GN57" s="2" t="s">
        <v>481</v>
      </c>
      <c r="GO57" s="2" t="s">
        <v>481</v>
      </c>
      <c r="GP57" s="2" t="s">
        <v>1294</v>
      </c>
      <c r="GQ57" s="2" t="s">
        <v>433</v>
      </c>
      <c r="GR57" s="2" t="s">
        <v>432</v>
      </c>
      <c r="GS57" s="2" t="s">
        <v>432</v>
      </c>
      <c r="GT57" s="2" t="s">
        <v>432</v>
      </c>
      <c r="GU57" s="2" t="s">
        <v>432</v>
      </c>
      <c r="GV57" s="2" t="s">
        <v>432</v>
      </c>
      <c r="GW57" s="2" t="s">
        <v>432</v>
      </c>
      <c r="GX57" s="2" t="s">
        <v>432</v>
      </c>
      <c r="GZ57" s="2" t="s">
        <v>643</v>
      </c>
      <c r="HA57" s="2" t="s">
        <v>433</v>
      </c>
      <c r="HB57" s="2" t="s">
        <v>432</v>
      </c>
      <c r="HC57" s="2" t="s">
        <v>432</v>
      </c>
      <c r="HD57" s="2" t="s">
        <v>432</v>
      </c>
      <c r="HE57" s="2" t="s">
        <v>432</v>
      </c>
      <c r="HF57" s="2" t="s">
        <v>432</v>
      </c>
      <c r="HI57" s="2" t="s">
        <v>456</v>
      </c>
      <c r="HV57" s="2" t="s">
        <v>430</v>
      </c>
      <c r="IN57" s="2" t="s">
        <v>757</v>
      </c>
      <c r="IO57" s="2" t="s">
        <v>773</v>
      </c>
      <c r="IP57" s="2" t="s">
        <v>432</v>
      </c>
      <c r="IQ57" s="2" t="s">
        <v>432</v>
      </c>
      <c r="IR57" s="2" t="s">
        <v>432</v>
      </c>
      <c r="IS57" s="2" t="s">
        <v>432</v>
      </c>
      <c r="IT57" s="2" t="s">
        <v>432</v>
      </c>
      <c r="IU57" s="2" t="s">
        <v>432</v>
      </c>
      <c r="IV57" s="2" t="s">
        <v>432</v>
      </c>
      <c r="IW57" s="2" t="s">
        <v>433</v>
      </c>
      <c r="IX57" s="2" t="s">
        <v>432</v>
      </c>
      <c r="IY57" s="2" t="s">
        <v>432</v>
      </c>
      <c r="JA57" s="2" t="s">
        <v>1330</v>
      </c>
      <c r="JB57" s="2" t="s">
        <v>432</v>
      </c>
      <c r="JC57" s="2" t="s">
        <v>432</v>
      </c>
      <c r="JD57" s="2" t="s">
        <v>433</v>
      </c>
      <c r="JE57" s="2" t="s">
        <v>432</v>
      </c>
      <c r="JF57" s="2" t="s">
        <v>432</v>
      </c>
      <c r="JG57" s="2" t="s">
        <v>432</v>
      </c>
      <c r="JT57" s="2" t="s">
        <v>1331</v>
      </c>
      <c r="JU57" s="2" t="s">
        <v>432</v>
      </c>
      <c r="JV57" s="2" t="s">
        <v>432</v>
      </c>
      <c r="JW57" s="2" t="s">
        <v>433</v>
      </c>
      <c r="JX57" s="2" t="s">
        <v>432</v>
      </c>
      <c r="JY57" s="2" t="s">
        <v>433</v>
      </c>
      <c r="JZ57" s="2" t="s">
        <v>432</v>
      </c>
      <c r="KA57" s="2" t="s">
        <v>432</v>
      </c>
      <c r="KB57" s="2" t="s">
        <v>432</v>
      </c>
      <c r="KC57" s="2" t="s">
        <v>432</v>
      </c>
      <c r="KF57" s="2" t="s">
        <v>456</v>
      </c>
      <c r="LB57" s="2" t="s">
        <v>456</v>
      </c>
      <c r="LP57" s="2" t="s">
        <v>430</v>
      </c>
      <c r="LR57" s="2" t="s">
        <v>1421</v>
      </c>
      <c r="LS57" s="2">
        <v>170583892</v>
      </c>
      <c r="LT57" s="2" t="s">
        <v>1422</v>
      </c>
      <c r="LU57" s="2" t="s">
        <v>1423</v>
      </c>
      <c r="LW57" s="2" t="s">
        <v>460</v>
      </c>
      <c r="LX57" s="2" t="s">
        <v>461</v>
      </c>
      <c r="LY57" s="2" t="s">
        <v>462</v>
      </c>
      <c r="MA57" s="2">
        <v>61</v>
      </c>
    </row>
    <row r="58" spans="1:339" x14ac:dyDescent="0.3">
      <c r="A58" s="2" t="s">
        <v>1428</v>
      </c>
      <c r="B58" s="2" t="s">
        <v>1429</v>
      </c>
      <c r="C58" s="2" t="s">
        <v>1354</v>
      </c>
      <c r="F58" s="2" t="s">
        <v>422</v>
      </c>
      <c r="G58" s="2" t="s">
        <v>787</v>
      </c>
      <c r="H58" s="2" t="s">
        <v>787</v>
      </c>
      <c r="I58" s="2" t="s">
        <v>787</v>
      </c>
      <c r="R58" s="2" t="s">
        <v>422</v>
      </c>
      <c r="S58" s="2" t="s">
        <v>1113</v>
      </c>
      <c r="T58" s="2" t="s">
        <v>426</v>
      </c>
      <c r="Z58" s="2" t="s">
        <v>428</v>
      </c>
      <c r="AA58" s="2" t="s">
        <v>429</v>
      </c>
      <c r="AB58" s="2" t="s">
        <v>787</v>
      </c>
      <c r="AG58" s="2" t="s">
        <v>456</v>
      </c>
      <c r="BQ58" s="2" t="s">
        <v>456</v>
      </c>
      <c r="DZ58" s="2" t="s">
        <v>617</v>
      </c>
      <c r="EA58" s="2" t="s">
        <v>433</v>
      </c>
      <c r="EB58" s="2" t="s">
        <v>432</v>
      </c>
      <c r="EC58" s="2" t="s">
        <v>433</v>
      </c>
      <c r="ED58" s="2" t="s">
        <v>432</v>
      </c>
      <c r="EE58" s="2" t="s">
        <v>432</v>
      </c>
      <c r="EF58" s="2" t="s">
        <v>432</v>
      </c>
      <c r="EG58" s="2" t="s">
        <v>432</v>
      </c>
      <c r="EH58" s="2" t="s">
        <v>432</v>
      </c>
      <c r="EI58" s="2" t="s">
        <v>432</v>
      </c>
      <c r="EL58" s="2" t="s">
        <v>1430</v>
      </c>
      <c r="EM58" s="2" t="s">
        <v>432</v>
      </c>
      <c r="EN58" s="2" t="s">
        <v>433</v>
      </c>
      <c r="EO58" s="2" t="s">
        <v>433</v>
      </c>
      <c r="EP58" s="2" t="s">
        <v>433</v>
      </c>
      <c r="EQ58" s="2" t="s">
        <v>432</v>
      </c>
      <c r="ER58" s="2" t="s">
        <v>432</v>
      </c>
      <c r="ES58" s="2" t="s">
        <v>432</v>
      </c>
      <c r="ET58" s="2" t="s">
        <v>432</v>
      </c>
      <c r="EU58" s="2" t="s">
        <v>432</v>
      </c>
      <c r="EV58" s="2" t="s">
        <v>432</v>
      </c>
      <c r="EX58" s="2" t="s">
        <v>430</v>
      </c>
      <c r="EY58" s="2" t="s">
        <v>1431</v>
      </c>
      <c r="EZ58" s="2" t="s">
        <v>432</v>
      </c>
      <c r="FA58" s="2" t="s">
        <v>432</v>
      </c>
      <c r="FB58" s="2" t="s">
        <v>432</v>
      </c>
      <c r="FC58" s="2" t="s">
        <v>433</v>
      </c>
      <c r="FD58" s="2" t="s">
        <v>432</v>
      </c>
      <c r="FE58" s="2" t="s">
        <v>433</v>
      </c>
      <c r="FF58" s="2" t="s">
        <v>432</v>
      </c>
      <c r="FG58" s="2" t="s">
        <v>432</v>
      </c>
      <c r="FH58" s="2" t="s">
        <v>432</v>
      </c>
      <c r="FI58" s="2" t="s">
        <v>432</v>
      </c>
      <c r="FJ58" s="2" t="s">
        <v>433</v>
      </c>
      <c r="FK58" s="2" t="s">
        <v>432</v>
      </c>
      <c r="FL58" s="2" t="s">
        <v>433</v>
      </c>
      <c r="FM58" s="2" t="s">
        <v>432</v>
      </c>
      <c r="FN58" s="2" t="s">
        <v>1254</v>
      </c>
      <c r="FO58" s="2" t="s">
        <v>601</v>
      </c>
      <c r="FP58" s="2" t="s">
        <v>601</v>
      </c>
      <c r="GA58" s="2" t="s">
        <v>602</v>
      </c>
      <c r="GB58" s="2" t="s">
        <v>602</v>
      </c>
      <c r="GC58" s="2" t="s">
        <v>1130</v>
      </c>
      <c r="GD58" s="2" t="s">
        <v>433</v>
      </c>
      <c r="GE58" s="2" t="s">
        <v>433</v>
      </c>
      <c r="GF58" s="2" t="s">
        <v>432</v>
      </c>
      <c r="GG58" s="2" t="s">
        <v>433</v>
      </c>
      <c r="GH58" s="2" t="s">
        <v>432</v>
      </c>
      <c r="GI58" s="2" t="s">
        <v>432</v>
      </c>
      <c r="GJ58" s="2" t="s">
        <v>432</v>
      </c>
      <c r="GK58" s="2" t="s">
        <v>432</v>
      </c>
      <c r="GL58" s="2" t="s">
        <v>432</v>
      </c>
      <c r="GN58" s="2" t="s">
        <v>601</v>
      </c>
      <c r="GO58" s="2" t="s">
        <v>601</v>
      </c>
      <c r="GP58" s="2" t="s">
        <v>1070</v>
      </c>
      <c r="GQ58" s="2" t="s">
        <v>433</v>
      </c>
      <c r="GR58" s="2" t="s">
        <v>433</v>
      </c>
      <c r="GS58" s="2" t="s">
        <v>432</v>
      </c>
      <c r="GT58" s="2" t="s">
        <v>432</v>
      </c>
      <c r="GU58" s="2" t="s">
        <v>432</v>
      </c>
      <c r="GV58" s="2" t="s">
        <v>432</v>
      </c>
      <c r="GW58" s="2" t="s">
        <v>432</v>
      </c>
      <c r="GX58" s="2" t="s">
        <v>432</v>
      </c>
      <c r="GZ58" s="2" t="s">
        <v>597</v>
      </c>
      <c r="HA58" s="2" t="s">
        <v>432</v>
      </c>
      <c r="HB58" s="2" t="s">
        <v>432</v>
      </c>
      <c r="HC58" s="2" t="s">
        <v>432</v>
      </c>
      <c r="HD58" s="2" t="s">
        <v>432</v>
      </c>
      <c r="HE58" s="2" t="s">
        <v>432</v>
      </c>
      <c r="HF58" s="2" t="s">
        <v>433</v>
      </c>
      <c r="HI58" s="2" t="s">
        <v>456</v>
      </c>
      <c r="HV58" s="2" t="s">
        <v>430</v>
      </c>
      <c r="IN58" s="2" t="s">
        <v>435</v>
      </c>
      <c r="IO58" s="2" t="s">
        <v>1432</v>
      </c>
      <c r="IP58" s="2" t="s">
        <v>432</v>
      </c>
      <c r="IQ58" s="2" t="s">
        <v>432</v>
      </c>
      <c r="IR58" s="2" t="s">
        <v>433</v>
      </c>
      <c r="IS58" s="2" t="s">
        <v>432</v>
      </c>
      <c r="IT58" s="2" t="s">
        <v>432</v>
      </c>
      <c r="IU58" s="2" t="s">
        <v>432</v>
      </c>
      <c r="IV58" s="2" t="s">
        <v>432</v>
      </c>
      <c r="IW58" s="2" t="s">
        <v>432</v>
      </c>
      <c r="IX58" s="2" t="s">
        <v>432</v>
      </c>
      <c r="IY58" s="2" t="s">
        <v>432</v>
      </c>
      <c r="JA58" s="2" t="s">
        <v>663</v>
      </c>
      <c r="JB58" s="2" t="s">
        <v>433</v>
      </c>
      <c r="JC58" s="2" t="s">
        <v>433</v>
      </c>
      <c r="JD58" s="2" t="s">
        <v>432</v>
      </c>
      <c r="JE58" s="2" t="s">
        <v>432</v>
      </c>
      <c r="JF58" s="2" t="s">
        <v>432</v>
      </c>
      <c r="JG58" s="2" t="s">
        <v>432</v>
      </c>
      <c r="JI58" s="2" t="s">
        <v>1433</v>
      </c>
      <c r="JJ58" s="2" t="s">
        <v>432</v>
      </c>
      <c r="JK58" s="2" t="s">
        <v>432</v>
      </c>
      <c r="JL58" s="2" t="s">
        <v>433</v>
      </c>
      <c r="JM58" s="2" t="s">
        <v>432</v>
      </c>
      <c r="JN58" s="2" t="s">
        <v>432</v>
      </c>
      <c r="JO58" s="2" t="s">
        <v>432</v>
      </c>
      <c r="JP58" s="2" t="s">
        <v>432</v>
      </c>
      <c r="JQ58" s="2" t="s">
        <v>433</v>
      </c>
      <c r="JR58" s="2" t="s">
        <v>432</v>
      </c>
      <c r="JS58" s="2" t="s">
        <v>1434</v>
      </c>
      <c r="JT58" s="2" t="s">
        <v>1063</v>
      </c>
      <c r="JU58" s="2" t="s">
        <v>433</v>
      </c>
      <c r="JV58" s="2" t="s">
        <v>432</v>
      </c>
      <c r="JW58" s="2" t="s">
        <v>432</v>
      </c>
      <c r="JX58" s="2" t="s">
        <v>432</v>
      </c>
      <c r="JY58" s="2" t="s">
        <v>432</v>
      </c>
      <c r="JZ58" s="2" t="s">
        <v>432</v>
      </c>
      <c r="KA58" s="2" t="s">
        <v>432</v>
      </c>
      <c r="KB58" s="2" t="s">
        <v>432</v>
      </c>
      <c r="KC58" s="2" t="s">
        <v>432</v>
      </c>
      <c r="KF58" s="2" t="s">
        <v>456</v>
      </c>
      <c r="LB58" s="2" t="s">
        <v>456</v>
      </c>
      <c r="LP58" s="2" t="s">
        <v>430</v>
      </c>
      <c r="LS58" s="2">
        <v>170683435</v>
      </c>
      <c r="LT58" s="2" t="s">
        <v>1435</v>
      </c>
      <c r="LU58" s="2" t="s">
        <v>1436</v>
      </c>
      <c r="LW58" s="2" t="s">
        <v>460</v>
      </c>
      <c r="LX58" s="2" t="s">
        <v>461</v>
      </c>
      <c r="LY58" s="2" t="s">
        <v>462</v>
      </c>
      <c r="MA58" s="2">
        <v>62</v>
      </c>
    </row>
    <row r="59" spans="1:339" x14ac:dyDescent="0.3">
      <c r="A59" s="2" t="s">
        <v>1437</v>
      </c>
      <c r="B59" s="2" t="s">
        <v>1438</v>
      </c>
      <c r="C59" s="2" t="s">
        <v>1439</v>
      </c>
      <c r="F59" s="2" t="s">
        <v>422</v>
      </c>
      <c r="G59" s="2" t="s">
        <v>787</v>
      </c>
      <c r="H59" s="2" t="s">
        <v>787</v>
      </c>
      <c r="I59" s="2" t="s">
        <v>787</v>
      </c>
      <c r="R59" s="2" t="s">
        <v>422</v>
      </c>
      <c r="S59" s="2" t="s">
        <v>524</v>
      </c>
      <c r="T59" s="2" t="s">
        <v>544</v>
      </c>
      <c r="U59" s="2" t="s">
        <v>1440</v>
      </c>
      <c r="AG59" s="2" t="s">
        <v>456</v>
      </c>
      <c r="BQ59" s="2" t="s">
        <v>456</v>
      </c>
      <c r="DZ59" s="2" t="s">
        <v>1060</v>
      </c>
      <c r="EA59" s="2" t="s">
        <v>433</v>
      </c>
      <c r="EB59" s="2" t="s">
        <v>433</v>
      </c>
      <c r="EC59" s="2" t="s">
        <v>432</v>
      </c>
      <c r="ED59" s="2" t="s">
        <v>432</v>
      </c>
      <c r="EE59" s="2" t="s">
        <v>432</v>
      </c>
      <c r="EF59" s="2" t="s">
        <v>432</v>
      </c>
      <c r="EG59" s="2" t="s">
        <v>432</v>
      </c>
      <c r="EH59" s="2" t="s">
        <v>432</v>
      </c>
      <c r="EI59" s="2" t="s">
        <v>432</v>
      </c>
      <c r="EL59" s="2" t="s">
        <v>597</v>
      </c>
      <c r="EM59" s="2" t="s">
        <v>432</v>
      </c>
      <c r="EN59" s="2" t="s">
        <v>432</v>
      </c>
      <c r="EO59" s="2" t="s">
        <v>432</v>
      </c>
      <c r="EP59" s="2" t="s">
        <v>432</v>
      </c>
      <c r="EQ59" s="2" t="s">
        <v>432</v>
      </c>
      <c r="ER59" s="2" t="s">
        <v>432</v>
      </c>
      <c r="ES59" s="2" t="s">
        <v>432</v>
      </c>
      <c r="ET59" s="2" t="s">
        <v>432</v>
      </c>
      <c r="EU59" s="2" t="s">
        <v>433</v>
      </c>
      <c r="EV59" s="2" t="s">
        <v>432</v>
      </c>
      <c r="EX59" s="2" t="s">
        <v>430</v>
      </c>
      <c r="EY59" s="2" t="s">
        <v>1441</v>
      </c>
      <c r="EZ59" s="2" t="s">
        <v>432</v>
      </c>
      <c r="FA59" s="2" t="s">
        <v>432</v>
      </c>
      <c r="FB59" s="2" t="s">
        <v>432</v>
      </c>
      <c r="FC59" s="2" t="s">
        <v>433</v>
      </c>
      <c r="FD59" s="2" t="s">
        <v>432</v>
      </c>
      <c r="FE59" s="2" t="s">
        <v>433</v>
      </c>
      <c r="FF59" s="2" t="s">
        <v>432</v>
      </c>
      <c r="FG59" s="2" t="s">
        <v>432</v>
      </c>
      <c r="FH59" s="2" t="s">
        <v>432</v>
      </c>
      <c r="FI59" s="2" t="s">
        <v>432</v>
      </c>
      <c r="FJ59" s="2" t="s">
        <v>432</v>
      </c>
      <c r="FK59" s="2" t="s">
        <v>432</v>
      </c>
      <c r="FL59" s="2" t="s">
        <v>432</v>
      </c>
      <c r="FM59" s="2" t="s">
        <v>432</v>
      </c>
      <c r="FO59" s="2" t="s">
        <v>508</v>
      </c>
      <c r="FP59" s="2" t="s">
        <v>601</v>
      </c>
      <c r="GA59" s="2" t="s">
        <v>483</v>
      </c>
      <c r="GB59" s="2" t="s">
        <v>602</v>
      </c>
      <c r="GC59" s="2" t="s">
        <v>1442</v>
      </c>
      <c r="GD59" s="2" t="s">
        <v>433</v>
      </c>
      <c r="GE59" s="2" t="s">
        <v>432</v>
      </c>
      <c r="GF59" s="2" t="s">
        <v>432</v>
      </c>
      <c r="GG59" s="2" t="s">
        <v>433</v>
      </c>
      <c r="GH59" s="2" t="s">
        <v>432</v>
      </c>
      <c r="GI59" s="2" t="s">
        <v>432</v>
      </c>
      <c r="GJ59" s="2" t="s">
        <v>432</v>
      </c>
      <c r="GK59" s="2" t="s">
        <v>432</v>
      </c>
      <c r="GL59" s="2" t="s">
        <v>432</v>
      </c>
      <c r="GN59" s="2" t="s">
        <v>601</v>
      </c>
      <c r="GO59" s="2" t="s">
        <v>601</v>
      </c>
      <c r="GP59" s="2" t="s">
        <v>687</v>
      </c>
      <c r="GQ59" s="2" t="s">
        <v>433</v>
      </c>
      <c r="GR59" s="2" t="s">
        <v>433</v>
      </c>
      <c r="GS59" s="2" t="s">
        <v>432</v>
      </c>
      <c r="GT59" s="2" t="s">
        <v>432</v>
      </c>
      <c r="GU59" s="2" t="s">
        <v>432</v>
      </c>
      <c r="GV59" s="2" t="s">
        <v>432</v>
      </c>
      <c r="GW59" s="2" t="s">
        <v>432</v>
      </c>
      <c r="GX59" s="2" t="s">
        <v>432</v>
      </c>
      <c r="GZ59" s="2" t="s">
        <v>597</v>
      </c>
      <c r="HA59" s="2" t="s">
        <v>432</v>
      </c>
      <c r="HB59" s="2" t="s">
        <v>432</v>
      </c>
      <c r="HC59" s="2" t="s">
        <v>432</v>
      </c>
      <c r="HD59" s="2" t="s">
        <v>432</v>
      </c>
      <c r="HE59" s="2" t="s">
        <v>432</v>
      </c>
      <c r="HF59" s="2" t="s">
        <v>433</v>
      </c>
      <c r="HI59" s="2" t="s">
        <v>456</v>
      </c>
      <c r="HV59" s="2" t="s">
        <v>430</v>
      </c>
      <c r="IN59" s="2" t="s">
        <v>614</v>
      </c>
      <c r="IO59" s="2" t="s">
        <v>1443</v>
      </c>
      <c r="IP59" s="2" t="s">
        <v>433</v>
      </c>
      <c r="IQ59" s="2" t="s">
        <v>433</v>
      </c>
      <c r="IR59" s="2" t="s">
        <v>432</v>
      </c>
      <c r="IS59" s="2" t="s">
        <v>432</v>
      </c>
      <c r="IT59" s="2" t="s">
        <v>432</v>
      </c>
      <c r="IU59" s="2" t="s">
        <v>432</v>
      </c>
      <c r="IV59" s="2" t="s">
        <v>432</v>
      </c>
      <c r="IW59" s="2" t="s">
        <v>432</v>
      </c>
      <c r="IX59" s="2" t="s">
        <v>432</v>
      </c>
      <c r="IY59" s="2" t="s">
        <v>432</v>
      </c>
      <c r="JA59" s="2" t="s">
        <v>663</v>
      </c>
      <c r="JB59" s="2" t="s">
        <v>433</v>
      </c>
      <c r="JC59" s="2" t="s">
        <v>433</v>
      </c>
      <c r="JD59" s="2" t="s">
        <v>432</v>
      </c>
      <c r="JE59" s="2" t="s">
        <v>432</v>
      </c>
      <c r="JF59" s="2" t="s">
        <v>432</v>
      </c>
      <c r="JG59" s="2" t="s">
        <v>432</v>
      </c>
      <c r="JI59" s="2" t="s">
        <v>761</v>
      </c>
      <c r="JJ59" s="2" t="s">
        <v>433</v>
      </c>
      <c r="JK59" s="2" t="s">
        <v>433</v>
      </c>
      <c r="JL59" s="2" t="s">
        <v>432</v>
      </c>
      <c r="JM59" s="2" t="s">
        <v>432</v>
      </c>
      <c r="JN59" s="2" t="s">
        <v>432</v>
      </c>
      <c r="JO59" s="2" t="s">
        <v>432</v>
      </c>
      <c r="JP59" s="2" t="s">
        <v>432</v>
      </c>
      <c r="JQ59" s="2" t="s">
        <v>432</v>
      </c>
      <c r="JR59" s="2" t="s">
        <v>432</v>
      </c>
      <c r="JT59" s="2" t="s">
        <v>1444</v>
      </c>
      <c r="JU59" s="2" t="s">
        <v>433</v>
      </c>
      <c r="JV59" s="2" t="s">
        <v>433</v>
      </c>
      <c r="JW59" s="2" t="s">
        <v>432</v>
      </c>
      <c r="JX59" s="2" t="s">
        <v>432</v>
      </c>
      <c r="JY59" s="2" t="s">
        <v>432</v>
      </c>
      <c r="JZ59" s="2" t="s">
        <v>432</v>
      </c>
      <c r="KA59" s="2" t="s">
        <v>432</v>
      </c>
      <c r="KB59" s="2" t="s">
        <v>432</v>
      </c>
      <c r="KC59" s="2" t="s">
        <v>432</v>
      </c>
      <c r="KF59" s="2" t="s">
        <v>1223</v>
      </c>
      <c r="LB59" s="2" t="s">
        <v>456</v>
      </c>
      <c r="LP59" s="2" t="s">
        <v>430</v>
      </c>
      <c r="LS59" s="2">
        <v>170684041</v>
      </c>
      <c r="LT59" s="2" t="s">
        <v>1445</v>
      </c>
      <c r="LU59" s="2" t="s">
        <v>1446</v>
      </c>
      <c r="LW59" s="2" t="s">
        <v>460</v>
      </c>
      <c r="LX59" s="2" t="s">
        <v>461</v>
      </c>
      <c r="LY59" s="2" t="s">
        <v>462</v>
      </c>
      <c r="MA59" s="2">
        <v>63</v>
      </c>
    </row>
    <row r="60" spans="1:339" x14ac:dyDescent="0.3">
      <c r="A60" s="2" t="s">
        <v>1447</v>
      </c>
      <c r="B60" s="2" t="s">
        <v>1448</v>
      </c>
      <c r="C60" s="2" t="s">
        <v>1439</v>
      </c>
      <c r="F60" s="2" t="s">
        <v>422</v>
      </c>
      <c r="G60" s="2" t="s">
        <v>787</v>
      </c>
      <c r="H60" s="2" t="s">
        <v>787</v>
      </c>
      <c r="I60" s="2" t="s">
        <v>787</v>
      </c>
      <c r="R60" s="2" t="s">
        <v>422</v>
      </c>
      <c r="S60" s="2" t="s">
        <v>657</v>
      </c>
      <c r="T60" s="2" t="s">
        <v>503</v>
      </c>
      <c r="AG60" s="2" t="s">
        <v>456</v>
      </c>
      <c r="BQ60" s="2" t="s">
        <v>456</v>
      </c>
      <c r="DZ60" s="2" t="s">
        <v>988</v>
      </c>
      <c r="EA60" s="2" t="s">
        <v>433</v>
      </c>
      <c r="EB60" s="2" t="s">
        <v>433</v>
      </c>
      <c r="EC60" s="2" t="s">
        <v>433</v>
      </c>
      <c r="ED60" s="2" t="s">
        <v>432</v>
      </c>
      <c r="EE60" s="2" t="s">
        <v>432</v>
      </c>
      <c r="EF60" s="2" t="s">
        <v>432</v>
      </c>
      <c r="EG60" s="2" t="s">
        <v>432</v>
      </c>
      <c r="EH60" s="2" t="s">
        <v>432</v>
      </c>
      <c r="EI60" s="2" t="s">
        <v>432</v>
      </c>
      <c r="EL60" s="2" t="s">
        <v>1449</v>
      </c>
      <c r="EM60" s="2" t="s">
        <v>432</v>
      </c>
      <c r="EN60" s="2" t="s">
        <v>433</v>
      </c>
      <c r="EO60" s="2" t="s">
        <v>433</v>
      </c>
      <c r="EP60" s="2" t="s">
        <v>432</v>
      </c>
      <c r="EQ60" s="2" t="s">
        <v>433</v>
      </c>
      <c r="ER60" s="2" t="s">
        <v>433</v>
      </c>
      <c r="ES60" s="2" t="s">
        <v>432</v>
      </c>
      <c r="ET60" s="2" t="s">
        <v>432</v>
      </c>
      <c r="EU60" s="2" t="s">
        <v>432</v>
      </c>
      <c r="EV60" s="2" t="s">
        <v>432</v>
      </c>
      <c r="EX60" s="2" t="s">
        <v>430</v>
      </c>
      <c r="EY60" s="2" t="s">
        <v>544</v>
      </c>
      <c r="EZ60" s="2" t="s">
        <v>432</v>
      </c>
      <c r="FA60" s="2" t="s">
        <v>432</v>
      </c>
      <c r="FB60" s="2" t="s">
        <v>432</v>
      </c>
      <c r="FC60" s="2" t="s">
        <v>432</v>
      </c>
      <c r="FD60" s="2" t="s">
        <v>432</v>
      </c>
      <c r="FE60" s="2" t="s">
        <v>432</v>
      </c>
      <c r="FF60" s="2" t="s">
        <v>432</v>
      </c>
      <c r="FG60" s="2" t="s">
        <v>432</v>
      </c>
      <c r="FH60" s="2" t="s">
        <v>432</v>
      </c>
      <c r="FI60" s="2" t="s">
        <v>432</v>
      </c>
      <c r="FJ60" s="2" t="s">
        <v>432</v>
      </c>
      <c r="FK60" s="2" t="s">
        <v>432</v>
      </c>
      <c r="FL60" s="2" t="s">
        <v>433</v>
      </c>
      <c r="FM60" s="2" t="s">
        <v>432</v>
      </c>
      <c r="FN60" s="2" t="s">
        <v>792</v>
      </c>
      <c r="FO60" s="2" t="s">
        <v>508</v>
      </c>
      <c r="FP60" s="2" t="s">
        <v>601</v>
      </c>
      <c r="GA60" s="2" t="s">
        <v>483</v>
      </c>
      <c r="GB60" s="2" t="s">
        <v>509</v>
      </c>
      <c r="GC60" s="2" t="s">
        <v>1450</v>
      </c>
      <c r="GD60" s="2" t="s">
        <v>433</v>
      </c>
      <c r="GE60" s="2" t="s">
        <v>433</v>
      </c>
      <c r="GF60" s="2" t="s">
        <v>432</v>
      </c>
      <c r="GG60" s="2" t="s">
        <v>433</v>
      </c>
      <c r="GH60" s="2" t="s">
        <v>433</v>
      </c>
      <c r="GI60" s="2" t="s">
        <v>432</v>
      </c>
      <c r="GJ60" s="2" t="s">
        <v>432</v>
      </c>
      <c r="GK60" s="2" t="s">
        <v>432</v>
      </c>
      <c r="GL60" s="2" t="s">
        <v>432</v>
      </c>
      <c r="GN60" s="2" t="s">
        <v>601</v>
      </c>
      <c r="GO60" s="2" t="s">
        <v>601</v>
      </c>
      <c r="GP60" s="2" t="s">
        <v>706</v>
      </c>
      <c r="GQ60" s="2" t="s">
        <v>432</v>
      </c>
      <c r="GR60" s="2" t="s">
        <v>433</v>
      </c>
      <c r="GS60" s="2" t="s">
        <v>432</v>
      </c>
      <c r="GT60" s="2" t="s">
        <v>433</v>
      </c>
      <c r="GU60" s="2" t="s">
        <v>432</v>
      </c>
      <c r="GV60" s="2" t="s">
        <v>433</v>
      </c>
      <c r="GW60" s="2" t="s">
        <v>432</v>
      </c>
      <c r="GX60" s="2" t="s">
        <v>432</v>
      </c>
      <c r="GZ60" s="2" t="s">
        <v>1451</v>
      </c>
      <c r="HA60" s="2" t="s">
        <v>432</v>
      </c>
      <c r="HB60" s="2" t="s">
        <v>432</v>
      </c>
      <c r="HC60" s="2" t="s">
        <v>433</v>
      </c>
      <c r="HD60" s="2" t="s">
        <v>432</v>
      </c>
      <c r="HE60" s="2" t="s">
        <v>432</v>
      </c>
      <c r="HF60" s="2" t="s">
        <v>432</v>
      </c>
      <c r="HI60" s="2" t="s">
        <v>601</v>
      </c>
      <c r="HJ60" s="2" t="s">
        <v>1452</v>
      </c>
      <c r="HK60" s="2" t="s">
        <v>433</v>
      </c>
      <c r="HL60" s="2" t="s">
        <v>433</v>
      </c>
      <c r="HM60" s="2" t="s">
        <v>433</v>
      </c>
      <c r="HN60" s="2" t="s">
        <v>432</v>
      </c>
      <c r="HO60" s="2" t="s">
        <v>432</v>
      </c>
      <c r="HP60" s="2" t="s">
        <v>432</v>
      </c>
      <c r="HQ60" s="2" t="s">
        <v>432</v>
      </c>
      <c r="HR60" s="2" t="s">
        <v>432</v>
      </c>
      <c r="HS60" s="2" t="s">
        <v>432</v>
      </c>
      <c r="HT60" s="2" t="s">
        <v>432</v>
      </c>
      <c r="IN60" s="2" t="s">
        <v>709</v>
      </c>
      <c r="IO60" s="2" t="s">
        <v>1453</v>
      </c>
      <c r="IP60" s="2" t="s">
        <v>433</v>
      </c>
      <c r="IQ60" s="2" t="s">
        <v>433</v>
      </c>
      <c r="IR60" s="2" t="s">
        <v>432</v>
      </c>
      <c r="IS60" s="2" t="s">
        <v>433</v>
      </c>
      <c r="IT60" s="2" t="s">
        <v>432</v>
      </c>
      <c r="IU60" s="2" t="s">
        <v>432</v>
      </c>
      <c r="IV60" s="2" t="s">
        <v>432</v>
      </c>
      <c r="IW60" s="2" t="s">
        <v>432</v>
      </c>
      <c r="IX60" s="2" t="s">
        <v>432</v>
      </c>
      <c r="IY60" s="2" t="s">
        <v>432</v>
      </c>
      <c r="JA60" s="2" t="s">
        <v>738</v>
      </c>
      <c r="JB60" s="2" t="s">
        <v>432</v>
      </c>
      <c r="JC60" s="2" t="s">
        <v>433</v>
      </c>
      <c r="JD60" s="2" t="s">
        <v>433</v>
      </c>
      <c r="JE60" s="2" t="s">
        <v>432</v>
      </c>
      <c r="JF60" s="2" t="s">
        <v>432</v>
      </c>
      <c r="JG60" s="2" t="s">
        <v>432</v>
      </c>
      <c r="JT60" s="2" t="s">
        <v>1454</v>
      </c>
      <c r="JU60" s="2" t="s">
        <v>433</v>
      </c>
      <c r="JV60" s="2" t="s">
        <v>432</v>
      </c>
      <c r="JW60" s="2" t="s">
        <v>433</v>
      </c>
      <c r="JX60" s="2" t="s">
        <v>432</v>
      </c>
      <c r="JY60" s="2" t="s">
        <v>433</v>
      </c>
      <c r="JZ60" s="2" t="s">
        <v>432</v>
      </c>
      <c r="KA60" s="2" t="s">
        <v>432</v>
      </c>
      <c r="KB60" s="2" t="s">
        <v>432</v>
      </c>
      <c r="KC60" s="2" t="s">
        <v>432</v>
      </c>
      <c r="KF60" s="2" t="s">
        <v>430</v>
      </c>
      <c r="KG60" s="2" t="s">
        <v>1455</v>
      </c>
      <c r="KH60" s="2" t="s">
        <v>433</v>
      </c>
      <c r="KI60" s="2" t="s">
        <v>432</v>
      </c>
      <c r="KJ60" s="2" t="s">
        <v>432</v>
      </c>
      <c r="KK60" s="2" t="s">
        <v>433</v>
      </c>
      <c r="KL60" s="2" t="s">
        <v>433</v>
      </c>
      <c r="KM60" s="2" t="s">
        <v>432</v>
      </c>
      <c r="KN60" s="2" t="s">
        <v>432</v>
      </c>
      <c r="KO60" s="2" t="s">
        <v>432</v>
      </c>
      <c r="KP60" s="2" t="s">
        <v>432</v>
      </c>
      <c r="KQ60" s="2" t="s">
        <v>432</v>
      </c>
      <c r="KR60" s="2" t="s">
        <v>432</v>
      </c>
      <c r="KT60" s="2" t="s">
        <v>714</v>
      </c>
      <c r="KU60" s="2" t="s">
        <v>432</v>
      </c>
      <c r="KV60" s="2" t="s">
        <v>433</v>
      </c>
      <c r="KW60" s="2" t="s">
        <v>433</v>
      </c>
      <c r="KX60" s="2" t="s">
        <v>433</v>
      </c>
      <c r="KY60" s="2" t="s">
        <v>432</v>
      </c>
      <c r="KZ60" s="2" t="s">
        <v>432</v>
      </c>
      <c r="LB60" s="2" t="s">
        <v>456</v>
      </c>
      <c r="LP60" s="2" t="s">
        <v>430</v>
      </c>
      <c r="LS60" s="2">
        <v>170684174</v>
      </c>
      <c r="LT60" s="2" t="s">
        <v>1456</v>
      </c>
      <c r="LU60" s="2" t="s">
        <v>1457</v>
      </c>
      <c r="LW60" s="2" t="s">
        <v>460</v>
      </c>
      <c r="LX60" s="2" t="s">
        <v>461</v>
      </c>
      <c r="LY60" s="2" t="s">
        <v>462</v>
      </c>
      <c r="MA60" s="2">
        <v>64</v>
      </c>
    </row>
    <row r="61" spans="1:339" x14ac:dyDescent="0.3">
      <c r="A61" s="2" t="s">
        <v>1504</v>
      </c>
      <c r="B61" s="2" t="s">
        <v>1505</v>
      </c>
      <c r="C61" s="2" t="s">
        <v>1487</v>
      </c>
      <c r="F61" s="2" t="s">
        <v>422</v>
      </c>
      <c r="G61" s="2" t="s">
        <v>1337</v>
      </c>
      <c r="H61" s="2" t="s">
        <v>1337</v>
      </c>
      <c r="I61" s="2" t="s">
        <v>1337</v>
      </c>
      <c r="R61" s="2" t="s">
        <v>422</v>
      </c>
      <c r="S61" s="2" t="s">
        <v>1251</v>
      </c>
      <c r="T61" s="2" t="s">
        <v>503</v>
      </c>
      <c r="AG61" s="2" t="s">
        <v>430</v>
      </c>
      <c r="AH61" s="2" t="s">
        <v>1488</v>
      </c>
      <c r="AI61" s="2" t="s">
        <v>432</v>
      </c>
      <c r="AJ61" s="2" t="s">
        <v>432</v>
      </c>
      <c r="AK61" s="2" t="s">
        <v>433</v>
      </c>
      <c r="AL61" s="2" t="s">
        <v>433</v>
      </c>
      <c r="AM61" s="2" t="s">
        <v>432</v>
      </c>
      <c r="AN61" s="2" t="s">
        <v>432</v>
      </c>
      <c r="AO61" s="2" t="s">
        <v>432</v>
      </c>
      <c r="AP61" s="2" t="s">
        <v>432</v>
      </c>
      <c r="AQ61" s="2" t="s">
        <v>432</v>
      </c>
      <c r="AR61" s="2" t="s">
        <v>432</v>
      </c>
      <c r="AS61" s="2" t="s">
        <v>432</v>
      </c>
      <c r="AT61" s="2" t="s">
        <v>432</v>
      </c>
      <c r="AU61" s="2" t="s">
        <v>432</v>
      </c>
      <c r="AV61" s="2" t="s">
        <v>432</v>
      </c>
      <c r="AX61" s="2" t="s">
        <v>488</v>
      </c>
      <c r="AY61" s="2" t="s">
        <v>432</v>
      </c>
      <c r="AZ61" s="2" t="s">
        <v>432</v>
      </c>
      <c r="BA61" s="2" t="s">
        <v>433</v>
      </c>
      <c r="BB61" s="2" t="s">
        <v>433</v>
      </c>
      <c r="BC61" s="2" t="s">
        <v>433</v>
      </c>
      <c r="BD61" s="2" t="s">
        <v>433</v>
      </c>
      <c r="BE61" s="2" t="s">
        <v>432</v>
      </c>
      <c r="BF61" s="2" t="s">
        <v>432</v>
      </c>
      <c r="BG61" s="2" t="s">
        <v>432</v>
      </c>
      <c r="BH61" s="2" t="s">
        <v>432</v>
      </c>
      <c r="BI61" s="2" t="s">
        <v>432</v>
      </c>
      <c r="BJ61" s="2" t="s">
        <v>432</v>
      </c>
      <c r="BK61" s="2" t="s">
        <v>432</v>
      </c>
      <c r="BL61" s="2" t="s">
        <v>432</v>
      </c>
      <c r="BN61" s="2" t="s">
        <v>435</v>
      </c>
      <c r="BO61" s="2" t="s">
        <v>436</v>
      </c>
      <c r="BQ61" s="2" t="s">
        <v>430</v>
      </c>
      <c r="BR61" s="2" t="s">
        <v>1506</v>
      </c>
      <c r="BS61" s="2" t="s">
        <v>432</v>
      </c>
      <c r="BT61" s="2" t="s">
        <v>432</v>
      </c>
      <c r="BU61" s="2" t="s">
        <v>433</v>
      </c>
      <c r="BV61" s="2" t="s">
        <v>433</v>
      </c>
      <c r="BW61" s="2" t="s">
        <v>432</v>
      </c>
      <c r="BX61" s="2" t="s">
        <v>433</v>
      </c>
      <c r="BY61" s="2" t="s">
        <v>432</v>
      </c>
      <c r="BZ61" s="2" t="s">
        <v>432</v>
      </c>
      <c r="CA61" s="2" t="s">
        <v>432</v>
      </c>
      <c r="CB61" s="2" t="s">
        <v>432</v>
      </c>
      <c r="CC61" s="2" t="s">
        <v>433</v>
      </c>
      <c r="CD61" s="2" t="s">
        <v>432</v>
      </c>
      <c r="CE61" s="2" t="s">
        <v>433</v>
      </c>
      <c r="CF61" s="2" t="s">
        <v>432</v>
      </c>
      <c r="CG61" s="2" t="s">
        <v>432</v>
      </c>
      <c r="CH61" s="2" t="s">
        <v>1507</v>
      </c>
      <c r="CI61" s="2" t="s">
        <v>1342</v>
      </c>
      <c r="CJ61" s="2" t="s">
        <v>432</v>
      </c>
      <c r="CK61" s="2" t="s">
        <v>433</v>
      </c>
      <c r="CL61" s="2" t="s">
        <v>433</v>
      </c>
      <c r="CM61" s="2" t="s">
        <v>433</v>
      </c>
      <c r="CN61" s="2" t="s">
        <v>433</v>
      </c>
      <c r="CO61" s="2" t="s">
        <v>433</v>
      </c>
      <c r="CP61" s="2" t="s">
        <v>432</v>
      </c>
      <c r="CQ61" s="2" t="s">
        <v>432</v>
      </c>
      <c r="CR61" s="2" t="s">
        <v>432</v>
      </c>
      <c r="CS61" s="2" t="s">
        <v>432</v>
      </c>
      <c r="CT61" s="2" t="s">
        <v>432</v>
      </c>
      <c r="CU61" s="2" t="s">
        <v>432</v>
      </c>
      <c r="CV61" s="2" t="s">
        <v>432</v>
      </c>
      <c r="CW61" s="2" t="s">
        <v>432</v>
      </c>
      <c r="CY61" s="2" t="s">
        <v>476</v>
      </c>
      <c r="CZ61" s="2" t="s">
        <v>436</v>
      </c>
      <c r="DB61" s="2" t="s">
        <v>1508</v>
      </c>
      <c r="DC61" s="2" t="s">
        <v>433</v>
      </c>
      <c r="DD61" s="2" t="s">
        <v>432</v>
      </c>
      <c r="DE61" s="2" t="s">
        <v>433</v>
      </c>
      <c r="DF61" s="2" t="s">
        <v>432</v>
      </c>
      <c r="DG61" s="2" t="s">
        <v>432</v>
      </c>
      <c r="DH61" s="2" t="s">
        <v>432</v>
      </c>
      <c r="DI61" s="2" t="s">
        <v>432</v>
      </c>
      <c r="DJ61" s="2" t="s">
        <v>432</v>
      </c>
      <c r="DK61" s="2" t="s">
        <v>432</v>
      </c>
      <c r="DL61" s="2" t="s">
        <v>432</v>
      </c>
      <c r="DZ61" s="2" t="s">
        <v>1509</v>
      </c>
      <c r="EA61" s="2" t="s">
        <v>432</v>
      </c>
      <c r="EB61" s="2" t="s">
        <v>433</v>
      </c>
      <c r="EC61" s="2" t="s">
        <v>432</v>
      </c>
      <c r="ED61" s="2" t="s">
        <v>433</v>
      </c>
      <c r="EE61" s="2" t="s">
        <v>432</v>
      </c>
      <c r="EF61" s="2" t="s">
        <v>432</v>
      </c>
      <c r="EG61" s="2" t="s">
        <v>432</v>
      </c>
      <c r="EH61" s="2" t="s">
        <v>432</v>
      </c>
      <c r="EI61" s="2" t="s">
        <v>432</v>
      </c>
      <c r="EL61" s="2" t="s">
        <v>544</v>
      </c>
      <c r="EM61" s="2" t="s">
        <v>432</v>
      </c>
      <c r="EN61" s="2" t="s">
        <v>432</v>
      </c>
      <c r="EO61" s="2" t="s">
        <v>432</v>
      </c>
      <c r="EP61" s="2" t="s">
        <v>432</v>
      </c>
      <c r="EQ61" s="2" t="s">
        <v>432</v>
      </c>
      <c r="ER61" s="2" t="s">
        <v>432</v>
      </c>
      <c r="ES61" s="2" t="s">
        <v>432</v>
      </c>
      <c r="ET61" s="2" t="s">
        <v>433</v>
      </c>
      <c r="EU61" s="2" t="s">
        <v>432</v>
      </c>
      <c r="EV61" s="2" t="s">
        <v>432</v>
      </c>
      <c r="EW61" s="2" t="s">
        <v>1495</v>
      </c>
      <c r="EX61" s="2" t="s">
        <v>430</v>
      </c>
      <c r="EY61" s="2" t="s">
        <v>1496</v>
      </c>
      <c r="EZ61" s="2" t="s">
        <v>432</v>
      </c>
      <c r="FA61" s="2" t="s">
        <v>432</v>
      </c>
      <c r="FB61" s="2" t="s">
        <v>432</v>
      </c>
      <c r="FC61" s="2" t="s">
        <v>432</v>
      </c>
      <c r="FD61" s="2" t="s">
        <v>433</v>
      </c>
      <c r="FE61" s="2" t="s">
        <v>433</v>
      </c>
      <c r="FF61" s="2" t="s">
        <v>433</v>
      </c>
      <c r="FG61" s="2" t="s">
        <v>432</v>
      </c>
      <c r="FH61" s="2" t="s">
        <v>432</v>
      </c>
      <c r="FI61" s="2" t="s">
        <v>432</v>
      </c>
      <c r="FJ61" s="2" t="s">
        <v>432</v>
      </c>
      <c r="FK61" s="2" t="s">
        <v>432</v>
      </c>
      <c r="FL61" s="2" t="s">
        <v>432</v>
      </c>
      <c r="FM61" s="2" t="s">
        <v>432</v>
      </c>
      <c r="FO61" s="2" t="s">
        <v>601</v>
      </c>
      <c r="FP61" s="2" t="s">
        <v>601</v>
      </c>
      <c r="GA61" s="2" t="s">
        <v>444</v>
      </c>
      <c r="GB61" s="2" t="s">
        <v>602</v>
      </c>
      <c r="GC61" s="2" t="s">
        <v>555</v>
      </c>
      <c r="GD61" s="2" t="s">
        <v>432</v>
      </c>
      <c r="GE61" s="2" t="s">
        <v>433</v>
      </c>
      <c r="GF61" s="2" t="s">
        <v>432</v>
      </c>
      <c r="GG61" s="2" t="s">
        <v>433</v>
      </c>
      <c r="GH61" s="2" t="s">
        <v>432</v>
      </c>
      <c r="GI61" s="2" t="s">
        <v>432</v>
      </c>
      <c r="GJ61" s="2" t="s">
        <v>432</v>
      </c>
      <c r="GK61" s="2" t="s">
        <v>432</v>
      </c>
      <c r="GL61" s="2" t="s">
        <v>432</v>
      </c>
      <c r="GN61" s="2" t="s">
        <v>442</v>
      </c>
      <c r="GO61" s="2" t="s">
        <v>601</v>
      </c>
      <c r="GP61" s="2" t="s">
        <v>642</v>
      </c>
      <c r="GQ61" s="2" t="s">
        <v>433</v>
      </c>
      <c r="GR61" s="2" t="s">
        <v>433</v>
      </c>
      <c r="GS61" s="2" t="s">
        <v>433</v>
      </c>
      <c r="GT61" s="2" t="s">
        <v>432</v>
      </c>
      <c r="GU61" s="2" t="s">
        <v>432</v>
      </c>
      <c r="GV61" s="2" t="s">
        <v>432</v>
      </c>
      <c r="GW61" s="2" t="s">
        <v>432</v>
      </c>
      <c r="GX61" s="2" t="s">
        <v>432</v>
      </c>
      <c r="GZ61" s="2" t="s">
        <v>812</v>
      </c>
      <c r="HA61" s="2" t="s">
        <v>433</v>
      </c>
      <c r="HB61" s="2" t="s">
        <v>433</v>
      </c>
      <c r="HC61" s="2" t="s">
        <v>432</v>
      </c>
      <c r="HD61" s="2" t="s">
        <v>432</v>
      </c>
      <c r="HE61" s="2" t="s">
        <v>432</v>
      </c>
      <c r="HF61" s="2" t="s">
        <v>432</v>
      </c>
      <c r="HI61" s="2" t="s">
        <v>601</v>
      </c>
      <c r="HJ61" s="2" t="s">
        <v>1510</v>
      </c>
      <c r="HK61" s="2" t="s">
        <v>432</v>
      </c>
      <c r="HL61" s="2" t="s">
        <v>432</v>
      </c>
      <c r="HM61" s="2" t="s">
        <v>432</v>
      </c>
      <c r="HN61" s="2" t="s">
        <v>432</v>
      </c>
      <c r="HO61" s="2" t="s">
        <v>432</v>
      </c>
      <c r="HP61" s="2" t="s">
        <v>433</v>
      </c>
      <c r="HQ61" s="2" t="s">
        <v>432</v>
      </c>
      <c r="HR61" s="2" t="s">
        <v>432</v>
      </c>
      <c r="HS61" s="2" t="s">
        <v>432</v>
      </c>
      <c r="HT61" s="2" t="s">
        <v>432</v>
      </c>
      <c r="HX61" s="2" t="s">
        <v>680</v>
      </c>
      <c r="HY61" s="2" t="s">
        <v>432</v>
      </c>
      <c r="HZ61" s="2" t="s">
        <v>432</v>
      </c>
      <c r="IA61" s="2" t="s">
        <v>432</v>
      </c>
      <c r="IB61" s="2" t="s">
        <v>432</v>
      </c>
      <c r="IC61" s="2" t="s">
        <v>433</v>
      </c>
      <c r="ID61" s="2" t="s">
        <v>433</v>
      </c>
      <c r="IE61" s="2" t="s">
        <v>432</v>
      </c>
      <c r="IF61" s="2" t="s">
        <v>432</v>
      </c>
      <c r="IG61" s="2" t="s">
        <v>432</v>
      </c>
      <c r="IH61" s="2" t="s">
        <v>432</v>
      </c>
      <c r="II61" s="2" t="s">
        <v>432</v>
      </c>
      <c r="IJ61" s="2" t="s">
        <v>432</v>
      </c>
      <c r="IK61" s="2" t="s">
        <v>432</v>
      </c>
      <c r="IL61" s="2" t="s">
        <v>432</v>
      </c>
      <c r="IN61" s="2" t="s">
        <v>1511</v>
      </c>
      <c r="IO61" s="2" t="s">
        <v>560</v>
      </c>
      <c r="IP61" s="2" t="s">
        <v>432</v>
      </c>
      <c r="IQ61" s="2" t="s">
        <v>433</v>
      </c>
      <c r="IR61" s="2" t="s">
        <v>433</v>
      </c>
      <c r="IS61" s="2" t="s">
        <v>432</v>
      </c>
      <c r="IT61" s="2" t="s">
        <v>432</v>
      </c>
      <c r="IU61" s="2" t="s">
        <v>432</v>
      </c>
      <c r="IV61" s="2" t="s">
        <v>432</v>
      </c>
      <c r="IW61" s="2" t="s">
        <v>432</v>
      </c>
      <c r="IX61" s="2" t="s">
        <v>432</v>
      </c>
      <c r="IY61" s="2" t="s">
        <v>432</v>
      </c>
      <c r="JA61" s="2" t="s">
        <v>491</v>
      </c>
      <c r="JB61" s="2" t="s">
        <v>432</v>
      </c>
      <c r="JC61" s="2" t="s">
        <v>433</v>
      </c>
      <c r="JD61" s="2" t="s">
        <v>432</v>
      </c>
      <c r="JE61" s="2" t="s">
        <v>432</v>
      </c>
      <c r="JF61" s="2" t="s">
        <v>432</v>
      </c>
      <c r="JG61" s="2" t="s">
        <v>432</v>
      </c>
      <c r="JT61" s="2" t="s">
        <v>1063</v>
      </c>
      <c r="JU61" s="2" t="s">
        <v>433</v>
      </c>
      <c r="JV61" s="2" t="s">
        <v>432</v>
      </c>
      <c r="JW61" s="2" t="s">
        <v>432</v>
      </c>
      <c r="JX61" s="2" t="s">
        <v>432</v>
      </c>
      <c r="JY61" s="2" t="s">
        <v>432</v>
      </c>
      <c r="JZ61" s="2" t="s">
        <v>432</v>
      </c>
      <c r="KA61" s="2" t="s">
        <v>432</v>
      </c>
      <c r="KB61" s="2" t="s">
        <v>432</v>
      </c>
      <c r="KC61" s="2" t="s">
        <v>432</v>
      </c>
      <c r="KF61" s="2" t="s">
        <v>430</v>
      </c>
      <c r="KG61" s="2" t="s">
        <v>1497</v>
      </c>
      <c r="KH61" s="2" t="s">
        <v>433</v>
      </c>
      <c r="KI61" s="2" t="s">
        <v>432</v>
      </c>
      <c r="KJ61" s="2" t="s">
        <v>433</v>
      </c>
      <c r="KK61" s="2" t="s">
        <v>433</v>
      </c>
      <c r="KL61" s="2" t="s">
        <v>432</v>
      </c>
      <c r="KM61" s="2" t="s">
        <v>432</v>
      </c>
      <c r="KN61" s="2" t="s">
        <v>432</v>
      </c>
      <c r="KO61" s="2" t="s">
        <v>432</v>
      </c>
      <c r="KP61" s="2" t="s">
        <v>432</v>
      </c>
      <c r="KQ61" s="2" t="s">
        <v>432</v>
      </c>
      <c r="KR61" s="2" t="s">
        <v>432</v>
      </c>
      <c r="KT61" s="2" t="s">
        <v>1377</v>
      </c>
      <c r="KU61" s="2" t="s">
        <v>432</v>
      </c>
      <c r="KV61" s="2" t="s">
        <v>433</v>
      </c>
      <c r="KW61" s="2" t="s">
        <v>432</v>
      </c>
      <c r="KX61" s="2" t="s">
        <v>432</v>
      </c>
      <c r="KY61" s="2" t="s">
        <v>432</v>
      </c>
      <c r="KZ61" s="2" t="s">
        <v>432</v>
      </c>
      <c r="LB61" s="2" t="s">
        <v>430</v>
      </c>
      <c r="LC61" s="2" t="s">
        <v>1512</v>
      </c>
      <c r="LD61" s="2" t="s">
        <v>432</v>
      </c>
      <c r="LE61" s="2" t="s">
        <v>432</v>
      </c>
      <c r="LF61" s="2" t="s">
        <v>432</v>
      </c>
      <c r="LG61" s="2" t="s">
        <v>433</v>
      </c>
      <c r="LH61" s="2" t="s">
        <v>432</v>
      </c>
      <c r="LI61" s="2" t="s">
        <v>432</v>
      </c>
      <c r="LJ61" s="2" t="s">
        <v>432</v>
      </c>
      <c r="LK61" s="2" t="s">
        <v>432</v>
      </c>
      <c r="LL61" s="2" t="s">
        <v>432</v>
      </c>
      <c r="LM61" s="2" t="s">
        <v>432</v>
      </c>
      <c r="LO61" s="2" t="s">
        <v>456</v>
      </c>
      <c r="LP61" s="2" t="s">
        <v>430</v>
      </c>
      <c r="LR61" s="2" t="s">
        <v>816</v>
      </c>
      <c r="LS61" s="2">
        <v>171830984</v>
      </c>
      <c r="LT61" s="2" t="s">
        <v>1513</v>
      </c>
      <c r="LU61" s="2" t="s">
        <v>1503</v>
      </c>
      <c r="LW61" s="2" t="s">
        <v>460</v>
      </c>
      <c r="LX61" s="2" t="s">
        <v>461</v>
      </c>
      <c r="LY61" s="2" t="s">
        <v>462</v>
      </c>
      <c r="MA61" s="2">
        <v>66</v>
      </c>
    </row>
    <row r="62" spans="1:339" x14ac:dyDescent="0.3">
      <c r="A62" s="2" t="s">
        <v>1514</v>
      </c>
      <c r="B62" s="2" t="s">
        <v>1515</v>
      </c>
      <c r="C62" s="2" t="s">
        <v>1487</v>
      </c>
      <c r="F62" s="2" t="s">
        <v>422</v>
      </c>
      <c r="G62" s="2" t="s">
        <v>466</v>
      </c>
      <c r="H62" s="2" t="s">
        <v>466</v>
      </c>
      <c r="I62" s="2" t="s">
        <v>427</v>
      </c>
      <c r="J62" s="2" t="s">
        <v>1516</v>
      </c>
      <c r="R62" s="2" t="s">
        <v>523</v>
      </c>
      <c r="S62" s="2" t="s">
        <v>786</v>
      </c>
      <c r="T62" s="2" t="s">
        <v>426</v>
      </c>
      <c r="Z62" s="2" t="s">
        <v>428</v>
      </c>
      <c r="AA62" s="2" t="s">
        <v>429</v>
      </c>
      <c r="AB62" s="2" t="s">
        <v>466</v>
      </c>
      <c r="AG62" s="2" t="s">
        <v>456</v>
      </c>
      <c r="BQ62" s="2" t="s">
        <v>456</v>
      </c>
      <c r="DZ62" s="2" t="s">
        <v>1517</v>
      </c>
      <c r="EA62" s="2" t="s">
        <v>433</v>
      </c>
      <c r="EB62" s="2" t="s">
        <v>433</v>
      </c>
      <c r="EC62" s="2" t="s">
        <v>432</v>
      </c>
      <c r="ED62" s="2" t="s">
        <v>432</v>
      </c>
      <c r="EE62" s="2" t="s">
        <v>432</v>
      </c>
      <c r="EF62" s="2" t="s">
        <v>433</v>
      </c>
      <c r="EG62" s="2" t="s">
        <v>432</v>
      </c>
      <c r="EH62" s="2" t="s">
        <v>432</v>
      </c>
      <c r="EI62" s="2" t="s">
        <v>432</v>
      </c>
      <c r="EL62" s="2" t="s">
        <v>572</v>
      </c>
      <c r="EM62" s="2" t="s">
        <v>432</v>
      </c>
      <c r="EN62" s="2" t="s">
        <v>433</v>
      </c>
      <c r="EO62" s="2" t="s">
        <v>433</v>
      </c>
      <c r="EP62" s="2" t="s">
        <v>432</v>
      </c>
      <c r="EQ62" s="2" t="s">
        <v>432</v>
      </c>
      <c r="ER62" s="2" t="s">
        <v>432</v>
      </c>
      <c r="ES62" s="2" t="s">
        <v>432</v>
      </c>
      <c r="ET62" s="2" t="s">
        <v>432</v>
      </c>
      <c r="EU62" s="2" t="s">
        <v>432</v>
      </c>
      <c r="EV62" s="2" t="s">
        <v>432</v>
      </c>
      <c r="EX62" s="2" t="s">
        <v>430</v>
      </c>
      <c r="EY62" s="2" t="s">
        <v>1518</v>
      </c>
      <c r="EZ62" s="2" t="s">
        <v>433</v>
      </c>
      <c r="FA62" s="2" t="s">
        <v>432</v>
      </c>
      <c r="FB62" s="2" t="s">
        <v>432</v>
      </c>
      <c r="FC62" s="2" t="s">
        <v>432</v>
      </c>
      <c r="FD62" s="2" t="s">
        <v>432</v>
      </c>
      <c r="FE62" s="2" t="s">
        <v>433</v>
      </c>
      <c r="FF62" s="2" t="s">
        <v>432</v>
      </c>
      <c r="FG62" s="2" t="s">
        <v>433</v>
      </c>
      <c r="FH62" s="2" t="s">
        <v>432</v>
      </c>
      <c r="FI62" s="2" t="s">
        <v>432</v>
      </c>
      <c r="FJ62" s="2" t="s">
        <v>432</v>
      </c>
      <c r="FK62" s="2" t="s">
        <v>432</v>
      </c>
      <c r="FL62" s="2" t="s">
        <v>432</v>
      </c>
      <c r="FM62" s="2" t="s">
        <v>432</v>
      </c>
      <c r="FO62" s="2" t="s">
        <v>601</v>
      </c>
      <c r="FP62" s="2" t="s">
        <v>601</v>
      </c>
      <c r="GA62" s="2" t="s">
        <v>602</v>
      </c>
      <c r="GB62" s="2" t="s">
        <v>483</v>
      </c>
      <c r="GC62" s="2" t="s">
        <v>1450</v>
      </c>
      <c r="GD62" s="2" t="s">
        <v>433</v>
      </c>
      <c r="GE62" s="2" t="s">
        <v>433</v>
      </c>
      <c r="GF62" s="2" t="s">
        <v>432</v>
      </c>
      <c r="GG62" s="2" t="s">
        <v>433</v>
      </c>
      <c r="GH62" s="2" t="s">
        <v>433</v>
      </c>
      <c r="GI62" s="2" t="s">
        <v>432</v>
      </c>
      <c r="GJ62" s="2" t="s">
        <v>432</v>
      </c>
      <c r="GK62" s="2" t="s">
        <v>432</v>
      </c>
      <c r="GL62" s="2" t="s">
        <v>432</v>
      </c>
      <c r="GN62" s="2" t="s">
        <v>481</v>
      </c>
      <c r="GO62" s="2" t="s">
        <v>481</v>
      </c>
      <c r="GP62" s="2" t="s">
        <v>642</v>
      </c>
      <c r="GQ62" s="2" t="s">
        <v>433</v>
      </c>
      <c r="GR62" s="2" t="s">
        <v>433</v>
      </c>
      <c r="GS62" s="2" t="s">
        <v>433</v>
      </c>
      <c r="GT62" s="2" t="s">
        <v>432</v>
      </c>
      <c r="GU62" s="2" t="s">
        <v>432</v>
      </c>
      <c r="GV62" s="2" t="s">
        <v>432</v>
      </c>
      <c r="GW62" s="2" t="s">
        <v>432</v>
      </c>
      <c r="GX62" s="2" t="s">
        <v>432</v>
      </c>
      <c r="GZ62" s="2" t="s">
        <v>597</v>
      </c>
      <c r="HA62" s="2" t="s">
        <v>432</v>
      </c>
      <c r="HB62" s="2" t="s">
        <v>432</v>
      </c>
      <c r="HC62" s="2" t="s">
        <v>432</v>
      </c>
      <c r="HD62" s="2" t="s">
        <v>432</v>
      </c>
      <c r="HE62" s="2" t="s">
        <v>432</v>
      </c>
      <c r="HF62" s="2" t="s">
        <v>433</v>
      </c>
      <c r="HI62" s="2" t="s">
        <v>481</v>
      </c>
      <c r="HJ62" s="2" t="s">
        <v>1223</v>
      </c>
      <c r="HK62" s="2" t="s">
        <v>432</v>
      </c>
      <c r="HL62" s="2" t="s">
        <v>432</v>
      </c>
      <c r="HM62" s="2" t="s">
        <v>432</v>
      </c>
      <c r="HN62" s="2" t="s">
        <v>432</v>
      </c>
      <c r="HO62" s="2" t="s">
        <v>432</v>
      </c>
      <c r="HP62" s="2" t="s">
        <v>432</v>
      </c>
      <c r="HQ62" s="2" t="s">
        <v>432</v>
      </c>
      <c r="HR62" s="2" t="s">
        <v>433</v>
      </c>
      <c r="HS62" s="2" t="s">
        <v>432</v>
      </c>
      <c r="HT62" s="2" t="s">
        <v>432</v>
      </c>
      <c r="HV62" s="2" t="s">
        <v>430</v>
      </c>
      <c r="IN62" s="2" t="s">
        <v>1356</v>
      </c>
      <c r="IO62" s="2" t="s">
        <v>1519</v>
      </c>
      <c r="IP62" s="2" t="s">
        <v>432</v>
      </c>
      <c r="IQ62" s="2" t="s">
        <v>433</v>
      </c>
      <c r="IR62" s="2" t="s">
        <v>433</v>
      </c>
      <c r="IS62" s="2" t="s">
        <v>432</v>
      </c>
      <c r="IT62" s="2" t="s">
        <v>432</v>
      </c>
      <c r="IU62" s="2" t="s">
        <v>432</v>
      </c>
      <c r="IV62" s="2" t="s">
        <v>432</v>
      </c>
      <c r="IW62" s="2" t="s">
        <v>432</v>
      </c>
      <c r="IX62" s="2" t="s">
        <v>433</v>
      </c>
      <c r="IY62" s="2" t="s">
        <v>433</v>
      </c>
      <c r="JA62" s="2" t="s">
        <v>580</v>
      </c>
      <c r="JB62" s="2" t="s">
        <v>432</v>
      </c>
      <c r="JC62" s="2" t="s">
        <v>433</v>
      </c>
      <c r="JD62" s="2" t="s">
        <v>433</v>
      </c>
      <c r="JE62" s="2" t="s">
        <v>432</v>
      </c>
      <c r="JF62" s="2" t="s">
        <v>432</v>
      </c>
      <c r="JG62" s="2" t="s">
        <v>432</v>
      </c>
      <c r="JT62" s="2" t="s">
        <v>1520</v>
      </c>
      <c r="JU62" s="2" t="s">
        <v>433</v>
      </c>
      <c r="JV62" s="2" t="s">
        <v>433</v>
      </c>
      <c r="JW62" s="2" t="s">
        <v>432</v>
      </c>
      <c r="JX62" s="2" t="s">
        <v>432</v>
      </c>
      <c r="JY62" s="2" t="s">
        <v>432</v>
      </c>
      <c r="JZ62" s="2" t="s">
        <v>433</v>
      </c>
      <c r="KA62" s="2" t="s">
        <v>433</v>
      </c>
      <c r="KB62" s="2" t="s">
        <v>432</v>
      </c>
      <c r="KC62" s="2" t="s">
        <v>432</v>
      </c>
      <c r="KF62" s="2" t="s">
        <v>456</v>
      </c>
      <c r="LB62" s="2" t="s">
        <v>456</v>
      </c>
      <c r="LP62" s="2" t="s">
        <v>456</v>
      </c>
      <c r="LS62" s="2">
        <v>171852744</v>
      </c>
      <c r="LT62" s="2" t="s">
        <v>1521</v>
      </c>
      <c r="LU62" s="2" t="s">
        <v>1522</v>
      </c>
      <c r="LW62" s="2" t="s">
        <v>460</v>
      </c>
      <c r="LX62" s="2" t="s">
        <v>461</v>
      </c>
      <c r="LY62" s="2" t="s">
        <v>462</v>
      </c>
      <c r="MA62" s="2">
        <v>67</v>
      </c>
    </row>
    <row r="63" spans="1:339" x14ac:dyDescent="0.3">
      <c r="A63" s="2" t="s">
        <v>1523</v>
      </c>
      <c r="B63" s="2" t="s">
        <v>1524</v>
      </c>
      <c r="C63" s="2" t="s">
        <v>1525</v>
      </c>
      <c r="F63" s="2" t="s">
        <v>422</v>
      </c>
      <c r="G63" s="2" t="s">
        <v>633</v>
      </c>
      <c r="H63" s="2" t="s">
        <v>633</v>
      </c>
      <c r="I63" s="2" t="s">
        <v>1158</v>
      </c>
      <c r="R63" s="2" t="s">
        <v>422</v>
      </c>
      <c r="S63" s="2" t="s">
        <v>964</v>
      </c>
      <c r="T63" s="2" t="s">
        <v>426</v>
      </c>
      <c r="Z63" s="2" t="s">
        <v>428</v>
      </c>
      <c r="AA63" s="2" t="s">
        <v>429</v>
      </c>
      <c r="AB63" s="2" t="s">
        <v>633</v>
      </c>
      <c r="AG63" s="2" t="s">
        <v>456</v>
      </c>
      <c r="BQ63" s="2" t="s">
        <v>430</v>
      </c>
      <c r="BR63" s="2" t="s">
        <v>595</v>
      </c>
      <c r="BS63" s="2" t="s">
        <v>433</v>
      </c>
      <c r="BT63" s="2" t="s">
        <v>432</v>
      </c>
      <c r="BU63" s="2" t="s">
        <v>432</v>
      </c>
      <c r="BV63" s="2" t="s">
        <v>432</v>
      </c>
      <c r="BW63" s="2" t="s">
        <v>432</v>
      </c>
      <c r="BX63" s="2" t="s">
        <v>432</v>
      </c>
      <c r="BY63" s="2" t="s">
        <v>432</v>
      </c>
      <c r="BZ63" s="2" t="s">
        <v>432</v>
      </c>
      <c r="CA63" s="2" t="s">
        <v>432</v>
      </c>
      <c r="CB63" s="2" t="s">
        <v>432</v>
      </c>
      <c r="CC63" s="2" t="s">
        <v>432</v>
      </c>
      <c r="CD63" s="2" t="s">
        <v>432</v>
      </c>
      <c r="CE63" s="2" t="s">
        <v>432</v>
      </c>
      <c r="CF63" s="2" t="s">
        <v>432</v>
      </c>
      <c r="CG63" s="2" t="s">
        <v>432</v>
      </c>
      <c r="CI63" s="2" t="s">
        <v>546</v>
      </c>
      <c r="CJ63" s="2" t="s">
        <v>432</v>
      </c>
      <c r="CK63" s="2" t="s">
        <v>432</v>
      </c>
      <c r="CL63" s="2" t="s">
        <v>433</v>
      </c>
      <c r="CM63" s="2" t="s">
        <v>432</v>
      </c>
      <c r="CN63" s="2" t="s">
        <v>433</v>
      </c>
      <c r="CO63" s="2" t="s">
        <v>432</v>
      </c>
      <c r="CP63" s="2" t="s">
        <v>432</v>
      </c>
      <c r="CQ63" s="2" t="s">
        <v>432</v>
      </c>
      <c r="CR63" s="2" t="s">
        <v>432</v>
      </c>
      <c r="CS63" s="2" t="s">
        <v>432</v>
      </c>
      <c r="CT63" s="2" t="s">
        <v>432</v>
      </c>
      <c r="CU63" s="2" t="s">
        <v>432</v>
      </c>
      <c r="CV63" s="2" t="s">
        <v>432</v>
      </c>
      <c r="CW63" s="2" t="s">
        <v>432</v>
      </c>
      <c r="CY63" s="2" t="s">
        <v>433</v>
      </c>
      <c r="CZ63" s="2" t="s">
        <v>547</v>
      </c>
      <c r="DZ63" s="2" t="s">
        <v>790</v>
      </c>
      <c r="EA63" s="2" t="s">
        <v>432</v>
      </c>
      <c r="EB63" s="2" t="s">
        <v>432</v>
      </c>
      <c r="EC63" s="2" t="s">
        <v>432</v>
      </c>
      <c r="ED63" s="2" t="s">
        <v>433</v>
      </c>
      <c r="EE63" s="2" t="s">
        <v>432</v>
      </c>
      <c r="EF63" s="2" t="s">
        <v>432</v>
      </c>
      <c r="EG63" s="2" t="s">
        <v>432</v>
      </c>
      <c r="EH63" s="2" t="s">
        <v>432</v>
      </c>
      <c r="EI63" s="2" t="s">
        <v>432</v>
      </c>
      <c r="EL63" s="2" t="s">
        <v>597</v>
      </c>
      <c r="EM63" s="2" t="s">
        <v>432</v>
      </c>
      <c r="EN63" s="2" t="s">
        <v>432</v>
      </c>
      <c r="EO63" s="2" t="s">
        <v>432</v>
      </c>
      <c r="EP63" s="2" t="s">
        <v>432</v>
      </c>
      <c r="EQ63" s="2" t="s">
        <v>432</v>
      </c>
      <c r="ER63" s="2" t="s">
        <v>432</v>
      </c>
      <c r="ES63" s="2" t="s">
        <v>432</v>
      </c>
      <c r="ET63" s="2" t="s">
        <v>432</v>
      </c>
      <c r="EU63" s="2" t="s">
        <v>433</v>
      </c>
      <c r="EV63" s="2" t="s">
        <v>432</v>
      </c>
      <c r="EX63" s="2" t="s">
        <v>456</v>
      </c>
      <c r="GN63" s="2" t="s">
        <v>456</v>
      </c>
      <c r="GO63" s="2" t="s">
        <v>456</v>
      </c>
      <c r="HI63" s="2" t="s">
        <v>601</v>
      </c>
      <c r="HJ63" s="2" t="s">
        <v>532</v>
      </c>
      <c r="HK63" s="2" t="s">
        <v>432</v>
      </c>
      <c r="HL63" s="2" t="s">
        <v>432</v>
      </c>
      <c r="HM63" s="2" t="s">
        <v>432</v>
      </c>
      <c r="HN63" s="2" t="s">
        <v>432</v>
      </c>
      <c r="HO63" s="2" t="s">
        <v>433</v>
      </c>
      <c r="HP63" s="2" t="s">
        <v>432</v>
      </c>
      <c r="HQ63" s="2" t="s">
        <v>432</v>
      </c>
      <c r="HR63" s="2" t="s">
        <v>432</v>
      </c>
      <c r="HS63" s="2" t="s">
        <v>432</v>
      </c>
      <c r="HT63" s="2" t="s">
        <v>432</v>
      </c>
      <c r="HX63" s="2" t="s">
        <v>597</v>
      </c>
      <c r="HY63" s="2" t="s">
        <v>432</v>
      </c>
      <c r="HZ63" s="2" t="s">
        <v>432</v>
      </c>
      <c r="IA63" s="2" t="s">
        <v>432</v>
      </c>
      <c r="IB63" s="2" t="s">
        <v>432</v>
      </c>
      <c r="IC63" s="2" t="s">
        <v>432</v>
      </c>
      <c r="ID63" s="2" t="s">
        <v>432</v>
      </c>
      <c r="IE63" s="2" t="s">
        <v>432</v>
      </c>
      <c r="IF63" s="2" t="s">
        <v>432</v>
      </c>
      <c r="IG63" s="2" t="s">
        <v>432</v>
      </c>
      <c r="IH63" s="2" t="s">
        <v>432</v>
      </c>
      <c r="II63" s="2" t="s">
        <v>432</v>
      </c>
      <c r="IJ63" s="2" t="s">
        <v>433</v>
      </c>
      <c r="IK63" s="2" t="s">
        <v>432</v>
      </c>
      <c r="IL63" s="2" t="s">
        <v>432</v>
      </c>
      <c r="IN63" s="2" t="s">
        <v>433</v>
      </c>
      <c r="JA63" s="2" t="s">
        <v>491</v>
      </c>
      <c r="JB63" s="2" t="s">
        <v>432</v>
      </c>
      <c r="JC63" s="2" t="s">
        <v>433</v>
      </c>
      <c r="JD63" s="2" t="s">
        <v>432</v>
      </c>
      <c r="JE63" s="2" t="s">
        <v>432</v>
      </c>
      <c r="JF63" s="2" t="s">
        <v>432</v>
      </c>
      <c r="JG63" s="2" t="s">
        <v>432</v>
      </c>
      <c r="JT63" s="2" t="s">
        <v>1526</v>
      </c>
      <c r="JU63" s="2" t="s">
        <v>432</v>
      </c>
      <c r="JV63" s="2" t="s">
        <v>432</v>
      </c>
      <c r="JW63" s="2" t="s">
        <v>432</v>
      </c>
      <c r="JX63" s="2" t="s">
        <v>433</v>
      </c>
      <c r="JY63" s="2" t="s">
        <v>433</v>
      </c>
      <c r="JZ63" s="2" t="s">
        <v>432</v>
      </c>
      <c r="KA63" s="2" t="s">
        <v>432</v>
      </c>
      <c r="KB63" s="2" t="s">
        <v>432</v>
      </c>
      <c r="KC63" s="2" t="s">
        <v>432</v>
      </c>
      <c r="KF63" s="2" t="s">
        <v>456</v>
      </c>
      <c r="LB63" s="2" t="s">
        <v>430</v>
      </c>
      <c r="LC63" s="2" t="s">
        <v>1527</v>
      </c>
      <c r="LD63" s="2" t="s">
        <v>433</v>
      </c>
      <c r="LE63" s="2" t="s">
        <v>432</v>
      </c>
      <c r="LF63" s="2" t="s">
        <v>432</v>
      </c>
      <c r="LG63" s="2" t="s">
        <v>433</v>
      </c>
      <c r="LH63" s="2" t="s">
        <v>432</v>
      </c>
      <c r="LI63" s="2" t="s">
        <v>433</v>
      </c>
      <c r="LJ63" s="2" t="s">
        <v>432</v>
      </c>
      <c r="LK63" s="2" t="s">
        <v>432</v>
      </c>
      <c r="LL63" s="2" t="s">
        <v>432</v>
      </c>
      <c r="LM63" s="2" t="s">
        <v>432</v>
      </c>
      <c r="LO63" s="2" t="s">
        <v>456</v>
      </c>
      <c r="LP63" s="2" t="s">
        <v>430</v>
      </c>
      <c r="LR63" s="2" t="s">
        <v>1528</v>
      </c>
      <c r="LS63" s="2">
        <v>171960783</v>
      </c>
      <c r="LT63" s="2" t="s">
        <v>1529</v>
      </c>
      <c r="LU63" s="2" t="s">
        <v>1530</v>
      </c>
      <c r="LW63" s="2" t="s">
        <v>460</v>
      </c>
      <c r="LX63" s="2" t="s">
        <v>461</v>
      </c>
      <c r="LY63" s="2" t="s">
        <v>462</v>
      </c>
      <c r="MA63" s="2">
        <v>68</v>
      </c>
    </row>
    <row r="64" spans="1:339" x14ac:dyDescent="0.3">
      <c r="A64" s="2" t="s">
        <v>1531</v>
      </c>
      <c r="B64" s="2" t="s">
        <v>1532</v>
      </c>
      <c r="C64" s="2" t="s">
        <v>1525</v>
      </c>
      <c r="F64" s="2" t="s">
        <v>422</v>
      </c>
      <c r="G64" s="2" t="s">
        <v>633</v>
      </c>
      <c r="H64" s="2" t="s">
        <v>633</v>
      </c>
      <c r="I64" s="2" t="s">
        <v>1158</v>
      </c>
      <c r="R64" s="2" t="s">
        <v>523</v>
      </c>
      <c r="S64" s="2" t="s">
        <v>1533</v>
      </c>
      <c r="T64" s="2" t="s">
        <v>426</v>
      </c>
      <c r="Z64" s="2" t="s">
        <v>428</v>
      </c>
      <c r="AA64" s="2" t="s">
        <v>429</v>
      </c>
      <c r="AB64" s="2" t="s">
        <v>633</v>
      </c>
      <c r="AG64" s="2" t="s">
        <v>456</v>
      </c>
      <c r="BQ64" s="2" t="s">
        <v>456</v>
      </c>
      <c r="DZ64" s="2" t="s">
        <v>900</v>
      </c>
      <c r="EA64" s="2" t="s">
        <v>432</v>
      </c>
      <c r="EB64" s="2" t="s">
        <v>432</v>
      </c>
      <c r="EC64" s="2" t="s">
        <v>433</v>
      </c>
      <c r="ED64" s="2" t="s">
        <v>432</v>
      </c>
      <c r="EE64" s="2" t="s">
        <v>432</v>
      </c>
      <c r="EF64" s="2" t="s">
        <v>432</v>
      </c>
      <c r="EG64" s="2" t="s">
        <v>432</v>
      </c>
      <c r="EH64" s="2" t="s">
        <v>432</v>
      </c>
      <c r="EI64" s="2" t="s">
        <v>432</v>
      </c>
      <c r="EL64" s="2" t="s">
        <v>597</v>
      </c>
      <c r="EM64" s="2" t="s">
        <v>432</v>
      </c>
      <c r="EN64" s="2" t="s">
        <v>432</v>
      </c>
      <c r="EO64" s="2" t="s">
        <v>432</v>
      </c>
      <c r="EP64" s="2" t="s">
        <v>432</v>
      </c>
      <c r="EQ64" s="2" t="s">
        <v>432</v>
      </c>
      <c r="ER64" s="2" t="s">
        <v>432</v>
      </c>
      <c r="ES64" s="2" t="s">
        <v>432</v>
      </c>
      <c r="ET64" s="2" t="s">
        <v>432</v>
      </c>
      <c r="EU64" s="2" t="s">
        <v>433</v>
      </c>
      <c r="EV64" s="2" t="s">
        <v>432</v>
      </c>
      <c r="EX64" s="2" t="s">
        <v>456</v>
      </c>
      <c r="GN64" s="2" t="s">
        <v>597</v>
      </c>
      <c r="GO64" s="2" t="s">
        <v>597</v>
      </c>
      <c r="HI64" s="2" t="s">
        <v>456</v>
      </c>
      <c r="HV64" s="2" t="s">
        <v>430</v>
      </c>
      <c r="IN64" s="2" t="s">
        <v>433</v>
      </c>
      <c r="JA64" s="2" t="s">
        <v>491</v>
      </c>
      <c r="JB64" s="2" t="s">
        <v>432</v>
      </c>
      <c r="JC64" s="2" t="s">
        <v>433</v>
      </c>
      <c r="JD64" s="2" t="s">
        <v>432</v>
      </c>
      <c r="JE64" s="2" t="s">
        <v>432</v>
      </c>
      <c r="JF64" s="2" t="s">
        <v>432</v>
      </c>
      <c r="JG64" s="2" t="s">
        <v>432</v>
      </c>
      <c r="JT64" s="2" t="s">
        <v>1534</v>
      </c>
      <c r="JU64" s="2" t="s">
        <v>432</v>
      </c>
      <c r="JV64" s="2" t="s">
        <v>432</v>
      </c>
      <c r="JW64" s="2" t="s">
        <v>432</v>
      </c>
      <c r="JX64" s="2" t="s">
        <v>433</v>
      </c>
      <c r="JY64" s="2" t="s">
        <v>432</v>
      </c>
      <c r="JZ64" s="2" t="s">
        <v>432</v>
      </c>
      <c r="KA64" s="2" t="s">
        <v>432</v>
      </c>
      <c r="KB64" s="2" t="s">
        <v>432</v>
      </c>
      <c r="KC64" s="2" t="s">
        <v>432</v>
      </c>
      <c r="KF64" s="2" t="s">
        <v>456</v>
      </c>
      <c r="LB64" s="2" t="s">
        <v>456</v>
      </c>
      <c r="LP64" s="2" t="s">
        <v>430</v>
      </c>
      <c r="LR64" s="2" t="s">
        <v>1535</v>
      </c>
      <c r="LS64" s="2">
        <v>171960792</v>
      </c>
      <c r="LT64" s="2" t="s">
        <v>1536</v>
      </c>
      <c r="LU64" s="2" t="s">
        <v>1537</v>
      </c>
      <c r="LW64" s="2" t="s">
        <v>460</v>
      </c>
      <c r="LX64" s="2" t="s">
        <v>461</v>
      </c>
      <c r="LY64" s="2" t="s">
        <v>462</v>
      </c>
      <c r="MA64" s="2">
        <v>69</v>
      </c>
    </row>
    <row r="65" spans="1:339" x14ac:dyDescent="0.3">
      <c r="A65" s="2" t="s">
        <v>1538</v>
      </c>
      <c r="B65" s="2" t="s">
        <v>1539</v>
      </c>
      <c r="C65" s="2" t="s">
        <v>1525</v>
      </c>
      <c r="F65" s="2" t="s">
        <v>422</v>
      </c>
      <c r="G65" s="2" t="s">
        <v>981</v>
      </c>
      <c r="H65" s="2" t="s">
        <v>981</v>
      </c>
      <c r="I65" s="2" t="s">
        <v>427</v>
      </c>
      <c r="J65" s="2" t="s">
        <v>1540</v>
      </c>
      <c r="R65" s="2" t="s">
        <v>422</v>
      </c>
      <c r="S65" s="2" t="s">
        <v>657</v>
      </c>
      <c r="T65" s="2" t="s">
        <v>426</v>
      </c>
      <c r="Z65" s="2" t="s">
        <v>428</v>
      </c>
      <c r="AA65" s="2" t="s">
        <v>429</v>
      </c>
      <c r="AB65" s="2" t="s">
        <v>981</v>
      </c>
      <c r="AG65" s="2" t="s">
        <v>456</v>
      </c>
      <c r="BQ65" s="2" t="s">
        <v>456</v>
      </c>
      <c r="DZ65" s="2" t="s">
        <v>1541</v>
      </c>
      <c r="EA65" s="2" t="s">
        <v>432</v>
      </c>
      <c r="EB65" s="2" t="s">
        <v>432</v>
      </c>
      <c r="EC65" s="2" t="s">
        <v>433</v>
      </c>
      <c r="ED65" s="2" t="s">
        <v>433</v>
      </c>
      <c r="EE65" s="2" t="s">
        <v>432</v>
      </c>
      <c r="EF65" s="2" t="s">
        <v>432</v>
      </c>
      <c r="EG65" s="2" t="s">
        <v>432</v>
      </c>
      <c r="EH65" s="2" t="s">
        <v>432</v>
      </c>
      <c r="EI65" s="2" t="s">
        <v>432</v>
      </c>
      <c r="EL65" s="2" t="s">
        <v>572</v>
      </c>
      <c r="EM65" s="2" t="s">
        <v>432</v>
      </c>
      <c r="EN65" s="2" t="s">
        <v>433</v>
      </c>
      <c r="EO65" s="2" t="s">
        <v>433</v>
      </c>
      <c r="EP65" s="2" t="s">
        <v>432</v>
      </c>
      <c r="EQ65" s="2" t="s">
        <v>432</v>
      </c>
      <c r="ER65" s="2" t="s">
        <v>432</v>
      </c>
      <c r="ES65" s="2" t="s">
        <v>432</v>
      </c>
      <c r="ET65" s="2" t="s">
        <v>432</v>
      </c>
      <c r="EU65" s="2" t="s">
        <v>432</v>
      </c>
      <c r="EV65" s="2" t="s">
        <v>432</v>
      </c>
      <c r="EX65" s="2" t="s">
        <v>430</v>
      </c>
      <c r="EY65" s="2" t="s">
        <v>1542</v>
      </c>
      <c r="EZ65" s="2" t="s">
        <v>432</v>
      </c>
      <c r="FA65" s="2" t="s">
        <v>432</v>
      </c>
      <c r="FB65" s="2" t="s">
        <v>432</v>
      </c>
      <c r="FC65" s="2" t="s">
        <v>432</v>
      </c>
      <c r="FD65" s="2" t="s">
        <v>433</v>
      </c>
      <c r="FE65" s="2" t="s">
        <v>432</v>
      </c>
      <c r="FF65" s="2" t="s">
        <v>433</v>
      </c>
      <c r="FG65" s="2" t="s">
        <v>432</v>
      </c>
      <c r="FH65" s="2" t="s">
        <v>433</v>
      </c>
      <c r="FI65" s="2" t="s">
        <v>432</v>
      </c>
      <c r="FJ65" s="2" t="s">
        <v>432</v>
      </c>
      <c r="FK65" s="2" t="s">
        <v>432</v>
      </c>
      <c r="FL65" s="2" t="s">
        <v>432</v>
      </c>
      <c r="FM65" s="2" t="s">
        <v>432</v>
      </c>
      <c r="FO65" s="2" t="s">
        <v>601</v>
      </c>
      <c r="FP65" s="2" t="s">
        <v>601</v>
      </c>
      <c r="GA65" s="2" t="s">
        <v>602</v>
      </c>
      <c r="GB65" s="2" t="s">
        <v>602</v>
      </c>
      <c r="GC65" s="2" t="s">
        <v>1130</v>
      </c>
      <c r="GD65" s="2" t="s">
        <v>433</v>
      </c>
      <c r="GE65" s="2" t="s">
        <v>433</v>
      </c>
      <c r="GF65" s="2" t="s">
        <v>432</v>
      </c>
      <c r="GG65" s="2" t="s">
        <v>433</v>
      </c>
      <c r="GH65" s="2" t="s">
        <v>432</v>
      </c>
      <c r="GI65" s="2" t="s">
        <v>432</v>
      </c>
      <c r="GJ65" s="2" t="s">
        <v>432</v>
      </c>
      <c r="GK65" s="2" t="s">
        <v>432</v>
      </c>
      <c r="GL65" s="2" t="s">
        <v>432</v>
      </c>
      <c r="GN65" s="2" t="s">
        <v>481</v>
      </c>
      <c r="GO65" s="2" t="s">
        <v>481</v>
      </c>
      <c r="GP65" s="2" t="s">
        <v>642</v>
      </c>
      <c r="GQ65" s="2" t="s">
        <v>433</v>
      </c>
      <c r="GR65" s="2" t="s">
        <v>433</v>
      </c>
      <c r="GS65" s="2" t="s">
        <v>433</v>
      </c>
      <c r="GT65" s="2" t="s">
        <v>432</v>
      </c>
      <c r="GU65" s="2" t="s">
        <v>432</v>
      </c>
      <c r="GV65" s="2" t="s">
        <v>432</v>
      </c>
      <c r="GW65" s="2" t="s">
        <v>432</v>
      </c>
      <c r="GX65" s="2" t="s">
        <v>432</v>
      </c>
      <c r="GZ65" s="2" t="s">
        <v>1543</v>
      </c>
      <c r="HA65" s="2" t="s">
        <v>432</v>
      </c>
      <c r="HB65" s="2" t="s">
        <v>432</v>
      </c>
      <c r="HC65" s="2" t="s">
        <v>432</v>
      </c>
      <c r="HD65" s="2" t="s">
        <v>433</v>
      </c>
      <c r="HE65" s="2" t="s">
        <v>432</v>
      </c>
      <c r="HF65" s="2" t="s">
        <v>432</v>
      </c>
      <c r="HI65" s="2" t="s">
        <v>456</v>
      </c>
      <c r="HV65" s="2" t="s">
        <v>430</v>
      </c>
      <c r="IN65" s="2" t="s">
        <v>1544</v>
      </c>
      <c r="IO65" s="2" t="s">
        <v>737</v>
      </c>
      <c r="IP65" s="2" t="s">
        <v>433</v>
      </c>
      <c r="IQ65" s="2" t="s">
        <v>433</v>
      </c>
      <c r="IR65" s="2" t="s">
        <v>433</v>
      </c>
      <c r="IS65" s="2" t="s">
        <v>432</v>
      </c>
      <c r="IT65" s="2" t="s">
        <v>433</v>
      </c>
      <c r="IU65" s="2" t="s">
        <v>432</v>
      </c>
      <c r="IV65" s="2" t="s">
        <v>432</v>
      </c>
      <c r="IW65" s="2" t="s">
        <v>432</v>
      </c>
      <c r="IX65" s="2" t="s">
        <v>432</v>
      </c>
      <c r="IY65" s="2" t="s">
        <v>432</v>
      </c>
      <c r="JA65" s="2" t="s">
        <v>580</v>
      </c>
      <c r="JB65" s="2" t="s">
        <v>432</v>
      </c>
      <c r="JC65" s="2" t="s">
        <v>433</v>
      </c>
      <c r="JD65" s="2" t="s">
        <v>433</v>
      </c>
      <c r="JE65" s="2" t="s">
        <v>432</v>
      </c>
      <c r="JF65" s="2" t="s">
        <v>432</v>
      </c>
      <c r="JG65" s="2" t="s">
        <v>432</v>
      </c>
      <c r="JT65" s="2" t="s">
        <v>1545</v>
      </c>
      <c r="JU65" s="2" t="s">
        <v>433</v>
      </c>
      <c r="JV65" s="2" t="s">
        <v>433</v>
      </c>
      <c r="JW65" s="2" t="s">
        <v>432</v>
      </c>
      <c r="JX65" s="2" t="s">
        <v>433</v>
      </c>
      <c r="JY65" s="2" t="s">
        <v>433</v>
      </c>
      <c r="JZ65" s="2" t="s">
        <v>433</v>
      </c>
      <c r="KA65" s="2" t="s">
        <v>432</v>
      </c>
      <c r="KB65" s="2" t="s">
        <v>432</v>
      </c>
      <c r="KC65" s="2" t="s">
        <v>432</v>
      </c>
      <c r="KF65" s="2" t="s">
        <v>456</v>
      </c>
      <c r="LB65" s="2" t="s">
        <v>456</v>
      </c>
      <c r="LP65" s="2" t="s">
        <v>430</v>
      </c>
      <c r="LS65" s="2">
        <v>172010451</v>
      </c>
      <c r="LT65" s="2" t="s">
        <v>1546</v>
      </c>
      <c r="LU65" s="2" t="s">
        <v>1547</v>
      </c>
      <c r="LW65" s="2" t="s">
        <v>460</v>
      </c>
      <c r="LX65" s="2" t="s">
        <v>461</v>
      </c>
      <c r="LY65" s="2" t="s">
        <v>462</v>
      </c>
      <c r="MA65" s="2">
        <v>70</v>
      </c>
    </row>
    <row r="66" spans="1:339" x14ac:dyDescent="0.3">
      <c r="A66" s="2" t="s">
        <v>1548</v>
      </c>
      <c r="B66" s="2" t="s">
        <v>1549</v>
      </c>
      <c r="C66" s="2" t="s">
        <v>1525</v>
      </c>
      <c r="F66" s="2" t="s">
        <v>422</v>
      </c>
      <c r="G66" s="2" t="s">
        <v>466</v>
      </c>
      <c r="H66" s="2" t="s">
        <v>466</v>
      </c>
      <c r="I66" s="2" t="s">
        <v>466</v>
      </c>
      <c r="R66" s="2" t="s">
        <v>422</v>
      </c>
      <c r="S66" s="2" t="s">
        <v>964</v>
      </c>
      <c r="T66" s="2" t="s">
        <v>426</v>
      </c>
      <c r="Z66" s="2" t="s">
        <v>428</v>
      </c>
      <c r="AA66" s="2" t="s">
        <v>429</v>
      </c>
      <c r="AB66" s="2" t="s">
        <v>429</v>
      </c>
      <c r="AG66" s="2" t="s">
        <v>430</v>
      </c>
      <c r="AH66" s="2" t="s">
        <v>1550</v>
      </c>
      <c r="AI66" s="2" t="s">
        <v>432</v>
      </c>
      <c r="AJ66" s="2" t="s">
        <v>432</v>
      </c>
      <c r="AK66" s="2" t="s">
        <v>433</v>
      </c>
      <c r="AL66" s="2" t="s">
        <v>432</v>
      </c>
      <c r="AM66" s="2" t="s">
        <v>433</v>
      </c>
      <c r="AN66" s="2" t="s">
        <v>432</v>
      </c>
      <c r="AO66" s="2" t="s">
        <v>432</v>
      </c>
      <c r="AP66" s="2" t="s">
        <v>433</v>
      </c>
      <c r="AQ66" s="2" t="s">
        <v>432</v>
      </c>
      <c r="AR66" s="2" t="s">
        <v>432</v>
      </c>
      <c r="AS66" s="2" t="s">
        <v>432</v>
      </c>
      <c r="AT66" s="2" t="s">
        <v>432</v>
      </c>
      <c r="AU66" s="2" t="s">
        <v>432</v>
      </c>
      <c r="AV66" s="2" t="s">
        <v>432</v>
      </c>
      <c r="AX66" s="2" t="s">
        <v>1551</v>
      </c>
      <c r="AY66" s="2" t="s">
        <v>432</v>
      </c>
      <c r="AZ66" s="2" t="s">
        <v>432</v>
      </c>
      <c r="BA66" s="2" t="s">
        <v>432</v>
      </c>
      <c r="BB66" s="2" t="s">
        <v>433</v>
      </c>
      <c r="BC66" s="2" t="s">
        <v>433</v>
      </c>
      <c r="BD66" s="2" t="s">
        <v>433</v>
      </c>
      <c r="BE66" s="2" t="s">
        <v>433</v>
      </c>
      <c r="BF66" s="2" t="s">
        <v>433</v>
      </c>
      <c r="BG66" s="2" t="s">
        <v>432</v>
      </c>
      <c r="BH66" s="2" t="s">
        <v>432</v>
      </c>
      <c r="BI66" s="2" t="s">
        <v>432</v>
      </c>
      <c r="BJ66" s="2" t="s">
        <v>432</v>
      </c>
      <c r="BK66" s="2" t="s">
        <v>432</v>
      </c>
      <c r="BL66" s="2" t="s">
        <v>432</v>
      </c>
      <c r="BN66" s="2" t="s">
        <v>435</v>
      </c>
      <c r="BO66" s="2" t="s">
        <v>436</v>
      </c>
      <c r="BQ66" s="2" t="s">
        <v>456</v>
      </c>
      <c r="DB66" s="2" t="s">
        <v>1552</v>
      </c>
      <c r="DC66" s="2" t="s">
        <v>433</v>
      </c>
      <c r="DD66" s="2" t="s">
        <v>432</v>
      </c>
      <c r="DE66" s="2" t="s">
        <v>433</v>
      </c>
      <c r="DF66" s="2" t="s">
        <v>432</v>
      </c>
      <c r="DG66" s="2" t="s">
        <v>433</v>
      </c>
      <c r="DH66" s="2" t="s">
        <v>432</v>
      </c>
      <c r="DI66" s="2" t="s">
        <v>432</v>
      </c>
      <c r="DJ66" s="2" t="s">
        <v>432</v>
      </c>
      <c r="DK66" s="2" t="s">
        <v>432</v>
      </c>
      <c r="DL66" s="2" t="s">
        <v>432</v>
      </c>
      <c r="DZ66" s="2" t="s">
        <v>1553</v>
      </c>
      <c r="EA66" s="2" t="s">
        <v>432</v>
      </c>
      <c r="EB66" s="2" t="s">
        <v>433</v>
      </c>
      <c r="EC66" s="2" t="s">
        <v>433</v>
      </c>
      <c r="ED66" s="2" t="s">
        <v>433</v>
      </c>
      <c r="EE66" s="2" t="s">
        <v>432</v>
      </c>
      <c r="EF66" s="2" t="s">
        <v>432</v>
      </c>
      <c r="EG66" s="2" t="s">
        <v>432</v>
      </c>
      <c r="EH66" s="2" t="s">
        <v>432</v>
      </c>
      <c r="EI66" s="2" t="s">
        <v>432</v>
      </c>
      <c r="EL66" s="2" t="s">
        <v>1114</v>
      </c>
      <c r="EM66" s="2" t="s">
        <v>432</v>
      </c>
      <c r="EN66" s="2" t="s">
        <v>433</v>
      </c>
      <c r="EO66" s="2" t="s">
        <v>432</v>
      </c>
      <c r="EP66" s="2" t="s">
        <v>432</v>
      </c>
      <c r="EQ66" s="2" t="s">
        <v>432</v>
      </c>
      <c r="ER66" s="2" t="s">
        <v>432</v>
      </c>
      <c r="ES66" s="2" t="s">
        <v>432</v>
      </c>
      <c r="ET66" s="2" t="s">
        <v>432</v>
      </c>
      <c r="EU66" s="2" t="s">
        <v>432</v>
      </c>
      <c r="EV66" s="2" t="s">
        <v>432</v>
      </c>
      <c r="EX66" s="2" t="s">
        <v>430</v>
      </c>
      <c r="EY66" s="2" t="s">
        <v>1554</v>
      </c>
      <c r="EZ66" s="2" t="s">
        <v>433</v>
      </c>
      <c r="FA66" s="2" t="s">
        <v>432</v>
      </c>
      <c r="FB66" s="2" t="s">
        <v>432</v>
      </c>
      <c r="FC66" s="2" t="s">
        <v>432</v>
      </c>
      <c r="FD66" s="2" t="s">
        <v>433</v>
      </c>
      <c r="FE66" s="2" t="s">
        <v>433</v>
      </c>
      <c r="FF66" s="2" t="s">
        <v>433</v>
      </c>
      <c r="FG66" s="2" t="s">
        <v>432</v>
      </c>
      <c r="FH66" s="2" t="s">
        <v>432</v>
      </c>
      <c r="FI66" s="2" t="s">
        <v>432</v>
      </c>
      <c r="FJ66" s="2" t="s">
        <v>432</v>
      </c>
      <c r="FK66" s="2" t="s">
        <v>432</v>
      </c>
      <c r="FL66" s="2" t="s">
        <v>432</v>
      </c>
      <c r="FM66" s="2" t="s">
        <v>432</v>
      </c>
      <c r="FO66" s="2" t="s">
        <v>481</v>
      </c>
      <c r="FP66" s="2" t="s">
        <v>601</v>
      </c>
      <c r="GA66" s="2" t="s">
        <v>602</v>
      </c>
      <c r="GB66" s="2" t="s">
        <v>602</v>
      </c>
      <c r="GC66" s="2" t="s">
        <v>510</v>
      </c>
      <c r="GD66" s="2" t="s">
        <v>432</v>
      </c>
      <c r="GE66" s="2" t="s">
        <v>433</v>
      </c>
      <c r="GF66" s="2" t="s">
        <v>432</v>
      </c>
      <c r="GG66" s="2" t="s">
        <v>433</v>
      </c>
      <c r="GH66" s="2" t="s">
        <v>433</v>
      </c>
      <c r="GI66" s="2" t="s">
        <v>432</v>
      </c>
      <c r="GJ66" s="2" t="s">
        <v>432</v>
      </c>
      <c r="GK66" s="2" t="s">
        <v>432</v>
      </c>
      <c r="GL66" s="2" t="s">
        <v>432</v>
      </c>
      <c r="GN66" s="2" t="s">
        <v>481</v>
      </c>
      <c r="GO66" s="2" t="s">
        <v>601</v>
      </c>
      <c r="GP66" s="2" t="s">
        <v>1555</v>
      </c>
      <c r="GQ66" s="2" t="s">
        <v>432</v>
      </c>
      <c r="GR66" s="2" t="s">
        <v>433</v>
      </c>
      <c r="GS66" s="2" t="s">
        <v>433</v>
      </c>
      <c r="GT66" s="2" t="s">
        <v>432</v>
      </c>
      <c r="GU66" s="2" t="s">
        <v>432</v>
      </c>
      <c r="GV66" s="2" t="s">
        <v>432</v>
      </c>
      <c r="GW66" s="2" t="s">
        <v>432</v>
      </c>
      <c r="GX66" s="2" t="s">
        <v>432</v>
      </c>
      <c r="GZ66" s="2" t="s">
        <v>643</v>
      </c>
      <c r="HA66" s="2" t="s">
        <v>433</v>
      </c>
      <c r="HB66" s="2" t="s">
        <v>432</v>
      </c>
      <c r="HC66" s="2" t="s">
        <v>432</v>
      </c>
      <c r="HD66" s="2" t="s">
        <v>432</v>
      </c>
      <c r="HE66" s="2" t="s">
        <v>432</v>
      </c>
      <c r="HF66" s="2" t="s">
        <v>432</v>
      </c>
      <c r="HI66" s="2" t="s">
        <v>601</v>
      </c>
      <c r="HJ66" s="2" t="s">
        <v>1556</v>
      </c>
      <c r="HK66" s="2" t="s">
        <v>433</v>
      </c>
      <c r="HL66" s="2" t="s">
        <v>433</v>
      </c>
      <c r="HM66" s="2" t="s">
        <v>432</v>
      </c>
      <c r="HN66" s="2" t="s">
        <v>432</v>
      </c>
      <c r="HO66" s="2" t="s">
        <v>433</v>
      </c>
      <c r="HP66" s="2" t="s">
        <v>432</v>
      </c>
      <c r="HQ66" s="2" t="s">
        <v>432</v>
      </c>
      <c r="HR66" s="2" t="s">
        <v>432</v>
      </c>
      <c r="HS66" s="2" t="s">
        <v>432</v>
      </c>
      <c r="HT66" s="2" t="s">
        <v>432</v>
      </c>
      <c r="HX66" s="2" t="s">
        <v>1557</v>
      </c>
      <c r="HY66" s="2" t="s">
        <v>432</v>
      </c>
      <c r="HZ66" s="2" t="s">
        <v>432</v>
      </c>
      <c r="IA66" s="2" t="s">
        <v>433</v>
      </c>
      <c r="IB66" s="2" t="s">
        <v>433</v>
      </c>
      <c r="IC66" s="2" t="s">
        <v>433</v>
      </c>
      <c r="ID66" s="2" t="s">
        <v>432</v>
      </c>
      <c r="IE66" s="2" t="s">
        <v>433</v>
      </c>
      <c r="IF66" s="2" t="s">
        <v>432</v>
      </c>
      <c r="IG66" s="2" t="s">
        <v>433</v>
      </c>
      <c r="IH66" s="2" t="s">
        <v>432</v>
      </c>
      <c r="II66" s="2" t="s">
        <v>432</v>
      </c>
      <c r="IJ66" s="2" t="s">
        <v>432</v>
      </c>
      <c r="IK66" s="2" t="s">
        <v>432</v>
      </c>
      <c r="IL66" s="2" t="s">
        <v>432</v>
      </c>
      <c r="IN66" s="2" t="s">
        <v>1558</v>
      </c>
      <c r="IO66" s="2" t="s">
        <v>1559</v>
      </c>
      <c r="IP66" s="2" t="s">
        <v>433</v>
      </c>
      <c r="IQ66" s="2" t="s">
        <v>433</v>
      </c>
      <c r="IR66" s="2" t="s">
        <v>432</v>
      </c>
      <c r="IS66" s="2" t="s">
        <v>433</v>
      </c>
      <c r="IT66" s="2" t="s">
        <v>433</v>
      </c>
      <c r="IU66" s="2" t="s">
        <v>432</v>
      </c>
      <c r="IV66" s="2" t="s">
        <v>432</v>
      </c>
      <c r="IW66" s="2" t="s">
        <v>432</v>
      </c>
      <c r="IX66" s="2" t="s">
        <v>432</v>
      </c>
      <c r="IY66" s="2" t="s">
        <v>432</v>
      </c>
      <c r="JA66" s="2" t="s">
        <v>580</v>
      </c>
      <c r="JB66" s="2" t="s">
        <v>432</v>
      </c>
      <c r="JC66" s="2" t="s">
        <v>433</v>
      </c>
      <c r="JD66" s="2" t="s">
        <v>433</v>
      </c>
      <c r="JE66" s="2" t="s">
        <v>432</v>
      </c>
      <c r="JF66" s="2" t="s">
        <v>432</v>
      </c>
      <c r="JG66" s="2" t="s">
        <v>432</v>
      </c>
      <c r="JT66" s="2" t="s">
        <v>1271</v>
      </c>
      <c r="JU66" s="2" t="s">
        <v>433</v>
      </c>
      <c r="JV66" s="2" t="s">
        <v>433</v>
      </c>
      <c r="JW66" s="2" t="s">
        <v>432</v>
      </c>
      <c r="JX66" s="2" t="s">
        <v>432</v>
      </c>
      <c r="JY66" s="2" t="s">
        <v>433</v>
      </c>
      <c r="JZ66" s="2" t="s">
        <v>432</v>
      </c>
      <c r="KA66" s="2" t="s">
        <v>432</v>
      </c>
      <c r="KB66" s="2" t="s">
        <v>432</v>
      </c>
      <c r="KC66" s="2" t="s">
        <v>432</v>
      </c>
      <c r="KF66" s="2" t="s">
        <v>456</v>
      </c>
      <c r="LB66" s="2" t="s">
        <v>456</v>
      </c>
      <c r="LP66" s="2" t="s">
        <v>430</v>
      </c>
      <c r="LS66" s="2">
        <v>172010456</v>
      </c>
      <c r="LT66" s="2" t="s">
        <v>1560</v>
      </c>
      <c r="LU66" s="2" t="s">
        <v>1561</v>
      </c>
      <c r="LW66" s="2" t="s">
        <v>460</v>
      </c>
      <c r="LX66" s="2" t="s">
        <v>461</v>
      </c>
      <c r="LY66" s="2" t="s">
        <v>462</v>
      </c>
      <c r="MA66" s="2">
        <v>71</v>
      </c>
    </row>
    <row r="67" spans="1:339" x14ac:dyDescent="0.3">
      <c r="A67" s="2" t="s">
        <v>1562</v>
      </c>
      <c r="B67" s="2" t="s">
        <v>1563</v>
      </c>
      <c r="C67" s="2" t="s">
        <v>1525</v>
      </c>
      <c r="F67" s="2" t="s">
        <v>422</v>
      </c>
      <c r="G67" s="2" t="s">
        <v>633</v>
      </c>
      <c r="H67" s="2" t="s">
        <v>633</v>
      </c>
      <c r="I67" s="2" t="s">
        <v>427</v>
      </c>
      <c r="J67" s="2" t="s">
        <v>1564</v>
      </c>
      <c r="R67" s="2" t="s">
        <v>422</v>
      </c>
      <c r="S67" s="2" t="s">
        <v>644</v>
      </c>
      <c r="T67" s="2" t="s">
        <v>426</v>
      </c>
      <c r="Z67" s="2" t="s">
        <v>428</v>
      </c>
      <c r="AA67" s="2" t="s">
        <v>429</v>
      </c>
      <c r="AB67" s="2" t="s">
        <v>633</v>
      </c>
      <c r="AG67" s="2" t="s">
        <v>456</v>
      </c>
      <c r="BQ67" s="2" t="s">
        <v>456</v>
      </c>
      <c r="DZ67" s="2" t="s">
        <v>1509</v>
      </c>
      <c r="EA67" s="2" t="s">
        <v>432</v>
      </c>
      <c r="EB67" s="2" t="s">
        <v>433</v>
      </c>
      <c r="EC67" s="2" t="s">
        <v>432</v>
      </c>
      <c r="ED67" s="2" t="s">
        <v>433</v>
      </c>
      <c r="EE67" s="2" t="s">
        <v>432</v>
      </c>
      <c r="EF67" s="2" t="s">
        <v>432</v>
      </c>
      <c r="EG67" s="2" t="s">
        <v>432</v>
      </c>
      <c r="EH67" s="2" t="s">
        <v>432</v>
      </c>
      <c r="EI67" s="2" t="s">
        <v>432</v>
      </c>
      <c r="EL67" s="2" t="s">
        <v>1128</v>
      </c>
      <c r="EM67" s="2" t="s">
        <v>432</v>
      </c>
      <c r="EN67" s="2" t="s">
        <v>433</v>
      </c>
      <c r="EO67" s="2" t="s">
        <v>432</v>
      </c>
      <c r="EP67" s="2" t="s">
        <v>432</v>
      </c>
      <c r="EQ67" s="2" t="s">
        <v>432</v>
      </c>
      <c r="ER67" s="2" t="s">
        <v>433</v>
      </c>
      <c r="ES67" s="2" t="s">
        <v>432</v>
      </c>
      <c r="ET67" s="2" t="s">
        <v>432</v>
      </c>
      <c r="EU67" s="2" t="s">
        <v>432</v>
      </c>
      <c r="EV67" s="2" t="s">
        <v>432</v>
      </c>
      <c r="EX67" s="2" t="s">
        <v>430</v>
      </c>
      <c r="EY67" s="2" t="s">
        <v>1565</v>
      </c>
      <c r="EZ67" s="2" t="s">
        <v>433</v>
      </c>
      <c r="FA67" s="2" t="s">
        <v>432</v>
      </c>
      <c r="FB67" s="2" t="s">
        <v>433</v>
      </c>
      <c r="FC67" s="2" t="s">
        <v>432</v>
      </c>
      <c r="FD67" s="2" t="s">
        <v>433</v>
      </c>
      <c r="FE67" s="2" t="s">
        <v>432</v>
      </c>
      <c r="FF67" s="2" t="s">
        <v>432</v>
      </c>
      <c r="FG67" s="2" t="s">
        <v>432</v>
      </c>
      <c r="FH67" s="2" t="s">
        <v>433</v>
      </c>
      <c r="FI67" s="2" t="s">
        <v>432</v>
      </c>
      <c r="FJ67" s="2" t="s">
        <v>432</v>
      </c>
      <c r="FK67" s="2" t="s">
        <v>432</v>
      </c>
      <c r="FL67" s="2" t="s">
        <v>432</v>
      </c>
      <c r="FM67" s="2" t="s">
        <v>432</v>
      </c>
      <c r="FO67" s="2" t="s">
        <v>481</v>
      </c>
      <c r="FP67" s="2" t="s">
        <v>601</v>
      </c>
      <c r="GA67" s="2" t="s">
        <v>509</v>
      </c>
      <c r="GB67" s="2" t="s">
        <v>602</v>
      </c>
      <c r="GC67" s="2" t="s">
        <v>1192</v>
      </c>
      <c r="GD67" s="2" t="s">
        <v>432</v>
      </c>
      <c r="GE67" s="2" t="s">
        <v>433</v>
      </c>
      <c r="GF67" s="2" t="s">
        <v>432</v>
      </c>
      <c r="GG67" s="2" t="s">
        <v>433</v>
      </c>
      <c r="GH67" s="2" t="s">
        <v>433</v>
      </c>
      <c r="GI67" s="2" t="s">
        <v>433</v>
      </c>
      <c r="GJ67" s="2" t="s">
        <v>432</v>
      </c>
      <c r="GK67" s="2" t="s">
        <v>432</v>
      </c>
      <c r="GL67" s="2" t="s">
        <v>432</v>
      </c>
      <c r="GN67" s="2" t="s">
        <v>481</v>
      </c>
      <c r="GO67" s="2" t="s">
        <v>601</v>
      </c>
      <c r="GP67" s="2" t="s">
        <v>1566</v>
      </c>
      <c r="GQ67" s="2" t="s">
        <v>433</v>
      </c>
      <c r="GR67" s="2" t="s">
        <v>433</v>
      </c>
      <c r="GS67" s="2" t="s">
        <v>432</v>
      </c>
      <c r="GT67" s="2" t="s">
        <v>432</v>
      </c>
      <c r="GU67" s="2" t="s">
        <v>432</v>
      </c>
      <c r="GV67" s="2" t="s">
        <v>433</v>
      </c>
      <c r="GW67" s="2" t="s">
        <v>432</v>
      </c>
      <c r="GX67" s="2" t="s">
        <v>432</v>
      </c>
      <c r="GZ67" s="2" t="s">
        <v>486</v>
      </c>
      <c r="HA67" s="2" t="s">
        <v>433</v>
      </c>
      <c r="HB67" s="2" t="s">
        <v>432</v>
      </c>
      <c r="HC67" s="2" t="s">
        <v>433</v>
      </c>
      <c r="HD67" s="2" t="s">
        <v>432</v>
      </c>
      <c r="HE67" s="2" t="s">
        <v>432</v>
      </c>
      <c r="HF67" s="2" t="s">
        <v>432</v>
      </c>
      <c r="HI67" s="2" t="s">
        <v>442</v>
      </c>
      <c r="HJ67" s="2" t="s">
        <v>532</v>
      </c>
      <c r="HK67" s="2" t="s">
        <v>432</v>
      </c>
      <c r="HL67" s="2" t="s">
        <v>432</v>
      </c>
      <c r="HM67" s="2" t="s">
        <v>432</v>
      </c>
      <c r="HN67" s="2" t="s">
        <v>432</v>
      </c>
      <c r="HO67" s="2" t="s">
        <v>433</v>
      </c>
      <c r="HP67" s="2" t="s">
        <v>432</v>
      </c>
      <c r="HQ67" s="2" t="s">
        <v>432</v>
      </c>
      <c r="HR67" s="2" t="s">
        <v>432</v>
      </c>
      <c r="HS67" s="2" t="s">
        <v>432</v>
      </c>
      <c r="HT67" s="2" t="s">
        <v>432</v>
      </c>
      <c r="HV67" s="2" t="s">
        <v>430</v>
      </c>
      <c r="IN67" s="2" t="s">
        <v>709</v>
      </c>
      <c r="IO67" s="2" t="s">
        <v>1567</v>
      </c>
      <c r="IP67" s="2" t="s">
        <v>432</v>
      </c>
      <c r="IQ67" s="2" t="s">
        <v>433</v>
      </c>
      <c r="IR67" s="2" t="s">
        <v>432</v>
      </c>
      <c r="IS67" s="2" t="s">
        <v>432</v>
      </c>
      <c r="IT67" s="2" t="s">
        <v>433</v>
      </c>
      <c r="IU67" s="2" t="s">
        <v>433</v>
      </c>
      <c r="IV67" s="2" t="s">
        <v>432</v>
      </c>
      <c r="IW67" s="2" t="s">
        <v>433</v>
      </c>
      <c r="IX67" s="2" t="s">
        <v>432</v>
      </c>
      <c r="IY67" s="2" t="s">
        <v>432</v>
      </c>
      <c r="JA67" s="2" t="s">
        <v>711</v>
      </c>
      <c r="JB67" s="2" t="s">
        <v>433</v>
      </c>
      <c r="JC67" s="2" t="s">
        <v>433</v>
      </c>
      <c r="JD67" s="2" t="s">
        <v>433</v>
      </c>
      <c r="JE67" s="2" t="s">
        <v>432</v>
      </c>
      <c r="JF67" s="2" t="s">
        <v>432</v>
      </c>
      <c r="JG67" s="2" t="s">
        <v>432</v>
      </c>
      <c r="JI67" s="2" t="s">
        <v>1073</v>
      </c>
      <c r="JJ67" s="2" t="s">
        <v>433</v>
      </c>
      <c r="JK67" s="2" t="s">
        <v>432</v>
      </c>
      <c r="JL67" s="2" t="s">
        <v>433</v>
      </c>
      <c r="JM67" s="2" t="s">
        <v>432</v>
      </c>
      <c r="JN67" s="2" t="s">
        <v>432</v>
      </c>
      <c r="JO67" s="2" t="s">
        <v>432</v>
      </c>
      <c r="JP67" s="2" t="s">
        <v>432</v>
      </c>
      <c r="JQ67" s="2" t="s">
        <v>432</v>
      </c>
      <c r="JR67" s="2" t="s">
        <v>432</v>
      </c>
      <c r="JT67" s="2" t="s">
        <v>1094</v>
      </c>
      <c r="JU67" s="2" t="s">
        <v>433</v>
      </c>
      <c r="JV67" s="2" t="s">
        <v>432</v>
      </c>
      <c r="JW67" s="2" t="s">
        <v>432</v>
      </c>
      <c r="JX67" s="2" t="s">
        <v>433</v>
      </c>
      <c r="JY67" s="2" t="s">
        <v>433</v>
      </c>
      <c r="JZ67" s="2" t="s">
        <v>432</v>
      </c>
      <c r="KA67" s="2" t="s">
        <v>432</v>
      </c>
      <c r="KB67" s="2" t="s">
        <v>432</v>
      </c>
      <c r="KC67" s="2" t="s">
        <v>432</v>
      </c>
      <c r="KF67" s="2" t="s">
        <v>456</v>
      </c>
      <c r="LB67" s="2" t="s">
        <v>456</v>
      </c>
      <c r="LP67" s="2" t="s">
        <v>430</v>
      </c>
      <c r="LS67" s="2">
        <v>172011402</v>
      </c>
      <c r="LT67" s="2" t="s">
        <v>1568</v>
      </c>
      <c r="LU67" s="2" t="s">
        <v>1569</v>
      </c>
      <c r="LW67" s="2" t="s">
        <v>460</v>
      </c>
      <c r="LX67" s="2" t="s">
        <v>461</v>
      </c>
      <c r="LY67" s="2" t="s">
        <v>462</v>
      </c>
      <c r="MA67" s="2">
        <v>72</v>
      </c>
    </row>
    <row r="68" spans="1:339" x14ac:dyDescent="0.3">
      <c r="A68" s="2" t="s">
        <v>1570</v>
      </c>
      <c r="B68" s="2" t="s">
        <v>1571</v>
      </c>
      <c r="C68" s="2" t="s">
        <v>1525</v>
      </c>
      <c r="F68" s="2" t="s">
        <v>422</v>
      </c>
      <c r="G68" s="2" t="s">
        <v>423</v>
      </c>
      <c r="H68" s="2" t="s">
        <v>423</v>
      </c>
      <c r="I68" s="2" t="s">
        <v>423</v>
      </c>
      <c r="R68" s="2" t="s">
        <v>422</v>
      </c>
      <c r="S68" s="2" t="s">
        <v>1572</v>
      </c>
      <c r="T68" s="2" t="s">
        <v>426</v>
      </c>
      <c r="Z68" s="2" t="s">
        <v>428</v>
      </c>
      <c r="AA68" s="2" t="s">
        <v>429</v>
      </c>
      <c r="AB68" s="2" t="s">
        <v>423</v>
      </c>
      <c r="AG68" s="2" t="s">
        <v>456</v>
      </c>
      <c r="BQ68" s="2" t="s">
        <v>456</v>
      </c>
      <c r="DZ68" s="2" t="s">
        <v>1573</v>
      </c>
      <c r="EA68" s="2" t="s">
        <v>432</v>
      </c>
      <c r="EB68" s="2" t="s">
        <v>433</v>
      </c>
      <c r="EC68" s="2" t="s">
        <v>433</v>
      </c>
      <c r="ED68" s="2" t="s">
        <v>433</v>
      </c>
      <c r="EE68" s="2" t="s">
        <v>432</v>
      </c>
      <c r="EF68" s="2" t="s">
        <v>432</v>
      </c>
      <c r="EG68" s="2" t="s">
        <v>432</v>
      </c>
      <c r="EH68" s="2" t="s">
        <v>432</v>
      </c>
      <c r="EI68" s="2" t="s">
        <v>432</v>
      </c>
      <c r="EL68" s="2" t="s">
        <v>1574</v>
      </c>
      <c r="EM68" s="2" t="s">
        <v>432</v>
      </c>
      <c r="EN68" s="2" t="s">
        <v>433</v>
      </c>
      <c r="EO68" s="2" t="s">
        <v>433</v>
      </c>
      <c r="EP68" s="2" t="s">
        <v>432</v>
      </c>
      <c r="EQ68" s="2" t="s">
        <v>432</v>
      </c>
      <c r="ER68" s="2" t="s">
        <v>433</v>
      </c>
      <c r="ES68" s="2" t="s">
        <v>432</v>
      </c>
      <c r="ET68" s="2" t="s">
        <v>432</v>
      </c>
      <c r="EU68" s="2" t="s">
        <v>432</v>
      </c>
      <c r="EV68" s="2" t="s">
        <v>432</v>
      </c>
      <c r="EX68" s="2" t="s">
        <v>430</v>
      </c>
      <c r="EY68" s="2" t="s">
        <v>1575</v>
      </c>
      <c r="EZ68" s="2" t="s">
        <v>432</v>
      </c>
      <c r="FA68" s="2" t="s">
        <v>432</v>
      </c>
      <c r="FB68" s="2" t="s">
        <v>433</v>
      </c>
      <c r="FC68" s="2" t="s">
        <v>432</v>
      </c>
      <c r="FD68" s="2" t="s">
        <v>433</v>
      </c>
      <c r="FE68" s="2" t="s">
        <v>432</v>
      </c>
      <c r="FF68" s="2" t="s">
        <v>432</v>
      </c>
      <c r="FG68" s="2" t="s">
        <v>432</v>
      </c>
      <c r="FH68" s="2" t="s">
        <v>433</v>
      </c>
      <c r="FI68" s="2" t="s">
        <v>432</v>
      </c>
      <c r="FJ68" s="2" t="s">
        <v>432</v>
      </c>
      <c r="FK68" s="2" t="s">
        <v>432</v>
      </c>
      <c r="FL68" s="2" t="s">
        <v>432</v>
      </c>
      <c r="FM68" s="2" t="s">
        <v>432</v>
      </c>
      <c r="FO68" s="2" t="s">
        <v>601</v>
      </c>
      <c r="FP68" s="2" t="s">
        <v>601</v>
      </c>
      <c r="GA68" s="2" t="s">
        <v>602</v>
      </c>
      <c r="GB68" s="2" t="s">
        <v>602</v>
      </c>
      <c r="GC68" s="2" t="s">
        <v>1576</v>
      </c>
      <c r="GD68" s="2" t="s">
        <v>432</v>
      </c>
      <c r="GE68" s="2" t="s">
        <v>432</v>
      </c>
      <c r="GF68" s="2" t="s">
        <v>432</v>
      </c>
      <c r="GG68" s="2" t="s">
        <v>433</v>
      </c>
      <c r="GH68" s="2" t="s">
        <v>433</v>
      </c>
      <c r="GI68" s="2" t="s">
        <v>432</v>
      </c>
      <c r="GJ68" s="2" t="s">
        <v>432</v>
      </c>
      <c r="GK68" s="2" t="s">
        <v>432</v>
      </c>
      <c r="GL68" s="2" t="s">
        <v>432</v>
      </c>
      <c r="GN68" s="2" t="s">
        <v>481</v>
      </c>
      <c r="GO68" s="2" t="s">
        <v>601</v>
      </c>
      <c r="GP68" s="2" t="s">
        <v>1566</v>
      </c>
      <c r="GQ68" s="2" t="s">
        <v>433</v>
      </c>
      <c r="GR68" s="2" t="s">
        <v>433</v>
      </c>
      <c r="GS68" s="2" t="s">
        <v>432</v>
      </c>
      <c r="GT68" s="2" t="s">
        <v>432</v>
      </c>
      <c r="GU68" s="2" t="s">
        <v>432</v>
      </c>
      <c r="GV68" s="2" t="s">
        <v>433</v>
      </c>
      <c r="GW68" s="2" t="s">
        <v>432</v>
      </c>
      <c r="GX68" s="2" t="s">
        <v>432</v>
      </c>
      <c r="GZ68" s="2" t="s">
        <v>1577</v>
      </c>
      <c r="HA68" s="2" t="s">
        <v>433</v>
      </c>
      <c r="HB68" s="2" t="s">
        <v>433</v>
      </c>
      <c r="HC68" s="2" t="s">
        <v>432</v>
      </c>
      <c r="HD68" s="2" t="s">
        <v>433</v>
      </c>
      <c r="HE68" s="2" t="s">
        <v>432</v>
      </c>
      <c r="HF68" s="2" t="s">
        <v>432</v>
      </c>
      <c r="HI68" s="2" t="s">
        <v>442</v>
      </c>
      <c r="HJ68" s="2" t="s">
        <v>532</v>
      </c>
      <c r="HK68" s="2" t="s">
        <v>432</v>
      </c>
      <c r="HL68" s="2" t="s">
        <v>432</v>
      </c>
      <c r="HM68" s="2" t="s">
        <v>432</v>
      </c>
      <c r="HN68" s="2" t="s">
        <v>432</v>
      </c>
      <c r="HO68" s="2" t="s">
        <v>433</v>
      </c>
      <c r="HP68" s="2" t="s">
        <v>432</v>
      </c>
      <c r="HQ68" s="2" t="s">
        <v>432</v>
      </c>
      <c r="HR68" s="2" t="s">
        <v>432</v>
      </c>
      <c r="HS68" s="2" t="s">
        <v>432</v>
      </c>
      <c r="HT68" s="2" t="s">
        <v>432</v>
      </c>
      <c r="HV68" s="2" t="s">
        <v>430</v>
      </c>
      <c r="IN68" s="2" t="s">
        <v>736</v>
      </c>
      <c r="IO68" s="2" t="s">
        <v>1578</v>
      </c>
      <c r="IP68" s="2" t="s">
        <v>432</v>
      </c>
      <c r="IQ68" s="2" t="s">
        <v>433</v>
      </c>
      <c r="IR68" s="2" t="s">
        <v>433</v>
      </c>
      <c r="IS68" s="2" t="s">
        <v>432</v>
      </c>
      <c r="IT68" s="2" t="s">
        <v>433</v>
      </c>
      <c r="IU68" s="2" t="s">
        <v>433</v>
      </c>
      <c r="IV68" s="2" t="s">
        <v>432</v>
      </c>
      <c r="IW68" s="2" t="s">
        <v>433</v>
      </c>
      <c r="IX68" s="2" t="s">
        <v>432</v>
      </c>
      <c r="IY68" s="2" t="s">
        <v>432</v>
      </c>
      <c r="JA68" s="2" t="s">
        <v>1579</v>
      </c>
      <c r="JB68" s="2" t="s">
        <v>433</v>
      </c>
      <c r="JC68" s="2" t="s">
        <v>433</v>
      </c>
      <c r="JD68" s="2" t="s">
        <v>433</v>
      </c>
      <c r="JE68" s="2" t="s">
        <v>432</v>
      </c>
      <c r="JF68" s="2" t="s">
        <v>432</v>
      </c>
      <c r="JG68" s="2" t="s">
        <v>432</v>
      </c>
      <c r="JI68" s="2" t="s">
        <v>1409</v>
      </c>
      <c r="JJ68" s="2" t="s">
        <v>432</v>
      </c>
      <c r="JK68" s="2" t="s">
        <v>432</v>
      </c>
      <c r="JL68" s="2" t="s">
        <v>433</v>
      </c>
      <c r="JM68" s="2" t="s">
        <v>432</v>
      </c>
      <c r="JN68" s="2" t="s">
        <v>433</v>
      </c>
      <c r="JO68" s="2" t="s">
        <v>432</v>
      </c>
      <c r="JP68" s="2" t="s">
        <v>432</v>
      </c>
      <c r="JQ68" s="2" t="s">
        <v>432</v>
      </c>
      <c r="JR68" s="2" t="s">
        <v>432</v>
      </c>
      <c r="JT68" s="2" t="s">
        <v>1409</v>
      </c>
      <c r="JU68" s="2" t="s">
        <v>432</v>
      </c>
      <c r="JV68" s="2" t="s">
        <v>432</v>
      </c>
      <c r="JW68" s="2" t="s">
        <v>433</v>
      </c>
      <c r="JX68" s="2" t="s">
        <v>432</v>
      </c>
      <c r="JY68" s="2" t="s">
        <v>433</v>
      </c>
      <c r="JZ68" s="2" t="s">
        <v>432</v>
      </c>
      <c r="KA68" s="2" t="s">
        <v>432</v>
      </c>
      <c r="KB68" s="2" t="s">
        <v>432</v>
      </c>
      <c r="KC68" s="2" t="s">
        <v>432</v>
      </c>
      <c r="KF68" s="2" t="s">
        <v>456</v>
      </c>
      <c r="LB68" s="2" t="s">
        <v>456</v>
      </c>
      <c r="LP68" s="2" t="s">
        <v>430</v>
      </c>
      <c r="LS68" s="2">
        <v>172011408</v>
      </c>
      <c r="LT68" s="2" t="s">
        <v>1580</v>
      </c>
      <c r="LU68" s="2" t="s">
        <v>1581</v>
      </c>
      <c r="LW68" s="2" t="s">
        <v>460</v>
      </c>
      <c r="LX68" s="2" t="s">
        <v>461</v>
      </c>
      <c r="LY68" s="2" t="s">
        <v>462</v>
      </c>
      <c r="MA68" s="2">
        <v>73</v>
      </c>
    </row>
    <row r="69" spans="1:339" x14ac:dyDescent="0.3">
      <c r="A69" s="2" t="s">
        <v>1582</v>
      </c>
      <c r="B69" s="2" t="s">
        <v>1583</v>
      </c>
      <c r="C69" s="2" t="s">
        <v>1525</v>
      </c>
      <c r="F69" s="2" t="s">
        <v>422</v>
      </c>
      <c r="G69" s="2" t="s">
        <v>423</v>
      </c>
      <c r="H69" s="2" t="s">
        <v>423</v>
      </c>
      <c r="I69" s="2" t="s">
        <v>963</v>
      </c>
      <c r="R69" s="2" t="s">
        <v>523</v>
      </c>
      <c r="S69" s="2" t="s">
        <v>849</v>
      </c>
      <c r="T69" s="2" t="s">
        <v>426</v>
      </c>
      <c r="Z69" s="2" t="s">
        <v>428</v>
      </c>
      <c r="AA69" s="2" t="s">
        <v>429</v>
      </c>
      <c r="AB69" s="2" t="s">
        <v>423</v>
      </c>
      <c r="AG69" s="2" t="s">
        <v>456</v>
      </c>
      <c r="BQ69" s="2" t="s">
        <v>456</v>
      </c>
      <c r="DZ69" s="2" t="s">
        <v>821</v>
      </c>
      <c r="EA69" s="2" t="s">
        <v>432</v>
      </c>
      <c r="EB69" s="2" t="s">
        <v>433</v>
      </c>
      <c r="EC69" s="2" t="s">
        <v>433</v>
      </c>
      <c r="ED69" s="2" t="s">
        <v>433</v>
      </c>
      <c r="EE69" s="2" t="s">
        <v>432</v>
      </c>
      <c r="EF69" s="2" t="s">
        <v>432</v>
      </c>
      <c r="EG69" s="2" t="s">
        <v>432</v>
      </c>
      <c r="EH69" s="2" t="s">
        <v>432</v>
      </c>
      <c r="EI69" s="2" t="s">
        <v>432</v>
      </c>
      <c r="EL69" s="2" t="s">
        <v>1584</v>
      </c>
      <c r="EM69" s="2" t="s">
        <v>433</v>
      </c>
      <c r="EN69" s="2" t="s">
        <v>433</v>
      </c>
      <c r="EO69" s="2" t="s">
        <v>432</v>
      </c>
      <c r="EP69" s="2" t="s">
        <v>432</v>
      </c>
      <c r="EQ69" s="2" t="s">
        <v>432</v>
      </c>
      <c r="ER69" s="2" t="s">
        <v>433</v>
      </c>
      <c r="ES69" s="2" t="s">
        <v>432</v>
      </c>
      <c r="ET69" s="2" t="s">
        <v>432</v>
      </c>
      <c r="EU69" s="2" t="s">
        <v>432</v>
      </c>
      <c r="EV69" s="2" t="s">
        <v>432</v>
      </c>
      <c r="EX69" s="2" t="s">
        <v>430</v>
      </c>
      <c r="EY69" s="2" t="s">
        <v>1585</v>
      </c>
      <c r="EZ69" s="2" t="s">
        <v>433</v>
      </c>
      <c r="FA69" s="2" t="s">
        <v>432</v>
      </c>
      <c r="FB69" s="2" t="s">
        <v>433</v>
      </c>
      <c r="FC69" s="2" t="s">
        <v>432</v>
      </c>
      <c r="FD69" s="2" t="s">
        <v>433</v>
      </c>
      <c r="FE69" s="2" t="s">
        <v>432</v>
      </c>
      <c r="FF69" s="2" t="s">
        <v>432</v>
      </c>
      <c r="FG69" s="2" t="s">
        <v>432</v>
      </c>
      <c r="FH69" s="2" t="s">
        <v>432</v>
      </c>
      <c r="FI69" s="2" t="s">
        <v>432</v>
      </c>
      <c r="FJ69" s="2" t="s">
        <v>432</v>
      </c>
      <c r="FK69" s="2" t="s">
        <v>432</v>
      </c>
      <c r="FL69" s="2" t="s">
        <v>432</v>
      </c>
      <c r="FM69" s="2" t="s">
        <v>432</v>
      </c>
      <c r="FO69" s="2" t="s">
        <v>481</v>
      </c>
      <c r="FP69" s="2" t="s">
        <v>601</v>
      </c>
      <c r="GA69" s="2" t="s">
        <v>483</v>
      </c>
      <c r="GB69" s="2" t="s">
        <v>602</v>
      </c>
      <c r="GC69" s="2" t="s">
        <v>811</v>
      </c>
      <c r="GD69" s="2" t="s">
        <v>432</v>
      </c>
      <c r="GE69" s="2" t="s">
        <v>433</v>
      </c>
      <c r="GF69" s="2" t="s">
        <v>432</v>
      </c>
      <c r="GG69" s="2" t="s">
        <v>433</v>
      </c>
      <c r="GH69" s="2" t="s">
        <v>433</v>
      </c>
      <c r="GI69" s="2" t="s">
        <v>432</v>
      </c>
      <c r="GJ69" s="2" t="s">
        <v>432</v>
      </c>
      <c r="GK69" s="2" t="s">
        <v>432</v>
      </c>
      <c r="GL69" s="2" t="s">
        <v>432</v>
      </c>
      <c r="GN69" s="2" t="s">
        <v>601</v>
      </c>
      <c r="GO69" s="2" t="s">
        <v>601</v>
      </c>
      <c r="GP69" s="2" t="s">
        <v>837</v>
      </c>
      <c r="GQ69" s="2" t="s">
        <v>433</v>
      </c>
      <c r="GR69" s="2" t="s">
        <v>433</v>
      </c>
      <c r="GS69" s="2" t="s">
        <v>432</v>
      </c>
      <c r="GT69" s="2" t="s">
        <v>432</v>
      </c>
      <c r="GU69" s="2" t="s">
        <v>432</v>
      </c>
      <c r="GV69" s="2" t="s">
        <v>433</v>
      </c>
      <c r="GW69" s="2" t="s">
        <v>432</v>
      </c>
      <c r="GX69" s="2" t="s">
        <v>432</v>
      </c>
      <c r="GZ69" s="2" t="s">
        <v>734</v>
      </c>
      <c r="HA69" s="2" t="s">
        <v>433</v>
      </c>
      <c r="HB69" s="2" t="s">
        <v>433</v>
      </c>
      <c r="HC69" s="2" t="s">
        <v>432</v>
      </c>
      <c r="HD69" s="2" t="s">
        <v>433</v>
      </c>
      <c r="HE69" s="2" t="s">
        <v>432</v>
      </c>
      <c r="HF69" s="2" t="s">
        <v>432</v>
      </c>
      <c r="HI69" s="2" t="s">
        <v>508</v>
      </c>
      <c r="HJ69" s="2" t="s">
        <v>532</v>
      </c>
      <c r="HK69" s="2" t="s">
        <v>432</v>
      </c>
      <c r="HL69" s="2" t="s">
        <v>432</v>
      </c>
      <c r="HM69" s="2" t="s">
        <v>432</v>
      </c>
      <c r="HN69" s="2" t="s">
        <v>432</v>
      </c>
      <c r="HO69" s="2" t="s">
        <v>433</v>
      </c>
      <c r="HP69" s="2" t="s">
        <v>432</v>
      </c>
      <c r="HQ69" s="2" t="s">
        <v>432</v>
      </c>
      <c r="HR69" s="2" t="s">
        <v>432</v>
      </c>
      <c r="HS69" s="2" t="s">
        <v>432</v>
      </c>
      <c r="HT69" s="2" t="s">
        <v>432</v>
      </c>
      <c r="HV69" s="2" t="s">
        <v>430</v>
      </c>
      <c r="IN69" s="2" t="s">
        <v>1356</v>
      </c>
      <c r="IO69" s="2" t="s">
        <v>1399</v>
      </c>
      <c r="IP69" s="2" t="s">
        <v>432</v>
      </c>
      <c r="IQ69" s="2" t="s">
        <v>432</v>
      </c>
      <c r="IR69" s="2" t="s">
        <v>432</v>
      </c>
      <c r="IS69" s="2" t="s">
        <v>433</v>
      </c>
      <c r="IT69" s="2" t="s">
        <v>432</v>
      </c>
      <c r="IU69" s="2" t="s">
        <v>432</v>
      </c>
      <c r="IV69" s="2" t="s">
        <v>432</v>
      </c>
      <c r="IW69" s="2" t="s">
        <v>433</v>
      </c>
      <c r="IX69" s="2" t="s">
        <v>432</v>
      </c>
      <c r="IY69" s="2" t="s">
        <v>432</v>
      </c>
      <c r="JA69" s="2" t="s">
        <v>738</v>
      </c>
      <c r="JB69" s="2" t="s">
        <v>432</v>
      </c>
      <c r="JC69" s="2" t="s">
        <v>433</v>
      </c>
      <c r="JD69" s="2" t="s">
        <v>433</v>
      </c>
      <c r="JE69" s="2" t="s">
        <v>432</v>
      </c>
      <c r="JF69" s="2" t="s">
        <v>432</v>
      </c>
      <c r="JG69" s="2" t="s">
        <v>432</v>
      </c>
      <c r="JT69" s="2" t="s">
        <v>516</v>
      </c>
      <c r="JU69" s="2" t="s">
        <v>433</v>
      </c>
      <c r="JV69" s="2" t="s">
        <v>432</v>
      </c>
      <c r="JW69" s="2" t="s">
        <v>433</v>
      </c>
      <c r="JX69" s="2" t="s">
        <v>432</v>
      </c>
      <c r="JY69" s="2" t="s">
        <v>433</v>
      </c>
      <c r="JZ69" s="2" t="s">
        <v>432</v>
      </c>
      <c r="KA69" s="2" t="s">
        <v>432</v>
      </c>
      <c r="KB69" s="2" t="s">
        <v>432</v>
      </c>
      <c r="KC69" s="2" t="s">
        <v>432</v>
      </c>
      <c r="KF69" s="2" t="s">
        <v>456</v>
      </c>
      <c r="LB69" s="2" t="s">
        <v>456</v>
      </c>
      <c r="LP69" s="2" t="s">
        <v>430</v>
      </c>
      <c r="LS69" s="2">
        <v>172011410</v>
      </c>
      <c r="LT69" s="2" t="s">
        <v>1586</v>
      </c>
      <c r="LU69" s="2" t="s">
        <v>1587</v>
      </c>
      <c r="LW69" s="2" t="s">
        <v>460</v>
      </c>
      <c r="LX69" s="2" t="s">
        <v>461</v>
      </c>
      <c r="LY69" s="2" t="s">
        <v>462</v>
      </c>
      <c r="MA69" s="2">
        <v>74</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MM69"/>
  <sheetViews>
    <sheetView zoomScale="90" zoomScaleNormal="90" workbookViewId="0">
      <pane xSplit="3" ySplit="1" topLeftCell="KG2" activePane="bottomRight" state="frozen"/>
      <selection pane="topRight" activeCell="D1" sqref="D1"/>
      <selection pane="bottomLeft" activeCell="A2" sqref="A2"/>
      <selection pane="bottomRight" activeCell="KV2" sqref="KV2"/>
    </sheetView>
  </sheetViews>
  <sheetFormatPr baseColWidth="10" defaultColWidth="9.21875" defaultRowHeight="14.4" x14ac:dyDescent="0.3"/>
  <cols>
    <col min="1" max="1" width="8.109375" style="26" customWidth="1"/>
    <col min="2" max="2" width="12" style="26" customWidth="1"/>
    <col min="3" max="3" width="11.77734375" style="26" customWidth="1"/>
    <col min="4" max="4" width="19.44140625" style="14" customWidth="1"/>
    <col min="5" max="5" width="21.109375" style="14" customWidth="1"/>
    <col min="6" max="7" width="17.21875" style="29" bestFit="1" customWidth="1"/>
    <col min="8" max="8" width="23.77734375" style="29" customWidth="1"/>
    <col min="9" max="10" width="15.33203125" style="29" customWidth="1"/>
    <col min="11" max="11" width="26.88671875" style="29" bestFit="1" customWidth="1"/>
    <col min="12" max="12" width="30.44140625" style="29" bestFit="1" customWidth="1"/>
    <col min="13" max="13" width="15" style="14" customWidth="1"/>
    <col min="14" max="14" width="9.21875" style="14"/>
    <col min="15" max="15" width="16.33203125" style="14" customWidth="1"/>
    <col min="16" max="16" width="16.33203125" style="29" hidden="1" customWidth="1"/>
    <col min="17" max="17" width="16.33203125" style="29" customWidth="1"/>
    <col min="18" max="18" width="9.21875" style="14"/>
    <col min="19" max="19" width="9.21875" style="15"/>
    <col min="20" max="20" width="11.5546875" style="15" customWidth="1"/>
    <col min="21" max="21" width="16.77734375" style="15" customWidth="1"/>
    <col min="22" max="22" width="39.44140625" style="15" customWidth="1"/>
    <col min="23" max="28" width="9.21875" style="15"/>
    <col min="29" max="29" width="17.88671875" style="15" customWidth="1"/>
    <col min="30" max="31" width="9.21875" style="15"/>
    <col min="32" max="32" width="18.77734375" style="15" customWidth="1"/>
    <col min="33" max="33" width="30.6640625" style="15" customWidth="1"/>
    <col min="34" max="34" width="25" style="15" bestFit="1" customWidth="1"/>
    <col min="35" max="35" width="29.33203125" style="15" customWidth="1"/>
    <col min="36" max="36" width="21" style="15" bestFit="1" customWidth="1"/>
    <col min="37" max="37" width="20.33203125" style="15" bestFit="1" customWidth="1"/>
    <col min="38" max="60" width="9.21875" style="15"/>
    <col min="61" max="61" width="32.33203125" style="15" bestFit="1" customWidth="1"/>
    <col min="62" max="78" width="9.21875" style="15"/>
    <col min="79" max="79" width="15.77734375" style="15" bestFit="1" customWidth="1"/>
    <col min="80" max="97" width="9.21875" style="15"/>
    <col min="98" max="98" width="34.6640625" style="15" bestFit="1" customWidth="1"/>
    <col min="99" max="128" width="9.21875" style="15"/>
    <col min="129" max="129" width="26.5546875" style="15" bestFit="1" customWidth="1"/>
    <col min="130" max="139" width="9.21875" style="15"/>
    <col min="140" max="140" width="26.77734375" style="15" bestFit="1" customWidth="1"/>
    <col min="141" max="141" width="9.21875" style="15"/>
    <col min="142" max="142" width="53.44140625" style="15" customWidth="1"/>
    <col min="143" max="151" width="9.21875" style="15"/>
    <col min="152" max="152" width="20.5546875" style="15" customWidth="1"/>
    <col min="153" max="164" width="9.21875" style="15"/>
    <col min="165" max="165" width="31.109375" style="15" bestFit="1" customWidth="1"/>
    <col min="166" max="181" width="9.21875" style="15"/>
    <col min="182" max="182" width="28.5546875" style="15" bestFit="1" customWidth="1"/>
    <col min="183" max="183" width="24.21875" style="15" bestFit="1" customWidth="1"/>
    <col min="184" max="184" width="17.6640625" style="15" customWidth="1"/>
    <col min="185" max="193" width="9.21875" style="15"/>
    <col min="194" max="194" width="32.77734375" style="15" bestFit="1" customWidth="1"/>
    <col min="195" max="204" width="9.21875" style="15"/>
    <col min="205" max="205" width="15.21875" style="15" customWidth="1"/>
    <col min="206" max="206" width="9.21875" style="15"/>
    <col min="207" max="207" width="28.21875" style="15" bestFit="1" customWidth="1"/>
    <col min="208" max="226" width="9.21875" style="15"/>
    <col min="227" max="227" width="58.33203125" style="15" customWidth="1"/>
    <col min="228" max="228" width="9.21875" style="15"/>
    <col min="229" max="229" width="22.33203125" style="15" customWidth="1"/>
    <col min="230" max="243" width="9.21875" style="15"/>
    <col min="244" max="244" width="13.77734375" style="15" customWidth="1"/>
    <col min="245" max="260" width="9.21875" style="15"/>
    <col min="261" max="261" width="15.6640625" style="15" customWidth="1"/>
    <col min="262" max="272" width="9.21875" style="15"/>
    <col min="273" max="273" width="36.6640625" style="15" bestFit="1" customWidth="1"/>
    <col min="274" max="279" width="9.21875" style="15"/>
    <col min="280" max="280" width="24.88671875" style="15" customWidth="1"/>
    <col min="281" max="281" width="39.33203125" style="15" customWidth="1"/>
    <col min="282" max="290" width="9.21875" style="15"/>
    <col min="291" max="291" width="24.21875" style="15" bestFit="1" customWidth="1"/>
    <col min="292" max="292" width="52.77734375" style="15" bestFit="1" customWidth="1"/>
    <col min="293" max="299" width="9.21875" style="15"/>
    <col min="300" max="300" width="20.33203125" style="15" bestFit="1" customWidth="1"/>
    <col min="301" max="301" width="9.21875" style="15"/>
    <col min="302" max="302" width="31.5546875" style="15" bestFit="1" customWidth="1"/>
    <col min="303" max="316" width="9.21875" style="15"/>
    <col min="317" max="317" width="30.44140625" style="15" bestFit="1" customWidth="1"/>
    <col min="318" max="324" width="9.21875" style="15"/>
    <col min="325" max="325" width="40.33203125" style="15" bestFit="1" customWidth="1"/>
    <col min="326" max="341" width="9.21875" style="15"/>
    <col min="342" max="342" width="100.77734375" style="15" customWidth="1"/>
    <col min="343" max="16384" width="9.21875" style="15"/>
  </cols>
  <sheetData>
    <row r="1" spans="1:351" s="27" customFormat="1" x14ac:dyDescent="0.3">
      <c r="A1" s="27" t="s">
        <v>1167</v>
      </c>
      <c r="B1" s="27" t="s">
        <v>1168</v>
      </c>
      <c r="C1" s="27" t="s">
        <v>1169</v>
      </c>
      <c r="D1" s="27" t="s">
        <v>81</v>
      </c>
      <c r="E1" s="27" t="s">
        <v>80</v>
      </c>
      <c r="F1" s="28" t="s">
        <v>1170</v>
      </c>
      <c r="G1" s="28" t="s">
        <v>1171</v>
      </c>
      <c r="H1" s="28" t="s">
        <v>1172</v>
      </c>
      <c r="I1" s="28" t="s">
        <v>1603</v>
      </c>
      <c r="J1" s="28" t="s">
        <v>1604</v>
      </c>
      <c r="K1" s="28" t="s">
        <v>1620</v>
      </c>
      <c r="L1" s="28" t="s">
        <v>1621</v>
      </c>
      <c r="M1" s="27" t="s">
        <v>83</v>
      </c>
      <c r="N1" s="27" t="s">
        <v>84</v>
      </c>
      <c r="O1" s="27" t="s">
        <v>85</v>
      </c>
      <c r="P1" s="28" t="s">
        <v>1660</v>
      </c>
      <c r="Q1" s="28" t="s">
        <v>1661</v>
      </c>
      <c r="R1" s="27" t="s">
        <v>86</v>
      </c>
      <c r="S1" s="27" t="s">
        <v>87</v>
      </c>
      <c r="T1" s="27" t="s">
        <v>88</v>
      </c>
      <c r="U1" s="27" t="s">
        <v>89</v>
      </c>
      <c r="V1" s="27" t="s">
        <v>90</v>
      </c>
      <c r="W1" s="27" t="s">
        <v>91</v>
      </c>
      <c r="X1" s="27" t="s">
        <v>92</v>
      </c>
      <c r="Y1" s="27" t="s">
        <v>93</v>
      </c>
      <c r="Z1" s="27" t="s">
        <v>94</v>
      </c>
      <c r="AA1" s="27" t="s">
        <v>95</v>
      </c>
      <c r="AB1" s="27" t="s">
        <v>96</v>
      </c>
      <c r="AC1" s="27" t="s">
        <v>97</v>
      </c>
      <c r="AD1" s="27" t="s">
        <v>98</v>
      </c>
      <c r="AE1" s="27" t="s">
        <v>99</v>
      </c>
      <c r="AF1" s="27" t="s">
        <v>100</v>
      </c>
      <c r="AG1" s="27" t="s">
        <v>101</v>
      </c>
      <c r="AH1" s="27" t="s">
        <v>102</v>
      </c>
      <c r="AI1" s="27" t="s">
        <v>103</v>
      </c>
      <c r="AJ1" s="27" t="s">
        <v>104</v>
      </c>
      <c r="AK1" s="27" t="s">
        <v>105</v>
      </c>
      <c r="AL1" s="27" t="s">
        <v>106</v>
      </c>
      <c r="AM1" s="27" t="s">
        <v>107</v>
      </c>
      <c r="AN1" s="27" t="s">
        <v>108</v>
      </c>
      <c r="AO1" s="27" t="s">
        <v>109</v>
      </c>
      <c r="AP1" s="27" t="s">
        <v>110</v>
      </c>
      <c r="AQ1" s="27" t="s">
        <v>111</v>
      </c>
      <c r="AR1" s="27" t="s">
        <v>112</v>
      </c>
      <c r="AS1" s="27" t="s">
        <v>113</v>
      </c>
      <c r="AT1" s="27" t="s">
        <v>114</v>
      </c>
      <c r="AU1" s="27" t="s">
        <v>115</v>
      </c>
      <c r="AV1" s="27" t="s">
        <v>116</v>
      </c>
      <c r="AW1" s="27" t="s">
        <v>117</v>
      </c>
      <c r="AX1" s="27" t="s">
        <v>118</v>
      </c>
      <c r="AY1" s="27" t="s">
        <v>119</v>
      </c>
      <c r="AZ1" s="27" t="s">
        <v>120</v>
      </c>
      <c r="BA1" s="27" t="s">
        <v>121</v>
      </c>
      <c r="BB1" s="27" t="s">
        <v>122</v>
      </c>
      <c r="BC1" s="27" t="s">
        <v>123</v>
      </c>
      <c r="BD1" s="27" t="s">
        <v>124</v>
      </c>
      <c r="BE1" s="27" t="s">
        <v>125</v>
      </c>
      <c r="BF1" s="27" t="s">
        <v>126</v>
      </c>
      <c r="BG1" s="27" t="s">
        <v>127</v>
      </c>
      <c r="BH1" s="27" t="s">
        <v>128</v>
      </c>
      <c r="BI1" s="27" t="s">
        <v>129</v>
      </c>
      <c r="BJ1" s="27" t="s">
        <v>130</v>
      </c>
      <c r="BK1" s="27" t="s">
        <v>131</v>
      </c>
      <c r="BL1" s="27" t="s">
        <v>132</v>
      </c>
      <c r="BM1" s="27" t="s">
        <v>133</v>
      </c>
      <c r="BN1" s="27" t="s">
        <v>134</v>
      </c>
      <c r="BO1" s="27" t="s">
        <v>135</v>
      </c>
      <c r="BP1" s="27" t="s">
        <v>136</v>
      </c>
      <c r="BQ1" s="27" t="s">
        <v>137</v>
      </c>
      <c r="BR1" s="27" t="s">
        <v>138</v>
      </c>
      <c r="BS1" s="27" t="s">
        <v>139</v>
      </c>
      <c r="BT1" s="27" t="s">
        <v>140</v>
      </c>
      <c r="BU1" s="27" t="s">
        <v>141</v>
      </c>
      <c r="BV1" s="27" t="s">
        <v>142</v>
      </c>
      <c r="BW1" s="27" t="s">
        <v>143</v>
      </c>
      <c r="BX1" s="27" t="s">
        <v>144</v>
      </c>
      <c r="BY1" s="27" t="s">
        <v>145</v>
      </c>
      <c r="BZ1" s="27" t="s">
        <v>146</v>
      </c>
      <c r="CA1" s="27" t="s">
        <v>147</v>
      </c>
      <c r="CB1" s="27" t="s">
        <v>148</v>
      </c>
      <c r="CC1" s="27" t="s">
        <v>149</v>
      </c>
      <c r="CD1" s="27" t="s">
        <v>150</v>
      </c>
      <c r="CE1" s="27" t="s">
        <v>151</v>
      </c>
      <c r="CF1" s="27" t="s">
        <v>152</v>
      </c>
      <c r="CG1" s="27" t="s">
        <v>153</v>
      </c>
      <c r="CH1" s="27" t="s">
        <v>154</v>
      </c>
      <c r="CI1" s="27" t="s">
        <v>155</v>
      </c>
      <c r="CJ1" s="27" t="s">
        <v>156</v>
      </c>
      <c r="CK1" s="27" t="s">
        <v>157</v>
      </c>
      <c r="CL1" s="27" t="s">
        <v>158</v>
      </c>
      <c r="CM1" s="27" t="s">
        <v>159</v>
      </c>
      <c r="CN1" s="27" t="s">
        <v>160</v>
      </c>
      <c r="CO1" s="27" t="s">
        <v>161</v>
      </c>
      <c r="CP1" s="27" t="s">
        <v>162</v>
      </c>
      <c r="CQ1" s="27" t="s">
        <v>163</v>
      </c>
      <c r="CR1" s="27" t="s">
        <v>164</v>
      </c>
      <c r="CS1" s="27" t="s">
        <v>165</v>
      </c>
      <c r="CT1" s="27" t="s">
        <v>166</v>
      </c>
      <c r="CU1" s="27" t="s">
        <v>167</v>
      </c>
      <c r="CV1" s="27" t="s">
        <v>168</v>
      </c>
      <c r="CW1" s="27" t="s">
        <v>169</v>
      </c>
      <c r="CX1" s="27" t="s">
        <v>170</v>
      </c>
      <c r="CY1" s="27" t="s">
        <v>171</v>
      </c>
      <c r="CZ1" s="27" t="s">
        <v>172</v>
      </c>
      <c r="DA1" s="27" t="s">
        <v>173</v>
      </c>
      <c r="DB1" s="27" t="s">
        <v>174</v>
      </c>
      <c r="DC1" s="27" t="s">
        <v>175</v>
      </c>
      <c r="DD1" s="27" t="s">
        <v>176</v>
      </c>
      <c r="DE1" s="27" t="s">
        <v>177</v>
      </c>
      <c r="DF1" s="27" t="s">
        <v>178</v>
      </c>
      <c r="DG1" s="27" t="s">
        <v>179</v>
      </c>
      <c r="DH1" s="27" t="s">
        <v>180</v>
      </c>
      <c r="DI1" s="27" t="s">
        <v>181</v>
      </c>
      <c r="DJ1" s="27" t="s">
        <v>182</v>
      </c>
      <c r="DK1" s="27" t="s">
        <v>183</v>
      </c>
      <c r="DL1" s="27" t="s">
        <v>184</v>
      </c>
      <c r="DM1" s="27" t="s">
        <v>185</v>
      </c>
      <c r="DN1" s="27" t="s">
        <v>186</v>
      </c>
      <c r="DO1" s="27" t="s">
        <v>187</v>
      </c>
      <c r="DP1" s="27" t="s">
        <v>188</v>
      </c>
      <c r="DQ1" s="27" t="s">
        <v>189</v>
      </c>
      <c r="DR1" s="27" t="s">
        <v>190</v>
      </c>
      <c r="DS1" s="27" t="s">
        <v>191</v>
      </c>
      <c r="DT1" s="27" t="s">
        <v>192</v>
      </c>
      <c r="DU1" s="27" t="s">
        <v>193</v>
      </c>
      <c r="DV1" s="27" t="s">
        <v>194</v>
      </c>
      <c r="DW1" s="27" t="s">
        <v>195</v>
      </c>
      <c r="DX1" s="27" t="s">
        <v>196</v>
      </c>
      <c r="DY1" s="27" t="s">
        <v>197</v>
      </c>
      <c r="DZ1" s="27" t="s">
        <v>198</v>
      </c>
      <c r="EA1" s="27" t="s">
        <v>199</v>
      </c>
      <c r="EB1" s="27" t="s">
        <v>200</v>
      </c>
      <c r="EC1" s="27" t="s">
        <v>201</v>
      </c>
      <c r="ED1" s="27" t="s">
        <v>202</v>
      </c>
      <c r="EE1" s="27" t="s">
        <v>203</v>
      </c>
      <c r="EF1" s="27" t="s">
        <v>204</v>
      </c>
      <c r="EG1" s="27" t="s">
        <v>205</v>
      </c>
      <c r="EH1" s="27" t="s">
        <v>206</v>
      </c>
      <c r="EI1" s="27" t="s">
        <v>207</v>
      </c>
      <c r="EJ1" s="27" t="s">
        <v>208</v>
      </c>
      <c r="EK1" s="27" t="s">
        <v>209</v>
      </c>
      <c r="EL1" s="27" t="s">
        <v>210</v>
      </c>
      <c r="EM1" s="27" t="s">
        <v>211</v>
      </c>
      <c r="EN1" s="27" t="s">
        <v>212</v>
      </c>
      <c r="EO1" s="27" t="s">
        <v>213</v>
      </c>
      <c r="EP1" s="27" t="s">
        <v>214</v>
      </c>
      <c r="EQ1" s="27" t="s">
        <v>215</v>
      </c>
      <c r="ER1" s="27" t="s">
        <v>216</v>
      </c>
      <c r="ES1" s="27" t="s">
        <v>217</v>
      </c>
      <c r="ET1" s="27" t="s">
        <v>218</v>
      </c>
      <c r="EU1" s="27" t="s">
        <v>219</v>
      </c>
      <c r="EV1" s="27" t="s">
        <v>220</v>
      </c>
      <c r="EW1" s="27" t="s">
        <v>221</v>
      </c>
      <c r="EX1" s="27" t="s">
        <v>222</v>
      </c>
      <c r="EY1" s="27" t="s">
        <v>223</v>
      </c>
      <c r="EZ1" s="27" t="s">
        <v>224</v>
      </c>
      <c r="FA1" s="27" t="s">
        <v>225</v>
      </c>
      <c r="FB1" s="27" t="s">
        <v>226</v>
      </c>
      <c r="FC1" s="27" t="s">
        <v>227</v>
      </c>
      <c r="FD1" s="27" t="s">
        <v>228</v>
      </c>
      <c r="FE1" s="27" t="s">
        <v>229</v>
      </c>
      <c r="FF1" s="27" t="s">
        <v>230</v>
      </c>
      <c r="FG1" s="27" t="s">
        <v>231</v>
      </c>
      <c r="FH1" s="27" t="s">
        <v>232</v>
      </c>
      <c r="FI1" s="27" t="s">
        <v>233</v>
      </c>
      <c r="FJ1" s="27" t="s">
        <v>234</v>
      </c>
      <c r="FK1" s="27" t="s">
        <v>235</v>
      </c>
      <c r="FL1" s="27" t="s">
        <v>236</v>
      </c>
      <c r="FM1" s="27" t="s">
        <v>237</v>
      </c>
      <c r="FN1" s="27" t="s">
        <v>238</v>
      </c>
      <c r="FO1" s="27" t="s">
        <v>239</v>
      </c>
      <c r="FP1" s="27" t="s">
        <v>240</v>
      </c>
      <c r="FQ1" s="27" t="s">
        <v>241</v>
      </c>
      <c r="FR1" s="27" t="s">
        <v>242</v>
      </c>
      <c r="FS1" s="27" t="s">
        <v>243</v>
      </c>
      <c r="FT1" s="27" t="s">
        <v>244</v>
      </c>
      <c r="FU1" s="27" t="s">
        <v>245</v>
      </c>
      <c r="FV1" s="27" t="s">
        <v>246</v>
      </c>
      <c r="FW1" s="27" t="s">
        <v>247</v>
      </c>
      <c r="FX1" s="27" t="s">
        <v>248</v>
      </c>
      <c r="FY1" s="27" t="s">
        <v>249</v>
      </c>
      <c r="FZ1" s="27" t="s">
        <v>250</v>
      </c>
      <c r="GA1" s="27" t="s">
        <v>251</v>
      </c>
      <c r="GB1" s="27" t="s">
        <v>252</v>
      </c>
      <c r="GC1" s="27" t="s">
        <v>253</v>
      </c>
      <c r="GD1" s="27" t="s">
        <v>254</v>
      </c>
      <c r="GE1" s="27" t="s">
        <v>255</v>
      </c>
      <c r="GF1" s="27" t="s">
        <v>256</v>
      </c>
      <c r="GG1" s="27" t="s">
        <v>257</v>
      </c>
      <c r="GH1" s="27" t="s">
        <v>258</v>
      </c>
      <c r="GI1" s="27" t="s">
        <v>259</v>
      </c>
      <c r="GJ1" s="27" t="s">
        <v>260</v>
      </c>
      <c r="GK1" s="27" t="s">
        <v>261</v>
      </c>
      <c r="GL1" s="27" t="s">
        <v>262</v>
      </c>
      <c r="GM1" s="27" t="s">
        <v>263</v>
      </c>
      <c r="GN1" s="27" t="s">
        <v>264</v>
      </c>
      <c r="GO1" s="27" t="s">
        <v>265</v>
      </c>
      <c r="GP1" s="27" t="s">
        <v>266</v>
      </c>
      <c r="GQ1" s="27" t="s">
        <v>267</v>
      </c>
      <c r="GR1" s="27" t="s">
        <v>268</v>
      </c>
      <c r="GS1" s="27" t="s">
        <v>269</v>
      </c>
      <c r="GT1" s="27" t="s">
        <v>270</v>
      </c>
      <c r="GU1" s="27" t="s">
        <v>271</v>
      </c>
      <c r="GV1" s="27" t="s">
        <v>272</v>
      </c>
      <c r="GW1" s="27" t="s">
        <v>273</v>
      </c>
      <c r="GX1" s="27" t="s">
        <v>274</v>
      </c>
      <c r="GY1" s="27" t="s">
        <v>275</v>
      </c>
      <c r="GZ1" s="27" t="s">
        <v>276</v>
      </c>
      <c r="HA1" s="27" t="s">
        <v>277</v>
      </c>
      <c r="HB1" s="27" t="s">
        <v>278</v>
      </c>
      <c r="HC1" s="27" t="s">
        <v>279</v>
      </c>
      <c r="HD1" s="27" t="s">
        <v>280</v>
      </c>
      <c r="HE1" s="27" t="s">
        <v>281</v>
      </c>
      <c r="HF1" s="27" t="s">
        <v>282</v>
      </c>
      <c r="HG1" s="27" t="s">
        <v>283</v>
      </c>
      <c r="HH1" s="27" t="s">
        <v>284</v>
      </c>
      <c r="HI1" s="27" t="s">
        <v>285</v>
      </c>
      <c r="HJ1" s="27" t="s">
        <v>286</v>
      </c>
      <c r="HK1" s="27" t="s">
        <v>287</v>
      </c>
      <c r="HL1" s="27" t="s">
        <v>288</v>
      </c>
      <c r="HM1" s="27" t="s">
        <v>289</v>
      </c>
      <c r="HN1" s="27" t="s">
        <v>290</v>
      </c>
      <c r="HO1" s="27" t="s">
        <v>291</v>
      </c>
      <c r="HP1" s="27" t="s">
        <v>292</v>
      </c>
      <c r="HQ1" s="27" t="s">
        <v>293</v>
      </c>
      <c r="HR1" s="27" t="s">
        <v>294</v>
      </c>
      <c r="HS1" s="27" t="s">
        <v>295</v>
      </c>
      <c r="HT1" s="27" t="s">
        <v>296</v>
      </c>
      <c r="HU1" s="27" t="s">
        <v>297</v>
      </c>
      <c r="HV1" s="27" t="s">
        <v>298</v>
      </c>
      <c r="HW1" s="27" t="s">
        <v>299</v>
      </c>
      <c r="HX1" s="27" t="s">
        <v>300</v>
      </c>
      <c r="HY1" s="27" t="s">
        <v>301</v>
      </c>
      <c r="HZ1" s="27" t="s">
        <v>302</v>
      </c>
      <c r="IA1" s="27" t="s">
        <v>303</v>
      </c>
      <c r="IB1" s="27" t="s">
        <v>304</v>
      </c>
      <c r="IC1" s="27" t="s">
        <v>305</v>
      </c>
      <c r="ID1" s="27" t="s">
        <v>306</v>
      </c>
      <c r="IE1" s="27" t="s">
        <v>307</v>
      </c>
      <c r="IF1" s="27" t="s">
        <v>308</v>
      </c>
      <c r="IG1" s="27" t="s">
        <v>309</v>
      </c>
      <c r="IH1" s="27" t="s">
        <v>310</v>
      </c>
      <c r="II1" s="27" t="s">
        <v>311</v>
      </c>
      <c r="IJ1" s="27" t="s">
        <v>312</v>
      </c>
      <c r="IK1" s="27" t="s">
        <v>313</v>
      </c>
      <c r="IL1" s="27" t="s">
        <v>314</v>
      </c>
      <c r="IM1" s="27" t="s">
        <v>315</v>
      </c>
      <c r="IN1" s="27" t="s">
        <v>316</v>
      </c>
      <c r="IO1" s="27" t="s">
        <v>317</v>
      </c>
      <c r="IP1" s="27" t="s">
        <v>318</v>
      </c>
      <c r="IQ1" s="27" t="s">
        <v>319</v>
      </c>
      <c r="IR1" s="27" t="s">
        <v>320</v>
      </c>
      <c r="IS1" s="27" t="s">
        <v>321</v>
      </c>
      <c r="IT1" s="27" t="s">
        <v>322</v>
      </c>
      <c r="IU1" s="27" t="s">
        <v>323</v>
      </c>
      <c r="IV1" s="27" t="s">
        <v>324</v>
      </c>
      <c r="IW1" s="27" t="s">
        <v>325</v>
      </c>
      <c r="IX1" s="27" t="s">
        <v>326</v>
      </c>
      <c r="IY1" s="27" t="s">
        <v>327</v>
      </c>
      <c r="IZ1" s="27" t="s">
        <v>328</v>
      </c>
      <c r="JA1" s="27" t="s">
        <v>329</v>
      </c>
      <c r="JB1" s="27" t="s">
        <v>330</v>
      </c>
      <c r="JC1" s="27" t="s">
        <v>331</v>
      </c>
      <c r="JD1" s="27" t="s">
        <v>332</v>
      </c>
      <c r="JE1" s="27" t="s">
        <v>333</v>
      </c>
      <c r="JF1" s="27" t="s">
        <v>334</v>
      </c>
      <c r="JG1" s="27" t="s">
        <v>335</v>
      </c>
      <c r="JH1" s="27" t="s">
        <v>336</v>
      </c>
      <c r="JI1" s="27" t="s">
        <v>337</v>
      </c>
      <c r="JJ1" s="27" t="s">
        <v>338</v>
      </c>
      <c r="JK1" s="27" t="s">
        <v>339</v>
      </c>
      <c r="JL1" s="27" t="s">
        <v>340</v>
      </c>
      <c r="JM1" s="27" t="s">
        <v>341</v>
      </c>
      <c r="JN1" s="27" t="s">
        <v>342</v>
      </c>
      <c r="JO1" s="27" t="s">
        <v>343</v>
      </c>
      <c r="JP1" s="27" t="s">
        <v>344</v>
      </c>
      <c r="JQ1" s="27" t="s">
        <v>345</v>
      </c>
      <c r="JR1" s="27" t="s">
        <v>346</v>
      </c>
      <c r="JS1" s="27" t="s">
        <v>347</v>
      </c>
      <c r="JT1" s="27" t="s">
        <v>348</v>
      </c>
      <c r="JU1" s="27" t="s">
        <v>349</v>
      </c>
      <c r="JV1" s="27" t="s">
        <v>350</v>
      </c>
      <c r="JW1" s="27" t="s">
        <v>351</v>
      </c>
      <c r="JX1" s="27" t="s">
        <v>352</v>
      </c>
      <c r="JY1" s="27" t="s">
        <v>353</v>
      </c>
      <c r="JZ1" s="27" t="s">
        <v>354</v>
      </c>
      <c r="KA1" s="27" t="s">
        <v>355</v>
      </c>
      <c r="KB1" s="27" t="s">
        <v>356</v>
      </c>
      <c r="KC1" s="27" t="s">
        <v>357</v>
      </c>
      <c r="KD1" s="27" t="s">
        <v>358</v>
      </c>
      <c r="KE1" s="27" t="s">
        <v>359</v>
      </c>
      <c r="KF1" s="27" t="s">
        <v>360</v>
      </c>
      <c r="KG1" s="27" t="s">
        <v>361</v>
      </c>
      <c r="KH1" s="27" t="s">
        <v>362</v>
      </c>
      <c r="KI1" s="27" t="s">
        <v>363</v>
      </c>
      <c r="KJ1" s="27" t="s">
        <v>364</v>
      </c>
      <c r="KK1" s="27" t="s">
        <v>365</v>
      </c>
      <c r="KL1" s="27" t="s">
        <v>366</v>
      </c>
      <c r="KM1" s="27" t="s">
        <v>367</v>
      </c>
      <c r="KN1" s="27" t="s">
        <v>368</v>
      </c>
      <c r="KO1" s="27" t="s">
        <v>369</v>
      </c>
      <c r="KP1" s="27" t="s">
        <v>370</v>
      </c>
      <c r="KQ1" s="27" t="s">
        <v>371</v>
      </c>
      <c r="KR1" s="27" t="s">
        <v>372</v>
      </c>
      <c r="KS1" s="27" t="s">
        <v>373</v>
      </c>
      <c r="KT1" s="27" t="s">
        <v>374</v>
      </c>
      <c r="KU1" s="27" t="s">
        <v>375</v>
      </c>
      <c r="KV1" s="27" t="s">
        <v>1663</v>
      </c>
      <c r="KW1" s="27" t="s">
        <v>377</v>
      </c>
      <c r="KX1" s="27" t="s">
        <v>378</v>
      </c>
      <c r="KY1" s="27" t="s">
        <v>379</v>
      </c>
      <c r="KZ1" s="27" t="s">
        <v>380</v>
      </c>
      <c r="LA1" s="27" t="s">
        <v>381</v>
      </c>
      <c r="LB1" s="27" t="s">
        <v>382</v>
      </c>
      <c r="LC1" s="27" t="s">
        <v>383</v>
      </c>
      <c r="LD1" s="27" t="s">
        <v>384</v>
      </c>
      <c r="LE1" s="27" t="s">
        <v>385</v>
      </c>
      <c r="LF1" s="27" t="s">
        <v>386</v>
      </c>
      <c r="LG1" s="27" t="s">
        <v>387</v>
      </c>
      <c r="LH1" s="27" t="s">
        <v>388</v>
      </c>
      <c r="LI1" s="27" t="s">
        <v>389</v>
      </c>
      <c r="LJ1" s="27" t="s">
        <v>390</v>
      </c>
      <c r="LK1" s="27" t="s">
        <v>391</v>
      </c>
      <c r="LL1" s="27" t="s">
        <v>392</v>
      </c>
      <c r="LM1" s="27" t="s">
        <v>393</v>
      </c>
      <c r="LN1" s="27" t="s">
        <v>394</v>
      </c>
      <c r="LO1" s="27" t="s">
        <v>395</v>
      </c>
      <c r="LP1" s="27" t="s">
        <v>396</v>
      </c>
      <c r="LQ1" s="27" t="s">
        <v>397</v>
      </c>
      <c r="LR1" s="27" t="s">
        <v>398</v>
      </c>
      <c r="LS1" s="27" t="s">
        <v>399</v>
      </c>
      <c r="LT1" s="27" t="s">
        <v>400</v>
      </c>
      <c r="LU1" s="27" t="s">
        <v>401</v>
      </c>
      <c r="LV1" s="27" t="s">
        <v>402</v>
      </c>
      <c r="LW1" s="27" t="s">
        <v>403</v>
      </c>
      <c r="LX1" s="27" t="s">
        <v>404</v>
      </c>
      <c r="LY1" s="27" t="s">
        <v>405</v>
      </c>
      <c r="LZ1" s="27" t="s">
        <v>406</v>
      </c>
      <c r="MA1" s="27" t="s">
        <v>407</v>
      </c>
      <c r="MB1" s="27" t="s">
        <v>408</v>
      </c>
      <c r="MC1" s="27" t="s">
        <v>409</v>
      </c>
      <c r="MD1" s="27" t="s">
        <v>410</v>
      </c>
      <c r="ME1" s="27" t="s">
        <v>411</v>
      </c>
      <c r="MF1" s="27" t="s">
        <v>412</v>
      </c>
      <c r="MG1" s="27" t="s">
        <v>413</v>
      </c>
      <c r="MH1" s="27" t="s">
        <v>414</v>
      </c>
      <c r="MI1" s="27" t="s">
        <v>415</v>
      </c>
      <c r="MJ1" s="27" t="s">
        <v>416</v>
      </c>
      <c r="MK1" s="27" t="s">
        <v>417</v>
      </c>
      <c r="ML1" s="27" t="s">
        <v>418</v>
      </c>
      <c r="MM1" s="27" t="s">
        <v>82</v>
      </c>
    </row>
    <row r="2" spans="1:351" x14ac:dyDescent="0.3">
      <c r="A2" s="26" t="str">
        <f t="shared" ref="A2:A33" si="0">MF2</f>
        <v>725de734-663a-44dc-be94-08875a93251f</v>
      </c>
      <c r="B2" s="26" t="str">
        <f t="shared" ref="B2:B33" si="1">T2</f>
        <v>torodi</v>
      </c>
      <c r="C2" s="26" t="str">
        <f t="shared" ref="C2:C33" si="2">Q2</f>
        <v>A</v>
      </c>
      <c r="D2" s="14" t="str">
        <f>IF('Raw Data'!A42="","",'Raw Data'!A42)</f>
        <v>2021-04-06T13:55:30.569+01:00</v>
      </c>
      <c r="E2" s="14" t="str">
        <f>IF('Raw Data'!B42="","",'Raw Data'!B42)</f>
        <v>2021-04-06T14:37:12.398+01:00</v>
      </c>
      <c r="F2" s="30">
        <v>44292.580208333333</v>
      </c>
      <c r="G2" s="30">
        <v>44292.609166666669</v>
      </c>
      <c r="H2" s="29">
        <f>VLOOKUP(A2,Audit[#All],2,FALSE)</f>
        <v>41.7</v>
      </c>
      <c r="I2" s="29">
        <f>VLOOKUP(A2,Audit[#All],3,FALSE)</f>
        <v>41.66</v>
      </c>
      <c r="J2" s="29">
        <f>VLOOKUP(A2,Audit[#All],4,FALSE)</f>
        <v>39.15</v>
      </c>
      <c r="K2" s="29">
        <f>VLOOKUP(A2,nb_questions[#All],2,FALSE)</f>
        <v>81</v>
      </c>
      <c r="L2" s="29">
        <f t="shared" ref="L2:L33" si="3">COUNTBLANK(AS2:MD2)</f>
        <v>138</v>
      </c>
      <c r="M2" s="14" t="str">
        <f>IF('Raw Data'!C42="","",'Raw Data'!C42)</f>
        <v>2021-04-06</v>
      </c>
      <c r="N2" s="14" t="str">
        <f>IF('Raw Data'!D42="","",'Raw Data'!D42)</f>
        <v/>
      </c>
      <c r="O2" s="14" t="str">
        <f>IF('Raw Data'!E42="","",'Raw Data'!E42)</f>
        <v/>
      </c>
      <c r="P2" s="29" t="str">
        <f>VLOOKUP(A2,code_enqueteurs[#All],3,FALSE)</f>
        <v>A</v>
      </c>
      <c r="Q2" s="29" t="s">
        <v>1644</v>
      </c>
      <c r="R2" s="14" t="str">
        <f>IF('Raw Data'!F42="","",'Raw Data'!F42)</f>
        <v>Homme</v>
      </c>
      <c r="S2" s="15" t="str">
        <f>IF('Raw Data'!G42="","",'Raw Data'!G42)</f>
        <v>torodi</v>
      </c>
      <c r="T2" s="15" t="str">
        <f>IF('Raw Data'!H42="","",'Raw Data'!H42)</f>
        <v>torodi</v>
      </c>
      <c r="U2" s="15" t="str">
        <f>IF('Raw Data'!I42="","",'Raw Data'!I42)</f>
        <v>sentier</v>
      </c>
      <c r="V2" s="15" t="str">
        <f>IF('Raw Data'!J42="","",'Raw Data'!J42)</f>
        <v/>
      </c>
      <c r="W2" s="15" t="str">
        <f>IF('Raw Data'!K42="","",'Raw Data'!K42)</f>
        <v/>
      </c>
      <c r="X2" s="15" t="str">
        <f>IF('Raw Data'!L42="","",'Raw Data'!L42)</f>
        <v/>
      </c>
      <c r="Y2" s="15" t="str">
        <f>IF('Raw Data'!M42="","",'Raw Data'!M42)</f>
        <v/>
      </c>
      <c r="Z2" s="15" t="str">
        <f>IF('Raw Data'!N42="","",'Raw Data'!N42)</f>
        <v/>
      </c>
      <c r="AA2" s="15" t="str">
        <f>IF('Raw Data'!O42="","",'Raw Data'!O42)</f>
        <v/>
      </c>
      <c r="AB2" s="15" t="str">
        <f>IF('Raw Data'!P42="","",'Raw Data'!P42)</f>
        <v/>
      </c>
      <c r="AC2" s="15" t="str">
        <f>IF('Raw Data'!Q42="","",'Raw Data'!Q42)</f>
        <v/>
      </c>
      <c r="AD2" s="15" t="str">
        <f>IF('Raw Data'!R42="","",'Raw Data'!R42)</f>
        <v>Homme</v>
      </c>
      <c r="AE2" s="15" t="str">
        <f>IF('Raw Data'!S42="","",'Raw Data'!S42)</f>
        <v>52</v>
      </c>
      <c r="AF2" s="15" t="str">
        <f>IF('Raw Data'!T42="","",'Raw Data'!T42)</f>
        <v>deplace_interne</v>
      </c>
      <c r="AG2" s="15" t="str">
        <f>IF('Raw Data'!U42="","",'Raw Data'!U42)</f>
        <v/>
      </c>
      <c r="AH2" s="15" t="str">
        <f>IF('Raw Data'!V42="","",'Raw Data'!V42)</f>
        <v/>
      </c>
      <c r="AI2" s="15" t="str">
        <f>IF('Raw Data'!W42="","",'Raw Data'!W42)</f>
        <v/>
      </c>
      <c r="AJ2" s="15" t="str">
        <f>IF('Raw Data'!X42="","",'Raw Data'!X42)</f>
        <v/>
      </c>
      <c r="AK2" s="15" t="str">
        <f>IF('Raw Data'!Y42="","",'Raw Data'!Y42)</f>
        <v/>
      </c>
      <c r="AL2" s="15" t="str">
        <f>IF('Raw Data'!Z42="","",'Raw Data'!Z42)</f>
        <v>niger</v>
      </c>
      <c r="AM2" s="15" t="str">
        <f>IF('Raw Data'!AA42="","",'Raw Data'!AA42)</f>
        <v>tahoua</v>
      </c>
      <c r="AN2" s="15" t="str">
        <f>IF('Raw Data'!AB42="","",'Raw Data'!AB42)</f>
        <v>tahoua</v>
      </c>
      <c r="AO2" s="15" t="str">
        <f>IF('Raw Data'!AC42="","",'Raw Data'!AC42)</f>
        <v/>
      </c>
      <c r="AP2" s="15" t="str">
        <f>IF('Raw Data'!AD42="","",'Raw Data'!AD42)</f>
        <v/>
      </c>
      <c r="AQ2" s="15" t="str">
        <f>IF('Raw Data'!AE42="","",'Raw Data'!AE42)</f>
        <v/>
      </c>
      <c r="AR2" s="15" t="str">
        <f>IF('Raw Data'!AF42="","",'Raw Data'!AF42)</f>
        <v/>
      </c>
      <c r="AS2" s="15" t="str">
        <f>IF('Raw Data'!AG42="","",'Raw Data'!AG42)</f>
        <v>oui</v>
      </c>
      <c r="AT2" s="15" t="str">
        <f>IF('Raw Data'!AH42="","",'Raw Data'!AH42)</f>
        <v>Violences_physique_civils</v>
      </c>
      <c r="AU2" s="15" t="str">
        <f>IF('Raw Data'!AI42="","",'Raw Data'!AI42)</f>
        <v>0</v>
      </c>
      <c r="AV2" s="15" t="str">
        <f>IF('Raw Data'!AJ42="","",'Raw Data'!AJ42)</f>
        <v>0</v>
      </c>
      <c r="AW2" s="15" t="str">
        <f>IF('Raw Data'!AK42="","",'Raw Data'!AK42)</f>
        <v>0</v>
      </c>
      <c r="AX2" s="15" t="str">
        <f>IF('Raw Data'!AL42="","",'Raw Data'!AL42)</f>
        <v>0</v>
      </c>
      <c r="AY2" s="15" t="str">
        <f>IF('Raw Data'!AM42="","",'Raw Data'!AM42)</f>
        <v>1</v>
      </c>
      <c r="AZ2" s="15" t="str">
        <f>IF('Raw Data'!AN42="","",'Raw Data'!AN42)</f>
        <v>0</v>
      </c>
      <c r="BA2" s="15" t="str">
        <f>IF('Raw Data'!AO42="","",'Raw Data'!AO42)</f>
        <v>0</v>
      </c>
      <c r="BB2" s="15" t="str">
        <f>IF('Raw Data'!AP42="","",'Raw Data'!AP42)</f>
        <v>0</v>
      </c>
      <c r="BC2" s="15" t="str">
        <f>IF('Raw Data'!AQ42="","",'Raw Data'!AQ42)</f>
        <v>0</v>
      </c>
      <c r="BD2" s="15" t="str">
        <f>IF('Raw Data'!AR42="","",'Raw Data'!AR42)</f>
        <v>0</v>
      </c>
      <c r="BE2" s="15" t="str">
        <f>IF('Raw Data'!AS42="","",'Raw Data'!AS42)</f>
        <v>0</v>
      </c>
      <c r="BF2" s="15" t="str">
        <f>IF('Raw Data'!AT42="","",'Raw Data'!AT42)</f>
        <v>0</v>
      </c>
      <c r="BG2" s="15" t="str">
        <f>IF('Raw Data'!AU42="","",'Raw Data'!AU42)</f>
        <v>0</v>
      </c>
      <c r="BH2" s="15" t="str">
        <f>IF('Raw Data'!AV42="","",'Raw Data'!AV42)</f>
        <v>0</v>
      </c>
      <c r="BI2" s="15" t="str">
        <f>IF('Raw Data'!AW42="","",'Raw Data'!AW42)</f>
        <v/>
      </c>
      <c r="BJ2" s="15" t="str">
        <f>IF('Raw Data'!AX42="","",'Raw Data'!AX42)</f>
        <v>Femmes Garçons Filles Hommes_ages Femmes_agees</v>
      </c>
      <c r="BK2" s="15" t="str">
        <f>IF('Raw Data'!AY42="","",'Raw Data'!AY42)</f>
        <v>0</v>
      </c>
      <c r="BL2" s="15" t="str">
        <f>IF('Raw Data'!AZ42="","",'Raw Data'!AZ42)</f>
        <v>0</v>
      </c>
      <c r="BM2" s="15" t="str">
        <f>IF('Raw Data'!BA42="","",'Raw Data'!BA42)</f>
        <v>1</v>
      </c>
      <c r="BN2" s="15" t="str">
        <f>IF('Raw Data'!BB42="","",'Raw Data'!BB42)</f>
        <v>1</v>
      </c>
      <c r="BO2" s="15" t="str">
        <f>IF('Raw Data'!BC42="","",'Raw Data'!BC42)</f>
        <v>1</v>
      </c>
      <c r="BP2" s="15" t="str">
        <f>IF('Raw Data'!BD42="","",'Raw Data'!BD42)</f>
        <v>0</v>
      </c>
      <c r="BQ2" s="15" t="str">
        <f>IF('Raw Data'!BE42="","",'Raw Data'!BE42)</f>
        <v>1</v>
      </c>
      <c r="BR2" s="15" t="str">
        <f>IF('Raw Data'!BF42="","",'Raw Data'!BF42)</f>
        <v>1</v>
      </c>
      <c r="BS2" s="15" t="str">
        <f>IF('Raw Data'!BG42="","",'Raw Data'!BG42)</f>
        <v>0</v>
      </c>
      <c r="BT2" s="15" t="str">
        <f>IF('Raw Data'!BH42="","",'Raw Data'!BH42)</f>
        <v>0</v>
      </c>
      <c r="BU2" s="15" t="str">
        <f>IF('Raw Data'!BI42="","",'Raw Data'!BI42)</f>
        <v>0</v>
      </c>
      <c r="BV2" s="15" t="str">
        <f>IF('Raw Data'!BJ42="","",'Raw Data'!BJ42)</f>
        <v>0</v>
      </c>
      <c r="BW2" s="15" t="str">
        <f>IF('Raw Data'!BK42="","",'Raw Data'!BK42)</f>
        <v>0</v>
      </c>
      <c r="BX2" s="15" t="str">
        <f>IF('Raw Data'!BL42="","",'Raw Data'!BL42)</f>
        <v>0</v>
      </c>
      <c r="BY2" s="15" t="str">
        <f>IF('Raw Data'!BM42="","",'Raw Data'!BM42)</f>
        <v/>
      </c>
      <c r="BZ2" s="15" t="str">
        <f>IF('Raw Data'!BN42="","",'Raw Data'!BN42)</f>
        <v>2</v>
      </c>
      <c r="CA2" s="15" t="str">
        <f>IF('Raw Data'!BO42="","",'Raw Data'!BO42)</f>
        <v>augmente</v>
      </c>
      <c r="CB2" s="15" t="str">
        <f>IF('Raw Data'!BP42="","",'Raw Data'!BP42)</f>
        <v/>
      </c>
      <c r="CC2" s="15" t="str">
        <f>IF('Raw Data'!BQ42="","",'Raw Data'!BQ42)</f>
        <v>oui</v>
      </c>
      <c r="CD2" s="15" t="str">
        <f>IF('Raw Data'!BR42="","",'Raw Data'!BR42)</f>
        <v>deni_de_ressource menace enscrimination_acces_services agression_physique</v>
      </c>
      <c r="CE2" s="15" t="str">
        <f>IF('Raw Data'!BS42="","",'Raw Data'!BS42)</f>
        <v>0</v>
      </c>
      <c r="CF2" s="15" t="str">
        <f>IF('Raw Data'!BT42="","",'Raw Data'!BT42)</f>
        <v>0</v>
      </c>
      <c r="CG2" s="15" t="str">
        <f>IF('Raw Data'!BU42="","",'Raw Data'!BU42)</f>
        <v>1</v>
      </c>
      <c r="CH2" s="15" t="str">
        <f>IF('Raw Data'!BV42="","",'Raw Data'!BV42)</f>
        <v>1</v>
      </c>
      <c r="CI2" s="15" t="str">
        <f>IF('Raw Data'!BW42="","",'Raw Data'!BW42)</f>
        <v>0</v>
      </c>
      <c r="CJ2" s="15" t="str">
        <f>IF('Raw Data'!BX42="","",'Raw Data'!BX42)</f>
        <v>0</v>
      </c>
      <c r="CK2" s="15" t="str">
        <f>IF('Raw Data'!BY42="","",'Raw Data'!BY42)</f>
        <v>0</v>
      </c>
      <c r="CL2" s="15" t="str">
        <f>IF('Raw Data'!BZ42="","",'Raw Data'!BZ42)</f>
        <v>0</v>
      </c>
      <c r="CM2" s="15" t="str">
        <f>IF('Raw Data'!CA42="","",'Raw Data'!CA42)</f>
        <v>0</v>
      </c>
      <c r="CN2" s="15" t="str">
        <f>IF('Raw Data'!CB42="","",'Raw Data'!CB42)</f>
        <v>0</v>
      </c>
      <c r="CO2" s="15" t="str">
        <f>IF('Raw Data'!CC42="","",'Raw Data'!CC42)</f>
        <v>1</v>
      </c>
      <c r="CP2" s="15" t="str">
        <f>IF('Raw Data'!CD42="","",'Raw Data'!CD42)</f>
        <v>1</v>
      </c>
      <c r="CQ2" s="15" t="str">
        <f>IF('Raw Data'!CE42="","",'Raw Data'!CE42)</f>
        <v>0</v>
      </c>
      <c r="CR2" s="15" t="str">
        <f>IF('Raw Data'!CF42="","",'Raw Data'!CF42)</f>
        <v>0</v>
      </c>
      <c r="CS2" s="15" t="str">
        <f>IF('Raw Data'!CG42="","",'Raw Data'!CG42)</f>
        <v>0</v>
      </c>
      <c r="CT2" s="15" t="str">
        <f>IF('Raw Data'!CH42="","",'Raw Data'!CH42)</f>
        <v/>
      </c>
      <c r="CU2" s="15" t="str">
        <f>IF('Raw Data'!CI42="","",'Raw Data'!CI42)</f>
        <v>Garçons Filles Femmes Hommes Toute_population</v>
      </c>
      <c r="CV2" s="15" t="str">
        <f>IF('Raw Data'!CJ42="","",'Raw Data'!CJ42)</f>
        <v>0</v>
      </c>
      <c r="CW2" s="15" t="str">
        <f>IF('Raw Data'!CK42="","",'Raw Data'!CK42)</f>
        <v>0</v>
      </c>
      <c r="CX2" s="15" t="str">
        <f>IF('Raw Data'!CL42="","",'Raw Data'!CL42)</f>
        <v>1</v>
      </c>
      <c r="CY2" s="15" t="str">
        <f>IF('Raw Data'!CM42="","",'Raw Data'!CM42)</f>
        <v>1</v>
      </c>
      <c r="CZ2" s="15" t="str">
        <f>IF('Raw Data'!CN42="","",'Raw Data'!CN42)</f>
        <v>1</v>
      </c>
      <c r="DA2" s="15" t="str">
        <f>IF('Raw Data'!CO42="","",'Raw Data'!CO42)</f>
        <v>1</v>
      </c>
      <c r="DB2" s="15" t="str">
        <f>IF('Raw Data'!CP42="","",'Raw Data'!CP42)</f>
        <v>0</v>
      </c>
      <c r="DC2" s="15" t="str">
        <f>IF('Raw Data'!CQ42="","",'Raw Data'!CQ42)</f>
        <v>0</v>
      </c>
      <c r="DD2" s="15" t="str">
        <f>IF('Raw Data'!CR42="","",'Raw Data'!CR42)</f>
        <v>0</v>
      </c>
      <c r="DE2" s="15" t="str">
        <f>IF('Raw Data'!CS42="","",'Raw Data'!CS42)</f>
        <v>0</v>
      </c>
      <c r="DF2" s="15" t="str">
        <f>IF('Raw Data'!CT42="","",'Raw Data'!CT42)</f>
        <v>1</v>
      </c>
      <c r="DG2" s="15" t="str">
        <f>IF('Raw Data'!CU42="","",'Raw Data'!CU42)</f>
        <v>0</v>
      </c>
      <c r="DH2" s="15" t="str">
        <f>IF('Raw Data'!CV42="","",'Raw Data'!CV42)</f>
        <v>0</v>
      </c>
      <c r="DI2" s="15" t="str">
        <f>IF('Raw Data'!CW42="","",'Raw Data'!CW42)</f>
        <v>0</v>
      </c>
      <c r="DJ2" s="15" t="str">
        <f>IF('Raw Data'!CX42="","",'Raw Data'!CX42)</f>
        <v/>
      </c>
      <c r="DK2" s="15" t="str">
        <f>IF('Raw Data'!CY42="","",'Raw Data'!CY42)</f>
        <v>3</v>
      </c>
      <c r="DL2" s="15" t="str">
        <f>IF('Raw Data'!CZ42="","",'Raw Data'!CZ42)</f>
        <v>augmente</v>
      </c>
      <c r="DM2" s="15" t="str">
        <f>IF('Raw Data'!DA42="","",'Raw Data'!DA42)</f>
        <v/>
      </c>
      <c r="DN2" s="15" t="str">
        <f>IF('Raw Data'!DB42="","",'Raw Data'!DB42)</f>
        <v>hausse_chomeurs deterioration_con_abris hausse_nbr_groupes_armees</v>
      </c>
      <c r="DO2" s="15" t="str">
        <f>IF('Raw Data'!DC42="","",'Raw Data'!DC42)</f>
        <v>0</v>
      </c>
      <c r="DP2" s="15" t="str">
        <f>IF('Raw Data'!DD42="","",'Raw Data'!DD42)</f>
        <v>1</v>
      </c>
      <c r="DQ2" s="15" t="str">
        <f>IF('Raw Data'!DE42="","",'Raw Data'!DE42)</f>
        <v>0</v>
      </c>
      <c r="DR2" s="15" t="str">
        <f>IF('Raw Data'!DF42="","",'Raw Data'!DF42)</f>
        <v>0</v>
      </c>
      <c r="DS2" s="15" t="str">
        <f>IF('Raw Data'!DG42="","",'Raw Data'!DG42)</f>
        <v>1</v>
      </c>
      <c r="DT2" s="15" t="str">
        <f>IF('Raw Data'!DH42="","",'Raw Data'!DH42)</f>
        <v>0</v>
      </c>
      <c r="DU2" s="15" t="str">
        <f>IF('Raw Data'!DI42="","",'Raw Data'!DI42)</f>
        <v>1</v>
      </c>
      <c r="DV2" s="15" t="str">
        <f>IF('Raw Data'!DJ42="","",'Raw Data'!DJ42)</f>
        <v>0</v>
      </c>
      <c r="DW2" s="15" t="str">
        <f>IF('Raw Data'!DK42="","",'Raw Data'!DK42)</f>
        <v>0</v>
      </c>
      <c r="DX2" s="15" t="str">
        <f>IF('Raw Data'!DL42="","",'Raw Data'!DL42)</f>
        <v>0</v>
      </c>
      <c r="DY2" s="15" t="str">
        <f>IF('Raw Data'!DM42="","",'Raw Data'!DM42)</f>
        <v/>
      </c>
      <c r="DZ2" s="15" t="str">
        <f>IF('Raw Data'!DN42="","",'Raw Data'!DN42)</f>
        <v/>
      </c>
      <c r="EA2" s="15" t="str">
        <f>IF('Raw Data'!DO42="","",'Raw Data'!DO42)</f>
        <v/>
      </c>
      <c r="EB2" s="15" t="str">
        <f>IF('Raw Data'!DP42="","",'Raw Data'!DP42)</f>
        <v/>
      </c>
      <c r="EC2" s="15" t="str">
        <f>IF('Raw Data'!DQ42="","",'Raw Data'!DQ42)</f>
        <v/>
      </c>
      <c r="ED2" s="15" t="str">
        <f>IF('Raw Data'!DR42="","",'Raw Data'!DR42)</f>
        <v/>
      </c>
      <c r="EE2" s="15" t="str">
        <f>IF('Raw Data'!DS42="","",'Raw Data'!DS42)</f>
        <v/>
      </c>
      <c r="EF2" s="15" t="str">
        <f>IF('Raw Data'!DT42="","",'Raw Data'!DT42)</f>
        <v/>
      </c>
      <c r="EG2" s="15" t="str">
        <f>IF('Raw Data'!DU42="","",'Raw Data'!DU42)</f>
        <v/>
      </c>
      <c r="EH2" s="15" t="str">
        <f>IF('Raw Data'!DV42="","",'Raw Data'!DV42)</f>
        <v/>
      </c>
      <c r="EI2" s="15" t="str">
        <f>IF('Raw Data'!DW42="","",'Raw Data'!DW42)</f>
        <v/>
      </c>
      <c r="EJ2" s="15" t="str">
        <f>IF('Raw Data'!DX42="","",'Raw Data'!DX42)</f>
        <v/>
      </c>
      <c r="EK2" s="15" t="str">
        <f>IF('Raw Data'!DY42="","",'Raw Data'!DY42)</f>
        <v/>
      </c>
      <c r="EL2" s="15" t="str">
        <f>IF('Raw Data'!DZ42="","",'Raw Data'!DZ42)</f>
        <v>Soutien_chef_village dplct_abords_com Integration_com_hote Soutien_famille_amis Soutien_psychosocial</v>
      </c>
      <c r="EM2" s="15" t="str">
        <f>IF('Raw Data'!EA42="","",'Raw Data'!EA42)</f>
        <v>1</v>
      </c>
      <c r="EN2" s="15" t="str">
        <f>IF('Raw Data'!EB42="","",'Raw Data'!EB42)</f>
        <v>1</v>
      </c>
      <c r="EO2" s="15" t="str">
        <f>IF('Raw Data'!EC42="","",'Raw Data'!EC42)</f>
        <v>1</v>
      </c>
      <c r="EP2" s="15" t="str">
        <f>IF('Raw Data'!ED42="","",'Raw Data'!ED42)</f>
        <v>1</v>
      </c>
      <c r="EQ2" s="15" t="str">
        <f>IF('Raw Data'!EE42="","",'Raw Data'!EE42)</f>
        <v>1</v>
      </c>
      <c r="ER2" s="15" t="str">
        <f>IF('Raw Data'!EF42="","",'Raw Data'!EF42)</f>
        <v>0</v>
      </c>
      <c r="ES2" s="15" t="str">
        <f>IF('Raw Data'!EG42="","",'Raw Data'!EG42)</f>
        <v>0</v>
      </c>
      <c r="ET2" s="15" t="str">
        <f>IF('Raw Data'!EH42="","",'Raw Data'!EH42)</f>
        <v>0</v>
      </c>
      <c r="EU2" s="15" t="str">
        <f>IF('Raw Data'!EI42="","",'Raw Data'!EI42)</f>
        <v>0</v>
      </c>
      <c r="EV2" s="15" t="str">
        <f>IF('Raw Data'!EJ42="","",'Raw Data'!EJ42)</f>
        <v/>
      </c>
      <c r="EW2" s="15" t="str">
        <f>IF('Raw Data'!EK42="","",'Raw Data'!EK42)</f>
        <v/>
      </c>
      <c r="EX2" s="15" t="str">
        <f>IF('Raw Data'!EL42="","",'Raw Data'!EL42)</f>
        <v>comite_protection femmes_elite famille_accueil comite_alerte comite_gestion_conflits enfant_pairs</v>
      </c>
      <c r="EY2" s="15" t="str">
        <f>IF('Raw Data'!EM42="","",'Raw Data'!EM42)</f>
        <v>1</v>
      </c>
      <c r="EZ2" s="15" t="str">
        <f>IF('Raw Data'!EN42="","",'Raw Data'!EN42)</f>
        <v>1</v>
      </c>
      <c r="FA2" s="15" t="str">
        <f>IF('Raw Data'!EO42="","",'Raw Data'!EO42)</f>
        <v>1</v>
      </c>
      <c r="FB2" s="15" t="str">
        <f>IF('Raw Data'!EP42="","",'Raw Data'!EP42)</f>
        <v>1</v>
      </c>
      <c r="FC2" s="15" t="str">
        <f>IF('Raw Data'!EQ42="","",'Raw Data'!EQ42)</f>
        <v>0</v>
      </c>
      <c r="FD2" s="15" t="str">
        <f>IF('Raw Data'!ER42="","",'Raw Data'!ER42)</f>
        <v>1</v>
      </c>
      <c r="FE2" s="15" t="str">
        <f>IF('Raw Data'!ES42="","",'Raw Data'!ES42)</f>
        <v>1</v>
      </c>
      <c r="FF2" s="15" t="str">
        <f>IF('Raw Data'!ET42="","",'Raw Data'!ET42)</f>
        <v>0</v>
      </c>
      <c r="FG2" s="15" t="str">
        <f>IF('Raw Data'!EU42="","",'Raw Data'!EU42)</f>
        <v>0</v>
      </c>
      <c r="FH2" s="15" t="str">
        <f>IF('Raw Data'!EV42="","",'Raw Data'!EV42)</f>
        <v>0</v>
      </c>
      <c r="FI2" s="15" t="str">
        <f>IF('Raw Data'!EW42="","",'Raw Data'!EW42)</f>
        <v/>
      </c>
      <c r="FJ2" s="15" t="str">
        <f>IF('Raw Data'!EX42="","",'Raw Data'!EX42)</f>
        <v>oui</v>
      </c>
      <c r="FK2" s="15" t="str">
        <f>IF('Raw Data'!EY42="","",'Raw Data'!EY42)</f>
        <v>Radio_television manif_sociales Differents_comites_villageois famille_amis</v>
      </c>
      <c r="FL2" s="15" t="str">
        <f>IF('Raw Data'!EZ42="","",'Raw Data'!EZ42)</f>
        <v>1</v>
      </c>
      <c r="FM2" s="15" t="str">
        <f>IF('Raw Data'!FA42="","",'Raw Data'!FA42)</f>
        <v>0</v>
      </c>
      <c r="FN2" s="15" t="str">
        <f>IF('Raw Data'!FB42="","",'Raw Data'!FB42)</f>
        <v>0</v>
      </c>
      <c r="FO2" s="15" t="str">
        <f>IF('Raw Data'!FC42="","",'Raw Data'!FC42)</f>
        <v>1</v>
      </c>
      <c r="FP2" s="15" t="str">
        <f>IF('Raw Data'!FD42="","",'Raw Data'!FD42)</f>
        <v>0</v>
      </c>
      <c r="FQ2" s="15" t="str">
        <f>IF('Raw Data'!FE42="","",'Raw Data'!FE42)</f>
        <v>1</v>
      </c>
      <c r="FR2" s="15" t="str">
        <f>IF('Raw Data'!FF42="","",'Raw Data'!FF42)</f>
        <v>0</v>
      </c>
      <c r="FS2" s="15" t="str">
        <f>IF('Raw Data'!FG42="","",'Raw Data'!FG42)</f>
        <v>0</v>
      </c>
      <c r="FT2" s="15" t="str">
        <f>IF('Raw Data'!FH42="","",'Raw Data'!FH42)</f>
        <v>1</v>
      </c>
      <c r="FU2" s="15" t="str">
        <f>IF('Raw Data'!FI42="","",'Raw Data'!FI42)</f>
        <v>0</v>
      </c>
      <c r="FV2" s="15" t="str">
        <f>IF('Raw Data'!FJ42="","",'Raw Data'!FJ42)</f>
        <v>0</v>
      </c>
      <c r="FW2" s="15" t="str">
        <f>IF('Raw Data'!FK42="","",'Raw Data'!FK42)</f>
        <v>0</v>
      </c>
      <c r="FX2" s="15" t="str">
        <f>IF('Raw Data'!FL42="","",'Raw Data'!FL42)</f>
        <v>0</v>
      </c>
      <c r="FY2" s="15" t="str">
        <f>IF('Raw Data'!FM42="","",'Raw Data'!FM42)</f>
        <v>0</v>
      </c>
      <c r="FZ2" s="15" t="str">
        <f>IF('Raw Data'!FN42="","",'Raw Data'!FN42)</f>
        <v/>
      </c>
      <c r="GA2" s="15" t="str">
        <f>IF('Raw Data'!FO42="","",'Raw Data'!FO42)</f>
        <v>oui_majorite</v>
      </c>
      <c r="GB2" s="15" t="str">
        <f>IF('Raw Data'!FP42="","",'Raw Data'!FP42)</f>
        <v>oui_majorite</v>
      </c>
      <c r="GC2" s="15" t="str">
        <f>IF('Raw Data'!FQ42="","",'Raw Data'!FQ42)</f>
        <v>manque_info non_utilisation trop_du_monde</v>
      </c>
      <c r="GD2" s="15" t="str">
        <f>IF('Raw Data'!FR42="","",'Raw Data'!FR42)</f>
        <v>0</v>
      </c>
      <c r="GE2" s="15" t="str">
        <f>IF('Raw Data'!FS42="","",'Raw Data'!FS42)</f>
        <v>1</v>
      </c>
      <c r="GF2" s="15" t="str">
        <f>IF('Raw Data'!FT42="","",'Raw Data'!FT42)</f>
        <v>0</v>
      </c>
      <c r="GG2" s="15" t="str">
        <f>IF('Raw Data'!FU42="","",'Raw Data'!FU42)</f>
        <v>1</v>
      </c>
      <c r="GH2" s="15" t="str">
        <f>IF('Raw Data'!FV42="","",'Raw Data'!FV42)</f>
        <v>1</v>
      </c>
      <c r="GI2" s="15" t="str">
        <f>IF('Raw Data'!FW42="","",'Raw Data'!FW42)</f>
        <v>0</v>
      </c>
      <c r="GJ2" s="15" t="str">
        <f>IF('Raw Data'!FX42="","",'Raw Data'!FX42)</f>
        <v>0</v>
      </c>
      <c r="GK2" s="15" t="str">
        <f>IF('Raw Data'!FY42="","",'Raw Data'!FY42)</f>
        <v>0</v>
      </c>
      <c r="GL2" s="15" t="str">
        <f>IF('Raw Data'!FZ42="","",'Raw Data'!FZ42)</f>
        <v/>
      </c>
      <c r="GM2" s="15" t="str">
        <f>IF('Raw Data'!GA42="","",'Raw Data'!GA42)</f>
        <v>moitie</v>
      </c>
      <c r="GN2" s="15" t="str">
        <f>IF('Raw Data'!GB42="","",'Raw Data'!GB42)</f>
        <v>moitie</v>
      </c>
      <c r="GO2" s="15" t="str">
        <f>IF('Raw Data'!GC42="","",'Raw Data'!GC42)</f>
        <v>Acces_aux_doc Appui_psychosocial Suivi_judiciaire Services_de_sante Education</v>
      </c>
      <c r="GP2" s="15" t="str">
        <f>IF('Raw Data'!GD42="","",'Raw Data'!GD42)</f>
        <v>1</v>
      </c>
      <c r="GQ2" s="15" t="str">
        <f>IF('Raw Data'!GE42="","",'Raw Data'!GE42)</f>
        <v>1</v>
      </c>
      <c r="GR2" s="15" t="str">
        <f>IF('Raw Data'!GF42="","",'Raw Data'!GF42)</f>
        <v>0</v>
      </c>
      <c r="GS2" s="15" t="str">
        <f>IF('Raw Data'!GG42="","",'Raw Data'!GG42)</f>
        <v>1</v>
      </c>
      <c r="GT2" s="15" t="str">
        <f>IF('Raw Data'!GH42="","",'Raw Data'!GH42)</f>
        <v>1</v>
      </c>
      <c r="GU2" s="15" t="str">
        <f>IF('Raw Data'!GI42="","",'Raw Data'!GI42)</f>
        <v>1</v>
      </c>
      <c r="GV2" s="15" t="str">
        <f>IF('Raw Data'!GJ42="","",'Raw Data'!GJ42)</f>
        <v>0</v>
      </c>
      <c r="GW2" s="15" t="str">
        <f>IF('Raw Data'!GK42="","",'Raw Data'!GK42)</f>
        <v>0</v>
      </c>
      <c r="GX2" s="15" t="str">
        <f>IF('Raw Data'!GL42="","",'Raw Data'!GL42)</f>
        <v>0</v>
      </c>
      <c r="GY2" s="15" t="str">
        <f>IF('Raw Data'!GM42="","",'Raw Data'!GM42)</f>
        <v/>
      </c>
      <c r="GZ2" s="15" t="str">
        <f>IF('Raw Data'!GN42="","",'Raw Data'!GN42)</f>
        <v>oui_majorite</v>
      </c>
      <c r="HA2" s="15" t="str">
        <f>IF('Raw Data'!GO42="","",'Raw Data'!GO42)</f>
        <v>oui_majorite</v>
      </c>
      <c r="HB2" s="15" t="str">
        <f>IF('Raw Data'!GP42="","",'Raw Data'!GP42)</f>
        <v>repond_besoins_pop permet_eviter_conflits diminution_tensions</v>
      </c>
      <c r="HC2" s="15" t="str">
        <f>IF('Raw Data'!GQ42="","",'Raw Data'!GQ42)</f>
        <v>0</v>
      </c>
      <c r="HD2" s="15" t="str">
        <f>IF('Raw Data'!GR42="","",'Raw Data'!GR42)</f>
        <v>1</v>
      </c>
      <c r="HE2" s="15" t="str">
        <f>IF('Raw Data'!GS42="","",'Raw Data'!GS42)</f>
        <v>0</v>
      </c>
      <c r="HF2" s="15" t="str">
        <f>IF('Raw Data'!GT42="","",'Raw Data'!GT42)</f>
        <v>1</v>
      </c>
      <c r="HG2" s="15" t="str">
        <f>IF('Raw Data'!GU42="","",'Raw Data'!GU42)</f>
        <v>0</v>
      </c>
      <c r="HH2" s="15" t="str">
        <f>IF('Raw Data'!GV42="","",'Raw Data'!GV42)</f>
        <v>1</v>
      </c>
      <c r="HI2" s="15" t="str">
        <f>IF('Raw Data'!GW42="","",'Raw Data'!GW42)</f>
        <v>0</v>
      </c>
      <c r="HJ2" s="15" t="str">
        <f>IF('Raw Data'!GX42="","",'Raw Data'!GX42)</f>
        <v>0</v>
      </c>
      <c r="HK2" s="15" t="str">
        <f>IF('Raw Data'!GY42="","",'Raw Data'!GY42)</f>
        <v/>
      </c>
      <c r="HL2" s="15" t="str">
        <f>IF('Raw Data'!GZ42="","",'Raw Data'!GZ42)</f>
        <v>ne_repond_pas</v>
      </c>
      <c r="HM2" s="15" t="str">
        <f>IF('Raw Data'!HA42="","",'Raw Data'!HA42)</f>
        <v>0</v>
      </c>
      <c r="HN2" s="15" t="str">
        <f>IF('Raw Data'!HB42="","",'Raw Data'!HB42)</f>
        <v>1</v>
      </c>
      <c r="HO2" s="15" t="str">
        <f>IF('Raw Data'!HC42="","",'Raw Data'!HC42)</f>
        <v>0</v>
      </c>
      <c r="HP2" s="15" t="str">
        <f>IF('Raw Data'!HD42="","",'Raw Data'!HD42)</f>
        <v>0</v>
      </c>
      <c r="HQ2" s="15" t="str">
        <f>IF('Raw Data'!HE42="","",'Raw Data'!HE42)</f>
        <v>0</v>
      </c>
      <c r="HR2" s="15" t="str">
        <f>IF('Raw Data'!HF42="","",'Raw Data'!HF42)</f>
        <v>0</v>
      </c>
      <c r="HS2" s="15" t="str">
        <f>IF('Raw Data'!HG42="","",'Raw Data'!HG42)</f>
        <v/>
      </c>
      <c r="HT2" s="15" t="str">
        <f>IF('Raw Data'!HH42="","",'Raw Data'!HH42)</f>
        <v/>
      </c>
      <c r="HU2" s="15" t="str">
        <f>IF('Raw Data'!HI42="","",'Raw Data'!HI42)</f>
        <v>non</v>
      </c>
      <c r="HV2" s="15" t="str">
        <f>IF('Raw Data'!HJ42="","",'Raw Data'!HJ42)</f>
        <v/>
      </c>
      <c r="HW2" s="15" t="str">
        <f>IF('Raw Data'!HK42="","",'Raw Data'!HK42)</f>
        <v/>
      </c>
      <c r="HX2" s="15" t="str">
        <f>IF('Raw Data'!HL42="","",'Raw Data'!HL42)</f>
        <v/>
      </c>
      <c r="HY2" s="15" t="str">
        <f>IF('Raw Data'!HM42="","",'Raw Data'!HM42)</f>
        <v/>
      </c>
      <c r="HZ2" s="15" t="str">
        <f>IF('Raw Data'!HN42="","",'Raw Data'!HN42)</f>
        <v/>
      </c>
      <c r="IA2" s="15" t="str">
        <f>IF('Raw Data'!HO42="","",'Raw Data'!HO42)</f>
        <v/>
      </c>
      <c r="IB2" s="15" t="str">
        <f>IF('Raw Data'!HP42="","",'Raw Data'!HP42)</f>
        <v/>
      </c>
      <c r="IC2" s="15" t="str">
        <f>IF('Raw Data'!HQ42="","",'Raw Data'!HQ42)</f>
        <v/>
      </c>
      <c r="ID2" s="15" t="str">
        <f>IF('Raw Data'!HR42="","",'Raw Data'!HR42)</f>
        <v/>
      </c>
      <c r="IE2" s="15" t="str">
        <f>IF('Raw Data'!HS42="","",'Raw Data'!HS42)</f>
        <v/>
      </c>
      <c r="IF2" s="15" t="str">
        <f>IF('Raw Data'!HT42="","",'Raw Data'!HT42)</f>
        <v/>
      </c>
      <c r="IG2" s="15" t="str">
        <f>IF('Raw Data'!HU42="","",'Raw Data'!HU42)</f>
        <v/>
      </c>
      <c r="IH2" s="15" t="str">
        <f>IF('Raw Data'!HV42="","",'Raw Data'!HV42)</f>
        <v>oui</v>
      </c>
      <c r="II2" s="15" t="str">
        <f>IF('Raw Data'!HW42="","",'Raw Data'!HW42)</f>
        <v/>
      </c>
      <c r="IJ2" s="31"/>
      <c r="IK2" s="31"/>
      <c r="IL2" s="31"/>
      <c r="IM2" s="31"/>
      <c r="IN2" s="31"/>
      <c r="IO2" s="31"/>
      <c r="IP2" s="31"/>
      <c r="IQ2" s="31"/>
      <c r="IR2" s="31"/>
      <c r="IS2" s="31"/>
      <c r="IT2" s="31"/>
      <c r="IU2" s="31"/>
      <c r="IV2" s="31"/>
      <c r="IW2" s="31"/>
      <c r="IX2" s="31"/>
      <c r="IY2" s="15" t="str">
        <f>IF('Raw Data'!IM42="","",'Raw Data'!IM42)</f>
        <v/>
      </c>
      <c r="IZ2" s="31"/>
      <c r="JA2" s="31"/>
      <c r="JB2" s="31"/>
      <c r="JC2" s="31"/>
      <c r="JD2" s="31"/>
      <c r="JE2" s="31"/>
      <c r="JF2" s="31"/>
      <c r="JG2" s="31"/>
      <c r="JH2" s="31"/>
      <c r="JI2" s="31"/>
      <c r="JJ2" s="31"/>
      <c r="JK2" s="31"/>
      <c r="JL2" s="15" t="str">
        <f>IF('Raw Data'!IZ42="","",'Raw Data'!IZ42)</f>
        <v/>
      </c>
      <c r="JM2" s="31"/>
      <c r="JN2" s="31"/>
      <c r="JO2" s="31"/>
      <c r="JP2" s="31"/>
      <c r="JQ2" s="31"/>
      <c r="JR2" s="31"/>
      <c r="JS2" s="31"/>
      <c r="JT2" s="15" t="str">
        <f>IF('Raw Data'!JH42="","",'Raw Data'!JH42)</f>
        <v/>
      </c>
      <c r="JU2" s="15" t="str">
        <f>IF('Raw Data'!JI42="","",'Raw Data'!JI42)</f>
        <v/>
      </c>
      <c r="JV2" s="15" t="str">
        <f>IF('Raw Data'!JJ42="","",'Raw Data'!JJ42)</f>
        <v/>
      </c>
      <c r="JW2" s="15" t="str">
        <f>IF('Raw Data'!JK42="","",'Raw Data'!JK42)</f>
        <v/>
      </c>
      <c r="JX2" s="15" t="str">
        <f>IF('Raw Data'!JL42="","",'Raw Data'!JL42)</f>
        <v/>
      </c>
      <c r="JY2" s="15" t="str">
        <f>IF('Raw Data'!JM42="","",'Raw Data'!JM42)</f>
        <v/>
      </c>
      <c r="JZ2" s="15" t="str">
        <f>IF('Raw Data'!JN42="","",'Raw Data'!JN42)</f>
        <v/>
      </c>
      <c r="KA2" s="15" t="str">
        <f>IF('Raw Data'!JO42="","",'Raw Data'!JO42)</f>
        <v/>
      </c>
      <c r="KB2" s="15" t="str">
        <f>IF('Raw Data'!JP42="","",'Raw Data'!JP42)</f>
        <v/>
      </c>
      <c r="KC2" s="15" t="str">
        <f>IF('Raw Data'!JQ42="","",'Raw Data'!JQ42)</f>
        <v/>
      </c>
      <c r="KD2" s="15" t="str">
        <f>IF('Raw Data'!JR42="","",'Raw Data'!JR42)</f>
        <v/>
      </c>
      <c r="KE2" s="15" t="str">
        <f>IF('Raw Data'!JS42="","",'Raw Data'!JS42)</f>
        <v/>
      </c>
      <c r="KF2" s="31"/>
      <c r="KG2" s="31"/>
      <c r="KH2" s="31"/>
      <c r="KI2" s="31"/>
      <c r="KJ2" s="31"/>
      <c r="KK2" s="31"/>
      <c r="KL2" s="31"/>
      <c r="KM2" s="31"/>
      <c r="KN2" s="31"/>
      <c r="KO2" s="31"/>
      <c r="KP2" s="15" t="str">
        <f>IF('Raw Data'!KD42="","",'Raw Data'!KD42)</f>
        <v/>
      </c>
      <c r="KQ2" s="15" t="str">
        <f>IF('Raw Data'!KE42="","",'Raw Data'!KE42)</f>
        <v/>
      </c>
      <c r="KR2" s="31"/>
      <c r="KS2" s="31"/>
      <c r="KT2" s="31"/>
      <c r="KU2" s="31"/>
      <c r="KV2" s="31"/>
      <c r="KW2" s="31"/>
      <c r="KX2" s="31"/>
      <c r="KY2" s="31"/>
      <c r="KZ2" s="31"/>
      <c r="LA2" s="31"/>
      <c r="LB2" s="31"/>
      <c r="LC2" s="31"/>
      <c r="LD2" s="31"/>
      <c r="LE2" s="15" t="str">
        <f>IF('Raw Data'!KS42="","",'Raw Data'!KS42)</f>
        <v/>
      </c>
      <c r="LF2" s="15" t="str">
        <f>IF('Raw Data'!KT42="","",'Raw Data'!KT42)</f>
        <v/>
      </c>
      <c r="LG2" s="15" t="str">
        <f>IF('Raw Data'!KU42="","",'Raw Data'!KU42)</f>
        <v/>
      </c>
      <c r="LH2" s="15" t="str">
        <f>IF('Raw Data'!KV42="","",'Raw Data'!KV42)</f>
        <v/>
      </c>
      <c r="LI2" s="15" t="str">
        <f>IF('Raw Data'!KW42="","",'Raw Data'!KW42)</f>
        <v/>
      </c>
      <c r="LJ2" s="15" t="str">
        <f>IF('Raw Data'!KX42="","",'Raw Data'!KX42)</f>
        <v/>
      </c>
      <c r="LK2" s="15" t="str">
        <f>IF('Raw Data'!KY42="","",'Raw Data'!KY42)</f>
        <v/>
      </c>
      <c r="LL2" s="15" t="str">
        <f>IF('Raw Data'!KZ42="","",'Raw Data'!KZ42)</f>
        <v/>
      </c>
      <c r="LM2" s="15" t="str">
        <f>IF('Raw Data'!LA42="","",'Raw Data'!LA42)</f>
        <v/>
      </c>
      <c r="LN2" s="31"/>
      <c r="LO2" s="31"/>
      <c r="LP2" s="31"/>
      <c r="LQ2" s="31"/>
      <c r="LR2" s="31"/>
      <c r="LS2" s="31"/>
      <c r="LT2" s="31"/>
      <c r="LU2" s="31"/>
      <c r="LV2" s="31"/>
      <c r="LW2" s="31"/>
      <c r="LX2" s="31"/>
      <c r="LY2" s="31"/>
      <c r="LZ2" s="15" t="str">
        <f>IF('Raw Data'!LN42="","",'Raw Data'!LN42)</f>
        <v/>
      </c>
      <c r="MA2" s="31"/>
      <c r="MB2" s="15" t="str">
        <f>IF('Raw Data'!LP42="","",'Raw Data'!LP42)</f>
        <v>oui</v>
      </c>
      <c r="MC2" s="15" t="str">
        <f>IF('Raw Data'!LQ42="","",'Raw Data'!LQ42)</f>
        <v/>
      </c>
      <c r="MD2" s="15" t="str">
        <f>IF('Raw Data'!LR42="","",'Raw Data'!LR42)</f>
        <v xml:space="preserve">Merci beaucoup  pour  la considération  et j aimerais  que la paix  règne  dans notre  pays; avec votre soutien  svp priez pour nous! </v>
      </c>
      <c r="ME2" s="15">
        <f>IF('Raw Data'!LS42="","",'Raw Data'!LS42)</f>
        <v>170008280</v>
      </c>
      <c r="MF2" s="15" t="str">
        <f>IF('Raw Data'!LT42="","",'Raw Data'!LT42)</f>
        <v>725de734-663a-44dc-be94-08875a93251f</v>
      </c>
      <c r="MG2" s="15" t="str">
        <f>IF('Raw Data'!LU42="","",'Raw Data'!LU42)</f>
        <v>2021-04-06T16:19:26</v>
      </c>
      <c r="MH2" s="15" t="str">
        <f>IF('Raw Data'!LV42="","",'Raw Data'!LV42)</f>
        <v/>
      </c>
      <c r="MI2" s="15" t="str">
        <f>IF('Raw Data'!LW42="","",'Raw Data'!LW42)</f>
        <v>[]</v>
      </c>
      <c r="MJ2" s="15" t="str">
        <f>IF('Raw Data'!LX42="","",'Raw Data'!LX42)</f>
        <v>submitted_via_web</v>
      </c>
      <c r="MK2" s="15" t="str">
        <f>IF('Raw Data'!LY42="","",'Raw Data'!LY42)</f>
        <v>reach_niger</v>
      </c>
      <c r="ML2" s="15" t="str">
        <f>IF('Raw Data'!LZ42="","",'Raw Data'!LZ42)</f>
        <v/>
      </c>
      <c r="MM2" s="15">
        <f>IF('Raw Data'!MA42="","",'Raw Data'!MA42)</f>
        <v>46</v>
      </c>
    </row>
    <row r="3" spans="1:351" x14ac:dyDescent="0.3">
      <c r="A3" s="26" t="str">
        <f t="shared" si="0"/>
        <v>0a047e3d-bf52-4de5-ba00-011a4a2b15e5</v>
      </c>
      <c r="B3" s="26" t="str">
        <f t="shared" si="1"/>
        <v>torodi</v>
      </c>
      <c r="C3" s="26" t="str">
        <f t="shared" si="2"/>
        <v>A</v>
      </c>
      <c r="D3" s="14" t="str">
        <f>IF('Raw Data'!A14="","",'Raw Data'!A14)</f>
        <v>2021-04-01T13:47:00.295+01:00</v>
      </c>
      <c r="E3" s="14" t="str">
        <f>IF('Raw Data'!B14="","",'Raw Data'!B14)</f>
        <v>2021-04-01T16:42:03.804+01:00</v>
      </c>
      <c r="F3" s="30">
        <v>44287.574305555558</v>
      </c>
      <c r="G3" s="30">
        <v>44287.695868055554</v>
      </c>
      <c r="H3" s="29">
        <f>VLOOKUP(A3,Audit[#All],2,FALSE)</f>
        <v>175.06</v>
      </c>
      <c r="I3" s="29">
        <f>VLOOKUP(A3,Audit[#All],3,FALSE)</f>
        <v>48.35</v>
      </c>
      <c r="J3" s="29">
        <f>VLOOKUP(A3,Audit[#All],4,FALSE)</f>
        <v>42.97</v>
      </c>
      <c r="K3" s="29">
        <f>VLOOKUP(A3,nb_questions[#All],2,FALSE)</f>
        <v>103</v>
      </c>
      <c r="L3" s="29">
        <f t="shared" si="3"/>
        <v>138</v>
      </c>
      <c r="M3" s="14" t="str">
        <f>IF('Raw Data'!C14="","",'Raw Data'!C14)</f>
        <v>2021-04-01</v>
      </c>
      <c r="N3" s="14" t="str">
        <f>IF('Raw Data'!D14="","",'Raw Data'!D14)</f>
        <v/>
      </c>
      <c r="O3" s="14" t="str">
        <f>IF('Raw Data'!E14="","",'Raw Data'!E14)</f>
        <v/>
      </c>
      <c r="P3" s="29" t="str">
        <f>VLOOKUP(A3,code_enqueteurs[#All],3,FALSE)</f>
        <v>A</v>
      </c>
      <c r="Q3" s="29" t="s">
        <v>1644</v>
      </c>
      <c r="R3" s="14" t="str">
        <f>IF('Raw Data'!F14="","",'Raw Data'!F14)</f>
        <v>Homme</v>
      </c>
      <c r="S3" s="15" t="str">
        <f>IF('Raw Data'!G14="","",'Raw Data'!G14)</f>
        <v>torodi</v>
      </c>
      <c r="T3" s="15" t="str">
        <f>IF('Raw Data'!H14="","",'Raw Data'!H14)</f>
        <v>torodi</v>
      </c>
      <c r="U3" s="15" t="str">
        <f>IF('Raw Data'!I14="","",'Raw Data'!I14)</f>
        <v>sabon_carre</v>
      </c>
      <c r="V3" s="15" t="str">
        <f>IF('Raw Data'!J14="","",'Raw Data'!J14)</f>
        <v/>
      </c>
      <c r="W3" s="15" t="str">
        <f>IF('Raw Data'!K14="","",'Raw Data'!K14)</f>
        <v/>
      </c>
      <c r="X3" s="15" t="str">
        <f>IF('Raw Data'!L14="","",'Raw Data'!L14)</f>
        <v/>
      </c>
      <c r="Y3" s="15" t="str">
        <f>IF('Raw Data'!M14="","",'Raw Data'!M14)</f>
        <v/>
      </c>
      <c r="Z3" s="15" t="str">
        <f>IF('Raw Data'!N14="","",'Raw Data'!N14)</f>
        <v/>
      </c>
      <c r="AA3" s="15" t="str">
        <f>IF('Raw Data'!O14="","",'Raw Data'!O14)</f>
        <v/>
      </c>
      <c r="AB3" s="15" t="str">
        <f>IF('Raw Data'!P14="","",'Raw Data'!P14)</f>
        <v/>
      </c>
      <c r="AC3" s="15" t="str">
        <f>IF('Raw Data'!Q14="","",'Raw Data'!Q14)</f>
        <v/>
      </c>
      <c r="AD3" s="15" t="str">
        <f>IF('Raw Data'!R14="","",'Raw Data'!R14)</f>
        <v>Homme</v>
      </c>
      <c r="AE3" s="15" t="str">
        <f>IF('Raw Data'!S14="","",'Raw Data'!S14)</f>
        <v>26</v>
      </c>
      <c r="AF3" s="15" t="str">
        <f>IF('Raw Data'!T14="","",'Raw Data'!T14)</f>
        <v>deplace_interne</v>
      </c>
      <c r="AG3" s="15" t="str">
        <f>IF('Raw Data'!U14="","",'Raw Data'!U14)</f>
        <v/>
      </c>
      <c r="AH3" s="15" t="str">
        <f>IF('Raw Data'!V14="","",'Raw Data'!V14)</f>
        <v/>
      </c>
      <c r="AI3" s="15" t="str">
        <f>IF('Raw Data'!W14="","",'Raw Data'!W14)</f>
        <v/>
      </c>
      <c r="AJ3" s="15" t="str">
        <f>IF('Raw Data'!X14="","",'Raw Data'!X14)</f>
        <v/>
      </c>
      <c r="AK3" s="15" t="str">
        <f>IF('Raw Data'!Y14="","",'Raw Data'!Y14)</f>
        <v/>
      </c>
      <c r="AL3" s="15" t="str">
        <f>IF('Raw Data'!Z14="","",'Raw Data'!Z14)</f>
        <v>niger</v>
      </c>
      <c r="AM3" s="15" t="str">
        <f>IF('Raw Data'!AA14="","",'Raw Data'!AA14)</f>
        <v>tillaberi</v>
      </c>
      <c r="AN3" s="15" t="str">
        <f>IF('Raw Data'!AB14="","",'Raw Data'!AB14)</f>
        <v>torodi</v>
      </c>
      <c r="AO3" s="15" t="str">
        <f>IF('Raw Data'!AC14="","",'Raw Data'!AC14)</f>
        <v/>
      </c>
      <c r="AP3" s="15" t="str">
        <f>IF('Raw Data'!AD14="","",'Raw Data'!AD14)</f>
        <v/>
      </c>
      <c r="AQ3" s="15" t="str">
        <f>IF('Raw Data'!AE14="","",'Raw Data'!AE14)</f>
        <v/>
      </c>
      <c r="AR3" s="15" t="str">
        <f>IF('Raw Data'!AF14="","",'Raw Data'!AF14)</f>
        <v/>
      </c>
      <c r="AS3" s="15" t="str">
        <f>IF('Raw Data'!AG14="","",'Raw Data'!AG14)</f>
        <v>oui</v>
      </c>
      <c r="AT3" s="15" t="str">
        <f>IF('Raw Data'!AH14="","",'Raw Data'!AH14)</f>
        <v>Violences_physique_civils Combat_groupes_armes</v>
      </c>
      <c r="AU3" s="15" t="str">
        <f>IF('Raw Data'!AI14="","",'Raw Data'!AI14)</f>
        <v>1</v>
      </c>
      <c r="AV3" s="15" t="str">
        <f>IF('Raw Data'!AJ14="","",'Raw Data'!AJ14)</f>
        <v>0</v>
      </c>
      <c r="AW3" s="15" t="str">
        <f>IF('Raw Data'!AK14="","",'Raw Data'!AK14)</f>
        <v>0</v>
      </c>
      <c r="AX3" s="15" t="str">
        <f>IF('Raw Data'!AL14="","",'Raw Data'!AL14)</f>
        <v>0</v>
      </c>
      <c r="AY3" s="15" t="str">
        <f>IF('Raw Data'!AM14="","",'Raw Data'!AM14)</f>
        <v>1</v>
      </c>
      <c r="AZ3" s="15" t="str">
        <f>IF('Raw Data'!AN14="","",'Raw Data'!AN14)</f>
        <v>0</v>
      </c>
      <c r="BA3" s="15" t="str">
        <f>IF('Raw Data'!AO14="","",'Raw Data'!AO14)</f>
        <v>0</v>
      </c>
      <c r="BB3" s="15" t="str">
        <f>IF('Raw Data'!AP14="","",'Raw Data'!AP14)</f>
        <v>0</v>
      </c>
      <c r="BC3" s="15" t="str">
        <f>IF('Raw Data'!AQ14="","",'Raw Data'!AQ14)</f>
        <v>0</v>
      </c>
      <c r="BD3" s="15" t="str">
        <f>IF('Raw Data'!AR14="","",'Raw Data'!AR14)</f>
        <v>0</v>
      </c>
      <c r="BE3" s="15" t="str">
        <f>IF('Raw Data'!AS14="","",'Raw Data'!AS14)</f>
        <v>0</v>
      </c>
      <c r="BF3" s="15" t="str">
        <f>IF('Raw Data'!AT14="","",'Raw Data'!AT14)</f>
        <v>0</v>
      </c>
      <c r="BG3" s="15" t="str">
        <f>IF('Raw Data'!AU14="","",'Raw Data'!AU14)</f>
        <v>0</v>
      </c>
      <c r="BH3" s="15" t="str">
        <f>IF('Raw Data'!AV14="","",'Raw Data'!AV14)</f>
        <v>0</v>
      </c>
      <c r="BI3" s="15" t="str">
        <f>IF('Raw Data'!AW14="","",'Raw Data'!AW14)</f>
        <v/>
      </c>
      <c r="BJ3" s="15" t="str">
        <f>IF('Raw Data'!AX14="","",'Raw Data'!AX14)</f>
        <v>Filles Femmes Garçons Toute_population Hommes</v>
      </c>
      <c r="BK3" s="15" t="str">
        <f>IF('Raw Data'!AY14="","",'Raw Data'!AY14)</f>
        <v>0</v>
      </c>
      <c r="BL3" s="15" t="str">
        <f>IF('Raw Data'!AZ14="","",'Raw Data'!AZ14)</f>
        <v>0</v>
      </c>
      <c r="BM3" s="15" t="str">
        <f>IF('Raw Data'!BA14="","",'Raw Data'!BA14)</f>
        <v>1</v>
      </c>
      <c r="BN3" s="15" t="str">
        <f>IF('Raw Data'!BB14="","",'Raw Data'!BB14)</f>
        <v>1</v>
      </c>
      <c r="BO3" s="15" t="str">
        <f>IF('Raw Data'!BC14="","",'Raw Data'!BC14)</f>
        <v>1</v>
      </c>
      <c r="BP3" s="15" t="str">
        <f>IF('Raw Data'!BD14="","",'Raw Data'!BD14)</f>
        <v>1</v>
      </c>
      <c r="BQ3" s="15" t="str">
        <f>IF('Raw Data'!BE14="","",'Raw Data'!BE14)</f>
        <v>0</v>
      </c>
      <c r="BR3" s="15" t="str">
        <f>IF('Raw Data'!BF14="","",'Raw Data'!BF14)</f>
        <v>0</v>
      </c>
      <c r="BS3" s="15" t="str">
        <f>IF('Raw Data'!BG14="","",'Raw Data'!BG14)</f>
        <v>0</v>
      </c>
      <c r="BT3" s="15" t="str">
        <f>IF('Raw Data'!BH14="","",'Raw Data'!BH14)</f>
        <v>0</v>
      </c>
      <c r="BU3" s="15" t="str">
        <f>IF('Raw Data'!BI14="","",'Raw Data'!BI14)</f>
        <v>1</v>
      </c>
      <c r="BV3" s="15" t="str">
        <f>IF('Raw Data'!BJ14="","",'Raw Data'!BJ14)</f>
        <v>0</v>
      </c>
      <c r="BW3" s="15" t="str">
        <f>IF('Raw Data'!BK14="","",'Raw Data'!BK14)</f>
        <v>0</v>
      </c>
      <c r="BX3" s="15" t="str">
        <f>IF('Raw Data'!BL14="","",'Raw Data'!BL14)</f>
        <v>0</v>
      </c>
      <c r="BY3" s="15" t="str">
        <f>IF('Raw Data'!BM14="","",'Raw Data'!BM14)</f>
        <v/>
      </c>
      <c r="BZ3" s="15" t="str">
        <f>IF('Raw Data'!BN14="","",'Raw Data'!BN14)</f>
        <v>1</v>
      </c>
      <c r="CA3" s="15" t="str">
        <f>IF('Raw Data'!BO14="","",'Raw Data'!BO14)</f>
        <v>augmente</v>
      </c>
      <c r="CB3" s="15" t="str">
        <f>IF('Raw Data'!BP14="","",'Raw Data'!BP14)</f>
        <v/>
      </c>
      <c r="CC3" s="15" t="str">
        <f>IF('Raw Data'!BQ14="","",'Raw Data'!BQ14)</f>
        <v>oui</v>
      </c>
      <c r="CD3" s="15" t="str">
        <f>IF('Raw Data'!BR14="","",'Raw Data'!BR14)</f>
        <v>agression_physique agression_psychologique mariage_force</v>
      </c>
      <c r="CE3" s="15" t="str">
        <f>IF('Raw Data'!BS14="","",'Raw Data'!BS14)</f>
        <v>0</v>
      </c>
      <c r="CF3" s="15" t="str">
        <f>IF('Raw Data'!BT14="","",'Raw Data'!BT14)</f>
        <v>0</v>
      </c>
      <c r="CG3" s="15" t="str">
        <f>IF('Raw Data'!BU14="","",'Raw Data'!BU14)</f>
        <v>1</v>
      </c>
      <c r="CH3" s="15" t="str">
        <f>IF('Raw Data'!BV14="","",'Raw Data'!BV14)</f>
        <v>0</v>
      </c>
      <c r="CI3" s="15" t="str">
        <f>IF('Raw Data'!BW14="","",'Raw Data'!BW14)</f>
        <v>1</v>
      </c>
      <c r="CJ3" s="15" t="str">
        <f>IF('Raw Data'!BX14="","",'Raw Data'!BX14)</f>
        <v>1</v>
      </c>
      <c r="CK3" s="15" t="str">
        <f>IF('Raw Data'!BY14="","",'Raw Data'!BY14)</f>
        <v>0</v>
      </c>
      <c r="CL3" s="15" t="str">
        <f>IF('Raw Data'!BZ14="","",'Raw Data'!BZ14)</f>
        <v>0</v>
      </c>
      <c r="CM3" s="15" t="str">
        <f>IF('Raw Data'!CA14="","",'Raw Data'!CA14)</f>
        <v>0</v>
      </c>
      <c r="CN3" s="15" t="str">
        <f>IF('Raw Data'!CB14="","",'Raw Data'!CB14)</f>
        <v>0</v>
      </c>
      <c r="CO3" s="15" t="str">
        <f>IF('Raw Data'!CC14="","",'Raw Data'!CC14)</f>
        <v>0</v>
      </c>
      <c r="CP3" s="15" t="str">
        <f>IF('Raw Data'!CD14="","",'Raw Data'!CD14)</f>
        <v>0</v>
      </c>
      <c r="CQ3" s="15" t="str">
        <f>IF('Raw Data'!CE14="","",'Raw Data'!CE14)</f>
        <v>0</v>
      </c>
      <c r="CR3" s="15" t="str">
        <f>IF('Raw Data'!CF14="","",'Raw Data'!CF14)</f>
        <v>0</v>
      </c>
      <c r="CS3" s="15" t="str">
        <f>IF('Raw Data'!CG14="","",'Raw Data'!CG14)</f>
        <v>0</v>
      </c>
      <c r="CT3" s="15" t="str">
        <f>IF('Raw Data'!CH14="","",'Raw Data'!CH14)</f>
        <v/>
      </c>
      <c r="CU3" s="15" t="str">
        <f>IF('Raw Data'!CI14="","",'Raw Data'!CI14)</f>
        <v>Hommes Femmes Filles</v>
      </c>
      <c r="CV3" s="15" t="str">
        <f>IF('Raw Data'!CJ14="","",'Raw Data'!CJ14)</f>
        <v>0</v>
      </c>
      <c r="CW3" s="15" t="str">
        <f>IF('Raw Data'!CK14="","",'Raw Data'!CK14)</f>
        <v>0</v>
      </c>
      <c r="CX3" s="15" t="str">
        <f>IF('Raw Data'!CL14="","",'Raw Data'!CL14)</f>
        <v>1</v>
      </c>
      <c r="CY3" s="15" t="str">
        <f>IF('Raw Data'!CM14="","",'Raw Data'!CM14)</f>
        <v>0</v>
      </c>
      <c r="CZ3" s="15" t="str">
        <f>IF('Raw Data'!CN14="","",'Raw Data'!CN14)</f>
        <v>1</v>
      </c>
      <c r="DA3" s="15" t="str">
        <f>IF('Raw Data'!CO14="","",'Raw Data'!CO14)</f>
        <v>1</v>
      </c>
      <c r="DB3" s="15" t="str">
        <f>IF('Raw Data'!CP14="","",'Raw Data'!CP14)</f>
        <v>0</v>
      </c>
      <c r="DC3" s="15" t="str">
        <f>IF('Raw Data'!CQ14="","",'Raw Data'!CQ14)</f>
        <v>0</v>
      </c>
      <c r="DD3" s="15" t="str">
        <f>IF('Raw Data'!CR14="","",'Raw Data'!CR14)</f>
        <v>0</v>
      </c>
      <c r="DE3" s="15" t="str">
        <f>IF('Raw Data'!CS14="","",'Raw Data'!CS14)</f>
        <v>0</v>
      </c>
      <c r="DF3" s="15" t="str">
        <f>IF('Raw Data'!CT14="","",'Raw Data'!CT14)</f>
        <v>0</v>
      </c>
      <c r="DG3" s="15" t="str">
        <f>IF('Raw Data'!CU14="","",'Raw Data'!CU14)</f>
        <v>0</v>
      </c>
      <c r="DH3" s="15" t="str">
        <f>IF('Raw Data'!CV14="","",'Raw Data'!CV14)</f>
        <v>0</v>
      </c>
      <c r="DI3" s="15" t="str">
        <f>IF('Raw Data'!CW14="","",'Raw Data'!CW14)</f>
        <v>0</v>
      </c>
      <c r="DJ3" s="15" t="str">
        <f>IF('Raw Data'!CX14="","",'Raw Data'!CX14)</f>
        <v/>
      </c>
      <c r="DK3" s="15" t="str">
        <f>IF('Raw Data'!CY14="","",'Raw Data'!CY14)</f>
        <v>1</v>
      </c>
      <c r="DL3" s="15" t="str">
        <f>IF('Raw Data'!CZ14="","",'Raw Data'!CZ14)</f>
        <v>augmente</v>
      </c>
      <c r="DM3" s="15" t="str">
        <f>IF('Raw Data'!DA14="","",'Raw Data'!DA14)</f>
        <v/>
      </c>
      <c r="DN3" s="15" t="str">
        <f>IF('Raw Data'!DB14="","",'Raw Data'!DB14)</f>
        <v>hausse_chomeurs deterioration_con_abris diminution_moyens_existence</v>
      </c>
      <c r="DO3" s="15" t="str">
        <f>IF('Raw Data'!DC14="","",'Raw Data'!DC14)</f>
        <v>1</v>
      </c>
      <c r="DP3" s="15" t="str">
        <f>IF('Raw Data'!DD14="","",'Raw Data'!DD14)</f>
        <v>1</v>
      </c>
      <c r="DQ3" s="15" t="str">
        <f>IF('Raw Data'!DE14="","",'Raw Data'!DE14)</f>
        <v>0</v>
      </c>
      <c r="DR3" s="15" t="str">
        <f>IF('Raw Data'!DF14="","",'Raw Data'!DF14)</f>
        <v>0</v>
      </c>
      <c r="DS3" s="15" t="str">
        <f>IF('Raw Data'!DG14="","",'Raw Data'!DG14)</f>
        <v>0</v>
      </c>
      <c r="DT3" s="15" t="str">
        <f>IF('Raw Data'!DH14="","",'Raw Data'!DH14)</f>
        <v>0</v>
      </c>
      <c r="DU3" s="15" t="str">
        <f>IF('Raw Data'!DI14="","",'Raw Data'!DI14)</f>
        <v>1</v>
      </c>
      <c r="DV3" s="15" t="str">
        <f>IF('Raw Data'!DJ14="","",'Raw Data'!DJ14)</f>
        <v>0</v>
      </c>
      <c r="DW3" s="15" t="str">
        <f>IF('Raw Data'!DK14="","",'Raw Data'!DK14)</f>
        <v>0</v>
      </c>
      <c r="DX3" s="15" t="str">
        <f>IF('Raw Data'!DL14="","",'Raw Data'!DL14)</f>
        <v>0</v>
      </c>
      <c r="DY3" s="15" t="str">
        <f>IF('Raw Data'!DM14="","",'Raw Data'!DM14)</f>
        <v/>
      </c>
      <c r="DZ3" s="15" t="str">
        <f>IF('Raw Data'!DN14="","",'Raw Data'!DN14)</f>
        <v/>
      </c>
      <c r="EA3" s="15" t="str">
        <f>IF('Raw Data'!DO14="","",'Raw Data'!DO14)</f>
        <v/>
      </c>
      <c r="EB3" s="15" t="str">
        <f>IF('Raw Data'!DP14="","",'Raw Data'!DP14)</f>
        <v/>
      </c>
      <c r="EC3" s="15" t="str">
        <f>IF('Raw Data'!DQ14="","",'Raw Data'!DQ14)</f>
        <v/>
      </c>
      <c r="ED3" s="15" t="str">
        <f>IF('Raw Data'!DR14="","",'Raw Data'!DR14)</f>
        <v/>
      </c>
      <c r="EE3" s="15" t="str">
        <f>IF('Raw Data'!DS14="","",'Raw Data'!DS14)</f>
        <v/>
      </c>
      <c r="EF3" s="15" t="str">
        <f>IF('Raw Data'!DT14="","",'Raw Data'!DT14)</f>
        <v/>
      </c>
      <c r="EG3" s="15" t="str">
        <f>IF('Raw Data'!DU14="","",'Raw Data'!DU14)</f>
        <v/>
      </c>
      <c r="EH3" s="15" t="str">
        <f>IF('Raw Data'!DV14="","",'Raw Data'!DV14)</f>
        <v/>
      </c>
      <c r="EI3" s="15" t="str">
        <f>IF('Raw Data'!DW14="","",'Raw Data'!DW14)</f>
        <v/>
      </c>
      <c r="EJ3" s="15" t="str">
        <f>IF('Raw Data'!DX14="","",'Raw Data'!DX14)</f>
        <v/>
      </c>
      <c r="EK3" s="15" t="str">
        <f>IF('Raw Data'!DY14="","",'Raw Data'!DY14)</f>
        <v/>
      </c>
      <c r="EL3" s="15" t="str">
        <f>IF('Raw Data'!DZ14="","",'Raw Data'!DZ14)</f>
        <v>dplct_abords_com Soutien_famille_amis Soutien_chef_village Soutien_psychosocial Integration_com_hote</v>
      </c>
      <c r="EM3" s="15" t="str">
        <f>IF('Raw Data'!EA14="","",'Raw Data'!EA14)</f>
        <v>1</v>
      </c>
      <c r="EN3" s="15" t="str">
        <f>IF('Raw Data'!EB14="","",'Raw Data'!EB14)</f>
        <v>1</v>
      </c>
      <c r="EO3" s="15" t="str">
        <f>IF('Raw Data'!EC14="","",'Raw Data'!EC14)</f>
        <v>1</v>
      </c>
      <c r="EP3" s="15" t="str">
        <f>IF('Raw Data'!ED14="","",'Raw Data'!ED14)</f>
        <v>1</v>
      </c>
      <c r="EQ3" s="15" t="str">
        <f>IF('Raw Data'!EE14="","",'Raw Data'!EE14)</f>
        <v>1</v>
      </c>
      <c r="ER3" s="15" t="str">
        <f>IF('Raw Data'!EF14="","",'Raw Data'!EF14)</f>
        <v>0</v>
      </c>
      <c r="ES3" s="15" t="str">
        <f>IF('Raw Data'!EG14="","",'Raw Data'!EG14)</f>
        <v>0</v>
      </c>
      <c r="ET3" s="15" t="str">
        <f>IF('Raw Data'!EH14="","",'Raw Data'!EH14)</f>
        <v>0</v>
      </c>
      <c r="EU3" s="15" t="str">
        <f>IF('Raw Data'!EI14="","",'Raw Data'!EI14)</f>
        <v>0</v>
      </c>
      <c r="EV3" s="15" t="str">
        <f>IF('Raw Data'!EJ14="","",'Raw Data'!EJ14)</f>
        <v/>
      </c>
      <c r="EW3" s="15" t="str">
        <f>IF('Raw Data'!EK14="","",'Raw Data'!EK14)</f>
        <v/>
      </c>
      <c r="EX3" s="15" t="str">
        <f>IF('Raw Data'!EL14="","",'Raw Data'!EL14)</f>
        <v>famille_accueil comite_gestion_conflits comite_protection comite_alerte comite_redevabilite</v>
      </c>
      <c r="EY3" s="15" t="str">
        <f>IF('Raw Data'!EM14="","",'Raw Data'!EM14)</f>
        <v>0</v>
      </c>
      <c r="EZ3" s="15" t="str">
        <f>IF('Raw Data'!EN14="","",'Raw Data'!EN14)</f>
        <v>1</v>
      </c>
      <c r="FA3" s="15" t="str">
        <f>IF('Raw Data'!EO14="","",'Raw Data'!EO14)</f>
        <v>1</v>
      </c>
      <c r="FB3" s="15" t="str">
        <f>IF('Raw Data'!EP14="","",'Raw Data'!EP14)</f>
        <v>1</v>
      </c>
      <c r="FC3" s="15" t="str">
        <f>IF('Raw Data'!EQ14="","",'Raw Data'!EQ14)</f>
        <v>1</v>
      </c>
      <c r="FD3" s="15" t="str">
        <f>IF('Raw Data'!ER14="","",'Raw Data'!ER14)</f>
        <v>1</v>
      </c>
      <c r="FE3" s="15" t="str">
        <f>IF('Raw Data'!ES14="","",'Raw Data'!ES14)</f>
        <v>0</v>
      </c>
      <c r="FF3" s="15" t="str">
        <f>IF('Raw Data'!ET14="","",'Raw Data'!ET14)</f>
        <v>0</v>
      </c>
      <c r="FG3" s="15" t="str">
        <f>IF('Raw Data'!EU14="","",'Raw Data'!EU14)</f>
        <v>0</v>
      </c>
      <c r="FH3" s="15" t="str">
        <f>IF('Raw Data'!EV14="","",'Raw Data'!EV14)</f>
        <v>0</v>
      </c>
      <c r="FI3" s="15" t="str">
        <f>IF('Raw Data'!EW14="","",'Raw Data'!EW14)</f>
        <v/>
      </c>
      <c r="FJ3" s="15" t="str">
        <f>IF('Raw Data'!EX14="","",'Raw Data'!EX14)</f>
        <v>oui</v>
      </c>
      <c r="FK3" s="15" t="str">
        <f>IF('Raw Data'!EY14="","",'Raw Data'!EY14)</f>
        <v>Radio_television manif_sociales Differents_comites_villageois Groupement_femmes</v>
      </c>
      <c r="FL3" s="15" t="str">
        <f>IF('Raw Data'!EZ14="","",'Raw Data'!EZ14)</f>
        <v>1</v>
      </c>
      <c r="FM3" s="15" t="str">
        <f>IF('Raw Data'!FA14="","",'Raw Data'!FA14)</f>
        <v>0</v>
      </c>
      <c r="FN3" s="15" t="str">
        <f>IF('Raw Data'!FB14="","",'Raw Data'!FB14)</f>
        <v>0</v>
      </c>
      <c r="FO3" s="15" t="str">
        <f>IF('Raw Data'!FC14="","",'Raw Data'!FC14)</f>
        <v>1</v>
      </c>
      <c r="FP3" s="15" t="str">
        <f>IF('Raw Data'!FD14="","",'Raw Data'!FD14)</f>
        <v>0</v>
      </c>
      <c r="FQ3" s="15" t="str">
        <f>IF('Raw Data'!FE14="","",'Raw Data'!FE14)</f>
        <v>0</v>
      </c>
      <c r="FR3" s="15" t="str">
        <f>IF('Raw Data'!FF14="","",'Raw Data'!FF14)</f>
        <v>0</v>
      </c>
      <c r="FS3" s="15" t="str">
        <f>IF('Raw Data'!FG14="","",'Raw Data'!FG14)</f>
        <v>1</v>
      </c>
      <c r="FT3" s="15" t="str">
        <f>IF('Raw Data'!FH14="","",'Raw Data'!FH14)</f>
        <v>1</v>
      </c>
      <c r="FU3" s="15" t="str">
        <f>IF('Raw Data'!FI14="","",'Raw Data'!FI14)</f>
        <v>0</v>
      </c>
      <c r="FV3" s="15" t="str">
        <f>IF('Raw Data'!FJ14="","",'Raw Data'!FJ14)</f>
        <v>0</v>
      </c>
      <c r="FW3" s="15" t="str">
        <f>IF('Raw Data'!FK14="","",'Raw Data'!FK14)</f>
        <v>0</v>
      </c>
      <c r="FX3" s="15" t="str">
        <f>IF('Raw Data'!FL14="","",'Raw Data'!FL14)</f>
        <v>0</v>
      </c>
      <c r="FY3" s="15" t="str">
        <f>IF('Raw Data'!FM14="","",'Raw Data'!FM14)</f>
        <v>0</v>
      </c>
      <c r="FZ3" s="15" t="str">
        <f>IF('Raw Data'!FN14="","",'Raw Data'!FN14)</f>
        <v/>
      </c>
      <c r="GA3" s="15" t="str">
        <f>IF('Raw Data'!FO14="","",'Raw Data'!FO14)</f>
        <v>oui_moitie</v>
      </c>
      <c r="GB3" s="15" t="str">
        <f>IF('Raw Data'!FP14="","",'Raw Data'!FP14)</f>
        <v>oui_moitie</v>
      </c>
      <c r="GC3" s="15" t="str">
        <f>IF('Raw Data'!FQ14="","",'Raw Data'!FQ14)</f>
        <v>manque_info trop_du_monde insecurite</v>
      </c>
      <c r="GD3" s="15" t="str">
        <f>IF('Raw Data'!FR14="","",'Raw Data'!FR14)</f>
        <v>0</v>
      </c>
      <c r="GE3" s="15" t="str">
        <f>IF('Raw Data'!FS14="","",'Raw Data'!FS14)</f>
        <v>1</v>
      </c>
      <c r="GF3" s="15" t="str">
        <f>IF('Raw Data'!FT14="","",'Raw Data'!FT14)</f>
        <v>0</v>
      </c>
      <c r="GG3" s="15" t="str">
        <f>IF('Raw Data'!FU14="","",'Raw Data'!FU14)</f>
        <v>0</v>
      </c>
      <c r="GH3" s="15" t="str">
        <f>IF('Raw Data'!FV14="","",'Raw Data'!FV14)</f>
        <v>1</v>
      </c>
      <c r="GI3" s="15" t="str">
        <f>IF('Raw Data'!FW14="","",'Raw Data'!FW14)</f>
        <v>1</v>
      </c>
      <c r="GJ3" s="15" t="str">
        <f>IF('Raw Data'!FX14="","",'Raw Data'!FX14)</f>
        <v>0</v>
      </c>
      <c r="GK3" s="15" t="str">
        <f>IF('Raw Data'!FY14="","",'Raw Data'!FY14)</f>
        <v>0</v>
      </c>
      <c r="GL3" s="15" t="str">
        <f>IF('Raw Data'!FZ14="","",'Raw Data'!FZ14)</f>
        <v/>
      </c>
      <c r="GM3" s="15" t="str">
        <f>IF('Raw Data'!GA14="","",'Raw Data'!GA14)</f>
        <v>majorite</v>
      </c>
      <c r="GN3" s="15" t="str">
        <f>IF('Raw Data'!GB14="","",'Raw Data'!GB14)</f>
        <v>minorite</v>
      </c>
      <c r="GO3" s="15" t="str">
        <f>IF('Raw Data'!GC14="","",'Raw Data'!GC14)</f>
        <v>Acces_aux_doc Services_de_sante Education</v>
      </c>
      <c r="GP3" s="15" t="str">
        <f>IF('Raw Data'!GD14="","",'Raw Data'!GD14)</f>
        <v>0</v>
      </c>
      <c r="GQ3" s="15" t="str">
        <f>IF('Raw Data'!GE14="","",'Raw Data'!GE14)</f>
        <v>1</v>
      </c>
      <c r="GR3" s="15" t="str">
        <f>IF('Raw Data'!GF14="","",'Raw Data'!GF14)</f>
        <v>0</v>
      </c>
      <c r="GS3" s="15" t="str">
        <f>IF('Raw Data'!GG14="","",'Raw Data'!GG14)</f>
        <v>1</v>
      </c>
      <c r="GT3" s="15" t="str">
        <f>IF('Raw Data'!GH14="","",'Raw Data'!GH14)</f>
        <v>1</v>
      </c>
      <c r="GU3" s="15" t="str">
        <f>IF('Raw Data'!GI14="","",'Raw Data'!GI14)</f>
        <v>0</v>
      </c>
      <c r="GV3" s="15" t="str">
        <f>IF('Raw Data'!GJ14="","",'Raw Data'!GJ14)</f>
        <v>0</v>
      </c>
      <c r="GW3" s="15" t="str">
        <f>IF('Raw Data'!GK14="","",'Raw Data'!GK14)</f>
        <v>0</v>
      </c>
      <c r="GX3" s="15" t="str">
        <f>IF('Raw Data'!GL14="","",'Raw Data'!GL14)</f>
        <v>0</v>
      </c>
      <c r="GY3" s="15" t="str">
        <f>IF('Raw Data'!GM14="","",'Raw Data'!GM14)</f>
        <v/>
      </c>
      <c r="GZ3" s="15" t="str">
        <f>IF('Raw Data'!GN14="","",'Raw Data'!GN14)</f>
        <v>oui_majorite</v>
      </c>
      <c r="HA3" s="15" t="str">
        <f>IF('Raw Data'!GO14="","",'Raw Data'!GO14)</f>
        <v>oui_majorite</v>
      </c>
      <c r="HB3" s="15" t="str">
        <f>IF('Raw Data'!GP14="","",'Raw Data'!GP14)</f>
        <v>amelioration_futur repond_besoins_pop permet_eviter_conflits</v>
      </c>
      <c r="HC3" s="15" t="str">
        <f>IF('Raw Data'!GQ14="","",'Raw Data'!GQ14)</f>
        <v>1</v>
      </c>
      <c r="HD3" s="15" t="str">
        <f>IF('Raw Data'!GR14="","",'Raw Data'!GR14)</f>
        <v>1</v>
      </c>
      <c r="HE3" s="15" t="str">
        <f>IF('Raw Data'!GS14="","",'Raw Data'!GS14)</f>
        <v>0</v>
      </c>
      <c r="HF3" s="15" t="str">
        <f>IF('Raw Data'!GT14="","",'Raw Data'!GT14)</f>
        <v>1</v>
      </c>
      <c r="HG3" s="15" t="str">
        <f>IF('Raw Data'!GU14="","",'Raw Data'!GU14)</f>
        <v>0</v>
      </c>
      <c r="HH3" s="15" t="str">
        <f>IF('Raw Data'!GV14="","",'Raw Data'!GV14)</f>
        <v>0</v>
      </c>
      <c r="HI3" s="15" t="str">
        <f>IF('Raw Data'!GW14="","",'Raw Data'!GW14)</f>
        <v>0</v>
      </c>
      <c r="HJ3" s="15" t="str">
        <f>IF('Raw Data'!GX14="","",'Raw Data'!GX14)</f>
        <v>0</v>
      </c>
      <c r="HK3" s="15" t="str">
        <f>IF('Raw Data'!GY14="","",'Raw Data'!GY14)</f>
        <v/>
      </c>
      <c r="HL3" s="15" t="str">
        <f>IF('Raw Data'!GZ14="","",'Raw Data'!GZ14)</f>
        <v>ne_contribue_pas ne_repond_pas non_diminition_tension</v>
      </c>
      <c r="HM3" s="15" t="str">
        <f>IF('Raw Data'!HA14="","",'Raw Data'!HA14)</f>
        <v>1</v>
      </c>
      <c r="HN3" s="15" t="str">
        <f>IF('Raw Data'!HB14="","",'Raw Data'!HB14)</f>
        <v>1</v>
      </c>
      <c r="HO3" s="15" t="str">
        <f>IF('Raw Data'!HC14="","",'Raw Data'!HC14)</f>
        <v>0</v>
      </c>
      <c r="HP3" s="15" t="str">
        <f>IF('Raw Data'!HD14="","",'Raw Data'!HD14)</f>
        <v>1</v>
      </c>
      <c r="HQ3" s="15" t="str">
        <f>IF('Raw Data'!HE14="","",'Raw Data'!HE14)</f>
        <v>0</v>
      </c>
      <c r="HR3" s="15" t="str">
        <f>IF('Raw Data'!HF14="","",'Raw Data'!HF14)</f>
        <v>0</v>
      </c>
      <c r="HS3" s="15" t="str">
        <f>IF('Raw Data'!HG14="","",'Raw Data'!HG14)</f>
        <v/>
      </c>
      <c r="HT3" s="15" t="str">
        <f>IF('Raw Data'!HH14="","",'Raw Data'!HH14)</f>
        <v/>
      </c>
      <c r="HU3" s="15" t="str">
        <f>IF('Raw Data'!HI14="","",'Raw Data'!HI14)</f>
        <v>non</v>
      </c>
      <c r="HV3" s="15" t="str">
        <f>IF('Raw Data'!HJ14="","",'Raw Data'!HJ14)</f>
        <v/>
      </c>
      <c r="HW3" s="15" t="str">
        <f>IF('Raw Data'!HK14="","",'Raw Data'!HK14)</f>
        <v/>
      </c>
      <c r="HX3" s="15" t="str">
        <f>IF('Raw Data'!HL14="","",'Raw Data'!HL14)</f>
        <v/>
      </c>
      <c r="HY3" s="15" t="str">
        <f>IF('Raw Data'!HM14="","",'Raw Data'!HM14)</f>
        <v/>
      </c>
      <c r="HZ3" s="15" t="str">
        <f>IF('Raw Data'!HN14="","",'Raw Data'!HN14)</f>
        <v/>
      </c>
      <c r="IA3" s="15" t="str">
        <f>IF('Raw Data'!HO14="","",'Raw Data'!HO14)</f>
        <v/>
      </c>
      <c r="IB3" s="15" t="str">
        <f>IF('Raw Data'!HP14="","",'Raw Data'!HP14)</f>
        <v/>
      </c>
      <c r="IC3" s="15" t="str">
        <f>IF('Raw Data'!HQ14="","",'Raw Data'!HQ14)</f>
        <v/>
      </c>
      <c r="ID3" s="15" t="str">
        <f>IF('Raw Data'!HR14="","",'Raw Data'!HR14)</f>
        <v/>
      </c>
      <c r="IE3" s="15" t="str">
        <f>IF('Raw Data'!HS14="","",'Raw Data'!HS14)</f>
        <v/>
      </c>
      <c r="IF3" s="15" t="str">
        <f>IF('Raw Data'!HT14="","",'Raw Data'!HT14)</f>
        <v/>
      </c>
      <c r="IG3" s="15" t="str">
        <f>IF('Raw Data'!HU14="","",'Raw Data'!HU14)</f>
        <v/>
      </c>
      <c r="IH3" s="15" t="str">
        <f>IF('Raw Data'!HV14="","",'Raw Data'!HV14)</f>
        <v>oui</v>
      </c>
      <c r="II3" s="15" t="str">
        <f>IF('Raw Data'!HW14="","",'Raw Data'!HW14)</f>
        <v/>
      </c>
      <c r="IJ3" s="31"/>
      <c r="IK3" s="31"/>
      <c r="IL3" s="31"/>
      <c r="IM3" s="31"/>
      <c r="IN3" s="31"/>
      <c r="IO3" s="31"/>
      <c r="IP3" s="31"/>
      <c r="IQ3" s="31"/>
      <c r="IR3" s="31"/>
      <c r="IS3" s="31"/>
      <c r="IT3" s="31"/>
      <c r="IU3" s="31"/>
      <c r="IV3" s="31"/>
      <c r="IW3" s="31"/>
      <c r="IX3" s="31"/>
      <c r="IY3" s="15" t="str">
        <f>IF('Raw Data'!IM14="","",'Raw Data'!IM14)</f>
        <v/>
      </c>
      <c r="IZ3" s="31"/>
      <c r="JA3" s="31"/>
      <c r="JB3" s="31"/>
      <c r="JC3" s="31"/>
      <c r="JD3" s="31"/>
      <c r="JE3" s="31"/>
      <c r="JF3" s="31"/>
      <c r="JG3" s="31"/>
      <c r="JH3" s="31"/>
      <c r="JI3" s="31"/>
      <c r="JJ3" s="31"/>
      <c r="JK3" s="31"/>
      <c r="JL3" s="15" t="str">
        <f>IF('Raw Data'!IZ14="","",'Raw Data'!IZ14)</f>
        <v/>
      </c>
      <c r="JM3" s="31"/>
      <c r="JN3" s="31"/>
      <c r="JO3" s="31"/>
      <c r="JP3" s="31"/>
      <c r="JQ3" s="31"/>
      <c r="JR3" s="31"/>
      <c r="JS3" s="31"/>
      <c r="JT3" s="15" t="str">
        <f>IF('Raw Data'!JH14="","",'Raw Data'!JH14)</f>
        <v/>
      </c>
      <c r="JU3" s="15" t="str">
        <f>IF('Raw Data'!JI14="","",'Raw Data'!JI14)</f>
        <v/>
      </c>
      <c r="JV3" s="15" t="str">
        <f>IF('Raw Data'!JJ14="","",'Raw Data'!JJ14)</f>
        <v/>
      </c>
      <c r="JW3" s="15" t="str">
        <f>IF('Raw Data'!JK14="","",'Raw Data'!JK14)</f>
        <v/>
      </c>
      <c r="JX3" s="15" t="str">
        <f>IF('Raw Data'!JL14="","",'Raw Data'!JL14)</f>
        <v/>
      </c>
      <c r="JY3" s="15" t="str">
        <f>IF('Raw Data'!JM14="","",'Raw Data'!JM14)</f>
        <v/>
      </c>
      <c r="JZ3" s="15" t="str">
        <f>IF('Raw Data'!JN14="","",'Raw Data'!JN14)</f>
        <v/>
      </c>
      <c r="KA3" s="15" t="str">
        <f>IF('Raw Data'!JO14="","",'Raw Data'!JO14)</f>
        <v/>
      </c>
      <c r="KB3" s="15" t="str">
        <f>IF('Raw Data'!JP14="","",'Raw Data'!JP14)</f>
        <v/>
      </c>
      <c r="KC3" s="15" t="str">
        <f>IF('Raw Data'!JQ14="","",'Raw Data'!JQ14)</f>
        <v/>
      </c>
      <c r="KD3" s="15" t="str">
        <f>IF('Raw Data'!JR14="","",'Raw Data'!JR14)</f>
        <v/>
      </c>
      <c r="KE3" s="15" t="str">
        <f>IF('Raw Data'!JS14="","",'Raw Data'!JS14)</f>
        <v/>
      </c>
      <c r="KF3" s="31"/>
      <c r="KG3" s="31"/>
      <c r="KH3" s="31"/>
      <c r="KI3" s="31"/>
      <c r="KJ3" s="31"/>
      <c r="KK3" s="31"/>
      <c r="KL3" s="31"/>
      <c r="KM3" s="31"/>
      <c r="KN3" s="31"/>
      <c r="KO3" s="31"/>
      <c r="KP3" s="15" t="str">
        <f>IF('Raw Data'!KD14="","",'Raw Data'!KD14)</f>
        <v/>
      </c>
      <c r="KQ3" s="15" t="str">
        <f>IF('Raw Data'!KE14="","",'Raw Data'!KE14)</f>
        <v/>
      </c>
      <c r="KR3" s="31"/>
      <c r="KS3" s="31"/>
      <c r="KT3" s="31"/>
      <c r="KU3" s="31"/>
      <c r="KV3" s="31"/>
      <c r="KW3" s="31"/>
      <c r="KX3" s="31"/>
      <c r="KY3" s="31"/>
      <c r="KZ3" s="31"/>
      <c r="LA3" s="31"/>
      <c r="LB3" s="31"/>
      <c r="LC3" s="31"/>
      <c r="LD3" s="31"/>
      <c r="LE3" s="15" t="str">
        <f>IF('Raw Data'!KS14="","",'Raw Data'!KS14)</f>
        <v/>
      </c>
      <c r="LF3" s="31"/>
      <c r="LG3" s="31"/>
      <c r="LH3" s="31"/>
      <c r="LI3" s="31"/>
      <c r="LJ3" s="31"/>
      <c r="LK3" s="31"/>
      <c r="LL3" s="31"/>
      <c r="LM3" s="15" t="str">
        <f>IF('Raw Data'!LA14="","",'Raw Data'!LA14)</f>
        <v/>
      </c>
      <c r="LN3" s="31"/>
      <c r="LO3" s="31"/>
      <c r="LP3" s="31"/>
      <c r="LQ3" s="31"/>
      <c r="LR3" s="31"/>
      <c r="LS3" s="31"/>
      <c r="LT3" s="31"/>
      <c r="LU3" s="31"/>
      <c r="LV3" s="31"/>
      <c r="LW3" s="31"/>
      <c r="LX3" s="31"/>
      <c r="LY3" s="31"/>
      <c r="LZ3" s="15" t="str">
        <f>IF('Raw Data'!LN14="","",'Raw Data'!LN14)</f>
        <v/>
      </c>
      <c r="MA3" s="31"/>
      <c r="MB3" s="15" t="str">
        <f>IF('Raw Data'!LP14="","",'Raw Data'!LP14)</f>
        <v>oui</v>
      </c>
      <c r="MC3" s="15" t="str">
        <f>IF('Raw Data'!LQ14="","",'Raw Data'!LQ14)</f>
        <v/>
      </c>
      <c r="MD3" s="15" t="str">
        <f>IF('Raw Data'!LR14="","",'Raw Data'!LR14)</f>
        <v>Tout d'abord  merci  beaucoup  a votre organisation pour la considération  et  pour tout les actions  que vous meniez pour nous   juste  pour répondre  a nos principaux  besoins je profite  de l occasion   pour vous demandez  de nous augmenter  ces effort  surtout avec l accroissent de la populations  déplacées  dans notre cite</v>
      </c>
      <c r="ME3" s="15">
        <f>IF('Raw Data'!LS14="","",'Raw Data'!LS14)</f>
        <v>169193429</v>
      </c>
      <c r="MF3" s="15" t="str">
        <f>IF('Raw Data'!LT14="","",'Raw Data'!LT14)</f>
        <v>0a047e3d-bf52-4de5-ba00-011a4a2b15e5</v>
      </c>
      <c r="MG3" s="15" t="str">
        <f>IF('Raw Data'!LU14="","",'Raw Data'!LU14)</f>
        <v>2021-04-01T16:46:06</v>
      </c>
      <c r="MH3" s="15" t="str">
        <f>IF('Raw Data'!LV14="","",'Raw Data'!LV14)</f>
        <v/>
      </c>
      <c r="MI3" s="15" t="str">
        <f>IF('Raw Data'!LW14="","",'Raw Data'!LW14)</f>
        <v>[]</v>
      </c>
      <c r="MJ3" s="15" t="str">
        <f>IF('Raw Data'!LX14="","",'Raw Data'!LX14)</f>
        <v>submitted_via_web</v>
      </c>
      <c r="MK3" s="15" t="str">
        <f>IF('Raw Data'!LY14="","",'Raw Data'!LY14)</f>
        <v>reach_niger</v>
      </c>
      <c r="ML3" s="15" t="str">
        <f>IF('Raw Data'!LZ14="","",'Raw Data'!LZ14)</f>
        <v/>
      </c>
      <c r="MM3" s="15">
        <f>IF('Raw Data'!MA14="","",'Raw Data'!MA14)</f>
        <v>13</v>
      </c>
    </row>
    <row r="4" spans="1:351" x14ac:dyDescent="0.3">
      <c r="A4" s="26" t="str">
        <f t="shared" si="0"/>
        <v>53e0af19-325d-4544-a7eb-fc3f96a81d34</v>
      </c>
      <c r="B4" s="26" t="str">
        <f t="shared" si="1"/>
        <v>torodi</v>
      </c>
      <c r="C4" s="26" t="str">
        <f t="shared" si="2"/>
        <v>A</v>
      </c>
      <c r="D4" s="14" t="str">
        <f>IF('Raw Data'!A13="","",'Raw Data'!A13)</f>
        <v>2021-04-01T11:27:41.126+01:00</v>
      </c>
      <c r="E4" s="14" t="str">
        <f>IF('Raw Data'!B13="","",'Raw Data'!B13)</f>
        <v>2021-04-01T17:39:16.636+01:00</v>
      </c>
      <c r="F4" s="30">
        <v>44287.47755787037</v>
      </c>
      <c r="G4" s="30">
        <v>44287.735601851855</v>
      </c>
      <c r="H4" s="29">
        <f>VLOOKUP(A4,Audit[#All],2,FALSE)</f>
        <v>371.59</v>
      </c>
      <c r="I4" s="29">
        <f>VLOOKUP(A4,Audit[#All],3,FALSE)</f>
        <v>60.72</v>
      </c>
      <c r="J4" s="29">
        <f>VLOOKUP(A4,Audit[#All],4,FALSE)</f>
        <v>49.37</v>
      </c>
      <c r="K4" s="29">
        <f>VLOOKUP(A4,nb_questions[#All],2,FALSE)</f>
        <v>141</v>
      </c>
      <c r="L4" s="29">
        <f t="shared" si="3"/>
        <v>51</v>
      </c>
      <c r="M4" s="14" t="str">
        <f>IF('Raw Data'!C13="","",'Raw Data'!C13)</f>
        <v>2021-04-01</v>
      </c>
      <c r="N4" s="14" t="str">
        <f>IF('Raw Data'!D13="","",'Raw Data'!D13)</f>
        <v/>
      </c>
      <c r="O4" s="14" t="str">
        <f>IF('Raw Data'!E13="","",'Raw Data'!E13)</f>
        <v/>
      </c>
      <c r="P4" s="29" t="str">
        <f>VLOOKUP(A4,code_enqueteurs[#All],3,FALSE)</f>
        <v>A</v>
      </c>
      <c r="Q4" s="29" t="s">
        <v>1644</v>
      </c>
      <c r="R4" s="14" t="str">
        <f>IF('Raw Data'!F13="","",'Raw Data'!F13)</f>
        <v>Homme</v>
      </c>
      <c r="S4" s="15" t="str">
        <f>IF('Raw Data'!G13="","",'Raw Data'!G13)</f>
        <v>torodi</v>
      </c>
      <c r="T4" s="15" t="str">
        <f>IF('Raw Data'!H13="","",'Raw Data'!H13)</f>
        <v>torodi</v>
      </c>
      <c r="U4" s="15" t="str">
        <f>IF('Raw Data'!I13="","",'Raw Data'!I13)</f>
        <v>fada</v>
      </c>
      <c r="V4" s="15" t="str">
        <f>IF('Raw Data'!J13="","",'Raw Data'!J13)</f>
        <v/>
      </c>
      <c r="W4" s="15" t="str">
        <f>IF('Raw Data'!K13="","",'Raw Data'!K13)</f>
        <v/>
      </c>
      <c r="X4" s="15" t="str">
        <f>IF('Raw Data'!L13="","",'Raw Data'!L13)</f>
        <v/>
      </c>
      <c r="Y4" s="15" t="str">
        <f>IF('Raw Data'!M13="","",'Raw Data'!M13)</f>
        <v/>
      </c>
      <c r="Z4" s="15" t="str">
        <f>IF('Raw Data'!N13="","",'Raw Data'!N13)</f>
        <v/>
      </c>
      <c r="AA4" s="15" t="str">
        <f>IF('Raw Data'!O13="","",'Raw Data'!O13)</f>
        <v/>
      </c>
      <c r="AB4" s="15" t="str">
        <f>IF('Raw Data'!P13="","",'Raw Data'!P13)</f>
        <v/>
      </c>
      <c r="AC4" s="15" t="str">
        <f>IF('Raw Data'!Q13="","",'Raw Data'!Q13)</f>
        <v/>
      </c>
      <c r="AD4" s="15" t="str">
        <f>IF('Raw Data'!R13="","",'Raw Data'!R13)</f>
        <v>Homme</v>
      </c>
      <c r="AE4" s="15" t="str">
        <f>IF('Raw Data'!S13="","",'Raw Data'!S13)</f>
        <v>47</v>
      </c>
      <c r="AF4" s="15" t="str">
        <f>IF('Raw Data'!T13="","",'Raw Data'!T13)</f>
        <v>deplace_interne</v>
      </c>
      <c r="AG4" s="15" t="str">
        <f>IF('Raw Data'!U13="","",'Raw Data'!U13)</f>
        <v/>
      </c>
      <c r="AH4" s="15" t="str">
        <f>IF('Raw Data'!V13="","",'Raw Data'!V13)</f>
        <v/>
      </c>
      <c r="AI4" s="15" t="str">
        <f>IF('Raw Data'!W13="","",'Raw Data'!W13)</f>
        <v/>
      </c>
      <c r="AJ4" s="15" t="str">
        <f>IF('Raw Data'!X13="","",'Raw Data'!X13)</f>
        <v/>
      </c>
      <c r="AK4" s="15" t="str">
        <f>IF('Raw Data'!Y13="","",'Raw Data'!Y13)</f>
        <v/>
      </c>
      <c r="AL4" s="15" t="str">
        <f>IF('Raw Data'!Z13="","",'Raw Data'!Z13)</f>
        <v>niger</v>
      </c>
      <c r="AM4" s="15" t="str">
        <f>IF('Raw Data'!AA13="","",'Raw Data'!AA13)</f>
        <v>tillaberi</v>
      </c>
      <c r="AN4" s="15" t="str">
        <f>IF('Raw Data'!AB13="","",'Raw Data'!AB13)</f>
        <v>torodi</v>
      </c>
      <c r="AO4" s="15" t="str">
        <f>IF('Raw Data'!AC13="","",'Raw Data'!AC13)</f>
        <v/>
      </c>
      <c r="AP4" s="15" t="str">
        <f>IF('Raw Data'!AD13="","",'Raw Data'!AD13)</f>
        <v/>
      </c>
      <c r="AQ4" s="15" t="str">
        <f>IF('Raw Data'!AE13="","",'Raw Data'!AE13)</f>
        <v/>
      </c>
      <c r="AR4" s="15" t="str">
        <f>IF('Raw Data'!AF13="","",'Raw Data'!AF13)</f>
        <v/>
      </c>
      <c r="AS4" s="15" t="str">
        <f>IF('Raw Data'!AG13="","",'Raw Data'!AG13)</f>
        <v>oui</v>
      </c>
      <c r="AT4" s="15" t="str">
        <f>IF('Raw Data'!AH13="","",'Raw Data'!AH13)</f>
        <v>Violences_physique_civils</v>
      </c>
      <c r="AU4" s="15" t="str">
        <f>IF('Raw Data'!AI13="","",'Raw Data'!AI13)</f>
        <v>0</v>
      </c>
      <c r="AV4" s="15" t="str">
        <f>IF('Raw Data'!AJ13="","",'Raw Data'!AJ13)</f>
        <v>0</v>
      </c>
      <c r="AW4" s="15" t="str">
        <f>IF('Raw Data'!AK13="","",'Raw Data'!AK13)</f>
        <v>0</v>
      </c>
      <c r="AX4" s="15" t="str">
        <f>IF('Raw Data'!AL13="","",'Raw Data'!AL13)</f>
        <v>0</v>
      </c>
      <c r="AY4" s="15" t="str">
        <f>IF('Raw Data'!AM13="","",'Raw Data'!AM13)</f>
        <v>1</v>
      </c>
      <c r="AZ4" s="15" t="str">
        <f>IF('Raw Data'!AN13="","",'Raw Data'!AN13)</f>
        <v>0</v>
      </c>
      <c r="BA4" s="15" t="str">
        <f>IF('Raw Data'!AO13="","",'Raw Data'!AO13)</f>
        <v>0</v>
      </c>
      <c r="BB4" s="15" t="str">
        <f>IF('Raw Data'!AP13="","",'Raw Data'!AP13)</f>
        <v>0</v>
      </c>
      <c r="BC4" s="15" t="str">
        <f>IF('Raw Data'!AQ13="","",'Raw Data'!AQ13)</f>
        <v>0</v>
      </c>
      <c r="BD4" s="15" t="str">
        <f>IF('Raw Data'!AR13="","",'Raw Data'!AR13)</f>
        <v>0</v>
      </c>
      <c r="BE4" s="15" t="str">
        <f>IF('Raw Data'!AS13="","",'Raw Data'!AS13)</f>
        <v>0</v>
      </c>
      <c r="BF4" s="15" t="str">
        <f>IF('Raw Data'!AT13="","",'Raw Data'!AT13)</f>
        <v>0</v>
      </c>
      <c r="BG4" s="15" t="str">
        <f>IF('Raw Data'!AU13="","",'Raw Data'!AU13)</f>
        <v>0</v>
      </c>
      <c r="BH4" s="15" t="str">
        <f>IF('Raw Data'!AV13="","",'Raw Data'!AV13)</f>
        <v>0</v>
      </c>
      <c r="BI4" s="15" t="str">
        <f>IF('Raw Data'!AW13="","",'Raw Data'!AW13)</f>
        <v/>
      </c>
      <c r="BJ4" s="15" t="str">
        <f>IF('Raw Data'!AX13="","",'Raw Data'!AX13)</f>
        <v>Filles Femmes</v>
      </c>
      <c r="BK4" s="15" t="str">
        <f>IF('Raw Data'!AY13="","",'Raw Data'!AY13)</f>
        <v>0</v>
      </c>
      <c r="BL4" s="15" t="str">
        <f>IF('Raw Data'!AZ13="","",'Raw Data'!AZ13)</f>
        <v>0</v>
      </c>
      <c r="BM4" s="15" t="str">
        <f>IF('Raw Data'!BA13="","",'Raw Data'!BA13)</f>
        <v>1</v>
      </c>
      <c r="BN4" s="15" t="str">
        <f>IF('Raw Data'!BB13="","",'Raw Data'!BB13)</f>
        <v>0</v>
      </c>
      <c r="BO4" s="15" t="str">
        <f>IF('Raw Data'!BC13="","",'Raw Data'!BC13)</f>
        <v>1</v>
      </c>
      <c r="BP4" s="15" t="str">
        <f>IF('Raw Data'!BD13="","",'Raw Data'!BD13)</f>
        <v>0</v>
      </c>
      <c r="BQ4" s="15" t="str">
        <f>IF('Raw Data'!BE13="","",'Raw Data'!BE13)</f>
        <v>0</v>
      </c>
      <c r="BR4" s="15" t="str">
        <f>IF('Raw Data'!BF13="","",'Raw Data'!BF13)</f>
        <v>0</v>
      </c>
      <c r="BS4" s="15" t="str">
        <f>IF('Raw Data'!BG13="","",'Raw Data'!BG13)</f>
        <v>0</v>
      </c>
      <c r="BT4" s="15" t="str">
        <f>IF('Raw Data'!BH13="","",'Raw Data'!BH13)</f>
        <v>0</v>
      </c>
      <c r="BU4" s="15" t="str">
        <f>IF('Raw Data'!BI13="","",'Raw Data'!BI13)</f>
        <v>0</v>
      </c>
      <c r="BV4" s="15" t="str">
        <f>IF('Raw Data'!BJ13="","",'Raw Data'!BJ13)</f>
        <v>0</v>
      </c>
      <c r="BW4" s="15" t="str">
        <f>IF('Raw Data'!BK13="","",'Raw Data'!BK13)</f>
        <v>0</v>
      </c>
      <c r="BX4" s="15" t="str">
        <f>IF('Raw Data'!BL13="","",'Raw Data'!BL13)</f>
        <v>0</v>
      </c>
      <c r="BY4" s="15" t="str">
        <f>IF('Raw Data'!BM13="","",'Raw Data'!BM13)</f>
        <v/>
      </c>
      <c r="BZ4" s="15" t="str">
        <f>IF('Raw Data'!BN13="","",'Raw Data'!BN13)</f>
        <v>2</v>
      </c>
      <c r="CA4" s="15" t="str">
        <f>IF('Raw Data'!BO13="","",'Raw Data'!BO13)</f>
        <v>augmente</v>
      </c>
      <c r="CB4" s="15" t="str">
        <f>IF('Raw Data'!BP13="","",'Raw Data'!BP13)</f>
        <v/>
      </c>
      <c r="CC4" s="15" t="str">
        <f>IF('Raw Data'!BQ13="","",'Raw Data'!BQ13)</f>
        <v>oui</v>
      </c>
      <c r="CD4" s="15" t="str">
        <f>IF('Raw Data'!BR13="","",'Raw Data'!BR13)</f>
        <v>deni_de_ressource viol mariage_force</v>
      </c>
      <c r="CE4" s="15" t="str">
        <f>IF('Raw Data'!BS13="","",'Raw Data'!BS13)</f>
        <v>1</v>
      </c>
      <c r="CF4" s="15" t="str">
        <f>IF('Raw Data'!BT13="","",'Raw Data'!BT13)</f>
        <v>0</v>
      </c>
      <c r="CG4" s="15" t="str">
        <f>IF('Raw Data'!BU13="","",'Raw Data'!BU13)</f>
        <v>0</v>
      </c>
      <c r="CH4" s="15" t="str">
        <f>IF('Raw Data'!BV13="","",'Raw Data'!BV13)</f>
        <v>1</v>
      </c>
      <c r="CI4" s="15" t="str">
        <f>IF('Raw Data'!BW13="","",'Raw Data'!BW13)</f>
        <v>0</v>
      </c>
      <c r="CJ4" s="15" t="str">
        <f>IF('Raw Data'!BX13="","",'Raw Data'!BX13)</f>
        <v>1</v>
      </c>
      <c r="CK4" s="15" t="str">
        <f>IF('Raw Data'!BY13="","",'Raw Data'!BY13)</f>
        <v>0</v>
      </c>
      <c r="CL4" s="15" t="str">
        <f>IF('Raw Data'!BZ13="","",'Raw Data'!BZ13)</f>
        <v>0</v>
      </c>
      <c r="CM4" s="15" t="str">
        <f>IF('Raw Data'!CA13="","",'Raw Data'!CA13)</f>
        <v>0</v>
      </c>
      <c r="CN4" s="15" t="str">
        <f>IF('Raw Data'!CB13="","",'Raw Data'!CB13)</f>
        <v>0</v>
      </c>
      <c r="CO4" s="15" t="str">
        <f>IF('Raw Data'!CC13="","",'Raw Data'!CC13)</f>
        <v>0</v>
      </c>
      <c r="CP4" s="15" t="str">
        <f>IF('Raw Data'!CD13="","",'Raw Data'!CD13)</f>
        <v>0</v>
      </c>
      <c r="CQ4" s="15" t="str">
        <f>IF('Raw Data'!CE13="","",'Raw Data'!CE13)</f>
        <v>0</v>
      </c>
      <c r="CR4" s="15" t="str">
        <f>IF('Raw Data'!CF13="","",'Raw Data'!CF13)</f>
        <v>0</v>
      </c>
      <c r="CS4" s="15" t="str">
        <f>IF('Raw Data'!CG13="","",'Raw Data'!CG13)</f>
        <v>0</v>
      </c>
      <c r="CT4" s="15" t="str">
        <f>IF('Raw Data'!CH13="","",'Raw Data'!CH13)</f>
        <v/>
      </c>
      <c r="CU4" s="15" t="str">
        <f>IF('Raw Data'!CI13="","",'Raw Data'!CI13)</f>
        <v>Filles Enfants Garçons</v>
      </c>
      <c r="CV4" s="15" t="str">
        <f>IF('Raw Data'!CJ13="","",'Raw Data'!CJ13)</f>
        <v>0</v>
      </c>
      <c r="CW4" s="15" t="str">
        <f>IF('Raw Data'!CK13="","",'Raw Data'!CK13)</f>
        <v>1</v>
      </c>
      <c r="CX4" s="15" t="str">
        <f>IF('Raw Data'!CL13="","",'Raw Data'!CL13)</f>
        <v>1</v>
      </c>
      <c r="CY4" s="15" t="str">
        <f>IF('Raw Data'!CM13="","",'Raw Data'!CM13)</f>
        <v>1</v>
      </c>
      <c r="CZ4" s="15" t="str">
        <f>IF('Raw Data'!CN13="","",'Raw Data'!CN13)</f>
        <v>0</v>
      </c>
      <c r="DA4" s="15" t="str">
        <f>IF('Raw Data'!CO13="","",'Raw Data'!CO13)</f>
        <v>0</v>
      </c>
      <c r="DB4" s="15" t="str">
        <f>IF('Raw Data'!CP13="","",'Raw Data'!CP13)</f>
        <v>0</v>
      </c>
      <c r="DC4" s="15" t="str">
        <f>IF('Raw Data'!CQ13="","",'Raw Data'!CQ13)</f>
        <v>0</v>
      </c>
      <c r="DD4" s="15" t="str">
        <f>IF('Raw Data'!CR13="","",'Raw Data'!CR13)</f>
        <v>0</v>
      </c>
      <c r="DE4" s="15" t="str">
        <f>IF('Raw Data'!CS13="","",'Raw Data'!CS13)</f>
        <v>0</v>
      </c>
      <c r="DF4" s="15" t="str">
        <f>IF('Raw Data'!CT13="","",'Raw Data'!CT13)</f>
        <v>0</v>
      </c>
      <c r="DG4" s="15" t="str">
        <f>IF('Raw Data'!CU13="","",'Raw Data'!CU13)</f>
        <v>0</v>
      </c>
      <c r="DH4" s="15" t="str">
        <f>IF('Raw Data'!CV13="","",'Raw Data'!CV13)</f>
        <v>0</v>
      </c>
      <c r="DI4" s="15" t="str">
        <f>IF('Raw Data'!CW13="","",'Raw Data'!CW13)</f>
        <v>0</v>
      </c>
      <c r="DJ4" s="15" t="str">
        <f>IF('Raw Data'!CX13="","",'Raw Data'!CX13)</f>
        <v/>
      </c>
      <c r="DK4" s="15" t="str">
        <f>IF('Raw Data'!CY13="","",'Raw Data'!CY13)</f>
        <v>plusde5</v>
      </c>
      <c r="DL4" s="15" t="str">
        <f>IF('Raw Data'!CZ13="","",'Raw Data'!CZ13)</f>
        <v>augmente</v>
      </c>
      <c r="DM4" s="15" t="str">
        <f>IF('Raw Data'!DA13="","",'Raw Data'!DA13)</f>
        <v/>
      </c>
      <c r="DN4" s="15" t="str">
        <f>IF('Raw Data'!DB13="","",'Raw Data'!DB13)</f>
        <v>deterioration_con_abris hausse_chomeurs deterioration_acces_service_base</v>
      </c>
      <c r="DO4" s="15" t="str">
        <f>IF('Raw Data'!DC13="","",'Raw Data'!DC13)</f>
        <v>0</v>
      </c>
      <c r="DP4" s="15" t="str">
        <f>IF('Raw Data'!DD13="","",'Raw Data'!DD13)</f>
        <v>1</v>
      </c>
      <c r="DQ4" s="15" t="str">
        <f>IF('Raw Data'!DE13="","",'Raw Data'!DE13)</f>
        <v>1</v>
      </c>
      <c r="DR4" s="15" t="str">
        <f>IF('Raw Data'!DF13="","",'Raw Data'!DF13)</f>
        <v>0</v>
      </c>
      <c r="DS4" s="15" t="str">
        <f>IF('Raw Data'!DG13="","",'Raw Data'!DG13)</f>
        <v>0</v>
      </c>
      <c r="DT4" s="15" t="str">
        <f>IF('Raw Data'!DH13="","",'Raw Data'!DH13)</f>
        <v>0</v>
      </c>
      <c r="DU4" s="15" t="str">
        <f>IF('Raw Data'!DI13="","",'Raw Data'!DI13)</f>
        <v>1</v>
      </c>
      <c r="DV4" s="15" t="str">
        <f>IF('Raw Data'!DJ13="","",'Raw Data'!DJ13)</f>
        <v>0</v>
      </c>
      <c r="DW4" s="15" t="str">
        <f>IF('Raw Data'!DK13="","",'Raw Data'!DK13)</f>
        <v>0</v>
      </c>
      <c r="DX4" s="15" t="str">
        <f>IF('Raw Data'!DL13="","",'Raw Data'!DL13)</f>
        <v>0</v>
      </c>
      <c r="DY4" s="15" t="str">
        <f>IF('Raw Data'!DM13="","",'Raw Data'!DM13)</f>
        <v/>
      </c>
      <c r="DZ4" s="15" t="str">
        <f>IF('Raw Data'!DN13="","",'Raw Data'!DN13)</f>
        <v/>
      </c>
      <c r="EA4" s="15" t="str">
        <f>IF('Raw Data'!DO13="","",'Raw Data'!DO13)</f>
        <v/>
      </c>
      <c r="EB4" s="15" t="str">
        <f>IF('Raw Data'!DP13="","",'Raw Data'!DP13)</f>
        <v/>
      </c>
      <c r="EC4" s="15" t="str">
        <f>IF('Raw Data'!DQ13="","",'Raw Data'!DQ13)</f>
        <v/>
      </c>
      <c r="ED4" s="15" t="str">
        <f>IF('Raw Data'!DR13="","",'Raw Data'!DR13)</f>
        <v/>
      </c>
      <c r="EE4" s="15" t="str">
        <f>IF('Raw Data'!DS13="","",'Raw Data'!DS13)</f>
        <v/>
      </c>
      <c r="EF4" s="15" t="str">
        <f>IF('Raw Data'!DT13="","",'Raw Data'!DT13)</f>
        <v/>
      </c>
      <c r="EG4" s="15" t="str">
        <f>IF('Raw Data'!DU13="","",'Raw Data'!DU13)</f>
        <v/>
      </c>
      <c r="EH4" s="15" t="str">
        <f>IF('Raw Data'!DV13="","",'Raw Data'!DV13)</f>
        <v/>
      </c>
      <c r="EI4" s="15" t="str">
        <f>IF('Raw Data'!DW13="","",'Raw Data'!DW13)</f>
        <v/>
      </c>
      <c r="EJ4" s="15" t="str">
        <f>IF('Raw Data'!DX13="","",'Raw Data'!DX13)</f>
        <v/>
      </c>
      <c r="EK4" s="15" t="str">
        <f>IF('Raw Data'!DY13="","",'Raw Data'!DY13)</f>
        <v/>
      </c>
      <c r="EL4" s="15" t="str">
        <f>IF('Raw Data'!DZ13="","",'Raw Data'!DZ13)</f>
        <v>Soutien_chef_village Soutien_famille_amis Soutien_psychosocial Integration_com_hote dplct_abords_com</v>
      </c>
      <c r="EM4" s="15" t="str">
        <f>IF('Raw Data'!EA13="","",'Raw Data'!EA13)</f>
        <v>1</v>
      </c>
      <c r="EN4" s="15" t="str">
        <f>IF('Raw Data'!EB13="","",'Raw Data'!EB13)</f>
        <v>1</v>
      </c>
      <c r="EO4" s="15" t="str">
        <f>IF('Raw Data'!EC13="","",'Raw Data'!EC13)</f>
        <v>1</v>
      </c>
      <c r="EP4" s="15" t="str">
        <f>IF('Raw Data'!ED13="","",'Raw Data'!ED13)</f>
        <v>1</v>
      </c>
      <c r="EQ4" s="15" t="str">
        <f>IF('Raw Data'!EE13="","",'Raw Data'!EE13)</f>
        <v>1</v>
      </c>
      <c r="ER4" s="15" t="str">
        <f>IF('Raw Data'!EF13="","",'Raw Data'!EF13)</f>
        <v>0</v>
      </c>
      <c r="ES4" s="15" t="str">
        <f>IF('Raw Data'!EG13="","",'Raw Data'!EG13)</f>
        <v>0</v>
      </c>
      <c r="ET4" s="15" t="str">
        <f>IF('Raw Data'!EH13="","",'Raw Data'!EH13)</f>
        <v>0</v>
      </c>
      <c r="EU4" s="15" t="str">
        <f>IF('Raw Data'!EI13="","",'Raw Data'!EI13)</f>
        <v>0</v>
      </c>
      <c r="EV4" s="15" t="str">
        <f>IF('Raw Data'!EJ13="","",'Raw Data'!EJ13)</f>
        <v/>
      </c>
      <c r="EW4" s="15" t="str">
        <f>IF('Raw Data'!EK13="","",'Raw Data'!EK13)</f>
        <v/>
      </c>
      <c r="EX4" s="15" t="str">
        <f>IF('Raw Data'!EL13="","",'Raw Data'!EL13)</f>
        <v>comite_protection famille_accueil comite_alerte comite_gestion_conflits enfant_pairs comite_redevabilite</v>
      </c>
      <c r="EY4" s="15" t="str">
        <f>IF('Raw Data'!EM13="","",'Raw Data'!EM13)</f>
        <v>0</v>
      </c>
      <c r="EZ4" s="15" t="str">
        <f>IF('Raw Data'!EN13="","",'Raw Data'!EN13)</f>
        <v>1</v>
      </c>
      <c r="FA4" s="15" t="str">
        <f>IF('Raw Data'!EO13="","",'Raw Data'!EO13)</f>
        <v>1</v>
      </c>
      <c r="FB4" s="15" t="str">
        <f>IF('Raw Data'!EP13="","",'Raw Data'!EP13)</f>
        <v>1</v>
      </c>
      <c r="FC4" s="15" t="str">
        <f>IF('Raw Data'!EQ13="","",'Raw Data'!EQ13)</f>
        <v>1</v>
      </c>
      <c r="FD4" s="15" t="str">
        <f>IF('Raw Data'!ER13="","",'Raw Data'!ER13)</f>
        <v>1</v>
      </c>
      <c r="FE4" s="15" t="str">
        <f>IF('Raw Data'!ES13="","",'Raw Data'!ES13)</f>
        <v>1</v>
      </c>
      <c r="FF4" s="15" t="str">
        <f>IF('Raw Data'!ET13="","",'Raw Data'!ET13)</f>
        <v>0</v>
      </c>
      <c r="FG4" s="15" t="str">
        <f>IF('Raw Data'!EU13="","",'Raw Data'!EU13)</f>
        <v>0</v>
      </c>
      <c r="FH4" s="15" t="str">
        <f>IF('Raw Data'!EV13="","",'Raw Data'!EV13)</f>
        <v>0</v>
      </c>
      <c r="FI4" s="15" t="str">
        <f>IF('Raw Data'!EW13="","",'Raw Data'!EW13)</f>
        <v/>
      </c>
      <c r="FJ4" s="15" t="str">
        <f>IF('Raw Data'!EX13="","",'Raw Data'!EX13)</f>
        <v>oui</v>
      </c>
      <c r="FK4" s="15" t="str">
        <f>IF('Raw Data'!EY13="","",'Raw Data'!EY13)</f>
        <v>Radio_television Differents_comites_villageois manif_sociales</v>
      </c>
      <c r="FL4" s="15" t="str">
        <f>IF('Raw Data'!EZ13="","",'Raw Data'!EZ13)</f>
        <v>1</v>
      </c>
      <c r="FM4" s="15" t="str">
        <f>IF('Raw Data'!FA13="","",'Raw Data'!FA13)</f>
        <v>0</v>
      </c>
      <c r="FN4" s="15" t="str">
        <f>IF('Raw Data'!FB13="","",'Raw Data'!FB13)</f>
        <v>0</v>
      </c>
      <c r="FO4" s="15" t="str">
        <f>IF('Raw Data'!FC13="","",'Raw Data'!FC13)</f>
        <v>1</v>
      </c>
      <c r="FP4" s="15" t="str">
        <f>IF('Raw Data'!FD13="","",'Raw Data'!FD13)</f>
        <v>0</v>
      </c>
      <c r="FQ4" s="15" t="str">
        <f>IF('Raw Data'!FE13="","",'Raw Data'!FE13)</f>
        <v>0</v>
      </c>
      <c r="FR4" s="15" t="str">
        <f>IF('Raw Data'!FF13="","",'Raw Data'!FF13)</f>
        <v>0</v>
      </c>
      <c r="FS4" s="15" t="str">
        <f>IF('Raw Data'!FG13="","",'Raw Data'!FG13)</f>
        <v>0</v>
      </c>
      <c r="FT4" s="15" t="str">
        <f>IF('Raw Data'!FH13="","",'Raw Data'!FH13)</f>
        <v>1</v>
      </c>
      <c r="FU4" s="15" t="str">
        <f>IF('Raw Data'!FI13="","",'Raw Data'!FI13)</f>
        <v>0</v>
      </c>
      <c r="FV4" s="15" t="str">
        <f>IF('Raw Data'!FJ13="","",'Raw Data'!FJ13)</f>
        <v>0</v>
      </c>
      <c r="FW4" s="15" t="str">
        <f>IF('Raw Data'!FK13="","",'Raw Data'!FK13)</f>
        <v>0</v>
      </c>
      <c r="FX4" s="15" t="str">
        <f>IF('Raw Data'!FL13="","",'Raw Data'!FL13)</f>
        <v>0</v>
      </c>
      <c r="FY4" s="15" t="str">
        <f>IF('Raw Data'!FM13="","",'Raw Data'!FM13)</f>
        <v>0</v>
      </c>
      <c r="FZ4" s="15" t="str">
        <f>IF('Raw Data'!FN13="","",'Raw Data'!FN13)</f>
        <v/>
      </c>
      <c r="GA4" s="15" t="str">
        <f>IF('Raw Data'!FO13="","",'Raw Data'!FO13)</f>
        <v>oui_majorite</v>
      </c>
      <c r="GB4" s="15" t="str">
        <f>IF('Raw Data'!FP13="","",'Raw Data'!FP13)</f>
        <v>oui_majorite</v>
      </c>
      <c r="GC4" s="15" t="str">
        <f>IF('Raw Data'!FQ13="","",'Raw Data'!FQ13)</f>
        <v>manque_info insecurite non_fonctionnelle</v>
      </c>
      <c r="GD4" s="15" t="str">
        <f>IF('Raw Data'!FR13="","",'Raw Data'!FR13)</f>
        <v>1</v>
      </c>
      <c r="GE4" s="15" t="str">
        <f>IF('Raw Data'!FS13="","",'Raw Data'!FS13)</f>
        <v>1</v>
      </c>
      <c r="GF4" s="15" t="str">
        <f>IF('Raw Data'!FT13="","",'Raw Data'!FT13)</f>
        <v>0</v>
      </c>
      <c r="GG4" s="15" t="str">
        <f>IF('Raw Data'!FU13="","",'Raw Data'!FU13)</f>
        <v>0</v>
      </c>
      <c r="GH4" s="15" t="str">
        <f>IF('Raw Data'!FV13="","",'Raw Data'!FV13)</f>
        <v>0</v>
      </c>
      <c r="GI4" s="15" t="str">
        <f>IF('Raw Data'!FW13="","",'Raw Data'!FW13)</f>
        <v>1</v>
      </c>
      <c r="GJ4" s="15" t="str">
        <f>IF('Raw Data'!FX13="","",'Raw Data'!FX13)</f>
        <v>0</v>
      </c>
      <c r="GK4" s="15" t="str">
        <f>IF('Raw Data'!FY13="","",'Raw Data'!FY13)</f>
        <v>0</v>
      </c>
      <c r="GL4" s="15" t="str">
        <f>IF('Raw Data'!FZ13="","",'Raw Data'!FZ13)</f>
        <v/>
      </c>
      <c r="GM4" s="15" t="str">
        <f>IF('Raw Data'!GA13="","",'Raw Data'!GA13)</f>
        <v>minorite</v>
      </c>
      <c r="GN4" s="15" t="str">
        <f>IF('Raw Data'!GB13="","",'Raw Data'!GB13)</f>
        <v>minorite</v>
      </c>
      <c r="GO4" s="15" t="str">
        <f>IF('Raw Data'!GC13="","",'Raw Data'!GC13)</f>
        <v>Appui_psychosocial Service_de_counseling Services_de_sante Education Acces_aux_doc Suivi_judiciaire Programme_AGR</v>
      </c>
      <c r="GP4" s="15" t="str">
        <f>IF('Raw Data'!GD13="","",'Raw Data'!GD13)</f>
        <v>1</v>
      </c>
      <c r="GQ4" s="15" t="str">
        <f>IF('Raw Data'!GE13="","",'Raw Data'!GE13)</f>
        <v>1</v>
      </c>
      <c r="GR4" s="15" t="str">
        <f>IF('Raw Data'!GF13="","",'Raw Data'!GF13)</f>
        <v>1</v>
      </c>
      <c r="GS4" s="15" t="str">
        <f>IF('Raw Data'!GG13="","",'Raw Data'!GG13)</f>
        <v>1</v>
      </c>
      <c r="GT4" s="15" t="str">
        <f>IF('Raw Data'!GH13="","",'Raw Data'!GH13)</f>
        <v>1</v>
      </c>
      <c r="GU4" s="15" t="str">
        <f>IF('Raw Data'!GI13="","",'Raw Data'!GI13)</f>
        <v>1</v>
      </c>
      <c r="GV4" s="15" t="str">
        <f>IF('Raw Data'!GJ13="","",'Raw Data'!GJ13)</f>
        <v>1</v>
      </c>
      <c r="GW4" s="15" t="str">
        <f>IF('Raw Data'!GK13="","",'Raw Data'!GK13)</f>
        <v>0</v>
      </c>
      <c r="GX4" s="15" t="str">
        <f>IF('Raw Data'!GL13="","",'Raw Data'!GL13)</f>
        <v>0</v>
      </c>
      <c r="GY4" s="15" t="str">
        <f>IF('Raw Data'!GM13="","",'Raw Data'!GM13)</f>
        <v/>
      </c>
      <c r="GZ4" s="15" t="str">
        <f>IF('Raw Data'!GN13="","",'Raw Data'!GN13)</f>
        <v>oui_majorite</v>
      </c>
      <c r="HA4" s="15" t="str">
        <f>IF('Raw Data'!GO13="","",'Raw Data'!GO13)</f>
        <v>oui_moitie</v>
      </c>
      <c r="HB4" s="15" t="str">
        <f>IF('Raw Data'!GP13="","",'Raw Data'!GP13)</f>
        <v>repond_besoins_pop permet_eviter_conflits diminution_tensions</v>
      </c>
      <c r="HC4" s="15" t="str">
        <f>IF('Raw Data'!GQ13="","",'Raw Data'!GQ13)</f>
        <v>0</v>
      </c>
      <c r="HD4" s="15" t="str">
        <f>IF('Raw Data'!GR13="","",'Raw Data'!GR13)</f>
        <v>1</v>
      </c>
      <c r="HE4" s="15" t="str">
        <f>IF('Raw Data'!GS13="","",'Raw Data'!GS13)</f>
        <v>0</v>
      </c>
      <c r="HF4" s="15" t="str">
        <f>IF('Raw Data'!GT13="","",'Raw Data'!GT13)</f>
        <v>1</v>
      </c>
      <c r="HG4" s="15" t="str">
        <f>IF('Raw Data'!GU13="","",'Raw Data'!GU13)</f>
        <v>0</v>
      </c>
      <c r="HH4" s="15" t="str">
        <f>IF('Raw Data'!GV13="","",'Raw Data'!GV13)</f>
        <v>1</v>
      </c>
      <c r="HI4" s="15" t="str">
        <f>IF('Raw Data'!GW13="","",'Raw Data'!GW13)</f>
        <v>0</v>
      </c>
      <c r="HJ4" s="15" t="str">
        <f>IF('Raw Data'!GX13="","",'Raw Data'!GX13)</f>
        <v>0</v>
      </c>
      <c r="HK4" s="15" t="str">
        <f>IF('Raw Data'!GY13="","",'Raw Data'!GY13)</f>
        <v/>
      </c>
      <c r="HL4" s="15" t="str">
        <f>IF('Raw Data'!GZ13="","",'Raw Data'!GZ13)</f>
        <v>ne_repond_pas non_obtention_info non_diminition_tension</v>
      </c>
      <c r="HM4" s="15" t="str">
        <f>IF('Raw Data'!HA13="","",'Raw Data'!HA13)</f>
        <v>0</v>
      </c>
      <c r="HN4" s="15" t="str">
        <f>IF('Raw Data'!HB13="","",'Raw Data'!HB13)</f>
        <v>1</v>
      </c>
      <c r="HO4" s="15" t="str">
        <f>IF('Raw Data'!HC13="","",'Raw Data'!HC13)</f>
        <v>1</v>
      </c>
      <c r="HP4" s="15" t="str">
        <f>IF('Raw Data'!HD13="","",'Raw Data'!HD13)</f>
        <v>1</v>
      </c>
      <c r="HQ4" s="15" t="str">
        <f>IF('Raw Data'!HE13="","",'Raw Data'!HE13)</f>
        <v>0</v>
      </c>
      <c r="HR4" s="15" t="str">
        <f>IF('Raw Data'!HF13="","",'Raw Data'!HF13)</f>
        <v>0</v>
      </c>
      <c r="HS4" s="15" t="str">
        <f>IF('Raw Data'!HG13="","",'Raw Data'!HG13)</f>
        <v/>
      </c>
      <c r="HT4" s="15" t="str">
        <f>IF('Raw Data'!HH13="","",'Raw Data'!HH13)</f>
        <v/>
      </c>
      <c r="HU4" s="15" t="str">
        <f>IF('Raw Data'!HI13="","",'Raw Data'!HI13)</f>
        <v>non</v>
      </c>
      <c r="HV4" s="15" t="str">
        <f>IF('Raw Data'!HJ13="","",'Raw Data'!HJ13)</f>
        <v/>
      </c>
      <c r="HW4" s="15" t="str">
        <f>IF('Raw Data'!HK13="","",'Raw Data'!HK13)</f>
        <v/>
      </c>
      <c r="HX4" s="15" t="str">
        <f>IF('Raw Data'!HL13="","",'Raw Data'!HL13)</f>
        <v/>
      </c>
      <c r="HY4" s="15" t="str">
        <f>IF('Raw Data'!HM13="","",'Raw Data'!HM13)</f>
        <v/>
      </c>
      <c r="HZ4" s="15" t="str">
        <f>IF('Raw Data'!HN13="","",'Raw Data'!HN13)</f>
        <v/>
      </c>
      <c r="IA4" s="15" t="str">
        <f>IF('Raw Data'!HO13="","",'Raw Data'!HO13)</f>
        <v/>
      </c>
      <c r="IB4" s="15" t="str">
        <f>IF('Raw Data'!HP13="","",'Raw Data'!HP13)</f>
        <v/>
      </c>
      <c r="IC4" s="15" t="str">
        <f>IF('Raw Data'!HQ13="","",'Raw Data'!HQ13)</f>
        <v/>
      </c>
      <c r="ID4" s="15" t="str">
        <f>IF('Raw Data'!HR13="","",'Raw Data'!HR13)</f>
        <v/>
      </c>
      <c r="IE4" s="15" t="str">
        <f>IF('Raw Data'!HS13="","",'Raw Data'!HS13)</f>
        <v/>
      </c>
      <c r="IF4" s="15" t="str">
        <f>IF('Raw Data'!HT13="","",'Raw Data'!HT13)</f>
        <v/>
      </c>
      <c r="IG4" s="15" t="str">
        <f>IF('Raw Data'!HU13="","",'Raw Data'!HU13)</f>
        <v/>
      </c>
      <c r="IH4" s="15" t="str">
        <f>IF('Raw Data'!HV13="","",'Raw Data'!HV13)</f>
        <v>oui</v>
      </c>
      <c r="II4" s="15" t="str">
        <f>IF('Raw Data'!HW13="","",'Raw Data'!HW13)</f>
        <v/>
      </c>
      <c r="IJ4" s="15" t="str">
        <f>IF('Raw Data'!HX13="","",'Raw Data'!HX13)</f>
        <v>Femmes Femmes_agees Filles Enfants Bebes/Bambins</v>
      </c>
      <c r="IK4" s="15" t="str">
        <f>IF('Raw Data'!HY13="","",'Raw Data'!HY13)</f>
        <v>1</v>
      </c>
      <c r="IL4" s="15" t="str">
        <f>IF('Raw Data'!HZ13="","",'Raw Data'!HZ13)</f>
        <v>1</v>
      </c>
      <c r="IM4" s="15" t="str">
        <f>IF('Raw Data'!IA13="","",'Raw Data'!IA13)</f>
        <v>1</v>
      </c>
      <c r="IN4" s="15" t="str">
        <f>IF('Raw Data'!IB13="","",'Raw Data'!IB13)</f>
        <v>0</v>
      </c>
      <c r="IO4" s="15" t="str">
        <f>IF('Raw Data'!IC13="","",'Raw Data'!IC13)</f>
        <v>1</v>
      </c>
      <c r="IP4" s="15" t="str">
        <f>IF('Raw Data'!ID13="","",'Raw Data'!ID13)</f>
        <v>0</v>
      </c>
      <c r="IQ4" s="15" t="str">
        <f>IF('Raw Data'!IE13="","",'Raw Data'!IE13)</f>
        <v>1</v>
      </c>
      <c r="IR4" s="15" t="str">
        <f>IF('Raw Data'!IF13="","",'Raw Data'!IF13)</f>
        <v>0</v>
      </c>
      <c r="IS4" s="15" t="str">
        <f>IF('Raw Data'!IG13="","",'Raw Data'!IG13)</f>
        <v>0</v>
      </c>
      <c r="IT4" s="15" t="str">
        <f>IF('Raw Data'!IH13="","",'Raw Data'!IH13)</f>
        <v>0</v>
      </c>
      <c r="IU4" s="15" t="str">
        <f>IF('Raw Data'!II13="","",'Raw Data'!II13)</f>
        <v>0</v>
      </c>
      <c r="IV4" s="15" t="str">
        <f>IF('Raw Data'!IJ13="","",'Raw Data'!IJ13)</f>
        <v>0</v>
      </c>
      <c r="IW4" s="15" t="str">
        <f>IF('Raw Data'!IK13="","",'Raw Data'!IK13)</f>
        <v>0</v>
      </c>
      <c r="IX4" s="15" t="str">
        <f>IF('Raw Data'!IL13="","",'Raw Data'!IL13)</f>
        <v>0</v>
      </c>
      <c r="IY4" s="15" t="str">
        <f>IF('Raw Data'!IM13="","",'Raw Data'!IM13)</f>
        <v/>
      </c>
      <c r="IZ4" s="15" t="str">
        <f>IF('Raw Data'!IN13="","",'Raw Data'!IN13)</f>
        <v>5</v>
      </c>
      <c r="JA4" s="15" t="str">
        <f>IF('Raw Data'!IO13="","",'Raw Data'!IO13)</f>
        <v>Appui_psychosocial acces_docs Services_medicaux Services_educatifs Services_conseil</v>
      </c>
      <c r="JB4" s="15" t="str">
        <f>IF('Raw Data'!IP13="","",'Raw Data'!IP13)</f>
        <v>1</v>
      </c>
      <c r="JC4" s="15" t="str">
        <f>IF('Raw Data'!IQ13="","",'Raw Data'!IQ13)</f>
        <v>1</v>
      </c>
      <c r="JD4" s="15" t="str">
        <f>IF('Raw Data'!IR13="","",'Raw Data'!IR13)</f>
        <v>1</v>
      </c>
      <c r="JE4" s="15" t="str">
        <f>IF('Raw Data'!IS13="","",'Raw Data'!IS13)</f>
        <v>1</v>
      </c>
      <c r="JF4" s="15" t="str">
        <f>IF('Raw Data'!IT13="","",'Raw Data'!IT13)</f>
        <v>1</v>
      </c>
      <c r="JG4" s="15" t="str">
        <f>IF('Raw Data'!IU13="","",'Raw Data'!IU13)</f>
        <v>0</v>
      </c>
      <c r="JH4" s="15" t="str">
        <f>IF('Raw Data'!IV13="","",'Raw Data'!IV13)</f>
        <v>0</v>
      </c>
      <c r="JI4" s="15" t="str">
        <f>IF('Raw Data'!IW13="","",'Raw Data'!IW13)</f>
        <v>0</v>
      </c>
      <c r="JJ4" s="15" t="str">
        <f>IF('Raw Data'!IX13="","",'Raw Data'!IX13)</f>
        <v>0</v>
      </c>
      <c r="JK4" s="15" t="str">
        <f>IF('Raw Data'!IY13="","",'Raw Data'!IY13)</f>
        <v>0</v>
      </c>
      <c r="JL4" s="15" t="str">
        <f>IF('Raw Data'!IZ13="","",'Raw Data'!IZ13)</f>
        <v/>
      </c>
      <c r="JM4" s="15" t="str">
        <f>IF('Raw Data'!JA13="","",'Raw Data'!JA13)</f>
        <v>signalement reorientation prise_enchage</v>
      </c>
      <c r="JN4" s="15" t="str">
        <f>IF('Raw Data'!JB13="","",'Raw Data'!JB13)</f>
        <v>1</v>
      </c>
      <c r="JO4" s="15" t="str">
        <f>IF('Raw Data'!JC13="","",'Raw Data'!JC13)</f>
        <v>1</v>
      </c>
      <c r="JP4" s="15" t="str">
        <f>IF('Raw Data'!JD13="","",'Raw Data'!JD13)</f>
        <v>1</v>
      </c>
      <c r="JQ4" s="15" t="str">
        <f>IF('Raw Data'!JE13="","",'Raw Data'!JE13)</f>
        <v>0</v>
      </c>
      <c r="JR4" s="15" t="str">
        <f>IF('Raw Data'!JF13="","",'Raw Data'!JF13)</f>
        <v>0</v>
      </c>
      <c r="JS4" s="15" t="str">
        <f>IF('Raw Data'!JG13="","",'Raw Data'!JG13)</f>
        <v>0</v>
      </c>
      <c r="JT4" s="15" t="str">
        <f>IF('Raw Data'!JH13="","",'Raw Data'!JH13)</f>
        <v/>
      </c>
      <c r="JU4" s="15" t="str">
        <f>IF('Raw Data'!JI13="","",'Raw Data'!JI13)</f>
        <v>medical point_ecoute Psychosocia</v>
      </c>
      <c r="JV4" s="15" t="str">
        <f>IF('Raw Data'!JJ13="","",'Raw Data'!JJ13)</f>
        <v>1</v>
      </c>
      <c r="JW4" s="15" t="str">
        <f>IF('Raw Data'!JK13="","",'Raw Data'!JK13)</f>
        <v>1</v>
      </c>
      <c r="JX4" s="15" t="str">
        <f>IF('Raw Data'!JL13="","",'Raw Data'!JL13)</f>
        <v>1</v>
      </c>
      <c r="JY4" s="15" t="str">
        <f>IF('Raw Data'!JM13="","",'Raw Data'!JM13)</f>
        <v>0</v>
      </c>
      <c r="JZ4" s="15" t="str">
        <f>IF('Raw Data'!JN13="","",'Raw Data'!JN13)</f>
        <v>0</v>
      </c>
      <c r="KA4" s="15" t="str">
        <f>IF('Raw Data'!JO13="","",'Raw Data'!JO13)</f>
        <v>0</v>
      </c>
      <c r="KB4" s="15" t="str">
        <f>IF('Raw Data'!JP13="","",'Raw Data'!JP13)</f>
        <v>0</v>
      </c>
      <c r="KC4" s="15" t="str">
        <f>IF('Raw Data'!JQ13="","",'Raw Data'!JQ13)</f>
        <v>0</v>
      </c>
      <c r="KD4" s="15" t="str">
        <f>IF('Raw Data'!JR13="","",'Raw Data'!JR13)</f>
        <v>0</v>
      </c>
      <c r="KE4" s="15" t="str">
        <f>IF('Raw Data'!JS13="","",'Raw Data'!JS13)</f>
        <v/>
      </c>
      <c r="KF4" s="15" t="str">
        <f>IF('Raw Data'!JT13="","",'Raw Data'!JT13)</f>
        <v>medical Psychosocia point_ecoute</v>
      </c>
      <c r="KG4" s="15" t="str">
        <f>IF('Raw Data'!JU13="","",'Raw Data'!JU13)</f>
        <v>1</v>
      </c>
      <c r="KH4" s="15" t="str">
        <f>IF('Raw Data'!JV13="","",'Raw Data'!JV13)</f>
        <v>1</v>
      </c>
      <c r="KI4" s="15" t="str">
        <f>IF('Raw Data'!JW13="","",'Raw Data'!JW13)</f>
        <v>1</v>
      </c>
      <c r="KJ4" s="15" t="str">
        <f>IF('Raw Data'!JX13="","",'Raw Data'!JX13)</f>
        <v>0</v>
      </c>
      <c r="KK4" s="15" t="str">
        <f>IF('Raw Data'!JY13="","",'Raw Data'!JY13)</f>
        <v>0</v>
      </c>
      <c r="KL4" s="15" t="str">
        <f>IF('Raw Data'!JZ13="","",'Raw Data'!JZ13)</f>
        <v>0</v>
      </c>
      <c r="KM4" s="15" t="str">
        <f>IF('Raw Data'!KA13="","",'Raw Data'!KA13)</f>
        <v>0</v>
      </c>
      <c r="KN4" s="15" t="str">
        <f>IF('Raw Data'!KB13="","",'Raw Data'!KB13)</f>
        <v>0</v>
      </c>
      <c r="KO4" s="15" t="str">
        <f>IF('Raw Data'!KC13="","",'Raw Data'!KC13)</f>
        <v>0</v>
      </c>
      <c r="KP4" s="15" t="str">
        <f>IF('Raw Data'!KD13="","",'Raw Data'!KD13)</f>
        <v/>
      </c>
      <c r="KQ4" s="15" t="str">
        <f>IF('Raw Data'!KE13="","",'Raw Data'!KE13)</f>
        <v/>
      </c>
      <c r="KR4" s="15" t="str">
        <f>IF('Raw Data'!KF13="","",'Raw Data'!KF13)</f>
        <v>oui</v>
      </c>
      <c r="KS4" s="15" t="str">
        <f>IF('Raw Data'!KG13="","",'Raw Data'!KG13)</f>
        <v>manque_moyens manque_personnes manque_d'information probleme_orientation insecurite_zone</v>
      </c>
      <c r="KT4" s="15" t="str">
        <f>IF('Raw Data'!KH13="","",'Raw Data'!KH13)</f>
        <v>1</v>
      </c>
      <c r="KU4" s="15" t="str">
        <f>IF('Raw Data'!KI13="","",'Raw Data'!KI13)</f>
        <v>1</v>
      </c>
      <c r="KV4" s="15" t="str">
        <f>IF('Raw Data'!KJ13="","",'Raw Data'!KJ13)</f>
        <v>1</v>
      </c>
      <c r="KW4" s="15" t="str">
        <f>IF('Raw Data'!KK13="","",'Raw Data'!KK13)</f>
        <v>1</v>
      </c>
      <c r="KX4" s="15" t="str">
        <f>IF('Raw Data'!KL13="","",'Raw Data'!KL13)</f>
        <v>1</v>
      </c>
      <c r="KY4" s="15" t="str">
        <f>IF('Raw Data'!KM13="","",'Raw Data'!KM13)</f>
        <v>0</v>
      </c>
      <c r="KZ4" s="15" t="str">
        <f>IF('Raw Data'!KN13="","",'Raw Data'!KN13)</f>
        <v>0</v>
      </c>
      <c r="LA4" s="15" t="str">
        <f>IF('Raw Data'!KO13="","",'Raw Data'!KO13)</f>
        <v>0</v>
      </c>
      <c r="LB4" s="15" t="str">
        <f>IF('Raw Data'!KP13="","",'Raw Data'!KP13)</f>
        <v>0</v>
      </c>
      <c r="LC4" s="15" t="str">
        <f>IF('Raw Data'!KQ13="","",'Raw Data'!KQ13)</f>
        <v>0</v>
      </c>
      <c r="LD4" s="15" t="str">
        <f>IF('Raw Data'!KR13="","",'Raw Data'!KR13)</f>
        <v>0</v>
      </c>
      <c r="LE4" s="15" t="str">
        <f>IF('Raw Data'!KS13="","",'Raw Data'!KS13)</f>
        <v/>
      </c>
      <c r="LF4" s="15" t="str">
        <f>IF('Raw Data'!KT13="","",'Raw Data'!KT13)</f>
        <v>pb_logistiques pb_secu pb_coordination</v>
      </c>
      <c r="LG4" s="15" t="str">
        <f>IF('Raw Data'!KU13="","",'Raw Data'!KU13)</f>
        <v>0</v>
      </c>
      <c r="LH4" s="15" t="str">
        <f>IF('Raw Data'!KV13="","",'Raw Data'!KV13)</f>
        <v>1</v>
      </c>
      <c r="LI4" s="15" t="str">
        <f>IF('Raw Data'!KW13="","",'Raw Data'!KW13)</f>
        <v>1</v>
      </c>
      <c r="LJ4" s="15" t="str">
        <f>IF('Raw Data'!KX13="","",'Raw Data'!KX13)</f>
        <v>1</v>
      </c>
      <c r="LK4" s="15" t="str">
        <f>IF('Raw Data'!KY13="","",'Raw Data'!KY13)</f>
        <v>0</v>
      </c>
      <c r="LL4" s="15" t="str">
        <f>IF('Raw Data'!KZ13="","",'Raw Data'!KZ13)</f>
        <v>0</v>
      </c>
      <c r="LM4" s="15" t="str">
        <f>IF('Raw Data'!LA13="","",'Raw Data'!LA13)</f>
        <v/>
      </c>
      <c r="LN4" s="15" t="str">
        <f>IF('Raw Data'!LB13="","",'Raw Data'!LB13)</f>
        <v>oui</v>
      </c>
      <c r="LO4" s="15" t="str">
        <f>IF('Raw Data'!LC13="","",'Raw Data'!LC13)</f>
        <v>violence_physique menace_mort suivi violence_psycho</v>
      </c>
      <c r="LP4" s="15" t="str">
        <f>IF('Raw Data'!LD13="","",'Raw Data'!LD13)</f>
        <v>1</v>
      </c>
      <c r="LQ4" s="15" t="str">
        <f>IF('Raw Data'!LE13="","",'Raw Data'!LE13)</f>
        <v>1</v>
      </c>
      <c r="LR4" s="15" t="str">
        <f>IF('Raw Data'!LF13="","",'Raw Data'!LF13)</f>
        <v>0</v>
      </c>
      <c r="LS4" s="15" t="str">
        <f>IF('Raw Data'!LG13="","",'Raw Data'!LG13)</f>
        <v>0</v>
      </c>
      <c r="LT4" s="15" t="str">
        <f>IF('Raw Data'!LH13="","",'Raw Data'!LH13)</f>
        <v>1</v>
      </c>
      <c r="LU4" s="15" t="str">
        <f>IF('Raw Data'!LI13="","",'Raw Data'!LI13)</f>
        <v>0</v>
      </c>
      <c r="LV4" s="15" t="str">
        <f>IF('Raw Data'!LJ13="","",'Raw Data'!LJ13)</f>
        <v>1</v>
      </c>
      <c r="LW4" s="15" t="str">
        <f>IF('Raw Data'!LK13="","",'Raw Data'!LK13)</f>
        <v>0</v>
      </c>
      <c r="LX4" s="15" t="str">
        <f>IF('Raw Data'!LL13="","",'Raw Data'!LL13)</f>
        <v>0</v>
      </c>
      <c r="LY4" s="15" t="str">
        <f>IF('Raw Data'!LM13="","",'Raw Data'!LM13)</f>
        <v>0</v>
      </c>
      <c r="LZ4" s="15" t="str">
        <f>IF('Raw Data'!LN13="","",'Raw Data'!LN13)</f>
        <v/>
      </c>
      <c r="MA4" s="15" t="str">
        <f>IF('Raw Data'!LO13="","",'Raw Data'!LO13)</f>
        <v>oui</v>
      </c>
      <c r="MB4" s="15" t="str">
        <f>IF('Raw Data'!LP13="","",'Raw Data'!LP13)</f>
        <v>oui</v>
      </c>
      <c r="MC4" s="15" t="str">
        <f>IF('Raw Data'!LQ13="","",'Raw Data'!LQ13)</f>
        <v/>
      </c>
      <c r="MD4" s="15" t="str">
        <f>IF('Raw Data'!LR13="","",'Raw Data'!LR13)</f>
        <v>Tout  d'abord merci  à vous et je vous demande de prier Dieu  pour nous pour que la paix règne  dans notre pays !</v>
      </c>
      <c r="ME4" s="15">
        <f>IF('Raw Data'!LS13="","",'Raw Data'!LS13)</f>
        <v>169193419</v>
      </c>
      <c r="MF4" s="15" t="str">
        <f>IF('Raw Data'!LT13="","",'Raw Data'!LT13)</f>
        <v>53e0af19-325d-4544-a7eb-fc3f96a81d34</v>
      </c>
      <c r="MG4" s="15" t="str">
        <f>IF('Raw Data'!LU13="","",'Raw Data'!LU13)</f>
        <v>2021-04-01T16:46:04</v>
      </c>
      <c r="MH4" s="15" t="str">
        <f>IF('Raw Data'!LV13="","",'Raw Data'!LV13)</f>
        <v/>
      </c>
      <c r="MI4" s="15" t="str">
        <f>IF('Raw Data'!LW13="","",'Raw Data'!LW13)</f>
        <v>[]</v>
      </c>
      <c r="MJ4" s="15" t="str">
        <f>IF('Raw Data'!LX13="","",'Raw Data'!LX13)</f>
        <v>submitted_via_web</v>
      </c>
      <c r="MK4" s="15" t="str">
        <f>IF('Raw Data'!LY13="","",'Raw Data'!LY13)</f>
        <v>reach_niger</v>
      </c>
      <c r="ML4" s="15" t="str">
        <f>IF('Raw Data'!LZ13="","",'Raw Data'!LZ13)</f>
        <v/>
      </c>
      <c r="MM4" s="15">
        <f>IF('Raw Data'!MA13="","",'Raw Data'!MA13)</f>
        <v>12</v>
      </c>
    </row>
    <row r="5" spans="1:351" x14ac:dyDescent="0.3">
      <c r="A5" s="26" t="str">
        <f t="shared" si="0"/>
        <v>1e4810db-1d3c-401d-b644-e5dd0d4ca521</v>
      </c>
      <c r="B5" s="26" t="str">
        <f t="shared" si="1"/>
        <v>gotheye</v>
      </c>
      <c r="C5" s="26" t="str">
        <f t="shared" si="2"/>
        <v>B</v>
      </c>
      <c r="D5" s="14" t="str">
        <f>IF('Raw Data'!A53="","",'Raw Data'!A53)</f>
        <v>2021-04-08T12:12:15.346+01:00</v>
      </c>
      <c r="E5" s="14" t="str">
        <f>IF('Raw Data'!B53="","",'Raw Data'!B53)</f>
        <v>2021-04-08T12:45:10.105+01:00</v>
      </c>
      <c r="F5" s="30">
        <v>44294.508506944447</v>
      </c>
      <c r="G5" s="30">
        <v>44294.531365740739</v>
      </c>
      <c r="H5" s="29">
        <f>VLOOKUP(A5,Audit[#All],2,FALSE)</f>
        <v>32.909999999999997</v>
      </c>
      <c r="I5" s="29">
        <f>VLOOKUP(A5,Audit[#All],3,FALSE)</f>
        <v>32.78</v>
      </c>
      <c r="J5" s="29">
        <f>VLOOKUP(A5,Audit[#All],4,FALSE)</f>
        <v>29.39</v>
      </c>
      <c r="K5" s="29">
        <f>VLOOKUP(A5,nb_questions[#All],2,FALSE)</f>
        <v>207</v>
      </c>
      <c r="L5" s="29">
        <f t="shared" si="3"/>
        <v>167</v>
      </c>
      <c r="M5" s="14" t="str">
        <f>IF('Raw Data'!C53="","",'Raw Data'!C53)</f>
        <v>2021-04-08</v>
      </c>
      <c r="N5" s="14" t="str">
        <f>IF('Raw Data'!D53="","",'Raw Data'!D53)</f>
        <v/>
      </c>
      <c r="O5" s="14" t="str">
        <f>IF('Raw Data'!E53="","",'Raw Data'!E53)</f>
        <v/>
      </c>
      <c r="P5" s="29" t="str">
        <f>VLOOKUP(A5,code_enqueteurs[#All],3,FALSE)</f>
        <v>B</v>
      </c>
      <c r="Q5" s="29" t="s">
        <v>1645</v>
      </c>
      <c r="R5" s="14" t="str">
        <f>IF('Raw Data'!F53="","",'Raw Data'!F53)</f>
        <v>Homme</v>
      </c>
      <c r="S5" s="15" t="str">
        <f>IF('Raw Data'!G53="","",'Raw Data'!G53)</f>
        <v>gotheye</v>
      </c>
      <c r="T5" s="15" t="str">
        <f>IF('Raw Data'!H53="","",'Raw Data'!H53)</f>
        <v>gotheye</v>
      </c>
      <c r="U5" s="15" t="str">
        <f>IF('Raw Data'!I53="","",'Raw Data'!I53)</f>
        <v>gotheye</v>
      </c>
      <c r="V5" s="15" t="str">
        <f>IF('Raw Data'!J53="","",'Raw Data'!J53)</f>
        <v/>
      </c>
      <c r="W5" s="15" t="str">
        <f>IF('Raw Data'!K53="","",'Raw Data'!K53)</f>
        <v/>
      </c>
      <c r="X5" s="15" t="str">
        <f>IF('Raw Data'!L53="","",'Raw Data'!L53)</f>
        <v/>
      </c>
      <c r="Y5" s="15" t="str">
        <f>IF('Raw Data'!M53="","",'Raw Data'!M53)</f>
        <v/>
      </c>
      <c r="Z5" s="15" t="str">
        <f>IF('Raw Data'!N53="","",'Raw Data'!N53)</f>
        <v/>
      </c>
      <c r="AA5" s="15" t="str">
        <f>IF('Raw Data'!O53="","",'Raw Data'!O53)</f>
        <v/>
      </c>
      <c r="AB5" s="15" t="str">
        <f>IF('Raw Data'!P53="","",'Raw Data'!P53)</f>
        <v/>
      </c>
      <c r="AC5" s="15" t="str">
        <f>IF('Raw Data'!Q53="","",'Raw Data'!Q53)</f>
        <v/>
      </c>
      <c r="AD5" s="15" t="str">
        <f>IF('Raw Data'!R53="","",'Raw Data'!R53)</f>
        <v>Homme</v>
      </c>
      <c r="AE5" s="15" t="str">
        <f>IF('Raw Data'!S53="","",'Raw Data'!S53)</f>
        <v>38</v>
      </c>
      <c r="AF5" s="31" t="s">
        <v>503</v>
      </c>
      <c r="AG5" s="31"/>
      <c r="AH5" s="15" t="str">
        <f>IF('Raw Data'!V53="","",'Raw Data'!V53)</f>
        <v/>
      </c>
      <c r="AI5" s="15" t="str">
        <f>IF('Raw Data'!W53="","",'Raw Data'!W53)</f>
        <v/>
      </c>
      <c r="AJ5" s="15" t="str">
        <f>IF('Raw Data'!X53="","",'Raw Data'!X53)</f>
        <v/>
      </c>
      <c r="AK5" s="15" t="str">
        <f>IF('Raw Data'!Y53="","",'Raw Data'!Y53)</f>
        <v/>
      </c>
      <c r="AL5" s="15" t="str">
        <f>IF('Raw Data'!Z53="","",'Raw Data'!Z53)</f>
        <v/>
      </c>
      <c r="AM5" s="15" t="str">
        <f>IF('Raw Data'!AA53="","",'Raw Data'!AA53)</f>
        <v/>
      </c>
      <c r="AN5" s="15" t="str">
        <f>IF('Raw Data'!AB53="","",'Raw Data'!AB53)</f>
        <v/>
      </c>
      <c r="AO5" s="15" t="str">
        <f>IF('Raw Data'!AC53="","",'Raw Data'!AC53)</f>
        <v/>
      </c>
      <c r="AP5" s="15" t="str">
        <f>IF('Raw Data'!AD53="","",'Raw Data'!AD53)</f>
        <v/>
      </c>
      <c r="AQ5" s="15" t="str">
        <f>IF('Raw Data'!AE53="","",'Raw Data'!AE53)</f>
        <v/>
      </c>
      <c r="AR5" s="15" t="str">
        <f>IF('Raw Data'!AF53="","",'Raw Data'!AF53)</f>
        <v/>
      </c>
      <c r="AS5" s="15" t="str">
        <f>IF('Raw Data'!AG53="","",'Raw Data'!AG53)</f>
        <v>non</v>
      </c>
      <c r="AT5" s="15" t="str">
        <f>IF('Raw Data'!AH53="","",'Raw Data'!AH53)</f>
        <v/>
      </c>
      <c r="AU5" s="15" t="str">
        <f>IF('Raw Data'!AI53="","",'Raw Data'!AI53)</f>
        <v/>
      </c>
      <c r="AV5" s="15" t="str">
        <f>IF('Raw Data'!AJ53="","",'Raw Data'!AJ53)</f>
        <v/>
      </c>
      <c r="AW5" s="15" t="str">
        <f>IF('Raw Data'!AK53="","",'Raw Data'!AK53)</f>
        <v/>
      </c>
      <c r="AX5" s="15" t="str">
        <f>IF('Raw Data'!AL53="","",'Raw Data'!AL53)</f>
        <v/>
      </c>
      <c r="AY5" s="15" t="str">
        <f>IF('Raw Data'!AM53="","",'Raw Data'!AM53)</f>
        <v/>
      </c>
      <c r="AZ5" s="15" t="str">
        <f>IF('Raw Data'!AN53="","",'Raw Data'!AN53)</f>
        <v/>
      </c>
      <c r="BA5" s="15" t="str">
        <f>IF('Raw Data'!AO53="","",'Raw Data'!AO53)</f>
        <v/>
      </c>
      <c r="BB5" s="15" t="str">
        <f>IF('Raw Data'!AP53="","",'Raw Data'!AP53)</f>
        <v/>
      </c>
      <c r="BC5" s="15" t="str">
        <f>IF('Raw Data'!AQ53="","",'Raw Data'!AQ53)</f>
        <v/>
      </c>
      <c r="BD5" s="15" t="str">
        <f>IF('Raw Data'!AR53="","",'Raw Data'!AR53)</f>
        <v/>
      </c>
      <c r="BE5" s="15" t="str">
        <f>IF('Raw Data'!AS53="","",'Raw Data'!AS53)</f>
        <v/>
      </c>
      <c r="BF5" s="15" t="str">
        <f>IF('Raw Data'!AT53="","",'Raw Data'!AT53)</f>
        <v/>
      </c>
      <c r="BG5" s="15" t="str">
        <f>IF('Raw Data'!AU53="","",'Raw Data'!AU53)</f>
        <v/>
      </c>
      <c r="BH5" s="15" t="str">
        <f>IF('Raw Data'!AV53="","",'Raw Data'!AV53)</f>
        <v/>
      </c>
      <c r="BI5" s="15" t="str">
        <f>IF('Raw Data'!AW53="","",'Raw Data'!AW53)</f>
        <v/>
      </c>
      <c r="BJ5" s="15" t="str">
        <f>IF('Raw Data'!AX53="","",'Raw Data'!AX53)</f>
        <v/>
      </c>
      <c r="BK5" s="15" t="str">
        <f>IF('Raw Data'!AY53="","",'Raw Data'!AY53)</f>
        <v/>
      </c>
      <c r="BL5" s="15" t="str">
        <f>IF('Raw Data'!AZ53="","",'Raw Data'!AZ53)</f>
        <v/>
      </c>
      <c r="BM5" s="15" t="str">
        <f>IF('Raw Data'!BA53="","",'Raw Data'!BA53)</f>
        <v/>
      </c>
      <c r="BN5" s="15" t="str">
        <f>IF('Raw Data'!BB53="","",'Raw Data'!BB53)</f>
        <v/>
      </c>
      <c r="BO5" s="15" t="str">
        <f>IF('Raw Data'!BC53="","",'Raw Data'!BC53)</f>
        <v/>
      </c>
      <c r="BP5" s="15" t="str">
        <f>IF('Raw Data'!BD53="","",'Raw Data'!BD53)</f>
        <v/>
      </c>
      <c r="BQ5" s="15" t="str">
        <f>IF('Raw Data'!BE53="","",'Raw Data'!BE53)</f>
        <v/>
      </c>
      <c r="BR5" s="15" t="str">
        <f>IF('Raw Data'!BF53="","",'Raw Data'!BF53)</f>
        <v/>
      </c>
      <c r="BS5" s="15" t="str">
        <f>IF('Raw Data'!BG53="","",'Raw Data'!BG53)</f>
        <v/>
      </c>
      <c r="BT5" s="15" t="str">
        <f>IF('Raw Data'!BH53="","",'Raw Data'!BH53)</f>
        <v/>
      </c>
      <c r="BU5" s="15" t="str">
        <f>IF('Raw Data'!BI53="","",'Raw Data'!BI53)</f>
        <v/>
      </c>
      <c r="BV5" s="15" t="str">
        <f>IF('Raw Data'!BJ53="","",'Raw Data'!BJ53)</f>
        <v/>
      </c>
      <c r="BW5" s="15" t="str">
        <f>IF('Raw Data'!BK53="","",'Raw Data'!BK53)</f>
        <v/>
      </c>
      <c r="BX5" s="15" t="str">
        <f>IF('Raw Data'!BL53="","",'Raw Data'!BL53)</f>
        <v/>
      </c>
      <c r="BY5" s="15" t="str">
        <f>IF('Raw Data'!BM53="","",'Raw Data'!BM53)</f>
        <v/>
      </c>
      <c r="BZ5" s="15" t="str">
        <f>IF('Raw Data'!BN53="","",'Raw Data'!BN53)</f>
        <v/>
      </c>
      <c r="CA5" s="15" t="str">
        <f>IF('Raw Data'!BO53="","",'Raw Data'!BO53)</f>
        <v/>
      </c>
      <c r="CB5" s="15" t="str">
        <f>IF('Raw Data'!BP53="","",'Raw Data'!BP53)</f>
        <v/>
      </c>
      <c r="CC5" s="15" t="str">
        <f>IF('Raw Data'!BQ53="","",'Raw Data'!BQ53)</f>
        <v>non</v>
      </c>
      <c r="CD5" s="15" t="str">
        <f>IF('Raw Data'!BR53="","",'Raw Data'!BR53)</f>
        <v/>
      </c>
      <c r="CE5" s="15" t="str">
        <f>IF('Raw Data'!BS53="","",'Raw Data'!BS53)</f>
        <v/>
      </c>
      <c r="CF5" s="15" t="str">
        <f>IF('Raw Data'!BT53="","",'Raw Data'!BT53)</f>
        <v/>
      </c>
      <c r="CG5" s="15" t="str">
        <f>IF('Raw Data'!BU53="","",'Raw Data'!BU53)</f>
        <v/>
      </c>
      <c r="CH5" s="15" t="str">
        <f>IF('Raw Data'!BV53="","",'Raw Data'!BV53)</f>
        <v/>
      </c>
      <c r="CI5" s="15" t="str">
        <f>IF('Raw Data'!BW53="","",'Raw Data'!BW53)</f>
        <v/>
      </c>
      <c r="CJ5" s="15" t="str">
        <f>IF('Raw Data'!BX53="","",'Raw Data'!BX53)</f>
        <v/>
      </c>
      <c r="CK5" s="15" t="str">
        <f>IF('Raw Data'!BY53="","",'Raw Data'!BY53)</f>
        <v/>
      </c>
      <c r="CL5" s="15" t="str">
        <f>IF('Raw Data'!BZ53="","",'Raw Data'!BZ53)</f>
        <v/>
      </c>
      <c r="CM5" s="15" t="str">
        <f>IF('Raw Data'!CA53="","",'Raw Data'!CA53)</f>
        <v/>
      </c>
      <c r="CN5" s="15" t="str">
        <f>IF('Raw Data'!CB53="","",'Raw Data'!CB53)</f>
        <v/>
      </c>
      <c r="CO5" s="15" t="str">
        <f>IF('Raw Data'!CC53="","",'Raw Data'!CC53)</f>
        <v/>
      </c>
      <c r="CP5" s="15" t="str">
        <f>IF('Raw Data'!CD53="","",'Raw Data'!CD53)</f>
        <v/>
      </c>
      <c r="CQ5" s="15" t="str">
        <f>IF('Raw Data'!CE53="","",'Raw Data'!CE53)</f>
        <v/>
      </c>
      <c r="CR5" s="15" t="str">
        <f>IF('Raw Data'!CF53="","",'Raw Data'!CF53)</f>
        <v/>
      </c>
      <c r="CS5" s="15" t="str">
        <f>IF('Raw Data'!CG53="","",'Raw Data'!CG53)</f>
        <v/>
      </c>
      <c r="CT5" s="15" t="str">
        <f>IF('Raw Data'!CH53="","",'Raw Data'!CH53)</f>
        <v/>
      </c>
      <c r="CU5" s="15" t="str">
        <f>IF('Raw Data'!CI53="","",'Raw Data'!CI53)</f>
        <v/>
      </c>
      <c r="CV5" s="15" t="str">
        <f>IF('Raw Data'!CJ53="","",'Raw Data'!CJ53)</f>
        <v/>
      </c>
      <c r="CW5" s="15" t="str">
        <f>IF('Raw Data'!CK53="","",'Raw Data'!CK53)</f>
        <v/>
      </c>
      <c r="CX5" s="15" t="str">
        <f>IF('Raw Data'!CL53="","",'Raw Data'!CL53)</f>
        <v/>
      </c>
      <c r="CY5" s="15" t="str">
        <f>IF('Raw Data'!CM53="","",'Raw Data'!CM53)</f>
        <v/>
      </c>
      <c r="CZ5" s="15" t="str">
        <f>IF('Raw Data'!CN53="","",'Raw Data'!CN53)</f>
        <v/>
      </c>
      <c r="DA5" s="15" t="str">
        <f>IF('Raw Data'!CO53="","",'Raw Data'!CO53)</f>
        <v/>
      </c>
      <c r="DB5" s="15" t="str">
        <f>IF('Raw Data'!CP53="","",'Raw Data'!CP53)</f>
        <v/>
      </c>
      <c r="DC5" s="15" t="str">
        <f>IF('Raw Data'!CQ53="","",'Raw Data'!CQ53)</f>
        <v/>
      </c>
      <c r="DD5" s="15" t="str">
        <f>IF('Raw Data'!CR53="","",'Raw Data'!CR53)</f>
        <v/>
      </c>
      <c r="DE5" s="15" t="str">
        <f>IF('Raw Data'!CS53="","",'Raw Data'!CS53)</f>
        <v/>
      </c>
      <c r="DF5" s="15" t="str">
        <f>IF('Raw Data'!CT53="","",'Raw Data'!CT53)</f>
        <v/>
      </c>
      <c r="DG5" s="15" t="str">
        <f>IF('Raw Data'!CU53="","",'Raw Data'!CU53)</f>
        <v/>
      </c>
      <c r="DH5" s="15" t="str">
        <f>IF('Raw Data'!CV53="","",'Raw Data'!CV53)</f>
        <v/>
      </c>
      <c r="DI5" s="15" t="str">
        <f>IF('Raw Data'!CW53="","",'Raw Data'!CW53)</f>
        <v/>
      </c>
      <c r="DJ5" s="15" t="str">
        <f>IF('Raw Data'!CX53="","",'Raw Data'!CX53)</f>
        <v/>
      </c>
      <c r="DK5" s="15" t="str">
        <f>IF('Raw Data'!CY53="","",'Raw Data'!CY53)</f>
        <v/>
      </c>
      <c r="DL5" s="15" t="str">
        <f>IF('Raw Data'!CZ53="","",'Raw Data'!CZ53)</f>
        <v/>
      </c>
      <c r="DM5" s="15" t="str">
        <f>IF('Raw Data'!DA53="","",'Raw Data'!DA53)</f>
        <v/>
      </c>
      <c r="DN5" s="15" t="str">
        <f>IF('Raw Data'!DB53="","",'Raw Data'!DB53)</f>
        <v/>
      </c>
      <c r="DO5" s="15" t="str">
        <f>IF('Raw Data'!DC53="","",'Raw Data'!DC53)</f>
        <v/>
      </c>
      <c r="DP5" s="15" t="str">
        <f>IF('Raw Data'!DD53="","",'Raw Data'!DD53)</f>
        <v/>
      </c>
      <c r="DQ5" s="15" t="str">
        <f>IF('Raw Data'!DE53="","",'Raw Data'!DE53)</f>
        <v/>
      </c>
      <c r="DR5" s="15" t="str">
        <f>IF('Raw Data'!DF53="","",'Raw Data'!DF53)</f>
        <v/>
      </c>
      <c r="DS5" s="15" t="str">
        <f>IF('Raw Data'!DG53="","",'Raw Data'!DG53)</f>
        <v/>
      </c>
      <c r="DT5" s="15" t="str">
        <f>IF('Raw Data'!DH53="","",'Raw Data'!DH53)</f>
        <v/>
      </c>
      <c r="DU5" s="15" t="str">
        <f>IF('Raw Data'!DI53="","",'Raw Data'!DI53)</f>
        <v/>
      </c>
      <c r="DV5" s="15" t="str">
        <f>IF('Raw Data'!DJ53="","",'Raw Data'!DJ53)</f>
        <v/>
      </c>
      <c r="DW5" s="15" t="str">
        <f>IF('Raw Data'!DK53="","",'Raw Data'!DK53)</f>
        <v/>
      </c>
      <c r="DX5" s="15" t="str">
        <f>IF('Raw Data'!DL53="","",'Raw Data'!DL53)</f>
        <v/>
      </c>
      <c r="DY5" s="15" t="str">
        <f>IF('Raw Data'!DM53="","",'Raw Data'!DM53)</f>
        <v/>
      </c>
      <c r="DZ5" s="15" t="str">
        <f>IF('Raw Data'!DN53="","",'Raw Data'!DN53)</f>
        <v/>
      </c>
      <c r="EA5" s="15" t="str">
        <f>IF('Raw Data'!DO53="","",'Raw Data'!DO53)</f>
        <v/>
      </c>
      <c r="EB5" s="15" t="str">
        <f>IF('Raw Data'!DP53="","",'Raw Data'!DP53)</f>
        <v/>
      </c>
      <c r="EC5" s="15" t="str">
        <f>IF('Raw Data'!DQ53="","",'Raw Data'!DQ53)</f>
        <v/>
      </c>
      <c r="ED5" s="15" t="str">
        <f>IF('Raw Data'!DR53="","",'Raw Data'!DR53)</f>
        <v/>
      </c>
      <c r="EE5" s="15" t="str">
        <f>IF('Raw Data'!DS53="","",'Raw Data'!DS53)</f>
        <v/>
      </c>
      <c r="EF5" s="15" t="str">
        <f>IF('Raw Data'!DT53="","",'Raw Data'!DT53)</f>
        <v/>
      </c>
      <c r="EG5" s="15" t="str">
        <f>IF('Raw Data'!DU53="","",'Raw Data'!DU53)</f>
        <v/>
      </c>
      <c r="EH5" s="15" t="str">
        <f>IF('Raw Data'!DV53="","",'Raw Data'!DV53)</f>
        <v/>
      </c>
      <c r="EI5" s="15" t="str">
        <f>IF('Raw Data'!DW53="","",'Raw Data'!DW53)</f>
        <v/>
      </c>
      <c r="EJ5" s="15" t="str">
        <f>IF('Raw Data'!DX53="","",'Raw Data'!DX53)</f>
        <v/>
      </c>
      <c r="EK5" s="15" t="str">
        <f>IF('Raw Data'!DY53="","",'Raw Data'!DY53)</f>
        <v/>
      </c>
      <c r="EL5" s="31" t="s">
        <v>1080</v>
      </c>
      <c r="EM5" s="15" t="str">
        <f>IF('Raw Data'!EA53="","",'Raw Data'!EA53)</f>
        <v>0</v>
      </c>
      <c r="EN5" s="15" t="str">
        <f>IF('Raw Data'!EB53="","",'Raw Data'!EB53)</f>
        <v>0</v>
      </c>
      <c r="EO5" s="15" t="str">
        <f>IF('Raw Data'!EC53="","",'Raw Data'!EC53)</f>
        <v>0</v>
      </c>
      <c r="EP5" s="15" t="str">
        <f>IF('Raw Data'!ED53="","",'Raw Data'!ED53)</f>
        <v>0</v>
      </c>
      <c r="EQ5" s="15" t="str">
        <f>IF('Raw Data'!EE53="","",'Raw Data'!EE53)</f>
        <v>0</v>
      </c>
      <c r="ER5" s="15" t="str">
        <f>IF('Raw Data'!EF53="","",'Raw Data'!EF53)</f>
        <v>0</v>
      </c>
      <c r="ES5" s="31">
        <v>1</v>
      </c>
      <c r="ET5" s="31">
        <v>0</v>
      </c>
      <c r="EU5" s="15" t="str">
        <f>IF('Raw Data'!EI53="","",'Raw Data'!EI53)</f>
        <v>0</v>
      </c>
      <c r="EV5" s="31"/>
      <c r="EW5" s="15" t="str">
        <f>IF('Raw Data'!EK53="","",'Raw Data'!EK53)</f>
        <v/>
      </c>
      <c r="EX5" s="15" t="str">
        <f>IF('Raw Data'!EL53="","",'Raw Data'!EL53)</f>
        <v>famille_accueil</v>
      </c>
      <c r="EY5" s="15" t="str">
        <f>IF('Raw Data'!EM53="","",'Raw Data'!EM53)</f>
        <v>0</v>
      </c>
      <c r="EZ5" s="15" t="str">
        <f>IF('Raw Data'!EN53="","",'Raw Data'!EN53)</f>
        <v>0</v>
      </c>
      <c r="FA5" s="15" t="str">
        <f>IF('Raw Data'!EO53="","",'Raw Data'!EO53)</f>
        <v>1</v>
      </c>
      <c r="FB5" s="15" t="str">
        <f>IF('Raw Data'!EP53="","",'Raw Data'!EP53)</f>
        <v>0</v>
      </c>
      <c r="FC5" s="15" t="str">
        <f>IF('Raw Data'!EQ53="","",'Raw Data'!EQ53)</f>
        <v>0</v>
      </c>
      <c r="FD5" s="15" t="str">
        <f>IF('Raw Data'!ER53="","",'Raw Data'!ER53)</f>
        <v>0</v>
      </c>
      <c r="FE5" s="15" t="str">
        <f>IF('Raw Data'!ES53="","",'Raw Data'!ES53)</f>
        <v>0</v>
      </c>
      <c r="FF5" s="15" t="str">
        <f>IF('Raw Data'!ET53="","",'Raw Data'!ET53)</f>
        <v>0</v>
      </c>
      <c r="FG5" s="15" t="str">
        <f>IF('Raw Data'!EU53="","",'Raw Data'!EU53)</f>
        <v>0</v>
      </c>
      <c r="FH5" s="15" t="str">
        <f>IF('Raw Data'!EV53="","",'Raw Data'!EV53)</f>
        <v>0</v>
      </c>
      <c r="FI5" s="15" t="str">
        <f>IF('Raw Data'!EW53="","",'Raw Data'!EW53)</f>
        <v/>
      </c>
      <c r="FJ5" s="15" t="str">
        <f>IF('Raw Data'!EX53="","",'Raw Data'!EX53)</f>
        <v>oui</v>
      </c>
      <c r="FK5" s="15" t="str">
        <f>IF('Raw Data'!EY53="","",'Raw Data'!EY53)</f>
        <v>Chef_village</v>
      </c>
      <c r="FL5" s="15" t="str">
        <f>IF('Raw Data'!EZ53="","",'Raw Data'!EZ53)</f>
        <v>0</v>
      </c>
      <c r="FM5" s="15" t="str">
        <f>IF('Raw Data'!FA53="","",'Raw Data'!FA53)</f>
        <v>0</v>
      </c>
      <c r="FN5" s="15" t="str">
        <f>IF('Raw Data'!FB53="","",'Raw Data'!FB53)</f>
        <v>0</v>
      </c>
      <c r="FO5" s="15" t="str">
        <f>IF('Raw Data'!FC53="","",'Raw Data'!FC53)</f>
        <v>0</v>
      </c>
      <c r="FP5" s="15" t="str">
        <f>IF('Raw Data'!FD53="","",'Raw Data'!FD53)</f>
        <v>1</v>
      </c>
      <c r="FQ5" s="15" t="str">
        <f>IF('Raw Data'!FE53="","",'Raw Data'!FE53)</f>
        <v>0</v>
      </c>
      <c r="FR5" s="15" t="str">
        <f>IF('Raw Data'!FF53="","",'Raw Data'!FF53)</f>
        <v>0</v>
      </c>
      <c r="FS5" s="15" t="str">
        <f>IF('Raw Data'!FG53="","",'Raw Data'!FG53)</f>
        <v>0</v>
      </c>
      <c r="FT5" s="15" t="str">
        <f>IF('Raw Data'!FH53="","",'Raw Data'!FH53)</f>
        <v>0</v>
      </c>
      <c r="FU5" s="15" t="str">
        <f>IF('Raw Data'!FI53="","",'Raw Data'!FI53)</f>
        <v>0</v>
      </c>
      <c r="FV5" s="15" t="str">
        <f>IF('Raw Data'!FJ53="","",'Raw Data'!FJ53)</f>
        <v>0</v>
      </c>
      <c r="FW5" s="15" t="str">
        <f>IF('Raw Data'!FK53="","",'Raw Data'!FK53)</f>
        <v>0</v>
      </c>
      <c r="FX5" s="15" t="str">
        <f>IF('Raw Data'!FL53="","",'Raw Data'!FL53)</f>
        <v>0</v>
      </c>
      <c r="FY5" s="15" t="str">
        <f>IF('Raw Data'!FM53="","",'Raw Data'!FM53)</f>
        <v>0</v>
      </c>
      <c r="FZ5" s="15" t="str">
        <f>IF('Raw Data'!FN53="","",'Raw Data'!FN53)</f>
        <v/>
      </c>
      <c r="GA5" s="15" t="str">
        <f>IF('Raw Data'!FO53="","",'Raw Data'!FO53)</f>
        <v>oui_ensemble</v>
      </c>
      <c r="GB5" s="15" t="str">
        <f>IF('Raw Data'!FP53="","",'Raw Data'!FP53)</f>
        <v>oui_ensemble</v>
      </c>
      <c r="GC5" s="15" t="str">
        <f>IF('Raw Data'!FQ53="","",'Raw Data'!FQ53)</f>
        <v/>
      </c>
      <c r="GD5" s="15" t="str">
        <f>IF('Raw Data'!FR53="","",'Raw Data'!FR53)</f>
        <v/>
      </c>
      <c r="GE5" s="15" t="str">
        <f>IF('Raw Data'!FS53="","",'Raw Data'!FS53)</f>
        <v/>
      </c>
      <c r="GF5" s="15" t="str">
        <f>IF('Raw Data'!FT53="","",'Raw Data'!FT53)</f>
        <v/>
      </c>
      <c r="GG5" s="15" t="str">
        <f>IF('Raw Data'!FU53="","",'Raw Data'!FU53)</f>
        <v/>
      </c>
      <c r="GH5" s="15" t="str">
        <f>IF('Raw Data'!FV53="","",'Raw Data'!FV53)</f>
        <v/>
      </c>
      <c r="GI5" s="15" t="str">
        <f>IF('Raw Data'!FW53="","",'Raw Data'!FW53)</f>
        <v/>
      </c>
      <c r="GJ5" s="15" t="str">
        <f>IF('Raw Data'!FX53="","",'Raw Data'!FX53)</f>
        <v/>
      </c>
      <c r="GK5" s="15" t="str">
        <f>IF('Raw Data'!FY53="","",'Raw Data'!FY53)</f>
        <v/>
      </c>
      <c r="GL5" s="15" t="str">
        <f>IF('Raw Data'!FZ53="","",'Raw Data'!FZ53)</f>
        <v/>
      </c>
      <c r="GM5" s="15" t="str">
        <f>IF('Raw Data'!GA53="","",'Raw Data'!GA53)</f>
        <v>ensemble</v>
      </c>
      <c r="GN5" s="15" t="str">
        <f>IF('Raw Data'!GB53="","",'Raw Data'!GB53)</f>
        <v>aucun</v>
      </c>
      <c r="GO5" s="31" t="s">
        <v>661</v>
      </c>
      <c r="GP5" s="15" t="str">
        <f>IF('Raw Data'!GD53="","",'Raw Data'!GD53)</f>
        <v>0</v>
      </c>
      <c r="GQ5" s="15" t="str">
        <f>IF('Raw Data'!GE53="","",'Raw Data'!GE53)</f>
        <v>1</v>
      </c>
      <c r="GR5" s="15" t="str">
        <f>IF('Raw Data'!GF53="","",'Raw Data'!GF53)</f>
        <v>0</v>
      </c>
      <c r="GS5" s="15" t="str">
        <f>IF('Raw Data'!GG53="","",'Raw Data'!GG53)</f>
        <v>1</v>
      </c>
      <c r="GT5" s="15" t="str">
        <f>IF('Raw Data'!GH53="","",'Raw Data'!GH53)</f>
        <v>0</v>
      </c>
      <c r="GU5" s="15" t="str">
        <f>IF('Raw Data'!GI53="","",'Raw Data'!GI53)</f>
        <v>0</v>
      </c>
      <c r="GV5" s="15" t="str">
        <f>IF('Raw Data'!GJ53="","",'Raw Data'!GJ53)</f>
        <v>0</v>
      </c>
      <c r="GW5" s="31">
        <v>0</v>
      </c>
      <c r="GX5" s="15" t="str">
        <f>IF('Raw Data'!GL53="","",'Raw Data'!GL53)</f>
        <v>0</v>
      </c>
      <c r="GY5" s="31"/>
      <c r="GZ5" s="15" t="str">
        <f>IF('Raw Data'!GN53="","",'Raw Data'!GN53)</f>
        <v>oui_minorite</v>
      </c>
      <c r="HA5" s="15" t="str">
        <f>IF('Raw Data'!GO53="","",'Raw Data'!GO53)</f>
        <v>oui_minorite</v>
      </c>
      <c r="HB5" s="15" t="str">
        <f>IF('Raw Data'!GP53="","",'Raw Data'!GP53)</f>
        <v>repond_besoins_pop</v>
      </c>
      <c r="HC5" s="15" t="str">
        <f>IF('Raw Data'!GQ53="","",'Raw Data'!GQ53)</f>
        <v>0</v>
      </c>
      <c r="HD5" s="15" t="str">
        <f>IF('Raw Data'!GR53="","",'Raw Data'!GR53)</f>
        <v>1</v>
      </c>
      <c r="HE5" s="15" t="str">
        <f>IF('Raw Data'!GS53="","",'Raw Data'!GS53)</f>
        <v>0</v>
      </c>
      <c r="HF5" s="15" t="str">
        <f>IF('Raw Data'!GT53="","",'Raw Data'!GT53)</f>
        <v>0</v>
      </c>
      <c r="HG5" s="15" t="str">
        <f>IF('Raw Data'!GU53="","",'Raw Data'!GU53)</f>
        <v>0</v>
      </c>
      <c r="HH5" s="15" t="str">
        <f>IF('Raw Data'!GV53="","",'Raw Data'!GV53)</f>
        <v>0</v>
      </c>
      <c r="HI5" s="15" t="str">
        <f>IF('Raw Data'!GW53="","",'Raw Data'!GW53)</f>
        <v>0</v>
      </c>
      <c r="HJ5" s="15" t="str">
        <f>IF('Raw Data'!GX53="","",'Raw Data'!GX53)</f>
        <v>0</v>
      </c>
      <c r="HK5" s="15" t="str">
        <f>IF('Raw Data'!GY53="","",'Raw Data'!GY53)</f>
        <v/>
      </c>
      <c r="HL5" s="15" t="str">
        <f>IF('Raw Data'!GZ53="","",'Raw Data'!GZ53)</f>
        <v>Autre</v>
      </c>
      <c r="HM5" s="15" t="str">
        <f>IF('Raw Data'!HA53="","",'Raw Data'!HA53)</f>
        <v>0</v>
      </c>
      <c r="HN5" s="15" t="str">
        <f>IF('Raw Data'!HB53="","",'Raw Data'!HB53)</f>
        <v>0</v>
      </c>
      <c r="HO5" s="15" t="str">
        <f>IF('Raw Data'!HC53="","",'Raw Data'!HC53)</f>
        <v>0</v>
      </c>
      <c r="HP5" s="15" t="str">
        <f>IF('Raw Data'!HD53="","",'Raw Data'!HD53)</f>
        <v>0</v>
      </c>
      <c r="HQ5" s="15" t="str">
        <f>IF('Raw Data'!HE53="","",'Raw Data'!HE53)</f>
        <v>1</v>
      </c>
      <c r="HR5" s="15" t="str">
        <f>IF('Raw Data'!HF53="","",'Raw Data'!HF53)</f>
        <v>0</v>
      </c>
      <c r="HS5" s="31" t="s">
        <v>1616</v>
      </c>
      <c r="HT5" s="15" t="str">
        <f>IF('Raw Data'!HH53="","",'Raw Data'!HH53)</f>
        <v/>
      </c>
      <c r="HU5" s="15" t="str">
        <f>IF('Raw Data'!HI53="","",'Raw Data'!HI53)</f>
        <v>non</v>
      </c>
      <c r="HV5" s="15" t="str">
        <f>IF('Raw Data'!HJ53="","",'Raw Data'!HJ53)</f>
        <v/>
      </c>
      <c r="HW5" s="15" t="str">
        <f>IF('Raw Data'!HK53="","",'Raw Data'!HK53)</f>
        <v/>
      </c>
      <c r="HX5" s="15" t="str">
        <f>IF('Raw Data'!HL53="","",'Raw Data'!HL53)</f>
        <v/>
      </c>
      <c r="HY5" s="15" t="str">
        <f>IF('Raw Data'!HM53="","",'Raw Data'!HM53)</f>
        <v/>
      </c>
      <c r="HZ5" s="15" t="str">
        <f>IF('Raw Data'!HN53="","",'Raw Data'!HN53)</f>
        <v/>
      </c>
      <c r="IA5" s="15" t="str">
        <f>IF('Raw Data'!HO53="","",'Raw Data'!HO53)</f>
        <v/>
      </c>
      <c r="IB5" s="15" t="str">
        <f>IF('Raw Data'!HP53="","",'Raw Data'!HP53)</f>
        <v/>
      </c>
      <c r="IC5" s="15" t="str">
        <f>IF('Raw Data'!HQ53="","",'Raw Data'!HQ53)</f>
        <v/>
      </c>
      <c r="ID5" s="15" t="str">
        <f>IF('Raw Data'!HR53="","",'Raw Data'!HR53)</f>
        <v/>
      </c>
      <c r="IE5" s="15" t="str">
        <f>IF('Raw Data'!HS53="","",'Raw Data'!HS53)</f>
        <v/>
      </c>
      <c r="IF5" s="15" t="str">
        <f>IF('Raw Data'!HT53="","",'Raw Data'!HT53)</f>
        <v/>
      </c>
      <c r="IG5" s="15" t="str">
        <f>IF('Raw Data'!HU53="","",'Raw Data'!HU53)</f>
        <v/>
      </c>
      <c r="IH5" s="15" t="str">
        <f>IF('Raw Data'!HV53="","",'Raw Data'!HV53)</f>
        <v>oui</v>
      </c>
      <c r="II5" s="15" t="str">
        <f>IF('Raw Data'!HW53="","",'Raw Data'!HW53)</f>
        <v/>
      </c>
      <c r="IJ5" s="15" t="str">
        <f>IF('Raw Data'!HX53="","",'Raw Data'!HX53)</f>
        <v/>
      </c>
      <c r="IK5" s="15" t="str">
        <f>IF('Raw Data'!HY53="","",'Raw Data'!HY53)</f>
        <v/>
      </c>
      <c r="IL5" s="15" t="str">
        <f>IF('Raw Data'!HZ53="","",'Raw Data'!HZ53)</f>
        <v/>
      </c>
      <c r="IM5" s="15" t="str">
        <f>IF('Raw Data'!IA53="","",'Raw Data'!IA53)</f>
        <v/>
      </c>
      <c r="IN5" s="15" t="str">
        <f>IF('Raw Data'!IB53="","",'Raw Data'!IB53)</f>
        <v/>
      </c>
      <c r="IO5" s="15" t="str">
        <f>IF('Raw Data'!IC53="","",'Raw Data'!IC53)</f>
        <v/>
      </c>
      <c r="IP5" s="15" t="str">
        <f>IF('Raw Data'!ID53="","",'Raw Data'!ID53)</f>
        <v/>
      </c>
      <c r="IQ5" s="15" t="str">
        <f>IF('Raw Data'!IE53="","",'Raw Data'!IE53)</f>
        <v/>
      </c>
      <c r="IR5" s="15" t="str">
        <f>IF('Raw Data'!IF53="","",'Raw Data'!IF53)</f>
        <v/>
      </c>
      <c r="IS5" s="15" t="str">
        <f>IF('Raw Data'!IG53="","",'Raw Data'!IG53)</f>
        <v/>
      </c>
      <c r="IT5" s="15" t="str">
        <f>IF('Raw Data'!IH53="","",'Raw Data'!IH53)</f>
        <v/>
      </c>
      <c r="IU5" s="15" t="str">
        <f>IF('Raw Data'!II53="","",'Raw Data'!II53)</f>
        <v/>
      </c>
      <c r="IV5" s="15" t="str">
        <f>IF('Raw Data'!IJ53="","",'Raw Data'!IJ53)</f>
        <v/>
      </c>
      <c r="IW5" s="15" t="str">
        <f>IF('Raw Data'!IK53="","",'Raw Data'!IK53)</f>
        <v/>
      </c>
      <c r="IX5" s="15" t="str">
        <f>IF('Raw Data'!IL53="","",'Raw Data'!IL53)</f>
        <v/>
      </c>
      <c r="IY5" s="15" t="str">
        <f>IF('Raw Data'!IM53="","",'Raw Data'!IM53)</f>
        <v/>
      </c>
      <c r="IZ5" s="15" t="str">
        <f>IF('Raw Data'!IN53="","",'Raw Data'!IN53)</f>
        <v>10</v>
      </c>
      <c r="JA5" s="15" t="str">
        <f>IF('Raw Data'!IO53="","",'Raw Data'!IO53)</f>
        <v>Services_medicaux</v>
      </c>
      <c r="JB5" s="15" t="str">
        <f>IF('Raw Data'!IP53="","",'Raw Data'!IP53)</f>
        <v>0</v>
      </c>
      <c r="JC5" s="15" t="str">
        <f>IF('Raw Data'!IQ53="","",'Raw Data'!IQ53)</f>
        <v>1</v>
      </c>
      <c r="JD5" s="15" t="str">
        <f>IF('Raw Data'!IR53="","",'Raw Data'!IR53)</f>
        <v>0</v>
      </c>
      <c r="JE5" s="15" t="str">
        <f>IF('Raw Data'!IS53="","",'Raw Data'!IS53)</f>
        <v>0</v>
      </c>
      <c r="JF5" s="15" t="str">
        <f>IF('Raw Data'!IT53="","",'Raw Data'!IT53)</f>
        <v>0</v>
      </c>
      <c r="JG5" s="15" t="str">
        <f>IF('Raw Data'!IU53="","",'Raw Data'!IU53)</f>
        <v>0</v>
      </c>
      <c r="JH5" s="15" t="str">
        <f>IF('Raw Data'!IV53="","",'Raw Data'!IV53)</f>
        <v>0</v>
      </c>
      <c r="JI5" s="15" t="str">
        <f>IF('Raw Data'!IW53="","",'Raw Data'!IW53)</f>
        <v>0</v>
      </c>
      <c r="JJ5" s="15" t="str">
        <f>IF('Raw Data'!IX53="","",'Raw Data'!IX53)</f>
        <v>0</v>
      </c>
      <c r="JK5" s="15" t="str">
        <f>IF('Raw Data'!IY53="","",'Raw Data'!IY53)</f>
        <v>0</v>
      </c>
      <c r="JL5" s="15" t="str">
        <f>IF('Raw Data'!IZ53="","",'Raw Data'!IZ53)</f>
        <v/>
      </c>
      <c r="JM5" s="15" t="str">
        <f>IF('Raw Data'!JA53="","",'Raw Data'!JA53)</f>
        <v>signalement reorientation</v>
      </c>
      <c r="JN5" s="15" t="str">
        <f>IF('Raw Data'!JB53="","",'Raw Data'!JB53)</f>
        <v>0</v>
      </c>
      <c r="JO5" s="15" t="str">
        <f>IF('Raw Data'!JC53="","",'Raw Data'!JC53)</f>
        <v>1</v>
      </c>
      <c r="JP5" s="15" t="str">
        <f>IF('Raw Data'!JD53="","",'Raw Data'!JD53)</f>
        <v>1</v>
      </c>
      <c r="JQ5" s="15" t="str">
        <f>IF('Raw Data'!JE53="","",'Raw Data'!JE53)</f>
        <v>0</v>
      </c>
      <c r="JR5" s="15" t="str">
        <f>IF('Raw Data'!JF53="","",'Raw Data'!JF53)</f>
        <v>0</v>
      </c>
      <c r="JS5" s="15" t="str">
        <f>IF('Raw Data'!JG53="","",'Raw Data'!JG53)</f>
        <v>0</v>
      </c>
      <c r="JT5" s="15" t="str">
        <f>IF('Raw Data'!JH53="","",'Raw Data'!JH53)</f>
        <v/>
      </c>
      <c r="JU5" s="15" t="str">
        <f>IF('Raw Data'!JI53="","",'Raw Data'!JI53)</f>
        <v/>
      </c>
      <c r="JV5" s="15" t="str">
        <f>IF('Raw Data'!JJ53="","",'Raw Data'!JJ53)</f>
        <v/>
      </c>
      <c r="JW5" s="15" t="str">
        <f>IF('Raw Data'!JK53="","",'Raw Data'!JK53)</f>
        <v/>
      </c>
      <c r="JX5" s="15" t="str">
        <f>IF('Raw Data'!JL53="","",'Raw Data'!JL53)</f>
        <v/>
      </c>
      <c r="JY5" s="15" t="str">
        <f>IF('Raw Data'!JM53="","",'Raw Data'!JM53)</f>
        <v/>
      </c>
      <c r="JZ5" s="15" t="str">
        <f>IF('Raw Data'!JN53="","",'Raw Data'!JN53)</f>
        <v/>
      </c>
      <c r="KA5" s="15" t="str">
        <f>IF('Raw Data'!JO53="","",'Raw Data'!JO53)</f>
        <v/>
      </c>
      <c r="KB5" s="15" t="str">
        <f>IF('Raw Data'!JP53="","",'Raw Data'!JP53)</f>
        <v/>
      </c>
      <c r="KC5" s="15" t="str">
        <f>IF('Raw Data'!JQ53="","",'Raw Data'!JQ53)</f>
        <v/>
      </c>
      <c r="KD5" s="15" t="str">
        <f>IF('Raw Data'!JR53="","",'Raw Data'!JR53)</f>
        <v/>
      </c>
      <c r="KE5" s="15" t="str">
        <f>IF('Raw Data'!JS53="","",'Raw Data'!JS53)</f>
        <v/>
      </c>
      <c r="KF5" s="15" t="str">
        <f>IF('Raw Data'!JT53="","",'Raw Data'!JT53)</f>
        <v>medical juridique</v>
      </c>
      <c r="KG5" s="15" t="str">
        <f>IF('Raw Data'!JU53="","",'Raw Data'!JU53)</f>
        <v>1</v>
      </c>
      <c r="KH5" s="15" t="str">
        <f>IF('Raw Data'!JV53="","",'Raw Data'!JV53)</f>
        <v>0</v>
      </c>
      <c r="KI5" s="15" t="str">
        <f>IF('Raw Data'!JW53="","",'Raw Data'!JW53)</f>
        <v>0</v>
      </c>
      <c r="KJ5" s="15" t="str">
        <f>IF('Raw Data'!JX53="","",'Raw Data'!JX53)</f>
        <v>1</v>
      </c>
      <c r="KK5" s="15" t="str">
        <f>IF('Raw Data'!JY53="","",'Raw Data'!JY53)</f>
        <v>0</v>
      </c>
      <c r="KL5" s="15" t="str">
        <f>IF('Raw Data'!JZ53="","",'Raw Data'!JZ53)</f>
        <v>0</v>
      </c>
      <c r="KM5" s="15" t="str">
        <f>IF('Raw Data'!KA53="","",'Raw Data'!KA53)</f>
        <v>0</v>
      </c>
      <c r="KN5" s="15" t="str">
        <f>IF('Raw Data'!KB53="","",'Raw Data'!KB53)</f>
        <v>0</v>
      </c>
      <c r="KO5" s="15" t="str">
        <f>IF('Raw Data'!KC53="","",'Raw Data'!KC53)</f>
        <v>0</v>
      </c>
      <c r="KP5" s="15" t="str">
        <f>IF('Raw Data'!KD53="","",'Raw Data'!KD53)</f>
        <v/>
      </c>
      <c r="KQ5" s="15" t="str">
        <f>IF('Raw Data'!KE53="","",'Raw Data'!KE53)</f>
        <v/>
      </c>
      <c r="KR5" s="15" t="str">
        <f>IF('Raw Data'!KF53="","",'Raw Data'!KF53)</f>
        <v>oui</v>
      </c>
      <c r="KS5" s="15" t="str">
        <f>IF('Raw Data'!KG53="","",'Raw Data'!KG53)</f>
        <v>manque_moyens manque_d'information</v>
      </c>
      <c r="KT5" s="15" t="str">
        <f>IF('Raw Data'!KH53="","",'Raw Data'!KH53)</f>
        <v>1</v>
      </c>
      <c r="KU5" s="15" t="str">
        <f>IF('Raw Data'!KI53="","",'Raw Data'!KI53)</f>
        <v>0</v>
      </c>
      <c r="KV5" s="15" t="str">
        <f>IF('Raw Data'!KJ53="","",'Raw Data'!KJ53)</f>
        <v>1</v>
      </c>
      <c r="KW5" s="15" t="str">
        <f>IF('Raw Data'!KK53="","",'Raw Data'!KK53)</f>
        <v>0</v>
      </c>
      <c r="KX5" s="15" t="str">
        <f>IF('Raw Data'!KL53="","",'Raw Data'!KL53)</f>
        <v>0</v>
      </c>
      <c r="KY5" s="15" t="str">
        <f>IF('Raw Data'!KM53="","",'Raw Data'!KM53)</f>
        <v>0</v>
      </c>
      <c r="KZ5" s="15" t="str">
        <f>IF('Raw Data'!KN53="","",'Raw Data'!KN53)</f>
        <v>0</v>
      </c>
      <c r="LA5" s="15" t="str">
        <f>IF('Raw Data'!KO53="","",'Raw Data'!KO53)</f>
        <v>0</v>
      </c>
      <c r="LB5" s="15" t="str">
        <f>IF('Raw Data'!KP53="","",'Raw Data'!KP53)</f>
        <v>0</v>
      </c>
      <c r="LC5" s="15" t="str">
        <f>IF('Raw Data'!KQ53="","",'Raw Data'!KQ53)</f>
        <v>0</v>
      </c>
      <c r="LD5" s="15" t="str">
        <f>IF('Raw Data'!KR53="","",'Raw Data'!KR53)</f>
        <v>0</v>
      </c>
      <c r="LE5" s="15" t="str">
        <f>IF('Raw Data'!KS53="","",'Raw Data'!KS53)</f>
        <v/>
      </c>
      <c r="LF5" s="15" t="str">
        <f>IF('Raw Data'!KT53="","",'Raw Data'!KT53)</f>
        <v/>
      </c>
      <c r="LG5" s="15" t="str">
        <f>IF('Raw Data'!KU53="","",'Raw Data'!KU53)</f>
        <v/>
      </c>
      <c r="LH5" s="15" t="str">
        <f>IF('Raw Data'!KV53="","",'Raw Data'!KV53)</f>
        <v/>
      </c>
      <c r="LI5" s="15" t="str">
        <f>IF('Raw Data'!KW53="","",'Raw Data'!KW53)</f>
        <v/>
      </c>
      <c r="LJ5" s="15" t="str">
        <f>IF('Raw Data'!KX53="","",'Raw Data'!KX53)</f>
        <v/>
      </c>
      <c r="LK5" s="15" t="str">
        <f>IF('Raw Data'!KY53="","",'Raw Data'!KY53)</f>
        <v/>
      </c>
      <c r="LL5" s="15" t="str">
        <f>IF('Raw Data'!KZ53="","",'Raw Data'!KZ53)</f>
        <v/>
      </c>
      <c r="LM5" s="15" t="str">
        <f>IF('Raw Data'!LA53="","",'Raw Data'!LA53)</f>
        <v/>
      </c>
      <c r="LN5" s="15" t="str">
        <f>IF('Raw Data'!LB53="","",'Raw Data'!LB53)</f>
        <v>oui</v>
      </c>
      <c r="LO5" s="15" t="str">
        <f>IF('Raw Data'!LC53="","",'Raw Data'!LC53)</f>
        <v>menace_enlevement violence_physique menace_mort</v>
      </c>
      <c r="LP5" s="15" t="str">
        <f>IF('Raw Data'!LD53="","",'Raw Data'!LD53)</f>
        <v>1</v>
      </c>
      <c r="LQ5" s="15" t="str">
        <f>IF('Raw Data'!LE53="","",'Raw Data'!LE53)</f>
        <v>0</v>
      </c>
      <c r="LR5" s="15" t="str">
        <f>IF('Raw Data'!LF53="","",'Raw Data'!LF53)</f>
        <v>0</v>
      </c>
      <c r="LS5" s="15" t="str">
        <f>IF('Raw Data'!LG53="","",'Raw Data'!LG53)</f>
        <v>0</v>
      </c>
      <c r="LT5" s="15" t="str">
        <f>IF('Raw Data'!LH53="","",'Raw Data'!LH53)</f>
        <v>1</v>
      </c>
      <c r="LU5" s="15" t="str">
        <f>IF('Raw Data'!LI53="","",'Raw Data'!LI53)</f>
        <v>1</v>
      </c>
      <c r="LV5" s="15" t="str">
        <f>IF('Raw Data'!LJ53="","",'Raw Data'!LJ53)</f>
        <v>0</v>
      </c>
      <c r="LW5" s="15" t="str">
        <f>IF('Raw Data'!LK53="","",'Raw Data'!LK53)</f>
        <v>0</v>
      </c>
      <c r="LX5" s="15" t="str">
        <f>IF('Raw Data'!LL53="","",'Raw Data'!LL53)</f>
        <v>0</v>
      </c>
      <c r="LY5" s="15" t="str">
        <f>IF('Raw Data'!LM53="","",'Raw Data'!LM53)</f>
        <v>0</v>
      </c>
      <c r="LZ5" s="15" t="str">
        <f>IF('Raw Data'!LN53="","",'Raw Data'!LN53)</f>
        <v/>
      </c>
      <c r="MA5" s="15" t="str">
        <f>IF('Raw Data'!LO53="","",'Raw Data'!LO53)</f>
        <v>non</v>
      </c>
      <c r="MB5" s="15" t="str">
        <f>IF('Raw Data'!LP53="","",'Raw Data'!LP53)</f>
        <v>oui</v>
      </c>
      <c r="MC5" s="15" t="str">
        <f>IF('Raw Data'!LQ53="","",'Raw Data'!LQ53)</f>
        <v/>
      </c>
      <c r="MD5" s="15" t="str">
        <f>IF('Raw Data'!LR53="","",'Raw Data'!LR53)</f>
        <v>Les menaces de mort se font par appel pour demander au chef de collecter la zakkat si non ils vont venir l'enlever et le tuer</v>
      </c>
      <c r="ME5" s="15">
        <f>IF('Raw Data'!LS53="","",'Raw Data'!LS53)</f>
        <v>170478774</v>
      </c>
      <c r="MF5" s="15" t="str">
        <f>IF('Raw Data'!LT53="","",'Raw Data'!LT53)</f>
        <v>1e4810db-1d3c-401d-b644-e5dd0d4ca521</v>
      </c>
      <c r="MG5" s="15" t="str">
        <f>IF('Raw Data'!LU53="","",'Raw Data'!LU53)</f>
        <v>2021-04-08T15:25:20</v>
      </c>
      <c r="MH5" s="15" t="str">
        <f>IF('Raw Data'!LV53="","",'Raw Data'!LV53)</f>
        <v/>
      </c>
      <c r="MI5" s="15" t="str">
        <f>IF('Raw Data'!LW53="","",'Raw Data'!LW53)</f>
        <v>[]</v>
      </c>
      <c r="MJ5" s="15" t="str">
        <f>IF('Raw Data'!LX53="","",'Raw Data'!LX53)</f>
        <v>submitted_via_web</v>
      </c>
      <c r="MK5" s="15" t="str">
        <f>IF('Raw Data'!LY53="","",'Raw Data'!LY53)</f>
        <v>reach_niger</v>
      </c>
      <c r="ML5" s="15" t="str">
        <f>IF('Raw Data'!LZ53="","",'Raw Data'!LZ53)</f>
        <v/>
      </c>
      <c r="MM5" s="15">
        <f>IF('Raw Data'!MA53="","",'Raw Data'!MA53)</f>
        <v>57</v>
      </c>
    </row>
    <row r="6" spans="1:351" x14ac:dyDescent="0.3">
      <c r="A6" s="26" t="str">
        <f t="shared" si="0"/>
        <v>b48626ba-2719-4e73-ae0f-85c7f3c3bac4</v>
      </c>
      <c r="B6" s="26" t="str">
        <f t="shared" si="1"/>
        <v>gotheye</v>
      </c>
      <c r="C6" s="26" t="str">
        <f t="shared" si="2"/>
        <v>B</v>
      </c>
      <c r="D6" s="14" t="str">
        <f>IF('Raw Data'!A50="","",'Raw Data'!A50)</f>
        <v>2021-04-07T16:08:22.824+01:00</v>
      </c>
      <c r="E6" s="14" t="str">
        <f>IF('Raw Data'!B50="","",'Raw Data'!B50)</f>
        <v>2021-04-07T16:57:25.614+01:00</v>
      </c>
      <c r="F6" s="30">
        <v>44293.672476851854</v>
      </c>
      <c r="G6" s="30">
        <v>44293.70653935185</v>
      </c>
      <c r="H6" s="29">
        <f>VLOOKUP(A6,Audit[#All],2,FALSE)</f>
        <v>49.05</v>
      </c>
      <c r="I6" s="29">
        <f>VLOOKUP(A6,Audit[#All],3,FALSE)</f>
        <v>37.049999999999997</v>
      </c>
      <c r="J6" s="29">
        <f>VLOOKUP(A6,Audit[#All],4,FALSE)</f>
        <v>34.83</v>
      </c>
      <c r="K6" s="29">
        <f>VLOOKUP(A6,nb_questions[#All],2,FALSE)</f>
        <v>107</v>
      </c>
      <c r="L6" s="29">
        <f t="shared" si="3"/>
        <v>100</v>
      </c>
      <c r="M6" s="14" t="str">
        <f>IF('Raw Data'!C50="","",'Raw Data'!C50)</f>
        <v>2021-04-07</v>
      </c>
      <c r="N6" s="14" t="str">
        <f>IF('Raw Data'!D50="","",'Raw Data'!D50)</f>
        <v/>
      </c>
      <c r="O6" s="14" t="str">
        <f>IF('Raw Data'!E50="","",'Raw Data'!E50)</f>
        <v/>
      </c>
      <c r="P6" s="29" t="str">
        <f>VLOOKUP(A6,code_enqueteurs[#All],3,FALSE)</f>
        <v>B</v>
      </c>
      <c r="Q6" s="29" t="s">
        <v>1645</v>
      </c>
      <c r="R6" s="14" t="str">
        <f>IF('Raw Data'!F50="","",'Raw Data'!F50)</f>
        <v>Homme</v>
      </c>
      <c r="S6" s="15" t="str">
        <f>IF('Raw Data'!G50="","",'Raw Data'!G50)</f>
        <v>gotheye</v>
      </c>
      <c r="T6" s="15" t="str">
        <f>IF('Raw Data'!H50="","",'Raw Data'!H50)</f>
        <v>gotheye</v>
      </c>
      <c r="U6" s="15" t="str">
        <f>IF('Raw Data'!I50="","",'Raw Data'!I50)</f>
        <v>ziguida</v>
      </c>
      <c r="V6" s="15" t="str">
        <f>IF('Raw Data'!J50="","",'Raw Data'!J50)</f>
        <v/>
      </c>
      <c r="W6" s="15" t="str">
        <f>IF('Raw Data'!K50="","",'Raw Data'!K50)</f>
        <v/>
      </c>
      <c r="X6" s="15" t="str">
        <f>IF('Raw Data'!L50="","",'Raw Data'!L50)</f>
        <v/>
      </c>
      <c r="Y6" s="15" t="str">
        <f>IF('Raw Data'!M50="","",'Raw Data'!M50)</f>
        <v/>
      </c>
      <c r="Z6" s="15" t="str">
        <f>IF('Raw Data'!N50="","",'Raw Data'!N50)</f>
        <v/>
      </c>
      <c r="AA6" s="15" t="str">
        <f>IF('Raw Data'!O50="","",'Raw Data'!O50)</f>
        <v/>
      </c>
      <c r="AB6" s="15" t="str">
        <f>IF('Raw Data'!P50="","",'Raw Data'!P50)</f>
        <v/>
      </c>
      <c r="AC6" s="15" t="str">
        <f>IF('Raw Data'!Q50="","",'Raw Data'!Q50)</f>
        <v/>
      </c>
      <c r="AD6" s="15" t="str">
        <f>IF('Raw Data'!R50="","",'Raw Data'!R50)</f>
        <v>Homme</v>
      </c>
      <c r="AE6" s="15" t="str">
        <f>IF('Raw Data'!S50="","",'Raw Data'!S50)</f>
        <v>53</v>
      </c>
      <c r="AF6" s="15" t="str">
        <f>IF('Raw Data'!T50="","",'Raw Data'!T50)</f>
        <v>deplace_interne</v>
      </c>
      <c r="AG6" s="15" t="str">
        <f>IF('Raw Data'!U50="","",'Raw Data'!U50)</f>
        <v/>
      </c>
      <c r="AH6" s="15" t="str">
        <f>IF('Raw Data'!V50="","",'Raw Data'!V50)</f>
        <v/>
      </c>
      <c r="AI6" s="15" t="str">
        <f>IF('Raw Data'!W50="","",'Raw Data'!W50)</f>
        <v/>
      </c>
      <c r="AJ6" s="15" t="str">
        <f>IF('Raw Data'!X50="","",'Raw Data'!X50)</f>
        <v/>
      </c>
      <c r="AK6" s="15" t="str">
        <f>IF('Raw Data'!Y50="","",'Raw Data'!Y50)</f>
        <v/>
      </c>
      <c r="AL6" s="15" t="str">
        <f>IF('Raw Data'!Z50="","",'Raw Data'!Z50)</f>
        <v>niger</v>
      </c>
      <c r="AM6" s="15" t="str">
        <f>IF('Raw Data'!AA50="","",'Raw Data'!AA50)</f>
        <v>tillaberi</v>
      </c>
      <c r="AN6" s="15" t="str">
        <f>IF('Raw Data'!AB50="","",'Raw Data'!AB50)</f>
        <v>gotheye</v>
      </c>
      <c r="AO6" s="15" t="str">
        <f>IF('Raw Data'!AC50="","",'Raw Data'!AC50)</f>
        <v/>
      </c>
      <c r="AP6" s="15" t="str">
        <f>IF('Raw Data'!AD50="","",'Raw Data'!AD50)</f>
        <v/>
      </c>
      <c r="AQ6" s="15" t="str">
        <f>IF('Raw Data'!AE50="","",'Raw Data'!AE50)</f>
        <v/>
      </c>
      <c r="AR6" s="15" t="str">
        <f>IF('Raw Data'!AF50="","",'Raw Data'!AF50)</f>
        <v/>
      </c>
      <c r="AS6" s="15" t="str">
        <f>IF('Raw Data'!AG50="","",'Raw Data'!AG50)</f>
        <v>oui</v>
      </c>
      <c r="AT6" s="31" t="s">
        <v>1468</v>
      </c>
      <c r="AU6" s="15" t="str">
        <f>IF('Raw Data'!AI50="","",'Raw Data'!AI50)</f>
        <v>0</v>
      </c>
      <c r="AV6" s="31">
        <v>1</v>
      </c>
      <c r="AW6" s="15" t="str">
        <f>IF('Raw Data'!AK50="","",'Raw Data'!AK50)</f>
        <v>1</v>
      </c>
      <c r="AX6" s="15" t="str">
        <f>IF('Raw Data'!AL50="","",'Raw Data'!AL50)</f>
        <v>0</v>
      </c>
      <c r="AY6" s="15" t="str">
        <f>IF('Raw Data'!AM50="","",'Raw Data'!AM50)</f>
        <v>0</v>
      </c>
      <c r="AZ6" s="15" t="str">
        <f>IF('Raw Data'!AN50="","",'Raw Data'!AN50)</f>
        <v>0</v>
      </c>
      <c r="BA6" s="15" t="str">
        <f>IF('Raw Data'!AO50="","",'Raw Data'!AO50)</f>
        <v>0</v>
      </c>
      <c r="BB6" s="15" t="str">
        <f>IF('Raw Data'!AP50="","",'Raw Data'!AP50)</f>
        <v>0</v>
      </c>
      <c r="BC6" s="15" t="str">
        <f>IF('Raw Data'!AQ50="","",'Raw Data'!AQ50)</f>
        <v>0</v>
      </c>
      <c r="BD6" s="15" t="str">
        <f>IF('Raw Data'!AR50="","",'Raw Data'!AR50)</f>
        <v>0</v>
      </c>
      <c r="BE6" s="15" t="str">
        <f>IF('Raw Data'!AS50="","",'Raw Data'!AS50)</f>
        <v>0</v>
      </c>
      <c r="BF6" s="31">
        <v>0</v>
      </c>
      <c r="BG6" s="15" t="str">
        <f>IF('Raw Data'!AU50="","",'Raw Data'!AU50)</f>
        <v>0</v>
      </c>
      <c r="BH6" s="15" t="str">
        <f>IF('Raw Data'!AV50="","",'Raw Data'!AV50)</f>
        <v>0</v>
      </c>
      <c r="BI6" s="31"/>
      <c r="BJ6" s="15" t="str">
        <f>IF('Raw Data'!AX50="","",'Raw Data'!AX50)</f>
        <v>Hommes Femmes Garçons</v>
      </c>
      <c r="BK6" s="15" t="str">
        <f>IF('Raw Data'!AY50="","",'Raw Data'!AY50)</f>
        <v>0</v>
      </c>
      <c r="BL6" s="15" t="str">
        <f>IF('Raw Data'!AZ50="","",'Raw Data'!AZ50)</f>
        <v>0</v>
      </c>
      <c r="BM6" s="15" t="str">
        <f>IF('Raw Data'!BA50="","",'Raw Data'!BA50)</f>
        <v>0</v>
      </c>
      <c r="BN6" s="15" t="str">
        <f>IF('Raw Data'!BB50="","",'Raw Data'!BB50)</f>
        <v>1</v>
      </c>
      <c r="BO6" s="15" t="str">
        <f>IF('Raw Data'!BC50="","",'Raw Data'!BC50)</f>
        <v>1</v>
      </c>
      <c r="BP6" s="15" t="str">
        <f>IF('Raw Data'!BD50="","",'Raw Data'!BD50)</f>
        <v>1</v>
      </c>
      <c r="BQ6" s="15" t="str">
        <f>IF('Raw Data'!BE50="","",'Raw Data'!BE50)</f>
        <v>0</v>
      </c>
      <c r="BR6" s="15" t="str">
        <f>IF('Raw Data'!BF50="","",'Raw Data'!BF50)</f>
        <v>0</v>
      </c>
      <c r="BS6" s="15" t="str">
        <f>IF('Raw Data'!BG50="","",'Raw Data'!BG50)</f>
        <v>0</v>
      </c>
      <c r="BT6" s="15" t="str">
        <f>IF('Raw Data'!BH50="","",'Raw Data'!BH50)</f>
        <v>0</v>
      </c>
      <c r="BU6" s="15" t="str">
        <f>IF('Raw Data'!BI50="","",'Raw Data'!BI50)</f>
        <v>0</v>
      </c>
      <c r="BV6" s="15" t="str">
        <f>IF('Raw Data'!BJ50="","",'Raw Data'!BJ50)</f>
        <v>0</v>
      </c>
      <c r="BW6" s="15" t="str">
        <f>IF('Raw Data'!BK50="","",'Raw Data'!BK50)</f>
        <v>0</v>
      </c>
      <c r="BX6" s="15" t="str">
        <f>IF('Raw Data'!BL50="","",'Raw Data'!BL50)</f>
        <v>0</v>
      </c>
      <c r="BY6" s="15" t="str">
        <f>IF('Raw Data'!BM50="","",'Raw Data'!BM50)</f>
        <v/>
      </c>
      <c r="BZ6" s="15" t="str">
        <f>IF('Raw Data'!BN50="","",'Raw Data'!BN50)</f>
        <v>2</v>
      </c>
      <c r="CA6" s="15" t="str">
        <f>IF('Raw Data'!BO50="","",'Raw Data'!BO50)</f>
        <v>stable</v>
      </c>
      <c r="CB6" s="15" t="str">
        <f>IF('Raw Data'!BP50="","",'Raw Data'!BP50)</f>
        <v/>
      </c>
      <c r="CC6" s="15" t="str">
        <f>IF('Raw Data'!BQ50="","",'Raw Data'!BQ50)</f>
        <v>oui</v>
      </c>
      <c r="CD6" s="15" t="str">
        <f>IF('Raw Data'!BR50="","",'Raw Data'!BR50)</f>
        <v>mariage_force agression_psychologique exploitations_enfant</v>
      </c>
      <c r="CE6" s="15" t="str">
        <f>IF('Raw Data'!BS50="","",'Raw Data'!BS50)</f>
        <v>0</v>
      </c>
      <c r="CF6" s="15" t="str">
        <f>IF('Raw Data'!BT50="","",'Raw Data'!BT50)</f>
        <v>0</v>
      </c>
      <c r="CG6" s="15" t="str">
        <f>IF('Raw Data'!BU50="","",'Raw Data'!BU50)</f>
        <v>0</v>
      </c>
      <c r="CH6" s="15" t="str">
        <f>IF('Raw Data'!BV50="","",'Raw Data'!BV50)</f>
        <v>0</v>
      </c>
      <c r="CI6" s="15" t="str">
        <f>IF('Raw Data'!BW50="","",'Raw Data'!BW50)</f>
        <v>1</v>
      </c>
      <c r="CJ6" s="15" t="str">
        <f>IF('Raw Data'!BX50="","",'Raw Data'!BX50)</f>
        <v>1</v>
      </c>
      <c r="CK6" s="15" t="str">
        <f>IF('Raw Data'!BY50="","",'Raw Data'!BY50)</f>
        <v>0</v>
      </c>
      <c r="CL6" s="15" t="str">
        <f>IF('Raw Data'!BZ50="","",'Raw Data'!BZ50)</f>
        <v>0</v>
      </c>
      <c r="CM6" s="15" t="str">
        <f>IF('Raw Data'!CA50="","",'Raw Data'!CA50)</f>
        <v>1</v>
      </c>
      <c r="CN6" s="15" t="str">
        <f>IF('Raw Data'!CB50="","",'Raw Data'!CB50)</f>
        <v>0</v>
      </c>
      <c r="CO6" s="15" t="str">
        <f>IF('Raw Data'!CC50="","",'Raw Data'!CC50)</f>
        <v>0</v>
      </c>
      <c r="CP6" s="15" t="str">
        <f>IF('Raw Data'!CD50="","",'Raw Data'!CD50)</f>
        <v>0</v>
      </c>
      <c r="CQ6" s="15" t="str">
        <f>IF('Raw Data'!CE50="","",'Raw Data'!CE50)</f>
        <v>0</v>
      </c>
      <c r="CR6" s="15" t="str">
        <f>IF('Raw Data'!CF50="","",'Raw Data'!CF50)</f>
        <v>0</v>
      </c>
      <c r="CS6" s="15" t="str">
        <f>IF('Raw Data'!CG50="","",'Raw Data'!CG50)</f>
        <v>0</v>
      </c>
      <c r="CT6" s="15" t="str">
        <f>IF('Raw Data'!CH50="","",'Raw Data'!CH50)</f>
        <v/>
      </c>
      <c r="CU6" s="15" t="str">
        <f>IF('Raw Data'!CI50="","",'Raw Data'!CI50)</f>
        <v>Enfants Filles Garçons Femmes Hommes</v>
      </c>
      <c r="CV6" s="15" t="str">
        <f>IF('Raw Data'!CJ50="","",'Raw Data'!CJ50)</f>
        <v>0</v>
      </c>
      <c r="CW6" s="15" t="str">
        <f>IF('Raw Data'!CK50="","",'Raw Data'!CK50)</f>
        <v>1</v>
      </c>
      <c r="CX6" s="15" t="str">
        <f>IF('Raw Data'!CL50="","",'Raw Data'!CL50)</f>
        <v>1</v>
      </c>
      <c r="CY6" s="15" t="str">
        <f>IF('Raw Data'!CM50="","",'Raw Data'!CM50)</f>
        <v>1</v>
      </c>
      <c r="CZ6" s="15" t="str">
        <f>IF('Raw Data'!CN50="","",'Raw Data'!CN50)</f>
        <v>1</v>
      </c>
      <c r="DA6" s="15" t="str">
        <f>IF('Raw Data'!CO50="","",'Raw Data'!CO50)</f>
        <v>1</v>
      </c>
      <c r="DB6" s="15" t="str">
        <f>IF('Raw Data'!CP50="","",'Raw Data'!CP50)</f>
        <v>0</v>
      </c>
      <c r="DC6" s="15" t="str">
        <f>IF('Raw Data'!CQ50="","",'Raw Data'!CQ50)</f>
        <v>0</v>
      </c>
      <c r="DD6" s="15" t="str">
        <f>IF('Raw Data'!CR50="","",'Raw Data'!CR50)</f>
        <v>0</v>
      </c>
      <c r="DE6" s="15" t="str">
        <f>IF('Raw Data'!CS50="","",'Raw Data'!CS50)</f>
        <v>0</v>
      </c>
      <c r="DF6" s="15" t="str">
        <f>IF('Raw Data'!CT50="","",'Raw Data'!CT50)</f>
        <v>0</v>
      </c>
      <c r="DG6" s="15" t="str">
        <f>IF('Raw Data'!CU50="","",'Raw Data'!CU50)</f>
        <v>0</v>
      </c>
      <c r="DH6" s="15" t="str">
        <f>IF('Raw Data'!CV50="","",'Raw Data'!CV50)</f>
        <v>0</v>
      </c>
      <c r="DI6" s="15" t="str">
        <f>IF('Raw Data'!CW50="","",'Raw Data'!CW50)</f>
        <v>0</v>
      </c>
      <c r="DJ6" s="15" t="str">
        <f>IF('Raw Data'!CX50="","",'Raw Data'!CX50)</f>
        <v/>
      </c>
      <c r="DK6" s="15" t="str">
        <f>IF('Raw Data'!CY50="","",'Raw Data'!CY50)</f>
        <v>3</v>
      </c>
      <c r="DL6" s="15" t="str">
        <f>IF('Raw Data'!CZ50="","",'Raw Data'!CZ50)</f>
        <v>stable</v>
      </c>
      <c r="DM6" s="15" t="str">
        <f>IF('Raw Data'!DA50="","",'Raw Data'!DA50)</f>
        <v/>
      </c>
      <c r="DN6" s="15" t="str">
        <f>IF('Raw Data'!DB50="","",'Raw Data'!DB50)</f>
        <v/>
      </c>
      <c r="DO6" s="15" t="str">
        <f>IF('Raw Data'!DC50="","",'Raw Data'!DC50)</f>
        <v/>
      </c>
      <c r="DP6" s="15" t="str">
        <f>IF('Raw Data'!DD50="","",'Raw Data'!DD50)</f>
        <v/>
      </c>
      <c r="DQ6" s="15" t="str">
        <f>IF('Raw Data'!DE50="","",'Raw Data'!DE50)</f>
        <v/>
      </c>
      <c r="DR6" s="15" t="str">
        <f>IF('Raw Data'!DF50="","",'Raw Data'!DF50)</f>
        <v/>
      </c>
      <c r="DS6" s="15" t="str">
        <f>IF('Raw Data'!DG50="","",'Raw Data'!DG50)</f>
        <v/>
      </c>
      <c r="DT6" s="15" t="str">
        <f>IF('Raw Data'!DH50="","",'Raw Data'!DH50)</f>
        <v/>
      </c>
      <c r="DU6" s="15" t="str">
        <f>IF('Raw Data'!DI50="","",'Raw Data'!DI50)</f>
        <v/>
      </c>
      <c r="DV6" s="15" t="str">
        <f>IF('Raw Data'!DJ50="","",'Raw Data'!DJ50)</f>
        <v/>
      </c>
      <c r="DW6" s="15" t="str">
        <f>IF('Raw Data'!DK50="","",'Raw Data'!DK50)</f>
        <v/>
      </c>
      <c r="DX6" s="15" t="str">
        <f>IF('Raw Data'!DL50="","",'Raw Data'!DL50)</f>
        <v/>
      </c>
      <c r="DY6" s="15" t="str">
        <f>IF('Raw Data'!DM50="","",'Raw Data'!DM50)</f>
        <v/>
      </c>
      <c r="DZ6" s="15" t="str">
        <f>IF('Raw Data'!DN50="","",'Raw Data'!DN50)</f>
        <v/>
      </c>
      <c r="EA6" s="15" t="str">
        <f>IF('Raw Data'!DO50="","",'Raw Data'!DO50)</f>
        <v/>
      </c>
      <c r="EB6" s="15" t="str">
        <f>IF('Raw Data'!DP50="","",'Raw Data'!DP50)</f>
        <v/>
      </c>
      <c r="EC6" s="15" t="str">
        <f>IF('Raw Data'!DQ50="","",'Raw Data'!DQ50)</f>
        <v/>
      </c>
      <c r="ED6" s="15" t="str">
        <f>IF('Raw Data'!DR50="","",'Raw Data'!DR50)</f>
        <v/>
      </c>
      <c r="EE6" s="15" t="str">
        <f>IF('Raw Data'!DS50="","",'Raw Data'!DS50)</f>
        <v/>
      </c>
      <c r="EF6" s="15" t="str">
        <f>IF('Raw Data'!DT50="","",'Raw Data'!DT50)</f>
        <v/>
      </c>
      <c r="EG6" s="15" t="str">
        <f>IF('Raw Data'!DU50="","",'Raw Data'!DU50)</f>
        <v/>
      </c>
      <c r="EH6" s="15" t="str">
        <f>IF('Raw Data'!DV50="","",'Raw Data'!DV50)</f>
        <v/>
      </c>
      <c r="EI6" s="15" t="str">
        <f>IF('Raw Data'!DW50="","",'Raw Data'!DW50)</f>
        <v/>
      </c>
      <c r="EJ6" s="15" t="str">
        <f>IF('Raw Data'!DX50="","",'Raw Data'!DX50)</f>
        <v/>
      </c>
      <c r="EK6" s="15" t="str">
        <f>IF('Raw Data'!DY50="","",'Raw Data'!DY50)</f>
        <v/>
      </c>
      <c r="EL6" s="31" t="s">
        <v>551</v>
      </c>
      <c r="EM6" s="15" t="str">
        <f>IF('Raw Data'!EA50="","",'Raw Data'!EA50)</f>
        <v>0</v>
      </c>
      <c r="EN6" s="15" t="str">
        <f>IF('Raw Data'!EB50="","",'Raw Data'!EB50)</f>
        <v>1</v>
      </c>
      <c r="EO6" s="15" t="str">
        <f>IF('Raw Data'!EC50="","",'Raw Data'!EC50)</f>
        <v>0</v>
      </c>
      <c r="EP6" s="15" t="str">
        <f>IF('Raw Data'!ED50="","",'Raw Data'!ED50)</f>
        <v>0</v>
      </c>
      <c r="EQ6" s="15" t="str">
        <f>IF('Raw Data'!EE50="","",'Raw Data'!EE50)</f>
        <v>0</v>
      </c>
      <c r="ER6" s="15" t="str">
        <f>IF('Raw Data'!EF50="","",'Raw Data'!EF50)</f>
        <v>0</v>
      </c>
      <c r="ES6" s="15" t="str">
        <f>IF('Raw Data'!EG50="","",'Raw Data'!EG50)</f>
        <v>0</v>
      </c>
      <c r="ET6" s="31">
        <v>0</v>
      </c>
      <c r="EU6" s="15" t="str">
        <f>IF('Raw Data'!EI50="","",'Raw Data'!EI50)</f>
        <v>0</v>
      </c>
      <c r="EV6" s="31"/>
      <c r="EW6" s="15" t="str">
        <f>IF('Raw Data'!EK50="","",'Raw Data'!EK50)</f>
        <v/>
      </c>
      <c r="EX6" s="15" t="str">
        <f>IF('Raw Data'!EL50="","",'Raw Data'!EL50)</f>
        <v>comite_protection</v>
      </c>
      <c r="EY6" s="15" t="str">
        <f>IF('Raw Data'!EM50="","",'Raw Data'!EM50)</f>
        <v>0</v>
      </c>
      <c r="EZ6" s="15" t="str">
        <f>IF('Raw Data'!EN50="","",'Raw Data'!EN50)</f>
        <v>1</v>
      </c>
      <c r="FA6" s="15" t="str">
        <f>IF('Raw Data'!EO50="","",'Raw Data'!EO50)</f>
        <v>0</v>
      </c>
      <c r="FB6" s="15" t="str">
        <f>IF('Raw Data'!EP50="","",'Raw Data'!EP50)</f>
        <v>0</v>
      </c>
      <c r="FC6" s="15" t="str">
        <f>IF('Raw Data'!EQ50="","",'Raw Data'!EQ50)</f>
        <v>0</v>
      </c>
      <c r="FD6" s="15" t="str">
        <f>IF('Raw Data'!ER50="","",'Raw Data'!ER50)</f>
        <v>0</v>
      </c>
      <c r="FE6" s="15" t="str">
        <f>IF('Raw Data'!ES50="","",'Raw Data'!ES50)</f>
        <v>0</v>
      </c>
      <c r="FF6" s="15" t="str">
        <f>IF('Raw Data'!ET50="","",'Raw Data'!ET50)</f>
        <v>0</v>
      </c>
      <c r="FG6" s="15" t="str">
        <f>IF('Raw Data'!EU50="","",'Raw Data'!EU50)</f>
        <v>0</v>
      </c>
      <c r="FH6" s="15" t="str">
        <f>IF('Raw Data'!EV50="","",'Raw Data'!EV50)</f>
        <v>0</v>
      </c>
      <c r="FI6" s="15" t="str">
        <f>IF('Raw Data'!EW50="","",'Raw Data'!EW50)</f>
        <v/>
      </c>
      <c r="FJ6" s="15" t="str">
        <f>IF('Raw Data'!EX50="","",'Raw Data'!EX50)</f>
        <v>oui</v>
      </c>
      <c r="FK6" s="15" t="str">
        <f>IF('Raw Data'!EY50="","",'Raw Data'!EY50)</f>
        <v>manif_sociales Chef_village</v>
      </c>
      <c r="FL6" s="15" t="str">
        <f>IF('Raw Data'!EZ50="","",'Raw Data'!EZ50)</f>
        <v>0</v>
      </c>
      <c r="FM6" s="15" t="str">
        <f>IF('Raw Data'!FA50="","",'Raw Data'!FA50)</f>
        <v>0</v>
      </c>
      <c r="FN6" s="15" t="str">
        <f>IF('Raw Data'!FB50="","",'Raw Data'!FB50)</f>
        <v>0</v>
      </c>
      <c r="FO6" s="15" t="str">
        <f>IF('Raw Data'!FC50="","",'Raw Data'!FC50)</f>
        <v>1</v>
      </c>
      <c r="FP6" s="15" t="str">
        <f>IF('Raw Data'!FD50="","",'Raw Data'!FD50)</f>
        <v>1</v>
      </c>
      <c r="FQ6" s="15" t="str">
        <f>IF('Raw Data'!FE50="","",'Raw Data'!FE50)</f>
        <v>0</v>
      </c>
      <c r="FR6" s="15" t="str">
        <f>IF('Raw Data'!FF50="","",'Raw Data'!FF50)</f>
        <v>0</v>
      </c>
      <c r="FS6" s="15" t="str">
        <f>IF('Raw Data'!FG50="","",'Raw Data'!FG50)</f>
        <v>0</v>
      </c>
      <c r="FT6" s="15" t="str">
        <f>IF('Raw Data'!FH50="","",'Raw Data'!FH50)</f>
        <v>0</v>
      </c>
      <c r="FU6" s="15" t="str">
        <f>IF('Raw Data'!FI50="","",'Raw Data'!FI50)</f>
        <v>0</v>
      </c>
      <c r="FV6" s="15" t="str">
        <f>IF('Raw Data'!FJ50="","",'Raw Data'!FJ50)</f>
        <v>0</v>
      </c>
      <c r="FW6" s="15" t="str">
        <f>IF('Raw Data'!FK50="","",'Raw Data'!FK50)</f>
        <v>0</v>
      </c>
      <c r="FX6" s="15" t="str">
        <f>IF('Raw Data'!FL50="","",'Raw Data'!FL50)</f>
        <v>0</v>
      </c>
      <c r="FY6" s="15" t="str">
        <f>IF('Raw Data'!FM50="","",'Raw Data'!FM50)</f>
        <v>0</v>
      </c>
      <c r="FZ6" s="15" t="str">
        <f>IF('Raw Data'!FN50="","",'Raw Data'!FN50)</f>
        <v/>
      </c>
      <c r="GA6" s="15" t="str">
        <f>IF('Raw Data'!FO50="","",'Raw Data'!FO50)</f>
        <v>oui_ensemble</v>
      </c>
      <c r="GB6" s="15" t="str">
        <f>IF('Raw Data'!FP50="","",'Raw Data'!FP50)</f>
        <v>oui_ensemble</v>
      </c>
      <c r="GC6" s="15" t="str">
        <f>IF('Raw Data'!FQ50="","",'Raw Data'!FQ50)</f>
        <v/>
      </c>
      <c r="GD6" s="15" t="str">
        <f>IF('Raw Data'!FR50="","",'Raw Data'!FR50)</f>
        <v/>
      </c>
      <c r="GE6" s="15" t="str">
        <f>IF('Raw Data'!FS50="","",'Raw Data'!FS50)</f>
        <v/>
      </c>
      <c r="GF6" s="15" t="str">
        <f>IF('Raw Data'!FT50="","",'Raw Data'!FT50)</f>
        <v/>
      </c>
      <c r="GG6" s="15" t="str">
        <f>IF('Raw Data'!FU50="","",'Raw Data'!FU50)</f>
        <v/>
      </c>
      <c r="GH6" s="15" t="str">
        <f>IF('Raw Data'!FV50="","",'Raw Data'!FV50)</f>
        <v/>
      </c>
      <c r="GI6" s="15" t="str">
        <f>IF('Raw Data'!FW50="","",'Raw Data'!FW50)</f>
        <v/>
      </c>
      <c r="GJ6" s="15" t="str">
        <f>IF('Raw Data'!FX50="","",'Raw Data'!FX50)</f>
        <v/>
      </c>
      <c r="GK6" s="15" t="str">
        <f>IF('Raw Data'!FY50="","",'Raw Data'!FY50)</f>
        <v/>
      </c>
      <c r="GL6" s="15" t="str">
        <f>IF('Raw Data'!FZ50="","",'Raw Data'!FZ50)</f>
        <v/>
      </c>
      <c r="GM6" s="15" t="str">
        <f>IF('Raw Data'!GA50="","",'Raw Data'!GA50)</f>
        <v>minorite</v>
      </c>
      <c r="GN6" s="15" t="str">
        <f>IF('Raw Data'!GB50="","",'Raw Data'!GB50)</f>
        <v>aucun</v>
      </c>
      <c r="GO6" s="15" t="str">
        <f>IF('Raw Data'!GC50="","",'Raw Data'!GC50)</f>
        <v>Education Services_de_sante Acces_aux_doc Suivi_judiciaire</v>
      </c>
      <c r="GP6" s="15" t="str">
        <f>IF('Raw Data'!GD50="","",'Raw Data'!GD50)</f>
        <v>0</v>
      </c>
      <c r="GQ6" s="15" t="str">
        <f>IF('Raw Data'!GE50="","",'Raw Data'!GE50)</f>
        <v>1</v>
      </c>
      <c r="GR6" s="15" t="str">
        <f>IF('Raw Data'!GF50="","",'Raw Data'!GF50)</f>
        <v>0</v>
      </c>
      <c r="GS6" s="15" t="str">
        <f>IF('Raw Data'!GG50="","",'Raw Data'!GG50)</f>
        <v>1</v>
      </c>
      <c r="GT6" s="15" t="str">
        <f>IF('Raw Data'!GH50="","",'Raw Data'!GH50)</f>
        <v>1</v>
      </c>
      <c r="GU6" s="15" t="str">
        <f>IF('Raw Data'!GI50="","",'Raw Data'!GI50)</f>
        <v>1</v>
      </c>
      <c r="GV6" s="15" t="str">
        <f>IF('Raw Data'!GJ50="","",'Raw Data'!GJ50)</f>
        <v>0</v>
      </c>
      <c r="GW6" s="15" t="str">
        <f>IF('Raw Data'!GK50="","",'Raw Data'!GK50)</f>
        <v>0</v>
      </c>
      <c r="GX6" s="15" t="str">
        <f>IF('Raw Data'!GL50="","",'Raw Data'!GL50)</f>
        <v>0</v>
      </c>
      <c r="GY6" s="15" t="str">
        <f>IF('Raw Data'!GM50="","",'Raw Data'!GM50)</f>
        <v/>
      </c>
      <c r="GZ6" s="15" t="str">
        <f>IF('Raw Data'!GN50="","",'Raw Data'!GN50)</f>
        <v>oui_minorite</v>
      </c>
      <c r="HA6" s="15" t="str">
        <f>IF('Raw Data'!GO50="","",'Raw Data'!GO50)</f>
        <v>oui_minorite</v>
      </c>
      <c r="HB6" s="15" t="str">
        <f>IF('Raw Data'!GP50="","",'Raw Data'!GP50)</f>
        <v>repond_besoins_pop</v>
      </c>
      <c r="HC6" s="15" t="str">
        <f>IF('Raw Data'!GQ50="","",'Raw Data'!GQ50)</f>
        <v>0</v>
      </c>
      <c r="HD6" s="15" t="str">
        <f>IF('Raw Data'!GR50="","",'Raw Data'!GR50)</f>
        <v>1</v>
      </c>
      <c r="HE6" s="15" t="str">
        <f>IF('Raw Data'!GS50="","",'Raw Data'!GS50)</f>
        <v>0</v>
      </c>
      <c r="HF6" s="15" t="str">
        <f>IF('Raw Data'!GT50="","",'Raw Data'!GT50)</f>
        <v>0</v>
      </c>
      <c r="HG6" s="15" t="str">
        <f>IF('Raw Data'!GU50="","",'Raw Data'!GU50)</f>
        <v>0</v>
      </c>
      <c r="HH6" s="15" t="str">
        <f>IF('Raw Data'!GV50="","",'Raw Data'!GV50)</f>
        <v>0</v>
      </c>
      <c r="HI6" s="15" t="str">
        <f>IF('Raw Data'!GW50="","",'Raw Data'!GW50)</f>
        <v>0</v>
      </c>
      <c r="HJ6" s="15" t="str">
        <f>IF('Raw Data'!GX50="","",'Raw Data'!GX50)</f>
        <v>0</v>
      </c>
      <c r="HK6" s="15" t="str">
        <f>IF('Raw Data'!GY50="","",'Raw Data'!GY50)</f>
        <v/>
      </c>
      <c r="HL6" s="15" t="str">
        <f>IF('Raw Data'!GZ50="","",'Raw Data'!GZ50)</f>
        <v>ne_contribue_pas ne_repond_pas non_obtention_info</v>
      </c>
      <c r="HM6" s="15" t="str">
        <f>IF('Raw Data'!HA50="","",'Raw Data'!HA50)</f>
        <v>1</v>
      </c>
      <c r="HN6" s="15" t="str">
        <f>IF('Raw Data'!HB50="","",'Raw Data'!HB50)</f>
        <v>1</v>
      </c>
      <c r="HO6" s="15" t="str">
        <f>IF('Raw Data'!HC50="","",'Raw Data'!HC50)</f>
        <v>1</v>
      </c>
      <c r="HP6" s="15" t="str">
        <f>IF('Raw Data'!HD50="","",'Raw Data'!HD50)</f>
        <v>0</v>
      </c>
      <c r="HQ6" s="15" t="str">
        <f>IF('Raw Data'!HE50="","",'Raw Data'!HE50)</f>
        <v>0</v>
      </c>
      <c r="HR6" s="15" t="str">
        <f>IF('Raw Data'!HF50="","",'Raw Data'!HF50)</f>
        <v>0</v>
      </c>
      <c r="HS6" s="15" t="str">
        <f>IF('Raw Data'!HG50="","",'Raw Data'!HG50)</f>
        <v/>
      </c>
      <c r="HT6" s="15" t="str">
        <f>IF('Raw Data'!HH50="","",'Raw Data'!HH50)</f>
        <v/>
      </c>
      <c r="HU6" s="15" t="str">
        <f>IF('Raw Data'!HI50="","",'Raw Data'!HI50)</f>
        <v>non</v>
      </c>
      <c r="HV6" s="15" t="str">
        <f>IF('Raw Data'!HJ50="","",'Raw Data'!HJ50)</f>
        <v/>
      </c>
      <c r="HW6" s="15" t="str">
        <f>IF('Raw Data'!HK50="","",'Raw Data'!HK50)</f>
        <v/>
      </c>
      <c r="HX6" s="15" t="str">
        <f>IF('Raw Data'!HL50="","",'Raw Data'!HL50)</f>
        <v/>
      </c>
      <c r="HY6" s="15" t="str">
        <f>IF('Raw Data'!HM50="","",'Raw Data'!HM50)</f>
        <v/>
      </c>
      <c r="HZ6" s="15" t="str">
        <f>IF('Raw Data'!HN50="","",'Raw Data'!HN50)</f>
        <v/>
      </c>
      <c r="IA6" s="15" t="str">
        <f>IF('Raw Data'!HO50="","",'Raw Data'!HO50)</f>
        <v/>
      </c>
      <c r="IB6" s="15" t="str">
        <f>IF('Raw Data'!HP50="","",'Raw Data'!HP50)</f>
        <v/>
      </c>
      <c r="IC6" s="15" t="str">
        <f>IF('Raw Data'!HQ50="","",'Raw Data'!HQ50)</f>
        <v/>
      </c>
      <c r="ID6" s="15" t="str">
        <f>IF('Raw Data'!HR50="","",'Raw Data'!HR50)</f>
        <v/>
      </c>
      <c r="IE6" s="15" t="str">
        <f>IF('Raw Data'!HS50="","",'Raw Data'!HS50)</f>
        <v/>
      </c>
      <c r="IF6" s="15" t="str">
        <f>IF('Raw Data'!HT50="","",'Raw Data'!HT50)</f>
        <v/>
      </c>
      <c r="IG6" s="15" t="str">
        <f>IF('Raw Data'!HU50="","",'Raw Data'!HU50)</f>
        <v/>
      </c>
      <c r="IH6" s="15" t="str">
        <f>IF('Raw Data'!HV50="","",'Raw Data'!HV50)</f>
        <v>oui</v>
      </c>
      <c r="II6" s="15" t="str">
        <f>IF('Raw Data'!HW50="","",'Raw Data'!HW50)</f>
        <v/>
      </c>
      <c r="IJ6" s="15" t="str">
        <f>IF('Raw Data'!HX50="","",'Raw Data'!HX50)</f>
        <v>Filles Femmes Hommes</v>
      </c>
      <c r="IK6" s="15" t="str">
        <f>IF('Raw Data'!HY50="","",'Raw Data'!HY50)</f>
        <v>0</v>
      </c>
      <c r="IL6" s="15" t="str">
        <f>IF('Raw Data'!HZ50="","",'Raw Data'!HZ50)</f>
        <v>0</v>
      </c>
      <c r="IM6" s="15" t="str">
        <f>IF('Raw Data'!IA50="","",'Raw Data'!IA50)</f>
        <v>1</v>
      </c>
      <c r="IN6" s="15" t="str">
        <f>IF('Raw Data'!IB50="","",'Raw Data'!IB50)</f>
        <v>0</v>
      </c>
      <c r="IO6" s="15" t="str">
        <f>IF('Raw Data'!IC50="","",'Raw Data'!IC50)</f>
        <v>1</v>
      </c>
      <c r="IP6" s="15" t="str">
        <f>IF('Raw Data'!ID50="","",'Raw Data'!ID50)</f>
        <v>1</v>
      </c>
      <c r="IQ6" s="15" t="str">
        <f>IF('Raw Data'!IE50="","",'Raw Data'!IE50)</f>
        <v>0</v>
      </c>
      <c r="IR6" s="15" t="str">
        <f>IF('Raw Data'!IF50="","",'Raw Data'!IF50)</f>
        <v>0</v>
      </c>
      <c r="IS6" s="15" t="str">
        <f>IF('Raw Data'!IG50="","",'Raw Data'!IG50)</f>
        <v>0</v>
      </c>
      <c r="IT6" s="15" t="str">
        <f>IF('Raw Data'!IH50="","",'Raw Data'!IH50)</f>
        <v>0</v>
      </c>
      <c r="IU6" s="15" t="str">
        <f>IF('Raw Data'!II50="","",'Raw Data'!II50)</f>
        <v>0</v>
      </c>
      <c r="IV6" s="15" t="str">
        <f>IF('Raw Data'!IJ50="","",'Raw Data'!IJ50)</f>
        <v>0</v>
      </c>
      <c r="IW6" s="15" t="str">
        <f>IF('Raw Data'!IK50="","",'Raw Data'!IK50)</f>
        <v>0</v>
      </c>
      <c r="IX6" s="15" t="str">
        <f>IF('Raw Data'!IL50="","",'Raw Data'!IL50)</f>
        <v>0</v>
      </c>
      <c r="IY6" s="15" t="str">
        <f>IF('Raw Data'!IM50="","",'Raw Data'!IM50)</f>
        <v/>
      </c>
      <c r="IZ6" s="15" t="str">
        <f>IF('Raw Data'!IN50="","",'Raw Data'!IN50)</f>
        <v>9</v>
      </c>
      <c r="JA6" s="15" t="str">
        <f>IF('Raw Data'!IO50="","",'Raw Data'!IO50)</f>
        <v>Services_medicaux Services_educatifs Services_conseil service_judiciaire</v>
      </c>
      <c r="JB6" s="15" t="str">
        <f>IF('Raw Data'!IP50="","",'Raw Data'!IP50)</f>
        <v>0</v>
      </c>
      <c r="JC6" s="15" t="str">
        <f>IF('Raw Data'!IQ50="","",'Raw Data'!IQ50)</f>
        <v>1</v>
      </c>
      <c r="JD6" s="15" t="str">
        <f>IF('Raw Data'!IR50="","",'Raw Data'!IR50)</f>
        <v>1</v>
      </c>
      <c r="JE6" s="15" t="str">
        <f>IF('Raw Data'!IS50="","",'Raw Data'!IS50)</f>
        <v>1</v>
      </c>
      <c r="JF6" s="15" t="str">
        <f>IF('Raw Data'!IT50="","",'Raw Data'!IT50)</f>
        <v>0</v>
      </c>
      <c r="JG6" s="15" t="str">
        <f>IF('Raw Data'!IU50="","",'Raw Data'!IU50)</f>
        <v>1</v>
      </c>
      <c r="JH6" s="15" t="str">
        <f>IF('Raw Data'!IV50="","",'Raw Data'!IV50)</f>
        <v>0</v>
      </c>
      <c r="JI6" s="15" t="str">
        <f>IF('Raw Data'!IW50="","",'Raw Data'!IW50)</f>
        <v>0</v>
      </c>
      <c r="JJ6" s="15" t="str">
        <f>IF('Raw Data'!IX50="","",'Raw Data'!IX50)</f>
        <v>0</v>
      </c>
      <c r="JK6" s="15" t="str">
        <f>IF('Raw Data'!IY50="","",'Raw Data'!IY50)</f>
        <v>0</v>
      </c>
      <c r="JL6" s="15" t="str">
        <f>IF('Raw Data'!IZ50="","",'Raw Data'!IZ50)</f>
        <v/>
      </c>
      <c r="JM6" s="15" t="str">
        <f>IF('Raw Data'!JA50="","",'Raw Data'!JA50)</f>
        <v>reorientation signalement</v>
      </c>
      <c r="JN6" s="15" t="str">
        <f>IF('Raw Data'!JB50="","",'Raw Data'!JB50)</f>
        <v>0</v>
      </c>
      <c r="JO6" s="15" t="str">
        <f>IF('Raw Data'!JC50="","",'Raw Data'!JC50)</f>
        <v>1</v>
      </c>
      <c r="JP6" s="15" t="str">
        <f>IF('Raw Data'!JD50="","",'Raw Data'!JD50)</f>
        <v>1</v>
      </c>
      <c r="JQ6" s="15" t="str">
        <f>IF('Raw Data'!JE50="","",'Raw Data'!JE50)</f>
        <v>0</v>
      </c>
      <c r="JR6" s="15" t="str">
        <f>IF('Raw Data'!JF50="","",'Raw Data'!JF50)</f>
        <v>0</v>
      </c>
      <c r="JS6" s="15" t="str">
        <f>IF('Raw Data'!JG50="","",'Raw Data'!JG50)</f>
        <v>0</v>
      </c>
      <c r="JT6" s="15" t="str">
        <f>IF('Raw Data'!JH50="","",'Raw Data'!JH50)</f>
        <v/>
      </c>
      <c r="JU6" s="15" t="str">
        <f>IF('Raw Data'!JI50="","",'Raw Data'!JI50)</f>
        <v/>
      </c>
      <c r="JV6" s="15" t="str">
        <f>IF('Raw Data'!JJ50="","",'Raw Data'!JJ50)</f>
        <v/>
      </c>
      <c r="JW6" s="15" t="str">
        <f>IF('Raw Data'!JK50="","",'Raw Data'!JK50)</f>
        <v/>
      </c>
      <c r="JX6" s="15" t="str">
        <f>IF('Raw Data'!JL50="","",'Raw Data'!JL50)</f>
        <v/>
      </c>
      <c r="JY6" s="15" t="str">
        <f>IF('Raw Data'!JM50="","",'Raw Data'!JM50)</f>
        <v/>
      </c>
      <c r="JZ6" s="15" t="str">
        <f>IF('Raw Data'!JN50="","",'Raw Data'!JN50)</f>
        <v/>
      </c>
      <c r="KA6" s="15" t="str">
        <f>IF('Raw Data'!JO50="","",'Raw Data'!JO50)</f>
        <v/>
      </c>
      <c r="KB6" s="15" t="str">
        <f>IF('Raw Data'!JP50="","",'Raw Data'!JP50)</f>
        <v/>
      </c>
      <c r="KC6" s="15" t="str">
        <f>IF('Raw Data'!JQ50="","",'Raw Data'!JQ50)</f>
        <v/>
      </c>
      <c r="KD6" s="15" t="str">
        <f>IF('Raw Data'!JR50="","",'Raw Data'!JR50)</f>
        <v/>
      </c>
      <c r="KE6" s="15" t="str">
        <f>IF('Raw Data'!JS50="","",'Raw Data'!JS50)</f>
        <v/>
      </c>
      <c r="KF6" s="15" t="str">
        <f>IF('Raw Data'!JT50="","",'Raw Data'!JT50)</f>
        <v>medical</v>
      </c>
      <c r="KG6" s="15" t="str">
        <f>IF('Raw Data'!JU50="","",'Raw Data'!JU50)</f>
        <v>1</v>
      </c>
      <c r="KH6" s="15" t="str">
        <f>IF('Raw Data'!JV50="","",'Raw Data'!JV50)</f>
        <v>0</v>
      </c>
      <c r="KI6" s="15" t="str">
        <f>IF('Raw Data'!JW50="","",'Raw Data'!JW50)</f>
        <v>0</v>
      </c>
      <c r="KJ6" s="15" t="str">
        <f>IF('Raw Data'!JX50="","",'Raw Data'!JX50)</f>
        <v>0</v>
      </c>
      <c r="KK6" s="15" t="str">
        <f>IF('Raw Data'!JY50="","",'Raw Data'!JY50)</f>
        <v>0</v>
      </c>
      <c r="KL6" s="15" t="str">
        <f>IF('Raw Data'!JZ50="","",'Raw Data'!JZ50)</f>
        <v>0</v>
      </c>
      <c r="KM6" s="15" t="str">
        <f>IF('Raw Data'!KA50="","",'Raw Data'!KA50)</f>
        <v>0</v>
      </c>
      <c r="KN6" s="15" t="str">
        <f>IF('Raw Data'!KB50="","",'Raw Data'!KB50)</f>
        <v>0</v>
      </c>
      <c r="KO6" s="15" t="str">
        <f>IF('Raw Data'!KC50="","",'Raw Data'!KC50)</f>
        <v>0</v>
      </c>
      <c r="KP6" s="15" t="str">
        <f>IF('Raw Data'!KD50="","",'Raw Data'!KD50)</f>
        <v/>
      </c>
      <c r="KQ6" s="15" t="str">
        <f>IF('Raw Data'!KE50="","",'Raw Data'!KE50)</f>
        <v/>
      </c>
      <c r="KR6" s="15" t="str">
        <f>IF('Raw Data'!KF50="","",'Raw Data'!KF50)</f>
        <v>oui</v>
      </c>
      <c r="KS6" s="31" t="s">
        <v>1483</v>
      </c>
      <c r="KT6" s="15" t="str">
        <f>IF('Raw Data'!KH50="","",'Raw Data'!KH50)</f>
        <v>1</v>
      </c>
      <c r="KU6" s="15" t="str">
        <f>IF('Raw Data'!KI50="","",'Raw Data'!KI50)</f>
        <v>0</v>
      </c>
      <c r="KV6" s="15" t="str">
        <f>IF('Raw Data'!KJ50="","",'Raw Data'!KJ50)</f>
        <v>1</v>
      </c>
      <c r="KW6" s="31">
        <v>1</v>
      </c>
      <c r="KX6" s="15" t="str">
        <f>IF('Raw Data'!KL50="","",'Raw Data'!KL50)</f>
        <v>0</v>
      </c>
      <c r="KY6" s="15" t="str">
        <f>IF('Raw Data'!KM50="","",'Raw Data'!KM50)</f>
        <v>0</v>
      </c>
      <c r="KZ6" s="31">
        <v>1</v>
      </c>
      <c r="LA6" s="15" t="str">
        <f>IF('Raw Data'!KO50="","",'Raw Data'!KO50)</f>
        <v>0</v>
      </c>
      <c r="LB6" s="31">
        <v>0</v>
      </c>
      <c r="LC6" s="15" t="str">
        <f>IF('Raw Data'!KQ50="","",'Raw Data'!KQ50)</f>
        <v>0</v>
      </c>
      <c r="LD6" s="15" t="str">
        <f>IF('Raw Data'!KR50="","",'Raw Data'!KR50)</f>
        <v>0</v>
      </c>
      <c r="LE6" s="31"/>
      <c r="LF6" s="15" t="str">
        <f>IF('Raw Data'!KT50="","",'Raw Data'!KT50)</f>
        <v/>
      </c>
      <c r="LG6" s="15" t="str">
        <f>IF('Raw Data'!KU50="","",'Raw Data'!KU50)</f>
        <v/>
      </c>
      <c r="LH6" s="15" t="str">
        <f>IF('Raw Data'!KV50="","",'Raw Data'!KV50)</f>
        <v/>
      </c>
      <c r="LI6" s="15" t="str">
        <f>IF('Raw Data'!KW50="","",'Raw Data'!KW50)</f>
        <v/>
      </c>
      <c r="LJ6" s="15" t="str">
        <f>IF('Raw Data'!KX50="","",'Raw Data'!KX50)</f>
        <v/>
      </c>
      <c r="LK6" s="15" t="str">
        <f>IF('Raw Data'!KY50="","",'Raw Data'!KY50)</f>
        <v/>
      </c>
      <c r="LL6" s="15" t="str">
        <f>IF('Raw Data'!KZ50="","",'Raw Data'!KZ50)</f>
        <v/>
      </c>
      <c r="LM6" s="15" t="str">
        <f>IF('Raw Data'!LA50="","",'Raw Data'!LA50)</f>
        <v/>
      </c>
      <c r="LN6" s="15" t="str">
        <f>IF('Raw Data'!LB50="","",'Raw Data'!LB50)</f>
        <v>non</v>
      </c>
      <c r="LO6" s="15" t="str">
        <f>IF('Raw Data'!LC50="","",'Raw Data'!LC50)</f>
        <v/>
      </c>
      <c r="LP6" s="15" t="str">
        <f>IF('Raw Data'!LD50="","",'Raw Data'!LD50)</f>
        <v/>
      </c>
      <c r="LQ6" s="15" t="str">
        <f>IF('Raw Data'!LE50="","",'Raw Data'!LE50)</f>
        <v/>
      </c>
      <c r="LR6" s="15" t="str">
        <f>IF('Raw Data'!LF50="","",'Raw Data'!LF50)</f>
        <v/>
      </c>
      <c r="LS6" s="15" t="str">
        <f>IF('Raw Data'!LG50="","",'Raw Data'!LG50)</f>
        <v/>
      </c>
      <c r="LT6" s="15" t="str">
        <f>IF('Raw Data'!LH50="","",'Raw Data'!LH50)</f>
        <v/>
      </c>
      <c r="LU6" s="15" t="str">
        <f>IF('Raw Data'!LI50="","",'Raw Data'!LI50)</f>
        <v/>
      </c>
      <c r="LV6" s="15" t="str">
        <f>IF('Raw Data'!LJ50="","",'Raw Data'!LJ50)</f>
        <v/>
      </c>
      <c r="LW6" s="15" t="str">
        <f>IF('Raw Data'!LK50="","",'Raw Data'!LK50)</f>
        <v/>
      </c>
      <c r="LX6" s="15" t="str">
        <f>IF('Raw Data'!LL50="","",'Raw Data'!LL50)</f>
        <v/>
      </c>
      <c r="LY6" s="15" t="str">
        <f>IF('Raw Data'!LM50="","",'Raw Data'!LM50)</f>
        <v/>
      </c>
      <c r="LZ6" s="15" t="str">
        <f>IF('Raw Data'!LN50="","",'Raw Data'!LN50)</f>
        <v/>
      </c>
      <c r="MA6" s="15" t="str">
        <f>IF('Raw Data'!LO50="","",'Raw Data'!LO50)</f>
        <v/>
      </c>
      <c r="MB6" s="15" t="str">
        <f>IF('Raw Data'!LP50="","",'Raw Data'!LP50)</f>
        <v>oui</v>
      </c>
      <c r="MC6" s="15" t="str">
        <f>IF('Raw Data'!LQ50="","",'Raw Data'!LQ50)</f>
        <v/>
      </c>
      <c r="MD6" s="15" t="str">
        <f>IF('Raw Data'!LR50="","",'Raw Data'!LR50)</f>
        <v>Le site est un peu eloigné de Ziguida</v>
      </c>
      <c r="ME6" s="15">
        <f>IF('Raw Data'!LS50="","",'Raw Data'!LS50)</f>
        <v>170268546</v>
      </c>
      <c r="MF6" s="15" t="str">
        <f>IF('Raw Data'!LT50="","",'Raw Data'!LT50)</f>
        <v>b48626ba-2719-4e73-ae0f-85c7f3c3bac4</v>
      </c>
      <c r="MG6" s="15" t="str">
        <f>IF('Raw Data'!LU50="","",'Raw Data'!LU50)</f>
        <v>2021-04-07T17:51:00</v>
      </c>
      <c r="MH6" s="15" t="str">
        <f>IF('Raw Data'!LV50="","",'Raw Data'!LV50)</f>
        <v/>
      </c>
      <c r="MI6" s="15" t="str">
        <f>IF('Raw Data'!LW50="","",'Raw Data'!LW50)</f>
        <v>[]</v>
      </c>
      <c r="MJ6" s="15" t="str">
        <f>IF('Raw Data'!LX50="","",'Raw Data'!LX50)</f>
        <v>submitted_via_web</v>
      </c>
      <c r="MK6" s="15" t="str">
        <f>IF('Raw Data'!LY50="","",'Raw Data'!LY50)</f>
        <v>reach_niger</v>
      </c>
      <c r="ML6" s="15" t="str">
        <f>IF('Raw Data'!LZ50="","",'Raw Data'!LZ50)</f>
        <v/>
      </c>
      <c r="MM6" s="15">
        <f>IF('Raw Data'!MA50="","",'Raw Data'!MA50)</f>
        <v>54</v>
      </c>
    </row>
    <row r="7" spans="1:351" x14ac:dyDescent="0.3">
      <c r="A7" s="26" t="str">
        <f t="shared" si="0"/>
        <v>1c3df705-6e3b-4977-b779-224b3dbb8057</v>
      </c>
      <c r="B7" s="26" t="str">
        <f t="shared" si="1"/>
        <v>gotheye</v>
      </c>
      <c r="C7" s="26" t="str">
        <f t="shared" si="2"/>
        <v>B</v>
      </c>
      <c r="D7" s="14" t="str">
        <f>IF('Raw Data'!A52="","",'Raw Data'!A52)</f>
        <v>2021-04-08T11:34:03.455+01:00</v>
      </c>
      <c r="E7" s="14" t="str">
        <f>IF('Raw Data'!B52="","",'Raw Data'!B52)</f>
        <v>2021-04-08T13:16:43.562+01:00</v>
      </c>
      <c r="F7" s="30">
        <v>44294.481979166667</v>
      </c>
      <c r="G7" s="30">
        <v>44294.55327546296</v>
      </c>
      <c r="H7" s="29">
        <f>VLOOKUP(A7,Audit[#All],2,FALSE)</f>
        <v>102.67</v>
      </c>
      <c r="I7" s="29">
        <f>VLOOKUP(A7,Audit[#All],3,FALSE)</f>
        <v>41.75</v>
      </c>
      <c r="J7" s="29">
        <f>VLOOKUP(A7,Audit[#All],4,FALSE)</f>
        <v>36.68</v>
      </c>
      <c r="K7" s="29">
        <f>VLOOKUP(A7,nb_questions[#All],2,FALSE)</f>
        <v>201</v>
      </c>
      <c r="L7" s="29">
        <f t="shared" si="3"/>
        <v>87</v>
      </c>
      <c r="M7" s="14" t="str">
        <f>IF('Raw Data'!C52="","",'Raw Data'!C52)</f>
        <v>2021-04-08</v>
      </c>
      <c r="N7" s="14" t="str">
        <f>IF('Raw Data'!D52="","",'Raw Data'!D52)</f>
        <v/>
      </c>
      <c r="O7" s="14" t="str">
        <f>IF('Raw Data'!E52="","",'Raw Data'!E52)</f>
        <v/>
      </c>
      <c r="P7" s="29" t="str">
        <f>VLOOKUP(A7,code_enqueteurs[#All],3,FALSE)</f>
        <v>B</v>
      </c>
      <c r="Q7" s="29" t="s">
        <v>1645</v>
      </c>
      <c r="R7" s="14" t="str">
        <f>IF('Raw Data'!F52="","",'Raw Data'!F52)</f>
        <v>Homme</v>
      </c>
      <c r="S7" s="15" t="str">
        <f>IF('Raw Data'!G52="","",'Raw Data'!G52)</f>
        <v>gotheye</v>
      </c>
      <c r="T7" s="15" t="str">
        <f>IF('Raw Data'!H52="","",'Raw Data'!H52)</f>
        <v>gotheye</v>
      </c>
      <c r="U7" s="15" t="str">
        <f>IF('Raw Data'!I52="","",'Raw Data'!I52)</f>
        <v>gotheye</v>
      </c>
      <c r="V7" s="15" t="str">
        <f>IF('Raw Data'!J52="","",'Raw Data'!J52)</f>
        <v/>
      </c>
      <c r="W7" s="15" t="str">
        <f>IF('Raw Data'!K52="","",'Raw Data'!K52)</f>
        <v/>
      </c>
      <c r="X7" s="15" t="str">
        <f>IF('Raw Data'!L52="","",'Raw Data'!L52)</f>
        <v/>
      </c>
      <c r="Y7" s="15" t="str">
        <f>IF('Raw Data'!M52="","",'Raw Data'!M52)</f>
        <v/>
      </c>
      <c r="Z7" s="15" t="str">
        <f>IF('Raw Data'!N52="","",'Raw Data'!N52)</f>
        <v/>
      </c>
      <c r="AA7" s="15" t="str">
        <f>IF('Raw Data'!O52="","",'Raw Data'!O52)</f>
        <v/>
      </c>
      <c r="AB7" s="15" t="str">
        <f>IF('Raw Data'!P52="","",'Raw Data'!P52)</f>
        <v/>
      </c>
      <c r="AC7" s="15" t="str">
        <f>IF('Raw Data'!Q52="","",'Raw Data'!Q52)</f>
        <v/>
      </c>
      <c r="AD7" s="15" t="str">
        <f>IF('Raw Data'!R52="","",'Raw Data'!R52)</f>
        <v>Homme</v>
      </c>
      <c r="AE7" s="15" t="str">
        <f>IF('Raw Data'!S52="","",'Raw Data'!S52)</f>
        <v>60</v>
      </c>
      <c r="AF7" s="15" t="str">
        <f>IF('Raw Data'!T52="","",'Raw Data'!T52)</f>
        <v>deplace_interne</v>
      </c>
      <c r="AG7" s="15" t="str">
        <f>IF('Raw Data'!U52="","",'Raw Data'!U52)</f>
        <v/>
      </c>
      <c r="AH7" s="15" t="str">
        <f>IF('Raw Data'!V52="","",'Raw Data'!V52)</f>
        <v/>
      </c>
      <c r="AI7" s="15" t="str">
        <f>IF('Raw Data'!W52="","",'Raw Data'!W52)</f>
        <v/>
      </c>
      <c r="AJ7" s="15" t="str">
        <f>IF('Raw Data'!X52="","",'Raw Data'!X52)</f>
        <v/>
      </c>
      <c r="AK7" s="15" t="str">
        <f>IF('Raw Data'!Y52="","",'Raw Data'!Y52)</f>
        <v/>
      </c>
      <c r="AL7" s="15" t="str">
        <f>IF('Raw Data'!Z52="","",'Raw Data'!Z52)</f>
        <v>niger</v>
      </c>
      <c r="AM7" s="15" t="str">
        <f>IF('Raw Data'!AA52="","",'Raw Data'!AA52)</f>
        <v>tillaberi</v>
      </c>
      <c r="AN7" s="15" t="str">
        <f>IF('Raw Data'!AB52="","",'Raw Data'!AB52)</f>
        <v>gotheye</v>
      </c>
      <c r="AO7" s="15" t="str">
        <f>IF('Raw Data'!AC52="","",'Raw Data'!AC52)</f>
        <v/>
      </c>
      <c r="AP7" s="15" t="str">
        <f>IF('Raw Data'!AD52="","",'Raw Data'!AD52)</f>
        <v/>
      </c>
      <c r="AQ7" s="15" t="str">
        <f>IF('Raw Data'!AE52="","",'Raw Data'!AE52)</f>
        <v/>
      </c>
      <c r="AR7" s="15" t="str">
        <f>IF('Raw Data'!AF52="","",'Raw Data'!AF52)</f>
        <v/>
      </c>
      <c r="AS7" s="15" t="str">
        <f>IF('Raw Data'!AG52="","",'Raw Data'!AG52)</f>
        <v>oui</v>
      </c>
      <c r="AT7" s="15" t="str">
        <f>IF('Raw Data'!AH52="","",'Raw Data'!AH52)</f>
        <v>Vols_braquages</v>
      </c>
      <c r="AU7" s="15" t="str">
        <f>IF('Raw Data'!AI52="","",'Raw Data'!AI52)</f>
        <v>0</v>
      </c>
      <c r="AV7" s="15" t="str">
        <f>IF('Raw Data'!AJ52="","",'Raw Data'!AJ52)</f>
        <v>0</v>
      </c>
      <c r="AW7" s="15" t="str">
        <f>IF('Raw Data'!AK52="","",'Raw Data'!AK52)</f>
        <v>1</v>
      </c>
      <c r="AX7" s="15" t="str">
        <f>IF('Raw Data'!AL52="","",'Raw Data'!AL52)</f>
        <v>0</v>
      </c>
      <c r="AY7" s="15" t="str">
        <f>IF('Raw Data'!AM52="","",'Raw Data'!AM52)</f>
        <v>0</v>
      </c>
      <c r="AZ7" s="15" t="str">
        <f>IF('Raw Data'!AN52="","",'Raw Data'!AN52)</f>
        <v>0</v>
      </c>
      <c r="BA7" s="15" t="str">
        <f>IF('Raw Data'!AO52="","",'Raw Data'!AO52)</f>
        <v>0</v>
      </c>
      <c r="BB7" s="15" t="str">
        <f>IF('Raw Data'!AP52="","",'Raw Data'!AP52)</f>
        <v>0</v>
      </c>
      <c r="BC7" s="15" t="str">
        <f>IF('Raw Data'!AQ52="","",'Raw Data'!AQ52)</f>
        <v>0</v>
      </c>
      <c r="BD7" s="15" t="str">
        <f>IF('Raw Data'!AR52="","",'Raw Data'!AR52)</f>
        <v>0</v>
      </c>
      <c r="BE7" s="15" t="str">
        <f>IF('Raw Data'!AS52="","",'Raw Data'!AS52)</f>
        <v>0</v>
      </c>
      <c r="BF7" s="15" t="str">
        <f>IF('Raw Data'!AT52="","",'Raw Data'!AT52)</f>
        <v>0</v>
      </c>
      <c r="BG7" s="15" t="str">
        <f>IF('Raw Data'!AU52="","",'Raw Data'!AU52)</f>
        <v>0</v>
      </c>
      <c r="BH7" s="15" t="str">
        <f>IF('Raw Data'!AV52="","",'Raw Data'!AV52)</f>
        <v>0</v>
      </c>
      <c r="BI7" s="15" t="str">
        <f>IF('Raw Data'!AW52="","",'Raw Data'!AW52)</f>
        <v/>
      </c>
      <c r="BJ7" s="15" t="str">
        <f>IF('Raw Data'!AX52="","",'Raw Data'!AX52)</f>
        <v>Hommes Femmes</v>
      </c>
      <c r="BK7" s="15" t="str">
        <f>IF('Raw Data'!AY52="","",'Raw Data'!AY52)</f>
        <v>0</v>
      </c>
      <c r="BL7" s="15" t="str">
        <f>IF('Raw Data'!AZ52="","",'Raw Data'!AZ52)</f>
        <v>0</v>
      </c>
      <c r="BM7" s="15" t="str">
        <f>IF('Raw Data'!BA52="","",'Raw Data'!BA52)</f>
        <v>0</v>
      </c>
      <c r="BN7" s="15" t="str">
        <f>IF('Raw Data'!BB52="","",'Raw Data'!BB52)</f>
        <v>0</v>
      </c>
      <c r="BO7" s="15" t="str">
        <f>IF('Raw Data'!BC52="","",'Raw Data'!BC52)</f>
        <v>1</v>
      </c>
      <c r="BP7" s="15" t="str">
        <f>IF('Raw Data'!BD52="","",'Raw Data'!BD52)</f>
        <v>1</v>
      </c>
      <c r="BQ7" s="15" t="str">
        <f>IF('Raw Data'!BE52="","",'Raw Data'!BE52)</f>
        <v>0</v>
      </c>
      <c r="BR7" s="15" t="str">
        <f>IF('Raw Data'!BF52="","",'Raw Data'!BF52)</f>
        <v>0</v>
      </c>
      <c r="BS7" s="15" t="str">
        <f>IF('Raw Data'!BG52="","",'Raw Data'!BG52)</f>
        <v>0</v>
      </c>
      <c r="BT7" s="15" t="str">
        <f>IF('Raw Data'!BH52="","",'Raw Data'!BH52)</f>
        <v>0</v>
      </c>
      <c r="BU7" s="15" t="str">
        <f>IF('Raw Data'!BI52="","",'Raw Data'!BI52)</f>
        <v>0</v>
      </c>
      <c r="BV7" s="15" t="str">
        <f>IF('Raw Data'!BJ52="","",'Raw Data'!BJ52)</f>
        <v>0</v>
      </c>
      <c r="BW7" s="15" t="str">
        <f>IF('Raw Data'!BK52="","",'Raw Data'!BK52)</f>
        <v>0</v>
      </c>
      <c r="BX7" s="15" t="str">
        <f>IF('Raw Data'!BL52="","",'Raw Data'!BL52)</f>
        <v>0</v>
      </c>
      <c r="BY7" s="15" t="str">
        <f>IF('Raw Data'!BM52="","",'Raw Data'!BM52)</f>
        <v/>
      </c>
      <c r="BZ7" s="15" t="str">
        <f>IF('Raw Data'!BN52="","",'Raw Data'!BN52)</f>
        <v>2</v>
      </c>
      <c r="CA7" s="15" t="str">
        <f>IF('Raw Data'!BO52="","",'Raw Data'!BO52)</f>
        <v>augmente</v>
      </c>
      <c r="CB7" s="15" t="str">
        <f>IF('Raw Data'!BP52="","",'Raw Data'!BP52)</f>
        <v/>
      </c>
      <c r="CC7" s="15" t="str">
        <f>IF('Raw Data'!BQ52="","",'Raw Data'!BQ52)</f>
        <v>oui</v>
      </c>
      <c r="CD7" s="15" t="str">
        <f>IF('Raw Data'!BR52="","",'Raw Data'!BR52)</f>
        <v>travail_force menace</v>
      </c>
      <c r="CE7" s="15" t="str">
        <f>IF('Raw Data'!BS52="","",'Raw Data'!BS52)</f>
        <v>0</v>
      </c>
      <c r="CF7" s="15" t="str">
        <f>IF('Raw Data'!BT52="","",'Raw Data'!BT52)</f>
        <v>0</v>
      </c>
      <c r="CG7" s="15" t="str">
        <f>IF('Raw Data'!BU52="","",'Raw Data'!BU52)</f>
        <v>0</v>
      </c>
      <c r="CH7" s="15" t="str">
        <f>IF('Raw Data'!BV52="","",'Raw Data'!BV52)</f>
        <v>0</v>
      </c>
      <c r="CI7" s="15" t="str">
        <f>IF('Raw Data'!BW52="","",'Raw Data'!BW52)</f>
        <v>0</v>
      </c>
      <c r="CJ7" s="15" t="str">
        <f>IF('Raw Data'!BX52="","",'Raw Data'!BX52)</f>
        <v>0</v>
      </c>
      <c r="CK7" s="15" t="str">
        <f>IF('Raw Data'!BY52="","",'Raw Data'!BY52)</f>
        <v>1</v>
      </c>
      <c r="CL7" s="15" t="str">
        <f>IF('Raw Data'!BZ52="","",'Raw Data'!BZ52)</f>
        <v>0</v>
      </c>
      <c r="CM7" s="15" t="str">
        <f>IF('Raw Data'!CA52="","",'Raw Data'!CA52)</f>
        <v>0</v>
      </c>
      <c r="CN7" s="15" t="str">
        <f>IF('Raw Data'!CB52="","",'Raw Data'!CB52)</f>
        <v>0</v>
      </c>
      <c r="CO7" s="15" t="str">
        <f>IF('Raw Data'!CC52="","",'Raw Data'!CC52)</f>
        <v>1</v>
      </c>
      <c r="CP7" s="15" t="str">
        <f>IF('Raw Data'!CD52="","",'Raw Data'!CD52)</f>
        <v>0</v>
      </c>
      <c r="CQ7" s="15" t="str">
        <f>IF('Raw Data'!CE52="","",'Raw Data'!CE52)</f>
        <v>0</v>
      </c>
      <c r="CR7" s="15" t="str">
        <f>IF('Raw Data'!CF52="","",'Raw Data'!CF52)</f>
        <v>0</v>
      </c>
      <c r="CS7" s="15" t="str">
        <f>IF('Raw Data'!CG52="","",'Raw Data'!CG52)</f>
        <v>0</v>
      </c>
      <c r="CT7" s="15" t="str">
        <f>IF('Raw Data'!CH52="","",'Raw Data'!CH52)</f>
        <v/>
      </c>
      <c r="CU7" s="15" t="str">
        <f>IF('Raw Data'!CI52="","",'Raw Data'!CI52)</f>
        <v>Garçons Filles Femmes Hommes</v>
      </c>
      <c r="CV7" s="15" t="str">
        <f>IF('Raw Data'!CJ52="","",'Raw Data'!CJ52)</f>
        <v>0</v>
      </c>
      <c r="CW7" s="15" t="str">
        <f>IF('Raw Data'!CK52="","",'Raw Data'!CK52)</f>
        <v>0</v>
      </c>
      <c r="CX7" s="15" t="str">
        <f>IF('Raw Data'!CL52="","",'Raw Data'!CL52)</f>
        <v>1</v>
      </c>
      <c r="CY7" s="15" t="str">
        <f>IF('Raw Data'!CM52="","",'Raw Data'!CM52)</f>
        <v>1</v>
      </c>
      <c r="CZ7" s="15" t="str">
        <f>IF('Raw Data'!CN52="","",'Raw Data'!CN52)</f>
        <v>1</v>
      </c>
      <c r="DA7" s="15" t="str">
        <f>IF('Raw Data'!CO52="","",'Raw Data'!CO52)</f>
        <v>1</v>
      </c>
      <c r="DB7" s="15" t="str">
        <f>IF('Raw Data'!CP52="","",'Raw Data'!CP52)</f>
        <v>0</v>
      </c>
      <c r="DC7" s="15" t="str">
        <f>IF('Raw Data'!CQ52="","",'Raw Data'!CQ52)</f>
        <v>0</v>
      </c>
      <c r="DD7" s="15" t="str">
        <f>IF('Raw Data'!CR52="","",'Raw Data'!CR52)</f>
        <v>0</v>
      </c>
      <c r="DE7" s="15" t="str">
        <f>IF('Raw Data'!CS52="","",'Raw Data'!CS52)</f>
        <v>0</v>
      </c>
      <c r="DF7" s="15" t="str">
        <f>IF('Raw Data'!CT52="","",'Raw Data'!CT52)</f>
        <v>0</v>
      </c>
      <c r="DG7" s="15" t="str">
        <f>IF('Raw Data'!CU52="","",'Raw Data'!CU52)</f>
        <v>0</v>
      </c>
      <c r="DH7" s="15" t="str">
        <f>IF('Raw Data'!CV52="","",'Raw Data'!CV52)</f>
        <v>0</v>
      </c>
      <c r="DI7" s="15" t="str">
        <f>IF('Raw Data'!CW52="","",'Raw Data'!CW52)</f>
        <v>0</v>
      </c>
      <c r="DJ7" s="15" t="str">
        <f>IF('Raw Data'!CX52="","",'Raw Data'!CX52)</f>
        <v/>
      </c>
      <c r="DK7" s="15" t="str">
        <f>IF('Raw Data'!CY52="","",'Raw Data'!CY52)</f>
        <v>1</v>
      </c>
      <c r="DL7" s="15" t="str">
        <f>IF('Raw Data'!CZ52="","",'Raw Data'!CZ52)</f>
        <v>augmente</v>
      </c>
      <c r="DM7" s="15" t="str">
        <f>IF('Raw Data'!DA52="","",'Raw Data'!DA52)</f>
        <v/>
      </c>
      <c r="DN7" s="15" t="str">
        <f>IF('Raw Data'!DB52="","",'Raw Data'!DB52)</f>
        <v>diminution_moyens_existence hausse_chomeurs</v>
      </c>
      <c r="DO7" s="15" t="str">
        <f>IF('Raw Data'!DC52="","",'Raw Data'!DC52)</f>
        <v>1</v>
      </c>
      <c r="DP7" s="15" t="str">
        <f>IF('Raw Data'!DD52="","",'Raw Data'!DD52)</f>
        <v>0</v>
      </c>
      <c r="DQ7" s="15" t="str">
        <f>IF('Raw Data'!DE52="","",'Raw Data'!DE52)</f>
        <v>0</v>
      </c>
      <c r="DR7" s="15" t="str">
        <f>IF('Raw Data'!DF52="","",'Raw Data'!DF52)</f>
        <v>0</v>
      </c>
      <c r="DS7" s="15" t="str">
        <f>IF('Raw Data'!DG52="","",'Raw Data'!DG52)</f>
        <v>0</v>
      </c>
      <c r="DT7" s="15" t="str">
        <f>IF('Raw Data'!DH52="","",'Raw Data'!DH52)</f>
        <v>0</v>
      </c>
      <c r="DU7" s="15" t="str">
        <f>IF('Raw Data'!DI52="","",'Raw Data'!DI52)</f>
        <v>1</v>
      </c>
      <c r="DV7" s="15" t="str">
        <f>IF('Raw Data'!DJ52="","",'Raw Data'!DJ52)</f>
        <v>0</v>
      </c>
      <c r="DW7" s="15" t="str">
        <f>IF('Raw Data'!DK52="","",'Raw Data'!DK52)</f>
        <v>0</v>
      </c>
      <c r="DX7" s="15" t="str">
        <f>IF('Raw Data'!DL52="","",'Raw Data'!DL52)</f>
        <v>0</v>
      </c>
      <c r="DY7" s="15" t="str">
        <f>IF('Raw Data'!DM52="","",'Raw Data'!DM52)</f>
        <v/>
      </c>
      <c r="DZ7" s="15" t="str">
        <f>IF('Raw Data'!DN52="","",'Raw Data'!DN52)</f>
        <v/>
      </c>
      <c r="EA7" s="15" t="str">
        <f>IF('Raw Data'!DO52="","",'Raw Data'!DO52)</f>
        <v/>
      </c>
      <c r="EB7" s="15" t="str">
        <f>IF('Raw Data'!DP52="","",'Raw Data'!DP52)</f>
        <v/>
      </c>
      <c r="EC7" s="15" t="str">
        <f>IF('Raw Data'!DQ52="","",'Raw Data'!DQ52)</f>
        <v/>
      </c>
      <c r="ED7" s="15" t="str">
        <f>IF('Raw Data'!DR52="","",'Raw Data'!DR52)</f>
        <v/>
      </c>
      <c r="EE7" s="15" t="str">
        <f>IF('Raw Data'!DS52="","",'Raw Data'!DS52)</f>
        <v/>
      </c>
      <c r="EF7" s="15" t="str">
        <f>IF('Raw Data'!DT52="","",'Raw Data'!DT52)</f>
        <v/>
      </c>
      <c r="EG7" s="15" t="str">
        <f>IF('Raw Data'!DU52="","",'Raw Data'!DU52)</f>
        <v/>
      </c>
      <c r="EH7" s="15" t="str">
        <f>IF('Raw Data'!DV52="","",'Raw Data'!DV52)</f>
        <v/>
      </c>
      <c r="EI7" s="15" t="str">
        <f>IF('Raw Data'!DW52="","",'Raw Data'!DW52)</f>
        <v/>
      </c>
      <c r="EJ7" s="15" t="str">
        <f>IF('Raw Data'!DX52="","",'Raw Data'!DX52)</f>
        <v/>
      </c>
      <c r="EK7" s="15" t="str">
        <f>IF('Raw Data'!DY52="","",'Raw Data'!DY52)</f>
        <v/>
      </c>
      <c r="EL7" s="15" t="str">
        <f>IF('Raw Data'!DZ52="","",'Raw Data'!DZ52)</f>
        <v>Integration_com_hote</v>
      </c>
      <c r="EM7" s="15" t="str">
        <f>IF('Raw Data'!EA52="","",'Raw Data'!EA52)</f>
        <v>0</v>
      </c>
      <c r="EN7" s="15" t="str">
        <f>IF('Raw Data'!EB52="","",'Raw Data'!EB52)</f>
        <v>1</v>
      </c>
      <c r="EO7" s="15" t="str">
        <f>IF('Raw Data'!EC52="","",'Raw Data'!EC52)</f>
        <v>0</v>
      </c>
      <c r="EP7" s="15" t="str">
        <f>IF('Raw Data'!ED52="","",'Raw Data'!ED52)</f>
        <v>0</v>
      </c>
      <c r="EQ7" s="15" t="str">
        <f>IF('Raw Data'!EE52="","",'Raw Data'!EE52)</f>
        <v>0</v>
      </c>
      <c r="ER7" s="15" t="str">
        <f>IF('Raw Data'!EF52="","",'Raw Data'!EF52)</f>
        <v>0</v>
      </c>
      <c r="ES7" s="15" t="str">
        <f>IF('Raw Data'!EG52="","",'Raw Data'!EG52)</f>
        <v>0</v>
      </c>
      <c r="ET7" s="15" t="str">
        <f>IF('Raw Data'!EH52="","",'Raw Data'!EH52)</f>
        <v>0</v>
      </c>
      <c r="EU7" s="15" t="str">
        <f>IF('Raw Data'!EI52="","",'Raw Data'!EI52)</f>
        <v>0</v>
      </c>
      <c r="EV7" s="15" t="str">
        <f>IF('Raw Data'!EJ52="","",'Raw Data'!EJ52)</f>
        <v/>
      </c>
      <c r="EW7" s="15" t="str">
        <f>IF('Raw Data'!EK52="","",'Raw Data'!EK52)</f>
        <v/>
      </c>
      <c r="EX7" s="15" t="str">
        <f>IF('Raw Data'!EL52="","",'Raw Data'!EL52)</f>
        <v>famille_accueil</v>
      </c>
      <c r="EY7" s="15" t="str">
        <f>IF('Raw Data'!EM52="","",'Raw Data'!EM52)</f>
        <v>0</v>
      </c>
      <c r="EZ7" s="15" t="str">
        <f>IF('Raw Data'!EN52="","",'Raw Data'!EN52)</f>
        <v>0</v>
      </c>
      <c r="FA7" s="15" t="str">
        <f>IF('Raw Data'!EO52="","",'Raw Data'!EO52)</f>
        <v>1</v>
      </c>
      <c r="FB7" s="15" t="str">
        <f>IF('Raw Data'!EP52="","",'Raw Data'!EP52)</f>
        <v>0</v>
      </c>
      <c r="FC7" s="15" t="str">
        <f>IF('Raw Data'!EQ52="","",'Raw Data'!EQ52)</f>
        <v>0</v>
      </c>
      <c r="FD7" s="15" t="str">
        <f>IF('Raw Data'!ER52="","",'Raw Data'!ER52)</f>
        <v>0</v>
      </c>
      <c r="FE7" s="15" t="str">
        <f>IF('Raw Data'!ES52="","",'Raw Data'!ES52)</f>
        <v>0</v>
      </c>
      <c r="FF7" s="15" t="str">
        <f>IF('Raw Data'!ET52="","",'Raw Data'!ET52)</f>
        <v>0</v>
      </c>
      <c r="FG7" s="15" t="str">
        <f>IF('Raw Data'!EU52="","",'Raw Data'!EU52)</f>
        <v>0</v>
      </c>
      <c r="FH7" s="15" t="str">
        <f>IF('Raw Data'!EV52="","",'Raw Data'!EV52)</f>
        <v>0</v>
      </c>
      <c r="FI7" s="15" t="str">
        <f>IF('Raw Data'!EW52="","",'Raw Data'!EW52)</f>
        <v/>
      </c>
      <c r="FJ7" s="15" t="str">
        <f>IF('Raw Data'!EX52="","",'Raw Data'!EX52)</f>
        <v>oui</v>
      </c>
      <c r="FK7" s="15" t="str">
        <f>IF('Raw Data'!EY52="","",'Raw Data'!EY52)</f>
        <v>Autre</v>
      </c>
      <c r="FL7" s="15" t="str">
        <f>IF('Raw Data'!EZ52="","",'Raw Data'!EZ52)</f>
        <v>0</v>
      </c>
      <c r="FM7" s="15" t="str">
        <f>IF('Raw Data'!FA52="","",'Raw Data'!FA52)</f>
        <v>0</v>
      </c>
      <c r="FN7" s="15" t="str">
        <f>IF('Raw Data'!FB52="","",'Raw Data'!FB52)</f>
        <v>0</v>
      </c>
      <c r="FO7" s="15" t="str">
        <f>IF('Raw Data'!FC52="","",'Raw Data'!FC52)</f>
        <v>0</v>
      </c>
      <c r="FP7" s="15" t="str">
        <f>IF('Raw Data'!FD52="","",'Raw Data'!FD52)</f>
        <v>0</v>
      </c>
      <c r="FQ7" s="31">
        <v>1</v>
      </c>
      <c r="FR7" s="15" t="str">
        <f>IF('Raw Data'!FF52="","",'Raw Data'!FF52)</f>
        <v>0</v>
      </c>
      <c r="FS7" s="15" t="str">
        <f>IF('Raw Data'!FG52="","",'Raw Data'!FG52)</f>
        <v>0</v>
      </c>
      <c r="FT7" s="15" t="str">
        <f>IF('Raw Data'!FH52="","",'Raw Data'!FH52)</f>
        <v>0</v>
      </c>
      <c r="FU7" s="15" t="str">
        <f>IF('Raw Data'!FI52="","",'Raw Data'!FI52)</f>
        <v>0</v>
      </c>
      <c r="FV7" s="15" t="str">
        <f>IF('Raw Data'!FJ52="","",'Raw Data'!FJ52)</f>
        <v>0</v>
      </c>
      <c r="FW7" s="15" t="str">
        <f>IF('Raw Data'!FK52="","",'Raw Data'!FK52)</f>
        <v>0</v>
      </c>
      <c r="FX7" s="31">
        <v>0</v>
      </c>
      <c r="FY7" s="15" t="str">
        <f>IF('Raw Data'!FM52="","",'Raw Data'!FM52)</f>
        <v>0</v>
      </c>
      <c r="FZ7" s="31"/>
      <c r="GA7" s="15" t="str">
        <f>IF('Raw Data'!FO52="","",'Raw Data'!FO52)</f>
        <v>oui_ensemble</v>
      </c>
      <c r="GB7" s="15" t="str">
        <f>IF('Raw Data'!FP52="","",'Raw Data'!FP52)</f>
        <v>oui_ensemble</v>
      </c>
      <c r="GC7" s="15" t="str">
        <f>IF('Raw Data'!FQ52="","",'Raw Data'!FQ52)</f>
        <v/>
      </c>
      <c r="GD7" s="15" t="str">
        <f>IF('Raw Data'!FR52="","",'Raw Data'!FR52)</f>
        <v/>
      </c>
      <c r="GE7" s="15" t="str">
        <f>IF('Raw Data'!FS52="","",'Raw Data'!FS52)</f>
        <v/>
      </c>
      <c r="GF7" s="15" t="str">
        <f>IF('Raw Data'!FT52="","",'Raw Data'!FT52)</f>
        <v/>
      </c>
      <c r="GG7" s="15" t="str">
        <f>IF('Raw Data'!FU52="","",'Raw Data'!FU52)</f>
        <v/>
      </c>
      <c r="GH7" s="15" t="str">
        <f>IF('Raw Data'!FV52="","",'Raw Data'!FV52)</f>
        <v/>
      </c>
      <c r="GI7" s="15" t="str">
        <f>IF('Raw Data'!FW52="","",'Raw Data'!FW52)</f>
        <v/>
      </c>
      <c r="GJ7" s="15" t="str">
        <f>IF('Raw Data'!FX52="","",'Raw Data'!FX52)</f>
        <v/>
      </c>
      <c r="GK7" s="15" t="str">
        <f>IF('Raw Data'!FY52="","",'Raw Data'!FY52)</f>
        <v/>
      </c>
      <c r="GL7" s="15" t="str">
        <f>IF('Raw Data'!FZ52="","",'Raw Data'!FZ52)</f>
        <v/>
      </c>
      <c r="GM7" s="15" t="str">
        <f>IF('Raw Data'!GA52="","",'Raw Data'!GA52)</f>
        <v>ensemble</v>
      </c>
      <c r="GN7" s="15" t="str">
        <f>IF('Raw Data'!GB52="","",'Raw Data'!GB52)</f>
        <v>aucun</v>
      </c>
      <c r="GO7" s="15" t="str">
        <f>IF('Raw Data'!GC52="","",'Raw Data'!GC52)</f>
        <v>Education Services_de_sante Suivi_judiciaire</v>
      </c>
      <c r="GP7" s="15" t="str">
        <f>IF('Raw Data'!GD52="","",'Raw Data'!GD52)</f>
        <v>0</v>
      </c>
      <c r="GQ7" s="15" t="str">
        <f>IF('Raw Data'!GE52="","",'Raw Data'!GE52)</f>
        <v>1</v>
      </c>
      <c r="GR7" s="15" t="str">
        <f>IF('Raw Data'!GF52="","",'Raw Data'!GF52)</f>
        <v>0</v>
      </c>
      <c r="GS7" s="15" t="str">
        <f>IF('Raw Data'!GG52="","",'Raw Data'!GG52)</f>
        <v>1</v>
      </c>
      <c r="GT7" s="15" t="str">
        <f>IF('Raw Data'!GH52="","",'Raw Data'!GH52)</f>
        <v>0</v>
      </c>
      <c r="GU7" s="15" t="str">
        <f>IF('Raw Data'!GI52="","",'Raw Data'!GI52)</f>
        <v>1</v>
      </c>
      <c r="GV7" s="15" t="str">
        <f>IF('Raw Data'!GJ52="","",'Raw Data'!GJ52)</f>
        <v>0</v>
      </c>
      <c r="GW7" s="15" t="str">
        <f>IF('Raw Data'!GK52="","",'Raw Data'!GK52)</f>
        <v>0</v>
      </c>
      <c r="GX7" s="15" t="str">
        <f>IF('Raw Data'!GL52="","",'Raw Data'!GL52)</f>
        <v>0</v>
      </c>
      <c r="GY7" s="15" t="str">
        <f>IF('Raw Data'!GM52="","",'Raw Data'!GM52)</f>
        <v/>
      </c>
      <c r="GZ7" s="15" t="str">
        <f>IF('Raw Data'!GN52="","",'Raw Data'!GN52)</f>
        <v>oui_ensemble</v>
      </c>
      <c r="HA7" s="15" t="str">
        <f>IF('Raw Data'!GO52="","",'Raw Data'!GO52)</f>
        <v>oui_ensemble</v>
      </c>
      <c r="HB7" s="15" t="str">
        <f>IF('Raw Data'!GP52="","",'Raw Data'!GP52)</f>
        <v>amelioration_futur repond_besoins_pop diminution_tensions</v>
      </c>
      <c r="HC7" s="15" t="str">
        <f>IF('Raw Data'!GQ52="","",'Raw Data'!GQ52)</f>
        <v>1</v>
      </c>
      <c r="HD7" s="15" t="str">
        <f>IF('Raw Data'!GR52="","",'Raw Data'!GR52)</f>
        <v>1</v>
      </c>
      <c r="HE7" s="15" t="str">
        <f>IF('Raw Data'!GS52="","",'Raw Data'!GS52)</f>
        <v>0</v>
      </c>
      <c r="HF7" s="15" t="str">
        <f>IF('Raw Data'!GT52="","",'Raw Data'!GT52)</f>
        <v>0</v>
      </c>
      <c r="HG7" s="15" t="str">
        <f>IF('Raw Data'!GU52="","",'Raw Data'!GU52)</f>
        <v>0</v>
      </c>
      <c r="HH7" s="15" t="str">
        <f>IF('Raw Data'!GV52="","",'Raw Data'!GV52)</f>
        <v>1</v>
      </c>
      <c r="HI7" s="15" t="str">
        <f>IF('Raw Data'!GW52="","",'Raw Data'!GW52)</f>
        <v>0</v>
      </c>
      <c r="HJ7" s="15" t="str">
        <f>IF('Raw Data'!GX52="","",'Raw Data'!GX52)</f>
        <v>0</v>
      </c>
      <c r="HK7" s="15" t="str">
        <f>IF('Raw Data'!GY52="","",'Raw Data'!GY52)</f>
        <v/>
      </c>
      <c r="HL7" s="31"/>
      <c r="HM7" s="31"/>
      <c r="HN7" s="31"/>
      <c r="HO7" s="31"/>
      <c r="HP7" s="31"/>
      <c r="HQ7" s="31"/>
      <c r="HR7" s="31"/>
      <c r="HS7" s="31"/>
      <c r="HT7" s="15" t="str">
        <f>IF('Raw Data'!HH52="","",'Raw Data'!HH52)</f>
        <v/>
      </c>
      <c r="HU7" s="15" t="str">
        <f>IF('Raw Data'!HI52="","",'Raw Data'!HI52)</f>
        <v>non</v>
      </c>
      <c r="HV7" s="15" t="str">
        <f>IF('Raw Data'!HJ52="","",'Raw Data'!HJ52)</f>
        <v/>
      </c>
      <c r="HW7" s="15" t="str">
        <f>IF('Raw Data'!HK52="","",'Raw Data'!HK52)</f>
        <v/>
      </c>
      <c r="HX7" s="15" t="str">
        <f>IF('Raw Data'!HL52="","",'Raw Data'!HL52)</f>
        <v/>
      </c>
      <c r="HY7" s="15" t="str">
        <f>IF('Raw Data'!HM52="","",'Raw Data'!HM52)</f>
        <v/>
      </c>
      <c r="HZ7" s="15" t="str">
        <f>IF('Raw Data'!HN52="","",'Raw Data'!HN52)</f>
        <v/>
      </c>
      <c r="IA7" s="15" t="str">
        <f>IF('Raw Data'!HO52="","",'Raw Data'!HO52)</f>
        <v/>
      </c>
      <c r="IB7" s="15" t="str">
        <f>IF('Raw Data'!HP52="","",'Raw Data'!HP52)</f>
        <v/>
      </c>
      <c r="IC7" s="15" t="str">
        <f>IF('Raw Data'!HQ52="","",'Raw Data'!HQ52)</f>
        <v/>
      </c>
      <c r="ID7" s="15" t="str">
        <f>IF('Raw Data'!HR52="","",'Raw Data'!HR52)</f>
        <v/>
      </c>
      <c r="IE7" s="15" t="str">
        <f>IF('Raw Data'!HS52="","",'Raw Data'!HS52)</f>
        <v/>
      </c>
      <c r="IF7" s="15" t="str">
        <f>IF('Raw Data'!HT52="","",'Raw Data'!HT52)</f>
        <v/>
      </c>
      <c r="IG7" s="15" t="str">
        <f>IF('Raw Data'!HU52="","",'Raw Data'!HU52)</f>
        <v/>
      </c>
      <c r="IH7" s="15" t="str">
        <f>IF('Raw Data'!HV52="","",'Raw Data'!HV52)</f>
        <v>oui</v>
      </c>
      <c r="II7" s="15" t="str">
        <f>IF('Raw Data'!HW52="","",'Raw Data'!HW52)</f>
        <v/>
      </c>
      <c r="IJ7" s="15" t="str">
        <f>IF('Raw Data'!HX52="","",'Raw Data'!HX52)</f>
        <v>Filles Garçons Femmes</v>
      </c>
      <c r="IK7" s="15" t="str">
        <f>IF('Raw Data'!HY52="","",'Raw Data'!HY52)</f>
        <v>0</v>
      </c>
      <c r="IL7" s="15" t="str">
        <f>IF('Raw Data'!HZ52="","",'Raw Data'!HZ52)</f>
        <v>0</v>
      </c>
      <c r="IM7" s="15" t="str">
        <f>IF('Raw Data'!IA52="","",'Raw Data'!IA52)</f>
        <v>1</v>
      </c>
      <c r="IN7" s="15" t="str">
        <f>IF('Raw Data'!IB52="","",'Raw Data'!IB52)</f>
        <v>1</v>
      </c>
      <c r="IO7" s="15" t="str">
        <f>IF('Raw Data'!IC52="","",'Raw Data'!IC52)</f>
        <v>1</v>
      </c>
      <c r="IP7" s="15" t="str">
        <f>IF('Raw Data'!ID52="","",'Raw Data'!ID52)</f>
        <v>0</v>
      </c>
      <c r="IQ7" s="15" t="str">
        <f>IF('Raw Data'!IE52="","",'Raw Data'!IE52)</f>
        <v>0</v>
      </c>
      <c r="IR7" s="15" t="str">
        <f>IF('Raw Data'!IF52="","",'Raw Data'!IF52)</f>
        <v>0</v>
      </c>
      <c r="IS7" s="15" t="str">
        <f>IF('Raw Data'!IG52="","",'Raw Data'!IG52)</f>
        <v>0</v>
      </c>
      <c r="IT7" s="15" t="str">
        <f>IF('Raw Data'!IH52="","",'Raw Data'!IH52)</f>
        <v>0</v>
      </c>
      <c r="IU7" s="15" t="str">
        <f>IF('Raw Data'!II52="","",'Raw Data'!II52)</f>
        <v>0</v>
      </c>
      <c r="IV7" s="15" t="str">
        <f>IF('Raw Data'!IJ52="","",'Raw Data'!IJ52)</f>
        <v>0</v>
      </c>
      <c r="IW7" s="15" t="str">
        <f>IF('Raw Data'!IK52="","",'Raw Data'!IK52)</f>
        <v>0</v>
      </c>
      <c r="IX7" s="15" t="str">
        <f>IF('Raw Data'!IL52="","",'Raw Data'!IL52)</f>
        <v>0</v>
      </c>
      <c r="IY7" s="15" t="str">
        <f>IF('Raw Data'!IM52="","",'Raw Data'!IM52)</f>
        <v/>
      </c>
      <c r="IZ7" s="15" t="str">
        <f>IF('Raw Data'!IN52="","",'Raw Data'!IN52)</f>
        <v>15</v>
      </c>
      <c r="JA7" s="15" t="str">
        <f>IF('Raw Data'!IO52="","",'Raw Data'!IO52)</f>
        <v>Services_medicaux Services_educatifs Services_conseil acces_docs service_judiciaire</v>
      </c>
      <c r="JB7" s="15" t="str">
        <f>IF('Raw Data'!IP52="","",'Raw Data'!IP52)</f>
        <v>0</v>
      </c>
      <c r="JC7" s="15" t="str">
        <f>IF('Raw Data'!IQ52="","",'Raw Data'!IQ52)</f>
        <v>1</v>
      </c>
      <c r="JD7" s="15" t="str">
        <f>IF('Raw Data'!IR52="","",'Raw Data'!IR52)</f>
        <v>1</v>
      </c>
      <c r="JE7" s="15" t="str">
        <f>IF('Raw Data'!IS52="","",'Raw Data'!IS52)</f>
        <v>1</v>
      </c>
      <c r="JF7" s="15" t="str">
        <f>IF('Raw Data'!IT52="","",'Raw Data'!IT52)</f>
        <v>1</v>
      </c>
      <c r="JG7" s="15" t="str">
        <f>IF('Raw Data'!IU52="","",'Raw Data'!IU52)</f>
        <v>1</v>
      </c>
      <c r="JH7" s="15" t="str">
        <f>IF('Raw Data'!IV52="","",'Raw Data'!IV52)</f>
        <v>0</v>
      </c>
      <c r="JI7" s="15" t="str">
        <f>IF('Raw Data'!IW52="","",'Raw Data'!IW52)</f>
        <v>0</v>
      </c>
      <c r="JJ7" s="15" t="str">
        <f>IF('Raw Data'!IX52="","",'Raw Data'!IX52)</f>
        <v>0</v>
      </c>
      <c r="JK7" s="15" t="str">
        <f>IF('Raw Data'!IY52="","",'Raw Data'!IY52)</f>
        <v>0</v>
      </c>
      <c r="JL7" s="15" t="str">
        <f>IF('Raw Data'!IZ52="","",'Raw Data'!IZ52)</f>
        <v/>
      </c>
      <c r="JM7" s="15" t="str">
        <f>IF('Raw Data'!JA52="","",'Raw Data'!JA52)</f>
        <v>reorientation Autre</v>
      </c>
      <c r="JN7" s="15" t="str">
        <f>IF('Raw Data'!JB52="","",'Raw Data'!JB52)</f>
        <v>0</v>
      </c>
      <c r="JO7" s="15" t="str">
        <f>IF('Raw Data'!JC52="","",'Raw Data'!JC52)</f>
        <v>1</v>
      </c>
      <c r="JP7" s="15" t="str">
        <f>IF('Raw Data'!JD52="","",'Raw Data'!JD52)</f>
        <v>0</v>
      </c>
      <c r="JQ7" s="15" t="str">
        <f>IF('Raw Data'!JE52="","",'Raw Data'!JE52)</f>
        <v>1</v>
      </c>
      <c r="JR7" s="15" t="str">
        <f>IF('Raw Data'!JF52="","",'Raw Data'!JF52)</f>
        <v>0</v>
      </c>
      <c r="JS7" s="15" t="str">
        <f>IF('Raw Data'!JG52="","",'Raw Data'!JG52)</f>
        <v>0</v>
      </c>
      <c r="JT7" s="15" t="str">
        <f>IF('Raw Data'!JH52="","",'Raw Data'!JH52)</f>
        <v>On collecte de l'argent entre pour le soin</v>
      </c>
      <c r="JU7" s="15" t="str">
        <f>IF('Raw Data'!JI52="","",'Raw Data'!JI52)</f>
        <v/>
      </c>
      <c r="JV7" s="15" t="str">
        <f>IF('Raw Data'!JJ52="","",'Raw Data'!JJ52)</f>
        <v/>
      </c>
      <c r="JW7" s="15" t="str">
        <f>IF('Raw Data'!JK52="","",'Raw Data'!JK52)</f>
        <v/>
      </c>
      <c r="JX7" s="15" t="str">
        <f>IF('Raw Data'!JL52="","",'Raw Data'!JL52)</f>
        <v/>
      </c>
      <c r="JY7" s="15" t="str">
        <f>IF('Raw Data'!JM52="","",'Raw Data'!JM52)</f>
        <v/>
      </c>
      <c r="JZ7" s="15" t="str">
        <f>IF('Raw Data'!JN52="","",'Raw Data'!JN52)</f>
        <v/>
      </c>
      <c r="KA7" s="15" t="str">
        <f>IF('Raw Data'!JO52="","",'Raw Data'!JO52)</f>
        <v/>
      </c>
      <c r="KB7" s="15" t="str">
        <f>IF('Raw Data'!JP52="","",'Raw Data'!JP52)</f>
        <v/>
      </c>
      <c r="KC7" s="15" t="str">
        <f>IF('Raw Data'!JQ52="","",'Raw Data'!JQ52)</f>
        <v/>
      </c>
      <c r="KD7" s="15" t="str">
        <f>IF('Raw Data'!JR52="","",'Raw Data'!JR52)</f>
        <v/>
      </c>
      <c r="KE7" s="15" t="str">
        <f>IF('Raw Data'!JS52="","",'Raw Data'!JS52)</f>
        <v/>
      </c>
      <c r="KF7" s="15" t="str">
        <f>IF('Raw Data'!JT52="","",'Raw Data'!JT52)</f>
        <v>medical</v>
      </c>
      <c r="KG7" s="15" t="str">
        <f>IF('Raw Data'!JU52="","",'Raw Data'!JU52)</f>
        <v>1</v>
      </c>
      <c r="KH7" s="15" t="str">
        <f>IF('Raw Data'!JV52="","",'Raw Data'!JV52)</f>
        <v>0</v>
      </c>
      <c r="KI7" s="15" t="str">
        <f>IF('Raw Data'!JW52="","",'Raw Data'!JW52)</f>
        <v>0</v>
      </c>
      <c r="KJ7" s="15" t="str">
        <f>IF('Raw Data'!JX52="","",'Raw Data'!JX52)</f>
        <v>0</v>
      </c>
      <c r="KK7" s="15" t="str">
        <f>IF('Raw Data'!JY52="","",'Raw Data'!JY52)</f>
        <v>0</v>
      </c>
      <c r="KL7" s="15" t="str">
        <f>IF('Raw Data'!JZ52="","",'Raw Data'!JZ52)</f>
        <v>0</v>
      </c>
      <c r="KM7" s="15" t="str">
        <f>IF('Raw Data'!KA52="","",'Raw Data'!KA52)</f>
        <v>0</v>
      </c>
      <c r="KN7" s="15" t="str">
        <f>IF('Raw Data'!KB52="","",'Raw Data'!KB52)</f>
        <v>0</v>
      </c>
      <c r="KO7" s="15" t="str">
        <f>IF('Raw Data'!KC52="","",'Raw Data'!KC52)</f>
        <v>0</v>
      </c>
      <c r="KP7" s="15" t="str">
        <f>IF('Raw Data'!KD52="","",'Raw Data'!KD52)</f>
        <v/>
      </c>
      <c r="KQ7" s="15" t="str">
        <f>IF('Raw Data'!KE52="","",'Raw Data'!KE52)</f>
        <v/>
      </c>
      <c r="KR7" s="15" t="str">
        <f>IF('Raw Data'!KF52="","",'Raw Data'!KF52)</f>
        <v>oui</v>
      </c>
      <c r="KS7" s="15" t="str">
        <f>IF('Raw Data'!KG52="","",'Raw Data'!KG52)</f>
        <v>manque_moyens manque_personnes manque_d'information probleme_orientation Autre</v>
      </c>
      <c r="KT7" s="15" t="str">
        <f>IF('Raw Data'!KH52="","",'Raw Data'!KH52)</f>
        <v>1</v>
      </c>
      <c r="KU7" s="15" t="str">
        <f>IF('Raw Data'!KI52="","",'Raw Data'!KI52)</f>
        <v>1</v>
      </c>
      <c r="KV7" s="15" t="str">
        <f>IF('Raw Data'!KJ52="","",'Raw Data'!KJ52)</f>
        <v>1</v>
      </c>
      <c r="KW7" s="15" t="str">
        <f>IF('Raw Data'!KK52="","",'Raw Data'!KK52)</f>
        <v>1</v>
      </c>
      <c r="KX7" s="15" t="str">
        <f>IF('Raw Data'!KL52="","",'Raw Data'!KL52)</f>
        <v>0</v>
      </c>
      <c r="KY7" s="15" t="str">
        <f>IF('Raw Data'!KM52="","",'Raw Data'!KM52)</f>
        <v>0</v>
      </c>
      <c r="KZ7" s="15" t="str">
        <f>IF('Raw Data'!KN52="","",'Raw Data'!KN52)</f>
        <v>0</v>
      </c>
      <c r="LA7" s="15" t="str">
        <f>IF('Raw Data'!KO52="","",'Raw Data'!KO52)</f>
        <v>0</v>
      </c>
      <c r="LB7" s="15" t="str">
        <f>IF('Raw Data'!KP52="","",'Raw Data'!KP52)</f>
        <v>1</v>
      </c>
      <c r="LC7" s="15" t="str">
        <f>IF('Raw Data'!KQ52="","",'Raw Data'!KQ52)</f>
        <v>0</v>
      </c>
      <c r="LD7" s="15" t="str">
        <f>IF('Raw Data'!KR52="","",'Raw Data'!KR52)</f>
        <v>0</v>
      </c>
      <c r="LE7" s="15" t="str">
        <f>IF('Raw Data'!KS52="","",'Raw Data'!KS52)</f>
        <v>Eloignement de certains services</v>
      </c>
      <c r="LF7" s="15" t="str">
        <f>IF('Raw Data'!KT52="","",'Raw Data'!KT52)</f>
        <v>pb_logistiques</v>
      </c>
      <c r="LG7" s="15" t="str">
        <f>IF('Raw Data'!KU52="","",'Raw Data'!KU52)</f>
        <v>0</v>
      </c>
      <c r="LH7" s="15" t="str">
        <f>IF('Raw Data'!KV52="","",'Raw Data'!KV52)</f>
        <v>1</v>
      </c>
      <c r="LI7" s="15" t="str">
        <f>IF('Raw Data'!KW52="","",'Raw Data'!KW52)</f>
        <v>0</v>
      </c>
      <c r="LJ7" s="15" t="str">
        <f>IF('Raw Data'!KX52="","",'Raw Data'!KX52)</f>
        <v>0</v>
      </c>
      <c r="LK7" s="15" t="str">
        <f>IF('Raw Data'!KY52="","",'Raw Data'!KY52)</f>
        <v>0</v>
      </c>
      <c r="LL7" s="15" t="str">
        <f>IF('Raw Data'!KZ52="","",'Raw Data'!KZ52)</f>
        <v>0</v>
      </c>
      <c r="LM7" s="15" t="str">
        <f>IF('Raw Data'!LA52="","",'Raw Data'!LA52)</f>
        <v/>
      </c>
      <c r="LN7" s="15" t="str">
        <f>IF('Raw Data'!LB52="","",'Raw Data'!LB52)</f>
        <v>non</v>
      </c>
      <c r="LO7" s="15" t="str">
        <f>IF('Raw Data'!LC52="","",'Raw Data'!LC52)</f>
        <v/>
      </c>
      <c r="LP7" s="15" t="str">
        <f>IF('Raw Data'!LD52="","",'Raw Data'!LD52)</f>
        <v/>
      </c>
      <c r="LQ7" s="15" t="str">
        <f>IF('Raw Data'!LE52="","",'Raw Data'!LE52)</f>
        <v/>
      </c>
      <c r="LR7" s="15" t="str">
        <f>IF('Raw Data'!LF52="","",'Raw Data'!LF52)</f>
        <v/>
      </c>
      <c r="LS7" s="15" t="str">
        <f>IF('Raw Data'!LG52="","",'Raw Data'!LG52)</f>
        <v/>
      </c>
      <c r="LT7" s="15" t="str">
        <f>IF('Raw Data'!LH52="","",'Raw Data'!LH52)</f>
        <v/>
      </c>
      <c r="LU7" s="15" t="str">
        <f>IF('Raw Data'!LI52="","",'Raw Data'!LI52)</f>
        <v/>
      </c>
      <c r="LV7" s="15" t="str">
        <f>IF('Raw Data'!LJ52="","",'Raw Data'!LJ52)</f>
        <v/>
      </c>
      <c r="LW7" s="15" t="str">
        <f>IF('Raw Data'!LK52="","",'Raw Data'!LK52)</f>
        <v/>
      </c>
      <c r="LX7" s="15" t="str">
        <f>IF('Raw Data'!LL52="","",'Raw Data'!LL52)</f>
        <v/>
      </c>
      <c r="LY7" s="15" t="str">
        <f>IF('Raw Data'!LM52="","",'Raw Data'!LM52)</f>
        <v/>
      </c>
      <c r="LZ7" s="15" t="str">
        <f>IF('Raw Data'!LN52="","",'Raw Data'!LN52)</f>
        <v/>
      </c>
      <c r="MA7" s="15" t="str">
        <f>IF('Raw Data'!LO52="","",'Raw Data'!LO52)</f>
        <v/>
      </c>
      <c r="MB7" s="15" t="str">
        <f>IF('Raw Data'!LP52="","",'Raw Data'!LP52)</f>
        <v>oui</v>
      </c>
      <c r="MC7" s="15" t="str">
        <f>IF('Raw Data'!LQ52="","",'Raw Data'!LQ52)</f>
        <v/>
      </c>
      <c r="MD7" s="15" t="str">
        <f>IF('Raw Data'!LR52="","",'Raw Data'!LR52)</f>
        <v>Les menaces de morts par appels</v>
      </c>
      <c r="ME7" s="15">
        <f>IF('Raw Data'!LS52="","",'Raw Data'!LS52)</f>
        <v>170478771</v>
      </c>
      <c r="MF7" s="15" t="str">
        <f>IF('Raw Data'!LT52="","",'Raw Data'!LT52)</f>
        <v>1c3df705-6e3b-4977-b779-224b3dbb8057</v>
      </c>
      <c r="MG7" s="15" t="str">
        <f>IF('Raw Data'!LU52="","",'Raw Data'!LU52)</f>
        <v>2021-04-08T15:25:18</v>
      </c>
      <c r="MH7" s="15" t="str">
        <f>IF('Raw Data'!LV52="","",'Raw Data'!LV52)</f>
        <v/>
      </c>
      <c r="MI7" s="15" t="str">
        <f>IF('Raw Data'!LW52="","",'Raw Data'!LW52)</f>
        <v>[]</v>
      </c>
      <c r="MJ7" s="15" t="str">
        <f>IF('Raw Data'!LX52="","",'Raw Data'!LX52)</f>
        <v>submitted_via_web</v>
      </c>
      <c r="MK7" s="15" t="str">
        <f>IF('Raw Data'!LY52="","",'Raw Data'!LY52)</f>
        <v>reach_niger</v>
      </c>
      <c r="ML7" s="15" t="str">
        <f>IF('Raw Data'!LZ52="","",'Raw Data'!LZ52)</f>
        <v/>
      </c>
      <c r="MM7" s="15">
        <f>IF('Raw Data'!MA52="","",'Raw Data'!MA52)</f>
        <v>56</v>
      </c>
    </row>
    <row r="8" spans="1:351" x14ac:dyDescent="0.3">
      <c r="A8" s="26" t="str">
        <f t="shared" si="0"/>
        <v>42d263a9-6476-4ee6-96d0-fabbc1ffcf9e</v>
      </c>
      <c r="B8" s="26" t="str">
        <f t="shared" si="1"/>
        <v>gotheye</v>
      </c>
      <c r="C8" s="26" t="str">
        <f t="shared" si="2"/>
        <v>B</v>
      </c>
      <c r="D8" s="14" t="str">
        <f>IF('Raw Data'!A61="","",'Raw Data'!A61)</f>
        <v>2021-04-15T16:46:11.935+01:00</v>
      </c>
      <c r="E8" s="14" t="str">
        <f>IF('Raw Data'!B61="","",'Raw Data'!B61)</f>
        <v>2021-04-15T17:28:26.345+01:00</v>
      </c>
      <c r="F8" s="30">
        <v>44301.698738425926</v>
      </c>
      <c r="G8" s="30">
        <v>44301.728078703702</v>
      </c>
      <c r="H8" s="29">
        <f>VLOOKUP(A8,Audit[#All],2,FALSE)</f>
        <v>42.24</v>
      </c>
      <c r="I8" s="29">
        <f>VLOOKUP(A8,Audit[#All],3,FALSE)</f>
        <v>42.06</v>
      </c>
      <c r="J8" s="29">
        <f>VLOOKUP(A8,Audit[#All],4,FALSE)</f>
        <v>41.79</v>
      </c>
      <c r="K8" s="29">
        <f>VLOOKUP(A8,nb_questions[#All],2,FALSE)</f>
        <v>92</v>
      </c>
      <c r="L8" s="29">
        <f t="shared" si="3"/>
        <v>59</v>
      </c>
      <c r="M8" s="14" t="str">
        <f>IF('Raw Data'!C61="","",'Raw Data'!C61)</f>
        <v>2021-04-15</v>
      </c>
      <c r="N8" s="14" t="str">
        <f>IF('Raw Data'!D61="","",'Raw Data'!D61)</f>
        <v/>
      </c>
      <c r="O8" s="14" t="str">
        <f>IF('Raw Data'!E61="","",'Raw Data'!E61)</f>
        <v/>
      </c>
      <c r="P8" s="29" t="str">
        <f>VLOOKUP(A8,code_enqueteurs[#All],3,FALSE)</f>
        <v>B</v>
      </c>
      <c r="Q8" s="29" t="s">
        <v>1645</v>
      </c>
      <c r="R8" s="14" t="str">
        <f>IF('Raw Data'!F61="","",'Raw Data'!F61)</f>
        <v>Homme</v>
      </c>
      <c r="S8" s="15" t="str">
        <f>IF('Raw Data'!G61="","",'Raw Data'!G61)</f>
        <v>gotheye</v>
      </c>
      <c r="T8" s="15" t="str">
        <f>IF('Raw Data'!H61="","",'Raw Data'!H61)</f>
        <v>gotheye</v>
      </c>
      <c r="U8" s="31" t="s">
        <v>1590</v>
      </c>
      <c r="V8" s="15" t="str">
        <f>IF('Raw Data'!J61="","",'Raw Data'!J61)</f>
        <v/>
      </c>
      <c r="W8" s="15" t="str">
        <f>IF('Raw Data'!K61="","",'Raw Data'!K61)</f>
        <v/>
      </c>
      <c r="X8" s="15" t="str">
        <f>IF('Raw Data'!L61="","",'Raw Data'!L61)</f>
        <v/>
      </c>
      <c r="Y8" s="15" t="str">
        <f>IF('Raw Data'!M61="","",'Raw Data'!M61)</f>
        <v/>
      </c>
      <c r="Z8" s="15" t="str">
        <f>IF('Raw Data'!N61="","",'Raw Data'!N61)</f>
        <v/>
      </c>
      <c r="AA8" s="15" t="str">
        <f>IF('Raw Data'!O61="","",'Raw Data'!O61)</f>
        <v/>
      </c>
      <c r="AB8" s="15" t="str">
        <f>IF('Raw Data'!P61="","",'Raw Data'!P61)</f>
        <v/>
      </c>
      <c r="AC8" s="15" t="str">
        <f>IF('Raw Data'!Q61="","",'Raw Data'!Q61)</f>
        <v/>
      </c>
      <c r="AD8" s="15" t="str">
        <f>IF('Raw Data'!R61="","",'Raw Data'!R61)</f>
        <v>Homme</v>
      </c>
      <c r="AE8" s="15" t="str">
        <f>IF('Raw Data'!S61="","",'Raw Data'!S61)</f>
        <v>43</v>
      </c>
      <c r="AF8" s="15" t="str">
        <f>IF('Raw Data'!T61="","",'Raw Data'!T61)</f>
        <v>Hote</v>
      </c>
      <c r="AG8" s="15" t="str">
        <f>IF('Raw Data'!U61="","",'Raw Data'!U61)</f>
        <v/>
      </c>
      <c r="AH8" s="15" t="str">
        <f>IF('Raw Data'!V61="","",'Raw Data'!V61)</f>
        <v/>
      </c>
      <c r="AI8" s="15" t="str">
        <f>IF('Raw Data'!W61="","",'Raw Data'!W61)</f>
        <v/>
      </c>
      <c r="AJ8" s="15" t="str">
        <f>IF('Raw Data'!X61="","",'Raw Data'!X61)</f>
        <v/>
      </c>
      <c r="AK8" s="15" t="str">
        <f>IF('Raw Data'!Y61="","",'Raw Data'!Y61)</f>
        <v/>
      </c>
      <c r="AL8" s="15" t="str">
        <f>IF('Raw Data'!Z61="","",'Raw Data'!Z61)</f>
        <v/>
      </c>
      <c r="AM8" s="15" t="str">
        <f>IF('Raw Data'!AA61="","",'Raw Data'!AA61)</f>
        <v/>
      </c>
      <c r="AN8" s="15" t="str">
        <f>IF('Raw Data'!AB61="","",'Raw Data'!AB61)</f>
        <v/>
      </c>
      <c r="AO8" s="15" t="str">
        <f>IF('Raw Data'!AC61="","",'Raw Data'!AC61)</f>
        <v/>
      </c>
      <c r="AP8" s="15" t="str">
        <f>IF('Raw Data'!AD61="","",'Raw Data'!AD61)</f>
        <v/>
      </c>
      <c r="AQ8" s="15" t="str">
        <f>IF('Raw Data'!AE61="","",'Raw Data'!AE61)</f>
        <v/>
      </c>
      <c r="AR8" s="15" t="str">
        <f>IF('Raw Data'!AF61="","",'Raw Data'!AF61)</f>
        <v/>
      </c>
      <c r="AS8" s="15" t="str">
        <f>IF('Raw Data'!AG61="","",'Raw Data'!AG61)</f>
        <v>oui</v>
      </c>
      <c r="AT8" s="15" t="str">
        <f>IF('Raw Data'!AH61="","",'Raw Data'!AH61)</f>
        <v>Vols_braquages extorsions</v>
      </c>
      <c r="AU8" s="15" t="str">
        <f>IF('Raw Data'!AI61="","",'Raw Data'!AI61)</f>
        <v>0</v>
      </c>
      <c r="AV8" s="15" t="str">
        <f>IF('Raw Data'!AJ61="","",'Raw Data'!AJ61)</f>
        <v>0</v>
      </c>
      <c r="AW8" s="15" t="str">
        <f>IF('Raw Data'!AK61="","",'Raw Data'!AK61)</f>
        <v>1</v>
      </c>
      <c r="AX8" s="15" t="str">
        <f>IF('Raw Data'!AL61="","",'Raw Data'!AL61)</f>
        <v>1</v>
      </c>
      <c r="AY8" s="15" t="str">
        <f>IF('Raw Data'!AM61="","",'Raw Data'!AM61)</f>
        <v>0</v>
      </c>
      <c r="AZ8" s="15" t="str">
        <f>IF('Raw Data'!AN61="","",'Raw Data'!AN61)</f>
        <v>0</v>
      </c>
      <c r="BA8" s="15" t="str">
        <f>IF('Raw Data'!AO61="","",'Raw Data'!AO61)</f>
        <v>0</v>
      </c>
      <c r="BB8" s="15" t="str">
        <f>IF('Raw Data'!AP61="","",'Raw Data'!AP61)</f>
        <v>0</v>
      </c>
      <c r="BC8" s="15" t="str">
        <f>IF('Raw Data'!AQ61="","",'Raw Data'!AQ61)</f>
        <v>0</v>
      </c>
      <c r="BD8" s="15" t="str">
        <f>IF('Raw Data'!AR61="","",'Raw Data'!AR61)</f>
        <v>0</v>
      </c>
      <c r="BE8" s="15" t="str">
        <f>IF('Raw Data'!AS61="","",'Raw Data'!AS61)</f>
        <v>0</v>
      </c>
      <c r="BF8" s="15" t="str">
        <f>IF('Raw Data'!AT61="","",'Raw Data'!AT61)</f>
        <v>0</v>
      </c>
      <c r="BG8" s="15" t="str">
        <f>IF('Raw Data'!AU61="","",'Raw Data'!AU61)</f>
        <v>0</v>
      </c>
      <c r="BH8" s="15" t="str">
        <f>IF('Raw Data'!AV61="","",'Raw Data'!AV61)</f>
        <v>0</v>
      </c>
      <c r="BI8" s="15" t="str">
        <f>IF('Raw Data'!AW61="","",'Raw Data'!AW61)</f>
        <v/>
      </c>
      <c r="BJ8" s="15" t="str">
        <f>IF('Raw Data'!AX61="","",'Raw Data'!AX61)</f>
        <v>Filles Garçons Femmes Hommes</v>
      </c>
      <c r="BK8" s="15" t="str">
        <f>IF('Raw Data'!AY61="","",'Raw Data'!AY61)</f>
        <v>0</v>
      </c>
      <c r="BL8" s="15" t="str">
        <f>IF('Raw Data'!AZ61="","",'Raw Data'!AZ61)</f>
        <v>0</v>
      </c>
      <c r="BM8" s="15" t="str">
        <f>IF('Raw Data'!BA61="","",'Raw Data'!BA61)</f>
        <v>1</v>
      </c>
      <c r="BN8" s="15" t="str">
        <f>IF('Raw Data'!BB61="","",'Raw Data'!BB61)</f>
        <v>1</v>
      </c>
      <c r="BO8" s="15" t="str">
        <f>IF('Raw Data'!BC61="","",'Raw Data'!BC61)</f>
        <v>1</v>
      </c>
      <c r="BP8" s="15" t="str">
        <f>IF('Raw Data'!BD61="","",'Raw Data'!BD61)</f>
        <v>1</v>
      </c>
      <c r="BQ8" s="15" t="str">
        <f>IF('Raw Data'!BE61="","",'Raw Data'!BE61)</f>
        <v>0</v>
      </c>
      <c r="BR8" s="15" t="str">
        <f>IF('Raw Data'!BF61="","",'Raw Data'!BF61)</f>
        <v>0</v>
      </c>
      <c r="BS8" s="15" t="str">
        <f>IF('Raw Data'!BG61="","",'Raw Data'!BG61)</f>
        <v>0</v>
      </c>
      <c r="BT8" s="15" t="str">
        <f>IF('Raw Data'!BH61="","",'Raw Data'!BH61)</f>
        <v>0</v>
      </c>
      <c r="BU8" s="15" t="str">
        <f>IF('Raw Data'!BI61="","",'Raw Data'!BI61)</f>
        <v>0</v>
      </c>
      <c r="BV8" s="15" t="str">
        <f>IF('Raw Data'!BJ61="","",'Raw Data'!BJ61)</f>
        <v>0</v>
      </c>
      <c r="BW8" s="15" t="str">
        <f>IF('Raw Data'!BK61="","",'Raw Data'!BK61)</f>
        <v>0</v>
      </c>
      <c r="BX8" s="15" t="str">
        <f>IF('Raw Data'!BL61="","",'Raw Data'!BL61)</f>
        <v>0</v>
      </c>
      <c r="BY8" s="15" t="str">
        <f>IF('Raw Data'!BM61="","",'Raw Data'!BM61)</f>
        <v/>
      </c>
      <c r="BZ8" s="15" t="str">
        <f>IF('Raw Data'!BN61="","",'Raw Data'!BN61)</f>
        <v>4</v>
      </c>
      <c r="CA8" s="15" t="str">
        <f>IF('Raw Data'!BO61="","",'Raw Data'!BO61)</f>
        <v>augmente</v>
      </c>
      <c r="CB8" s="15" t="str">
        <f>IF('Raw Data'!BP61="","",'Raw Data'!BP61)</f>
        <v/>
      </c>
      <c r="CC8" s="15" t="str">
        <f>IF('Raw Data'!BQ61="","",'Raw Data'!BQ61)</f>
        <v>oui</v>
      </c>
      <c r="CD8" s="15" t="str">
        <f>IF('Raw Data'!BR61="","",'Raw Data'!BR61)</f>
        <v>agression_physique deni_de_ressource mariage_force menace Autre</v>
      </c>
      <c r="CE8" s="15" t="str">
        <f>IF('Raw Data'!BS61="","",'Raw Data'!BS61)</f>
        <v>0</v>
      </c>
      <c r="CF8" s="15" t="str">
        <f>IF('Raw Data'!BT61="","",'Raw Data'!BT61)</f>
        <v>0</v>
      </c>
      <c r="CG8" s="15" t="str">
        <f>IF('Raw Data'!BU61="","",'Raw Data'!BU61)</f>
        <v>1</v>
      </c>
      <c r="CH8" s="15" t="str">
        <f>IF('Raw Data'!BV61="","",'Raw Data'!BV61)</f>
        <v>1</v>
      </c>
      <c r="CI8" s="15" t="str">
        <f>IF('Raw Data'!BW61="","",'Raw Data'!BW61)</f>
        <v>0</v>
      </c>
      <c r="CJ8" s="15" t="str">
        <f>IF('Raw Data'!BX61="","",'Raw Data'!BX61)</f>
        <v>1</v>
      </c>
      <c r="CK8" s="15" t="str">
        <f>IF('Raw Data'!BY61="","",'Raw Data'!BY61)</f>
        <v>0</v>
      </c>
      <c r="CL8" s="15" t="str">
        <f>IF('Raw Data'!BZ61="","",'Raw Data'!BZ61)</f>
        <v>0</v>
      </c>
      <c r="CM8" s="15" t="str">
        <f>IF('Raw Data'!CA61="","",'Raw Data'!CA61)</f>
        <v>0</v>
      </c>
      <c r="CN8" s="15" t="str">
        <f>IF('Raw Data'!CB61="","",'Raw Data'!CB61)</f>
        <v>0</v>
      </c>
      <c r="CO8" s="15" t="str">
        <f>IF('Raw Data'!CC61="","",'Raw Data'!CC61)</f>
        <v>1</v>
      </c>
      <c r="CP8" s="15" t="str">
        <f>IF('Raw Data'!CD61="","",'Raw Data'!CD61)</f>
        <v>0</v>
      </c>
      <c r="CQ8" s="15" t="str">
        <f>IF('Raw Data'!CE61="","",'Raw Data'!CE61)</f>
        <v>1</v>
      </c>
      <c r="CR8" s="15" t="str">
        <f>IF('Raw Data'!CF61="","",'Raw Data'!CF61)</f>
        <v>0</v>
      </c>
      <c r="CS8" s="15" t="str">
        <f>IF('Raw Data'!CG61="","",'Raw Data'!CG61)</f>
        <v>0</v>
      </c>
      <c r="CT8" s="15" t="str">
        <f>IF('Raw Data'!CH61="","",'Raw Data'!CH61)</f>
        <v>Circulation des bandits avec des armes</v>
      </c>
      <c r="CU8" s="15" t="str">
        <f>IF('Raw Data'!CI61="","",'Raw Data'!CI61)</f>
        <v>Enfants Filles Garçons Femmes Hommes</v>
      </c>
      <c r="CV8" s="15" t="str">
        <f>IF('Raw Data'!CJ61="","",'Raw Data'!CJ61)</f>
        <v>0</v>
      </c>
      <c r="CW8" s="15" t="str">
        <f>IF('Raw Data'!CK61="","",'Raw Data'!CK61)</f>
        <v>1</v>
      </c>
      <c r="CX8" s="15" t="str">
        <f>IF('Raw Data'!CL61="","",'Raw Data'!CL61)</f>
        <v>1</v>
      </c>
      <c r="CY8" s="15" t="str">
        <f>IF('Raw Data'!CM61="","",'Raw Data'!CM61)</f>
        <v>1</v>
      </c>
      <c r="CZ8" s="15" t="str">
        <f>IF('Raw Data'!CN61="","",'Raw Data'!CN61)</f>
        <v>1</v>
      </c>
      <c r="DA8" s="15" t="str">
        <f>IF('Raw Data'!CO61="","",'Raw Data'!CO61)</f>
        <v>1</v>
      </c>
      <c r="DB8" s="15" t="str">
        <f>IF('Raw Data'!CP61="","",'Raw Data'!CP61)</f>
        <v>0</v>
      </c>
      <c r="DC8" s="15" t="str">
        <f>IF('Raw Data'!CQ61="","",'Raw Data'!CQ61)</f>
        <v>0</v>
      </c>
      <c r="DD8" s="15" t="str">
        <f>IF('Raw Data'!CR61="","",'Raw Data'!CR61)</f>
        <v>0</v>
      </c>
      <c r="DE8" s="15" t="str">
        <f>IF('Raw Data'!CS61="","",'Raw Data'!CS61)</f>
        <v>0</v>
      </c>
      <c r="DF8" s="15" t="str">
        <f>IF('Raw Data'!CT61="","",'Raw Data'!CT61)</f>
        <v>0</v>
      </c>
      <c r="DG8" s="15" t="str">
        <f>IF('Raw Data'!CU61="","",'Raw Data'!CU61)</f>
        <v>0</v>
      </c>
      <c r="DH8" s="15" t="str">
        <f>IF('Raw Data'!CV61="","",'Raw Data'!CV61)</f>
        <v>0</v>
      </c>
      <c r="DI8" s="15" t="str">
        <f>IF('Raw Data'!CW61="","",'Raw Data'!CW61)</f>
        <v>0</v>
      </c>
      <c r="DJ8" s="15" t="str">
        <f>IF('Raw Data'!CX61="","",'Raw Data'!CX61)</f>
        <v/>
      </c>
      <c r="DK8" s="15" t="str">
        <f>IF('Raw Data'!CY61="","",'Raw Data'!CY61)</f>
        <v>3</v>
      </c>
      <c r="DL8" s="15" t="str">
        <f>IF('Raw Data'!CZ61="","",'Raw Data'!CZ61)</f>
        <v>augmente</v>
      </c>
      <c r="DM8" s="15" t="str">
        <f>IF('Raw Data'!DA61="","",'Raw Data'!DA61)</f>
        <v/>
      </c>
      <c r="DN8" s="15" t="str">
        <f>IF('Raw Data'!DB61="","",'Raw Data'!DB61)</f>
        <v>deterioration_acces_service_base diminution_moyens_existence</v>
      </c>
      <c r="DO8" s="15" t="str">
        <f>IF('Raw Data'!DC61="","",'Raw Data'!DC61)</f>
        <v>1</v>
      </c>
      <c r="DP8" s="15" t="str">
        <f>IF('Raw Data'!DD61="","",'Raw Data'!DD61)</f>
        <v>0</v>
      </c>
      <c r="DQ8" s="15" t="str">
        <f>IF('Raw Data'!DE61="","",'Raw Data'!DE61)</f>
        <v>1</v>
      </c>
      <c r="DR8" s="15" t="str">
        <f>IF('Raw Data'!DF61="","",'Raw Data'!DF61)</f>
        <v>0</v>
      </c>
      <c r="DS8" s="15" t="str">
        <f>IF('Raw Data'!DG61="","",'Raw Data'!DG61)</f>
        <v>0</v>
      </c>
      <c r="DT8" s="15" t="str">
        <f>IF('Raw Data'!DH61="","",'Raw Data'!DH61)</f>
        <v>0</v>
      </c>
      <c r="DU8" s="15" t="str">
        <f>IF('Raw Data'!DI61="","",'Raw Data'!DI61)</f>
        <v>0</v>
      </c>
      <c r="DV8" s="15" t="str">
        <f>IF('Raw Data'!DJ61="","",'Raw Data'!DJ61)</f>
        <v>0</v>
      </c>
      <c r="DW8" s="15" t="str">
        <f>IF('Raw Data'!DK61="","",'Raw Data'!DK61)</f>
        <v>0</v>
      </c>
      <c r="DX8" s="15" t="str">
        <f>IF('Raw Data'!DL61="","",'Raw Data'!DL61)</f>
        <v>0</v>
      </c>
      <c r="DY8" s="15" t="str">
        <f>IF('Raw Data'!DM61="","",'Raw Data'!DM61)</f>
        <v/>
      </c>
      <c r="DZ8" s="15" t="str">
        <f>IF('Raw Data'!DN61="","",'Raw Data'!DN61)</f>
        <v/>
      </c>
      <c r="EA8" s="15" t="str">
        <f>IF('Raw Data'!DO61="","",'Raw Data'!DO61)</f>
        <v/>
      </c>
      <c r="EB8" s="15" t="str">
        <f>IF('Raw Data'!DP61="","",'Raw Data'!DP61)</f>
        <v/>
      </c>
      <c r="EC8" s="15" t="str">
        <f>IF('Raw Data'!DQ61="","",'Raw Data'!DQ61)</f>
        <v/>
      </c>
      <c r="ED8" s="15" t="str">
        <f>IF('Raw Data'!DR61="","",'Raw Data'!DR61)</f>
        <v/>
      </c>
      <c r="EE8" s="15" t="str">
        <f>IF('Raw Data'!DS61="","",'Raw Data'!DS61)</f>
        <v/>
      </c>
      <c r="EF8" s="15" t="str">
        <f>IF('Raw Data'!DT61="","",'Raw Data'!DT61)</f>
        <v/>
      </c>
      <c r="EG8" s="15" t="str">
        <f>IF('Raw Data'!DU61="","",'Raw Data'!DU61)</f>
        <v/>
      </c>
      <c r="EH8" s="15" t="str">
        <f>IF('Raw Data'!DV61="","",'Raw Data'!DV61)</f>
        <v/>
      </c>
      <c r="EI8" s="15" t="str">
        <f>IF('Raw Data'!DW61="","",'Raw Data'!DW61)</f>
        <v/>
      </c>
      <c r="EJ8" s="15" t="str">
        <f>IF('Raw Data'!DX61="","",'Raw Data'!DX61)</f>
        <v/>
      </c>
      <c r="EK8" s="15" t="str">
        <f>IF('Raw Data'!DY61="","",'Raw Data'!DY61)</f>
        <v/>
      </c>
      <c r="EL8" s="15" t="str">
        <f>IF('Raw Data'!DZ61="","",'Raw Data'!DZ61)</f>
        <v>Integration_com_hote Soutien_chef_village</v>
      </c>
      <c r="EM8" s="15" t="str">
        <f>IF('Raw Data'!EA61="","",'Raw Data'!EA61)</f>
        <v>0</v>
      </c>
      <c r="EN8" s="15" t="str">
        <f>IF('Raw Data'!EB61="","",'Raw Data'!EB61)</f>
        <v>1</v>
      </c>
      <c r="EO8" s="15" t="str">
        <f>IF('Raw Data'!EC61="","",'Raw Data'!EC61)</f>
        <v>0</v>
      </c>
      <c r="EP8" s="15" t="str">
        <f>IF('Raw Data'!ED61="","",'Raw Data'!ED61)</f>
        <v>1</v>
      </c>
      <c r="EQ8" s="15" t="str">
        <f>IF('Raw Data'!EE61="","",'Raw Data'!EE61)</f>
        <v>0</v>
      </c>
      <c r="ER8" s="15" t="str">
        <f>IF('Raw Data'!EF61="","",'Raw Data'!EF61)</f>
        <v>0</v>
      </c>
      <c r="ES8" s="15" t="str">
        <f>IF('Raw Data'!EG61="","",'Raw Data'!EG61)</f>
        <v>0</v>
      </c>
      <c r="ET8" s="15" t="str">
        <f>IF('Raw Data'!EH61="","",'Raw Data'!EH61)</f>
        <v>0</v>
      </c>
      <c r="EU8" s="15" t="str">
        <f>IF('Raw Data'!EI61="","",'Raw Data'!EI61)</f>
        <v>0</v>
      </c>
      <c r="EV8" s="15" t="str">
        <f>IF('Raw Data'!EJ61="","",'Raw Data'!EJ61)</f>
        <v/>
      </c>
      <c r="EW8" s="15" t="str">
        <f>IF('Raw Data'!EK61="","",'Raw Data'!EK61)</f>
        <v/>
      </c>
      <c r="EX8" s="15" t="str">
        <f>IF('Raw Data'!EL61="","",'Raw Data'!EL61)</f>
        <v>Autre</v>
      </c>
      <c r="EY8" s="15" t="str">
        <f>IF('Raw Data'!EM61="","",'Raw Data'!EM61)</f>
        <v>0</v>
      </c>
      <c r="EZ8" s="15" t="str">
        <f>IF('Raw Data'!EN61="","",'Raw Data'!EN61)</f>
        <v>0</v>
      </c>
      <c r="FA8" s="15" t="str">
        <f>IF('Raw Data'!EO61="","",'Raw Data'!EO61)</f>
        <v>0</v>
      </c>
      <c r="FB8" s="15" t="str">
        <f>IF('Raw Data'!EP61="","",'Raw Data'!EP61)</f>
        <v>0</v>
      </c>
      <c r="FC8" s="15" t="str">
        <f>IF('Raw Data'!EQ61="","",'Raw Data'!EQ61)</f>
        <v>0</v>
      </c>
      <c r="FD8" s="15" t="str">
        <f>IF('Raw Data'!ER61="","",'Raw Data'!ER61)</f>
        <v>0</v>
      </c>
      <c r="FE8" s="15" t="str">
        <f>IF('Raw Data'!ES61="","",'Raw Data'!ES61)</f>
        <v>0</v>
      </c>
      <c r="FF8" s="15" t="str">
        <f>IF('Raw Data'!ET61="","",'Raw Data'!ET61)</f>
        <v>1</v>
      </c>
      <c r="FG8" s="15" t="str">
        <f>IF('Raw Data'!EU61="","",'Raw Data'!EU61)</f>
        <v>0</v>
      </c>
      <c r="FH8" s="15" t="str">
        <f>IF('Raw Data'!EV61="","",'Raw Data'!EV61)</f>
        <v>0</v>
      </c>
      <c r="FI8" s="15" t="str">
        <f>IF('Raw Data'!EW61="","",'Raw Data'!EW61)</f>
        <v xml:space="preserve">Comité des chef de village </v>
      </c>
      <c r="FJ8" s="15" t="str">
        <f>IF('Raw Data'!EX61="","",'Raw Data'!EX61)</f>
        <v>oui</v>
      </c>
      <c r="FK8" s="15" t="str">
        <f>IF('Raw Data'!EY61="","",'Raw Data'!EY61)</f>
        <v>Chef_village famille_amis Leaders_religieux</v>
      </c>
      <c r="FL8" s="15" t="str">
        <f>IF('Raw Data'!EZ61="","",'Raw Data'!EZ61)</f>
        <v>0</v>
      </c>
      <c r="FM8" s="15" t="str">
        <f>IF('Raw Data'!FA61="","",'Raw Data'!FA61)</f>
        <v>0</v>
      </c>
      <c r="FN8" s="15" t="str">
        <f>IF('Raw Data'!FB61="","",'Raw Data'!FB61)</f>
        <v>0</v>
      </c>
      <c r="FO8" s="15" t="str">
        <f>IF('Raw Data'!FC61="","",'Raw Data'!FC61)</f>
        <v>0</v>
      </c>
      <c r="FP8" s="15" t="str">
        <f>IF('Raw Data'!FD61="","",'Raw Data'!FD61)</f>
        <v>1</v>
      </c>
      <c r="FQ8" s="15" t="str">
        <f>IF('Raw Data'!FE61="","",'Raw Data'!FE61)</f>
        <v>1</v>
      </c>
      <c r="FR8" s="15" t="str">
        <f>IF('Raw Data'!FF61="","",'Raw Data'!FF61)</f>
        <v>1</v>
      </c>
      <c r="FS8" s="15" t="str">
        <f>IF('Raw Data'!FG61="","",'Raw Data'!FG61)</f>
        <v>0</v>
      </c>
      <c r="FT8" s="15" t="str">
        <f>IF('Raw Data'!FH61="","",'Raw Data'!FH61)</f>
        <v>0</v>
      </c>
      <c r="FU8" s="15" t="str">
        <f>IF('Raw Data'!FI61="","",'Raw Data'!FI61)</f>
        <v>0</v>
      </c>
      <c r="FV8" s="15" t="str">
        <f>IF('Raw Data'!FJ61="","",'Raw Data'!FJ61)</f>
        <v>0</v>
      </c>
      <c r="FW8" s="15" t="str">
        <f>IF('Raw Data'!FK61="","",'Raw Data'!FK61)</f>
        <v>0</v>
      </c>
      <c r="FX8" s="15" t="str">
        <f>IF('Raw Data'!FL61="","",'Raw Data'!FL61)</f>
        <v>0</v>
      </c>
      <c r="FY8" s="15" t="str">
        <f>IF('Raw Data'!FM61="","",'Raw Data'!FM61)</f>
        <v>0</v>
      </c>
      <c r="FZ8" s="15" t="str">
        <f>IF('Raw Data'!FN61="","",'Raw Data'!FN61)</f>
        <v/>
      </c>
      <c r="GA8" s="15" t="str">
        <f>IF('Raw Data'!FO61="","",'Raw Data'!FO61)</f>
        <v>oui_ensemble</v>
      </c>
      <c r="GB8" s="15" t="str">
        <f>IF('Raw Data'!FP61="","",'Raw Data'!FP61)</f>
        <v>oui_ensemble</v>
      </c>
      <c r="GC8" s="15" t="str">
        <f>IF('Raw Data'!FQ61="","",'Raw Data'!FQ61)</f>
        <v/>
      </c>
      <c r="GD8" s="15" t="str">
        <f>IF('Raw Data'!FR61="","",'Raw Data'!FR61)</f>
        <v/>
      </c>
      <c r="GE8" s="15" t="str">
        <f>IF('Raw Data'!FS61="","",'Raw Data'!FS61)</f>
        <v/>
      </c>
      <c r="GF8" s="15" t="str">
        <f>IF('Raw Data'!FT61="","",'Raw Data'!FT61)</f>
        <v/>
      </c>
      <c r="GG8" s="15" t="str">
        <f>IF('Raw Data'!FU61="","",'Raw Data'!FU61)</f>
        <v/>
      </c>
      <c r="GH8" s="15" t="str">
        <f>IF('Raw Data'!FV61="","",'Raw Data'!FV61)</f>
        <v/>
      </c>
      <c r="GI8" s="15" t="str">
        <f>IF('Raw Data'!FW61="","",'Raw Data'!FW61)</f>
        <v/>
      </c>
      <c r="GJ8" s="15" t="str">
        <f>IF('Raw Data'!FX61="","",'Raw Data'!FX61)</f>
        <v/>
      </c>
      <c r="GK8" s="15" t="str">
        <f>IF('Raw Data'!FY61="","",'Raw Data'!FY61)</f>
        <v/>
      </c>
      <c r="GL8" s="15" t="str">
        <f>IF('Raw Data'!FZ61="","",'Raw Data'!FZ61)</f>
        <v/>
      </c>
      <c r="GM8" s="15" t="str">
        <f>IF('Raw Data'!GA61="","",'Raw Data'!GA61)</f>
        <v>minorite</v>
      </c>
      <c r="GN8" s="15" t="str">
        <f>IF('Raw Data'!GB61="","",'Raw Data'!GB61)</f>
        <v>ensemble</v>
      </c>
      <c r="GO8" s="15" t="str">
        <f>IF('Raw Data'!GC61="","",'Raw Data'!GC61)</f>
        <v>Education Services_de_sante</v>
      </c>
      <c r="GP8" s="15" t="str">
        <f>IF('Raw Data'!GD61="","",'Raw Data'!GD61)</f>
        <v>0</v>
      </c>
      <c r="GQ8" s="15" t="str">
        <f>IF('Raw Data'!GE61="","",'Raw Data'!GE61)</f>
        <v>1</v>
      </c>
      <c r="GR8" s="15" t="str">
        <f>IF('Raw Data'!GF61="","",'Raw Data'!GF61)</f>
        <v>0</v>
      </c>
      <c r="GS8" s="15" t="str">
        <f>IF('Raw Data'!GG61="","",'Raw Data'!GG61)</f>
        <v>1</v>
      </c>
      <c r="GT8" s="15" t="str">
        <f>IF('Raw Data'!GH61="","",'Raw Data'!GH61)</f>
        <v>0</v>
      </c>
      <c r="GU8" s="15" t="str">
        <f>IF('Raw Data'!GI61="","",'Raw Data'!GI61)</f>
        <v>0</v>
      </c>
      <c r="GV8" s="15" t="str">
        <f>IF('Raw Data'!GJ61="","",'Raw Data'!GJ61)</f>
        <v>0</v>
      </c>
      <c r="GW8" s="15" t="str">
        <f>IF('Raw Data'!GK61="","",'Raw Data'!GK61)</f>
        <v>0</v>
      </c>
      <c r="GX8" s="15" t="str">
        <f>IF('Raw Data'!GL61="","",'Raw Data'!GL61)</f>
        <v>0</v>
      </c>
      <c r="GY8" s="15" t="str">
        <f>IF('Raw Data'!GM61="","",'Raw Data'!GM61)</f>
        <v/>
      </c>
      <c r="GZ8" s="15" t="str">
        <f>IF('Raw Data'!GN61="","",'Raw Data'!GN61)</f>
        <v>oui_minorite</v>
      </c>
      <c r="HA8" s="15" t="str">
        <f>IF('Raw Data'!GO61="","",'Raw Data'!GO61)</f>
        <v>oui_ensemble</v>
      </c>
      <c r="HB8" s="15" t="str">
        <f>IF('Raw Data'!GP61="","",'Raw Data'!GP61)</f>
        <v>amelioration_futur repond_besoins_pop permet_obtenir_conseils</v>
      </c>
      <c r="HC8" s="15" t="str">
        <f>IF('Raw Data'!GQ61="","",'Raw Data'!GQ61)</f>
        <v>1</v>
      </c>
      <c r="HD8" s="15" t="str">
        <f>IF('Raw Data'!GR61="","",'Raw Data'!GR61)</f>
        <v>1</v>
      </c>
      <c r="HE8" s="15" t="str">
        <f>IF('Raw Data'!GS61="","",'Raw Data'!GS61)</f>
        <v>1</v>
      </c>
      <c r="HF8" s="15" t="str">
        <f>IF('Raw Data'!GT61="","",'Raw Data'!GT61)</f>
        <v>0</v>
      </c>
      <c r="HG8" s="15" t="str">
        <f>IF('Raw Data'!GU61="","",'Raw Data'!GU61)</f>
        <v>0</v>
      </c>
      <c r="HH8" s="15" t="str">
        <f>IF('Raw Data'!GV61="","",'Raw Data'!GV61)</f>
        <v>0</v>
      </c>
      <c r="HI8" s="15" t="str">
        <f>IF('Raw Data'!GW61="","",'Raw Data'!GW61)</f>
        <v>0</v>
      </c>
      <c r="HJ8" s="15" t="str">
        <f>IF('Raw Data'!GX61="","",'Raw Data'!GX61)</f>
        <v>0</v>
      </c>
      <c r="HK8" s="15" t="str">
        <f>IF('Raw Data'!GY61="","",'Raw Data'!GY61)</f>
        <v/>
      </c>
      <c r="HL8" s="15" t="str">
        <f>IF('Raw Data'!GZ61="","",'Raw Data'!GZ61)</f>
        <v>ne_repond_pas ne_contribue_pas</v>
      </c>
      <c r="HM8" s="15" t="str">
        <f>IF('Raw Data'!HA61="","",'Raw Data'!HA61)</f>
        <v>1</v>
      </c>
      <c r="HN8" s="15" t="str">
        <f>IF('Raw Data'!HB61="","",'Raw Data'!HB61)</f>
        <v>1</v>
      </c>
      <c r="HO8" s="15" t="str">
        <f>IF('Raw Data'!HC61="","",'Raw Data'!HC61)</f>
        <v>0</v>
      </c>
      <c r="HP8" s="15" t="str">
        <f>IF('Raw Data'!HD61="","",'Raw Data'!HD61)</f>
        <v>0</v>
      </c>
      <c r="HQ8" s="15" t="str">
        <f>IF('Raw Data'!HE61="","",'Raw Data'!HE61)</f>
        <v>0</v>
      </c>
      <c r="HR8" s="15" t="str">
        <f>IF('Raw Data'!HF61="","",'Raw Data'!HF61)</f>
        <v>0</v>
      </c>
      <c r="HS8" s="15" t="str">
        <f>IF('Raw Data'!HG61="","",'Raw Data'!HG61)</f>
        <v/>
      </c>
      <c r="HT8" s="15" t="str">
        <f>IF('Raw Data'!HH61="","",'Raw Data'!HH61)</f>
        <v/>
      </c>
      <c r="HU8" s="15" t="str">
        <f>IF('Raw Data'!HI61="","",'Raw Data'!HI61)</f>
        <v>oui_ensemble</v>
      </c>
      <c r="HV8" s="15" t="str">
        <f>IF('Raw Data'!HJ61="","",'Raw Data'!HJ61)</f>
        <v>ong_locale</v>
      </c>
      <c r="HW8" s="15" t="str">
        <f>IF('Raw Data'!HK61="","",'Raw Data'!HK61)</f>
        <v>0</v>
      </c>
      <c r="HX8" s="15" t="str">
        <f>IF('Raw Data'!HL61="","",'Raw Data'!HL61)</f>
        <v>0</v>
      </c>
      <c r="HY8" s="15" t="str">
        <f>IF('Raw Data'!HM61="","",'Raw Data'!HM61)</f>
        <v>0</v>
      </c>
      <c r="HZ8" s="15" t="str">
        <f>IF('Raw Data'!HN61="","",'Raw Data'!HN61)</f>
        <v>0</v>
      </c>
      <c r="IA8" s="15" t="str">
        <f>IF('Raw Data'!HO61="","",'Raw Data'!HO61)</f>
        <v>0</v>
      </c>
      <c r="IB8" s="15" t="str">
        <f>IF('Raw Data'!HP61="","",'Raw Data'!HP61)</f>
        <v>1</v>
      </c>
      <c r="IC8" s="15" t="str">
        <f>IF('Raw Data'!HQ61="","",'Raw Data'!HQ61)</f>
        <v>0</v>
      </c>
      <c r="ID8" s="15" t="str">
        <f>IF('Raw Data'!HR61="","",'Raw Data'!HR61)</f>
        <v>0</v>
      </c>
      <c r="IE8" s="15" t="str">
        <f>IF('Raw Data'!HS61="","",'Raw Data'!HS61)</f>
        <v>0</v>
      </c>
      <c r="IF8" s="15" t="str">
        <f>IF('Raw Data'!HT61="","",'Raw Data'!HT61)</f>
        <v>0</v>
      </c>
      <c r="IG8" s="15" t="str">
        <f>IF('Raw Data'!HU61="","",'Raw Data'!HU61)</f>
        <v/>
      </c>
      <c r="IH8" s="15" t="str">
        <f>IF('Raw Data'!HV61="","",'Raw Data'!HV61)</f>
        <v/>
      </c>
      <c r="II8" s="15" t="str">
        <f>IF('Raw Data'!HW61="","",'Raw Data'!HW61)</f>
        <v/>
      </c>
      <c r="IJ8" s="15" t="str">
        <f>IF('Raw Data'!HX61="","",'Raw Data'!HX61)</f>
        <v>Femmes Hommes</v>
      </c>
      <c r="IK8" s="15" t="str">
        <f>IF('Raw Data'!HY61="","",'Raw Data'!HY61)</f>
        <v>0</v>
      </c>
      <c r="IL8" s="15" t="str">
        <f>IF('Raw Data'!HZ61="","",'Raw Data'!HZ61)</f>
        <v>0</v>
      </c>
      <c r="IM8" s="15" t="str">
        <f>IF('Raw Data'!IA61="","",'Raw Data'!IA61)</f>
        <v>0</v>
      </c>
      <c r="IN8" s="15" t="str">
        <f>IF('Raw Data'!IB61="","",'Raw Data'!IB61)</f>
        <v>0</v>
      </c>
      <c r="IO8" s="15" t="str">
        <f>IF('Raw Data'!IC61="","",'Raw Data'!IC61)</f>
        <v>1</v>
      </c>
      <c r="IP8" s="15" t="str">
        <f>IF('Raw Data'!ID61="","",'Raw Data'!ID61)</f>
        <v>1</v>
      </c>
      <c r="IQ8" s="15" t="str">
        <f>IF('Raw Data'!IE61="","",'Raw Data'!IE61)</f>
        <v>0</v>
      </c>
      <c r="IR8" s="15" t="str">
        <f>IF('Raw Data'!IF61="","",'Raw Data'!IF61)</f>
        <v>0</v>
      </c>
      <c r="IS8" s="15" t="str">
        <f>IF('Raw Data'!IG61="","",'Raw Data'!IG61)</f>
        <v>0</v>
      </c>
      <c r="IT8" s="15" t="str">
        <f>IF('Raw Data'!IH61="","",'Raw Data'!IH61)</f>
        <v>0</v>
      </c>
      <c r="IU8" s="15" t="str">
        <f>IF('Raw Data'!II61="","",'Raw Data'!II61)</f>
        <v>0</v>
      </c>
      <c r="IV8" s="15" t="str">
        <f>IF('Raw Data'!IJ61="","",'Raw Data'!IJ61)</f>
        <v>0</v>
      </c>
      <c r="IW8" s="15" t="str">
        <f>IF('Raw Data'!IK61="","",'Raw Data'!IK61)</f>
        <v>0</v>
      </c>
      <c r="IX8" s="15" t="str">
        <f>IF('Raw Data'!IL61="","",'Raw Data'!IL61)</f>
        <v>0</v>
      </c>
      <c r="IY8" s="15" t="str">
        <f>IF('Raw Data'!IM61="","",'Raw Data'!IM61)</f>
        <v/>
      </c>
      <c r="IZ8" s="15" t="str">
        <f>IF('Raw Data'!IN61="","",'Raw Data'!IN61)</f>
        <v>16</v>
      </c>
      <c r="JA8" s="15" t="str">
        <f>IF('Raw Data'!IO61="","",'Raw Data'!IO61)</f>
        <v>Services_medicaux Services_educatifs</v>
      </c>
      <c r="JB8" s="15" t="str">
        <f>IF('Raw Data'!IP61="","",'Raw Data'!IP61)</f>
        <v>0</v>
      </c>
      <c r="JC8" s="15" t="str">
        <f>IF('Raw Data'!IQ61="","",'Raw Data'!IQ61)</f>
        <v>1</v>
      </c>
      <c r="JD8" s="15" t="str">
        <f>IF('Raw Data'!IR61="","",'Raw Data'!IR61)</f>
        <v>1</v>
      </c>
      <c r="JE8" s="15" t="str">
        <f>IF('Raw Data'!IS61="","",'Raw Data'!IS61)</f>
        <v>0</v>
      </c>
      <c r="JF8" s="15" t="str">
        <f>IF('Raw Data'!IT61="","",'Raw Data'!IT61)</f>
        <v>0</v>
      </c>
      <c r="JG8" s="15" t="str">
        <f>IF('Raw Data'!IU61="","",'Raw Data'!IU61)</f>
        <v>0</v>
      </c>
      <c r="JH8" s="15" t="str">
        <f>IF('Raw Data'!IV61="","",'Raw Data'!IV61)</f>
        <v>0</v>
      </c>
      <c r="JI8" s="15" t="str">
        <f>IF('Raw Data'!IW61="","",'Raw Data'!IW61)</f>
        <v>0</v>
      </c>
      <c r="JJ8" s="15" t="str">
        <f>IF('Raw Data'!IX61="","",'Raw Data'!IX61)</f>
        <v>0</v>
      </c>
      <c r="JK8" s="15" t="str">
        <f>IF('Raw Data'!IY61="","",'Raw Data'!IY61)</f>
        <v>0</v>
      </c>
      <c r="JL8" s="15" t="str">
        <f>IF('Raw Data'!IZ61="","",'Raw Data'!IZ61)</f>
        <v/>
      </c>
      <c r="JM8" s="15" t="str">
        <f>IF('Raw Data'!JA61="","",'Raw Data'!JA61)</f>
        <v>reorientation</v>
      </c>
      <c r="JN8" s="15" t="str">
        <f>IF('Raw Data'!JB61="","",'Raw Data'!JB61)</f>
        <v>0</v>
      </c>
      <c r="JO8" s="15" t="str">
        <f>IF('Raw Data'!JC61="","",'Raw Data'!JC61)</f>
        <v>1</v>
      </c>
      <c r="JP8" s="15" t="str">
        <f>IF('Raw Data'!JD61="","",'Raw Data'!JD61)</f>
        <v>0</v>
      </c>
      <c r="JQ8" s="15" t="str">
        <f>IF('Raw Data'!JE61="","",'Raw Data'!JE61)</f>
        <v>0</v>
      </c>
      <c r="JR8" s="15" t="str">
        <f>IF('Raw Data'!JF61="","",'Raw Data'!JF61)</f>
        <v>0</v>
      </c>
      <c r="JS8" s="15" t="str">
        <f>IF('Raw Data'!JG61="","",'Raw Data'!JG61)</f>
        <v>0</v>
      </c>
      <c r="JT8" s="15" t="str">
        <f>IF('Raw Data'!JH61="","",'Raw Data'!JH61)</f>
        <v/>
      </c>
      <c r="JU8" s="15" t="str">
        <f>IF('Raw Data'!JI61="","",'Raw Data'!JI61)</f>
        <v/>
      </c>
      <c r="JV8" s="15" t="str">
        <f>IF('Raw Data'!JJ61="","",'Raw Data'!JJ61)</f>
        <v/>
      </c>
      <c r="JW8" s="15" t="str">
        <f>IF('Raw Data'!JK61="","",'Raw Data'!JK61)</f>
        <v/>
      </c>
      <c r="JX8" s="15" t="str">
        <f>IF('Raw Data'!JL61="","",'Raw Data'!JL61)</f>
        <v/>
      </c>
      <c r="JY8" s="15" t="str">
        <f>IF('Raw Data'!JM61="","",'Raw Data'!JM61)</f>
        <v/>
      </c>
      <c r="JZ8" s="15" t="str">
        <f>IF('Raw Data'!JN61="","",'Raw Data'!JN61)</f>
        <v/>
      </c>
      <c r="KA8" s="15" t="str">
        <f>IF('Raw Data'!JO61="","",'Raw Data'!JO61)</f>
        <v/>
      </c>
      <c r="KB8" s="15" t="str">
        <f>IF('Raw Data'!JP61="","",'Raw Data'!JP61)</f>
        <v/>
      </c>
      <c r="KC8" s="15" t="str">
        <f>IF('Raw Data'!JQ61="","",'Raw Data'!JQ61)</f>
        <v/>
      </c>
      <c r="KD8" s="15" t="str">
        <f>IF('Raw Data'!JR61="","",'Raw Data'!JR61)</f>
        <v/>
      </c>
      <c r="KE8" s="15" t="str">
        <f>IF('Raw Data'!JS61="","",'Raw Data'!JS61)</f>
        <v/>
      </c>
      <c r="KF8" s="15" t="str">
        <f>IF('Raw Data'!JT61="","",'Raw Data'!JT61)</f>
        <v>medical</v>
      </c>
      <c r="KG8" s="15" t="str">
        <f>IF('Raw Data'!JU61="","",'Raw Data'!JU61)</f>
        <v>1</v>
      </c>
      <c r="KH8" s="15" t="str">
        <f>IF('Raw Data'!JV61="","",'Raw Data'!JV61)</f>
        <v>0</v>
      </c>
      <c r="KI8" s="15" t="str">
        <f>IF('Raw Data'!JW61="","",'Raw Data'!JW61)</f>
        <v>0</v>
      </c>
      <c r="KJ8" s="15" t="str">
        <f>IF('Raw Data'!JX61="","",'Raw Data'!JX61)</f>
        <v>0</v>
      </c>
      <c r="KK8" s="15" t="str">
        <f>IF('Raw Data'!JY61="","",'Raw Data'!JY61)</f>
        <v>0</v>
      </c>
      <c r="KL8" s="15" t="str">
        <f>IF('Raw Data'!JZ61="","",'Raw Data'!JZ61)</f>
        <v>0</v>
      </c>
      <c r="KM8" s="15" t="str">
        <f>IF('Raw Data'!KA61="","",'Raw Data'!KA61)</f>
        <v>0</v>
      </c>
      <c r="KN8" s="15" t="str">
        <f>IF('Raw Data'!KB61="","",'Raw Data'!KB61)</f>
        <v>0</v>
      </c>
      <c r="KO8" s="15" t="str">
        <f>IF('Raw Data'!KC61="","",'Raw Data'!KC61)</f>
        <v>0</v>
      </c>
      <c r="KP8" s="15" t="str">
        <f>IF('Raw Data'!KD61="","",'Raw Data'!KD61)</f>
        <v/>
      </c>
      <c r="KQ8" s="15" t="str">
        <f>IF('Raw Data'!KE61="","",'Raw Data'!KE61)</f>
        <v/>
      </c>
      <c r="KR8" s="15" t="str">
        <f>IF('Raw Data'!KF61="","",'Raw Data'!KF61)</f>
        <v>oui</v>
      </c>
      <c r="KS8" s="15" t="str">
        <f>IF('Raw Data'!KG61="","",'Raw Data'!KG61)</f>
        <v>manque_moyens manque_d'information probleme_orientation</v>
      </c>
      <c r="KT8" s="15" t="str">
        <f>IF('Raw Data'!KH61="","",'Raw Data'!KH61)</f>
        <v>1</v>
      </c>
      <c r="KU8" s="15" t="str">
        <f>IF('Raw Data'!KI61="","",'Raw Data'!KI61)</f>
        <v>0</v>
      </c>
      <c r="KV8" s="15" t="str">
        <f>IF('Raw Data'!KJ61="","",'Raw Data'!KJ61)</f>
        <v>1</v>
      </c>
      <c r="KW8" s="15" t="str">
        <f>IF('Raw Data'!KK61="","",'Raw Data'!KK61)</f>
        <v>1</v>
      </c>
      <c r="KX8" s="15" t="str">
        <f>IF('Raw Data'!KL61="","",'Raw Data'!KL61)</f>
        <v>0</v>
      </c>
      <c r="KY8" s="15" t="str">
        <f>IF('Raw Data'!KM61="","",'Raw Data'!KM61)</f>
        <v>0</v>
      </c>
      <c r="KZ8" s="15" t="str">
        <f>IF('Raw Data'!KN61="","",'Raw Data'!KN61)</f>
        <v>0</v>
      </c>
      <c r="LA8" s="15" t="str">
        <f>IF('Raw Data'!KO61="","",'Raw Data'!KO61)</f>
        <v>0</v>
      </c>
      <c r="LB8" s="15" t="str">
        <f>IF('Raw Data'!KP61="","",'Raw Data'!KP61)</f>
        <v>0</v>
      </c>
      <c r="LC8" s="15" t="str">
        <f>IF('Raw Data'!KQ61="","",'Raw Data'!KQ61)</f>
        <v>0</v>
      </c>
      <c r="LD8" s="15" t="str">
        <f>IF('Raw Data'!KR61="","",'Raw Data'!KR61)</f>
        <v>0</v>
      </c>
      <c r="LE8" s="15" t="str">
        <f>IF('Raw Data'!KS61="","",'Raw Data'!KS61)</f>
        <v/>
      </c>
      <c r="LF8" s="15" t="str">
        <f>IF('Raw Data'!KT61="","",'Raw Data'!KT61)</f>
        <v>pb_logistiques</v>
      </c>
      <c r="LG8" s="15" t="str">
        <f>IF('Raw Data'!KU61="","",'Raw Data'!KU61)</f>
        <v>0</v>
      </c>
      <c r="LH8" s="15" t="str">
        <f>IF('Raw Data'!KV61="","",'Raw Data'!KV61)</f>
        <v>1</v>
      </c>
      <c r="LI8" s="15" t="str">
        <f>IF('Raw Data'!KW61="","",'Raw Data'!KW61)</f>
        <v>0</v>
      </c>
      <c r="LJ8" s="15" t="str">
        <f>IF('Raw Data'!KX61="","",'Raw Data'!KX61)</f>
        <v>0</v>
      </c>
      <c r="LK8" s="15" t="str">
        <f>IF('Raw Data'!KY61="","",'Raw Data'!KY61)</f>
        <v>0</v>
      </c>
      <c r="LL8" s="15" t="str">
        <f>IF('Raw Data'!KZ61="","",'Raw Data'!KZ61)</f>
        <v>0</v>
      </c>
      <c r="LM8" s="15" t="str">
        <f>IF('Raw Data'!LA61="","",'Raw Data'!LA61)</f>
        <v/>
      </c>
      <c r="LN8" s="15" t="str">
        <f>IF('Raw Data'!LB61="","",'Raw Data'!LB61)</f>
        <v>oui</v>
      </c>
      <c r="LO8" s="15" t="str">
        <f>IF('Raw Data'!LC61="","",'Raw Data'!LC61)</f>
        <v>menace_entourage</v>
      </c>
      <c r="LP8" s="15" t="str">
        <f>IF('Raw Data'!LD61="","",'Raw Data'!LD61)</f>
        <v>0</v>
      </c>
      <c r="LQ8" s="15" t="str">
        <f>IF('Raw Data'!LE61="","",'Raw Data'!LE61)</f>
        <v>0</v>
      </c>
      <c r="LR8" s="15" t="str">
        <f>IF('Raw Data'!LF61="","",'Raw Data'!LF61)</f>
        <v>0</v>
      </c>
      <c r="LS8" s="15" t="str">
        <f>IF('Raw Data'!LG61="","",'Raw Data'!LG61)</f>
        <v>1</v>
      </c>
      <c r="LT8" s="15" t="str">
        <f>IF('Raw Data'!LH61="","",'Raw Data'!LH61)</f>
        <v>0</v>
      </c>
      <c r="LU8" s="15" t="str">
        <f>IF('Raw Data'!LI61="","",'Raw Data'!LI61)</f>
        <v>0</v>
      </c>
      <c r="LV8" s="15" t="str">
        <f>IF('Raw Data'!LJ61="","",'Raw Data'!LJ61)</f>
        <v>0</v>
      </c>
      <c r="LW8" s="15" t="str">
        <f>IF('Raw Data'!LK61="","",'Raw Data'!LK61)</f>
        <v>0</v>
      </c>
      <c r="LX8" s="15" t="str">
        <f>IF('Raw Data'!LL61="","",'Raw Data'!LL61)</f>
        <v>0</v>
      </c>
      <c r="LY8" s="15" t="str">
        <f>IF('Raw Data'!LM61="","",'Raw Data'!LM61)</f>
        <v>0</v>
      </c>
      <c r="LZ8" s="15" t="str">
        <f>IF('Raw Data'!LN61="","",'Raw Data'!LN61)</f>
        <v/>
      </c>
      <c r="MA8" s="15" t="str">
        <f>IF('Raw Data'!LO61="","",'Raw Data'!LO61)</f>
        <v>non</v>
      </c>
      <c r="MB8" s="15" t="str">
        <f>IF('Raw Data'!LP61="","",'Raw Data'!LP61)</f>
        <v>oui</v>
      </c>
      <c r="MC8" s="15" t="str">
        <f>IF('Raw Data'!LQ61="","",'Raw Data'!LQ61)</f>
        <v/>
      </c>
      <c r="MD8" s="31"/>
      <c r="ME8" s="15">
        <f>IF('Raw Data'!LS61="","",'Raw Data'!LS61)</f>
        <v>171830984</v>
      </c>
      <c r="MF8" s="15" t="str">
        <f>IF('Raw Data'!LT61="","",'Raw Data'!LT61)</f>
        <v>42d263a9-6476-4ee6-96d0-fabbc1ffcf9e</v>
      </c>
      <c r="MG8" s="15" t="str">
        <f>IF('Raw Data'!LU61="","",'Raw Data'!LU61)</f>
        <v>2021-04-15T16:32:47</v>
      </c>
      <c r="MH8" s="15" t="str">
        <f>IF('Raw Data'!LV61="","",'Raw Data'!LV61)</f>
        <v/>
      </c>
      <c r="MI8" s="15" t="str">
        <f>IF('Raw Data'!LW61="","",'Raw Data'!LW61)</f>
        <v>[]</v>
      </c>
      <c r="MJ8" s="15" t="str">
        <f>IF('Raw Data'!LX61="","",'Raw Data'!LX61)</f>
        <v>submitted_via_web</v>
      </c>
      <c r="MK8" s="15" t="str">
        <f>IF('Raw Data'!LY61="","",'Raw Data'!LY61)</f>
        <v>reach_niger</v>
      </c>
      <c r="ML8" s="15" t="str">
        <f>IF('Raw Data'!LZ61="","",'Raw Data'!LZ61)</f>
        <v/>
      </c>
      <c r="MM8" s="15">
        <f>IF('Raw Data'!MA61="","",'Raw Data'!MA61)</f>
        <v>66</v>
      </c>
    </row>
    <row r="9" spans="1:351" x14ac:dyDescent="0.3">
      <c r="A9" s="26" t="str">
        <f t="shared" si="0"/>
        <v>8362a8f2-dc3a-4d4e-a868-8db308208fe3</v>
      </c>
      <c r="B9" s="26" t="str">
        <f t="shared" si="1"/>
        <v>torodi</v>
      </c>
      <c r="C9" s="26" t="str">
        <f t="shared" si="2"/>
        <v>B</v>
      </c>
      <c r="D9" s="14" t="str">
        <f>IF('Raw Data'!A41="","",'Raw Data'!A41)</f>
        <v>2021-04-06T11:54:31.291+01:00</v>
      </c>
      <c r="E9" s="14" t="str">
        <f>IF('Raw Data'!B41="","",'Raw Data'!B41)</f>
        <v>2021-04-06T12:20:30.773+01:00</v>
      </c>
      <c r="F9" s="30">
        <v>44292.496192129627</v>
      </c>
      <c r="G9" s="30">
        <v>44292.514236111114</v>
      </c>
      <c r="H9" s="29">
        <f>VLOOKUP(A9,Audit[#All],2,FALSE)</f>
        <v>25.99</v>
      </c>
      <c r="I9" s="29">
        <f>VLOOKUP(A9,Audit[#All],3,FALSE)</f>
        <v>25.63</v>
      </c>
      <c r="J9" s="29">
        <f>VLOOKUP(A9,Audit[#All],4,FALSE)</f>
        <v>22.44</v>
      </c>
      <c r="K9" s="29">
        <f>VLOOKUP(A9,nb_questions[#All],2,FALSE)</f>
        <v>147</v>
      </c>
      <c r="L9" s="29">
        <f t="shared" si="3"/>
        <v>91</v>
      </c>
      <c r="M9" s="14" t="str">
        <f>IF('Raw Data'!C41="","",'Raw Data'!C41)</f>
        <v>2021-04-06</v>
      </c>
      <c r="N9" s="14" t="str">
        <f>IF('Raw Data'!D41="","",'Raw Data'!D41)</f>
        <v/>
      </c>
      <c r="O9" s="14" t="str">
        <f>IF('Raw Data'!E41="","",'Raw Data'!E41)</f>
        <v/>
      </c>
      <c r="P9" s="29" t="str">
        <f>VLOOKUP(A9,code_enqueteurs[#All],3,FALSE)</f>
        <v>B</v>
      </c>
      <c r="Q9" s="29" t="s">
        <v>1645</v>
      </c>
      <c r="R9" s="14" t="str">
        <f>IF('Raw Data'!F41="","",'Raw Data'!F41)</f>
        <v>Homme</v>
      </c>
      <c r="S9" s="15" t="str">
        <f>IF('Raw Data'!G41="","",'Raw Data'!G41)</f>
        <v>torodi</v>
      </c>
      <c r="T9" s="15" t="str">
        <f>IF('Raw Data'!H41="","",'Raw Data'!H41)</f>
        <v>torodi</v>
      </c>
      <c r="U9" s="15" t="str">
        <f>IF('Raw Data'!I41="","",'Raw Data'!I41)</f>
        <v>zango_et_pengona</v>
      </c>
      <c r="V9" s="15" t="str">
        <f>IF('Raw Data'!J41="","",'Raw Data'!J41)</f>
        <v/>
      </c>
      <c r="W9" s="15" t="str">
        <f>IF('Raw Data'!K41="","",'Raw Data'!K41)</f>
        <v/>
      </c>
      <c r="X9" s="15" t="str">
        <f>IF('Raw Data'!L41="","",'Raw Data'!L41)</f>
        <v/>
      </c>
      <c r="Y9" s="15" t="str">
        <f>IF('Raw Data'!M41="","",'Raw Data'!M41)</f>
        <v/>
      </c>
      <c r="Z9" s="15" t="str">
        <f>IF('Raw Data'!N41="","",'Raw Data'!N41)</f>
        <v/>
      </c>
      <c r="AA9" s="15" t="str">
        <f>IF('Raw Data'!O41="","",'Raw Data'!O41)</f>
        <v/>
      </c>
      <c r="AB9" s="15" t="str">
        <f>IF('Raw Data'!P41="","",'Raw Data'!P41)</f>
        <v/>
      </c>
      <c r="AC9" s="15" t="str">
        <f>IF('Raw Data'!Q41="","",'Raw Data'!Q41)</f>
        <v/>
      </c>
      <c r="AD9" s="15" t="str">
        <f>IF('Raw Data'!R41="","",'Raw Data'!R41)</f>
        <v>Homme</v>
      </c>
      <c r="AE9" s="15" t="str">
        <f>IF('Raw Data'!S41="","",'Raw Data'!S41)</f>
        <v>58</v>
      </c>
      <c r="AF9" s="15" t="str">
        <f>IF('Raw Data'!T41="","",'Raw Data'!T41)</f>
        <v>deplace_interne</v>
      </c>
      <c r="AG9" s="15" t="str">
        <f>IF('Raw Data'!U41="","",'Raw Data'!U41)</f>
        <v/>
      </c>
      <c r="AH9" s="15" t="str">
        <f>IF('Raw Data'!V41="","",'Raw Data'!V41)</f>
        <v/>
      </c>
      <c r="AI9" s="15" t="str">
        <f>IF('Raw Data'!W41="","",'Raw Data'!W41)</f>
        <v/>
      </c>
      <c r="AJ9" s="15" t="str">
        <f>IF('Raw Data'!X41="","",'Raw Data'!X41)</f>
        <v/>
      </c>
      <c r="AK9" s="15" t="str">
        <f>IF('Raw Data'!Y41="","",'Raw Data'!Y41)</f>
        <v/>
      </c>
      <c r="AL9" s="15" t="str">
        <f>IF('Raw Data'!Z41="","",'Raw Data'!Z41)</f>
        <v>niger</v>
      </c>
      <c r="AM9" s="15" t="str">
        <f>IF('Raw Data'!AA41="","",'Raw Data'!AA41)</f>
        <v>tillaberi</v>
      </c>
      <c r="AN9" s="15" t="str">
        <f>IF('Raw Data'!AB41="","",'Raw Data'!AB41)</f>
        <v>torodi</v>
      </c>
      <c r="AO9" s="15" t="str">
        <f>IF('Raw Data'!AC41="","",'Raw Data'!AC41)</f>
        <v/>
      </c>
      <c r="AP9" s="15" t="str">
        <f>IF('Raw Data'!AD41="","",'Raw Data'!AD41)</f>
        <v/>
      </c>
      <c r="AQ9" s="15" t="str">
        <f>IF('Raw Data'!AE41="","",'Raw Data'!AE41)</f>
        <v/>
      </c>
      <c r="AR9" s="15" t="str">
        <f>IF('Raw Data'!AF41="","",'Raw Data'!AF41)</f>
        <v/>
      </c>
      <c r="AS9" s="15" t="str">
        <f>IF('Raw Data'!AG41="","",'Raw Data'!AG41)</f>
        <v>oui</v>
      </c>
      <c r="AT9" s="31" t="s">
        <v>1470</v>
      </c>
      <c r="AU9" s="15" t="str">
        <f>IF('Raw Data'!AI41="","",'Raw Data'!AI41)</f>
        <v>0</v>
      </c>
      <c r="AV9" s="15" t="str">
        <f>IF('Raw Data'!AJ41="","",'Raw Data'!AJ41)</f>
        <v>0</v>
      </c>
      <c r="AW9" s="15" t="str">
        <f>IF('Raw Data'!AK41="","",'Raw Data'!AK41)</f>
        <v>1</v>
      </c>
      <c r="AX9" s="15" t="str">
        <f>IF('Raw Data'!AL41="","",'Raw Data'!AL41)</f>
        <v>0</v>
      </c>
      <c r="AY9" s="15" t="str">
        <f>IF('Raw Data'!AM41="","",'Raw Data'!AM41)</f>
        <v>0</v>
      </c>
      <c r="AZ9" s="15" t="str">
        <f>IF('Raw Data'!AN41="","",'Raw Data'!AN41)</f>
        <v>0</v>
      </c>
      <c r="BA9" s="15" t="str">
        <f>IF('Raw Data'!AO41="","",'Raw Data'!AO41)</f>
        <v>0</v>
      </c>
      <c r="BB9" s="15" t="str">
        <f>IF('Raw Data'!AP41="","",'Raw Data'!AP41)</f>
        <v>0</v>
      </c>
      <c r="BC9" s="15" t="str">
        <f>IF('Raw Data'!AQ41="","",'Raw Data'!AQ41)</f>
        <v>0</v>
      </c>
      <c r="BD9" s="15" t="str">
        <f>IF('Raw Data'!AR41="","",'Raw Data'!AR41)</f>
        <v>0</v>
      </c>
      <c r="BE9" s="31">
        <v>1</v>
      </c>
      <c r="BF9" s="31">
        <v>0</v>
      </c>
      <c r="BG9" s="15" t="str">
        <f>IF('Raw Data'!AU41="","",'Raw Data'!AU41)</f>
        <v>0</v>
      </c>
      <c r="BH9" s="15" t="str">
        <f>IF('Raw Data'!AV41="","",'Raw Data'!AV41)</f>
        <v>0</v>
      </c>
      <c r="BI9" s="31"/>
      <c r="BJ9" s="15" t="str">
        <f>IF('Raw Data'!AX41="","",'Raw Data'!AX41)</f>
        <v>Femmes Hommes</v>
      </c>
      <c r="BK9" s="15" t="str">
        <f>IF('Raw Data'!AY41="","",'Raw Data'!AY41)</f>
        <v>0</v>
      </c>
      <c r="BL9" s="15" t="str">
        <f>IF('Raw Data'!AZ41="","",'Raw Data'!AZ41)</f>
        <v>0</v>
      </c>
      <c r="BM9" s="15" t="str">
        <f>IF('Raw Data'!BA41="","",'Raw Data'!BA41)</f>
        <v>0</v>
      </c>
      <c r="BN9" s="15" t="str">
        <f>IF('Raw Data'!BB41="","",'Raw Data'!BB41)</f>
        <v>0</v>
      </c>
      <c r="BO9" s="15" t="str">
        <f>IF('Raw Data'!BC41="","",'Raw Data'!BC41)</f>
        <v>1</v>
      </c>
      <c r="BP9" s="15" t="str">
        <f>IF('Raw Data'!BD41="","",'Raw Data'!BD41)</f>
        <v>1</v>
      </c>
      <c r="BQ9" s="15" t="str">
        <f>IF('Raw Data'!BE41="","",'Raw Data'!BE41)</f>
        <v>0</v>
      </c>
      <c r="BR9" s="15" t="str">
        <f>IF('Raw Data'!BF41="","",'Raw Data'!BF41)</f>
        <v>0</v>
      </c>
      <c r="BS9" s="15" t="str">
        <f>IF('Raw Data'!BG41="","",'Raw Data'!BG41)</f>
        <v>0</v>
      </c>
      <c r="BT9" s="15" t="str">
        <f>IF('Raw Data'!BH41="","",'Raw Data'!BH41)</f>
        <v>0</v>
      </c>
      <c r="BU9" s="15" t="str">
        <f>IF('Raw Data'!BI41="","",'Raw Data'!BI41)</f>
        <v>0</v>
      </c>
      <c r="BV9" s="15" t="str">
        <f>IF('Raw Data'!BJ41="","",'Raw Data'!BJ41)</f>
        <v>0</v>
      </c>
      <c r="BW9" s="15" t="str">
        <f>IF('Raw Data'!BK41="","",'Raw Data'!BK41)</f>
        <v>0</v>
      </c>
      <c r="BX9" s="15" t="str">
        <f>IF('Raw Data'!BL41="","",'Raw Data'!BL41)</f>
        <v>0</v>
      </c>
      <c r="BY9" s="15" t="str">
        <f>IF('Raw Data'!BM41="","",'Raw Data'!BM41)</f>
        <v/>
      </c>
      <c r="BZ9" s="15" t="str">
        <f>IF('Raw Data'!BN41="","",'Raw Data'!BN41)</f>
        <v>1</v>
      </c>
      <c r="CA9" s="15" t="str">
        <f>IF('Raw Data'!BO41="","",'Raw Data'!BO41)</f>
        <v>stable</v>
      </c>
      <c r="CB9" s="15" t="str">
        <f>IF('Raw Data'!BP41="","",'Raw Data'!BP41)</f>
        <v/>
      </c>
      <c r="CC9" s="15" t="str">
        <f>IF('Raw Data'!BQ41="","",'Raw Data'!BQ41)</f>
        <v>oui</v>
      </c>
      <c r="CD9" s="15" t="str">
        <f>IF('Raw Data'!BR41="","",'Raw Data'!BR41)</f>
        <v>agression_sexuelle mariage_force travail_force</v>
      </c>
      <c r="CE9" s="15" t="str">
        <f>IF('Raw Data'!BS41="","",'Raw Data'!BS41)</f>
        <v>0</v>
      </c>
      <c r="CF9" s="15" t="str">
        <f>IF('Raw Data'!BT41="","",'Raw Data'!BT41)</f>
        <v>1</v>
      </c>
      <c r="CG9" s="15" t="str">
        <f>IF('Raw Data'!BU41="","",'Raw Data'!BU41)</f>
        <v>0</v>
      </c>
      <c r="CH9" s="15" t="str">
        <f>IF('Raw Data'!BV41="","",'Raw Data'!BV41)</f>
        <v>0</v>
      </c>
      <c r="CI9" s="15" t="str">
        <f>IF('Raw Data'!BW41="","",'Raw Data'!BW41)</f>
        <v>0</v>
      </c>
      <c r="CJ9" s="15" t="str">
        <f>IF('Raw Data'!BX41="","",'Raw Data'!BX41)</f>
        <v>1</v>
      </c>
      <c r="CK9" s="15" t="str">
        <f>IF('Raw Data'!BY41="","",'Raw Data'!BY41)</f>
        <v>1</v>
      </c>
      <c r="CL9" s="15" t="str">
        <f>IF('Raw Data'!BZ41="","",'Raw Data'!BZ41)</f>
        <v>0</v>
      </c>
      <c r="CM9" s="15" t="str">
        <f>IF('Raw Data'!CA41="","",'Raw Data'!CA41)</f>
        <v>0</v>
      </c>
      <c r="CN9" s="15" t="str">
        <f>IF('Raw Data'!CB41="","",'Raw Data'!CB41)</f>
        <v>0</v>
      </c>
      <c r="CO9" s="15" t="str">
        <f>IF('Raw Data'!CC41="","",'Raw Data'!CC41)</f>
        <v>0</v>
      </c>
      <c r="CP9" s="15" t="str">
        <f>IF('Raw Data'!CD41="","",'Raw Data'!CD41)</f>
        <v>0</v>
      </c>
      <c r="CQ9" s="15" t="str">
        <f>IF('Raw Data'!CE41="","",'Raw Data'!CE41)</f>
        <v>0</v>
      </c>
      <c r="CR9" s="15" t="str">
        <f>IF('Raw Data'!CF41="","",'Raw Data'!CF41)</f>
        <v>0</v>
      </c>
      <c r="CS9" s="15" t="str">
        <f>IF('Raw Data'!CG41="","",'Raw Data'!CG41)</f>
        <v>0</v>
      </c>
      <c r="CT9" s="15" t="str">
        <f>IF('Raw Data'!CH41="","",'Raw Data'!CH41)</f>
        <v/>
      </c>
      <c r="CU9" s="15" t="str">
        <f>IF('Raw Data'!CI41="","",'Raw Data'!CI41)</f>
        <v>Filles Femmes Garçons</v>
      </c>
      <c r="CV9" s="15" t="str">
        <f>IF('Raw Data'!CJ41="","",'Raw Data'!CJ41)</f>
        <v>0</v>
      </c>
      <c r="CW9" s="15" t="str">
        <f>IF('Raw Data'!CK41="","",'Raw Data'!CK41)</f>
        <v>0</v>
      </c>
      <c r="CX9" s="15" t="str">
        <f>IF('Raw Data'!CL41="","",'Raw Data'!CL41)</f>
        <v>1</v>
      </c>
      <c r="CY9" s="15" t="str">
        <f>IF('Raw Data'!CM41="","",'Raw Data'!CM41)</f>
        <v>1</v>
      </c>
      <c r="CZ9" s="15" t="str">
        <f>IF('Raw Data'!CN41="","",'Raw Data'!CN41)</f>
        <v>1</v>
      </c>
      <c r="DA9" s="15" t="str">
        <f>IF('Raw Data'!CO41="","",'Raw Data'!CO41)</f>
        <v>0</v>
      </c>
      <c r="DB9" s="15" t="str">
        <f>IF('Raw Data'!CP41="","",'Raw Data'!CP41)</f>
        <v>0</v>
      </c>
      <c r="DC9" s="15" t="str">
        <f>IF('Raw Data'!CQ41="","",'Raw Data'!CQ41)</f>
        <v>0</v>
      </c>
      <c r="DD9" s="15" t="str">
        <f>IF('Raw Data'!CR41="","",'Raw Data'!CR41)</f>
        <v>0</v>
      </c>
      <c r="DE9" s="15" t="str">
        <f>IF('Raw Data'!CS41="","",'Raw Data'!CS41)</f>
        <v>0</v>
      </c>
      <c r="DF9" s="15" t="str">
        <f>IF('Raw Data'!CT41="","",'Raw Data'!CT41)</f>
        <v>0</v>
      </c>
      <c r="DG9" s="15" t="str">
        <f>IF('Raw Data'!CU41="","",'Raw Data'!CU41)</f>
        <v>0</v>
      </c>
      <c r="DH9" s="15" t="str">
        <f>IF('Raw Data'!CV41="","",'Raw Data'!CV41)</f>
        <v>0</v>
      </c>
      <c r="DI9" s="15" t="str">
        <f>IF('Raw Data'!CW41="","",'Raw Data'!CW41)</f>
        <v>0</v>
      </c>
      <c r="DJ9" s="15" t="str">
        <f>IF('Raw Data'!CX41="","",'Raw Data'!CX41)</f>
        <v/>
      </c>
      <c r="DK9" s="15" t="str">
        <f>IF('Raw Data'!CY41="","",'Raw Data'!CY41)</f>
        <v>1</v>
      </c>
      <c r="DL9" s="15" t="str">
        <f>IF('Raw Data'!CZ41="","",'Raw Data'!CZ41)</f>
        <v>stable</v>
      </c>
      <c r="DM9" s="15" t="str">
        <f>IF('Raw Data'!DA41="","",'Raw Data'!DA41)</f>
        <v/>
      </c>
      <c r="DN9" s="15" t="str">
        <f>IF('Raw Data'!DB41="","",'Raw Data'!DB41)</f>
        <v/>
      </c>
      <c r="DO9" s="15" t="str">
        <f>IF('Raw Data'!DC41="","",'Raw Data'!DC41)</f>
        <v/>
      </c>
      <c r="DP9" s="15" t="str">
        <f>IF('Raw Data'!DD41="","",'Raw Data'!DD41)</f>
        <v/>
      </c>
      <c r="DQ9" s="15" t="str">
        <f>IF('Raw Data'!DE41="","",'Raw Data'!DE41)</f>
        <v/>
      </c>
      <c r="DR9" s="15" t="str">
        <f>IF('Raw Data'!DF41="","",'Raw Data'!DF41)</f>
        <v/>
      </c>
      <c r="DS9" s="15" t="str">
        <f>IF('Raw Data'!DG41="","",'Raw Data'!DG41)</f>
        <v/>
      </c>
      <c r="DT9" s="15" t="str">
        <f>IF('Raw Data'!DH41="","",'Raw Data'!DH41)</f>
        <v/>
      </c>
      <c r="DU9" s="15" t="str">
        <f>IF('Raw Data'!DI41="","",'Raw Data'!DI41)</f>
        <v/>
      </c>
      <c r="DV9" s="15" t="str">
        <f>IF('Raw Data'!DJ41="","",'Raw Data'!DJ41)</f>
        <v/>
      </c>
      <c r="DW9" s="15" t="str">
        <f>IF('Raw Data'!DK41="","",'Raw Data'!DK41)</f>
        <v/>
      </c>
      <c r="DX9" s="15" t="str">
        <f>IF('Raw Data'!DL41="","",'Raw Data'!DL41)</f>
        <v/>
      </c>
      <c r="DY9" s="15" t="str">
        <f>IF('Raw Data'!DM41="","",'Raw Data'!DM41)</f>
        <v/>
      </c>
      <c r="DZ9" s="15" t="str">
        <f>IF('Raw Data'!DN41="","",'Raw Data'!DN41)</f>
        <v/>
      </c>
      <c r="EA9" s="15" t="str">
        <f>IF('Raw Data'!DO41="","",'Raw Data'!DO41)</f>
        <v/>
      </c>
      <c r="EB9" s="15" t="str">
        <f>IF('Raw Data'!DP41="","",'Raw Data'!DP41)</f>
        <v/>
      </c>
      <c r="EC9" s="15" t="str">
        <f>IF('Raw Data'!DQ41="","",'Raw Data'!DQ41)</f>
        <v/>
      </c>
      <c r="ED9" s="15" t="str">
        <f>IF('Raw Data'!DR41="","",'Raw Data'!DR41)</f>
        <v/>
      </c>
      <c r="EE9" s="15" t="str">
        <f>IF('Raw Data'!DS41="","",'Raw Data'!DS41)</f>
        <v/>
      </c>
      <c r="EF9" s="15" t="str">
        <f>IF('Raw Data'!DT41="","",'Raw Data'!DT41)</f>
        <v/>
      </c>
      <c r="EG9" s="15" t="str">
        <f>IF('Raw Data'!DU41="","",'Raw Data'!DU41)</f>
        <v/>
      </c>
      <c r="EH9" s="15" t="str">
        <f>IF('Raw Data'!DV41="","",'Raw Data'!DV41)</f>
        <v/>
      </c>
      <c r="EI9" s="15" t="str">
        <f>IF('Raw Data'!DW41="","",'Raw Data'!DW41)</f>
        <v/>
      </c>
      <c r="EJ9" s="15" t="str">
        <f>IF('Raw Data'!DX41="","",'Raw Data'!DX41)</f>
        <v/>
      </c>
      <c r="EK9" s="15" t="str">
        <f>IF('Raw Data'!DY41="","",'Raw Data'!DY41)</f>
        <v/>
      </c>
      <c r="EL9" s="15" t="str">
        <f>IF('Raw Data'!DZ41="","",'Raw Data'!DZ41)</f>
        <v>Integration_com_hote</v>
      </c>
      <c r="EM9" s="15" t="str">
        <f>IF('Raw Data'!EA41="","",'Raw Data'!EA41)</f>
        <v>0</v>
      </c>
      <c r="EN9" s="15" t="str">
        <f>IF('Raw Data'!EB41="","",'Raw Data'!EB41)</f>
        <v>1</v>
      </c>
      <c r="EO9" s="15" t="str">
        <f>IF('Raw Data'!EC41="","",'Raw Data'!EC41)</f>
        <v>0</v>
      </c>
      <c r="EP9" s="15" t="str">
        <f>IF('Raw Data'!ED41="","",'Raw Data'!ED41)</f>
        <v>0</v>
      </c>
      <c r="EQ9" s="15" t="str">
        <f>IF('Raw Data'!EE41="","",'Raw Data'!EE41)</f>
        <v>0</v>
      </c>
      <c r="ER9" s="15" t="str">
        <f>IF('Raw Data'!EF41="","",'Raw Data'!EF41)</f>
        <v>0</v>
      </c>
      <c r="ES9" s="15" t="str">
        <f>IF('Raw Data'!EG41="","",'Raw Data'!EG41)</f>
        <v>0</v>
      </c>
      <c r="ET9" s="15" t="str">
        <f>IF('Raw Data'!EH41="","",'Raw Data'!EH41)</f>
        <v>0</v>
      </c>
      <c r="EU9" s="15" t="str">
        <f>IF('Raw Data'!EI41="","",'Raw Data'!EI41)</f>
        <v>0</v>
      </c>
      <c r="EV9" s="15" t="str">
        <f>IF('Raw Data'!EJ41="","",'Raw Data'!EJ41)</f>
        <v/>
      </c>
      <c r="EW9" s="15" t="str">
        <f>IF('Raw Data'!EK41="","",'Raw Data'!EK41)</f>
        <v/>
      </c>
      <c r="EX9" s="15" t="str">
        <f>IF('Raw Data'!EL41="","",'Raw Data'!EL41)</f>
        <v>comite_protection</v>
      </c>
      <c r="EY9" s="15" t="str">
        <f>IF('Raw Data'!EM41="","",'Raw Data'!EM41)</f>
        <v>0</v>
      </c>
      <c r="EZ9" s="15" t="str">
        <f>IF('Raw Data'!EN41="","",'Raw Data'!EN41)</f>
        <v>1</v>
      </c>
      <c r="FA9" s="15" t="str">
        <f>IF('Raw Data'!EO41="","",'Raw Data'!EO41)</f>
        <v>0</v>
      </c>
      <c r="FB9" s="15" t="str">
        <f>IF('Raw Data'!EP41="","",'Raw Data'!EP41)</f>
        <v>0</v>
      </c>
      <c r="FC9" s="15" t="str">
        <f>IF('Raw Data'!EQ41="","",'Raw Data'!EQ41)</f>
        <v>0</v>
      </c>
      <c r="FD9" s="15" t="str">
        <f>IF('Raw Data'!ER41="","",'Raw Data'!ER41)</f>
        <v>0</v>
      </c>
      <c r="FE9" s="15" t="str">
        <f>IF('Raw Data'!ES41="","",'Raw Data'!ES41)</f>
        <v>0</v>
      </c>
      <c r="FF9" s="15" t="str">
        <f>IF('Raw Data'!ET41="","",'Raw Data'!ET41)</f>
        <v>0</v>
      </c>
      <c r="FG9" s="15" t="str">
        <f>IF('Raw Data'!EU41="","",'Raw Data'!EU41)</f>
        <v>0</v>
      </c>
      <c r="FH9" s="15" t="str">
        <f>IF('Raw Data'!EV41="","",'Raw Data'!EV41)</f>
        <v>0</v>
      </c>
      <c r="FI9" s="15" t="str">
        <f>IF('Raw Data'!EW41="","",'Raw Data'!EW41)</f>
        <v/>
      </c>
      <c r="FJ9" s="15" t="str">
        <f>IF('Raw Data'!EX41="","",'Raw Data'!EX41)</f>
        <v>oui</v>
      </c>
      <c r="FK9" s="15" t="str">
        <f>IF('Raw Data'!EY41="","",'Raw Data'!EY41)</f>
        <v>famille_amis Differents_comites_villageois Travailleurs_sociaux/hum</v>
      </c>
      <c r="FL9" s="15" t="str">
        <f>IF('Raw Data'!EZ41="","",'Raw Data'!EZ41)</f>
        <v>0</v>
      </c>
      <c r="FM9" s="15" t="str">
        <f>IF('Raw Data'!FA41="","",'Raw Data'!FA41)</f>
        <v>0</v>
      </c>
      <c r="FN9" s="15" t="str">
        <f>IF('Raw Data'!FB41="","",'Raw Data'!FB41)</f>
        <v>0</v>
      </c>
      <c r="FO9" s="15" t="str">
        <f>IF('Raw Data'!FC41="","",'Raw Data'!FC41)</f>
        <v>0</v>
      </c>
      <c r="FP9" s="15" t="str">
        <f>IF('Raw Data'!FD41="","",'Raw Data'!FD41)</f>
        <v>0</v>
      </c>
      <c r="FQ9" s="15" t="str">
        <f>IF('Raw Data'!FE41="","",'Raw Data'!FE41)</f>
        <v>1</v>
      </c>
      <c r="FR9" s="15" t="str">
        <f>IF('Raw Data'!FF41="","",'Raw Data'!FF41)</f>
        <v>0</v>
      </c>
      <c r="FS9" s="15" t="str">
        <f>IF('Raw Data'!FG41="","",'Raw Data'!FG41)</f>
        <v>0</v>
      </c>
      <c r="FT9" s="15" t="str">
        <f>IF('Raw Data'!FH41="","",'Raw Data'!FH41)</f>
        <v>1</v>
      </c>
      <c r="FU9" s="15" t="str">
        <f>IF('Raw Data'!FI41="","",'Raw Data'!FI41)</f>
        <v>0</v>
      </c>
      <c r="FV9" s="15" t="str">
        <f>IF('Raw Data'!FJ41="","",'Raw Data'!FJ41)</f>
        <v>1</v>
      </c>
      <c r="FW9" s="15" t="str">
        <f>IF('Raw Data'!FK41="","",'Raw Data'!FK41)</f>
        <v>0</v>
      </c>
      <c r="FX9" s="15" t="str">
        <f>IF('Raw Data'!FL41="","",'Raw Data'!FL41)</f>
        <v>0</v>
      </c>
      <c r="FY9" s="15" t="str">
        <f>IF('Raw Data'!FM41="","",'Raw Data'!FM41)</f>
        <v>0</v>
      </c>
      <c r="FZ9" s="15" t="str">
        <f>IF('Raw Data'!FN41="","",'Raw Data'!FN41)</f>
        <v/>
      </c>
      <c r="GA9" s="15" t="str">
        <f>IF('Raw Data'!FO41="","",'Raw Data'!FO41)</f>
        <v>oui_minorite</v>
      </c>
      <c r="GB9" s="15" t="str">
        <f>IF('Raw Data'!FP41="","",'Raw Data'!FP41)</f>
        <v>oui_minorite</v>
      </c>
      <c r="GC9" s="15" t="str">
        <f>IF('Raw Data'!FQ41="","",'Raw Data'!FQ41)</f>
        <v>non_fonctionnelle</v>
      </c>
      <c r="GD9" s="15" t="str">
        <f>IF('Raw Data'!FR41="","",'Raw Data'!FR41)</f>
        <v>1</v>
      </c>
      <c r="GE9" s="15" t="str">
        <f>IF('Raw Data'!FS41="","",'Raw Data'!FS41)</f>
        <v>0</v>
      </c>
      <c r="GF9" s="15" t="str">
        <f>IF('Raw Data'!FT41="","",'Raw Data'!FT41)</f>
        <v>0</v>
      </c>
      <c r="GG9" s="15" t="str">
        <f>IF('Raw Data'!FU41="","",'Raw Data'!FU41)</f>
        <v>0</v>
      </c>
      <c r="GH9" s="15" t="str">
        <f>IF('Raw Data'!FV41="","",'Raw Data'!FV41)</f>
        <v>0</v>
      </c>
      <c r="GI9" s="15" t="str">
        <f>IF('Raw Data'!FW41="","",'Raw Data'!FW41)</f>
        <v>0</v>
      </c>
      <c r="GJ9" s="15" t="str">
        <f>IF('Raw Data'!FX41="","",'Raw Data'!FX41)</f>
        <v>0</v>
      </c>
      <c r="GK9" s="15" t="str">
        <f>IF('Raw Data'!FY41="","",'Raw Data'!FY41)</f>
        <v>0</v>
      </c>
      <c r="GL9" s="15" t="str">
        <f>IF('Raw Data'!FZ41="","",'Raw Data'!FZ41)</f>
        <v/>
      </c>
      <c r="GM9" s="15" t="str">
        <f>IF('Raw Data'!GA41="","",'Raw Data'!GA41)</f>
        <v>minorite</v>
      </c>
      <c r="GN9" s="15" t="str">
        <f>IF('Raw Data'!GB41="","",'Raw Data'!GB41)</f>
        <v>minorite</v>
      </c>
      <c r="GO9" s="15" t="str">
        <f>IF('Raw Data'!GC41="","",'Raw Data'!GC41)</f>
        <v>Education Services_de_sante Acces_aux_doc Suivi_judiciaire</v>
      </c>
      <c r="GP9" s="15" t="str">
        <f>IF('Raw Data'!GD41="","",'Raw Data'!GD41)</f>
        <v>0</v>
      </c>
      <c r="GQ9" s="15" t="str">
        <f>IF('Raw Data'!GE41="","",'Raw Data'!GE41)</f>
        <v>1</v>
      </c>
      <c r="GR9" s="15" t="str">
        <f>IF('Raw Data'!GF41="","",'Raw Data'!GF41)</f>
        <v>0</v>
      </c>
      <c r="GS9" s="15" t="str">
        <f>IF('Raw Data'!GG41="","",'Raw Data'!GG41)</f>
        <v>1</v>
      </c>
      <c r="GT9" s="15" t="str">
        <f>IF('Raw Data'!GH41="","",'Raw Data'!GH41)</f>
        <v>1</v>
      </c>
      <c r="GU9" s="15" t="str">
        <f>IF('Raw Data'!GI41="","",'Raw Data'!GI41)</f>
        <v>1</v>
      </c>
      <c r="GV9" s="15" t="str">
        <f>IF('Raw Data'!GJ41="","",'Raw Data'!GJ41)</f>
        <v>0</v>
      </c>
      <c r="GW9" s="15" t="str">
        <f>IF('Raw Data'!GK41="","",'Raw Data'!GK41)</f>
        <v>0</v>
      </c>
      <c r="GX9" s="15" t="str">
        <f>IF('Raw Data'!GL41="","",'Raw Data'!GL41)</f>
        <v>0</v>
      </c>
      <c r="GY9" s="15" t="str">
        <f>IF('Raw Data'!GM41="","",'Raw Data'!GM41)</f>
        <v/>
      </c>
      <c r="GZ9" s="15" t="str">
        <f>IF('Raw Data'!GN41="","",'Raw Data'!GN41)</f>
        <v>oui_minorite</v>
      </c>
      <c r="HA9" s="15" t="str">
        <f>IF('Raw Data'!GO41="","",'Raw Data'!GO41)</f>
        <v>oui_minorite</v>
      </c>
      <c r="HB9" s="15" t="str">
        <f>IF('Raw Data'!GP41="","",'Raw Data'!GP41)</f>
        <v>amelioration_futur repond_besoins_pop permet_obtenir_conseils</v>
      </c>
      <c r="HC9" s="15" t="str">
        <f>IF('Raw Data'!GQ41="","",'Raw Data'!GQ41)</f>
        <v>1</v>
      </c>
      <c r="HD9" s="15" t="str">
        <f>IF('Raw Data'!GR41="","",'Raw Data'!GR41)</f>
        <v>1</v>
      </c>
      <c r="HE9" s="15" t="str">
        <f>IF('Raw Data'!GS41="","",'Raw Data'!GS41)</f>
        <v>1</v>
      </c>
      <c r="HF9" s="15" t="str">
        <f>IF('Raw Data'!GT41="","",'Raw Data'!GT41)</f>
        <v>0</v>
      </c>
      <c r="HG9" s="15" t="str">
        <f>IF('Raw Data'!GU41="","",'Raw Data'!GU41)</f>
        <v>0</v>
      </c>
      <c r="HH9" s="15" t="str">
        <f>IF('Raw Data'!GV41="","",'Raw Data'!GV41)</f>
        <v>0</v>
      </c>
      <c r="HI9" s="15" t="str">
        <f>IF('Raw Data'!GW41="","",'Raw Data'!GW41)</f>
        <v>0</v>
      </c>
      <c r="HJ9" s="15" t="str">
        <f>IF('Raw Data'!GX41="","",'Raw Data'!GX41)</f>
        <v>0</v>
      </c>
      <c r="HK9" s="15" t="str">
        <f>IF('Raw Data'!GY41="","",'Raw Data'!GY41)</f>
        <v/>
      </c>
      <c r="HL9" s="15" t="str">
        <f>IF('Raw Data'!GZ41="","",'Raw Data'!GZ41)</f>
        <v>ne_repond_pas</v>
      </c>
      <c r="HM9" s="15" t="str">
        <f>IF('Raw Data'!HA41="","",'Raw Data'!HA41)</f>
        <v>0</v>
      </c>
      <c r="HN9" s="15" t="str">
        <f>IF('Raw Data'!HB41="","",'Raw Data'!HB41)</f>
        <v>1</v>
      </c>
      <c r="HO9" s="15" t="str">
        <f>IF('Raw Data'!HC41="","",'Raw Data'!HC41)</f>
        <v>0</v>
      </c>
      <c r="HP9" s="15" t="str">
        <f>IF('Raw Data'!HD41="","",'Raw Data'!HD41)</f>
        <v>0</v>
      </c>
      <c r="HQ9" s="15" t="str">
        <f>IF('Raw Data'!HE41="","",'Raw Data'!HE41)</f>
        <v>0</v>
      </c>
      <c r="HR9" s="15" t="str">
        <f>IF('Raw Data'!HF41="","",'Raw Data'!HF41)</f>
        <v>0</v>
      </c>
      <c r="HS9" s="15" t="str">
        <f>IF('Raw Data'!HG41="","",'Raw Data'!HG41)</f>
        <v/>
      </c>
      <c r="HT9" s="15" t="str">
        <f>IF('Raw Data'!HH41="","",'Raw Data'!HH41)</f>
        <v/>
      </c>
      <c r="HU9" s="15" t="str">
        <f>IF('Raw Data'!HI41="","",'Raw Data'!HI41)</f>
        <v>non</v>
      </c>
      <c r="HV9" s="15" t="str">
        <f>IF('Raw Data'!HJ41="","",'Raw Data'!HJ41)</f>
        <v/>
      </c>
      <c r="HW9" s="15" t="str">
        <f>IF('Raw Data'!HK41="","",'Raw Data'!HK41)</f>
        <v/>
      </c>
      <c r="HX9" s="15" t="str">
        <f>IF('Raw Data'!HL41="","",'Raw Data'!HL41)</f>
        <v/>
      </c>
      <c r="HY9" s="15" t="str">
        <f>IF('Raw Data'!HM41="","",'Raw Data'!HM41)</f>
        <v/>
      </c>
      <c r="HZ9" s="15" t="str">
        <f>IF('Raw Data'!HN41="","",'Raw Data'!HN41)</f>
        <v/>
      </c>
      <c r="IA9" s="15" t="str">
        <f>IF('Raw Data'!HO41="","",'Raw Data'!HO41)</f>
        <v/>
      </c>
      <c r="IB9" s="15" t="str">
        <f>IF('Raw Data'!HP41="","",'Raw Data'!HP41)</f>
        <v/>
      </c>
      <c r="IC9" s="15" t="str">
        <f>IF('Raw Data'!HQ41="","",'Raw Data'!HQ41)</f>
        <v/>
      </c>
      <c r="ID9" s="15" t="str">
        <f>IF('Raw Data'!HR41="","",'Raw Data'!HR41)</f>
        <v/>
      </c>
      <c r="IE9" s="15" t="str">
        <f>IF('Raw Data'!HS41="","",'Raw Data'!HS41)</f>
        <v/>
      </c>
      <c r="IF9" s="15" t="str">
        <f>IF('Raw Data'!HT41="","",'Raw Data'!HT41)</f>
        <v/>
      </c>
      <c r="IG9" s="15" t="str">
        <f>IF('Raw Data'!HU41="","",'Raw Data'!HU41)</f>
        <v/>
      </c>
      <c r="IH9" s="15" t="str">
        <f>IF('Raw Data'!HV41="","",'Raw Data'!HV41)</f>
        <v>oui</v>
      </c>
      <c r="II9" s="15" t="str">
        <f>IF('Raw Data'!HW41="","",'Raw Data'!HW41)</f>
        <v/>
      </c>
      <c r="IJ9" s="15" t="str">
        <f>IF('Raw Data'!HX41="","",'Raw Data'!HX41)</f>
        <v>Enfants Bebes/Bambins Filles Femmes Garçons Hommes</v>
      </c>
      <c r="IK9" s="15" t="str">
        <f>IF('Raw Data'!HY41="","",'Raw Data'!HY41)</f>
        <v>1</v>
      </c>
      <c r="IL9" s="15" t="str">
        <f>IF('Raw Data'!HZ41="","",'Raw Data'!HZ41)</f>
        <v>1</v>
      </c>
      <c r="IM9" s="15" t="str">
        <f>IF('Raw Data'!IA41="","",'Raw Data'!IA41)</f>
        <v>1</v>
      </c>
      <c r="IN9" s="15" t="str">
        <f>IF('Raw Data'!IB41="","",'Raw Data'!IB41)</f>
        <v>1</v>
      </c>
      <c r="IO9" s="15" t="str">
        <f>IF('Raw Data'!IC41="","",'Raw Data'!IC41)</f>
        <v>1</v>
      </c>
      <c r="IP9" s="15" t="str">
        <f>IF('Raw Data'!ID41="","",'Raw Data'!ID41)</f>
        <v>1</v>
      </c>
      <c r="IQ9" s="15" t="str">
        <f>IF('Raw Data'!IE41="","",'Raw Data'!IE41)</f>
        <v>0</v>
      </c>
      <c r="IR9" s="15" t="str">
        <f>IF('Raw Data'!IF41="","",'Raw Data'!IF41)</f>
        <v>0</v>
      </c>
      <c r="IS9" s="15" t="str">
        <f>IF('Raw Data'!IG41="","",'Raw Data'!IG41)</f>
        <v>0</v>
      </c>
      <c r="IT9" s="15" t="str">
        <f>IF('Raw Data'!IH41="","",'Raw Data'!IH41)</f>
        <v>0</v>
      </c>
      <c r="IU9" s="15" t="str">
        <f>IF('Raw Data'!II41="","",'Raw Data'!II41)</f>
        <v>0</v>
      </c>
      <c r="IV9" s="15" t="str">
        <f>IF('Raw Data'!IJ41="","",'Raw Data'!IJ41)</f>
        <v>0</v>
      </c>
      <c r="IW9" s="15" t="str">
        <f>IF('Raw Data'!IK41="","",'Raw Data'!IK41)</f>
        <v>0</v>
      </c>
      <c r="IX9" s="15" t="str">
        <f>IF('Raw Data'!IL41="","",'Raw Data'!IL41)</f>
        <v>0</v>
      </c>
      <c r="IY9" s="15" t="str">
        <f>IF('Raw Data'!IM41="","",'Raw Data'!IM41)</f>
        <v/>
      </c>
      <c r="IZ9" s="15" t="str">
        <f>IF('Raw Data'!IN41="","",'Raw Data'!IN41)</f>
        <v>15</v>
      </c>
      <c r="JA9" s="15" t="str">
        <f>IF('Raw Data'!IO41="","",'Raw Data'!IO41)</f>
        <v>Appui_psychosocial Services_medicaux Services_educatifs acces_docs service_judiciaire</v>
      </c>
      <c r="JB9" s="15" t="str">
        <f>IF('Raw Data'!IP41="","",'Raw Data'!IP41)</f>
        <v>1</v>
      </c>
      <c r="JC9" s="15" t="str">
        <f>IF('Raw Data'!IQ41="","",'Raw Data'!IQ41)</f>
        <v>1</v>
      </c>
      <c r="JD9" s="15" t="str">
        <f>IF('Raw Data'!IR41="","",'Raw Data'!IR41)</f>
        <v>1</v>
      </c>
      <c r="JE9" s="15" t="str">
        <f>IF('Raw Data'!IS41="","",'Raw Data'!IS41)</f>
        <v>0</v>
      </c>
      <c r="JF9" s="15" t="str">
        <f>IF('Raw Data'!IT41="","",'Raw Data'!IT41)</f>
        <v>1</v>
      </c>
      <c r="JG9" s="15" t="str">
        <f>IF('Raw Data'!IU41="","",'Raw Data'!IU41)</f>
        <v>1</v>
      </c>
      <c r="JH9" s="15" t="str">
        <f>IF('Raw Data'!IV41="","",'Raw Data'!IV41)</f>
        <v>0</v>
      </c>
      <c r="JI9" s="15" t="str">
        <f>IF('Raw Data'!IW41="","",'Raw Data'!IW41)</f>
        <v>0</v>
      </c>
      <c r="JJ9" s="15" t="str">
        <f>IF('Raw Data'!IX41="","",'Raw Data'!IX41)</f>
        <v>0</v>
      </c>
      <c r="JK9" s="15" t="str">
        <f>IF('Raw Data'!IY41="","",'Raw Data'!IY41)</f>
        <v>0</v>
      </c>
      <c r="JL9" s="15" t="str">
        <f>IF('Raw Data'!IZ41="","",'Raw Data'!IZ41)</f>
        <v/>
      </c>
      <c r="JM9" s="15" t="str">
        <f>IF('Raw Data'!JA41="","",'Raw Data'!JA41)</f>
        <v>reorientation</v>
      </c>
      <c r="JN9" s="15" t="str">
        <f>IF('Raw Data'!JB41="","",'Raw Data'!JB41)</f>
        <v>0</v>
      </c>
      <c r="JO9" s="15" t="str">
        <f>IF('Raw Data'!JC41="","",'Raw Data'!JC41)</f>
        <v>1</v>
      </c>
      <c r="JP9" s="15" t="str">
        <f>IF('Raw Data'!JD41="","",'Raw Data'!JD41)</f>
        <v>0</v>
      </c>
      <c r="JQ9" s="15" t="str">
        <f>IF('Raw Data'!JE41="","",'Raw Data'!JE41)</f>
        <v>0</v>
      </c>
      <c r="JR9" s="15" t="str">
        <f>IF('Raw Data'!JF41="","",'Raw Data'!JF41)</f>
        <v>0</v>
      </c>
      <c r="JS9" s="15" t="str">
        <f>IF('Raw Data'!JG41="","",'Raw Data'!JG41)</f>
        <v>0</v>
      </c>
      <c r="JT9" s="15" t="str">
        <f>IF('Raw Data'!JH41="","",'Raw Data'!JH41)</f>
        <v/>
      </c>
      <c r="JU9" s="15" t="str">
        <f>IF('Raw Data'!JI41="","",'Raw Data'!JI41)</f>
        <v/>
      </c>
      <c r="JV9" s="15" t="str">
        <f>IF('Raw Data'!JJ41="","",'Raw Data'!JJ41)</f>
        <v/>
      </c>
      <c r="JW9" s="15" t="str">
        <f>IF('Raw Data'!JK41="","",'Raw Data'!JK41)</f>
        <v/>
      </c>
      <c r="JX9" s="15" t="str">
        <f>IF('Raw Data'!JL41="","",'Raw Data'!JL41)</f>
        <v/>
      </c>
      <c r="JY9" s="15" t="str">
        <f>IF('Raw Data'!JM41="","",'Raw Data'!JM41)</f>
        <v/>
      </c>
      <c r="JZ9" s="15" t="str">
        <f>IF('Raw Data'!JN41="","",'Raw Data'!JN41)</f>
        <v/>
      </c>
      <c r="KA9" s="15" t="str">
        <f>IF('Raw Data'!JO41="","",'Raw Data'!JO41)</f>
        <v/>
      </c>
      <c r="KB9" s="15" t="str">
        <f>IF('Raw Data'!JP41="","",'Raw Data'!JP41)</f>
        <v/>
      </c>
      <c r="KC9" s="15" t="str">
        <f>IF('Raw Data'!JQ41="","",'Raw Data'!JQ41)</f>
        <v/>
      </c>
      <c r="KD9" s="15" t="str">
        <f>IF('Raw Data'!JR41="","",'Raw Data'!JR41)</f>
        <v/>
      </c>
      <c r="KE9" s="15" t="str">
        <f>IF('Raw Data'!JS41="","",'Raw Data'!JS41)</f>
        <v/>
      </c>
      <c r="KF9" s="15" t="str">
        <f>IF('Raw Data'!JT41="","",'Raw Data'!JT41)</f>
        <v>medical juridique</v>
      </c>
      <c r="KG9" s="15" t="str">
        <f>IF('Raw Data'!JU41="","",'Raw Data'!JU41)</f>
        <v>1</v>
      </c>
      <c r="KH9" s="15" t="str">
        <f>IF('Raw Data'!JV41="","",'Raw Data'!JV41)</f>
        <v>0</v>
      </c>
      <c r="KI9" s="15" t="str">
        <f>IF('Raw Data'!JW41="","",'Raw Data'!JW41)</f>
        <v>0</v>
      </c>
      <c r="KJ9" s="15" t="str">
        <f>IF('Raw Data'!JX41="","",'Raw Data'!JX41)</f>
        <v>1</v>
      </c>
      <c r="KK9" s="15" t="str">
        <f>IF('Raw Data'!JY41="","",'Raw Data'!JY41)</f>
        <v>0</v>
      </c>
      <c r="KL9" s="15" t="str">
        <f>IF('Raw Data'!JZ41="","",'Raw Data'!JZ41)</f>
        <v>0</v>
      </c>
      <c r="KM9" s="15" t="str">
        <f>IF('Raw Data'!KA41="","",'Raw Data'!KA41)</f>
        <v>0</v>
      </c>
      <c r="KN9" s="15" t="str">
        <f>IF('Raw Data'!KB41="","",'Raw Data'!KB41)</f>
        <v>0</v>
      </c>
      <c r="KO9" s="15" t="str">
        <f>IF('Raw Data'!KC41="","",'Raw Data'!KC41)</f>
        <v>0</v>
      </c>
      <c r="KP9" s="15" t="str">
        <f>IF('Raw Data'!KD41="","",'Raw Data'!KD41)</f>
        <v/>
      </c>
      <c r="KQ9" s="15" t="str">
        <f>IF('Raw Data'!KE41="","",'Raw Data'!KE41)</f>
        <v/>
      </c>
      <c r="KR9" s="15" t="str">
        <f>IF('Raw Data'!KF41="","",'Raw Data'!KF41)</f>
        <v>oui</v>
      </c>
      <c r="KS9" s="15" t="str">
        <f>IF('Raw Data'!KG41="","",'Raw Data'!KG41)</f>
        <v>manque_moyens manque_d'information manque_cordination manque_definition</v>
      </c>
      <c r="KT9" s="15" t="str">
        <f>IF('Raw Data'!KH41="","",'Raw Data'!KH41)</f>
        <v>1</v>
      </c>
      <c r="KU9" s="15" t="str">
        <f>IF('Raw Data'!KI41="","",'Raw Data'!KI41)</f>
        <v>0</v>
      </c>
      <c r="KV9" s="15" t="str">
        <f>IF('Raw Data'!KJ41="","",'Raw Data'!KJ41)</f>
        <v>1</v>
      </c>
      <c r="KW9" s="15" t="str">
        <f>IF('Raw Data'!KK41="","",'Raw Data'!KK41)</f>
        <v>0</v>
      </c>
      <c r="KX9" s="15" t="str">
        <f>IF('Raw Data'!KL41="","",'Raw Data'!KL41)</f>
        <v>0</v>
      </c>
      <c r="KY9" s="15" t="str">
        <f>IF('Raw Data'!KM41="","",'Raw Data'!KM41)</f>
        <v>0</v>
      </c>
      <c r="KZ9" s="15" t="str">
        <f>IF('Raw Data'!KN41="","",'Raw Data'!KN41)</f>
        <v>1</v>
      </c>
      <c r="LA9" s="15" t="str">
        <f>IF('Raw Data'!KO41="","",'Raw Data'!KO41)</f>
        <v>1</v>
      </c>
      <c r="LB9" s="15" t="str">
        <f>IF('Raw Data'!KP41="","",'Raw Data'!KP41)</f>
        <v>0</v>
      </c>
      <c r="LC9" s="15" t="str">
        <f>IF('Raw Data'!KQ41="","",'Raw Data'!KQ41)</f>
        <v>0</v>
      </c>
      <c r="LD9" s="15" t="str">
        <f>IF('Raw Data'!KR41="","",'Raw Data'!KR41)</f>
        <v>0</v>
      </c>
      <c r="LE9" s="15" t="str">
        <f>IF('Raw Data'!KS41="","",'Raw Data'!KS41)</f>
        <v/>
      </c>
      <c r="LF9" s="15" t="str">
        <f>IF('Raw Data'!KT41="","",'Raw Data'!KT41)</f>
        <v/>
      </c>
      <c r="LG9" s="15" t="str">
        <f>IF('Raw Data'!KU41="","",'Raw Data'!KU41)</f>
        <v/>
      </c>
      <c r="LH9" s="15" t="str">
        <f>IF('Raw Data'!KV41="","",'Raw Data'!KV41)</f>
        <v/>
      </c>
      <c r="LI9" s="15" t="str">
        <f>IF('Raw Data'!KW41="","",'Raw Data'!KW41)</f>
        <v/>
      </c>
      <c r="LJ9" s="15" t="str">
        <f>IF('Raw Data'!KX41="","",'Raw Data'!KX41)</f>
        <v/>
      </c>
      <c r="LK9" s="15" t="str">
        <f>IF('Raw Data'!KY41="","",'Raw Data'!KY41)</f>
        <v/>
      </c>
      <c r="LL9" s="15" t="str">
        <f>IF('Raw Data'!KZ41="","",'Raw Data'!KZ41)</f>
        <v/>
      </c>
      <c r="LM9" s="15" t="str">
        <f>IF('Raw Data'!LA41="","",'Raw Data'!LA41)</f>
        <v/>
      </c>
      <c r="LN9" s="15" t="str">
        <f>IF('Raw Data'!LB41="","",'Raw Data'!LB41)</f>
        <v>non</v>
      </c>
      <c r="LO9" s="15" t="str">
        <f>IF('Raw Data'!LC41="","",'Raw Data'!LC41)</f>
        <v/>
      </c>
      <c r="LP9" s="15" t="str">
        <f>IF('Raw Data'!LD41="","",'Raw Data'!LD41)</f>
        <v/>
      </c>
      <c r="LQ9" s="15" t="str">
        <f>IF('Raw Data'!LE41="","",'Raw Data'!LE41)</f>
        <v/>
      </c>
      <c r="LR9" s="15" t="str">
        <f>IF('Raw Data'!LF41="","",'Raw Data'!LF41)</f>
        <v/>
      </c>
      <c r="LS9" s="15" t="str">
        <f>IF('Raw Data'!LG41="","",'Raw Data'!LG41)</f>
        <v/>
      </c>
      <c r="LT9" s="15" t="str">
        <f>IF('Raw Data'!LH41="","",'Raw Data'!LH41)</f>
        <v/>
      </c>
      <c r="LU9" s="15" t="str">
        <f>IF('Raw Data'!LI41="","",'Raw Data'!LI41)</f>
        <v/>
      </c>
      <c r="LV9" s="15" t="str">
        <f>IF('Raw Data'!LJ41="","",'Raw Data'!LJ41)</f>
        <v/>
      </c>
      <c r="LW9" s="15" t="str">
        <f>IF('Raw Data'!LK41="","",'Raw Data'!LK41)</f>
        <v/>
      </c>
      <c r="LX9" s="15" t="str">
        <f>IF('Raw Data'!LL41="","",'Raw Data'!LL41)</f>
        <v/>
      </c>
      <c r="LY9" s="15" t="str">
        <f>IF('Raw Data'!LM41="","",'Raw Data'!LM41)</f>
        <v/>
      </c>
      <c r="LZ9" s="15" t="str">
        <f>IF('Raw Data'!LN41="","",'Raw Data'!LN41)</f>
        <v/>
      </c>
      <c r="MA9" s="15" t="str">
        <f>IF('Raw Data'!LO41="","",'Raw Data'!LO41)</f>
        <v/>
      </c>
      <c r="MB9" s="15" t="str">
        <f>IF('Raw Data'!LP41="","",'Raw Data'!LP41)</f>
        <v>oui</v>
      </c>
      <c r="MC9" s="15" t="str">
        <f>IF('Raw Data'!LQ41="","",'Raw Data'!LQ41)</f>
        <v/>
      </c>
      <c r="MD9" s="15" t="str">
        <f>IF('Raw Data'!LR41="","",'Raw Data'!LR41)</f>
        <v>Le viol existe dans la population mais aucun cas avec les deplacés internes</v>
      </c>
      <c r="ME9" s="15">
        <f>IF('Raw Data'!LS41="","",'Raw Data'!LS41)</f>
        <v>170008209</v>
      </c>
      <c r="MF9" s="15" t="str">
        <f>IF('Raw Data'!LT41="","",'Raw Data'!LT41)</f>
        <v>8362a8f2-dc3a-4d4e-a868-8db308208fe3</v>
      </c>
      <c r="MG9" s="15" t="str">
        <f>IF('Raw Data'!LU41="","",'Raw Data'!LU41)</f>
        <v>2021-04-06T16:18:23</v>
      </c>
      <c r="MH9" s="15" t="str">
        <f>IF('Raw Data'!LV41="","",'Raw Data'!LV41)</f>
        <v/>
      </c>
      <c r="MI9" s="15" t="str">
        <f>IF('Raw Data'!LW41="","",'Raw Data'!LW41)</f>
        <v>[]</v>
      </c>
      <c r="MJ9" s="15" t="str">
        <f>IF('Raw Data'!LX41="","",'Raw Data'!LX41)</f>
        <v>submitted_via_web</v>
      </c>
      <c r="MK9" s="15" t="str">
        <f>IF('Raw Data'!LY41="","",'Raw Data'!LY41)</f>
        <v>reach_niger</v>
      </c>
      <c r="ML9" s="15" t="str">
        <f>IF('Raw Data'!LZ41="","",'Raw Data'!LZ41)</f>
        <v/>
      </c>
      <c r="MM9" s="15">
        <f>IF('Raw Data'!MA41="","",'Raw Data'!MA41)</f>
        <v>43</v>
      </c>
    </row>
    <row r="10" spans="1:351" x14ac:dyDescent="0.3">
      <c r="A10" s="26" t="str">
        <f t="shared" si="0"/>
        <v>02a9caf3-64b7-41c2-874a-a83d26d75258</v>
      </c>
      <c r="B10" s="26" t="str">
        <f t="shared" si="1"/>
        <v>torodi</v>
      </c>
      <c r="C10" s="26" t="str">
        <f t="shared" si="2"/>
        <v>B</v>
      </c>
      <c r="D10" s="14" t="str">
        <f>IF('Raw Data'!A6="","",'Raw Data'!A6)</f>
        <v>2021-03-30T16:37:58.527+01:00</v>
      </c>
      <c r="E10" s="14" t="str">
        <f>IF('Raw Data'!B6="","",'Raw Data'!B6)</f>
        <v>2021-03-30T16:59:23.950+01:00</v>
      </c>
      <c r="F10" s="30">
        <v>44285.693032407406</v>
      </c>
      <c r="G10" s="30">
        <v>44285.707905092589</v>
      </c>
      <c r="H10" s="29">
        <f>VLOOKUP(A10,Audit[#All],2,FALSE)</f>
        <v>21.42</v>
      </c>
      <c r="I10" s="29">
        <f>VLOOKUP(A10,Audit[#All],3,FALSE)</f>
        <v>21.38</v>
      </c>
      <c r="J10" s="29">
        <f>VLOOKUP(A10,Audit[#All],4,FALSE)</f>
        <v>19.53</v>
      </c>
      <c r="K10" s="29">
        <f>VLOOKUP(A10,nb_questions[#All],2,FALSE)</f>
        <v>95</v>
      </c>
      <c r="L10" s="29">
        <f t="shared" si="3"/>
        <v>73</v>
      </c>
      <c r="M10" s="14" t="str">
        <f>IF('Raw Data'!C6="","",'Raw Data'!C6)</f>
        <v>2021-03-30</v>
      </c>
      <c r="N10" s="14" t="str">
        <f>IF('Raw Data'!D6="","",'Raw Data'!D6)</f>
        <v/>
      </c>
      <c r="O10" s="14" t="str">
        <f>IF('Raw Data'!E6="","",'Raw Data'!E6)</f>
        <v/>
      </c>
      <c r="P10" s="29" t="str">
        <f>VLOOKUP(A10,code_enqueteurs[#All],3,FALSE)</f>
        <v>B</v>
      </c>
      <c r="Q10" s="29" t="s">
        <v>1645</v>
      </c>
      <c r="R10" s="14" t="str">
        <f>IF('Raw Data'!F6="","",'Raw Data'!F6)</f>
        <v>Homme</v>
      </c>
      <c r="S10" s="15" t="str">
        <f>IF('Raw Data'!G6="","",'Raw Data'!G6)</f>
        <v>torodi</v>
      </c>
      <c r="T10" s="15" t="str">
        <f>IF('Raw Data'!H6="","",'Raw Data'!H6)</f>
        <v>torodi</v>
      </c>
      <c r="U10" s="15" t="str">
        <f>IF('Raw Data'!I6="","",'Raw Data'!I6)</f>
        <v>tondobon</v>
      </c>
      <c r="V10" s="15" t="str">
        <f>IF('Raw Data'!J6="","",'Raw Data'!J6)</f>
        <v/>
      </c>
      <c r="W10" s="15" t="str">
        <f>IF('Raw Data'!K6="","",'Raw Data'!K6)</f>
        <v/>
      </c>
      <c r="X10" s="15" t="str">
        <f>IF('Raw Data'!L6="","",'Raw Data'!L6)</f>
        <v/>
      </c>
      <c r="Y10" s="15" t="str">
        <f>IF('Raw Data'!M6="","",'Raw Data'!M6)</f>
        <v/>
      </c>
      <c r="Z10" s="15" t="str">
        <f>IF('Raw Data'!N6="","",'Raw Data'!N6)</f>
        <v/>
      </c>
      <c r="AA10" s="15" t="str">
        <f>IF('Raw Data'!O6="","",'Raw Data'!O6)</f>
        <v/>
      </c>
      <c r="AB10" s="15" t="str">
        <f>IF('Raw Data'!P6="","",'Raw Data'!P6)</f>
        <v/>
      </c>
      <c r="AC10" s="15" t="str">
        <f>IF('Raw Data'!Q6="","",'Raw Data'!Q6)</f>
        <v/>
      </c>
      <c r="AD10" s="15" t="str">
        <f>IF('Raw Data'!R6="","",'Raw Data'!R6)</f>
        <v>Homme</v>
      </c>
      <c r="AE10" s="15" t="str">
        <f>IF('Raw Data'!S6="","",'Raw Data'!S6)</f>
        <v>53</v>
      </c>
      <c r="AF10" s="15" t="str">
        <f>IF('Raw Data'!T6="","",'Raw Data'!T6)</f>
        <v>deplace_interne</v>
      </c>
      <c r="AG10" s="15" t="str">
        <f>IF('Raw Data'!U6="","",'Raw Data'!U6)</f>
        <v/>
      </c>
      <c r="AH10" s="15" t="str">
        <f>IF('Raw Data'!V6="","",'Raw Data'!V6)</f>
        <v/>
      </c>
      <c r="AI10" s="15" t="str">
        <f>IF('Raw Data'!W6="","",'Raw Data'!W6)</f>
        <v/>
      </c>
      <c r="AJ10" s="15" t="str">
        <f>IF('Raw Data'!X6="","",'Raw Data'!X6)</f>
        <v/>
      </c>
      <c r="AK10" s="15" t="str">
        <f>IF('Raw Data'!Y6="","",'Raw Data'!Y6)</f>
        <v/>
      </c>
      <c r="AL10" s="15" t="str">
        <f>IF('Raw Data'!Z6="","",'Raw Data'!Z6)</f>
        <v>niger</v>
      </c>
      <c r="AM10" s="15" t="str">
        <f>IF('Raw Data'!AA6="","",'Raw Data'!AA6)</f>
        <v>tillaberi</v>
      </c>
      <c r="AN10" s="15" t="str">
        <f>IF('Raw Data'!AB6="","",'Raw Data'!AB6)</f>
        <v>torodi</v>
      </c>
      <c r="AO10" s="15" t="str">
        <f>IF('Raw Data'!AC6="","",'Raw Data'!AC6)</f>
        <v/>
      </c>
      <c r="AP10" s="15" t="str">
        <f>IF('Raw Data'!AD6="","",'Raw Data'!AD6)</f>
        <v/>
      </c>
      <c r="AQ10" s="15" t="str">
        <f>IF('Raw Data'!AE6="","",'Raw Data'!AE6)</f>
        <v/>
      </c>
      <c r="AR10" s="15" t="str">
        <f>IF('Raw Data'!AF6="","",'Raw Data'!AF6)</f>
        <v/>
      </c>
      <c r="AS10" s="15" t="str">
        <f>IF('Raw Data'!AG6="","",'Raw Data'!AG6)</f>
        <v>oui</v>
      </c>
      <c r="AT10" s="31" t="s">
        <v>1623</v>
      </c>
      <c r="AU10" s="15" t="str">
        <f>IF('Raw Data'!AI6="","",'Raw Data'!AI6)</f>
        <v>0</v>
      </c>
      <c r="AV10" s="15" t="str">
        <f>IF('Raw Data'!AJ6="","",'Raw Data'!AJ6)</f>
        <v>0</v>
      </c>
      <c r="AW10" s="15" t="str">
        <f>IF('Raw Data'!AK6="","",'Raw Data'!AK6)</f>
        <v>0</v>
      </c>
      <c r="AX10" s="31">
        <v>1</v>
      </c>
      <c r="AY10" s="15" t="str">
        <f>IF('Raw Data'!AM6="","",'Raw Data'!AM6)</f>
        <v>0</v>
      </c>
      <c r="AZ10" s="15" t="str">
        <f>IF('Raw Data'!AN6="","",'Raw Data'!AN6)</f>
        <v>0</v>
      </c>
      <c r="BA10" s="15" t="str">
        <f>IF('Raw Data'!AO6="","",'Raw Data'!AO6)</f>
        <v>0</v>
      </c>
      <c r="BB10" s="15" t="str">
        <f>IF('Raw Data'!AP6="","",'Raw Data'!AP6)</f>
        <v>0</v>
      </c>
      <c r="BC10" s="15" t="str">
        <f>IF('Raw Data'!AQ6="","",'Raw Data'!AQ6)</f>
        <v>0</v>
      </c>
      <c r="BD10" s="15" t="str">
        <f>IF('Raw Data'!AR6="","",'Raw Data'!AR6)</f>
        <v>0</v>
      </c>
      <c r="BE10" s="15" t="str">
        <f>IF('Raw Data'!AS6="","",'Raw Data'!AS6)</f>
        <v>0</v>
      </c>
      <c r="BF10" s="31">
        <v>0</v>
      </c>
      <c r="BG10" s="15" t="str">
        <f>IF('Raw Data'!AU6="","",'Raw Data'!AU6)</f>
        <v>0</v>
      </c>
      <c r="BH10" s="15" t="str">
        <f>IF('Raw Data'!AV6="","",'Raw Data'!AV6)</f>
        <v>0</v>
      </c>
      <c r="BI10" s="31"/>
      <c r="BJ10" s="15" t="str">
        <f>IF('Raw Data'!AX6="","",'Raw Data'!AX6)</f>
        <v>Femmes Filles</v>
      </c>
      <c r="BK10" s="15" t="str">
        <f>IF('Raw Data'!AY6="","",'Raw Data'!AY6)</f>
        <v>0</v>
      </c>
      <c r="BL10" s="15" t="str">
        <f>IF('Raw Data'!AZ6="","",'Raw Data'!AZ6)</f>
        <v>0</v>
      </c>
      <c r="BM10" s="15" t="str">
        <f>IF('Raw Data'!BA6="","",'Raw Data'!BA6)</f>
        <v>1</v>
      </c>
      <c r="BN10" s="15" t="str">
        <f>IF('Raw Data'!BB6="","",'Raw Data'!BB6)</f>
        <v>0</v>
      </c>
      <c r="BO10" s="15" t="str">
        <f>IF('Raw Data'!BC6="","",'Raw Data'!BC6)</f>
        <v>1</v>
      </c>
      <c r="BP10" s="15" t="str">
        <f>IF('Raw Data'!BD6="","",'Raw Data'!BD6)</f>
        <v>0</v>
      </c>
      <c r="BQ10" s="15" t="str">
        <f>IF('Raw Data'!BE6="","",'Raw Data'!BE6)</f>
        <v>0</v>
      </c>
      <c r="BR10" s="15" t="str">
        <f>IF('Raw Data'!BF6="","",'Raw Data'!BF6)</f>
        <v>0</v>
      </c>
      <c r="BS10" s="15" t="str">
        <f>IF('Raw Data'!BG6="","",'Raw Data'!BG6)</f>
        <v>0</v>
      </c>
      <c r="BT10" s="15" t="str">
        <f>IF('Raw Data'!BH6="","",'Raw Data'!BH6)</f>
        <v>0</v>
      </c>
      <c r="BU10" s="15" t="str">
        <f>IF('Raw Data'!BI6="","",'Raw Data'!BI6)</f>
        <v>0</v>
      </c>
      <c r="BV10" s="15" t="str">
        <f>IF('Raw Data'!BJ6="","",'Raw Data'!BJ6)</f>
        <v>0</v>
      </c>
      <c r="BW10" s="15" t="str">
        <f>IF('Raw Data'!BK6="","",'Raw Data'!BK6)</f>
        <v>0</v>
      </c>
      <c r="BX10" s="15" t="str">
        <f>IF('Raw Data'!BL6="","",'Raw Data'!BL6)</f>
        <v>0</v>
      </c>
      <c r="BY10" s="15" t="str">
        <f>IF('Raw Data'!BM6="","",'Raw Data'!BM6)</f>
        <v/>
      </c>
      <c r="BZ10" s="15" t="str">
        <f>IF('Raw Data'!BN6="","",'Raw Data'!BN6)</f>
        <v>3</v>
      </c>
      <c r="CA10" s="15" t="str">
        <f>IF('Raw Data'!BO6="","",'Raw Data'!BO6)</f>
        <v>stable</v>
      </c>
      <c r="CB10" s="15" t="str">
        <f>IF('Raw Data'!BP6="","",'Raw Data'!BP6)</f>
        <v/>
      </c>
      <c r="CC10" s="15" t="str">
        <f>IF('Raw Data'!BQ6="","",'Raw Data'!BQ6)</f>
        <v>oui</v>
      </c>
      <c r="CD10" s="15" t="str">
        <f>IF('Raw Data'!BR6="","",'Raw Data'!BR6)</f>
        <v>mariage_force travail_force exploitations_enfant</v>
      </c>
      <c r="CE10" s="15" t="str">
        <f>IF('Raw Data'!BS6="","",'Raw Data'!BS6)</f>
        <v>0</v>
      </c>
      <c r="CF10" s="15" t="str">
        <f>IF('Raw Data'!BT6="","",'Raw Data'!BT6)</f>
        <v>0</v>
      </c>
      <c r="CG10" s="15" t="str">
        <f>IF('Raw Data'!BU6="","",'Raw Data'!BU6)</f>
        <v>0</v>
      </c>
      <c r="CH10" s="15" t="str">
        <f>IF('Raw Data'!BV6="","",'Raw Data'!BV6)</f>
        <v>0</v>
      </c>
      <c r="CI10" s="15" t="str">
        <f>IF('Raw Data'!BW6="","",'Raw Data'!BW6)</f>
        <v>0</v>
      </c>
      <c r="CJ10" s="15" t="str">
        <f>IF('Raw Data'!BX6="","",'Raw Data'!BX6)</f>
        <v>1</v>
      </c>
      <c r="CK10" s="15" t="str">
        <f>IF('Raw Data'!BY6="","",'Raw Data'!BY6)</f>
        <v>1</v>
      </c>
      <c r="CL10" s="15" t="str">
        <f>IF('Raw Data'!BZ6="","",'Raw Data'!BZ6)</f>
        <v>0</v>
      </c>
      <c r="CM10" s="15" t="str">
        <f>IF('Raw Data'!CA6="","",'Raw Data'!CA6)</f>
        <v>1</v>
      </c>
      <c r="CN10" s="15" t="str">
        <f>IF('Raw Data'!CB6="","",'Raw Data'!CB6)</f>
        <v>0</v>
      </c>
      <c r="CO10" s="15" t="str">
        <f>IF('Raw Data'!CC6="","",'Raw Data'!CC6)</f>
        <v>0</v>
      </c>
      <c r="CP10" s="15" t="str">
        <f>IF('Raw Data'!CD6="","",'Raw Data'!CD6)</f>
        <v>0</v>
      </c>
      <c r="CQ10" s="15" t="str">
        <f>IF('Raw Data'!CE6="","",'Raw Data'!CE6)</f>
        <v>0</v>
      </c>
      <c r="CR10" s="15" t="str">
        <f>IF('Raw Data'!CF6="","",'Raw Data'!CF6)</f>
        <v>0</v>
      </c>
      <c r="CS10" s="15" t="str">
        <f>IF('Raw Data'!CG6="","",'Raw Data'!CG6)</f>
        <v>0</v>
      </c>
      <c r="CT10" s="15" t="str">
        <f>IF('Raw Data'!CH6="","",'Raw Data'!CH6)</f>
        <v/>
      </c>
      <c r="CU10" s="15" t="str">
        <f>IF('Raw Data'!CI6="","",'Raw Data'!CI6)</f>
        <v>Filles Femmes Garçons</v>
      </c>
      <c r="CV10" s="15" t="str">
        <f>IF('Raw Data'!CJ6="","",'Raw Data'!CJ6)</f>
        <v>0</v>
      </c>
      <c r="CW10" s="15" t="str">
        <f>IF('Raw Data'!CK6="","",'Raw Data'!CK6)</f>
        <v>0</v>
      </c>
      <c r="CX10" s="15" t="str">
        <f>IF('Raw Data'!CL6="","",'Raw Data'!CL6)</f>
        <v>1</v>
      </c>
      <c r="CY10" s="15" t="str">
        <f>IF('Raw Data'!CM6="","",'Raw Data'!CM6)</f>
        <v>1</v>
      </c>
      <c r="CZ10" s="15" t="str">
        <f>IF('Raw Data'!CN6="","",'Raw Data'!CN6)</f>
        <v>1</v>
      </c>
      <c r="DA10" s="15" t="str">
        <f>IF('Raw Data'!CO6="","",'Raw Data'!CO6)</f>
        <v>0</v>
      </c>
      <c r="DB10" s="15" t="str">
        <f>IF('Raw Data'!CP6="","",'Raw Data'!CP6)</f>
        <v>0</v>
      </c>
      <c r="DC10" s="15" t="str">
        <f>IF('Raw Data'!CQ6="","",'Raw Data'!CQ6)</f>
        <v>0</v>
      </c>
      <c r="DD10" s="15" t="str">
        <f>IF('Raw Data'!CR6="","",'Raw Data'!CR6)</f>
        <v>0</v>
      </c>
      <c r="DE10" s="15" t="str">
        <f>IF('Raw Data'!CS6="","",'Raw Data'!CS6)</f>
        <v>0</v>
      </c>
      <c r="DF10" s="15" t="str">
        <f>IF('Raw Data'!CT6="","",'Raw Data'!CT6)</f>
        <v>0</v>
      </c>
      <c r="DG10" s="15" t="str">
        <f>IF('Raw Data'!CU6="","",'Raw Data'!CU6)</f>
        <v>0</v>
      </c>
      <c r="DH10" s="15" t="str">
        <f>IF('Raw Data'!CV6="","",'Raw Data'!CV6)</f>
        <v>0</v>
      </c>
      <c r="DI10" s="15" t="str">
        <f>IF('Raw Data'!CW6="","",'Raw Data'!CW6)</f>
        <v>0</v>
      </c>
      <c r="DJ10" s="15" t="str">
        <f>IF('Raw Data'!CX6="","",'Raw Data'!CX6)</f>
        <v/>
      </c>
      <c r="DK10" s="15" t="str">
        <f>IF('Raw Data'!CY6="","",'Raw Data'!CY6)</f>
        <v>4</v>
      </c>
      <c r="DL10" s="15" t="str">
        <f>IF('Raw Data'!CZ6="","",'Raw Data'!CZ6)</f>
        <v>augmente</v>
      </c>
      <c r="DM10" s="15" t="str">
        <f>IF('Raw Data'!DA6="","",'Raw Data'!DA6)</f>
        <v/>
      </c>
      <c r="DN10" s="15" t="str">
        <f>IF('Raw Data'!DB6="","",'Raw Data'!DB6)</f>
        <v>diminution_moyens_existence hausse_chomeurs</v>
      </c>
      <c r="DO10" s="15" t="str">
        <f>IF('Raw Data'!DC6="","",'Raw Data'!DC6)</f>
        <v>1</v>
      </c>
      <c r="DP10" s="15" t="str">
        <f>IF('Raw Data'!DD6="","",'Raw Data'!DD6)</f>
        <v>0</v>
      </c>
      <c r="DQ10" s="15" t="str">
        <f>IF('Raw Data'!DE6="","",'Raw Data'!DE6)</f>
        <v>0</v>
      </c>
      <c r="DR10" s="15" t="str">
        <f>IF('Raw Data'!DF6="","",'Raw Data'!DF6)</f>
        <v>0</v>
      </c>
      <c r="DS10" s="15" t="str">
        <f>IF('Raw Data'!DG6="","",'Raw Data'!DG6)</f>
        <v>0</v>
      </c>
      <c r="DT10" s="15" t="str">
        <f>IF('Raw Data'!DH6="","",'Raw Data'!DH6)</f>
        <v>0</v>
      </c>
      <c r="DU10" s="15" t="str">
        <f>IF('Raw Data'!DI6="","",'Raw Data'!DI6)</f>
        <v>1</v>
      </c>
      <c r="DV10" s="15" t="str">
        <f>IF('Raw Data'!DJ6="","",'Raw Data'!DJ6)</f>
        <v>0</v>
      </c>
      <c r="DW10" s="15" t="str">
        <f>IF('Raw Data'!DK6="","",'Raw Data'!DK6)</f>
        <v>0</v>
      </c>
      <c r="DX10" s="15" t="str">
        <f>IF('Raw Data'!DL6="","",'Raw Data'!DL6)</f>
        <v>0</v>
      </c>
      <c r="DY10" s="15" t="str">
        <f>IF('Raw Data'!DM6="","",'Raw Data'!DM6)</f>
        <v/>
      </c>
      <c r="DZ10" s="15" t="str">
        <f>IF('Raw Data'!DN6="","",'Raw Data'!DN6)</f>
        <v/>
      </c>
      <c r="EA10" s="15" t="str">
        <f>IF('Raw Data'!DO6="","",'Raw Data'!DO6)</f>
        <v/>
      </c>
      <c r="EB10" s="15" t="str">
        <f>IF('Raw Data'!DP6="","",'Raw Data'!DP6)</f>
        <v/>
      </c>
      <c r="EC10" s="15" t="str">
        <f>IF('Raw Data'!DQ6="","",'Raw Data'!DQ6)</f>
        <v/>
      </c>
      <c r="ED10" s="15" t="str">
        <f>IF('Raw Data'!DR6="","",'Raw Data'!DR6)</f>
        <v/>
      </c>
      <c r="EE10" s="15" t="str">
        <f>IF('Raw Data'!DS6="","",'Raw Data'!DS6)</f>
        <v/>
      </c>
      <c r="EF10" s="15" t="str">
        <f>IF('Raw Data'!DT6="","",'Raw Data'!DT6)</f>
        <v/>
      </c>
      <c r="EG10" s="15" t="str">
        <f>IF('Raw Data'!DU6="","",'Raw Data'!DU6)</f>
        <v/>
      </c>
      <c r="EH10" s="15" t="str">
        <f>IF('Raw Data'!DV6="","",'Raw Data'!DV6)</f>
        <v/>
      </c>
      <c r="EI10" s="15" t="str">
        <f>IF('Raw Data'!DW6="","",'Raw Data'!DW6)</f>
        <v/>
      </c>
      <c r="EJ10" s="15" t="str">
        <f>IF('Raw Data'!DX6="","",'Raw Data'!DX6)</f>
        <v/>
      </c>
      <c r="EK10" s="15" t="str">
        <f>IF('Raw Data'!DY6="","",'Raw Data'!DY6)</f>
        <v/>
      </c>
      <c r="EL10" s="15" t="str">
        <f>IF('Raw Data'!DZ6="","",'Raw Data'!DZ6)</f>
        <v>Integration_com_hote</v>
      </c>
      <c r="EM10" s="15" t="str">
        <f>IF('Raw Data'!EA6="","",'Raw Data'!EA6)</f>
        <v>0</v>
      </c>
      <c r="EN10" s="15" t="str">
        <f>IF('Raw Data'!EB6="","",'Raw Data'!EB6)</f>
        <v>1</v>
      </c>
      <c r="EO10" s="15" t="str">
        <f>IF('Raw Data'!EC6="","",'Raw Data'!EC6)</f>
        <v>0</v>
      </c>
      <c r="EP10" s="15" t="str">
        <f>IF('Raw Data'!ED6="","",'Raw Data'!ED6)</f>
        <v>0</v>
      </c>
      <c r="EQ10" s="15" t="str">
        <f>IF('Raw Data'!EE6="","",'Raw Data'!EE6)</f>
        <v>0</v>
      </c>
      <c r="ER10" s="15" t="str">
        <f>IF('Raw Data'!EF6="","",'Raw Data'!EF6)</f>
        <v>0</v>
      </c>
      <c r="ES10" s="15" t="str">
        <f>IF('Raw Data'!EG6="","",'Raw Data'!EG6)</f>
        <v>0</v>
      </c>
      <c r="ET10" s="15" t="str">
        <f>IF('Raw Data'!EH6="","",'Raw Data'!EH6)</f>
        <v>0</v>
      </c>
      <c r="EU10" s="15" t="str">
        <f>IF('Raw Data'!EI6="","",'Raw Data'!EI6)</f>
        <v>0</v>
      </c>
      <c r="EV10" s="15" t="str">
        <f>IF('Raw Data'!EJ6="","",'Raw Data'!EJ6)</f>
        <v/>
      </c>
      <c r="EW10" s="15" t="str">
        <f>IF('Raw Data'!EK6="","",'Raw Data'!EK6)</f>
        <v/>
      </c>
      <c r="EX10" s="15" t="str">
        <f>IF('Raw Data'!EL6="","",'Raw Data'!EL6)</f>
        <v>Aucun</v>
      </c>
      <c r="EY10" s="15" t="str">
        <f>IF('Raw Data'!EM6="","",'Raw Data'!EM6)</f>
        <v>0</v>
      </c>
      <c r="EZ10" s="15" t="str">
        <f>IF('Raw Data'!EN6="","",'Raw Data'!EN6)</f>
        <v>0</v>
      </c>
      <c r="FA10" s="15" t="str">
        <f>IF('Raw Data'!EO6="","",'Raw Data'!EO6)</f>
        <v>0</v>
      </c>
      <c r="FB10" s="15" t="str">
        <f>IF('Raw Data'!EP6="","",'Raw Data'!EP6)</f>
        <v>0</v>
      </c>
      <c r="FC10" s="15" t="str">
        <f>IF('Raw Data'!EQ6="","",'Raw Data'!EQ6)</f>
        <v>0</v>
      </c>
      <c r="FD10" s="15" t="str">
        <f>IF('Raw Data'!ER6="","",'Raw Data'!ER6)</f>
        <v>0</v>
      </c>
      <c r="FE10" s="15" t="str">
        <f>IF('Raw Data'!ES6="","",'Raw Data'!ES6)</f>
        <v>0</v>
      </c>
      <c r="FF10" s="15" t="str">
        <f>IF('Raw Data'!ET6="","",'Raw Data'!ET6)</f>
        <v>0</v>
      </c>
      <c r="FG10" s="15" t="str">
        <f>IF('Raw Data'!EU6="","",'Raw Data'!EU6)</f>
        <v>0</v>
      </c>
      <c r="FH10" s="15" t="str">
        <f>IF('Raw Data'!EV6="","",'Raw Data'!EV6)</f>
        <v>1</v>
      </c>
      <c r="FI10" s="15" t="str">
        <f>IF('Raw Data'!EW6="","",'Raw Data'!EW6)</f>
        <v/>
      </c>
      <c r="FJ10" s="15" t="str">
        <f>IF('Raw Data'!EX6="","",'Raw Data'!EX6)</f>
        <v>oui</v>
      </c>
      <c r="FK10" s="15" t="str">
        <f>IF('Raw Data'!EY6="","",'Raw Data'!EY6)</f>
        <v>manif_sociales Chef_village</v>
      </c>
      <c r="FL10" s="15" t="str">
        <f>IF('Raw Data'!EZ6="","",'Raw Data'!EZ6)</f>
        <v>0</v>
      </c>
      <c r="FM10" s="15" t="str">
        <f>IF('Raw Data'!FA6="","",'Raw Data'!FA6)</f>
        <v>0</v>
      </c>
      <c r="FN10" s="15" t="str">
        <f>IF('Raw Data'!FB6="","",'Raw Data'!FB6)</f>
        <v>0</v>
      </c>
      <c r="FO10" s="15" t="str">
        <f>IF('Raw Data'!FC6="","",'Raw Data'!FC6)</f>
        <v>1</v>
      </c>
      <c r="FP10" s="15" t="str">
        <f>IF('Raw Data'!FD6="","",'Raw Data'!FD6)</f>
        <v>1</v>
      </c>
      <c r="FQ10" s="15" t="str">
        <f>IF('Raw Data'!FE6="","",'Raw Data'!FE6)</f>
        <v>0</v>
      </c>
      <c r="FR10" s="15" t="str">
        <f>IF('Raw Data'!FF6="","",'Raw Data'!FF6)</f>
        <v>0</v>
      </c>
      <c r="FS10" s="15" t="str">
        <f>IF('Raw Data'!FG6="","",'Raw Data'!FG6)</f>
        <v>0</v>
      </c>
      <c r="FT10" s="15" t="str">
        <f>IF('Raw Data'!FH6="","",'Raw Data'!FH6)</f>
        <v>0</v>
      </c>
      <c r="FU10" s="15" t="str">
        <f>IF('Raw Data'!FI6="","",'Raw Data'!FI6)</f>
        <v>0</v>
      </c>
      <c r="FV10" s="15" t="str">
        <f>IF('Raw Data'!FJ6="","",'Raw Data'!FJ6)</f>
        <v>0</v>
      </c>
      <c r="FW10" s="15" t="str">
        <f>IF('Raw Data'!FK6="","",'Raw Data'!FK6)</f>
        <v>0</v>
      </c>
      <c r="FX10" s="15" t="str">
        <f>IF('Raw Data'!FL6="","",'Raw Data'!FL6)</f>
        <v>0</v>
      </c>
      <c r="FY10" s="15" t="str">
        <f>IF('Raw Data'!FM6="","",'Raw Data'!FM6)</f>
        <v>0</v>
      </c>
      <c r="FZ10" s="15" t="str">
        <f>IF('Raw Data'!FN6="","",'Raw Data'!FN6)</f>
        <v/>
      </c>
      <c r="GA10" s="15" t="str">
        <f>IF('Raw Data'!FO6="","",'Raw Data'!FO6)</f>
        <v>oui_moitie</v>
      </c>
      <c r="GB10" s="15" t="str">
        <f>IF('Raw Data'!FP6="","",'Raw Data'!FP6)</f>
        <v>oui_moitie</v>
      </c>
      <c r="GC10" s="15" t="str">
        <f>IF('Raw Data'!FQ6="","",'Raw Data'!FQ6)</f>
        <v>non_utilisation</v>
      </c>
      <c r="GD10" s="15" t="str">
        <f>IF('Raw Data'!FR6="","",'Raw Data'!FR6)</f>
        <v>0</v>
      </c>
      <c r="GE10" s="15" t="str">
        <f>IF('Raw Data'!FS6="","",'Raw Data'!FS6)</f>
        <v>0</v>
      </c>
      <c r="GF10" s="15" t="str">
        <f>IF('Raw Data'!FT6="","",'Raw Data'!FT6)</f>
        <v>0</v>
      </c>
      <c r="GG10" s="15" t="str">
        <f>IF('Raw Data'!FU6="","",'Raw Data'!FU6)</f>
        <v>1</v>
      </c>
      <c r="GH10" s="15" t="str">
        <f>IF('Raw Data'!FV6="","",'Raw Data'!FV6)</f>
        <v>0</v>
      </c>
      <c r="GI10" s="15" t="str">
        <f>IF('Raw Data'!FW6="","",'Raw Data'!FW6)</f>
        <v>0</v>
      </c>
      <c r="GJ10" s="15" t="str">
        <f>IF('Raw Data'!FX6="","",'Raw Data'!FX6)</f>
        <v>0</v>
      </c>
      <c r="GK10" s="15" t="str">
        <f>IF('Raw Data'!FY6="","",'Raw Data'!FY6)</f>
        <v>0</v>
      </c>
      <c r="GL10" s="15" t="str">
        <f>IF('Raw Data'!FZ6="","",'Raw Data'!FZ6)</f>
        <v/>
      </c>
      <c r="GM10" s="15" t="str">
        <f>IF('Raw Data'!GA6="","",'Raw Data'!GA6)</f>
        <v>minorite</v>
      </c>
      <c r="GN10" s="15" t="str">
        <f>IF('Raw Data'!GB6="","",'Raw Data'!GB6)</f>
        <v>minorite</v>
      </c>
      <c r="GO10" s="15" t="str">
        <f>IF('Raw Data'!GC6="","",'Raw Data'!GC6)</f>
        <v>Education Services_de_sante</v>
      </c>
      <c r="GP10" s="15" t="str">
        <f>IF('Raw Data'!GD6="","",'Raw Data'!GD6)</f>
        <v>0</v>
      </c>
      <c r="GQ10" s="15" t="str">
        <f>IF('Raw Data'!GE6="","",'Raw Data'!GE6)</f>
        <v>1</v>
      </c>
      <c r="GR10" s="15" t="str">
        <f>IF('Raw Data'!GF6="","",'Raw Data'!GF6)</f>
        <v>0</v>
      </c>
      <c r="GS10" s="15" t="str">
        <f>IF('Raw Data'!GG6="","",'Raw Data'!GG6)</f>
        <v>1</v>
      </c>
      <c r="GT10" s="15" t="str">
        <f>IF('Raw Data'!GH6="","",'Raw Data'!GH6)</f>
        <v>0</v>
      </c>
      <c r="GU10" s="15" t="str">
        <f>IF('Raw Data'!GI6="","",'Raw Data'!GI6)</f>
        <v>0</v>
      </c>
      <c r="GV10" s="15" t="str">
        <f>IF('Raw Data'!GJ6="","",'Raw Data'!GJ6)</f>
        <v>0</v>
      </c>
      <c r="GW10" s="15" t="str">
        <f>IF('Raw Data'!GK6="","",'Raw Data'!GK6)</f>
        <v>0</v>
      </c>
      <c r="GX10" s="15" t="str">
        <f>IF('Raw Data'!GL6="","",'Raw Data'!GL6)</f>
        <v>0</v>
      </c>
      <c r="GY10" s="15" t="str">
        <f>IF('Raw Data'!GM6="","",'Raw Data'!GM6)</f>
        <v/>
      </c>
      <c r="GZ10" s="15" t="str">
        <f>IF('Raw Data'!GN6="","",'Raw Data'!GN6)</f>
        <v>oui_minorite</v>
      </c>
      <c r="HA10" s="15" t="str">
        <f>IF('Raw Data'!GO6="","",'Raw Data'!GO6)</f>
        <v>oui_minorite</v>
      </c>
      <c r="HB10" s="15" t="str">
        <f>IF('Raw Data'!GP6="","",'Raw Data'!GP6)</f>
        <v>amelioration_futur permet_obtenir_conseils</v>
      </c>
      <c r="HC10" s="15" t="str">
        <f>IF('Raw Data'!GQ6="","",'Raw Data'!GQ6)</f>
        <v>1</v>
      </c>
      <c r="HD10" s="15" t="str">
        <f>IF('Raw Data'!GR6="","",'Raw Data'!GR6)</f>
        <v>0</v>
      </c>
      <c r="HE10" s="15" t="str">
        <f>IF('Raw Data'!GS6="","",'Raw Data'!GS6)</f>
        <v>1</v>
      </c>
      <c r="HF10" s="15" t="str">
        <f>IF('Raw Data'!GT6="","",'Raw Data'!GT6)</f>
        <v>0</v>
      </c>
      <c r="HG10" s="15" t="str">
        <f>IF('Raw Data'!GU6="","",'Raw Data'!GU6)</f>
        <v>0</v>
      </c>
      <c r="HH10" s="15" t="str">
        <f>IF('Raw Data'!GV6="","",'Raw Data'!GV6)</f>
        <v>0</v>
      </c>
      <c r="HI10" s="15" t="str">
        <f>IF('Raw Data'!GW6="","",'Raw Data'!GW6)</f>
        <v>0</v>
      </c>
      <c r="HJ10" s="15" t="str">
        <f>IF('Raw Data'!GX6="","",'Raw Data'!GX6)</f>
        <v>0</v>
      </c>
      <c r="HK10" s="15" t="str">
        <f>IF('Raw Data'!GY6="","",'Raw Data'!GY6)</f>
        <v/>
      </c>
      <c r="HL10" s="15" t="str">
        <f>IF('Raw Data'!GZ6="","",'Raw Data'!GZ6)</f>
        <v>ne_contribue_pas ne_repond_pas</v>
      </c>
      <c r="HM10" s="15" t="str">
        <f>IF('Raw Data'!HA6="","",'Raw Data'!HA6)</f>
        <v>1</v>
      </c>
      <c r="HN10" s="15" t="str">
        <f>IF('Raw Data'!HB6="","",'Raw Data'!HB6)</f>
        <v>1</v>
      </c>
      <c r="HO10" s="15" t="str">
        <f>IF('Raw Data'!HC6="","",'Raw Data'!HC6)</f>
        <v>0</v>
      </c>
      <c r="HP10" s="15" t="str">
        <f>IF('Raw Data'!HD6="","",'Raw Data'!HD6)</f>
        <v>0</v>
      </c>
      <c r="HQ10" s="15" t="str">
        <f>IF('Raw Data'!HE6="","",'Raw Data'!HE6)</f>
        <v>0</v>
      </c>
      <c r="HR10" s="15" t="str">
        <f>IF('Raw Data'!HF6="","",'Raw Data'!HF6)</f>
        <v>0</v>
      </c>
      <c r="HS10" s="15" t="str">
        <f>IF('Raw Data'!HG6="","",'Raw Data'!HG6)</f>
        <v/>
      </c>
      <c r="HT10" s="15" t="str">
        <f>IF('Raw Data'!HH6="","",'Raw Data'!HH6)</f>
        <v/>
      </c>
      <c r="HU10" s="15" t="str">
        <f>IF('Raw Data'!HI6="","",'Raw Data'!HI6)</f>
        <v>non</v>
      </c>
      <c r="HV10" s="15" t="str">
        <f>IF('Raw Data'!HJ6="","",'Raw Data'!HJ6)</f>
        <v/>
      </c>
      <c r="HW10" s="15" t="str">
        <f>IF('Raw Data'!HK6="","",'Raw Data'!HK6)</f>
        <v/>
      </c>
      <c r="HX10" s="15" t="str">
        <f>IF('Raw Data'!HL6="","",'Raw Data'!HL6)</f>
        <v/>
      </c>
      <c r="HY10" s="15" t="str">
        <f>IF('Raw Data'!HM6="","",'Raw Data'!HM6)</f>
        <v/>
      </c>
      <c r="HZ10" s="15" t="str">
        <f>IF('Raw Data'!HN6="","",'Raw Data'!HN6)</f>
        <v/>
      </c>
      <c r="IA10" s="15" t="str">
        <f>IF('Raw Data'!HO6="","",'Raw Data'!HO6)</f>
        <v/>
      </c>
      <c r="IB10" s="15" t="str">
        <f>IF('Raw Data'!HP6="","",'Raw Data'!HP6)</f>
        <v/>
      </c>
      <c r="IC10" s="15" t="str">
        <f>IF('Raw Data'!HQ6="","",'Raw Data'!HQ6)</f>
        <v/>
      </c>
      <c r="ID10" s="15" t="str">
        <f>IF('Raw Data'!HR6="","",'Raw Data'!HR6)</f>
        <v/>
      </c>
      <c r="IE10" s="15" t="str">
        <f>IF('Raw Data'!HS6="","",'Raw Data'!HS6)</f>
        <v/>
      </c>
      <c r="IF10" s="15" t="str">
        <f>IF('Raw Data'!HT6="","",'Raw Data'!HT6)</f>
        <v/>
      </c>
      <c r="IG10" s="15" t="str">
        <f>IF('Raw Data'!HU6="","",'Raw Data'!HU6)</f>
        <v/>
      </c>
      <c r="IH10" s="15" t="str">
        <f>IF('Raw Data'!HV6="","",'Raw Data'!HV6)</f>
        <v>oui</v>
      </c>
      <c r="II10" s="15" t="str">
        <f>IF('Raw Data'!HW6="","",'Raw Data'!HW6)</f>
        <v/>
      </c>
      <c r="IJ10" s="15" t="str">
        <f>IF('Raw Data'!HX6="","",'Raw Data'!HX6)</f>
        <v>Hommes</v>
      </c>
      <c r="IK10" s="15" t="str">
        <f>IF('Raw Data'!HY6="","",'Raw Data'!HY6)</f>
        <v>0</v>
      </c>
      <c r="IL10" s="15" t="str">
        <f>IF('Raw Data'!HZ6="","",'Raw Data'!HZ6)</f>
        <v>0</v>
      </c>
      <c r="IM10" s="15" t="str">
        <f>IF('Raw Data'!IA6="","",'Raw Data'!IA6)</f>
        <v>0</v>
      </c>
      <c r="IN10" s="15" t="str">
        <f>IF('Raw Data'!IB6="","",'Raw Data'!IB6)</f>
        <v>0</v>
      </c>
      <c r="IO10" s="15" t="str">
        <f>IF('Raw Data'!IC6="","",'Raw Data'!IC6)</f>
        <v>0</v>
      </c>
      <c r="IP10" s="15" t="str">
        <f>IF('Raw Data'!ID6="","",'Raw Data'!ID6)</f>
        <v>1</v>
      </c>
      <c r="IQ10" s="15" t="str">
        <f>IF('Raw Data'!IE6="","",'Raw Data'!IE6)</f>
        <v>0</v>
      </c>
      <c r="IR10" s="15" t="str">
        <f>IF('Raw Data'!IF6="","",'Raw Data'!IF6)</f>
        <v>0</v>
      </c>
      <c r="IS10" s="15" t="str">
        <f>IF('Raw Data'!IG6="","",'Raw Data'!IG6)</f>
        <v>0</v>
      </c>
      <c r="IT10" s="15" t="str">
        <f>IF('Raw Data'!IH6="","",'Raw Data'!IH6)</f>
        <v>0</v>
      </c>
      <c r="IU10" s="15" t="str">
        <f>IF('Raw Data'!II6="","",'Raw Data'!II6)</f>
        <v>0</v>
      </c>
      <c r="IV10" s="15" t="str">
        <f>IF('Raw Data'!IJ6="","",'Raw Data'!IJ6)</f>
        <v>0</v>
      </c>
      <c r="IW10" s="15" t="str">
        <f>IF('Raw Data'!IK6="","",'Raw Data'!IK6)</f>
        <v>0</v>
      </c>
      <c r="IX10" s="15" t="str">
        <f>IF('Raw Data'!IL6="","",'Raw Data'!IL6)</f>
        <v>0</v>
      </c>
      <c r="IY10" s="15" t="str">
        <f>IF('Raw Data'!IM6="","",'Raw Data'!IM6)</f>
        <v/>
      </c>
      <c r="IZ10" s="15" t="str">
        <f>IF('Raw Data'!IN6="","",'Raw Data'!IN6)</f>
        <v>11</v>
      </c>
      <c r="JA10" s="15" t="str">
        <f>IF('Raw Data'!IO6="","",'Raw Data'!IO6)</f>
        <v>Services_medicaux Services_educatifs</v>
      </c>
      <c r="JB10" s="15" t="str">
        <f>IF('Raw Data'!IP6="","",'Raw Data'!IP6)</f>
        <v>0</v>
      </c>
      <c r="JC10" s="15" t="str">
        <f>IF('Raw Data'!IQ6="","",'Raw Data'!IQ6)</f>
        <v>1</v>
      </c>
      <c r="JD10" s="15" t="str">
        <f>IF('Raw Data'!IR6="","",'Raw Data'!IR6)</f>
        <v>1</v>
      </c>
      <c r="JE10" s="15" t="str">
        <f>IF('Raw Data'!IS6="","",'Raw Data'!IS6)</f>
        <v>0</v>
      </c>
      <c r="JF10" s="15" t="str">
        <f>IF('Raw Data'!IT6="","",'Raw Data'!IT6)</f>
        <v>0</v>
      </c>
      <c r="JG10" s="15" t="str">
        <f>IF('Raw Data'!IU6="","",'Raw Data'!IU6)</f>
        <v>0</v>
      </c>
      <c r="JH10" s="15" t="str">
        <f>IF('Raw Data'!IV6="","",'Raw Data'!IV6)</f>
        <v>0</v>
      </c>
      <c r="JI10" s="15" t="str">
        <f>IF('Raw Data'!IW6="","",'Raw Data'!IW6)</f>
        <v>0</v>
      </c>
      <c r="JJ10" s="15" t="str">
        <f>IF('Raw Data'!IX6="","",'Raw Data'!IX6)</f>
        <v>0</v>
      </c>
      <c r="JK10" s="15" t="str">
        <f>IF('Raw Data'!IY6="","",'Raw Data'!IY6)</f>
        <v>0</v>
      </c>
      <c r="JL10" s="15" t="str">
        <f>IF('Raw Data'!IZ6="","",'Raw Data'!IZ6)</f>
        <v/>
      </c>
      <c r="JM10" s="15" t="str">
        <f>IF('Raw Data'!JA6="","",'Raw Data'!JA6)</f>
        <v>reorientation</v>
      </c>
      <c r="JN10" s="15" t="str">
        <f>IF('Raw Data'!JB6="","",'Raw Data'!JB6)</f>
        <v>0</v>
      </c>
      <c r="JO10" s="15" t="str">
        <f>IF('Raw Data'!JC6="","",'Raw Data'!JC6)</f>
        <v>1</v>
      </c>
      <c r="JP10" s="15" t="str">
        <f>IF('Raw Data'!JD6="","",'Raw Data'!JD6)</f>
        <v>0</v>
      </c>
      <c r="JQ10" s="15" t="str">
        <f>IF('Raw Data'!JE6="","",'Raw Data'!JE6)</f>
        <v>0</v>
      </c>
      <c r="JR10" s="15" t="str">
        <f>IF('Raw Data'!JF6="","",'Raw Data'!JF6)</f>
        <v>0</v>
      </c>
      <c r="JS10" s="15" t="str">
        <f>IF('Raw Data'!JG6="","",'Raw Data'!JG6)</f>
        <v>0</v>
      </c>
      <c r="JT10" s="15" t="str">
        <f>IF('Raw Data'!JH6="","",'Raw Data'!JH6)</f>
        <v/>
      </c>
      <c r="JU10" s="15" t="str">
        <f>IF('Raw Data'!JI6="","",'Raw Data'!JI6)</f>
        <v/>
      </c>
      <c r="JV10" s="15" t="str">
        <f>IF('Raw Data'!JJ6="","",'Raw Data'!JJ6)</f>
        <v/>
      </c>
      <c r="JW10" s="15" t="str">
        <f>IF('Raw Data'!JK6="","",'Raw Data'!JK6)</f>
        <v/>
      </c>
      <c r="JX10" s="15" t="str">
        <f>IF('Raw Data'!JL6="","",'Raw Data'!JL6)</f>
        <v/>
      </c>
      <c r="JY10" s="15" t="str">
        <f>IF('Raw Data'!JM6="","",'Raw Data'!JM6)</f>
        <v/>
      </c>
      <c r="JZ10" s="15" t="str">
        <f>IF('Raw Data'!JN6="","",'Raw Data'!JN6)</f>
        <v/>
      </c>
      <c r="KA10" s="15" t="str">
        <f>IF('Raw Data'!JO6="","",'Raw Data'!JO6)</f>
        <v/>
      </c>
      <c r="KB10" s="15" t="str">
        <f>IF('Raw Data'!JP6="","",'Raw Data'!JP6)</f>
        <v/>
      </c>
      <c r="KC10" s="15" t="str">
        <f>IF('Raw Data'!JQ6="","",'Raw Data'!JQ6)</f>
        <v/>
      </c>
      <c r="KD10" s="15" t="str">
        <f>IF('Raw Data'!JR6="","",'Raw Data'!JR6)</f>
        <v/>
      </c>
      <c r="KE10" s="15" t="str">
        <f>IF('Raw Data'!JS6="","",'Raw Data'!JS6)</f>
        <v/>
      </c>
      <c r="KF10" s="15" t="str">
        <f>IF('Raw Data'!JT6="","",'Raw Data'!JT6)</f>
        <v>medical juridique</v>
      </c>
      <c r="KG10" s="15" t="str">
        <f>IF('Raw Data'!JU6="","",'Raw Data'!JU6)</f>
        <v>1</v>
      </c>
      <c r="KH10" s="15" t="str">
        <f>IF('Raw Data'!JV6="","",'Raw Data'!JV6)</f>
        <v>0</v>
      </c>
      <c r="KI10" s="15" t="str">
        <f>IF('Raw Data'!JW6="","",'Raw Data'!JW6)</f>
        <v>0</v>
      </c>
      <c r="KJ10" s="15" t="str">
        <f>IF('Raw Data'!JX6="","",'Raw Data'!JX6)</f>
        <v>1</v>
      </c>
      <c r="KK10" s="15" t="str">
        <f>IF('Raw Data'!JY6="","",'Raw Data'!JY6)</f>
        <v>0</v>
      </c>
      <c r="KL10" s="15" t="str">
        <f>IF('Raw Data'!JZ6="","",'Raw Data'!JZ6)</f>
        <v>0</v>
      </c>
      <c r="KM10" s="15" t="str">
        <f>IF('Raw Data'!KA6="","",'Raw Data'!KA6)</f>
        <v>0</v>
      </c>
      <c r="KN10" s="15" t="str">
        <f>IF('Raw Data'!KB6="","",'Raw Data'!KB6)</f>
        <v>0</v>
      </c>
      <c r="KO10" s="15" t="str">
        <f>IF('Raw Data'!KC6="","",'Raw Data'!KC6)</f>
        <v>0</v>
      </c>
      <c r="KP10" s="15" t="str">
        <f>IF('Raw Data'!KD6="","",'Raw Data'!KD6)</f>
        <v/>
      </c>
      <c r="KQ10" s="15" t="str">
        <f>IF('Raw Data'!KE6="","",'Raw Data'!KE6)</f>
        <v/>
      </c>
      <c r="KR10" s="15" t="str">
        <f>IF('Raw Data'!KF6="","",'Raw Data'!KF6)</f>
        <v>oui</v>
      </c>
      <c r="KS10" s="15" t="str">
        <f>IF('Raw Data'!KG6="","",'Raw Data'!KG6)</f>
        <v>manque_moyens manque_personnes manque_d'information probleme_orientation manque_definition</v>
      </c>
      <c r="KT10" s="15" t="str">
        <f>IF('Raw Data'!KH6="","",'Raw Data'!KH6)</f>
        <v>1</v>
      </c>
      <c r="KU10" s="15" t="str">
        <f>IF('Raw Data'!KI6="","",'Raw Data'!KI6)</f>
        <v>1</v>
      </c>
      <c r="KV10" s="15" t="str">
        <f>IF('Raw Data'!KJ6="","",'Raw Data'!KJ6)</f>
        <v>1</v>
      </c>
      <c r="KW10" s="15" t="str">
        <f>IF('Raw Data'!KK6="","",'Raw Data'!KK6)</f>
        <v>1</v>
      </c>
      <c r="KX10" s="15" t="str">
        <f>IF('Raw Data'!KL6="","",'Raw Data'!KL6)</f>
        <v>0</v>
      </c>
      <c r="KY10" s="15" t="str">
        <f>IF('Raw Data'!KM6="","",'Raw Data'!KM6)</f>
        <v>0</v>
      </c>
      <c r="KZ10" s="15" t="str">
        <f>IF('Raw Data'!KN6="","",'Raw Data'!KN6)</f>
        <v>0</v>
      </c>
      <c r="LA10" s="15" t="str">
        <f>IF('Raw Data'!KO6="","",'Raw Data'!KO6)</f>
        <v>1</v>
      </c>
      <c r="LB10" s="15" t="str">
        <f>IF('Raw Data'!KP6="","",'Raw Data'!KP6)</f>
        <v>0</v>
      </c>
      <c r="LC10" s="15" t="str">
        <f>IF('Raw Data'!KQ6="","",'Raw Data'!KQ6)</f>
        <v>0</v>
      </c>
      <c r="LD10" s="15" t="str">
        <f>IF('Raw Data'!KR6="","",'Raw Data'!KR6)</f>
        <v>0</v>
      </c>
      <c r="LE10" s="15" t="str">
        <f>IF('Raw Data'!KS6="","",'Raw Data'!KS6)</f>
        <v/>
      </c>
      <c r="LF10" s="15" t="str">
        <f>IF('Raw Data'!KT6="","",'Raw Data'!KT6)</f>
        <v>pb_secu pb_coordination</v>
      </c>
      <c r="LG10" s="15" t="str">
        <f>IF('Raw Data'!KU6="","",'Raw Data'!KU6)</f>
        <v>0</v>
      </c>
      <c r="LH10" s="15" t="str">
        <f>IF('Raw Data'!KV6="","",'Raw Data'!KV6)</f>
        <v>0</v>
      </c>
      <c r="LI10" s="15" t="str">
        <f>IF('Raw Data'!KW6="","",'Raw Data'!KW6)</f>
        <v>1</v>
      </c>
      <c r="LJ10" s="15" t="str">
        <f>IF('Raw Data'!KX6="","",'Raw Data'!KX6)</f>
        <v>1</v>
      </c>
      <c r="LK10" s="15" t="str">
        <f>IF('Raw Data'!KY6="","",'Raw Data'!KY6)</f>
        <v>0</v>
      </c>
      <c r="LL10" s="15" t="str">
        <f>IF('Raw Data'!KZ6="","",'Raw Data'!KZ6)</f>
        <v>0</v>
      </c>
      <c r="LM10" s="15" t="str">
        <f>IF('Raw Data'!LA6="","",'Raw Data'!LA6)</f>
        <v/>
      </c>
      <c r="LN10" s="15" t="str">
        <f>IF('Raw Data'!LB6="","",'Raw Data'!LB6)</f>
        <v>non</v>
      </c>
      <c r="LO10" s="15" t="str">
        <f>IF('Raw Data'!LC6="","",'Raw Data'!LC6)</f>
        <v/>
      </c>
      <c r="LP10" s="15" t="str">
        <f>IF('Raw Data'!LD6="","",'Raw Data'!LD6)</f>
        <v/>
      </c>
      <c r="LQ10" s="15" t="str">
        <f>IF('Raw Data'!LE6="","",'Raw Data'!LE6)</f>
        <v/>
      </c>
      <c r="LR10" s="15" t="str">
        <f>IF('Raw Data'!LF6="","",'Raw Data'!LF6)</f>
        <v/>
      </c>
      <c r="LS10" s="15" t="str">
        <f>IF('Raw Data'!LG6="","",'Raw Data'!LG6)</f>
        <v/>
      </c>
      <c r="LT10" s="15" t="str">
        <f>IF('Raw Data'!LH6="","",'Raw Data'!LH6)</f>
        <v/>
      </c>
      <c r="LU10" s="15" t="str">
        <f>IF('Raw Data'!LI6="","",'Raw Data'!LI6)</f>
        <v/>
      </c>
      <c r="LV10" s="15" t="str">
        <f>IF('Raw Data'!LJ6="","",'Raw Data'!LJ6)</f>
        <v/>
      </c>
      <c r="LW10" s="15" t="str">
        <f>IF('Raw Data'!LK6="","",'Raw Data'!LK6)</f>
        <v/>
      </c>
      <c r="LX10" s="15" t="str">
        <f>IF('Raw Data'!LL6="","",'Raw Data'!LL6)</f>
        <v/>
      </c>
      <c r="LY10" s="15" t="str">
        <f>IF('Raw Data'!LM6="","",'Raw Data'!LM6)</f>
        <v/>
      </c>
      <c r="LZ10" s="15" t="str">
        <f>IF('Raw Data'!LN6="","",'Raw Data'!LN6)</f>
        <v/>
      </c>
      <c r="MA10" s="15" t="str">
        <f>IF('Raw Data'!LO6="","",'Raw Data'!LO6)</f>
        <v/>
      </c>
      <c r="MB10" s="15" t="str">
        <f>IF('Raw Data'!LP6="","",'Raw Data'!LP6)</f>
        <v>oui</v>
      </c>
      <c r="MC10" s="15" t="str">
        <f>IF('Raw Data'!LQ6="","",'Raw Data'!LQ6)</f>
        <v/>
      </c>
      <c r="MD10" s="15" t="str">
        <f>IF('Raw Data'!LR6="","",'Raw Data'!LR6)</f>
        <v>Besoin crucial d'un comité effective et des sensibilisation sur le systeme de referencement</v>
      </c>
      <c r="ME10" s="15">
        <f>IF('Raw Data'!LS6="","",'Raw Data'!LS6)</f>
        <v>168634044</v>
      </c>
      <c r="MF10" s="15" t="str">
        <f>IF('Raw Data'!LT6="","",'Raw Data'!LT6)</f>
        <v>02a9caf3-64b7-41c2-874a-a83d26d75258</v>
      </c>
      <c r="MG10" s="15" t="str">
        <f>IF('Raw Data'!LU6="","",'Raw Data'!LU6)</f>
        <v>2021-03-30T16:58:17</v>
      </c>
      <c r="MH10" s="15" t="str">
        <f>IF('Raw Data'!LV6="","",'Raw Data'!LV6)</f>
        <v/>
      </c>
      <c r="MI10" s="15" t="str">
        <f>IF('Raw Data'!LW6="","",'Raw Data'!LW6)</f>
        <v>[]</v>
      </c>
      <c r="MJ10" s="15" t="str">
        <f>IF('Raw Data'!LX6="","",'Raw Data'!LX6)</f>
        <v>submitted_via_web</v>
      </c>
      <c r="MK10" s="15" t="str">
        <f>IF('Raw Data'!LY6="","",'Raw Data'!LY6)</f>
        <v>reach_niger</v>
      </c>
      <c r="ML10" s="15" t="str">
        <f>IF('Raw Data'!LZ6="","",'Raw Data'!LZ6)</f>
        <v/>
      </c>
      <c r="MM10" s="15">
        <f>IF('Raw Data'!MA6="","",'Raw Data'!MA6)</f>
        <v>5</v>
      </c>
    </row>
    <row r="11" spans="1:351" x14ac:dyDescent="0.3">
      <c r="A11" s="26" t="str">
        <f t="shared" si="0"/>
        <v>89461351-e488-4d0c-8e6e-7e08d3e0d976</v>
      </c>
      <c r="B11" s="26" t="str">
        <f t="shared" si="1"/>
        <v>torodi</v>
      </c>
      <c r="C11" s="26" t="str">
        <f t="shared" si="2"/>
        <v>B</v>
      </c>
      <c r="D11" s="14" t="str">
        <f>IF('Raw Data'!A3="","",'Raw Data'!A3)</f>
        <v>2021-03-30T14:55:22.911+01:00</v>
      </c>
      <c r="E11" s="14" t="str">
        <f>IF('Raw Data'!B3="","",'Raw Data'!B3)</f>
        <v>2021-03-30T15:21:18.690+01:00</v>
      </c>
      <c r="F11" s="30">
        <v>44285.621782407405</v>
      </c>
      <c r="G11" s="30">
        <v>44285.639791666668</v>
      </c>
      <c r="H11" s="29">
        <f>VLOOKUP(A11,Audit[#All],2,FALSE)</f>
        <v>25.93</v>
      </c>
      <c r="I11" s="29">
        <f>VLOOKUP(A11,Audit[#All],3,FALSE)</f>
        <v>25.8</v>
      </c>
      <c r="J11" s="29">
        <f>VLOOKUP(A11,Audit[#All],4,FALSE)</f>
        <v>24</v>
      </c>
      <c r="K11" s="29">
        <f>VLOOKUP(A11,nb_questions[#All],2,FALSE)</f>
        <v>123</v>
      </c>
      <c r="L11" s="29">
        <f t="shared" si="3"/>
        <v>63</v>
      </c>
      <c r="M11" s="14" t="str">
        <f>IF('Raw Data'!C3="","",'Raw Data'!C3)</f>
        <v>2021-03-30</v>
      </c>
      <c r="N11" s="14" t="str">
        <f>IF('Raw Data'!D3="","",'Raw Data'!D3)</f>
        <v/>
      </c>
      <c r="O11" s="14" t="str">
        <f>IF('Raw Data'!E3="","",'Raw Data'!E3)</f>
        <v/>
      </c>
      <c r="P11" s="29" t="str">
        <f>VLOOKUP(A11,code_enqueteurs[#All],3,FALSE)</f>
        <v>B</v>
      </c>
      <c r="Q11" s="29" t="s">
        <v>1645</v>
      </c>
      <c r="R11" s="14" t="str">
        <f>IF('Raw Data'!F3="","",'Raw Data'!F3)</f>
        <v>Homme</v>
      </c>
      <c r="S11" s="15" t="str">
        <f>IF('Raw Data'!G3="","",'Raw Data'!G3)</f>
        <v>torodi</v>
      </c>
      <c r="T11" s="15" t="str">
        <f>IF('Raw Data'!H3="","",'Raw Data'!H3)</f>
        <v>torodi</v>
      </c>
      <c r="U11" s="15" t="str">
        <f>IF('Raw Data'!I3="","",'Raw Data'!I3)</f>
        <v>pengouna</v>
      </c>
      <c r="V11" s="15" t="str">
        <f>IF('Raw Data'!J3="","",'Raw Data'!J3)</f>
        <v/>
      </c>
      <c r="W11" s="15" t="str">
        <f>IF('Raw Data'!K3="","",'Raw Data'!K3)</f>
        <v/>
      </c>
      <c r="X11" s="15" t="str">
        <f>IF('Raw Data'!L3="","",'Raw Data'!L3)</f>
        <v/>
      </c>
      <c r="Y11" s="15" t="str">
        <f>IF('Raw Data'!M3="","",'Raw Data'!M3)</f>
        <v/>
      </c>
      <c r="Z11" s="15" t="str">
        <f>IF('Raw Data'!N3="","",'Raw Data'!N3)</f>
        <v/>
      </c>
      <c r="AA11" s="15" t="str">
        <f>IF('Raw Data'!O3="","",'Raw Data'!O3)</f>
        <v/>
      </c>
      <c r="AB11" s="15" t="str">
        <f>IF('Raw Data'!P3="","",'Raw Data'!P3)</f>
        <v/>
      </c>
      <c r="AC11" s="15" t="str">
        <f>IF('Raw Data'!Q3="","",'Raw Data'!Q3)</f>
        <v/>
      </c>
      <c r="AD11" s="15" t="str">
        <f>IF('Raw Data'!R3="","",'Raw Data'!R3)</f>
        <v>Homme</v>
      </c>
      <c r="AE11" s="15" t="str">
        <f>IF('Raw Data'!S3="","",'Raw Data'!S3)</f>
        <v>57</v>
      </c>
      <c r="AF11" s="15" t="str">
        <f>IF('Raw Data'!T3="","",'Raw Data'!T3)</f>
        <v>deplace_interne</v>
      </c>
      <c r="AG11" s="15" t="str">
        <f>IF('Raw Data'!U3="","",'Raw Data'!U3)</f>
        <v/>
      </c>
      <c r="AH11" s="15" t="str">
        <f>IF('Raw Data'!V3="","",'Raw Data'!V3)</f>
        <v/>
      </c>
      <c r="AI11" s="15" t="str">
        <f>IF('Raw Data'!W3="","",'Raw Data'!W3)</f>
        <v/>
      </c>
      <c r="AJ11" s="15" t="str">
        <f>IF('Raw Data'!X3="","",'Raw Data'!X3)</f>
        <v/>
      </c>
      <c r="AK11" s="15" t="str">
        <f>IF('Raw Data'!Y3="","",'Raw Data'!Y3)</f>
        <v/>
      </c>
      <c r="AL11" s="15" t="str">
        <f>IF('Raw Data'!Z3="","",'Raw Data'!Z3)</f>
        <v>niger</v>
      </c>
      <c r="AM11" s="15" t="str">
        <f>IF('Raw Data'!AA3="","",'Raw Data'!AA3)</f>
        <v>tillaberi</v>
      </c>
      <c r="AN11" s="15" t="str">
        <f>IF('Raw Data'!AB3="","",'Raw Data'!AB3)</f>
        <v>torodi</v>
      </c>
      <c r="AO11" s="15" t="str">
        <f>IF('Raw Data'!AC3="","",'Raw Data'!AC3)</f>
        <v/>
      </c>
      <c r="AP11" s="15" t="str">
        <f>IF('Raw Data'!AD3="","",'Raw Data'!AD3)</f>
        <v/>
      </c>
      <c r="AQ11" s="15" t="str">
        <f>IF('Raw Data'!AE3="","",'Raw Data'!AE3)</f>
        <v/>
      </c>
      <c r="AR11" s="15" t="str">
        <f>IF('Raw Data'!AF3="","",'Raw Data'!AF3)</f>
        <v/>
      </c>
      <c r="AS11" s="15" t="str">
        <f>IF('Raw Data'!AG3="","",'Raw Data'!AG3)</f>
        <v>oui</v>
      </c>
      <c r="AT11" s="15" t="str">
        <f>IF('Raw Data'!AH3="","",'Raw Data'!AH3)</f>
        <v>Violences_physique_civils</v>
      </c>
      <c r="AU11" s="15" t="str">
        <f>IF('Raw Data'!AI3="","",'Raw Data'!AI3)</f>
        <v>0</v>
      </c>
      <c r="AV11" s="15" t="str">
        <f>IF('Raw Data'!AJ3="","",'Raw Data'!AJ3)</f>
        <v>0</v>
      </c>
      <c r="AW11" s="15" t="str">
        <f>IF('Raw Data'!AK3="","",'Raw Data'!AK3)</f>
        <v>0</v>
      </c>
      <c r="AX11" s="15" t="str">
        <f>IF('Raw Data'!AL3="","",'Raw Data'!AL3)</f>
        <v>0</v>
      </c>
      <c r="AY11" s="15" t="str">
        <f>IF('Raw Data'!AM3="","",'Raw Data'!AM3)</f>
        <v>1</v>
      </c>
      <c r="AZ11" s="15" t="str">
        <f>IF('Raw Data'!AN3="","",'Raw Data'!AN3)</f>
        <v>0</v>
      </c>
      <c r="BA11" s="15" t="str">
        <f>IF('Raw Data'!AO3="","",'Raw Data'!AO3)</f>
        <v>0</v>
      </c>
      <c r="BB11" s="15" t="str">
        <f>IF('Raw Data'!AP3="","",'Raw Data'!AP3)</f>
        <v>0</v>
      </c>
      <c r="BC11" s="15" t="str">
        <f>IF('Raw Data'!AQ3="","",'Raw Data'!AQ3)</f>
        <v>0</v>
      </c>
      <c r="BD11" s="15" t="str">
        <f>IF('Raw Data'!AR3="","",'Raw Data'!AR3)</f>
        <v>0</v>
      </c>
      <c r="BE11" s="15" t="str">
        <f>IF('Raw Data'!AS3="","",'Raw Data'!AS3)</f>
        <v>0</v>
      </c>
      <c r="BF11" s="15" t="str">
        <f>IF('Raw Data'!AT3="","",'Raw Data'!AT3)</f>
        <v>0</v>
      </c>
      <c r="BG11" s="15" t="str">
        <f>IF('Raw Data'!AU3="","",'Raw Data'!AU3)</f>
        <v>0</v>
      </c>
      <c r="BH11" s="15" t="str">
        <f>IF('Raw Data'!AV3="","",'Raw Data'!AV3)</f>
        <v>0</v>
      </c>
      <c r="BI11" s="15" t="str">
        <f>IF('Raw Data'!AW3="","",'Raw Data'!AW3)</f>
        <v/>
      </c>
      <c r="BJ11" s="15" t="str">
        <f>IF('Raw Data'!AX3="","",'Raw Data'!AX3)</f>
        <v>Hommes_ages</v>
      </c>
      <c r="BK11" s="15" t="str">
        <f>IF('Raw Data'!AY3="","",'Raw Data'!AY3)</f>
        <v>0</v>
      </c>
      <c r="BL11" s="15" t="str">
        <f>IF('Raw Data'!AZ3="","",'Raw Data'!AZ3)</f>
        <v>0</v>
      </c>
      <c r="BM11" s="15" t="str">
        <f>IF('Raw Data'!BA3="","",'Raw Data'!BA3)</f>
        <v>0</v>
      </c>
      <c r="BN11" s="15" t="str">
        <f>IF('Raw Data'!BB3="","",'Raw Data'!BB3)</f>
        <v>0</v>
      </c>
      <c r="BO11" s="15" t="str">
        <f>IF('Raw Data'!BC3="","",'Raw Data'!BC3)</f>
        <v>0</v>
      </c>
      <c r="BP11" s="15" t="str">
        <f>IF('Raw Data'!BD3="","",'Raw Data'!BD3)</f>
        <v>0</v>
      </c>
      <c r="BQ11" s="15" t="str">
        <f>IF('Raw Data'!BE3="","",'Raw Data'!BE3)</f>
        <v>0</v>
      </c>
      <c r="BR11" s="15" t="str">
        <f>IF('Raw Data'!BF3="","",'Raw Data'!BF3)</f>
        <v>1</v>
      </c>
      <c r="BS11" s="15" t="str">
        <f>IF('Raw Data'!BG3="","",'Raw Data'!BG3)</f>
        <v>0</v>
      </c>
      <c r="BT11" s="15" t="str">
        <f>IF('Raw Data'!BH3="","",'Raw Data'!BH3)</f>
        <v>0</v>
      </c>
      <c r="BU11" s="15" t="str">
        <f>IF('Raw Data'!BI3="","",'Raw Data'!BI3)</f>
        <v>0</v>
      </c>
      <c r="BV11" s="15" t="str">
        <f>IF('Raw Data'!BJ3="","",'Raw Data'!BJ3)</f>
        <v>0</v>
      </c>
      <c r="BW11" s="15" t="str">
        <f>IF('Raw Data'!BK3="","",'Raw Data'!BK3)</f>
        <v>0</v>
      </c>
      <c r="BX11" s="15" t="str">
        <f>IF('Raw Data'!BL3="","",'Raw Data'!BL3)</f>
        <v>0</v>
      </c>
      <c r="BY11" s="15" t="str">
        <f>IF('Raw Data'!BM3="","",'Raw Data'!BM3)</f>
        <v/>
      </c>
      <c r="BZ11" s="15" t="str">
        <f>IF('Raw Data'!BN3="","",'Raw Data'!BN3)</f>
        <v>plusde5</v>
      </c>
      <c r="CA11" s="15" t="str">
        <f>IF('Raw Data'!BO3="","",'Raw Data'!BO3)</f>
        <v>diminue</v>
      </c>
      <c r="CB11" s="15" t="str">
        <f>IF('Raw Data'!BP3="","",'Raw Data'!BP3)</f>
        <v/>
      </c>
      <c r="CC11" s="15" t="str">
        <f>IF('Raw Data'!BQ3="","",'Raw Data'!BQ3)</f>
        <v>oui</v>
      </c>
      <c r="CD11" s="15" t="str">
        <f>IF('Raw Data'!BR3="","",'Raw Data'!BR3)</f>
        <v>exploitations_enfant</v>
      </c>
      <c r="CE11" s="15" t="str">
        <f>IF('Raw Data'!BS3="","",'Raw Data'!BS3)</f>
        <v>0</v>
      </c>
      <c r="CF11" s="15" t="str">
        <f>IF('Raw Data'!BT3="","",'Raw Data'!BT3)</f>
        <v>0</v>
      </c>
      <c r="CG11" s="15" t="str">
        <f>IF('Raw Data'!BU3="","",'Raw Data'!BU3)</f>
        <v>0</v>
      </c>
      <c r="CH11" s="15" t="str">
        <f>IF('Raw Data'!BV3="","",'Raw Data'!BV3)</f>
        <v>0</v>
      </c>
      <c r="CI11" s="15" t="str">
        <f>IF('Raw Data'!BW3="","",'Raw Data'!BW3)</f>
        <v>0</v>
      </c>
      <c r="CJ11" s="15" t="str">
        <f>IF('Raw Data'!BX3="","",'Raw Data'!BX3)</f>
        <v>0</v>
      </c>
      <c r="CK11" s="15" t="str">
        <f>IF('Raw Data'!BY3="","",'Raw Data'!BY3)</f>
        <v>0</v>
      </c>
      <c r="CL11" s="15" t="str">
        <f>IF('Raw Data'!BZ3="","",'Raw Data'!BZ3)</f>
        <v>0</v>
      </c>
      <c r="CM11" s="15" t="str">
        <f>IF('Raw Data'!CA3="","",'Raw Data'!CA3)</f>
        <v>1</v>
      </c>
      <c r="CN11" s="15" t="str">
        <f>IF('Raw Data'!CB3="","",'Raw Data'!CB3)</f>
        <v>0</v>
      </c>
      <c r="CO11" s="15" t="str">
        <f>IF('Raw Data'!CC3="","",'Raw Data'!CC3)</f>
        <v>0</v>
      </c>
      <c r="CP11" s="15" t="str">
        <f>IF('Raw Data'!CD3="","",'Raw Data'!CD3)</f>
        <v>0</v>
      </c>
      <c r="CQ11" s="15" t="str">
        <f>IF('Raw Data'!CE3="","",'Raw Data'!CE3)</f>
        <v>0</v>
      </c>
      <c r="CR11" s="15" t="str">
        <f>IF('Raw Data'!CF3="","",'Raw Data'!CF3)</f>
        <v>0</v>
      </c>
      <c r="CS11" s="15" t="str">
        <f>IF('Raw Data'!CG3="","",'Raw Data'!CG3)</f>
        <v>0</v>
      </c>
      <c r="CT11" s="15" t="str">
        <f>IF('Raw Data'!CH3="","",'Raw Data'!CH3)</f>
        <v/>
      </c>
      <c r="CU11" s="15" t="str">
        <f>IF('Raw Data'!CI3="","",'Raw Data'!CI3)</f>
        <v>Enfants Filles</v>
      </c>
      <c r="CV11" s="15" t="str">
        <f>IF('Raw Data'!CJ3="","",'Raw Data'!CJ3)</f>
        <v>0</v>
      </c>
      <c r="CW11" s="15" t="str">
        <f>IF('Raw Data'!CK3="","",'Raw Data'!CK3)</f>
        <v>1</v>
      </c>
      <c r="CX11" s="15" t="str">
        <f>IF('Raw Data'!CL3="","",'Raw Data'!CL3)</f>
        <v>1</v>
      </c>
      <c r="CY11" s="15" t="str">
        <f>IF('Raw Data'!CM3="","",'Raw Data'!CM3)</f>
        <v>0</v>
      </c>
      <c r="CZ11" s="15" t="str">
        <f>IF('Raw Data'!CN3="","",'Raw Data'!CN3)</f>
        <v>0</v>
      </c>
      <c r="DA11" s="15" t="str">
        <f>IF('Raw Data'!CO3="","",'Raw Data'!CO3)</f>
        <v>0</v>
      </c>
      <c r="DB11" s="15" t="str">
        <f>IF('Raw Data'!CP3="","",'Raw Data'!CP3)</f>
        <v>0</v>
      </c>
      <c r="DC11" s="15" t="str">
        <f>IF('Raw Data'!CQ3="","",'Raw Data'!CQ3)</f>
        <v>0</v>
      </c>
      <c r="DD11" s="15" t="str">
        <f>IF('Raw Data'!CR3="","",'Raw Data'!CR3)</f>
        <v>0</v>
      </c>
      <c r="DE11" s="15" t="str">
        <f>IF('Raw Data'!CS3="","",'Raw Data'!CS3)</f>
        <v>0</v>
      </c>
      <c r="DF11" s="15" t="str">
        <f>IF('Raw Data'!CT3="","",'Raw Data'!CT3)</f>
        <v>0</v>
      </c>
      <c r="DG11" s="15" t="str">
        <f>IF('Raw Data'!CU3="","",'Raw Data'!CU3)</f>
        <v>0</v>
      </c>
      <c r="DH11" s="15" t="str">
        <f>IF('Raw Data'!CV3="","",'Raw Data'!CV3)</f>
        <v>0</v>
      </c>
      <c r="DI11" s="15" t="str">
        <f>IF('Raw Data'!CW3="","",'Raw Data'!CW3)</f>
        <v>0</v>
      </c>
      <c r="DJ11" s="15" t="str">
        <f>IF('Raw Data'!CX3="","",'Raw Data'!CX3)</f>
        <v/>
      </c>
      <c r="DK11" s="15" t="str">
        <f>IF('Raw Data'!CY3="","",'Raw Data'!CY3)</f>
        <v>3</v>
      </c>
      <c r="DL11" s="15" t="str">
        <f>IF('Raw Data'!CZ3="","",'Raw Data'!CZ3)</f>
        <v>diminue</v>
      </c>
      <c r="DM11" s="15" t="str">
        <f>IF('Raw Data'!DA3="","",'Raw Data'!DA3)</f>
        <v/>
      </c>
      <c r="DN11" s="15" t="str">
        <f>IF('Raw Data'!DB3="","",'Raw Data'!DB3)</f>
        <v/>
      </c>
      <c r="DO11" s="15" t="str">
        <f>IF('Raw Data'!DC3="","",'Raw Data'!DC3)</f>
        <v/>
      </c>
      <c r="DP11" s="15" t="str">
        <f>IF('Raw Data'!DD3="","",'Raw Data'!DD3)</f>
        <v/>
      </c>
      <c r="DQ11" s="15" t="str">
        <f>IF('Raw Data'!DE3="","",'Raw Data'!DE3)</f>
        <v/>
      </c>
      <c r="DR11" s="15" t="str">
        <f>IF('Raw Data'!DF3="","",'Raw Data'!DF3)</f>
        <v/>
      </c>
      <c r="DS11" s="15" t="str">
        <f>IF('Raw Data'!DG3="","",'Raw Data'!DG3)</f>
        <v/>
      </c>
      <c r="DT11" s="15" t="str">
        <f>IF('Raw Data'!DH3="","",'Raw Data'!DH3)</f>
        <v/>
      </c>
      <c r="DU11" s="15" t="str">
        <f>IF('Raw Data'!DI3="","",'Raw Data'!DI3)</f>
        <v/>
      </c>
      <c r="DV11" s="15" t="str">
        <f>IF('Raw Data'!DJ3="","",'Raw Data'!DJ3)</f>
        <v/>
      </c>
      <c r="DW11" s="15" t="str">
        <f>IF('Raw Data'!DK3="","",'Raw Data'!DK3)</f>
        <v/>
      </c>
      <c r="DX11" s="15" t="str">
        <f>IF('Raw Data'!DL3="","",'Raw Data'!DL3)</f>
        <v/>
      </c>
      <c r="DY11" s="15" t="str">
        <f>IF('Raw Data'!DM3="","",'Raw Data'!DM3)</f>
        <v/>
      </c>
      <c r="DZ11" s="15" t="str">
        <f>IF('Raw Data'!DN3="","",'Raw Data'!DN3)</f>
        <v>stabilisation_aug_moyen_existence amelioration_acces_service_base</v>
      </c>
      <c r="EA11" s="15" t="str">
        <f>IF('Raw Data'!DO3="","",'Raw Data'!DO3)</f>
        <v>1</v>
      </c>
      <c r="EB11" s="15" t="str">
        <f>IF('Raw Data'!DP3="","",'Raw Data'!DP3)</f>
        <v>0</v>
      </c>
      <c r="EC11" s="15" t="str">
        <f>IF('Raw Data'!DQ3="","",'Raw Data'!DQ3)</f>
        <v>1</v>
      </c>
      <c r="ED11" s="15" t="str">
        <f>IF('Raw Data'!DR3="","",'Raw Data'!DR3)</f>
        <v>0</v>
      </c>
      <c r="EE11" s="15" t="str">
        <f>IF('Raw Data'!DS3="","",'Raw Data'!DS3)</f>
        <v>0</v>
      </c>
      <c r="EF11" s="15" t="str">
        <f>IF('Raw Data'!DT3="","",'Raw Data'!DT3)</f>
        <v>0</v>
      </c>
      <c r="EG11" s="15" t="str">
        <f>IF('Raw Data'!DU3="","",'Raw Data'!DU3)</f>
        <v>0</v>
      </c>
      <c r="EH11" s="15" t="str">
        <f>IF('Raw Data'!DV3="","",'Raw Data'!DV3)</f>
        <v>0</v>
      </c>
      <c r="EI11" s="15" t="str">
        <f>IF('Raw Data'!DW3="","",'Raw Data'!DW3)</f>
        <v>0</v>
      </c>
      <c r="EJ11" s="15" t="str">
        <f>IF('Raw Data'!DX3="","",'Raw Data'!DX3)</f>
        <v/>
      </c>
      <c r="EK11" s="15" t="str">
        <f>IF('Raw Data'!DY3="","",'Raw Data'!DY3)</f>
        <v/>
      </c>
      <c r="EL11" s="15" t="str">
        <f>IF('Raw Data'!DZ3="","",'Raw Data'!DZ3)</f>
        <v>Integration_com_hote Soutien_psychosocial Soutien_en_AGR</v>
      </c>
      <c r="EM11" s="15" t="str">
        <f>IF('Raw Data'!EA3="","",'Raw Data'!EA3)</f>
        <v>0</v>
      </c>
      <c r="EN11" s="15" t="str">
        <f>IF('Raw Data'!EB3="","",'Raw Data'!EB3)</f>
        <v>1</v>
      </c>
      <c r="EO11" s="15" t="str">
        <f>IF('Raw Data'!EC3="","",'Raw Data'!EC3)</f>
        <v>0</v>
      </c>
      <c r="EP11" s="15" t="str">
        <f>IF('Raw Data'!ED3="","",'Raw Data'!ED3)</f>
        <v>0</v>
      </c>
      <c r="EQ11" s="15" t="str">
        <f>IF('Raw Data'!EE3="","",'Raw Data'!EE3)</f>
        <v>1</v>
      </c>
      <c r="ER11" s="15" t="str">
        <f>IF('Raw Data'!EF3="","",'Raw Data'!EF3)</f>
        <v>1</v>
      </c>
      <c r="ES11" s="15" t="str">
        <f>IF('Raw Data'!EG3="","",'Raw Data'!EG3)</f>
        <v>0</v>
      </c>
      <c r="ET11" s="15" t="str">
        <f>IF('Raw Data'!EH3="","",'Raw Data'!EH3)</f>
        <v>0</v>
      </c>
      <c r="EU11" s="15" t="str">
        <f>IF('Raw Data'!EI3="","",'Raw Data'!EI3)</f>
        <v>0</v>
      </c>
      <c r="EV11" s="15" t="str">
        <f>IF('Raw Data'!EJ3="","",'Raw Data'!EJ3)</f>
        <v/>
      </c>
      <c r="EW11" s="15" t="str">
        <f>IF('Raw Data'!EK3="","",'Raw Data'!EK3)</f>
        <v/>
      </c>
      <c r="EX11" s="15" t="str">
        <f>IF('Raw Data'!EL3="","",'Raw Data'!EL3)</f>
        <v>comite_protection famille_accueil comite_redevabilite comite_gestion_conflits enfant_pairs</v>
      </c>
      <c r="EY11" s="15" t="str">
        <f>IF('Raw Data'!EM3="","",'Raw Data'!EM3)</f>
        <v>0</v>
      </c>
      <c r="EZ11" s="15" t="str">
        <f>IF('Raw Data'!EN3="","",'Raw Data'!EN3)</f>
        <v>1</v>
      </c>
      <c r="FA11" s="15" t="str">
        <f>IF('Raw Data'!EO3="","",'Raw Data'!EO3)</f>
        <v>1</v>
      </c>
      <c r="FB11" s="15" t="str">
        <f>IF('Raw Data'!EP3="","",'Raw Data'!EP3)</f>
        <v>0</v>
      </c>
      <c r="FC11" s="15" t="str">
        <f>IF('Raw Data'!EQ3="","",'Raw Data'!EQ3)</f>
        <v>1</v>
      </c>
      <c r="FD11" s="15" t="str">
        <f>IF('Raw Data'!ER3="","",'Raw Data'!ER3)</f>
        <v>1</v>
      </c>
      <c r="FE11" s="15" t="str">
        <f>IF('Raw Data'!ES3="","",'Raw Data'!ES3)</f>
        <v>1</v>
      </c>
      <c r="FF11" s="15" t="str">
        <f>IF('Raw Data'!ET3="","",'Raw Data'!ET3)</f>
        <v>0</v>
      </c>
      <c r="FG11" s="15" t="str">
        <f>IF('Raw Data'!EU3="","",'Raw Data'!EU3)</f>
        <v>0</v>
      </c>
      <c r="FH11" s="15" t="str">
        <f>IF('Raw Data'!EV3="","",'Raw Data'!EV3)</f>
        <v>0</v>
      </c>
      <c r="FI11" s="15" t="str">
        <f>IF('Raw Data'!EW3="","",'Raw Data'!EW3)</f>
        <v/>
      </c>
      <c r="FJ11" s="15" t="str">
        <f>IF('Raw Data'!EX3="","",'Raw Data'!EX3)</f>
        <v>oui</v>
      </c>
      <c r="FK11" s="15" t="str">
        <f>IF('Raw Data'!EY3="","",'Raw Data'!EY3)</f>
        <v>Travailleurs_sociaux/hum Groupement_femmes famille_amis</v>
      </c>
      <c r="FL11" s="15" t="str">
        <f>IF('Raw Data'!EZ3="","",'Raw Data'!EZ3)</f>
        <v>0</v>
      </c>
      <c r="FM11" s="15" t="str">
        <f>IF('Raw Data'!FA3="","",'Raw Data'!FA3)</f>
        <v>0</v>
      </c>
      <c r="FN11" s="15" t="str">
        <f>IF('Raw Data'!FB3="","",'Raw Data'!FB3)</f>
        <v>0</v>
      </c>
      <c r="FO11" s="15" t="str">
        <f>IF('Raw Data'!FC3="","",'Raw Data'!FC3)</f>
        <v>0</v>
      </c>
      <c r="FP11" s="15" t="str">
        <f>IF('Raw Data'!FD3="","",'Raw Data'!FD3)</f>
        <v>0</v>
      </c>
      <c r="FQ11" s="15" t="str">
        <f>IF('Raw Data'!FE3="","",'Raw Data'!FE3)</f>
        <v>1</v>
      </c>
      <c r="FR11" s="15" t="str">
        <f>IF('Raw Data'!FF3="","",'Raw Data'!FF3)</f>
        <v>0</v>
      </c>
      <c r="FS11" s="15" t="str">
        <f>IF('Raw Data'!FG3="","",'Raw Data'!FG3)</f>
        <v>1</v>
      </c>
      <c r="FT11" s="15" t="str">
        <f>IF('Raw Data'!FH3="","",'Raw Data'!FH3)</f>
        <v>0</v>
      </c>
      <c r="FU11" s="15" t="str">
        <f>IF('Raw Data'!FI3="","",'Raw Data'!FI3)</f>
        <v>0</v>
      </c>
      <c r="FV11" s="15" t="str">
        <f>IF('Raw Data'!FJ3="","",'Raw Data'!FJ3)</f>
        <v>1</v>
      </c>
      <c r="FW11" s="15" t="str">
        <f>IF('Raw Data'!FK3="","",'Raw Data'!FK3)</f>
        <v>0</v>
      </c>
      <c r="FX11" s="15" t="str">
        <f>IF('Raw Data'!FL3="","",'Raw Data'!FL3)</f>
        <v>0</v>
      </c>
      <c r="FY11" s="15" t="str">
        <f>IF('Raw Data'!FM3="","",'Raw Data'!FM3)</f>
        <v>0</v>
      </c>
      <c r="FZ11" s="15" t="str">
        <f>IF('Raw Data'!FN3="","",'Raw Data'!FN3)</f>
        <v/>
      </c>
      <c r="GA11" s="15" t="str">
        <f>IF('Raw Data'!FO3="","",'Raw Data'!FO3)</f>
        <v>oui_majorite</v>
      </c>
      <c r="GB11" s="15" t="str">
        <f>IF('Raw Data'!FP3="","",'Raw Data'!FP3)</f>
        <v>oui_majorite</v>
      </c>
      <c r="GC11" s="15" t="str">
        <f>IF('Raw Data'!FQ3="","",'Raw Data'!FQ3)</f>
        <v>manque_info</v>
      </c>
      <c r="GD11" s="15" t="str">
        <f>IF('Raw Data'!FR3="","",'Raw Data'!FR3)</f>
        <v>0</v>
      </c>
      <c r="GE11" s="15" t="str">
        <f>IF('Raw Data'!FS3="","",'Raw Data'!FS3)</f>
        <v>1</v>
      </c>
      <c r="GF11" s="15" t="str">
        <f>IF('Raw Data'!FT3="","",'Raw Data'!FT3)</f>
        <v>0</v>
      </c>
      <c r="GG11" s="15" t="str">
        <f>IF('Raw Data'!FU3="","",'Raw Data'!FU3)</f>
        <v>0</v>
      </c>
      <c r="GH11" s="15" t="str">
        <f>IF('Raw Data'!FV3="","",'Raw Data'!FV3)</f>
        <v>0</v>
      </c>
      <c r="GI11" s="15" t="str">
        <f>IF('Raw Data'!FW3="","",'Raw Data'!FW3)</f>
        <v>0</v>
      </c>
      <c r="GJ11" s="15" t="str">
        <f>IF('Raw Data'!FX3="","",'Raw Data'!FX3)</f>
        <v>0</v>
      </c>
      <c r="GK11" s="15" t="str">
        <f>IF('Raw Data'!FY3="","",'Raw Data'!FY3)</f>
        <v>0</v>
      </c>
      <c r="GL11" s="15" t="str">
        <f>IF('Raw Data'!FZ3="","",'Raw Data'!FZ3)</f>
        <v/>
      </c>
      <c r="GM11" s="15" t="str">
        <f>IF('Raw Data'!GA3="","",'Raw Data'!GA3)</f>
        <v>majorite</v>
      </c>
      <c r="GN11" s="15" t="str">
        <f>IF('Raw Data'!GB3="","",'Raw Data'!GB3)</f>
        <v>majorite</v>
      </c>
      <c r="GO11" s="15" t="str">
        <f>IF('Raw Data'!GC3="","",'Raw Data'!GC3)</f>
        <v>Education Services_de_sante Suivi_judiciaire</v>
      </c>
      <c r="GP11" s="15" t="str">
        <f>IF('Raw Data'!GD3="","",'Raw Data'!GD3)</f>
        <v>0</v>
      </c>
      <c r="GQ11" s="15" t="str">
        <f>IF('Raw Data'!GE3="","",'Raw Data'!GE3)</f>
        <v>1</v>
      </c>
      <c r="GR11" s="15" t="str">
        <f>IF('Raw Data'!GF3="","",'Raw Data'!GF3)</f>
        <v>0</v>
      </c>
      <c r="GS11" s="15" t="str">
        <f>IF('Raw Data'!GG3="","",'Raw Data'!GG3)</f>
        <v>1</v>
      </c>
      <c r="GT11" s="15" t="str">
        <f>IF('Raw Data'!GH3="","",'Raw Data'!GH3)</f>
        <v>0</v>
      </c>
      <c r="GU11" s="15" t="str">
        <f>IF('Raw Data'!GI3="","",'Raw Data'!GI3)</f>
        <v>1</v>
      </c>
      <c r="GV11" s="15" t="str">
        <f>IF('Raw Data'!GJ3="","",'Raw Data'!GJ3)</f>
        <v>0</v>
      </c>
      <c r="GW11" s="15" t="str">
        <f>IF('Raw Data'!GK3="","",'Raw Data'!GK3)</f>
        <v>0</v>
      </c>
      <c r="GX11" s="15" t="str">
        <f>IF('Raw Data'!GL3="","",'Raw Data'!GL3)</f>
        <v>0</v>
      </c>
      <c r="GY11" s="15" t="str">
        <f>IF('Raw Data'!GM3="","",'Raw Data'!GM3)</f>
        <v/>
      </c>
      <c r="GZ11" s="15" t="str">
        <f>IF('Raw Data'!GN3="","",'Raw Data'!GN3)</f>
        <v>oui_majorite</v>
      </c>
      <c r="HA11" s="15" t="str">
        <f>IF('Raw Data'!GO3="","",'Raw Data'!GO3)</f>
        <v>oui_majorite</v>
      </c>
      <c r="HB11" s="15" t="str">
        <f>IF('Raw Data'!GP3="","",'Raw Data'!GP3)</f>
        <v>repond_besoins_pop permet_eviter_conflits amelioration_futur</v>
      </c>
      <c r="HC11" s="15" t="str">
        <f>IF('Raw Data'!GQ3="","",'Raw Data'!GQ3)</f>
        <v>1</v>
      </c>
      <c r="HD11" s="15" t="str">
        <f>IF('Raw Data'!GR3="","",'Raw Data'!GR3)</f>
        <v>1</v>
      </c>
      <c r="HE11" s="15" t="str">
        <f>IF('Raw Data'!GS3="","",'Raw Data'!GS3)</f>
        <v>0</v>
      </c>
      <c r="HF11" s="15" t="str">
        <f>IF('Raw Data'!GT3="","",'Raw Data'!GT3)</f>
        <v>1</v>
      </c>
      <c r="HG11" s="15" t="str">
        <f>IF('Raw Data'!GU3="","",'Raw Data'!GU3)</f>
        <v>0</v>
      </c>
      <c r="HH11" s="15" t="str">
        <f>IF('Raw Data'!GV3="","",'Raw Data'!GV3)</f>
        <v>0</v>
      </c>
      <c r="HI11" s="15" t="str">
        <f>IF('Raw Data'!GW3="","",'Raw Data'!GW3)</f>
        <v>0</v>
      </c>
      <c r="HJ11" s="15" t="str">
        <f>IF('Raw Data'!GX3="","",'Raw Data'!GX3)</f>
        <v>0</v>
      </c>
      <c r="HK11" s="15" t="str">
        <f>IF('Raw Data'!GY3="","",'Raw Data'!GY3)</f>
        <v/>
      </c>
      <c r="HL11" s="15" t="str">
        <f>IF('Raw Data'!GZ3="","",'Raw Data'!GZ3)</f>
        <v>non_obtention_info ne_contribue_pas</v>
      </c>
      <c r="HM11" s="15" t="str">
        <f>IF('Raw Data'!HA3="","",'Raw Data'!HA3)</f>
        <v>1</v>
      </c>
      <c r="HN11" s="15" t="str">
        <f>IF('Raw Data'!HB3="","",'Raw Data'!HB3)</f>
        <v>0</v>
      </c>
      <c r="HO11" s="15" t="str">
        <f>IF('Raw Data'!HC3="","",'Raw Data'!HC3)</f>
        <v>1</v>
      </c>
      <c r="HP11" s="15" t="str">
        <f>IF('Raw Data'!HD3="","",'Raw Data'!HD3)</f>
        <v>0</v>
      </c>
      <c r="HQ11" s="15" t="str">
        <f>IF('Raw Data'!HE3="","",'Raw Data'!HE3)</f>
        <v>0</v>
      </c>
      <c r="HR11" s="15" t="str">
        <f>IF('Raw Data'!HF3="","",'Raw Data'!HF3)</f>
        <v>0</v>
      </c>
      <c r="HS11" s="15" t="str">
        <f>IF('Raw Data'!HG3="","",'Raw Data'!HG3)</f>
        <v/>
      </c>
      <c r="HT11" s="15" t="str">
        <f>IF('Raw Data'!HH3="","",'Raw Data'!HH3)</f>
        <v/>
      </c>
      <c r="HU11" s="15" t="str">
        <f>IF('Raw Data'!HI3="","",'Raw Data'!HI3)</f>
        <v>oui_majorite</v>
      </c>
      <c r="HV11" s="15" t="str">
        <f>IF('Raw Data'!HJ3="","",'Raw Data'!HJ3)</f>
        <v>fds_arme famille_amis</v>
      </c>
      <c r="HW11" s="15" t="str">
        <f>IF('Raw Data'!HK3="","",'Raw Data'!HK3)</f>
        <v>0</v>
      </c>
      <c r="HX11" s="15" t="str">
        <f>IF('Raw Data'!HL3="","",'Raw Data'!HL3)</f>
        <v>1</v>
      </c>
      <c r="HY11" s="15" t="str">
        <f>IF('Raw Data'!HM3="","",'Raw Data'!HM3)</f>
        <v>0</v>
      </c>
      <c r="HZ11" s="15" t="str">
        <f>IF('Raw Data'!HN3="","",'Raw Data'!HN3)</f>
        <v>0</v>
      </c>
      <c r="IA11" s="15" t="str">
        <f>IF('Raw Data'!HO3="","",'Raw Data'!HO3)</f>
        <v>0</v>
      </c>
      <c r="IB11" s="15" t="str">
        <f>IF('Raw Data'!HP3="","",'Raw Data'!HP3)</f>
        <v>0</v>
      </c>
      <c r="IC11" s="15" t="str">
        <f>IF('Raw Data'!HQ3="","",'Raw Data'!HQ3)</f>
        <v>1</v>
      </c>
      <c r="ID11" s="15" t="str">
        <f>IF('Raw Data'!HR3="","",'Raw Data'!HR3)</f>
        <v>0</v>
      </c>
      <c r="IE11" s="15" t="str">
        <f>IF('Raw Data'!HS3="","",'Raw Data'!HS3)</f>
        <v>0</v>
      </c>
      <c r="IF11" s="15" t="str">
        <f>IF('Raw Data'!HT3="","",'Raw Data'!HT3)</f>
        <v>0</v>
      </c>
      <c r="IG11" s="15" t="str">
        <f>IF('Raw Data'!HU3="","",'Raw Data'!HU3)</f>
        <v/>
      </c>
      <c r="IH11" s="15" t="str">
        <f>IF('Raw Data'!HV3="","",'Raw Data'!HV3)</f>
        <v>oui</v>
      </c>
      <c r="II11" s="15" t="str">
        <f>IF('Raw Data'!HW3="","",'Raw Data'!HW3)</f>
        <v/>
      </c>
      <c r="IJ11" s="15" t="str">
        <f>IF('Raw Data'!HX3="","",'Raw Data'!HX3)</f>
        <v>Filles Garçons Femmes Hommes</v>
      </c>
      <c r="IK11" s="15" t="str">
        <f>IF('Raw Data'!HY3="","",'Raw Data'!HY3)</f>
        <v>0</v>
      </c>
      <c r="IL11" s="15" t="str">
        <f>IF('Raw Data'!HZ3="","",'Raw Data'!HZ3)</f>
        <v>0</v>
      </c>
      <c r="IM11" s="15" t="str">
        <f>IF('Raw Data'!IA3="","",'Raw Data'!IA3)</f>
        <v>1</v>
      </c>
      <c r="IN11" s="15" t="str">
        <f>IF('Raw Data'!IB3="","",'Raw Data'!IB3)</f>
        <v>1</v>
      </c>
      <c r="IO11" s="15" t="str">
        <f>IF('Raw Data'!IC3="","",'Raw Data'!IC3)</f>
        <v>1</v>
      </c>
      <c r="IP11" s="15" t="str">
        <f>IF('Raw Data'!ID3="","",'Raw Data'!ID3)</f>
        <v>1</v>
      </c>
      <c r="IQ11" s="15" t="str">
        <f>IF('Raw Data'!IE3="","",'Raw Data'!IE3)</f>
        <v>0</v>
      </c>
      <c r="IR11" s="15" t="str">
        <f>IF('Raw Data'!IF3="","",'Raw Data'!IF3)</f>
        <v>0</v>
      </c>
      <c r="IS11" s="15" t="str">
        <f>IF('Raw Data'!IG3="","",'Raw Data'!IG3)</f>
        <v>0</v>
      </c>
      <c r="IT11" s="15" t="str">
        <f>IF('Raw Data'!IH3="","",'Raw Data'!IH3)</f>
        <v>0</v>
      </c>
      <c r="IU11" s="15" t="str">
        <f>IF('Raw Data'!II3="","",'Raw Data'!II3)</f>
        <v>0</v>
      </c>
      <c r="IV11" s="15" t="str">
        <f>IF('Raw Data'!IJ3="","",'Raw Data'!IJ3)</f>
        <v>0</v>
      </c>
      <c r="IW11" s="15" t="str">
        <f>IF('Raw Data'!IK3="","",'Raw Data'!IK3)</f>
        <v>0</v>
      </c>
      <c r="IX11" s="15" t="str">
        <f>IF('Raw Data'!IL3="","",'Raw Data'!IL3)</f>
        <v>0</v>
      </c>
      <c r="IY11" s="15" t="str">
        <f>IF('Raw Data'!IM3="","",'Raw Data'!IM3)</f>
        <v/>
      </c>
      <c r="IZ11" s="15" t="str">
        <f>IF('Raw Data'!IN3="","",'Raw Data'!IN3)</f>
        <v>83</v>
      </c>
      <c r="JA11" s="15" t="str">
        <f>IF('Raw Data'!IO3="","",'Raw Data'!IO3)</f>
        <v>Services_medicaux Services_educatifs acces_docs service_judiciaire programme_agr</v>
      </c>
      <c r="JB11" s="15" t="str">
        <f>IF('Raw Data'!IP3="","",'Raw Data'!IP3)</f>
        <v>0</v>
      </c>
      <c r="JC11" s="15" t="str">
        <f>IF('Raw Data'!IQ3="","",'Raw Data'!IQ3)</f>
        <v>1</v>
      </c>
      <c r="JD11" s="15" t="str">
        <f>IF('Raw Data'!IR3="","",'Raw Data'!IR3)</f>
        <v>1</v>
      </c>
      <c r="JE11" s="15" t="str">
        <f>IF('Raw Data'!IS3="","",'Raw Data'!IS3)</f>
        <v>0</v>
      </c>
      <c r="JF11" s="15" t="str">
        <f>IF('Raw Data'!IT3="","",'Raw Data'!IT3)</f>
        <v>1</v>
      </c>
      <c r="JG11" s="15" t="str">
        <f>IF('Raw Data'!IU3="","",'Raw Data'!IU3)</f>
        <v>1</v>
      </c>
      <c r="JH11" s="15" t="str">
        <f>IF('Raw Data'!IV3="","",'Raw Data'!IV3)</f>
        <v>1</v>
      </c>
      <c r="JI11" s="15" t="str">
        <f>IF('Raw Data'!IW3="","",'Raw Data'!IW3)</f>
        <v>0</v>
      </c>
      <c r="JJ11" s="15" t="str">
        <f>IF('Raw Data'!IX3="","",'Raw Data'!IX3)</f>
        <v>0</v>
      </c>
      <c r="JK11" s="15" t="str">
        <f>IF('Raw Data'!IY3="","",'Raw Data'!IY3)</f>
        <v>0</v>
      </c>
      <c r="JL11" s="15" t="str">
        <f>IF('Raw Data'!IZ3="","",'Raw Data'!IZ3)</f>
        <v/>
      </c>
      <c r="JM11" s="15" t="str">
        <f>IF('Raw Data'!JA3="","",'Raw Data'!JA3)</f>
        <v>reorientation</v>
      </c>
      <c r="JN11" s="15" t="str">
        <f>IF('Raw Data'!JB3="","",'Raw Data'!JB3)</f>
        <v>0</v>
      </c>
      <c r="JO11" s="15" t="str">
        <f>IF('Raw Data'!JC3="","",'Raw Data'!JC3)</f>
        <v>1</v>
      </c>
      <c r="JP11" s="15" t="str">
        <f>IF('Raw Data'!JD3="","",'Raw Data'!JD3)</f>
        <v>0</v>
      </c>
      <c r="JQ11" s="15" t="str">
        <f>IF('Raw Data'!JE3="","",'Raw Data'!JE3)</f>
        <v>0</v>
      </c>
      <c r="JR11" s="15" t="str">
        <f>IF('Raw Data'!JF3="","",'Raw Data'!JF3)</f>
        <v>0</v>
      </c>
      <c r="JS11" s="15" t="str">
        <f>IF('Raw Data'!JG3="","",'Raw Data'!JG3)</f>
        <v>0</v>
      </c>
      <c r="JT11" s="15" t="str">
        <f>IF('Raw Data'!JH3="","",'Raw Data'!JH3)</f>
        <v/>
      </c>
      <c r="JU11" s="15" t="str">
        <f>IF('Raw Data'!JI3="","",'Raw Data'!JI3)</f>
        <v/>
      </c>
      <c r="JV11" s="15" t="str">
        <f>IF('Raw Data'!JJ3="","",'Raw Data'!JJ3)</f>
        <v/>
      </c>
      <c r="JW11" s="15" t="str">
        <f>IF('Raw Data'!JK3="","",'Raw Data'!JK3)</f>
        <v/>
      </c>
      <c r="JX11" s="15" t="str">
        <f>IF('Raw Data'!JL3="","",'Raw Data'!JL3)</f>
        <v/>
      </c>
      <c r="JY11" s="15" t="str">
        <f>IF('Raw Data'!JM3="","",'Raw Data'!JM3)</f>
        <v/>
      </c>
      <c r="JZ11" s="15" t="str">
        <f>IF('Raw Data'!JN3="","",'Raw Data'!JN3)</f>
        <v/>
      </c>
      <c r="KA11" s="15" t="str">
        <f>IF('Raw Data'!JO3="","",'Raw Data'!JO3)</f>
        <v/>
      </c>
      <c r="KB11" s="15" t="str">
        <f>IF('Raw Data'!JP3="","",'Raw Data'!JP3)</f>
        <v/>
      </c>
      <c r="KC11" s="15" t="str">
        <f>IF('Raw Data'!JQ3="","",'Raw Data'!JQ3)</f>
        <v/>
      </c>
      <c r="KD11" s="15" t="str">
        <f>IF('Raw Data'!JR3="","",'Raw Data'!JR3)</f>
        <v/>
      </c>
      <c r="KE11" s="15" t="str">
        <f>IF('Raw Data'!JS3="","",'Raw Data'!JS3)</f>
        <v/>
      </c>
      <c r="KF11" s="15" t="str">
        <f>IF('Raw Data'!JT3="","",'Raw Data'!JT3)</f>
        <v>medical juridique</v>
      </c>
      <c r="KG11" s="15" t="str">
        <f>IF('Raw Data'!JU3="","",'Raw Data'!JU3)</f>
        <v>1</v>
      </c>
      <c r="KH11" s="15" t="str">
        <f>IF('Raw Data'!JV3="","",'Raw Data'!JV3)</f>
        <v>0</v>
      </c>
      <c r="KI11" s="15" t="str">
        <f>IF('Raw Data'!JW3="","",'Raw Data'!JW3)</f>
        <v>0</v>
      </c>
      <c r="KJ11" s="15" t="str">
        <f>IF('Raw Data'!JX3="","",'Raw Data'!JX3)</f>
        <v>1</v>
      </c>
      <c r="KK11" s="15" t="str">
        <f>IF('Raw Data'!JY3="","",'Raw Data'!JY3)</f>
        <v>0</v>
      </c>
      <c r="KL11" s="15" t="str">
        <f>IF('Raw Data'!JZ3="","",'Raw Data'!JZ3)</f>
        <v>0</v>
      </c>
      <c r="KM11" s="15" t="str">
        <f>IF('Raw Data'!KA3="","",'Raw Data'!KA3)</f>
        <v>0</v>
      </c>
      <c r="KN11" s="15" t="str">
        <f>IF('Raw Data'!KB3="","",'Raw Data'!KB3)</f>
        <v>0</v>
      </c>
      <c r="KO11" s="15" t="str">
        <f>IF('Raw Data'!KC3="","",'Raw Data'!KC3)</f>
        <v>0</v>
      </c>
      <c r="KP11" s="15" t="str">
        <f>IF('Raw Data'!KD3="","",'Raw Data'!KD3)</f>
        <v/>
      </c>
      <c r="KQ11" s="15" t="str">
        <f>IF('Raw Data'!KE3="","",'Raw Data'!KE3)</f>
        <v/>
      </c>
      <c r="KR11" s="15" t="str">
        <f>IF('Raw Data'!KF3="","",'Raw Data'!KF3)</f>
        <v>oui</v>
      </c>
      <c r="KS11" s="15" t="str">
        <f>IF('Raw Data'!KG3="","",'Raw Data'!KG3)</f>
        <v>manque_moyens manque_personnes probleme_orientation manque_cordination</v>
      </c>
      <c r="KT11" s="15" t="str">
        <f>IF('Raw Data'!KH3="","",'Raw Data'!KH3)</f>
        <v>1</v>
      </c>
      <c r="KU11" s="15" t="str">
        <f>IF('Raw Data'!KI3="","",'Raw Data'!KI3)</f>
        <v>1</v>
      </c>
      <c r="KV11" s="15" t="str">
        <f>IF('Raw Data'!KJ3="","",'Raw Data'!KJ3)</f>
        <v>0</v>
      </c>
      <c r="KW11" s="15" t="str">
        <f>IF('Raw Data'!KK3="","",'Raw Data'!KK3)</f>
        <v>1</v>
      </c>
      <c r="KX11" s="15" t="str">
        <f>IF('Raw Data'!KL3="","",'Raw Data'!KL3)</f>
        <v>0</v>
      </c>
      <c r="KY11" s="15" t="str">
        <f>IF('Raw Data'!KM3="","",'Raw Data'!KM3)</f>
        <v>0</v>
      </c>
      <c r="KZ11" s="15" t="str">
        <f>IF('Raw Data'!KN3="","",'Raw Data'!KN3)</f>
        <v>1</v>
      </c>
      <c r="LA11" s="15" t="str">
        <f>IF('Raw Data'!KO3="","",'Raw Data'!KO3)</f>
        <v>0</v>
      </c>
      <c r="LB11" s="15" t="str">
        <f>IF('Raw Data'!KP3="","",'Raw Data'!KP3)</f>
        <v>0</v>
      </c>
      <c r="LC11" s="15" t="str">
        <f>IF('Raw Data'!KQ3="","",'Raw Data'!KQ3)</f>
        <v>0</v>
      </c>
      <c r="LD11" s="15" t="str">
        <f>IF('Raw Data'!KR3="","",'Raw Data'!KR3)</f>
        <v>0</v>
      </c>
      <c r="LE11" s="15" t="str">
        <f>IF('Raw Data'!KS3="","",'Raw Data'!KS3)</f>
        <v/>
      </c>
      <c r="LF11" s="15" t="str">
        <f>IF('Raw Data'!KT3="","",'Raw Data'!KT3)</f>
        <v>pb_coordination</v>
      </c>
      <c r="LG11" s="15" t="str">
        <f>IF('Raw Data'!KU3="","",'Raw Data'!KU3)</f>
        <v>0</v>
      </c>
      <c r="LH11" s="15" t="str">
        <f>IF('Raw Data'!KV3="","",'Raw Data'!KV3)</f>
        <v>0</v>
      </c>
      <c r="LI11" s="15" t="str">
        <f>IF('Raw Data'!KW3="","",'Raw Data'!KW3)</f>
        <v>0</v>
      </c>
      <c r="LJ11" s="15" t="str">
        <f>IF('Raw Data'!KX3="","",'Raw Data'!KX3)</f>
        <v>1</v>
      </c>
      <c r="LK11" s="15" t="str">
        <f>IF('Raw Data'!KY3="","",'Raw Data'!KY3)</f>
        <v>0</v>
      </c>
      <c r="LL11" s="15" t="str">
        <f>IF('Raw Data'!KZ3="","",'Raw Data'!KZ3)</f>
        <v>0</v>
      </c>
      <c r="LM11" s="15" t="str">
        <f>IF('Raw Data'!LA3="","",'Raw Data'!LA3)</f>
        <v/>
      </c>
      <c r="LN11" s="15" t="str">
        <f>IF('Raw Data'!LB3="","",'Raw Data'!LB3)</f>
        <v>non</v>
      </c>
      <c r="LO11" s="15" t="str">
        <f>IF('Raw Data'!LC3="","",'Raw Data'!LC3)</f>
        <v/>
      </c>
      <c r="LP11" s="15" t="str">
        <f>IF('Raw Data'!LD3="","",'Raw Data'!LD3)</f>
        <v/>
      </c>
      <c r="LQ11" s="15" t="str">
        <f>IF('Raw Data'!LE3="","",'Raw Data'!LE3)</f>
        <v/>
      </c>
      <c r="LR11" s="15" t="str">
        <f>IF('Raw Data'!LF3="","",'Raw Data'!LF3)</f>
        <v/>
      </c>
      <c r="LS11" s="15" t="str">
        <f>IF('Raw Data'!LG3="","",'Raw Data'!LG3)</f>
        <v/>
      </c>
      <c r="LT11" s="15" t="str">
        <f>IF('Raw Data'!LH3="","",'Raw Data'!LH3)</f>
        <v/>
      </c>
      <c r="LU11" s="15" t="str">
        <f>IF('Raw Data'!LI3="","",'Raw Data'!LI3)</f>
        <v/>
      </c>
      <c r="LV11" s="15" t="str">
        <f>IF('Raw Data'!LJ3="","",'Raw Data'!LJ3)</f>
        <v/>
      </c>
      <c r="LW11" s="15" t="str">
        <f>IF('Raw Data'!LK3="","",'Raw Data'!LK3)</f>
        <v/>
      </c>
      <c r="LX11" s="15" t="str">
        <f>IF('Raw Data'!LL3="","",'Raw Data'!LL3)</f>
        <v/>
      </c>
      <c r="LY11" s="15" t="str">
        <f>IF('Raw Data'!LM3="","",'Raw Data'!LM3)</f>
        <v/>
      </c>
      <c r="LZ11" s="15" t="str">
        <f>IF('Raw Data'!LN3="","",'Raw Data'!LN3)</f>
        <v/>
      </c>
      <c r="MA11" s="15" t="str">
        <f>IF('Raw Data'!LO3="","",'Raw Data'!LO3)</f>
        <v/>
      </c>
      <c r="MB11" s="15" t="str">
        <f>IF('Raw Data'!LP3="","",'Raw Data'!LP3)</f>
        <v>oui</v>
      </c>
      <c r="MC11" s="15" t="str">
        <f>IF('Raw Data'!LQ3="","",'Raw Data'!LQ3)</f>
        <v/>
      </c>
      <c r="MD11" s="15" t="str">
        <f>IF('Raw Data'!LR3="","",'Raw Data'!LR3)</f>
        <v>L'IC semble  bien maitriser la qurstion car toutes les informations des deplacés internes passent par lui.</v>
      </c>
      <c r="ME11" s="15">
        <f>IF('Raw Data'!LS3="","",'Raw Data'!LS3)</f>
        <v>168634033</v>
      </c>
      <c r="MF11" s="15" t="str">
        <f>IF('Raw Data'!LT3="","",'Raw Data'!LT3)</f>
        <v>89461351-e488-4d0c-8e6e-7e08d3e0d976</v>
      </c>
      <c r="MG11" s="15" t="str">
        <f>IF('Raw Data'!LU3="","",'Raw Data'!LU3)</f>
        <v>2021-03-30T16:58:16</v>
      </c>
      <c r="MH11" s="15" t="str">
        <f>IF('Raw Data'!LV3="","",'Raw Data'!LV3)</f>
        <v/>
      </c>
      <c r="MI11" s="15" t="str">
        <f>IF('Raw Data'!LW3="","",'Raw Data'!LW3)</f>
        <v>[]</v>
      </c>
      <c r="MJ11" s="15" t="str">
        <f>IF('Raw Data'!LX3="","",'Raw Data'!LX3)</f>
        <v>submitted_via_web</v>
      </c>
      <c r="MK11" s="15" t="str">
        <f>IF('Raw Data'!LY3="","",'Raw Data'!LY3)</f>
        <v>reach_niger</v>
      </c>
      <c r="ML11" s="15" t="str">
        <f>IF('Raw Data'!LZ3="","",'Raw Data'!LZ3)</f>
        <v/>
      </c>
      <c r="MM11" s="15">
        <f>IF('Raw Data'!MA3="","",'Raw Data'!MA3)</f>
        <v>2</v>
      </c>
    </row>
    <row r="12" spans="1:351" x14ac:dyDescent="0.3">
      <c r="A12" s="26" t="str">
        <f t="shared" si="0"/>
        <v>c3dcf604-6805-4aad-b3ab-755e96eb92fe</v>
      </c>
      <c r="B12" s="26" t="str">
        <f t="shared" si="1"/>
        <v>ayerou</v>
      </c>
      <c r="C12" s="26" t="str">
        <f t="shared" si="2"/>
        <v>C</v>
      </c>
      <c r="D12" s="14" t="str">
        <f>IF('Raw Data'!A36="","",'Raw Data'!A36)</f>
        <v>2021-04-02T18:09:44.272+01:00</v>
      </c>
      <c r="E12" s="14" t="str">
        <f>IF('Raw Data'!B36="","",'Raw Data'!B36)</f>
        <v>2021-04-02T18:26:36.542+01:00</v>
      </c>
      <c r="F12" s="30">
        <v>44288.75675925926</v>
      </c>
      <c r="G12" s="30">
        <v>44288.768472222226</v>
      </c>
      <c r="H12" s="29">
        <f>VLOOKUP(A12,Audit[#All],2,FALSE)</f>
        <v>16.87</v>
      </c>
      <c r="I12" s="29">
        <f>VLOOKUP(A12,Audit[#All],3,FALSE)</f>
        <v>16.75</v>
      </c>
      <c r="J12" s="29">
        <f>VLOOKUP(A12,Audit[#All],4,FALSE)</f>
        <v>15.18</v>
      </c>
      <c r="K12" s="29">
        <f>VLOOKUP(A12,nb_questions[#All],2,FALSE)</f>
        <v>88</v>
      </c>
      <c r="L12" s="29">
        <f t="shared" si="3"/>
        <v>174</v>
      </c>
      <c r="M12" s="14" t="str">
        <f>IF('Raw Data'!C36="","",'Raw Data'!C36)</f>
        <v>2021-04-02</v>
      </c>
      <c r="N12" s="14" t="str">
        <f>IF('Raw Data'!D36="","",'Raw Data'!D36)</f>
        <v/>
      </c>
      <c r="O12" s="14" t="str">
        <f>IF('Raw Data'!E36="","",'Raw Data'!E36)</f>
        <v/>
      </c>
      <c r="P12" s="29" t="str">
        <f>VLOOKUP(A12,code_enqueteurs[#All],3,FALSE)</f>
        <v>C</v>
      </c>
      <c r="Q12" s="29" t="s">
        <v>1648</v>
      </c>
      <c r="R12" s="14" t="str">
        <f>IF('Raw Data'!F36="","",'Raw Data'!F36)</f>
        <v>Homme</v>
      </c>
      <c r="S12" s="15" t="str">
        <f>IF('Raw Data'!G36="","",'Raw Data'!G36)</f>
        <v>ayerou</v>
      </c>
      <c r="T12" s="15" t="str">
        <f>IF('Raw Data'!H36="","",'Raw Data'!H36)</f>
        <v>ayerou</v>
      </c>
      <c r="U12" s="15" t="str">
        <f>IF('Raw Data'!I36="","",'Raw Data'!I36)</f>
        <v>autre</v>
      </c>
      <c r="V12" s="31" t="s">
        <v>1642</v>
      </c>
      <c r="W12" s="15" t="str">
        <f>IF('Raw Data'!K36="","",'Raw Data'!K36)</f>
        <v/>
      </c>
      <c r="X12" s="15" t="str">
        <f>IF('Raw Data'!L36="","",'Raw Data'!L36)</f>
        <v/>
      </c>
      <c r="Y12" s="15" t="str">
        <f>IF('Raw Data'!M36="","",'Raw Data'!M36)</f>
        <v/>
      </c>
      <c r="Z12" s="15" t="str">
        <f>IF('Raw Data'!N36="","",'Raw Data'!N36)</f>
        <v/>
      </c>
      <c r="AA12" s="15" t="str">
        <f>IF('Raw Data'!O36="","",'Raw Data'!O36)</f>
        <v/>
      </c>
      <c r="AB12" s="15" t="str">
        <f>IF('Raw Data'!P36="","",'Raw Data'!P36)</f>
        <v/>
      </c>
      <c r="AC12" s="15" t="str">
        <f>IF('Raw Data'!Q36="","",'Raw Data'!Q36)</f>
        <v/>
      </c>
      <c r="AD12" s="15" t="str">
        <f>IF('Raw Data'!R36="","",'Raw Data'!R36)</f>
        <v>Homme</v>
      </c>
      <c r="AE12" s="15" t="str">
        <f>IF('Raw Data'!S36="","",'Raw Data'!S36)</f>
        <v>30</v>
      </c>
      <c r="AF12" s="15" t="str">
        <f>IF('Raw Data'!T36="","",'Raw Data'!T36)</f>
        <v>Hote</v>
      </c>
      <c r="AG12" s="15" t="str">
        <f>IF('Raw Data'!U36="","",'Raw Data'!U36)</f>
        <v/>
      </c>
      <c r="AH12" s="15" t="str">
        <f>IF('Raw Data'!V36="","",'Raw Data'!V36)</f>
        <v/>
      </c>
      <c r="AI12" s="15" t="str">
        <f>IF('Raw Data'!W36="","",'Raw Data'!W36)</f>
        <v/>
      </c>
      <c r="AJ12" s="15" t="str">
        <f>IF('Raw Data'!X36="","",'Raw Data'!X36)</f>
        <v/>
      </c>
      <c r="AK12" s="15" t="str">
        <f>IF('Raw Data'!Y36="","",'Raw Data'!Y36)</f>
        <v/>
      </c>
      <c r="AL12" s="15" t="str">
        <f>IF('Raw Data'!Z36="","",'Raw Data'!Z36)</f>
        <v/>
      </c>
      <c r="AM12" s="15" t="str">
        <f>IF('Raw Data'!AA36="","",'Raw Data'!AA36)</f>
        <v/>
      </c>
      <c r="AN12" s="15" t="str">
        <f>IF('Raw Data'!AB36="","",'Raw Data'!AB36)</f>
        <v/>
      </c>
      <c r="AO12" s="15" t="str">
        <f>IF('Raw Data'!AC36="","",'Raw Data'!AC36)</f>
        <v/>
      </c>
      <c r="AP12" s="15" t="str">
        <f>IF('Raw Data'!AD36="","",'Raw Data'!AD36)</f>
        <v/>
      </c>
      <c r="AQ12" s="15" t="str">
        <f>IF('Raw Data'!AE36="","",'Raw Data'!AE36)</f>
        <v/>
      </c>
      <c r="AR12" s="15" t="str">
        <f>IF('Raw Data'!AF36="","",'Raw Data'!AF36)</f>
        <v/>
      </c>
      <c r="AS12" s="15" t="str">
        <f>IF('Raw Data'!AG36="","",'Raw Data'!AG36)</f>
        <v>non</v>
      </c>
      <c r="AT12" s="15" t="str">
        <f>IF('Raw Data'!AH36="","",'Raw Data'!AH36)</f>
        <v/>
      </c>
      <c r="AU12" s="15" t="str">
        <f>IF('Raw Data'!AI36="","",'Raw Data'!AI36)</f>
        <v/>
      </c>
      <c r="AV12" s="15" t="str">
        <f>IF('Raw Data'!AJ36="","",'Raw Data'!AJ36)</f>
        <v/>
      </c>
      <c r="AW12" s="15" t="str">
        <f>IF('Raw Data'!AK36="","",'Raw Data'!AK36)</f>
        <v/>
      </c>
      <c r="AX12" s="15" t="str">
        <f>IF('Raw Data'!AL36="","",'Raw Data'!AL36)</f>
        <v/>
      </c>
      <c r="AY12" s="15" t="str">
        <f>IF('Raw Data'!AM36="","",'Raw Data'!AM36)</f>
        <v/>
      </c>
      <c r="AZ12" s="15" t="str">
        <f>IF('Raw Data'!AN36="","",'Raw Data'!AN36)</f>
        <v/>
      </c>
      <c r="BA12" s="15" t="str">
        <f>IF('Raw Data'!AO36="","",'Raw Data'!AO36)</f>
        <v/>
      </c>
      <c r="BB12" s="15" t="str">
        <f>IF('Raw Data'!AP36="","",'Raw Data'!AP36)</f>
        <v/>
      </c>
      <c r="BC12" s="15" t="str">
        <f>IF('Raw Data'!AQ36="","",'Raw Data'!AQ36)</f>
        <v/>
      </c>
      <c r="BD12" s="15" t="str">
        <f>IF('Raw Data'!AR36="","",'Raw Data'!AR36)</f>
        <v/>
      </c>
      <c r="BE12" s="15" t="str">
        <f>IF('Raw Data'!AS36="","",'Raw Data'!AS36)</f>
        <v/>
      </c>
      <c r="BF12" s="15" t="str">
        <f>IF('Raw Data'!AT36="","",'Raw Data'!AT36)</f>
        <v/>
      </c>
      <c r="BG12" s="15" t="str">
        <f>IF('Raw Data'!AU36="","",'Raw Data'!AU36)</f>
        <v/>
      </c>
      <c r="BH12" s="15" t="str">
        <f>IF('Raw Data'!AV36="","",'Raw Data'!AV36)</f>
        <v/>
      </c>
      <c r="BI12" s="15" t="str">
        <f>IF('Raw Data'!AW36="","",'Raw Data'!AW36)</f>
        <v/>
      </c>
      <c r="BJ12" s="15" t="str">
        <f>IF('Raw Data'!AX36="","",'Raw Data'!AX36)</f>
        <v/>
      </c>
      <c r="BK12" s="15" t="str">
        <f>IF('Raw Data'!AY36="","",'Raw Data'!AY36)</f>
        <v/>
      </c>
      <c r="BL12" s="15" t="str">
        <f>IF('Raw Data'!AZ36="","",'Raw Data'!AZ36)</f>
        <v/>
      </c>
      <c r="BM12" s="15" t="str">
        <f>IF('Raw Data'!BA36="","",'Raw Data'!BA36)</f>
        <v/>
      </c>
      <c r="BN12" s="15" t="str">
        <f>IF('Raw Data'!BB36="","",'Raw Data'!BB36)</f>
        <v/>
      </c>
      <c r="BO12" s="15" t="str">
        <f>IF('Raw Data'!BC36="","",'Raw Data'!BC36)</f>
        <v/>
      </c>
      <c r="BP12" s="15" t="str">
        <f>IF('Raw Data'!BD36="","",'Raw Data'!BD36)</f>
        <v/>
      </c>
      <c r="BQ12" s="15" t="str">
        <f>IF('Raw Data'!BE36="","",'Raw Data'!BE36)</f>
        <v/>
      </c>
      <c r="BR12" s="15" t="str">
        <f>IF('Raw Data'!BF36="","",'Raw Data'!BF36)</f>
        <v/>
      </c>
      <c r="BS12" s="15" t="str">
        <f>IF('Raw Data'!BG36="","",'Raw Data'!BG36)</f>
        <v/>
      </c>
      <c r="BT12" s="15" t="str">
        <f>IF('Raw Data'!BH36="","",'Raw Data'!BH36)</f>
        <v/>
      </c>
      <c r="BU12" s="15" t="str">
        <f>IF('Raw Data'!BI36="","",'Raw Data'!BI36)</f>
        <v/>
      </c>
      <c r="BV12" s="15" t="str">
        <f>IF('Raw Data'!BJ36="","",'Raw Data'!BJ36)</f>
        <v/>
      </c>
      <c r="BW12" s="15" t="str">
        <f>IF('Raw Data'!BK36="","",'Raw Data'!BK36)</f>
        <v/>
      </c>
      <c r="BX12" s="15" t="str">
        <f>IF('Raw Data'!BL36="","",'Raw Data'!BL36)</f>
        <v/>
      </c>
      <c r="BY12" s="15" t="str">
        <f>IF('Raw Data'!BM36="","",'Raw Data'!BM36)</f>
        <v/>
      </c>
      <c r="BZ12" s="15" t="str">
        <f>IF('Raw Data'!BN36="","",'Raw Data'!BN36)</f>
        <v/>
      </c>
      <c r="CA12" s="15" t="str">
        <f>IF('Raw Data'!BO36="","",'Raw Data'!BO36)</f>
        <v/>
      </c>
      <c r="CB12" s="15" t="str">
        <f>IF('Raw Data'!BP36="","",'Raw Data'!BP36)</f>
        <v/>
      </c>
      <c r="CC12" s="15" t="str">
        <f>IF('Raw Data'!BQ36="","",'Raw Data'!BQ36)</f>
        <v>non</v>
      </c>
      <c r="CD12" s="15" t="str">
        <f>IF('Raw Data'!BR36="","",'Raw Data'!BR36)</f>
        <v/>
      </c>
      <c r="CE12" s="15" t="str">
        <f>IF('Raw Data'!BS36="","",'Raw Data'!BS36)</f>
        <v/>
      </c>
      <c r="CF12" s="15" t="str">
        <f>IF('Raw Data'!BT36="","",'Raw Data'!BT36)</f>
        <v/>
      </c>
      <c r="CG12" s="15" t="str">
        <f>IF('Raw Data'!BU36="","",'Raw Data'!BU36)</f>
        <v/>
      </c>
      <c r="CH12" s="15" t="str">
        <f>IF('Raw Data'!BV36="","",'Raw Data'!BV36)</f>
        <v/>
      </c>
      <c r="CI12" s="15" t="str">
        <f>IF('Raw Data'!BW36="","",'Raw Data'!BW36)</f>
        <v/>
      </c>
      <c r="CJ12" s="15" t="str">
        <f>IF('Raw Data'!BX36="","",'Raw Data'!BX36)</f>
        <v/>
      </c>
      <c r="CK12" s="15" t="str">
        <f>IF('Raw Data'!BY36="","",'Raw Data'!BY36)</f>
        <v/>
      </c>
      <c r="CL12" s="15" t="str">
        <f>IF('Raw Data'!BZ36="","",'Raw Data'!BZ36)</f>
        <v/>
      </c>
      <c r="CM12" s="15" t="str">
        <f>IF('Raw Data'!CA36="","",'Raw Data'!CA36)</f>
        <v/>
      </c>
      <c r="CN12" s="15" t="str">
        <f>IF('Raw Data'!CB36="","",'Raw Data'!CB36)</f>
        <v/>
      </c>
      <c r="CO12" s="15" t="str">
        <f>IF('Raw Data'!CC36="","",'Raw Data'!CC36)</f>
        <v/>
      </c>
      <c r="CP12" s="15" t="str">
        <f>IF('Raw Data'!CD36="","",'Raw Data'!CD36)</f>
        <v/>
      </c>
      <c r="CQ12" s="15" t="str">
        <f>IF('Raw Data'!CE36="","",'Raw Data'!CE36)</f>
        <v/>
      </c>
      <c r="CR12" s="15" t="str">
        <f>IF('Raw Data'!CF36="","",'Raw Data'!CF36)</f>
        <v/>
      </c>
      <c r="CS12" s="15" t="str">
        <f>IF('Raw Data'!CG36="","",'Raw Data'!CG36)</f>
        <v/>
      </c>
      <c r="CT12" s="15" t="str">
        <f>IF('Raw Data'!CH36="","",'Raw Data'!CH36)</f>
        <v/>
      </c>
      <c r="CU12" s="15" t="str">
        <f>IF('Raw Data'!CI36="","",'Raw Data'!CI36)</f>
        <v/>
      </c>
      <c r="CV12" s="15" t="str">
        <f>IF('Raw Data'!CJ36="","",'Raw Data'!CJ36)</f>
        <v/>
      </c>
      <c r="CW12" s="15" t="str">
        <f>IF('Raw Data'!CK36="","",'Raw Data'!CK36)</f>
        <v/>
      </c>
      <c r="CX12" s="15" t="str">
        <f>IF('Raw Data'!CL36="","",'Raw Data'!CL36)</f>
        <v/>
      </c>
      <c r="CY12" s="15" t="str">
        <f>IF('Raw Data'!CM36="","",'Raw Data'!CM36)</f>
        <v/>
      </c>
      <c r="CZ12" s="15" t="str">
        <f>IF('Raw Data'!CN36="","",'Raw Data'!CN36)</f>
        <v/>
      </c>
      <c r="DA12" s="15" t="str">
        <f>IF('Raw Data'!CO36="","",'Raw Data'!CO36)</f>
        <v/>
      </c>
      <c r="DB12" s="15" t="str">
        <f>IF('Raw Data'!CP36="","",'Raw Data'!CP36)</f>
        <v/>
      </c>
      <c r="DC12" s="15" t="str">
        <f>IF('Raw Data'!CQ36="","",'Raw Data'!CQ36)</f>
        <v/>
      </c>
      <c r="DD12" s="15" t="str">
        <f>IF('Raw Data'!CR36="","",'Raw Data'!CR36)</f>
        <v/>
      </c>
      <c r="DE12" s="15" t="str">
        <f>IF('Raw Data'!CS36="","",'Raw Data'!CS36)</f>
        <v/>
      </c>
      <c r="DF12" s="15" t="str">
        <f>IF('Raw Data'!CT36="","",'Raw Data'!CT36)</f>
        <v/>
      </c>
      <c r="DG12" s="15" t="str">
        <f>IF('Raw Data'!CU36="","",'Raw Data'!CU36)</f>
        <v/>
      </c>
      <c r="DH12" s="15" t="str">
        <f>IF('Raw Data'!CV36="","",'Raw Data'!CV36)</f>
        <v/>
      </c>
      <c r="DI12" s="15" t="str">
        <f>IF('Raw Data'!CW36="","",'Raw Data'!CW36)</f>
        <v/>
      </c>
      <c r="DJ12" s="15" t="str">
        <f>IF('Raw Data'!CX36="","",'Raw Data'!CX36)</f>
        <v/>
      </c>
      <c r="DK12" s="15" t="str">
        <f>IF('Raw Data'!CY36="","",'Raw Data'!CY36)</f>
        <v/>
      </c>
      <c r="DL12" s="15" t="str">
        <f>IF('Raw Data'!CZ36="","",'Raw Data'!CZ36)</f>
        <v/>
      </c>
      <c r="DM12" s="15" t="str">
        <f>IF('Raw Data'!DA36="","",'Raw Data'!DA36)</f>
        <v/>
      </c>
      <c r="DN12" s="15" t="str">
        <f>IF('Raw Data'!DB36="","",'Raw Data'!DB36)</f>
        <v/>
      </c>
      <c r="DO12" s="15" t="str">
        <f>IF('Raw Data'!DC36="","",'Raw Data'!DC36)</f>
        <v/>
      </c>
      <c r="DP12" s="15" t="str">
        <f>IF('Raw Data'!DD36="","",'Raw Data'!DD36)</f>
        <v/>
      </c>
      <c r="DQ12" s="15" t="str">
        <f>IF('Raw Data'!DE36="","",'Raw Data'!DE36)</f>
        <v/>
      </c>
      <c r="DR12" s="15" t="str">
        <f>IF('Raw Data'!DF36="","",'Raw Data'!DF36)</f>
        <v/>
      </c>
      <c r="DS12" s="15" t="str">
        <f>IF('Raw Data'!DG36="","",'Raw Data'!DG36)</f>
        <v/>
      </c>
      <c r="DT12" s="15" t="str">
        <f>IF('Raw Data'!DH36="","",'Raw Data'!DH36)</f>
        <v/>
      </c>
      <c r="DU12" s="15" t="str">
        <f>IF('Raw Data'!DI36="","",'Raw Data'!DI36)</f>
        <v/>
      </c>
      <c r="DV12" s="15" t="str">
        <f>IF('Raw Data'!DJ36="","",'Raw Data'!DJ36)</f>
        <v/>
      </c>
      <c r="DW12" s="15" t="str">
        <f>IF('Raw Data'!DK36="","",'Raw Data'!DK36)</f>
        <v/>
      </c>
      <c r="DX12" s="15" t="str">
        <f>IF('Raw Data'!DL36="","",'Raw Data'!DL36)</f>
        <v/>
      </c>
      <c r="DY12" s="15" t="str">
        <f>IF('Raw Data'!DM36="","",'Raw Data'!DM36)</f>
        <v/>
      </c>
      <c r="DZ12" s="15" t="str">
        <f>IF('Raw Data'!DN36="","",'Raw Data'!DN36)</f>
        <v/>
      </c>
      <c r="EA12" s="15" t="str">
        <f>IF('Raw Data'!DO36="","",'Raw Data'!DO36)</f>
        <v/>
      </c>
      <c r="EB12" s="15" t="str">
        <f>IF('Raw Data'!DP36="","",'Raw Data'!DP36)</f>
        <v/>
      </c>
      <c r="EC12" s="15" t="str">
        <f>IF('Raw Data'!DQ36="","",'Raw Data'!DQ36)</f>
        <v/>
      </c>
      <c r="ED12" s="15" t="str">
        <f>IF('Raw Data'!DR36="","",'Raw Data'!DR36)</f>
        <v/>
      </c>
      <c r="EE12" s="15" t="str">
        <f>IF('Raw Data'!DS36="","",'Raw Data'!DS36)</f>
        <v/>
      </c>
      <c r="EF12" s="15" t="str">
        <f>IF('Raw Data'!DT36="","",'Raw Data'!DT36)</f>
        <v/>
      </c>
      <c r="EG12" s="15" t="str">
        <f>IF('Raw Data'!DU36="","",'Raw Data'!DU36)</f>
        <v/>
      </c>
      <c r="EH12" s="15" t="str">
        <f>IF('Raw Data'!DV36="","",'Raw Data'!DV36)</f>
        <v/>
      </c>
      <c r="EI12" s="15" t="str">
        <f>IF('Raw Data'!DW36="","",'Raw Data'!DW36)</f>
        <v/>
      </c>
      <c r="EJ12" s="15" t="str">
        <f>IF('Raw Data'!DX36="","",'Raw Data'!DX36)</f>
        <v/>
      </c>
      <c r="EK12" s="15" t="str">
        <f>IF('Raw Data'!DY36="","",'Raw Data'!DY36)</f>
        <v/>
      </c>
      <c r="EL12" s="15" t="str">
        <f>IF('Raw Data'!DZ36="","",'Raw Data'!DZ36)</f>
        <v>Soutien_psychosocial Soutien_chef_village dplct_abords_com</v>
      </c>
      <c r="EM12" s="15" t="str">
        <f>IF('Raw Data'!EA36="","",'Raw Data'!EA36)</f>
        <v>1</v>
      </c>
      <c r="EN12" s="15" t="str">
        <f>IF('Raw Data'!EB36="","",'Raw Data'!EB36)</f>
        <v>0</v>
      </c>
      <c r="EO12" s="15" t="str">
        <f>IF('Raw Data'!EC36="","",'Raw Data'!EC36)</f>
        <v>0</v>
      </c>
      <c r="EP12" s="15" t="str">
        <f>IF('Raw Data'!ED36="","",'Raw Data'!ED36)</f>
        <v>1</v>
      </c>
      <c r="EQ12" s="15" t="str">
        <f>IF('Raw Data'!EE36="","",'Raw Data'!EE36)</f>
        <v>1</v>
      </c>
      <c r="ER12" s="15" t="str">
        <f>IF('Raw Data'!EF36="","",'Raw Data'!EF36)</f>
        <v>0</v>
      </c>
      <c r="ES12" s="15" t="str">
        <f>IF('Raw Data'!EG36="","",'Raw Data'!EG36)</f>
        <v>0</v>
      </c>
      <c r="ET12" s="15" t="str">
        <f>IF('Raw Data'!EH36="","",'Raw Data'!EH36)</f>
        <v>0</v>
      </c>
      <c r="EU12" s="15" t="str">
        <f>IF('Raw Data'!EI36="","",'Raw Data'!EI36)</f>
        <v>0</v>
      </c>
      <c r="EV12" s="15" t="str">
        <f>IF('Raw Data'!EJ36="","",'Raw Data'!EJ36)</f>
        <v/>
      </c>
      <c r="EW12" s="15" t="str">
        <f>IF('Raw Data'!EK36="","",'Raw Data'!EK36)</f>
        <v/>
      </c>
      <c r="EX12" s="15" t="str">
        <f>IF('Raw Data'!EL36="","",'Raw Data'!EL36)</f>
        <v>comite_protection femmes_elite famille_accueil comite_alerte comite_redevabilite comite_gestion_conflits enfant_pairs</v>
      </c>
      <c r="EY12" s="15" t="str">
        <f>IF('Raw Data'!EM36="","",'Raw Data'!EM36)</f>
        <v>1</v>
      </c>
      <c r="EZ12" s="15" t="str">
        <f>IF('Raw Data'!EN36="","",'Raw Data'!EN36)</f>
        <v>1</v>
      </c>
      <c r="FA12" s="15" t="str">
        <f>IF('Raw Data'!EO36="","",'Raw Data'!EO36)</f>
        <v>1</v>
      </c>
      <c r="FB12" s="15" t="str">
        <f>IF('Raw Data'!EP36="","",'Raw Data'!EP36)</f>
        <v>1</v>
      </c>
      <c r="FC12" s="15" t="str">
        <f>IF('Raw Data'!EQ36="","",'Raw Data'!EQ36)</f>
        <v>1</v>
      </c>
      <c r="FD12" s="15" t="str">
        <f>IF('Raw Data'!ER36="","",'Raw Data'!ER36)</f>
        <v>1</v>
      </c>
      <c r="FE12" s="15" t="str">
        <f>IF('Raw Data'!ES36="","",'Raw Data'!ES36)</f>
        <v>1</v>
      </c>
      <c r="FF12" s="15" t="str">
        <f>IF('Raw Data'!ET36="","",'Raw Data'!ET36)</f>
        <v>0</v>
      </c>
      <c r="FG12" s="15" t="str">
        <f>IF('Raw Data'!EU36="","",'Raw Data'!EU36)</f>
        <v>0</v>
      </c>
      <c r="FH12" s="15" t="str">
        <f>IF('Raw Data'!EV36="","",'Raw Data'!EV36)</f>
        <v>0</v>
      </c>
      <c r="FI12" s="15" t="str">
        <f>IF('Raw Data'!EW36="","",'Raw Data'!EW36)</f>
        <v/>
      </c>
      <c r="FJ12" s="15" t="str">
        <f>IF('Raw Data'!EX36="","",'Raw Data'!EX36)</f>
        <v>oui</v>
      </c>
      <c r="FK12" s="15" t="str">
        <f>IF('Raw Data'!EY36="","",'Raw Data'!EY36)</f>
        <v>Radio_television manif_sociales famille_amis Chef_village</v>
      </c>
      <c r="FL12" s="15" t="str">
        <f>IF('Raw Data'!EZ36="","",'Raw Data'!EZ36)</f>
        <v>1</v>
      </c>
      <c r="FM12" s="15" t="str">
        <f>IF('Raw Data'!FA36="","",'Raw Data'!FA36)</f>
        <v>0</v>
      </c>
      <c r="FN12" s="15" t="str">
        <f>IF('Raw Data'!FB36="","",'Raw Data'!FB36)</f>
        <v>0</v>
      </c>
      <c r="FO12" s="15" t="str">
        <f>IF('Raw Data'!FC36="","",'Raw Data'!FC36)</f>
        <v>1</v>
      </c>
      <c r="FP12" s="15" t="str">
        <f>IF('Raw Data'!FD36="","",'Raw Data'!FD36)</f>
        <v>1</v>
      </c>
      <c r="FQ12" s="15" t="str">
        <f>IF('Raw Data'!FE36="","",'Raw Data'!FE36)</f>
        <v>1</v>
      </c>
      <c r="FR12" s="15" t="str">
        <f>IF('Raw Data'!FF36="","",'Raw Data'!FF36)</f>
        <v>0</v>
      </c>
      <c r="FS12" s="15" t="str">
        <f>IF('Raw Data'!FG36="","",'Raw Data'!FG36)</f>
        <v>0</v>
      </c>
      <c r="FT12" s="15" t="str">
        <f>IF('Raw Data'!FH36="","",'Raw Data'!FH36)</f>
        <v>0</v>
      </c>
      <c r="FU12" s="15" t="str">
        <f>IF('Raw Data'!FI36="","",'Raw Data'!FI36)</f>
        <v>0</v>
      </c>
      <c r="FV12" s="15" t="str">
        <f>IF('Raw Data'!FJ36="","",'Raw Data'!FJ36)</f>
        <v>0</v>
      </c>
      <c r="FW12" s="15" t="str">
        <f>IF('Raw Data'!FK36="","",'Raw Data'!FK36)</f>
        <v>0</v>
      </c>
      <c r="FX12" s="15" t="str">
        <f>IF('Raw Data'!FL36="","",'Raw Data'!FL36)</f>
        <v>0</v>
      </c>
      <c r="FY12" s="15" t="str">
        <f>IF('Raw Data'!FM36="","",'Raw Data'!FM36)</f>
        <v>0</v>
      </c>
      <c r="FZ12" s="15" t="str">
        <f>IF('Raw Data'!FN36="","",'Raw Data'!FN36)</f>
        <v/>
      </c>
      <c r="GA12" s="15" t="str">
        <f>IF('Raw Data'!FO36="","",'Raw Data'!FO36)</f>
        <v>oui_majorite</v>
      </c>
      <c r="GB12" s="15" t="str">
        <f>IF('Raw Data'!FP36="","",'Raw Data'!FP36)</f>
        <v>oui_majorite</v>
      </c>
      <c r="GC12" s="15" t="str">
        <f>IF('Raw Data'!FQ36="","",'Raw Data'!FQ36)</f>
        <v>manque_info</v>
      </c>
      <c r="GD12" s="15" t="str">
        <f>IF('Raw Data'!FR36="","",'Raw Data'!FR36)</f>
        <v>0</v>
      </c>
      <c r="GE12" s="15" t="str">
        <f>IF('Raw Data'!FS36="","",'Raw Data'!FS36)</f>
        <v>1</v>
      </c>
      <c r="GF12" s="15" t="str">
        <f>IF('Raw Data'!FT36="","",'Raw Data'!FT36)</f>
        <v>0</v>
      </c>
      <c r="GG12" s="15" t="str">
        <f>IF('Raw Data'!FU36="","",'Raw Data'!FU36)</f>
        <v>0</v>
      </c>
      <c r="GH12" s="15" t="str">
        <f>IF('Raw Data'!FV36="","",'Raw Data'!FV36)</f>
        <v>0</v>
      </c>
      <c r="GI12" s="15" t="str">
        <f>IF('Raw Data'!FW36="","",'Raw Data'!FW36)</f>
        <v>0</v>
      </c>
      <c r="GJ12" s="15" t="str">
        <f>IF('Raw Data'!FX36="","",'Raw Data'!FX36)</f>
        <v>0</v>
      </c>
      <c r="GK12" s="15" t="str">
        <f>IF('Raw Data'!FY36="","",'Raw Data'!FY36)</f>
        <v>0</v>
      </c>
      <c r="GL12" s="15" t="str">
        <f>IF('Raw Data'!FZ36="","",'Raw Data'!FZ36)</f>
        <v/>
      </c>
      <c r="GM12" s="15" t="str">
        <f>IF('Raw Data'!GA36="","",'Raw Data'!GA36)</f>
        <v>moitie</v>
      </c>
      <c r="GN12" s="15" t="str">
        <f>IF('Raw Data'!GB36="","",'Raw Data'!GB36)</f>
        <v>majorite</v>
      </c>
      <c r="GO12" s="15" t="str">
        <f>IF('Raw Data'!GC36="","",'Raw Data'!GC36)</f>
        <v>Education Appui_psychosocial Services_de_sante</v>
      </c>
      <c r="GP12" s="15" t="str">
        <f>IF('Raw Data'!GD36="","",'Raw Data'!GD36)</f>
        <v>1</v>
      </c>
      <c r="GQ12" s="15" t="str">
        <f>IF('Raw Data'!GE36="","",'Raw Data'!GE36)</f>
        <v>1</v>
      </c>
      <c r="GR12" s="15" t="str">
        <f>IF('Raw Data'!GF36="","",'Raw Data'!GF36)</f>
        <v>0</v>
      </c>
      <c r="GS12" s="15" t="str">
        <f>IF('Raw Data'!GG36="","",'Raw Data'!GG36)</f>
        <v>1</v>
      </c>
      <c r="GT12" s="15" t="str">
        <f>IF('Raw Data'!GH36="","",'Raw Data'!GH36)</f>
        <v>0</v>
      </c>
      <c r="GU12" s="15" t="str">
        <f>IF('Raw Data'!GI36="","",'Raw Data'!GI36)</f>
        <v>0</v>
      </c>
      <c r="GV12" s="15" t="str">
        <f>IF('Raw Data'!GJ36="","",'Raw Data'!GJ36)</f>
        <v>0</v>
      </c>
      <c r="GW12" s="15" t="str">
        <f>IF('Raw Data'!GK36="","",'Raw Data'!GK36)</f>
        <v>0</v>
      </c>
      <c r="GX12" s="15" t="str">
        <f>IF('Raw Data'!GL36="","",'Raw Data'!GL36)</f>
        <v>0</v>
      </c>
      <c r="GY12" s="15" t="str">
        <f>IF('Raw Data'!GM36="","",'Raw Data'!GM36)</f>
        <v/>
      </c>
      <c r="GZ12" s="15" t="str">
        <f>IF('Raw Data'!GN36="","",'Raw Data'!GN36)</f>
        <v>oui_majorite</v>
      </c>
      <c r="HA12" s="15" t="str">
        <f>IF('Raw Data'!GO36="","",'Raw Data'!GO36)</f>
        <v>oui_majorite</v>
      </c>
      <c r="HB12" s="15" t="str">
        <f>IF('Raw Data'!GP36="","",'Raw Data'!GP36)</f>
        <v>amelioration_futur diminution_tensions permet_obtenir_conseils</v>
      </c>
      <c r="HC12" s="15" t="str">
        <f>IF('Raw Data'!GQ36="","",'Raw Data'!GQ36)</f>
        <v>1</v>
      </c>
      <c r="HD12" s="15" t="str">
        <f>IF('Raw Data'!GR36="","",'Raw Data'!GR36)</f>
        <v>0</v>
      </c>
      <c r="HE12" s="15" t="str">
        <f>IF('Raw Data'!GS36="","",'Raw Data'!GS36)</f>
        <v>1</v>
      </c>
      <c r="HF12" s="15" t="str">
        <f>IF('Raw Data'!GT36="","",'Raw Data'!GT36)</f>
        <v>0</v>
      </c>
      <c r="HG12" s="15" t="str">
        <f>IF('Raw Data'!GU36="","",'Raw Data'!GU36)</f>
        <v>0</v>
      </c>
      <c r="HH12" s="15" t="str">
        <f>IF('Raw Data'!GV36="","",'Raw Data'!GV36)</f>
        <v>1</v>
      </c>
      <c r="HI12" s="15" t="str">
        <f>IF('Raw Data'!GW36="","",'Raw Data'!GW36)</f>
        <v>0</v>
      </c>
      <c r="HJ12" s="15" t="str">
        <f>IF('Raw Data'!GX36="","",'Raw Data'!GX36)</f>
        <v>0</v>
      </c>
      <c r="HK12" s="15" t="str">
        <f>IF('Raw Data'!GY36="","",'Raw Data'!GY36)</f>
        <v/>
      </c>
      <c r="HL12" s="15" t="str">
        <f>IF('Raw Data'!GZ36="","",'Raw Data'!GZ36)</f>
        <v>non_obtention_info ne_repond_pas</v>
      </c>
      <c r="HM12" s="15" t="str">
        <f>IF('Raw Data'!HA36="","",'Raw Data'!HA36)</f>
        <v>0</v>
      </c>
      <c r="HN12" s="15" t="str">
        <f>IF('Raw Data'!HB36="","",'Raw Data'!HB36)</f>
        <v>1</v>
      </c>
      <c r="HO12" s="15" t="str">
        <f>IF('Raw Data'!HC36="","",'Raw Data'!HC36)</f>
        <v>1</v>
      </c>
      <c r="HP12" s="15" t="str">
        <f>IF('Raw Data'!HD36="","",'Raw Data'!HD36)</f>
        <v>0</v>
      </c>
      <c r="HQ12" s="15" t="str">
        <f>IF('Raw Data'!HE36="","",'Raw Data'!HE36)</f>
        <v>0</v>
      </c>
      <c r="HR12" s="15" t="str">
        <f>IF('Raw Data'!HF36="","",'Raw Data'!HF36)</f>
        <v>0</v>
      </c>
      <c r="HS12" s="15" t="str">
        <f>IF('Raw Data'!HG36="","",'Raw Data'!HG36)</f>
        <v/>
      </c>
      <c r="HT12" s="15" t="str">
        <f>IF('Raw Data'!HH36="","",'Raw Data'!HH36)</f>
        <v/>
      </c>
      <c r="HU12" s="15" t="str">
        <f>IF('Raw Data'!HI36="","",'Raw Data'!HI36)</f>
        <v>oui_ensemble</v>
      </c>
      <c r="HV12" s="15" t="str">
        <f>IF('Raw Data'!HJ36="","",'Raw Data'!HJ36)</f>
        <v>ingo</v>
      </c>
      <c r="HW12" s="15" t="str">
        <f>IF('Raw Data'!HK36="","",'Raw Data'!HK36)</f>
        <v>0</v>
      </c>
      <c r="HX12" s="15" t="str">
        <f>IF('Raw Data'!HL36="","",'Raw Data'!HL36)</f>
        <v>0</v>
      </c>
      <c r="HY12" s="15" t="str">
        <f>IF('Raw Data'!HM36="","",'Raw Data'!HM36)</f>
        <v>0</v>
      </c>
      <c r="HZ12" s="15" t="str">
        <f>IF('Raw Data'!HN36="","",'Raw Data'!HN36)</f>
        <v>0</v>
      </c>
      <c r="IA12" s="15" t="str">
        <f>IF('Raw Data'!HO36="","",'Raw Data'!HO36)</f>
        <v>1</v>
      </c>
      <c r="IB12" s="15" t="str">
        <f>IF('Raw Data'!HP36="","",'Raw Data'!HP36)</f>
        <v>0</v>
      </c>
      <c r="IC12" s="15" t="str">
        <f>IF('Raw Data'!HQ36="","",'Raw Data'!HQ36)</f>
        <v>0</v>
      </c>
      <c r="ID12" s="15" t="str">
        <f>IF('Raw Data'!HR36="","",'Raw Data'!HR36)</f>
        <v>0</v>
      </c>
      <c r="IE12" s="15" t="str">
        <f>IF('Raw Data'!HS36="","",'Raw Data'!HS36)</f>
        <v>0</v>
      </c>
      <c r="IF12" s="15" t="str">
        <f>IF('Raw Data'!HT36="","",'Raw Data'!HT36)</f>
        <v>0</v>
      </c>
      <c r="IG12" s="15" t="str">
        <f>IF('Raw Data'!HU36="","",'Raw Data'!HU36)</f>
        <v/>
      </c>
      <c r="IH12" s="15" t="str">
        <f>IF('Raw Data'!HV36="","",'Raw Data'!HV36)</f>
        <v/>
      </c>
      <c r="II12" s="15" t="str">
        <f>IF('Raw Data'!HW36="","",'Raw Data'!HW36)</f>
        <v/>
      </c>
      <c r="IJ12" s="15" t="str">
        <f>IF('Raw Data'!HX36="","",'Raw Data'!HX36)</f>
        <v/>
      </c>
      <c r="IK12" s="15" t="str">
        <f>IF('Raw Data'!HY36="","",'Raw Data'!HY36)</f>
        <v/>
      </c>
      <c r="IL12" s="15" t="str">
        <f>IF('Raw Data'!HZ36="","",'Raw Data'!HZ36)</f>
        <v/>
      </c>
      <c r="IM12" s="15" t="str">
        <f>IF('Raw Data'!IA36="","",'Raw Data'!IA36)</f>
        <v/>
      </c>
      <c r="IN12" s="15" t="str">
        <f>IF('Raw Data'!IB36="","",'Raw Data'!IB36)</f>
        <v/>
      </c>
      <c r="IO12" s="15" t="str">
        <f>IF('Raw Data'!IC36="","",'Raw Data'!IC36)</f>
        <v/>
      </c>
      <c r="IP12" s="15" t="str">
        <f>IF('Raw Data'!ID36="","",'Raw Data'!ID36)</f>
        <v/>
      </c>
      <c r="IQ12" s="15" t="str">
        <f>IF('Raw Data'!IE36="","",'Raw Data'!IE36)</f>
        <v/>
      </c>
      <c r="IR12" s="15" t="str">
        <f>IF('Raw Data'!IF36="","",'Raw Data'!IF36)</f>
        <v/>
      </c>
      <c r="IS12" s="15" t="str">
        <f>IF('Raw Data'!IG36="","",'Raw Data'!IG36)</f>
        <v/>
      </c>
      <c r="IT12" s="15" t="str">
        <f>IF('Raw Data'!IH36="","",'Raw Data'!IH36)</f>
        <v/>
      </c>
      <c r="IU12" s="15" t="str">
        <f>IF('Raw Data'!II36="","",'Raw Data'!II36)</f>
        <v/>
      </c>
      <c r="IV12" s="15" t="str">
        <f>IF('Raw Data'!IJ36="","",'Raw Data'!IJ36)</f>
        <v/>
      </c>
      <c r="IW12" s="15" t="str">
        <f>IF('Raw Data'!IK36="","",'Raw Data'!IK36)</f>
        <v/>
      </c>
      <c r="IX12" s="15" t="str">
        <f>IF('Raw Data'!IL36="","",'Raw Data'!IL36)</f>
        <v/>
      </c>
      <c r="IY12" s="15" t="str">
        <f>IF('Raw Data'!IM36="","",'Raw Data'!IM36)</f>
        <v/>
      </c>
      <c r="IZ12" s="15" t="str">
        <f>IF('Raw Data'!IN36="","",'Raw Data'!IN36)</f>
        <v>2</v>
      </c>
      <c r="JA12" s="15" t="str">
        <f>IF('Raw Data'!IO36="","",'Raw Data'!IO36)</f>
        <v>Appui_psychosocial Services_medicaux Services_educatifs</v>
      </c>
      <c r="JB12" s="15" t="str">
        <f>IF('Raw Data'!IP36="","",'Raw Data'!IP36)</f>
        <v>1</v>
      </c>
      <c r="JC12" s="15" t="str">
        <f>IF('Raw Data'!IQ36="","",'Raw Data'!IQ36)</f>
        <v>1</v>
      </c>
      <c r="JD12" s="15" t="str">
        <f>IF('Raw Data'!IR36="","",'Raw Data'!IR36)</f>
        <v>1</v>
      </c>
      <c r="JE12" s="15" t="str">
        <f>IF('Raw Data'!IS36="","",'Raw Data'!IS36)</f>
        <v>0</v>
      </c>
      <c r="JF12" s="15" t="str">
        <f>IF('Raw Data'!IT36="","",'Raw Data'!IT36)</f>
        <v>0</v>
      </c>
      <c r="JG12" s="15" t="str">
        <f>IF('Raw Data'!IU36="","",'Raw Data'!IU36)</f>
        <v>0</v>
      </c>
      <c r="JH12" s="15" t="str">
        <f>IF('Raw Data'!IV36="","",'Raw Data'!IV36)</f>
        <v>0</v>
      </c>
      <c r="JI12" s="15" t="str">
        <f>IF('Raw Data'!IW36="","",'Raw Data'!IW36)</f>
        <v>0</v>
      </c>
      <c r="JJ12" s="15" t="str">
        <f>IF('Raw Data'!IX36="","",'Raw Data'!IX36)</f>
        <v>0</v>
      </c>
      <c r="JK12" s="15" t="str">
        <f>IF('Raw Data'!IY36="","",'Raw Data'!IY36)</f>
        <v>0</v>
      </c>
      <c r="JL12" s="15" t="str">
        <f>IF('Raw Data'!IZ36="","",'Raw Data'!IZ36)</f>
        <v/>
      </c>
      <c r="JM12" s="15" t="str">
        <f>IF('Raw Data'!JA36="","",'Raw Data'!JA36)</f>
        <v>reorientation signalement</v>
      </c>
      <c r="JN12" s="15" t="str">
        <f>IF('Raw Data'!JB36="","",'Raw Data'!JB36)</f>
        <v>0</v>
      </c>
      <c r="JO12" s="15" t="str">
        <f>IF('Raw Data'!JC36="","",'Raw Data'!JC36)</f>
        <v>1</v>
      </c>
      <c r="JP12" s="15" t="str">
        <f>IF('Raw Data'!JD36="","",'Raw Data'!JD36)</f>
        <v>1</v>
      </c>
      <c r="JQ12" s="15" t="str">
        <f>IF('Raw Data'!JE36="","",'Raw Data'!JE36)</f>
        <v>0</v>
      </c>
      <c r="JR12" s="15" t="str">
        <f>IF('Raw Data'!JF36="","",'Raw Data'!JF36)</f>
        <v>0</v>
      </c>
      <c r="JS12" s="15" t="str">
        <f>IF('Raw Data'!JG36="","",'Raw Data'!JG36)</f>
        <v>0</v>
      </c>
      <c r="JT12" s="15" t="str">
        <f>IF('Raw Data'!JH36="","",'Raw Data'!JH36)</f>
        <v/>
      </c>
      <c r="JU12" s="15" t="str">
        <f>IF('Raw Data'!JI36="","",'Raw Data'!JI36)</f>
        <v/>
      </c>
      <c r="JV12" s="15" t="str">
        <f>IF('Raw Data'!JJ36="","",'Raw Data'!JJ36)</f>
        <v/>
      </c>
      <c r="JW12" s="15" t="str">
        <f>IF('Raw Data'!JK36="","",'Raw Data'!JK36)</f>
        <v/>
      </c>
      <c r="JX12" s="15" t="str">
        <f>IF('Raw Data'!JL36="","",'Raw Data'!JL36)</f>
        <v/>
      </c>
      <c r="JY12" s="15" t="str">
        <f>IF('Raw Data'!JM36="","",'Raw Data'!JM36)</f>
        <v/>
      </c>
      <c r="JZ12" s="15" t="str">
        <f>IF('Raw Data'!JN36="","",'Raw Data'!JN36)</f>
        <v/>
      </c>
      <c r="KA12" s="15" t="str">
        <f>IF('Raw Data'!JO36="","",'Raw Data'!JO36)</f>
        <v/>
      </c>
      <c r="KB12" s="15" t="str">
        <f>IF('Raw Data'!JP36="","",'Raw Data'!JP36)</f>
        <v/>
      </c>
      <c r="KC12" s="15" t="str">
        <f>IF('Raw Data'!JQ36="","",'Raw Data'!JQ36)</f>
        <v/>
      </c>
      <c r="KD12" s="15" t="str">
        <f>IF('Raw Data'!JR36="","",'Raw Data'!JR36)</f>
        <v/>
      </c>
      <c r="KE12" s="15" t="str">
        <f>IF('Raw Data'!JS36="","",'Raw Data'!JS36)</f>
        <v/>
      </c>
      <c r="KF12" s="15" t="str">
        <f>IF('Raw Data'!JT36="","",'Raw Data'!JT36)</f>
        <v>medical Psychosocia point_ecoute</v>
      </c>
      <c r="KG12" s="15" t="str">
        <f>IF('Raw Data'!JU36="","",'Raw Data'!JU36)</f>
        <v>1</v>
      </c>
      <c r="KH12" s="15" t="str">
        <f>IF('Raw Data'!JV36="","",'Raw Data'!JV36)</f>
        <v>1</v>
      </c>
      <c r="KI12" s="15" t="str">
        <f>IF('Raw Data'!JW36="","",'Raw Data'!JW36)</f>
        <v>1</v>
      </c>
      <c r="KJ12" s="15" t="str">
        <f>IF('Raw Data'!JX36="","",'Raw Data'!JX36)</f>
        <v>0</v>
      </c>
      <c r="KK12" s="15" t="str">
        <f>IF('Raw Data'!JY36="","",'Raw Data'!JY36)</f>
        <v>0</v>
      </c>
      <c r="KL12" s="15" t="str">
        <f>IF('Raw Data'!JZ36="","",'Raw Data'!JZ36)</f>
        <v>0</v>
      </c>
      <c r="KM12" s="15" t="str">
        <f>IF('Raw Data'!KA36="","",'Raw Data'!KA36)</f>
        <v>0</v>
      </c>
      <c r="KN12" s="15" t="str">
        <f>IF('Raw Data'!KB36="","",'Raw Data'!KB36)</f>
        <v>0</v>
      </c>
      <c r="KO12" s="15" t="str">
        <f>IF('Raw Data'!KC36="","",'Raw Data'!KC36)</f>
        <v>0</v>
      </c>
      <c r="KP12" s="15" t="str">
        <f>IF('Raw Data'!KD36="","",'Raw Data'!KD36)</f>
        <v/>
      </c>
      <c r="KQ12" s="15" t="str">
        <f>IF('Raw Data'!KE36="","",'Raw Data'!KE36)</f>
        <v/>
      </c>
      <c r="KR12" s="15" t="str">
        <f>IF('Raw Data'!KF36="","",'Raw Data'!KF36)</f>
        <v>non</v>
      </c>
      <c r="KS12" s="15" t="str">
        <f>IF('Raw Data'!KG36="","",'Raw Data'!KG36)</f>
        <v/>
      </c>
      <c r="KT12" s="15" t="str">
        <f>IF('Raw Data'!KH36="","",'Raw Data'!KH36)</f>
        <v/>
      </c>
      <c r="KU12" s="15" t="str">
        <f>IF('Raw Data'!KI36="","",'Raw Data'!KI36)</f>
        <v/>
      </c>
      <c r="KV12" s="15" t="str">
        <f>IF('Raw Data'!KJ36="","",'Raw Data'!KJ36)</f>
        <v/>
      </c>
      <c r="KW12" s="15" t="str">
        <f>IF('Raw Data'!KK36="","",'Raw Data'!KK36)</f>
        <v/>
      </c>
      <c r="KX12" s="15" t="str">
        <f>IF('Raw Data'!KL36="","",'Raw Data'!KL36)</f>
        <v/>
      </c>
      <c r="KY12" s="15" t="str">
        <f>IF('Raw Data'!KM36="","",'Raw Data'!KM36)</f>
        <v/>
      </c>
      <c r="KZ12" s="15" t="str">
        <f>IF('Raw Data'!KN36="","",'Raw Data'!KN36)</f>
        <v/>
      </c>
      <c r="LA12" s="15" t="str">
        <f>IF('Raw Data'!KO36="","",'Raw Data'!KO36)</f>
        <v/>
      </c>
      <c r="LB12" s="15" t="str">
        <f>IF('Raw Data'!KP36="","",'Raw Data'!KP36)</f>
        <v/>
      </c>
      <c r="LC12" s="15" t="str">
        <f>IF('Raw Data'!KQ36="","",'Raw Data'!KQ36)</f>
        <v/>
      </c>
      <c r="LD12" s="15" t="str">
        <f>IF('Raw Data'!KR36="","",'Raw Data'!KR36)</f>
        <v/>
      </c>
      <c r="LE12" s="15" t="str">
        <f>IF('Raw Data'!KS36="","",'Raw Data'!KS36)</f>
        <v/>
      </c>
      <c r="LF12" s="15" t="str">
        <f>IF('Raw Data'!KT36="","",'Raw Data'!KT36)</f>
        <v/>
      </c>
      <c r="LG12" s="15" t="str">
        <f>IF('Raw Data'!KU36="","",'Raw Data'!KU36)</f>
        <v/>
      </c>
      <c r="LH12" s="15" t="str">
        <f>IF('Raw Data'!KV36="","",'Raw Data'!KV36)</f>
        <v/>
      </c>
      <c r="LI12" s="15" t="str">
        <f>IF('Raw Data'!KW36="","",'Raw Data'!KW36)</f>
        <v/>
      </c>
      <c r="LJ12" s="15" t="str">
        <f>IF('Raw Data'!KX36="","",'Raw Data'!KX36)</f>
        <v/>
      </c>
      <c r="LK12" s="15" t="str">
        <f>IF('Raw Data'!KY36="","",'Raw Data'!KY36)</f>
        <v/>
      </c>
      <c r="LL12" s="15" t="str">
        <f>IF('Raw Data'!KZ36="","",'Raw Data'!KZ36)</f>
        <v/>
      </c>
      <c r="LM12" s="15" t="str">
        <f>IF('Raw Data'!LA36="","",'Raw Data'!LA36)</f>
        <v/>
      </c>
      <c r="LN12" s="15" t="str">
        <f>IF('Raw Data'!LB36="","",'Raw Data'!LB36)</f>
        <v>non</v>
      </c>
      <c r="LO12" s="15" t="str">
        <f>IF('Raw Data'!LC36="","",'Raw Data'!LC36)</f>
        <v/>
      </c>
      <c r="LP12" s="15" t="str">
        <f>IF('Raw Data'!LD36="","",'Raw Data'!LD36)</f>
        <v/>
      </c>
      <c r="LQ12" s="15" t="str">
        <f>IF('Raw Data'!LE36="","",'Raw Data'!LE36)</f>
        <v/>
      </c>
      <c r="LR12" s="15" t="str">
        <f>IF('Raw Data'!LF36="","",'Raw Data'!LF36)</f>
        <v/>
      </c>
      <c r="LS12" s="15" t="str">
        <f>IF('Raw Data'!LG36="","",'Raw Data'!LG36)</f>
        <v/>
      </c>
      <c r="LT12" s="15" t="str">
        <f>IF('Raw Data'!LH36="","",'Raw Data'!LH36)</f>
        <v/>
      </c>
      <c r="LU12" s="15" t="str">
        <f>IF('Raw Data'!LI36="","",'Raw Data'!LI36)</f>
        <v/>
      </c>
      <c r="LV12" s="15" t="str">
        <f>IF('Raw Data'!LJ36="","",'Raw Data'!LJ36)</f>
        <v/>
      </c>
      <c r="LW12" s="15" t="str">
        <f>IF('Raw Data'!LK36="","",'Raw Data'!LK36)</f>
        <v/>
      </c>
      <c r="LX12" s="15" t="str">
        <f>IF('Raw Data'!LL36="","",'Raw Data'!LL36)</f>
        <v/>
      </c>
      <c r="LY12" s="15" t="str">
        <f>IF('Raw Data'!LM36="","",'Raw Data'!LM36)</f>
        <v/>
      </c>
      <c r="LZ12" s="15" t="str">
        <f>IF('Raw Data'!LN36="","",'Raw Data'!LN36)</f>
        <v/>
      </c>
      <c r="MA12" s="15" t="str">
        <f>IF('Raw Data'!LO36="","",'Raw Data'!LO36)</f>
        <v/>
      </c>
      <c r="MB12" s="15" t="str">
        <f>IF('Raw Data'!LP36="","",'Raw Data'!LP36)</f>
        <v>oui</v>
      </c>
      <c r="MC12" s="15" t="str">
        <f>IF('Raw Data'!LQ36="","",'Raw Data'!LQ36)</f>
        <v/>
      </c>
      <c r="MD12" s="31"/>
      <c r="ME12" s="15">
        <f>IF('Raw Data'!LS36="","",'Raw Data'!LS36)</f>
        <v>169365670</v>
      </c>
      <c r="MF12" s="15" t="str">
        <f>IF('Raw Data'!LT36="","",'Raw Data'!LT36)</f>
        <v>c3dcf604-6805-4aad-b3ab-755e96eb92fe</v>
      </c>
      <c r="MG12" s="15" t="str">
        <f>IF('Raw Data'!LU36="","",'Raw Data'!LU36)</f>
        <v>2021-04-03T00:06:19</v>
      </c>
      <c r="MH12" s="15" t="str">
        <f>IF('Raw Data'!LV36="","",'Raw Data'!LV36)</f>
        <v/>
      </c>
      <c r="MI12" s="15" t="str">
        <f>IF('Raw Data'!LW36="","",'Raw Data'!LW36)</f>
        <v>[]</v>
      </c>
      <c r="MJ12" s="15" t="str">
        <f>IF('Raw Data'!LX36="","",'Raw Data'!LX36)</f>
        <v>submitted_via_web</v>
      </c>
      <c r="MK12" s="15" t="str">
        <f>IF('Raw Data'!LY36="","",'Raw Data'!LY36)</f>
        <v>reach_niger</v>
      </c>
      <c r="ML12" s="15" t="str">
        <f>IF('Raw Data'!LZ36="","",'Raw Data'!LZ36)</f>
        <v/>
      </c>
      <c r="MM12" s="15">
        <f>IF('Raw Data'!MA36="","",'Raw Data'!MA36)</f>
        <v>37</v>
      </c>
    </row>
    <row r="13" spans="1:351" x14ac:dyDescent="0.3">
      <c r="A13" s="26" t="str">
        <f t="shared" si="0"/>
        <v>6ca50534-f189-442a-a32d-0405d9b74d30</v>
      </c>
      <c r="B13" s="26" t="str">
        <f t="shared" si="1"/>
        <v>ayerou</v>
      </c>
      <c r="C13" s="26" t="str">
        <f t="shared" si="2"/>
        <v>D</v>
      </c>
      <c r="D13" s="14" t="str">
        <f>IF('Raw Data'!A21="","",'Raw Data'!A21)</f>
        <v>2021-04-01T12:08:54.489+01:00</v>
      </c>
      <c r="E13" s="14" t="str">
        <f>IF('Raw Data'!B21="","",'Raw Data'!B21)</f>
        <v>2021-04-01T14:29:33.300+01:00</v>
      </c>
      <c r="F13" s="30">
        <v>44287.506180555552</v>
      </c>
      <c r="G13" s="30">
        <v>44287.603854166664</v>
      </c>
      <c r="H13" s="29">
        <f>VLOOKUP(A13,Audit[#All],2,FALSE)</f>
        <v>140.65</v>
      </c>
      <c r="I13" s="29">
        <f>VLOOKUP(A13,Audit[#All],3,FALSE)</f>
        <v>17.079999999999998</v>
      </c>
      <c r="J13" s="29">
        <f>VLOOKUP(A13,Audit[#All],4,FALSE)</f>
        <v>16.02</v>
      </c>
      <c r="K13" s="29">
        <f>VLOOKUP(A13,nb_questions[#All],2,FALSE)</f>
        <v>66</v>
      </c>
      <c r="L13" s="29">
        <f t="shared" si="3"/>
        <v>172</v>
      </c>
      <c r="M13" s="14" t="str">
        <f>IF('Raw Data'!C21="","",'Raw Data'!C21)</f>
        <v>2021-04-01</v>
      </c>
      <c r="N13" s="14" t="str">
        <f>IF('Raw Data'!D21="","",'Raw Data'!D21)</f>
        <v/>
      </c>
      <c r="O13" s="14" t="str">
        <f>IF('Raw Data'!E21="","",'Raw Data'!E21)</f>
        <v/>
      </c>
      <c r="P13" s="29" t="str">
        <f>VLOOKUP(A13,code_enqueteurs[#All],3,FALSE)</f>
        <v>D</v>
      </c>
      <c r="Q13" s="29" t="s">
        <v>1649</v>
      </c>
      <c r="R13" s="14" t="str">
        <f>IF('Raw Data'!F21="","",'Raw Data'!F21)</f>
        <v>Homme</v>
      </c>
      <c r="S13" s="15" t="str">
        <f>IF('Raw Data'!G21="","",'Raw Data'!G21)</f>
        <v>ayerou</v>
      </c>
      <c r="T13" s="15" t="str">
        <f>IF('Raw Data'!H21="","",'Raw Data'!H21)</f>
        <v>ayerou</v>
      </c>
      <c r="U13" s="31" t="s">
        <v>1158</v>
      </c>
      <c r="V13" s="31"/>
      <c r="W13" s="15" t="str">
        <f>IF('Raw Data'!K21="","",'Raw Data'!K21)</f>
        <v/>
      </c>
      <c r="X13" s="15" t="str">
        <f>IF('Raw Data'!L21="","",'Raw Data'!L21)</f>
        <v/>
      </c>
      <c r="Y13" s="15" t="str">
        <f>IF('Raw Data'!M21="","",'Raw Data'!M21)</f>
        <v/>
      </c>
      <c r="Z13" s="15" t="str">
        <f>IF('Raw Data'!N21="","",'Raw Data'!N21)</f>
        <v/>
      </c>
      <c r="AA13" s="15" t="str">
        <f>IF('Raw Data'!O21="","",'Raw Data'!O21)</f>
        <v/>
      </c>
      <c r="AB13" s="15" t="str">
        <f>IF('Raw Data'!P21="","",'Raw Data'!P21)</f>
        <v/>
      </c>
      <c r="AC13" s="15" t="str">
        <f>IF('Raw Data'!Q21="","",'Raw Data'!Q21)</f>
        <v/>
      </c>
      <c r="AD13" s="15" t="str">
        <f>IF('Raw Data'!R21="","",'Raw Data'!R21)</f>
        <v>Homme</v>
      </c>
      <c r="AE13" s="15" t="str">
        <f>IF('Raw Data'!S21="","",'Raw Data'!S21)</f>
        <v>35</v>
      </c>
      <c r="AF13" s="15" t="str">
        <f>IF('Raw Data'!T21="","",'Raw Data'!T21)</f>
        <v>deplace_interne</v>
      </c>
      <c r="AG13" s="15" t="str">
        <f>IF('Raw Data'!U21="","",'Raw Data'!U21)</f>
        <v/>
      </c>
      <c r="AH13" s="15" t="str">
        <f>IF('Raw Data'!V21="","",'Raw Data'!V21)</f>
        <v/>
      </c>
      <c r="AI13" s="15" t="str">
        <f>IF('Raw Data'!W21="","",'Raw Data'!W21)</f>
        <v/>
      </c>
      <c r="AJ13" s="15" t="str">
        <f>IF('Raw Data'!X21="","",'Raw Data'!X21)</f>
        <v/>
      </c>
      <c r="AK13" s="15" t="str">
        <f>IF('Raw Data'!Y21="","",'Raw Data'!Y21)</f>
        <v/>
      </c>
      <c r="AL13" s="15" t="str">
        <f>IF('Raw Data'!Z21="","",'Raw Data'!Z21)</f>
        <v>niger</v>
      </c>
      <c r="AM13" s="15" t="str">
        <f>IF('Raw Data'!AA21="","",'Raw Data'!AA21)</f>
        <v>tillaberi</v>
      </c>
      <c r="AN13" s="15" t="str">
        <f>IF('Raw Data'!AB21="","",'Raw Data'!AB21)</f>
        <v>ayerou</v>
      </c>
      <c r="AO13" s="15" t="str">
        <f>IF('Raw Data'!AC21="","",'Raw Data'!AC21)</f>
        <v/>
      </c>
      <c r="AP13" s="15" t="str">
        <f>IF('Raw Data'!AD21="","",'Raw Data'!AD21)</f>
        <v/>
      </c>
      <c r="AQ13" s="15" t="str">
        <f>IF('Raw Data'!AE21="","",'Raw Data'!AE21)</f>
        <v/>
      </c>
      <c r="AR13" s="15" t="str">
        <f>IF('Raw Data'!AF21="","",'Raw Data'!AF21)</f>
        <v/>
      </c>
      <c r="AS13" s="15" t="str">
        <f>IF('Raw Data'!AG21="","",'Raw Data'!AG21)</f>
        <v>non</v>
      </c>
      <c r="AT13" s="15" t="str">
        <f>IF('Raw Data'!AH21="","",'Raw Data'!AH21)</f>
        <v/>
      </c>
      <c r="AU13" s="15" t="str">
        <f>IF('Raw Data'!AI21="","",'Raw Data'!AI21)</f>
        <v/>
      </c>
      <c r="AV13" s="15" t="str">
        <f>IF('Raw Data'!AJ21="","",'Raw Data'!AJ21)</f>
        <v/>
      </c>
      <c r="AW13" s="15" t="str">
        <f>IF('Raw Data'!AK21="","",'Raw Data'!AK21)</f>
        <v/>
      </c>
      <c r="AX13" s="15" t="str">
        <f>IF('Raw Data'!AL21="","",'Raw Data'!AL21)</f>
        <v/>
      </c>
      <c r="AY13" s="15" t="str">
        <f>IF('Raw Data'!AM21="","",'Raw Data'!AM21)</f>
        <v/>
      </c>
      <c r="AZ13" s="15" t="str">
        <f>IF('Raw Data'!AN21="","",'Raw Data'!AN21)</f>
        <v/>
      </c>
      <c r="BA13" s="15" t="str">
        <f>IF('Raw Data'!AO21="","",'Raw Data'!AO21)</f>
        <v/>
      </c>
      <c r="BB13" s="15" t="str">
        <f>IF('Raw Data'!AP21="","",'Raw Data'!AP21)</f>
        <v/>
      </c>
      <c r="BC13" s="15" t="str">
        <f>IF('Raw Data'!AQ21="","",'Raw Data'!AQ21)</f>
        <v/>
      </c>
      <c r="BD13" s="15" t="str">
        <f>IF('Raw Data'!AR21="","",'Raw Data'!AR21)</f>
        <v/>
      </c>
      <c r="BE13" s="15" t="str">
        <f>IF('Raw Data'!AS21="","",'Raw Data'!AS21)</f>
        <v/>
      </c>
      <c r="BF13" s="15" t="str">
        <f>IF('Raw Data'!AT21="","",'Raw Data'!AT21)</f>
        <v/>
      </c>
      <c r="BG13" s="15" t="str">
        <f>IF('Raw Data'!AU21="","",'Raw Data'!AU21)</f>
        <v/>
      </c>
      <c r="BH13" s="15" t="str">
        <f>IF('Raw Data'!AV21="","",'Raw Data'!AV21)</f>
        <v/>
      </c>
      <c r="BI13" s="15" t="str">
        <f>IF('Raw Data'!AW21="","",'Raw Data'!AW21)</f>
        <v/>
      </c>
      <c r="BJ13" s="15" t="str">
        <f>IF('Raw Data'!AX21="","",'Raw Data'!AX21)</f>
        <v/>
      </c>
      <c r="BK13" s="15" t="str">
        <f>IF('Raw Data'!AY21="","",'Raw Data'!AY21)</f>
        <v/>
      </c>
      <c r="BL13" s="15" t="str">
        <f>IF('Raw Data'!AZ21="","",'Raw Data'!AZ21)</f>
        <v/>
      </c>
      <c r="BM13" s="15" t="str">
        <f>IF('Raw Data'!BA21="","",'Raw Data'!BA21)</f>
        <v/>
      </c>
      <c r="BN13" s="15" t="str">
        <f>IF('Raw Data'!BB21="","",'Raw Data'!BB21)</f>
        <v/>
      </c>
      <c r="BO13" s="15" t="str">
        <f>IF('Raw Data'!BC21="","",'Raw Data'!BC21)</f>
        <v/>
      </c>
      <c r="BP13" s="15" t="str">
        <f>IF('Raw Data'!BD21="","",'Raw Data'!BD21)</f>
        <v/>
      </c>
      <c r="BQ13" s="15" t="str">
        <f>IF('Raw Data'!BE21="","",'Raw Data'!BE21)</f>
        <v/>
      </c>
      <c r="BR13" s="15" t="str">
        <f>IF('Raw Data'!BF21="","",'Raw Data'!BF21)</f>
        <v/>
      </c>
      <c r="BS13" s="15" t="str">
        <f>IF('Raw Data'!BG21="","",'Raw Data'!BG21)</f>
        <v/>
      </c>
      <c r="BT13" s="15" t="str">
        <f>IF('Raw Data'!BH21="","",'Raw Data'!BH21)</f>
        <v/>
      </c>
      <c r="BU13" s="15" t="str">
        <f>IF('Raw Data'!BI21="","",'Raw Data'!BI21)</f>
        <v/>
      </c>
      <c r="BV13" s="15" t="str">
        <f>IF('Raw Data'!BJ21="","",'Raw Data'!BJ21)</f>
        <v/>
      </c>
      <c r="BW13" s="15" t="str">
        <f>IF('Raw Data'!BK21="","",'Raw Data'!BK21)</f>
        <v/>
      </c>
      <c r="BX13" s="15" t="str">
        <f>IF('Raw Data'!BL21="","",'Raw Data'!BL21)</f>
        <v/>
      </c>
      <c r="BY13" s="15" t="str">
        <f>IF('Raw Data'!BM21="","",'Raw Data'!BM21)</f>
        <v/>
      </c>
      <c r="BZ13" s="15" t="str">
        <f>IF('Raw Data'!BN21="","",'Raw Data'!BN21)</f>
        <v/>
      </c>
      <c r="CA13" s="15" t="str">
        <f>IF('Raw Data'!BO21="","",'Raw Data'!BO21)</f>
        <v/>
      </c>
      <c r="CB13" s="15" t="str">
        <f>IF('Raw Data'!BP21="","",'Raw Data'!BP21)</f>
        <v/>
      </c>
      <c r="CC13" s="15" t="str">
        <f>IF('Raw Data'!BQ21="","",'Raw Data'!BQ21)</f>
        <v>non</v>
      </c>
      <c r="CD13" s="15" t="str">
        <f>IF('Raw Data'!BR21="","",'Raw Data'!BR21)</f>
        <v/>
      </c>
      <c r="CE13" s="15" t="str">
        <f>IF('Raw Data'!BS21="","",'Raw Data'!BS21)</f>
        <v/>
      </c>
      <c r="CF13" s="15" t="str">
        <f>IF('Raw Data'!BT21="","",'Raw Data'!BT21)</f>
        <v/>
      </c>
      <c r="CG13" s="15" t="str">
        <f>IF('Raw Data'!BU21="","",'Raw Data'!BU21)</f>
        <v/>
      </c>
      <c r="CH13" s="15" t="str">
        <f>IF('Raw Data'!BV21="","",'Raw Data'!BV21)</f>
        <v/>
      </c>
      <c r="CI13" s="15" t="str">
        <f>IF('Raw Data'!BW21="","",'Raw Data'!BW21)</f>
        <v/>
      </c>
      <c r="CJ13" s="15" t="str">
        <f>IF('Raw Data'!BX21="","",'Raw Data'!BX21)</f>
        <v/>
      </c>
      <c r="CK13" s="15" t="str">
        <f>IF('Raw Data'!BY21="","",'Raw Data'!BY21)</f>
        <v/>
      </c>
      <c r="CL13" s="15" t="str">
        <f>IF('Raw Data'!BZ21="","",'Raw Data'!BZ21)</f>
        <v/>
      </c>
      <c r="CM13" s="15" t="str">
        <f>IF('Raw Data'!CA21="","",'Raw Data'!CA21)</f>
        <v/>
      </c>
      <c r="CN13" s="15" t="str">
        <f>IF('Raw Data'!CB21="","",'Raw Data'!CB21)</f>
        <v/>
      </c>
      <c r="CO13" s="15" t="str">
        <f>IF('Raw Data'!CC21="","",'Raw Data'!CC21)</f>
        <v/>
      </c>
      <c r="CP13" s="15" t="str">
        <f>IF('Raw Data'!CD21="","",'Raw Data'!CD21)</f>
        <v/>
      </c>
      <c r="CQ13" s="15" t="str">
        <f>IF('Raw Data'!CE21="","",'Raw Data'!CE21)</f>
        <v/>
      </c>
      <c r="CR13" s="15" t="str">
        <f>IF('Raw Data'!CF21="","",'Raw Data'!CF21)</f>
        <v/>
      </c>
      <c r="CS13" s="15" t="str">
        <f>IF('Raw Data'!CG21="","",'Raw Data'!CG21)</f>
        <v/>
      </c>
      <c r="CT13" s="15" t="str">
        <f>IF('Raw Data'!CH21="","",'Raw Data'!CH21)</f>
        <v/>
      </c>
      <c r="CU13" s="15" t="str">
        <f>IF('Raw Data'!CI21="","",'Raw Data'!CI21)</f>
        <v/>
      </c>
      <c r="CV13" s="15" t="str">
        <f>IF('Raw Data'!CJ21="","",'Raw Data'!CJ21)</f>
        <v/>
      </c>
      <c r="CW13" s="15" t="str">
        <f>IF('Raw Data'!CK21="","",'Raw Data'!CK21)</f>
        <v/>
      </c>
      <c r="CX13" s="15" t="str">
        <f>IF('Raw Data'!CL21="","",'Raw Data'!CL21)</f>
        <v/>
      </c>
      <c r="CY13" s="15" t="str">
        <f>IF('Raw Data'!CM21="","",'Raw Data'!CM21)</f>
        <v/>
      </c>
      <c r="CZ13" s="15" t="str">
        <f>IF('Raw Data'!CN21="","",'Raw Data'!CN21)</f>
        <v/>
      </c>
      <c r="DA13" s="15" t="str">
        <f>IF('Raw Data'!CO21="","",'Raw Data'!CO21)</f>
        <v/>
      </c>
      <c r="DB13" s="15" t="str">
        <f>IF('Raw Data'!CP21="","",'Raw Data'!CP21)</f>
        <v/>
      </c>
      <c r="DC13" s="15" t="str">
        <f>IF('Raw Data'!CQ21="","",'Raw Data'!CQ21)</f>
        <v/>
      </c>
      <c r="DD13" s="15" t="str">
        <f>IF('Raw Data'!CR21="","",'Raw Data'!CR21)</f>
        <v/>
      </c>
      <c r="DE13" s="15" t="str">
        <f>IF('Raw Data'!CS21="","",'Raw Data'!CS21)</f>
        <v/>
      </c>
      <c r="DF13" s="15" t="str">
        <f>IF('Raw Data'!CT21="","",'Raw Data'!CT21)</f>
        <v/>
      </c>
      <c r="DG13" s="15" t="str">
        <f>IF('Raw Data'!CU21="","",'Raw Data'!CU21)</f>
        <v/>
      </c>
      <c r="DH13" s="15" t="str">
        <f>IF('Raw Data'!CV21="","",'Raw Data'!CV21)</f>
        <v/>
      </c>
      <c r="DI13" s="15" t="str">
        <f>IF('Raw Data'!CW21="","",'Raw Data'!CW21)</f>
        <v/>
      </c>
      <c r="DJ13" s="15" t="str">
        <f>IF('Raw Data'!CX21="","",'Raw Data'!CX21)</f>
        <v/>
      </c>
      <c r="DK13" s="15" t="str">
        <f>IF('Raw Data'!CY21="","",'Raw Data'!CY21)</f>
        <v/>
      </c>
      <c r="DL13" s="15" t="str">
        <f>IF('Raw Data'!CZ21="","",'Raw Data'!CZ21)</f>
        <v/>
      </c>
      <c r="DM13" s="15" t="str">
        <f>IF('Raw Data'!DA21="","",'Raw Data'!DA21)</f>
        <v/>
      </c>
      <c r="DN13" s="15" t="str">
        <f>IF('Raw Data'!DB21="","",'Raw Data'!DB21)</f>
        <v/>
      </c>
      <c r="DO13" s="15" t="str">
        <f>IF('Raw Data'!DC21="","",'Raw Data'!DC21)</f>
        <v/>
      </c>
      <c r="DP13" s="15" t="str">
        <f>IF('Raw Data'!DD21="","",'Raw Data'!DD21)</f>
        <v/>
      </c>
      <c r="DQ13" s="15" t="str">
        <f>IF('Raw Data'!DE21="","",'Raw Data'!DE21)</f>
        <v/>
      </c>
      <c r="DR13" s="15" t="str">
        <f>IF('Raw Data'!DF21="","",'Raw Data'!DF21)</f>
        <v/>
      </c>
      <c r="DS13" s="15" t="str">
        <f>IF('Raw Data'!DG21="","",'Raw Data'!DG21)</f>
        <v/>
      </c>
      <c r="DT13" s="15" t="str">
        <f>IF('Raw Data'!DH21="","",'Raw Data'!DH21)</f>
        <v/>
      </c>
      <c r="DU13" s="15" t="str">
        <f>IF('Raw Data'!DI21="","",'Raw Data'!DI21)</f>
        <v/>
      </c>
      <c r="DV13" s="15" t="str">
        <f>IF('Raw Data'!DJ21="","",'Raw Data'!DJ21)</f>
        <v/>
      </c>
      <c r="DW13" s="15" t="str">
        <f>IF('Raw Data'!DK21="","",'Raw Data'!DK21)</f>
        <v/>
      </c>
      <c r="DX13" s="15" t="str">
        <f>IF('Raw Data'!DL21="","",'Raw Data'!DL21)</f>
        <v/>
      </c>
      <c r="DY13" s="15" t="str">
        <f>IF('Raw Data'!DM21="","",'Raw Data'!DM21)</f>
        <v/>
      </c>
      <c r="DZ13" s="15" t="str">
        <f>IF('Raw Data'!DN21="","",'Raw Data'!DN21)</f>
        <v/>
      </c>
      <c r="EA13" s="15" t="str">
        <f>IF('Raw Data'!DO21="","",'Raw Data'!DO21)</f>
        <v/>
      </c>
      <c r="EB13" s="15" t="str">
        <f>IF('Raw Data'!DP21="","",'Raw Data'!DP21)</f>
        <v/>
      </c>
      <c r="EC13" s="15" t="str">
        <f>IF('Raw Data'!DQ21="","",'Raw Data'!DQ21)</f>
        <v/>
      </c>
      <c r="ED13" s="15" t="str">
        <f>IF('Raw Data'!DR21="","",'Raw Data'!DR21)</f>
        <v/>
      </c>
      <c r="EE13" s="15" t="str">
        <f>IF('Raw Data'!DS21="","",'Raw Data'!DS21)</f>
        <v/>
      </c>
      <c r="EF13" s="15" t="str">
        <f>IF('Raw Data'!DT21="","",'Raw Data'!DT21)</f>
        <v/>
      </c>
      <c r="EG13" s="15" t="str">
        <f>IF('Raw Data'!DU21="","",'Raw Data'!DU21)</f>
        <v/>
      </c>
      <c r="EH13" s="15" t="str">
        <f>IF('Raw Data'!DV21="","",'Raw Data'!DV21)</f>
        <v/>
      </c>
      <c r="EI13" s="15" t="str">
        <f>IF('Raw Data'!DW21="","",'Raw Data'!DW21)</f>
        <v/>
      </c>
      <c r="EJ13" s="15" t="str">
        <f>IF('Raw Data'!DX21="","",'Raw Data'!DX21)</f>
        <v/>
      </c>
      <c r="EK13" s="15" t="str">
        <f>IF('Raw Data'!DY21="","",'Raw Data'!DY21)</f>
        <v/>
      </c>
      <c r="EL13" s="15" t="str">
        <f>IF('Raw Data'!DZ21="","",'Raw Data'!DZ21)</f>
        <v>dplct_abords_com Integration_com_hote Soutien_famille_amis Soutien_chef_village Soutien_psychosocial</v>
      </c>
      <c r="EM13" s="15" t="str">
        <f>IF('Raw Data'!EA21="","",'Raw Data'!EA21)</f>
        <v>1</v>
      </c>
      <c r="EN13" s="15" t="str">
        <f>IF('Raw Data'!EB21="","",'Raw Data'!EB21)</f>
        <v>1</v>
      </c>
      <c r="EO13" s="15" t="str">
        <f>IF('Raw Data'!EC21="","",'Raw Data'!EC21)</f>
        <v>1</v>
      </c>
      <c r="EP13" s="15" t="str">
        <f>IF('Raw Data'!ED21="","",'Raw Data'!ED21)</f>
        <v>1</v>
      </c>
      <c r="EQ13" s="15" t="str">
        <f>IF('Raw Data'!EE21="","",'Raw Data'!EE21)</f>
        <v>1</v>
      </c>
      <c r="ER13" s="15" t="str">
        <f>IF('Raw Data'!EF21="","",'Raw Data'!EF21)</f>
        <v>0</v>
      </c>
      <c r="ES13" s="15" t="str">
        <f>IF('Raw Data'!EG21="","",'Raw Data'!EG21)</f>
        <v>0</v>
      </c>
      <c r="ET13" s="15" t="str">
        <f>IF('Raw Data'!EH21="","",'Raw Data'!EH21)</f>
        <v>0</v>
      </c>
      <c r="EU13" s="15" t="str">
        <f>IF('Raw Data'!EI21="","",'Raw Data'!EI21)</f>
        <v>0</v>
      </c>
      <c r="EV13" s="15" t="str">
        <f>IF('Raw Data'!EJ21="","",'Raw Data'!EJ21)</f>
        <v/>
      </c>
      <c r="EW13" s="15" t="str">
        <f>IF('Raw Data'!EK21="","",'Raw Data'!EK21)</f>
        <v/>
      </c>
      <c r="EX13" s="15" t="str">
        <f>IF('Raw Data'!EL21="","",'Raw Data'!EL21)</f>
        <v>famille_accueil comite_protection</v>
      </c>
      <c r="EY13" s="15" t="str">
        <f>IF('Raw Data'!EM21="","",'Raw Data'!EM21)</f>
        <v>0</v>
      </c>
      <c r="EZ13" s="15" t="str">
        <f>IF('Raw Data'!EN21="","",'Raw Data'!EN21)</f>
        <v>1</v>
      </c>
      <c r="FA13" s="15" t="str">
        <f>IF('Raw Data'!EO21="","",'Raw Data'!EO21)</f>
        <v>1</v>
      </c>
      <c r="FB13" s="15" t="str">
        <f>IF('Raw Data'!EP21="","",'Raw Data'!EP21)</f>
        <v>0</v>
      </c>
      <c r="FC13" s="15" t="str">
        <f>IF('Raw Data'!EQ21="","",'Raw Data'!EQ21)</f>
        <v>0</v>
      </c>
      <c r="FD13" s="15" t="str">
        <f>IF('Raw Data'!ER21="","",'Raw Data'!ER21)</f>
        <v>0</v>
      </c>
      <c r="FE13" s="15" t="str">
        <f>IF('Raw Data'!ES21="","",'Raw Data'!ES21)</f>
        <v>0</v>
      </c>
      <c r="FF13" s="15" t="str">
        <f>IF('Raw Data'!ET21="","",'Raw Data'!ET21)</f>
        <v>0</v>
      </c>
      <c r="FG13" s="15" t="str">
        <f>IF('Raw Data'!EU21="","",'Raw Data'!EU21)</f>
        <v>0</v>
      </c>
      <c r="FH13" s="15" t="str">
        <f>IF('Raw Data'!EV21="","",'Raw Data'!EV21)</f>
        <v>0</v>
      </c>
      <c r="FI13" s="15" t="str">
        <f>IF('Raw Data'!EW21="","",'Raw Data'!EW21)</f>
        <v/>
      </c>
      <c r="FJ13" s="15" t="str">
        <f>IF('Raw Data'!EX21="","",'Raw Data'!EX21)</f>
        <v>oui</v>
      </c>
      <c r="FK13" s="15" t="str">
        <f>IF('Raw Data'!EY21="","",'Raw Data'!EY21)</f>
        <v>manif_sociales Chef_village famille_amis Differents_comites_villageois Travailleurs_sociaux/hum</v>
      </c>
      <c r="FL13" s="15" t="str">
        <f>IF('Raw Data'!EZ21="","",'Raw Data'!EZ21)</f>
        <v>0</v>
      </c>
      <c r="FM13" s="15" t="str">
        <f>IF('Raw Data'!FA21="","",'Raw Data'!FA21)</f>
        <v>0</v>
      </c>
      <c r="FN13" s="15" t="str">
        <f>IF('Raw Data'!FB21="","",'Raw Data'!FB21)</f>
        <v>0</v>
      </c>
      <c r="FO13" s="15" t="str">
        <f>IF('Raw Data'!FC21="","",'Raw Data'!FC21)</f>
        <v>1</v>
      </c>
      <c r="FP13" s="15" t="str">
        <f>IF('Raw Data'!FD21="","",'Raw Data'!FD21)</f>
        <v>1</v>
      </c>
      <c r="FQ13" s="15" t="str">
        <f>IF('Raw Data'!FE21="","",'Raw Data'!FE21)</f>
        <v>1</v>
      </c>
      <c r="FR13" s="15" t="str">
        <f>IF('Raw Data'!FF21="","",'Raw Data'!FF21)</f>
        <v>0</v>
      </c>
      <c r="FS13" s="15" t="str">
        <f>IF('Raw Data'!FG21="","",'Raw Data'!FG21)</f>
        <v>0</v>
      </c>
      <c r="FT13" s="15" t="str">
        <f>IF('Raw Data'!FH21="","",'Raw Data'!FH21)</f>
        <v>1</v>
      </c>
      <c r="FU13" s="15" t="str">
        <f>IF('Raw Data'!FI21="","",'Raw Data'!FI21)</f>
        <v>0</v>
      </c>
      <c r="FV13" s="15" t="str">
        <f>IF('Raw Data'!FJ21="","",'Raw Data'!FJ21)</f>
        <v>1</v>
      </c>
      <c r="FW13" s="15" t="str">
        <f>IF('Raw Data'!FK21="","",'Raw Data'!FK21)</f>
        <v>0</v>
      </c>
      <c r="FX13" s="15" t="str">
        <f>IF('Raw Data'!FL21="","",'Raw Data'!FL21)</f>
        <v>0</v>
      </c>
      <c r="FY13" s="15" t="str">
        <f>IF('Raw Data'!FM21="","",'Raw Data'!FM21)</f>
        <v>0</v>
      </c>
      <c r="FZ13" s="15" t="str">
        <f>IF('Raw Data'!FN21="","",'Raw Data'!FN21)</f>
        <v/>
      </c>
      <c r="GA13" s="15" t="str">
        <f>IF('Raw Data'!FO21="","",'Raw Data'!FO21)</f>
        <v>oui_majorite</v>
      </c>
      <c r="GB13" s="15" t="str">
        <f>IF('Raw Data'!FP21="","",'Raw Data'!FP21)</f>
        <v>oui_minorite</v>
      </c>
      <c r="GC13" s="15" t="str">
        <f>IF('Raw Data'!FQ21="","",'Raw Data'!FQ21)</f>
        <v>manque_info non_fonctionnelle</v>
      </c>
      <c r="GD13" s="15" t="str">
        <f>IF('Raw Data'!FR21="","",'Raw Data'!FR21)</f>
        <v>1</v>
      </c>
      <c r="GE13" s="15" t="str">
        <f>IF('Raw Data'!FS21="","",'Raw Data'!FS21)</f>
        <v>1</v>
      </c>
      <c r="GF13" s="15" t="str">
        <f>IF('Raw Data'!FT21="","",'Raw Data'!FT21)</f>
        <v>0</v>
      </c>
      <c r="GG13" s="15" t="str">
        <f>IF('Raw Data'!FU21="","",'Raw Data'!FU21)</f>
        <v>0</v>
      </c>
      <c r="GH13" s="15" t="str">
        <f>IF('Raw Data'!FV21="","",'Raw Data'!FV21)</f>
        <v>0</v>
      </c>
      <c r="GI13" s="15" t="str">
        <f>IF('Raw Data'!FW21="","",'Raw Data'!FW21)</f>
        <v>0</v>
      </c>
      <c r="GJ13" s="15" t="str">
        <f>IF('Raw Data'!FX21="","",'Raw Data'!FX21)</f>
        <v>0</v>
      </c>
      <c r="GK13" s="15" t="str">
        <f>IF('Raw Data'!FY21="","",'Raw Data'!FY21)</f>
        <v>0</v>
      </c>
      <c r="GL13" s="15" t="str">
        <f>IF('Raw Data'!FZ21="","",'Raw Data'!FZ21)</f>
        <v/>
      </c>
      <c r="GM13" s="15" t="str">
        <f>IF('Raw Data'!GA21="","",'Raw Data'!GA21)</f>
        <v>minorite</v>
      </c>
      <c r="GN13" s="15" t="str">
        <f>IF('Raw Data'!GB21="","",'Raw Data'!GB21)</f>
        <v>majorite</v>
      </c>
      <c r="GO13" s="15" t="str">
        <f>IF('Raw Data'!GC21="","",'Raw Data'!GC21)</f>
        <v>Education Services_de_sante Acces_aux_doc</v>
      </c>
      <c r="GP13" s="15" t="str">
        <f>IF('Raw Data'!GD21="","",'Raw Data'!GD21)</f>
        <v>0</v>
      </c>
      <c r="GQ13" s="15" t="str">
        <f>IF('Raw Data'!GE21="","",'Raw Data'!GE21)</f>
        <v>1</v>
      </c>
      <c r="GR13" s="15" t="str">
        <f>IF('Raw Data'!GF21="","",'Raw Data'!GF21)</f>
        <v>0</v>
      </c>
      <c r="GS13" s="15" t="str">
        <f>IF('Raw Data'!GG21="","",'Raw Data'!GG21)</f>
        <v>1</v>
      </c>
      <c r="GT13" s="15" t="str">
        <f>IF('Raw Data'!GH21="","",'Raw Data'!GH21)</f>
        <v>1</v>
      </c>
      <c r="GU13" s="15" t="str">
        <f>IF('Raw Data'!GI21="","",'Raw Data'!GI21)</f>
        <v>0</v>
      </c>
      <c r="GV13" s="15" t="str">
        <f>IF('Raw Data'!GJ21="","",'Raw Data'!GJ21)</f>
        <v>0</v>
      </c>
      <c r="GW13" s="15" t="str">
        <f>IF('Raw Data'!GK21="","",'Raw Data'!GK21)</f>
        <v>0</v>
      </c>
      <c r="GX13" s="15" t="str">
        <f>IF('Raw Data'!GL21="","",'Raw Data'!GL21)</f>
        <v>0</v>
      </c>
      <c r="GY13" s="15" t="str">
        <f>IF('Raw Data'!GM21="","",'Raw Data'!GM21)</f>
        <v/>
      </c>
      <c r="GZ13" s="15" t="str">
        <f>IF('Raw Data'!GN21="","",'Raw Data'!GN21)</f>
        <v>oui_majorite</v>
      </c>
      <c r="HA13" s="15" t="str">
        <f>IF('Raw Data'!GO21="","",'Raw Data'!GO21)</f>
        <v>oui_majorite</v>
      </c>
      <c r="HB13" s="15" t="str">
        <f>IF('Raw Data'!GP21="","",'Raw Data'!GP21)</f>
        <v>amelioration_futur repond_besoins_pop permet_obtenir_conseils</v>
      </c>
      <c r="HC13" s="15" t="str">
        <f>IF('Raw Data'!GQ21="","",'Raw Data'!GQ21)</f>
        <v>1</v>
      </c>
      <c r="HD13" s="15" t="str">
        <f>IF('Raw Data'!GR21="","",'Raw Data'!GR21)</f>
        <v>1</v>
      </c>
      <c r="HE13" s="15" t="str">
        <f>IF('Raw Data'!GS21="","",'Raw Data'!GS21)</f>
        <v>1</v>
      </c>
      <c r="HF13" s="15" t="str">
        <f>IF('Raw Data'!GT21="","",'Raw Data'!GT21)</f>
        <v>0</v>
      </c>
      <c r="HG13" s="15" t="str">
        <f>IF('Raw Data'!GU21="","",'Raw Data'!GU21)</f>
        <v>0</v>
      </c>
      <c r="HH13" s="15" t="str">
        <f>IF('Raw Data'!GV21="","",'Raw Data'!GV21)</f>
        <v>0</v>
      </c>
      <c r="HI13" s="15" t="str">
        <f>IF('Raw Data'!GW21="","",'Raw Data'!GW21)</f>
        <v>0</v>
      </c>
      <c r="HJ13" s="15" t="str">
        <f>IF('Raw Data'!GX21="","",'Raw Data'!GX21)</f>
        <v>0</v>
      </c>
      <c r="HK13" s="15" t="str">
        <f>IF('Raw Data'!GY21="","",'Raw Data'!GY21)</f>
        <v/>
      </c>
      <c r="HL13" s="15" t="str">
        <f>IF('Raw Data'!GZ21="","",'Raw Data'!GZ21)</f>
        <v>ne_contribue_pas</v>
      </c>
      <c r="HM13" s="15" t="str">
        <f>IF('Raw Data'!HA21="","",'Raw Data'!HA21)</f>
        <v>1</v>
      </c>
      <c r="HN13" s="15" t="str">
        <f>IF('Raw Data'!HB21="","",'Raw Data'!HB21)</f>
        <v>0</v>
      </c>
      <c r="HO13" s="15" t="str">
        <f>IF('Raw Data'!HC21="","",'Raw Data'!HC21)</f>
        <v>0</v>
      </c>
      <c r="HP13" s="15" t="str">
        <f>IF('Raw Data'!HD21="","",'Raw Data'!HD21)</f>
        <v>0</v>
      </c>
      <c r="HQ13" s="15" t="str">
        <f>IF('Raw Data'!HE21="","",'Raw Data'!HE21)</f>
        <v>0</v>
      </c>
      <c r="HR13" s="15" t="str">
        <f>IF('Raw Data'!HF21="","",'Raw Data'!HF21)</f>
        <v>0</v>
      </c>
      <c r="HS13" s="15" t="str">
        <f>IF('Raw Data'!HG21="","",'Raw Data'!HG21)</f>
        <v/>
      </c>
      <c r="HT13" s="15" t="str">
        <f>IF('Raw Data'!HH21="","",'Raw Data'!HH21)</f>
        <v/>
      </c>
      <c r="HU13" s="15" t="str">
        <f>IF('Raw Data'!HI21="","",'Raw Data'!HI21)</f>
        <v>oui_minorite</v>
      </c>
      <c r="HV13" s="15" t="str">
        <f>IF('Raw Data'!HJ21="","",'Raw Data'!HJ21)</f>
        <v>gvt fds_arme autorite_locale_leaders un_agencies ingo ong_locale</v>
      </c>
      <c r="HW13" s="15" t="str">
        <f>IF('Raw Data'!HK21="","",'Raw Data'!HK21)</f>
        <v>1</v>
      </c>
      <c r="HX13" s="15" t="str">
        <f>IF('Raw Data'!HL21="","",'Raw Data'!HL21)</f>
        <v>1</v>
      </c>
      <c r="HY13" s="15" t="str">
        <f>IF('Raw Data'!HM21="","",'Raw Data'!HM21)</f>
        <v>1</v>
      </c>
      <c r="HZ13" s="15" t="str">
        <f>IF('Raw Data'!HN21="","",'Raw Data'!HN21)</f>
        <v>1</v>
      </c>
      <c r="IA13" s="15" t="str">
        <f>IF('Raw Data'!HO21="","",'Raw Data'!HO21)</f>
        <v>1</v>
      </c>
      <c r="IB13" s="15" t="str">
        <f>IF('Raw Data'!HP21="","",'Raw Data'!HP21)</f>
        <v>1</v>
      </c>
      <c r="IC13" s="15" t="str">
        <f>IF('Raw Data'!HQ21="","",'Raw Data'!HQ21)</f>
        <v>0</v>
      </c>
      <c r="ID13" s="15" t="str">
        <f>IF('Raw Data'!HR21="","",'Raw Data'!HR21)</f>
        <v>0</v>
      </c>
      <c r="IE13" s="15" t="str">
        <f>IF('Raw Data'!HS21="","",'Raw Data'!HS21)</f>
        <v>0</v>
      </c>
      <c r="IF13" s="15" t="str">
        <f>IF('Raw Data'!HT21="","",'Raw Data'!HT21)</f>
        <v>0</v>
      </c>
      <c r="IG13" s="15" t="str">
        <f>IF('Raw Data'!HU21="","",'Raw Data'!HU21)</f>
        <v/>
      </c>
      <c r="IH13" s="15" t="str">
        <f>IF('Raw Data'!HV21="","",'Raw Data'!HV21)</f>
        <v>oui</v>
      </c>
      <c r="II13" s="15" t="str">
        <f>IF('Raw Data'!HW21="","",'Raw Data'!HW21)</f>
        <v/>
      </c>
      <c r="IJ13" s="15" t="str">
        <f>IF('Raw Data'!HX21="","",'Raw Data'!HX21)</f>
        <v/>
      </c>
      <c r="IK13" s="15" t="str">
        <f>IF('Raw Data'!HY21="","",'Raw Data'!HY21)</f>
        <v/>
      </c>
      <c r="IL13" s="15" t="str">
        <f>IF('Raw Data'!HZ21="","",'Raw Data'!HZ21)</f>
        <v/>
      </c>
      <c r="IM13" s="15" t="str">
        <f>IF('Raw Data'!IA21="","",'Raw Data'!IA21)</f>
        <v/>
      </c>
      <c r="IN13" s="15" t="str">
        <f>IF('Raw Data'!IB21="","",'Raw Data'!IB21)</f>
        <v/>
      </c>
      <c r="IO13" s="15" t="str">
        <f>IF('Raw Data'!IC21="","",'Raw Data'!IC21)</f>
        <v/>
      </c>
      <c r="IP13" s="15" t="str">
        <f>IF('Raw Data'!ID21="","",'Raw Data'!ID21)</f>
        <v/>
      </c>
      <c r="IQ13" s="15" t="str">
        <f>IF('Raw Data'!IE21="","",'Raw Data'!IE21)</f>
        <v/>
      </c>
      <c r="IR13" s="15" t="str">
        <f>IF('Raw Data'!IF21="","",'Raw Data'!IF21)</f>
        <v/>
      </c>
      <c r="IS13" s="15" t="str">
        <f>IF('Raw Data'!IG21="","",'Raw Data'!IG21)</f>
        <v/>
      </c>
      <c r="IT13" s="15" t="str">
        <f>IF('Raw Data'!IH21="","",'Raw Data'!IH21)</f>
        <v/>
      </c>
      <c r="IU13" s="15" t="str">
        <f>IF('Raw Data'!II21="","",'Raw Data'!II21)</f>
        <v/>
      </c>
      <c r="IV13" s="15" t="str">
        <f>IF('Raw Data'!IJ21="","",'Raw Data'!IJ21)</f>
        <v/>
      </c>
      <c r="IW13" s="15" t="str">
        <f>IF('Raw Data'!IK21="","",'Raw Data'!IK21)</f>
        <v/>
      </c>
      <c r="IX13" s="15" t="str">
        <f>IF('Raw Data'!IL21="","",'Raw Data'!IL21)</f>
        <v/>
      </c>
      <c r="IY13" s="15" t="str">
        <f>IF('Raw Data'!IM21="","",'Raw Data'!IM21)</f>
        <v/>
      </c>
      <c r="IZ13" s="15" t="str">
        <f>IF('Raw Data'!IN21="","",'Raw Data'!IN21)</f>
        <v>14</v>
      </c>
      <c r="JA13" s="15" t="str">
        <f>IF('Raw Data'!IO21="","",'Raw Data'!IO21)</f>
        <v>Services_medicaux Services_educatifs acces_docs</v>
      </c>
      <c r="JB13" s="15" t="str">
        <f>IF('Raw Data'!IP21="","",'Raw Data'!IP21)</f>
        <v>0</v>
      </c>
      <c r="JC13" s="15" t="str">
        <f>IF('Raw Data'!IQ21="","",'Raw Data'!IQ21)</f>
        <v>1</v>
      </c>
      <c r="JD13" s="15" t="str">
        <f>IF('Raw Data'!IR21="","",'Raw Data'!IR21)</f>
        <v>1</v>
      </c>
      <c r="JE13" s="15" t="str">
        <f>IF('Raw Data'!IS21="","",'Raw Data'!IS21)</f>
        <v>0</v>
      </c>
      <c r="JF13" s="15" t="str">
        <f>IF('Raw Data'!IT21="","",'Raw Data'!IT21)</f>
        <v>1</v>
      </c>
      <c r="JG13" s="15" t="str">
        <f>IF('Raw Data'!IU21="","",'Raw Data'!IU21)</f>
        <v>0</v>
      </c>
      <c r="JH13" s="15" t="str">
        <f>IF('Raw Data'!IV21="","",'Raw Data'!IV21)</f>
        <v>0</v>
      </c>
      <c r="JI13" s="15" t="str">
        <f>IF('Raw Data'!IW21="","",'Raw Data'!IW21)</f>
        <v>0</v>
      </c>
      <c r="JJ13" s="15" t="str">
        <f>IF('Raw Data'!IX21="","",'Raw Data'!IX21)</f>
        <v>0</v>
      </c>
      <c r="JK13" s="15" t="str">
        <f>IF('Raw Data'!IY21="","",'Raw Data'!IY21)</f>
        <v>0</v>
      </c>
      <c r="JL13" s="15" t="str">
        <f>IF('Raw Data'!IZ21="","",'Raw Data'!IZ21)</f>
        <v/>
      </c>
      <c r="JM13" s="15" t="str">
        <f>IF('Raw Data'!JA21="","",'Raw Data'!JA21)</f>
        <v>signalement reorientation</v>
      </c>
      <c r="JN13" s="15" t="str">
        <f>IF('Raw Data'!JB21="","",'Raw Data'!JB21)</f>
        <v>0</v>
      </c>
      <c r="JO13" s="15" t="str">
        <f>IF('Raw Data'!JC21="","",'Raw Data'!JC21)</f>
        <v>1</v>
      </c>
      <c r="JP13" s="15" t="str">
        <f>IF('Raw Data'!JD21="","",'Raw Data'!JD21)</f>
        <v>1</v>
      </c>
      <c r="JQ13" s="15" t="str">
        <f>IF('Raw Data'!JE21="","",'Raw Data'!JE21)</f>
        <v>0</v>
      </c>
      <c r="JR13" s="15" t="str">
        <f>IF('Raw Data'!JF21="","",'Raw Data'!JF21)</f>
        <v>0</v>
      </c>
      <c r="JS13" s="15" t="str">
        <f>IF('Raw Data'!JG21="","",'Raw Data'!JG21)</f>
        <v>0</v>
      </c>
      <c r="JT13" s="15" t="str">
        <f>IF('Raw Data'!JH21="","",'Raw Data'!JH21)</f>
        <v/>
      </c>
      <c r="JU13" s="15" t="str">
        <f>IF('Raw Data'!JI21="","",'Raw Data'!JI21)</f>
        <v/>
      </c>
      <c r="JV13" s="15" t="str">
        <f>IF('Raw Data'!JJ21="","",'Raw Data'!JJ21)</f>
        <v/>
      </c>
      <c r="JW13" s="15" t="str">
        <f>IF('Raw Data'!JK21="","",'Raw Data'!JK21)</f>
        <v/>
      </c>
      <c r="JX13" s="15" t="str">
        <f>IF('Raw Data'!JL21="","",'Raw Data'!JL21)</f>
        <v/>
      </c>
      <c r="JY13" s="15" t="str">
        <f>IF('Raw Data'!JM21="","",'Raw Data'!JM21)</f>
        <v/>
      </c>
      <c r="JZ13" s="15" t="str">
        <f>IF('Raw Data'!JN21="","",'Raw Data'!JN21)</f>
        <v/>
      </c>
      <c r="KA13" s="15" t="str">
        <f>IF('Raw Data'!JO21="","",'Raw Data'!JO21)</f>
        <v/>
      </c>
      <c r="KB13" s="15" t="str">
        <f>IF('Raw Data'!JP21="","",'Raw Data'!JP21)</f>
        <v/>
      </c>
      <c r="KC13" s="15" t="str">
        <f>IF('Raw Data'!JQ21="","",'Raw Data'!JQ21)</f>
        <v/>
      </c>
      <c r="KD13" s="15" t="str">
        <f>IF('Raw Data'!JR21="","",'Raw Data'!JR21)</f>
        <v/>
      </c>
      <c r="KE13" s="15" t="str">
        <f>IF('Raw Data'!JS21="","",'Raw Data'!JS21)</f>
        <v/>
      </c>
      <c r="KF13" s="15" t="str">
        <f>IF('Raw Data'!JT21="","",'Raw Data'!JT21)</f>
        <v>medical surete reinsertion</v>
      </c>
      <c r="KG13" s="15" t="str">
        <f>IF('Raw Data'!JU21="","",'Raw Data'!JU21)</f>
        <v>1</v>
      </c>
      <c r="KH13" s="15" t="str">
        <f>IF('Raw Data'!JV21="","",'Raw Data'!JV21)</f>
        <v>0</v>
      </c>
      <c r="KI13" s="15" t="str">
        <f>IF('Raw Data'!JW21="","",'Raw Data'!JW21)</f>
        <v>0</v>
      </c>
      <c r="KJ13" s="15" t="str">
        <f>IF('Raw Data'!JX21="","",'Raw Data'!JX21)</f>
        <v>0</v>
      </c>
      <c r="KK13" s="15" t="str">
        <f>IF('Raw Data'!JY21="","",'Raw Data'!JY21)</f>
        <v>1</v>
      </c>
      <c r="KL13" s="15" t="str">
        <f>IF('Raw Data'!JZ21="","",'Raw Data'!JZ21)</f>
        <v>1</v>
      </c>
      <c r="KM13" s="15" t="str">
        <f>IF('Raw Data'!KA21="","",'Raw Data'!KA21)</f>
        <v>0</v>
      </c>
      <c r="KN13" s="15" t="str">
        <f>IF('Raw Data'!KB21="","",'Raw Data'!KB21)</f>
        <v>0</v>
      </c>
      <c r="KO13" s="15" t="str">
        <f>IF('Raw Data'!KC21="","",'Raw Data'!KC21)</f>
        <v>0</v>
      </c>
      <c r="KP13" s="15" t="str">
        <f>IF('Raw Data'!KD21="","",'Raw Data'!KD21)</f>
        <v/>
      </c>
      <c r="KQ13" s="15" t="str">
        <f>IF('Raw Data'!KE21="","",'Raw Data'!KE21)</f>
        <v/>
      </c>
      <c r="KR13" s="15" t="str">
        <f>IF('Raw Data'!KF21="","",'Raw Data'!KF21)</f>
        <v>non</v>
      </c>
      <c r="KS13" s="15" t="str">
        <f>IF('Raw Data'!KG21="","",'Raw Data'!KG21)</f>
        <v/>
      </c>
      <c r="KT13" s="15" t="str">
        <f>IF('Raw Data'!KH21="","",'Raw Data'!KH21)</f>
        <v/>
      </c>
      <c r="KU13" s="15" t="str">
        <f>IF('Raw Data'!KI21="","",'Raw Data'!KI21)</f>
        <v/>
      </c>
      <c r="KV13" s="15" t="str">
        <f>IF('Raw Data'!KJ21="","",'Raw Data'!KJ21)</f>
        <v/>
      </c>
      <c r="KW13" s="15" t="str">
        <f>IF('Raw Data'!KK21="","",'Raw Data'!KK21)</f>
        <v/>
      </c>
      <c r="KX13" s="15" t="str">
        <f>IF('Raw Data'!KL21="","",'Raw Data'!KL21)</f>
        <v/>
      </c>
      <c r="KY13" s="15" t="str">
        <f>IF('Raw Data'!KM21="","",'Raw Data'!KM21)</f>
        <v/>
      </c>
      <c r="KZ13" s="15" t="str">
        <f>IF('Raw Data'!KN21="","",'Raw Data'!KN21)</f>
        <v/>
      </c>
      <c r="LA13" s="15" t="str">
        <f>IF('Raw Data'!KO21="","",'Raw Data'!KO21)</f>
        <v/>
      </c>
      <c r="LB13" s="15" t="str">
        <f>IF('Raw Data'!KP21="","",'Raw Data'!KP21)</f>
        <v/>
      </c>
      <c r="LC13" s="15" t="str">
        <f>IF('Raw Data'!KQ21="","",'Raw Data'!KQ21)</f>
        <v/>
      </c>
      <c r="LD13" s="15" t="str">
        <f>IF('Raw Data'!KR21="","",'Raw Data'!KR21)</f>
        <v/>
      </c>
      <c r="LE13" s="15" t="str">
        <f>IF('Raw Data'!KS21="","",'Raw Data'!KS21)</f>
        <v/>
      </c>
      <c r="LF13" s="15" t="str">
        <f>IF('Raw Data'!KT21="","",'Raw Data'!KT21)</f>
        <v/>
      </c>
      <c r="LG13" s="15" t="str">
        <f>IF('Raw Data'!KU21="","",'Raw Data'!KU21)</f>
        <v/>
      </c>
      <c r="LH13" s="15" t="str">
        <f>IF('Raw Data'!KV21="","",'Raw Data'!KV21)</f>
        <v/>
      </c>
      <c r="LI13" s="15" t="str">
        <f>IF('Raw Data'!KW21="","",'Raw Data'!KW21)</f>
        <v/>
      </c>
      <c r="LJ13" s="15" t="str">
        <f>IF('Raw Data'!KX21="","",'Raw Data'!KX21)</f>
        <v/>
      </c>
      <c r="LK13" s="15" t="str">
        <f>IF('Raw Data'!KY21="","",'Raw Data'!KY21)</f>
        <v/>
      </c>
      <c r="LL13" s="15" t="str">
        <f>IF('Raw Data'!KZ21="","",'Raw Data'!KZ21)</f>
        <v/>
      </c>
      <c r="LM13" s="15" t="str">
        <f>IF('Raw Data'!LA21="","",'Raw Data'!LA21)</f>
        <v/>
      </c>
      <c r="LN13" s="15" t="str">
        <f>IF('Raw Data'!LB21="","",'Raw Data'!LB21)</f>
        <v>non</v>
      </c>
      <c r="LO13" s="15" t="str">
        <f>IF('Raw Data'!LC21="","",'Raw Data'!LC21)</f>
        <v/>
      </c>
      <c r="LP13" s="15" t="str">
        <f>IF('Raw Data'!LD21="","",'Raw Data'!LD21)</f>
        <v/>
      </c>
      <c r="LQ13" s="15" t="str">
        <f>IF('Raw Data'!LE21="","",'Raw Data'!LE21)</f>
        <v/>
      </c>
      <c r="LR13" s="15" t="str">
        <f>IF('Raw Data'!LF21="","",'Raw Data'!LF21)</f>
        <v/>
      </c>
      <c r="LS13" s="15" t="str">
        <f>IF('Raw Data'!LG21="","",'Raw Data'!LG21)</f>
        <v/>
      </c>
      <c r="LT13" s="15" t="str">
        <f>IF('Raw Data'!LH21="","",'Raw Data'!LH21)</f>
        <v/>
      </c>
      <c r="LU13" s="15" t="str">
        <f>IF('Raw Data'!LI21="","",'Raw Data'!LI21)</f>
        <v/>
      </c>
      <c r="LV13" s="15" t="str">
        <f>IF('Raw Data'!LJ21="","",'Raw Data'!LJ21)</f>
        <v/>
      </c>
      <c r="LW13" s="15" t="str">
        <f>IF('Raw Data'!LK21="","",'Raw Data'!LK21)</f>
        <v/>
      </c>
      <c r="LX13" s="15" t="str">
        <f>IF('Raw Data'!LL21="","",'Raw Data'!LL21)</f>
        <v/>
      </c>
      <c r="LY13" s="15" t="str">
        <f>IF('Raw Data'!LM21="","",'Raw Data'!LM21)</f>
        <v/>
      </c>
      <c r="LZ13" s="15" t="str">
        <f>IF('Raw Data'!LN21="","",'Raw Data'!LN21)</f>
        <v/>
      </c>
      <c r="MA13" s="15" t="str">
        <f>IF('Raw Data'!LO21="","",'Raw Data'!LO21)</f>
        <v/>
      </c>
      <c r="MB13" s="15" t="str">
        <f>IF('Raw Data'!LP21="","",'Raw Data'!LP21)</f>
        <v>oui</v>
      </c>
      <c r="MC13" s="15" t="str">
        <f>IF('Raw Data'!LQ21="","",'Raw Data'!LQ21)</f>
        <v/>
      </c>
      <c r="MD13" s="15" t="str">
        <f>IF('Raw Data'!LR21="","",'Raw Data'!LR21)</f>
        <v>Le nombre de personnes qui utilise le référencement est estimatif l'IC ne possede pas les statistiques exactes.</v>
      </c>
      <c r="ME13" s="15">
        <f>IF('Raw Data'!LS21="","",'Raw Data'!LS21)</f>
        <v>169235217</v>
      </c>
      <c r="MF13" s="15" t="str">
        <f>IF('Raw Data'!LT21="","",'Raw Data'!LT21)</f>
        <v>6ca50534-f189-442a-a32d-0405d9b74d30</v>
      </c>
      <c r="MG13" s="15" t="str">
        <f>IF('Raw Data'!LU21="","",'Raw Data'!LU21)</f>
        <v>2021-04-02T00:40:51</v>
      </c>
      <c r="MH13" s="15" t="str">
        <f>IF('Raw Data'!LV21="","",'Raw Data'!LV21)</f>
        <v/>
      </c>
      <c r="MI13" s="15" t="str">
        <f>IF('Raw Data'!LW21="","",'Raw Data'!LW21)</f>
        <v>[]</v>
      </c>
      <c r="MJ13" s="15" t="str">
        <f>IF('Raw Data'!LX21="","",'Raw Data'!LX21)</f>
        <v>submitted_via_web</v>
      </c>
      <c r="MK13" s="15" t="str">
        <f>IF('Raw Data'!LY21="","",'Raw Data'!LY21)</f>
        <v>reach_niger</v>
      </c>
      <c r="ML13" s="15" t="str">
        <f>IF('Raw Data'!LZ21="","",'Raw Data'!LZ21)</f>
        <v/>
      </c>
      <c r="MM13" s="15">
        <f>IF('Raw Data'!MA21="","",'Raw Data'!MA21)</f>
        <v>20</v>
      </c>
    </row>
    <row r="14" spans="1:351" x14ac:dyDescent="0.3">
      <c r="A14" s="26" t="str">
        <f t="shared" si="0"/>
        <v>2a86fdfe-cbe9-49c3-a512-9e3904f03dcb</v>
      </c>
      <c r="B14" s="26" t="str">
        <f t="shared" si="1"/>
        <v>ayerou</v>
      </c>
      <c r="C14" s="26" t="str">
        <f t="shared" si="2"/>
        <v>D</v>
      </c>
      <c r="D14" s="14" t="str">
        <f>IF('Raw Data'!A35="","",'Raw Data'!A35)</f>
        <v>2021-04-02T18:16:11.391+01:00</v>
      </c>
      <c r="E14" s="14" t="str">
        <f>IF('Raw Data'!B35="","",'Raw Data'!B35)</f>
        <v>2021-04-02T18:34:06.935+01:00</v>
      </c>
      <c r="F14" s="30">
        <v>44288.761238425926</v>
      </c>
      <c r="G14" s="30">
        <v>44288.773680555554</v>
      </c>
      <c r="H14" s="29">
        <f>VLOOKUP(A14,Audit[#All],2,FALSE)</f>
        <v>17.93</v>
      </c>
      <c r="I14" s="29">
        <f>VLOOKUP(A14,Audit[#All],3,FALSE)</f>
        <v>17.87</v>
      </c>
      <c r="J14" s="29">
        <f>VLOOKUP(A14,Audit[#All],4,FALSE)</f>
        <v>17.02</v>
      </c>
      <c r="K14" s="29">
        <f>VLOOKUP(A14,nb_questions[#All],2,FALSE)</f>
        <v>67</v>
      </c>
      <c r="L14" s="29">
        <f t="shared" si="3"/>
        <v>163</v>
      </c>
      <c r="M14" s="14" t="str">
        <f>IF('Raw Data'!C35="","",'Raw Data'!C35)</f>
        <v>2021-04-02</v>
      </c>
      <c r="N14" s="14" t="str">
        <f>IF('Raw Data'!D35="","",'Raw Data'!D35)</f>
        <v/>
      </c>
      <c r="O14" s="14" t="str">
        <f>IF('Raw Data'!E35="","",'Raw Data'!E35)</f>
        <v/>
      </c>
      <c r="P14" s="29" t="str">
        <f>VLOOKUP(A14,code_enqueteurs[#All],3,FALSE)</f>
        <v>D</v>
      </c>
      <c r="Q14" s="29" t="s">
        <v>1649</v>
      </c>
      <c r="R14" s="14" t="str">
        <f>IF('Raw Data'!F35="","",'Raw Data'!F35)</f>
        <v>Homme</v>
      </c>
      <c r="S14" s="15" t="str">
        <f>IF('Raw Data'!G35="","",'Raw Data'!G35)</f>
        <v>ayerou</v>
      </c>
      <c r="T14" s="15" t="str">
        <f>IF('Raw Data'!H35="","",'Raw Data'!H35)</f>
        <v>ayerou</v>
      </c>
      <c r="U14" s="15" t="str">
        <f>IF('Raw Data'!I35="","",'Raw Data'!I35)</f>
        <v>autre</v>
      </c>
      <c r="V14" s="31" t="s">
        <v>1642</v>
      </c>
      <c r="W14" s="15" t="str">
        <f>IF('Raw Data'!K35="","",'Raw Data'!K35)</f>
        <v/>
      </c>
      <c r="X14" s="15" t="str">
        <f>IF('Raw Data'!L35="","",'Raw Data'!L35)</f>
        <v/>
      </c>
      <c r="Y14" s="15" t="str">
        <f>IF('Raw Data'!M35="","",'Raw Data'!M35)</f>
        <v/>
      </c>
      <c r="Z14" s="15" t="str">
        <f>IF('Raw Data'!N35="","",'Raw Data'!N35)</f>
        <v/>
      </c>
      <c r="AA14" s="15" t="str">
        <f>IF('Raw Data'!O35="","",'Raw Data'!O35)</f>
        <v/>
      </c>
      <c r="AB14" s="15" t="str">
        <f>IF('Raw Data'!P35="","",'Raw Data'!P35)</f>
        <v/>
      </c>
      <c r="AC14" s="15" t="str">
        <f>IF('Raw Data'!Q35="","",'Raw Data'!Q35)</f>
        <v/>
      </c>
      <c r="AD14" s="15" t="str">
        <f>IF('Raw Data'!R35="","",'Raw Data'!R35)</f>
        <v>Homme</v>
      </c>
      <c r="AE14" s="15" t="str">
        <f>IF('Raw Data'!S35="","",'Raw Data'!S35)</f>
        <v>34</v>
      </c>
      <c r="AF14" s="15" t="str">
        <f>IF('Raw Data'!T35="","",'Raw Data'!T35)</f>
        <v>Hote</v>
      </c>
      <c r="AG14" s="15" t="str">
        <f>IF('Raw Data'!U35="","",'Raw Data'!U35)</f>
        <v/>
      </c>
      <c r="AH14" s="15" t="str">
        <f>IF('Raw Data'!V35="","",'Raw Data'!V35)</f>
        <v/>
      </c>
      <c r="AI14" s="15" t="str">
        <f>IF('Raw Data'!W35="","",'Raw Data'!W35)</f>
        <v/>
      </c>
      <c r="AJ14" s="15" t="str">
        <f>IF('Raw Data'!X35="","",'Raw Data'!X35)</f>
        <v/>
      </c>
      <c r="AK14" s="15" t="str">
        <f>IF('Raw Data'!Y35="","",'Raw Data'!Y35)</f>
        <v/>
      </c>
      <c r="AL14" s="15" t="str">
        <f>IF('Raw Data'!Z35="","",'Raw Data'!Z35)</f>
        <v/>
      </c>
      <c r="AM14" s="15" t="str">
        <f>IF('Raw Data'!AA35="","",'Raw Data'!AA35)</f>
        <v/>
      </c>
      <c r="AN14" s="15" t="str">
        <f>IF('Raw Data'!AB35="","",'Raw Data'!AB35)</f>
        <v/>
      </c>
      <c r="AO14" s="15" t="str">
        <f>IF('Raw Data'!AC35="","",'Raw Data'!AC35)</f>
        <v/>
      </c>
      <c r="AP14" s="15" t="str">
        <f>IF('Raw Data'!AD35="","",'Raw Data'!AD35)</f>
        <v/>
      </c>
      <c r="AQ14" s="15" t="str">
        <f>IF('Raw Data'!AE35="","",'Raw Data'!AE35)</f>
        <v/>
      </c>
      <c r="AR14" s="15" t="str">
        <f>IF('Raw Data'!AF35="","",'Raw Data'!AF35)</f>
        <v/>
      </c>
      <c r="AS14" s="15" t="str">
        <f>IF('Raw Data'!AG35="","",'Raw Data'!AG35)</f>
        <v>non</v>
      </c>
      <c r="AT14" s="15" t="str">
        <f>IF('Raw Data'!AH35="","",'Raw Data'!AH35)</f>
        <v/>
      </c>
      <c r="AU14" s="15" t="str">
        <f>IF('Raw Data'!AI35="","",'Raw Data'!AI35)</f>
        <v/>
      </c>
      <c r="AV14" s="15" t="str">
        <f>IF('Raw Data'!AJ35="","",'Raw Data'!AJ35)</f>
        <v/>
      </c>
      <c r="AW14" s="15" t="str">
        <f>IF('Raw Data'!AK35="","",'Raw Data'!AK35)</f>
        <v/>
      </c>
      <c r="AX14" s="15" t="str">
        <f>IF('Raw Data'!AL35="","",'Raw Data'!AL35)</f>
        <v/>
      </c>
      <c r="AY14" s="15" t="str">
        <f>IF('Raw Data'!AM35="","",'Raw Data'!AM35)</f>
        <v/>
      </c>
      <c r="AZ14" s="15" t="str">
        <f>IF('Raw Data'!AN35="","",'Raw Data'!AN35)</f>
        <v/>
      </c>
      <c r="BA14" s="15" t="str">
        <f>IF('Raw Data'!AO35="","",'Raw Data'!AO35)</f>
        <v/>
      </c>
      <c r="BB14" s="15" t="str">
        <f>IF('Raw Data'!AP35="","",'Raw Data'!AP35)</f>
        <v/>
      </c>
      <c r="BC14" s="15" t="str">
        <f>IF('Raw Data'!AQ35="","",'Raw Data'!AQ35)</f>
        <v/>
      </c>
      <c r="BD14" s="15" t="str">
        <f>IF('Raw Data'!AR35="","",'Raw Data'!AR35)</f>
        <v/>
      </c>
      <c r="BE14" s="15" t="str">
        <f>IF('Raw Data'!AS35="","",'Raw Data'!AS35)</f>
        <v/>
      </c>
      <c r="BF14" s="15" t="str">
        <f>IF('Raw Data'!AT35="","",'Raw Data'!AT35)</f>
        <v/>
      </c>
      <c r="BG14" s="15" t="str">
        <f>IF('Raw Data'!AU35="","",'Raw Data'!AU35)</f>
        <v/>
      </c>
      <c r="BH14" s="15" t="str">
        <f>IF('Raw Data'!AV35="","",'Raw Data'!AV35)</f>
        <v/>
      </c>
      <c r="BI14" s="15" t="str">
        <f>IF('Raw Data'!AW35="","",'Raw Data'!AW35)</f>
        <v/>
      </c>
      <c r="BJ14" s="15" t="str">
        <f>IF('Raw Data'!AX35="","",'Raw Data'!AX35)</f>
        <v/>
      </c>
      <c r="BK14" s="15" t="str">
        <f>IF('Raw Data'!AY35="","",'Raw Data'!AY35)</f>
        <v/>
      </c>
      <c r="BL14" s="15" t="str">
        <f>IF('Raw Data'!AZ35="","",'Raw Data'!AZ35)</f>
        <v/>
      </c>
      <c r="BM14" s="15" t="str">
        <f>IF('Raw Data'!BA35="","",'Raw Data'!BA35)</f>
        <v/>
      </c>
      <c r="BN14" s="15" t="str">
        <f>IF('Raw Data'!BB35="","",'Raw Data'!BB35)</f>
        <v/>
      </c>
      <c r="BO14" s="15" t="str">
        <f>IF('Raw Data'!BC35="","",'Raw Data'!BC35)</f>
        <v/>
      </c>
      <c r="BP14" s="15" t="str">
        <f>IF('Raw Data'!BD35="","",'Raw Data'!BD35)</f>
        <v/>
      </c>
      <c r="BQ14" s="15" t="str">
        <f>IF('Raw Data'!BE35="","",'Raw Data'!BE35)</f>
        <v/>
      </c>
      <c r="BR14" s="15" t="str">
        <f>IF('Raw Data'!BF35="","",'Raw Data'!BF35)</f>
        <v/>
      </c>
      <c r="BS14" s="15" t="str">
        <f>IF('Raw Data'!BG35="","",'Raw Data'!BG35)</f>
        <v/>
      </c>
      <c r="BT14" s="15" t="str">
        <f>IF('Raw Data'!BH35="","",'Raw Data'!BH35)</f>
        <v/>
      </c>
      <c r="BU14" s="15" t="str">
        <f>IF('Raw Data'!BI35="","",'Raw Data'!BI35)</f>
        <v/>
      </c>
      <c r="BV14" s="15" t="str">
        <f>IF('Raw Data'!BJ35="","",'Raw Data'!BJ35)</f>
        <v/>
      </c>
      <c r="BW14" s="15" t="str">
        <f>IF('Raw Data'!BK35="","",'Raw Data'!BK35)</f>
        <v/>
      </c>
      <c r="BX14" s="15" t="str">
        <f>IF('Raw Data'!BL35="","",'Raw Data'!BL35)</f>
        <v/>
      </c>
      <c r="BY14" s="15" t="str">
        <f>IF('Raw Data'!BM35="","",'Raw Data'!BM35)</f>
        <v/>
      </c>
      <c r="BZ14" s="15" t="str">
        <f>IF('Raw Data'!BN35="","",'Raw Data'!BN35)</f>
        <v/>
      </c>
      <c r="CA14" s="15" t="str">
        <f>IF('Raw Data'!BO35="","",'Raw Data'!BO35)</f>
        <v/>
      </c>
      <c r="CB14" s="15" t="str">
        <f>IF('Raw Data'!BP35="","",'Raw Data'!BP35)</f>
        <v/>
      </c>
      <c r="CC14" s="15" t="str">
        <f>IF('Raw Data'!BQ35="","",'Raw Data'!BQ35)</f>
        <v>non</v>
      </c>
      <c r="CD14" s="15" t="str">
        <f>IF('Raw Data'!BR35="","",'Raw Data'!BR35)</f>
        <v/>
      </c>
      <c r="CE14" s="15" t="str">
        <f>IF('Raw Data'!BS35="","",'Raw Data'!BS35)</f>
        <v/>
      </c>
      <c r="CF14" s="15" t="str">
        <f>IF('Raw Data'!BT35="","",'Raw Data'!BT35)</f>
        <v/>
      </c>
      <c r="CG14" s="15" t="str">
        <f>IF('Raw Data'!BU35="","",'Raw Data'!BU35)</f>
        <v/>
      </c>
      <c r="CH14" s="15" t="str">
        <f>IF('Raw Data'!BV35="","",'Raw Data'!BV35)</f>
        <v/>
      </c>
      <c r="CI14" s="15" t="str">
        <f>IF('Raw Data'!BW35="","",'Raw Data'!BW35)</f>
        <v/>
      </c>
      <c r="CJ14" s="15" t="str">
        <f>IF('Raw Data'!BX35="","",'Raw Data'!BX35)</f>
        <v/>
      </c>
      <c r="CK14" s="15" t="str">
        <f>IF('Raw Data'!BY35="","",'Raw Data'!BY35)</f>
        <v/>
      </c>
      <c r="CL14" s="15" t="str">
        <f>IF('Raw Data'!BZ35="","",'Raw Data'!BZ35)</f>
        <v/>
      </c>
      <c r="CM14" s="15" t="str">
        <f>IF('Raw Data'!CA35="","",'Raw Data'!CA35)</f>
        <v/>
      </c>
      <c r="CN14" s="15" t="str">
        <f>IF('Raw Data'!CB35="","",'Raw Data'!CB35)</f>
        <v/>
      </c>
      <c r="CO14" s="15" t="str">
        <f>IF('Raw Data'!CC35="","",'Raw Data'!CC35)</f>
        <v/>
      </c>
      <c r="CP14" s="15" t="str">
        <f>IF('Raw Data'!CD35="","",'Raw Data'!CD35)</f>
        <v/>
      </c>
      <c r="CQ14" s="15" t="str">
        <f>IF('Raw Data'!CE35="","",'Raw Data'!CE35)</f>
        <v/>
      </c>
      <c r="CR14" s="15" t="str">
        <f>IF('Raw Data'!CF35="","",'Raw Data'!CF35)</f>
        <v/>
      </c>
      <c r="CS14" s="15" t="str">
        <f>IF('Raw Data'!CG35="","",'Raw Data'!CG35)</f>
        <v/>
      </c>
      <c r="CT14" s="15" t="str">
        <f>IF('Raw Data'!CH35="","",'Raw Data'!CH35)</f>
        <v/>
      </c>
      <c r="CU14" s="15" t="str">
        <f>IF('Raw Data'!CI35="","",'Raw Data'!CI35)</f>
        <v/>
      </c>
      <c r="CV14" s="15" t="str">
        <f>IF('Raw Data'!CJ35="","",'Raw Data'!CJ35)</f>
        <v/>
      </c>
      <c r="CW14" s="15" t="str">
        <f>IF('Raw Data'!CK35="","",'Raw Data'!CK35)</f>
        <v/>
      </c>
      <c r="CX14" s="15" t="str">
        <f>IF('Raw Data'!CL35="","",'Raw Data'!CL35)</f>
        <v/>
      </c>
      <c r="CY14" s="15" t="str">
        <f>IF('Raw Data'!CM35="","",'Raw Data'!CM35)</f>
        <v/>
      </c>
      <c r="CZ14" s="15" t="str">
        <f>IF('Raw Data'!CN35="","",'Raw Data'!CN35)</f>
        <v/>
      </c>
      <c r="DA14" s="15" t="str">
        <f>IF('Raw Data'!CO35="","",'Raw Data'!CO35)</f>
        <v/>
      </c>
      <c r="DB14" s="15" t="str">
        <f>IF('Raw Data'!CP35="","",'Raw Data'!CP35)</f>
        <v/>
      </c>
      <c r="DC14" s="15" t="str">
        <f>IF('Raw Data'!CQ35="","",'Raw Data'!CQ35)</f>
        <v/>
      </c>
      <c r="DD14" s="15" t="str">
        <f>IF('Raw Data'!CR35="","",'Raw Data'!CR35)</f>
        <v/>
      </c>
      <c r="DE14" s="15" t="str">
        <f>IF('Raw Data'!CS35="","",'Raw Data'!CS35)</f>
        <v/>
      </c>
      <c r="DF14" s="15" t="str">
        <f>IF('Raw Data'!CT35="","",'Raw Data'!CT35)</f>
        <v/>
      </c>
      <c r="DG14" s="15" t="str">
        <f>IF('Raw Data'!CU35="","",'Raw Data'!CU35)</f>
        <v/>
      </c>
      <c r="DH14" s="15" t="str">
        <f>IF('Raw Data'!CV35="","",'Raw Data'!CV35)</f>
        <v/>
      </c>
      <c r="DI14" s="15" t="str">
        <f>IF('Raw Data'!CW35="","",'Raw Data'!CW35)</f>
        <v/>
      </c>
      <c r="DJ14" s="15" t="str">
        <f>IF('Raw Data'!CX35="","",'Raw Data'!CX35)</f>
        <v/>
      </c>
      <c r="DK14" s="15" t="str">
        <f>IF('Raw Data'!CY35="","",'Raw Data'!CY35)</f>
        <v/>
      </c>
      <c r="DL14" s="15" t="str">
        <f>IF('Raw Data'!CZ35="","",'Raw Data'!CZ35)</f>
        <v/>
      </c>
      <c r="DM14" s="15" t="str">
        <f>IF('Raw Data'!DA35="","",'Raw Data'!DA35)</f>
        <v/>
      </c>
      <c r="DN14" s="15" t="str">
        <f>IF('Raw Data'!DB35="","",'Raw Data'!DB35)</f>
        <v/>
      </c>
      <c r="DO14" s="15" t="str">
        <f>IF('Raw Data'!DC35="","",'Raw Data'!DC35)</f>
        <v/>
      </c>
      <c r="DP14" s="15" t="str">
        <f>IF('Raw Data'!DD35="","",'Raw Data'!DD35)</f>
        <v/>
      </c>
      <c r="DQ14" s="15" t="str">
        <f>IF('Raw Data'!DE35="","",'Raw Data'!DE35)</f>
        <v/>
      </c>
      <c r="DR14" s="15" t="str">
        <f>IF('Raw Data'!DF35="","",'Raw Data'!DF35)</f>
        <v/>
      </c>
      <c r="DS14" s="15" t="str">
        <f>IF('Raw Data'!DG35="","",'Raw Data'!DG35)</f>
        <v/>
      </c>
      <c r="DT14" s="15" t="str">
        <f>IF('Raw Data'!DH35="","",'Raw Data'!DH35)</f>
        <v/>
      </c>
      <c r="DU14" s="15" t="str">
        <f>IF('Raw Data'!DI35="","",'Raw Data'!DI35)</f>
        <v/>
      </c>
      <c r="DV14" s="15" t="str">
        <f>IF('Raw Data'!DJ35="","",'Raw Data'!DJ35)</f>
        <v/>
      </c>
      <c r="DW14" s="15" t="str">
        <f>IF('Raw Data'!DK35="","",'Raw Data'!DK35)</f>
        <v/>
      </c>
      <c r="DX14" s="15" t="str">
        <f>IF('Raw Data'!DL35="","",'Raw Data'!DL35)</f>
        <v/>
      </c>
      <c r="DY14" s="15" t="str">
        <f>IF('Raw Data'!DM35="","",'Raw Data'!DM35)</f>
        <v/>
      </c>
      <c r="DZ14" s="15" t="str">
        <f>IF('Raw Data'!DN35="","",'Raw Data'!DN35)</f>
        <v/>
      </c>
      <c r="EA14" s="15" t="str">
        <f>IF('Raw Data'!DO35="","",'Raw Data'!DO35)</f>
        <v/>
      </c>
      <c r="EB14" s="15" t="str">
        <f>IF('Raw Data'!DP35="","",'Raw Data'!DP35)</f>
        <v/>
      </c>
      <c r="EC14" s="15" t="str">
        <f>IF('Raw Data'!DQ35="","",'Raw Data'!DQ35)</f>
        <v/>
      </c>
      <c r="ED14" s="15" t="str">
        <f>IF('Raw Data'!DR35="","",'Raw Data'!DR35)</f>
        <v/>
      </c>
      <c r="EE14" s="15" t="str">
        <f>IF('Raw Data'!DS35="","",'Raw Data'!DS35)</f>
        <v/>
      </c>
      <c r="EF14" s="15" t="str">
        <f>IF('Raw Data'!DT35="","",'Raw Data'!DT35)</f>
        <v/>
      </c>
      <c r="EG14" s="15" t="str">
        <f>IF('Raw Data'!DU35="","",'Raw Data'!DU35)</f>
        <v/>
      </c>
      <c r="EH14" s="15" t="str">
        <f>IF('Raw Data'!DV35="","",'Raw Data'!DV35)</f>
        <v/>
      </c>
      <c r="EI14" s="15" t="str">
        <f>IF('Raw Data'!DW35="","",'Raw Data'!DW35)</f>
        <v/>
      </c>
      <c r="EJ14" s="15" t="str">
        <f>IF('Raw Data'!DX35="","",'Raw Data'!DX35)</f>
        <v/>
      </c>
      <c r="EK14" s="15" t="str">
        <f>IF('Raw Data'!DY35="","",'Raw Data'!DY35)</f>
        <v/>
      </c>
      <c r="EL14" s="15" t="str">
        <f>IF('Raw Data'!DZ35="","",'Raw Data'!DZ35)</f>
        <v>dplct_abords_com Integration_com_hote Soutien_famille_amis Soutien_chef_village Soutien_psychosocial Soutien_en_AGR</v>
      </c>
      <c r="EM14" s="15" t="str">
        <f>IF('Raw Data'!EA35="","",'Raw Data'!EA35)</f>
        <v>1</v>
      </c>
      <c r="EN14" s="15" t="str">
        <f>IF('Raw Data'!EB35="","",'Raw Data'!EB35)</f>
        <v>1</v>
      </c>
      <c r="EO14" s="15" t="str">
        <f>IF('Raw Data'!EC35="","",'Raw Data'!EC35)</f>
        <v>1</v>
      </c>
      <c r="EP14" s="15" t="str">
        <f>IF('Raw Data'!ED35="","",'Raw Data'!ED35)</f>
        <v>1</v>
      </c>
      <c r="EQ14" s="15" t="str">
        <f>IF('Raw Data'!EE35="","",'Raw Data'!EE35)</f>
        <v>1</v>
      </c>
      <c r="ER14" s="15" t="str">
        <f>IF('Raw Data'!EF35="","",'Raw Data'!EF35)</f>
        <v>1</v>
      </c>
      <c r="ES14" s="15" t="str">
        <f>IF('Raw Data'!EG35="","",'Raw Data'!EG35)</f>
        <v>0</v>
      </c>
      <c r="ET14" s="15" t="str">
        <f>IF('Raw Data'!EH35="","",'Raw Data'!EH35)</f>
        <v>0</v>
      </c>
      <c r="EU14" s="15" t="str">
        <f>IF('Raw Data'!EI35="","",'Raw Data'!EI35)</f>
        <v>0</v>
      </c>
      <c r="EV14" s="15" t="str">
        <f>IF('Raw Data'!EJ35="","",'Raw Data'!EJ35)</f>
        <v/>
      </c>
      <c r="EW14" s="15" t="str">
        <f>IF('Raw Data'!EK35="","",'Raw Data'!EK35)</f>
        <v/>
      </c>
      <c r="EX14" s="15" t="str">
        <f>IF('Raw Data'!EL35="","",'Raw Data'!EL35)</f>
        <v>comite_protection famille_accueil comite_alerte comite_redevabilite comite_gestion_conflits enfant_pairs</v>
      </c>
      <c r="EY14" s="15" t="str">
        <f>IF('Raw Data'!EM35="","",'Raw Data'!EM35)</f>
        <v>0</v>
      </c>
      <c r="EZ14" s="15" t="str">
        <f>IF('Raw Data'!EN35="","",'Raw Data'!EN35)</f>
        <v>1</v>
      </c>
      <c r="FA14" s="15" t="str">
        <f>IF('Raw Data'!EO35="","",'Raw Data'!EO35)</f>
        <v>1</v>
      </c>
      <c r="FB14" s="15" t="str">
        <f>IF('Raw Data'!EP35="","",'Raw Data'!EP35)</f>
        <v>1</v>
      </c>
      <c r="FC14" s="15" t="str">
        <f>IF('Raw Data'!EQ35="","",'Raw Data'!EQ35)</f>
        <v>1</v>
      </c>
      <c r="FD14" s="15" t="str">
        <f>IF('Raw Data'!ER35="","",'Raw Data'!ER35)</f>
        <v>1</v>
      </c>
      <c r="FE14" s="15" t="str">
        <f>IF('Raw Data'!ES35="","",'Raw Data'!ES35)</f>
        <v>1</v>
      </c>
      <c r="FF14" s="15" t="str">
        <f>IF('Raw Data'!ET35="","",'Raw Data'!ET35)</f>
        <v>0</v>
      </c>
      <c r="FG14" s="15" t="str">
        <f>IF('Raw Data'!EU35="","",'Raw Data'!EU35)</f>
        <v>0</v>
      </c>
      <c r="FH14" s="15" t="str">
        <f>IF('Raw Data'!EV35="","",'Raw Data'!EV35)</f>
        <v>0</v>
      </c>
      <c r="FI14" s="15" t="str">
        <f>IF('Raw Data'!EW35="","",'Raw Data'!EW35)</f>
        <v/>
      </c>
      <c r="FJ14" s="15" t="str">
        <f>IF('Raw Data'!EX35="","",'Raw Data'!EX35)</f>
        <v>oui</v>
      </c>
      <c r="FK14" s="15" t="str">
        <f>IF('Raw Data'!EY35="","",'Raw Data'!EY35)</f>
        <v>Radio_television Internet manif_sociales famille_amis Differents_comites_villageois Travailleurs_sociaux/hum Ecole</v>
      </c>
      <c r="FL14" s="15" t="str">
        <f>IF('Raw Data'!EZ35="","",'Raw Data'!EZ35)</f>
        <v>1</v>
      </c>
      <c r="FM14" s="15" t="str">
        <f>IF('Raw Data'!FA35="","",'Raw Data'!FA35)</f>
        <v>0</v>
      </c>
      <c r="FN14" s="15" t="str">
        <f>IF('Raw Data'!FB35="","",'Raw Data'!FB35)</f>
        <v>1</v>
      </c>
      <c r="FO14" s="15" t="str">
        <f>IF('Raw Data'!FC35="","",'Raw Data'!FC35)</f>
        <v>1</v>
      </c>
      <c r="FP14" s="15" t="str">
        <f>IF('Raw Data'!FD35="","",'Raw Data'!FD35)</f>
        <v>0</v>
      </c>
      <c r="FQ14" s="15" t="str">
        <f>IF('Raw Data'!FE35="","",'Raw Data'!FE35)</f>
        <v>1</v>
      </c>
      <c r="FR14" s="15" t="str">
        <f>IF('Raw Data'!FF35="","",'Raw Data'!FF35)</f>
        <v>0</v>
      </c>
      <c r="FS14" s="15" t="str">
        <f>IF('Raw Data'!FG35="","",'Raw Data'!FG35)</f>
        <v>0</v>
      </c>
      <c r="FT14" s="15" t="str">
        <f>IF('Raw Data'!FH35="","",'Raw Data'!FH35)</f>
        <v>1</v>
      </c>
      <c r="FU14" s="15" t="str">
        <f>IF('Raw Data'!FI35="","",'Raw Data'!FI35)</f>
        <v>0</v>
      </c>
      <c r="FV14" s="15" t="str">
        <f>IF('Raw Data'!FJ35="","",'Raw Data'!FJ35)</f>
        <v>1</v>
      </c>
      <c r="FW14" s="15" t="str">
        <f>IF('Raw Data'!FK35="","",'Raw Data'!FK35)</f>
        <v>1</v>
      </c>
      <c r="FX14" s="15" t="str">
        <f>IF('Raw Data'!FL35="","",'Raw Data'!FL35)</f>
        <v>0</v>
      </c>
      <c r="FY14" s="15" t="str">
        <f>IF('Raw Data'!FM35="","",'Raw Data'!FM35)</f>
        <v>0</v>
      </c>
      <c r="FZ14" s="15" t="str">
        <f>IF('Raw Data'!FN35="","",'Raw Data'!FN35)</f>
        <v/>
      </c>
      <c r="GA14" s="15" t="str">
        <f>IF('Raw Data'!FO35="","",'Raw Data'!FO35)</f>
        <v>oui_majorite</v>
      </c>
      <c r="GB14" s="15" t="str">
        <f>IF('Raw Data'!FP35="","",'Raw Data'!FP35)</f>
        <v>oui_majorite</v>
      </c>
      <c r="GC14" s="15" t="str">
        <f>IF('Raw Data'!FQ35="","",'Raw Data'!FQ35)</f>
        <v>non_fonctionnelle manque_info</v>
      </c>
      <c r="GD14" s="15" t="str">
        <f>IF('Raw Data'!FR35="","",'Raw Data'!FR35)</f>
        <v>1</v>
      </c>
      <c r="GE14" s="15" t="str">
        <f>IF('Raw Data'!FS35="","",'Raw Data'!FS35)</f>
        <v>1</v>
      </c>
      <c r="GF14" s="15" t="str">
        <f>IF('Raw Data'!FT35="","",'Raw Data'!FT35)</f>
        <v>0</v>
      </c>
      <c r="GG14" s="15" t="str">
        <f>IF('Raw Data'!FU35="","",'Raw Data'!FU35)</f>
        <v>0</v>
      </c>
      <c r="GH14" s="15" t="str">
        <f>IF('Raw Data'!FV35="","",'Raw Data'!FV35)</f>
        <v>0</v>
      </c>
      <c r="GI14" s="15" t="str">
        <f>IF('Raw Data'!FW35="","",'Raw Data'!FW35)</f>
        <v>0</v>
      </c>
      <c r="GJ14" s="15" t="str">
        <f>IF('Raw Data'!FX35="","",'Raw Data'!FX35)</f>
        <v>0</v>
      </c>
      <c r="GK14" s="15" t="str">
        <f>IF('Raw Data'!FY35="","",'Raw Data'!FY35)</f>
        <v>0</v>
      </c>
      <c r="GL14" s="15" t="str">
        <f>IF('Raw Data'!FZ35="","",'Raw Data'!FZ35)</f>
        <v/>
      </c>
      <c r="GM14" s="15" t="str">
        <f>IF('Raw Data'!GA35="","",'Raw Data'!GA35)</f>
        <v>minorite</v>
      </c>
      <c r="GN14" s="15" t="str">
        <f>IF('Raw Data'!GB35="","",'Raw Data'!GB35)</f>
        <v>majorite</v>
      </c>
      <c r="GO14" s="15" t="str">
        <f>IF('Raw Data'!GC35="","",'Raw Data'!GC35)</f>
        <v>Education Services_de_sante Acces_aux_doc</v>
      </c>
      <c r="GP14" s="15" t="str">
        <f>IF('Raw Data'!GD35="","",'Raw Data'!GD35)</f>
        <v>0</v>
      </c>
      <c r="GQ14" s="15" t="str">
        <f>IF('Raw Data'!GE35="","",'Raw Data'!GE35)</f>
        <v>1</v>
      </c>
      <c r="GR14" s="15" t="str">
        <f>IF('Raw Data'!GF35="","",'Raw Data'!GF35)</f>
        <v>0</v>
      </c>
      <c r="GS14" s="15" t="str">
        <f>IF('Raw Data'!GG35="","",'Raw Data'!GG35)</f>
        <v>1</v>
      </c>
      <c r="GT14" s="15" t="str">
        <f>IF('Raw Data'!GH35="","",'Raw Data'!GH35)</f>
        <v>1</v>
      </c>
      <c r="GU14" s="15" t="str">
        <f>IF('Raw Data'!GI35="","",'Raw Data'!GI35)</f>
        <v>0</v>
      </c>
      <c r="GV14" s="15" t="str">
        <f>IF('Raw Data'!GJ35="","",'Raw Data'!GJ35)</f>
        <v>0</v>
      </c>
      <c r="GW14" s="15" t="str">
        <f>IF('Raw Data'!GK35="","",'Raw Data'!GK35)</f>
        <v>0</v>
      </c>
      <c r="GX14" s="15" t="str">
        <f>IF('Raw Data'!GL35="","",'Raw Data'!GL35)</f>
        <v>0</v>
      </c>
      <c r="GY14" s="15" t="str">
        <f>IF('Raw Data'!GM35="","",'Raw Data'!GM35)</f>
        <v/>
      </c>
      <c r="GZ14" s="15" t="str">
        <f>IF('Raw Data'!GN35="","",'Raw Data'!GN35)</f>
        <v>oui_majorite</v>
      </c>
      <c r="HA14" s="15" t="str">
        <f>IF('Raw Data'!GO35="","",'Raw Data'!GO35)</f>
        <v>oui_majorite</v>
      </c>
      <c r="HB14" s="15" t="str">
        <f>IF('Raw Data'!GP35="","",'Raw Data'!GP35)</f>
        <v>amelioration_futur permet_eviter_conflits diminution_tensions</v>
      </c>
      <c r="HC14" s="15" t="str">
        <f>IF('Raw Data'!GQ35="","",'Raw Data'!GQ35)</f>
        <v>1</v>
      </c>
      <c r="HD14" s="15" t="str">
        <f>IF('Raw Data'!GR35="","",'Raw Data'!GR35)</f>
        <v>0</v>
      </c>
      <c r="HE14" s="15" t="str">
        <f>IF('Raw Data'!GS35="","",'Raw Data'!GS35)</f>
        <v>0</v>
      </c>
      <c r="HF14" s="15" t="str">
        <f>IF('Raw Data'!GT35="","",'Raw Data'!GT35)</f>
        <v>1</v>
      </c>
      <c r="HG14" s="15" t="str">
        <f>IF('Raw Data'!GU35="","",'Raw Data'!GU35)</f>
        <v>0</v>
      </c>
      <c r="HH14" s="15" t="str">
        <f>IF('Raw Data'!GV35="","",'Raw Data'!GV35)</f>
        <v>1</v>
      </c>
      <c r="HI14" s="15" t="str">
        <f>IF('Raw Data'!GW35="","",'Raw Data'!GW35)</f>
        <v>0</v>
      </c>
      <c r="HJ14" s="15" t="str">
        <f>IF('Raw Data'!GX35="","",'Raw Data'!GX35)</f>
        <v>0</v>
      </c>
      <c r="HK14" s="15" t="str">
        <f>IF('Raw Data'!GY35="","",'Raw Data'!GY35)</f>
        <v/>
      </c>
      <c r="HL14" s="15" t="str">
        <f>IF('Raw Data'!GZ35="","",'Raw Data'!GZ35)</f>
        <v>ne_contribue_pas</v>
      </c>
      <c r="HM14" s="15" t="str">
        <f>IF('Raw Data'!HA35="","",'Raw Data'!HA35)</f>
        <v>1</v>
      </c>
      <c r="HN14" s="15" t="str">
        <f>IF('Raw Data'!HB35="","",'Raw Data'!HB35)</f>
        <v>0</v>
      </c>
      <c r="HO14" s="15" t="str">
        <f>IF('Raw Data'!HC35="","",'Raw Data'!HC35)</f>
        <v>0</v>
      </c>
      <c r="HP14" s="15" t="str">
        <f>IF('Raw Data'!HD35="","",'Raw Data'!HD35)</f>
        <v>0</v>
      </c>
      <c r="HQ14" s="15" t="str">
        <f>IF('Raw Data'!HE35="","",'Raw Data'!HE35)</f>
        <v>0</v>
      </c>
      <c r="HR14" s="15" t="str">
        <f>IF('Raw Data'!HF35="","",'Raw Data'!HF35)</f>
        <v>0</v>
      </c>
      <c r="HS14" s="15" t="str">
        <f>IF('Raw Data'!HG35="","",'Raw Data'!HG35)</f>
        <v/>
      </c>
      <c r="HT14" s="15" t="str">
        <f>IF('Raw Data'!HH35="","",'Raw Data'!HH35)</f>
        <v/>
      </c>
      <c r="HU14" s="15" t="str">
        <f>IF('Raw Data'!HI35="","",'Raw Data'!HI35)</f>
        <v>oui_minorite</v>
      </c>
      <c r="HV14" s="15" t="str">
        <f>IF('Raw Data'!HJ35="","",'Raw Data'!HJ35)</f>
        <v>gvt fds_arme autorite_locale_leaders ingo ong_locale famille_amis</v>
      </c>
      <c r="HW14" s="15" t="str">
        <f>IF('Raw Data'!HK35="","",'Raw Data'!HK35)</f>
        <v>1</v>
      </c>
      <c r="HX14" s="15" t="str">
        <f>IF('Raw Data'!HL35="","",'Raw Data'!HL35)</f>
        <v>1</v>
      </c>
      <c r="HY14" s="15" t="str">
        <f>IF('Raw Data'!HM35="","",'Raw Data'!HM35)</f>
        <v>1</v>
      </c>
      <c r="HZ14" s="15" t="str">
        <f>IF('Raw Data'!HN35="","",'Raw Data'!HN35)</f>
        <v>0</v>
      </c>
      <c r="IA14" s="15" t="str">
        <f>IF('Raw Data'!HO35="","",'Raw Data'!HO35)</f>
        <v>1</v>
      </c>
      <c r="IB14" s="15" t="str">
        <f>IF('Raw Data'!HP35="","",'Raw Data'!HP35)</f>
        <v>1</v>
      </c>
      <c r="IC14" s="15" t="str">
        <f>IF('Raw Data'!HQ35="","",'Raw Data'!HQ35)</f>
        <v>1</v>
      </c>
      <c r="ID14" s="15" t="str">
        <f>IF('Raw Data'!HR35="","",'Raw Data'!HR35)</f>
        <v>0</v>
      </c>
      <c r="IE14" s="15" t="str">
        <f>IF('Raw Data'!HS35="","",'Raw Data'!HS35)</f>
        <v>0</v>
      </c>
      <c r="IF14" s="15" t="str">
        <f>IF('Raw Data'!HT35="","",'Raw Data'!HT35)</f>
        <v>0</v>
      </c>
      <c r="IG14" s="15" t="str">
        <f>IF('Raw Data'!HU35="","",'Raw Data'!HU35)</f>
        <v/>
      </c>
      <c r="IH14" s="15" t="str">
        <f>IF('Raw Data'!HV35="","",'Raw Data'!HV35)</f>
        <v>oui</v>
      </c>
      <c r="II14" s="15" t="str">
        <f>IF('Raw Data'!HW35="","",'Raw Data'!HW35)</f>
        <v/>
      </c>
      <c r="IJ14" s="15" t="str">
        <f>IF('Raw Data'!HX35="","",'Raw Data'!HX35)</f>
        <v/>
      </c>
      <c r="IK14" s="15" t="str">
        <f>IF('Raw Data'!HY35="","",'Raw Data'!HY35)</f>
        <v/>
      </c>
      <c r="IL14" s="15" t="str">
        <f>IF('Raw Data'!HZ35="","",'Raw Data'!HZ35)</f>
        <v/>
      </c>
      <c r="IM14" s="15" t="str">
        <f>IF('Raw Data'!IA35="","",'Raw Data'!IA35)</f>
        <v/>
      </c>
      <c r="IN14" s="15" t="str">
        <f>IF('Raw Data'!IB35="","",'Raw Data'!IB35)</f>
        <v/>
      </c>
      <c r="IO14" s="15" t="str">
        <f>IF('Raw Data'!IC35="","",'Raw Data'!IC35)</f>
        <v/>
      </c>
      <c r="IP14" s="15" t="str">
        <f>IF('Raw Data'!ID35="","",'Raw Data'!ID35)</f>
        <v/>
      </c>
      <c r="IQ14" s="15" t="str">
        <f>IF('Raw Data'!IE35="","",'Raw Data'!IE35)</f>
        <v/>
      </c>
      <c r="IR14" s="15" t="str">
        <f>IF('Raw Data'!IF35="","",'Raw Data'!IF35)</f>
        <v/>
      </c>
      <c r="IS14" s="15" t="str">
        <f>IF('Raw Data'!IG35="","",'Raw Data'!IG35)</f>
        <v/>
      </c>
      <c r="IT14" s="15" t="str">
        <f>IF('Raw Data'!IH35="","",'Raw Data'!IH35)</f>
        <v/>
      </c>
      <c r="IU14" s="15" t="str">
        <f>IF('Raw Data'!II35="","",'Raw Data'!II35)</f>
        <v/>
      </c>
      <c r="IV14" s="15" t="str">
        <f>IF('Raw Data'!IJ35="","",'Raw Data'!IJ35)</f>
        <v/>
      </c>
      <c r="IW14" s="15" t="str">
        <f>IF('Raw Data'!IK35="","",'Raw Data'!IK35)</f>
        <v/>
      </c>
      <c r="IX14" s="15" t="str">
        <f>IF('Raw Data'!IL35="","",'Raw Data'!IL35)</f>
        <v/>
      </c>
      <c r="IY14" s="15" t="str">
        <f>IF('Raw Data'!IM35="","",'Raw Data'!IM35)</f>
        <v/>
      </c>
      <c r="IZ14" s="15" t="str">
        <f>IF('Raw Data'!IN35="","",'Raw Data'!IN35)</f>
        <v>8</v>
      </c>
      <c r="JA14" s="15" t="str">
        <f>IF('Raw Data'!IO35="","",'Raw Data'!IO35)</f>
        <v>Services_medicaux Services_educatifs acces_docs reinsertion</v>
      </c>
      <c r="JB14" s="15" t="str">
        <f>IF('Raw Data'!IP35="","",'Raw Data'!IP35)</f>
        <v>0</v>
      </c>
      <c r="JC14" s="15" t="str">
        <f>IF('Raw Data'!IQ35="","",'Raw Data'!IQ35)</f>
        <v>1</v>
      </c>
      <c r="JD14" s="15" t="str">
        <f>IF('Raw Data'!IR35="","",'Raw Data'!IR35)</f>
        <v>1</v>
      </c>
      <c r="JE14" s="15" t="str">
        <f>IF('Raw Data'!IS35="","",'Raw Data'!IS35)</f>
        <v>0</v>
      </c>
      <c r="JF14" s="15" t="str">
        <f>IF('Raw Data'!IT35="","",'Raw Data'!IT35)</f>
        <v>1</v>
      </c>
      <c r="JG14" s="15" t="str">
        <f>IF('Raw Data'!IU35="","",'Raw Data'!IU35)</f>
        <v>0</v>
      </c>
      <c r="JH14" s="15" t="str">
        <f>IF('Raw Data'!IV35="","",'Raw Data'!IV35)</f>
        <v>0</v>
      </c>
      <c r="JI14" s="15" t="str">
        <f>IF('Raw Data'!IW35="","",'Raw Data'!IW35)</f>
        <v>0</v>
      </c>
      <c r="JJ14" s="15" t="str">
        <f>IF('Raw Data'!IX35="","",'Raw Data'!IX35)</f>
        <v>1</v>
      </c>
      <c r="JK14" s="15" t="str">
        <f>IF('Raw Data'!IY35="","",'Raw Data'!IY35)</f>
        <v>0</v>
      </c>
      <c r="JL14" s="15" t="str">
        <f>IF('Raw Data'!IZ35="","",'Raw Data'!IZ35)</f>
        <v/>
      </c>
      <c r="JM14" s="15" t="str">
        <f>IF('Raw Data'!JA35="","",'Raw Data'!JA35)</f>
        <v>prise_enchage reorientation signalement</v>
      </c>
      <c r="JN14" s="15" t="str">
        <f>IF('Raw Data'!JB35="","",'Raw Data'!JB35)</f>
        <v>1</v>
      </c>
      <c r="JO14" s="15" t="str">
        <f>IF('Raw Data'!JC35="","",'Raw Data'!JC35)</f>
        <v>1</v>
      </c>
      <c r="JP14" s="15" t="str">
        <f>IF('Raw Data'!JD35="","",'Raw Data'!JD35)</f>
        <v>1</v>
      </c>
      <c r="JQ14" s="15" t="str">
        <f>IF('Raw Data'!JE35="","",'Raw Data'!JE35)</f>
        <v>0</v>
      </c>
      <c r="JR14" s="15" t="str">
        <f>IF('Raw Data'!JF35="","",'Raw Data'!JF35)</f>
        <v>0</v>
      </c>
      <c r="JS14" s="15" t="str">
        <f>IF('Raw Data'!JG35="","",'Raw Data'!JG35)</f>
        <v>0</v>
      </c>
      <c r="JT14" s="15" t="str">
        <f>IF('Raw Data'!JH35="","",'Raw Data'!JH35)</f>
        <v/>
      </c>
      <c r="JU14" s="15" t="str">
        <f>IF('Raw Data'!JI35="","",'Raw Data'!JI35)</f>
        <v>medical juridique surete</v>
      </c>
      <c r="JV14" s="15" t="str">
        <f>IF('Raw Data'!JJ35="","",'Raw Data'!JJ35)</f>
        <v>1</v>
      </c>
      <c r="JW14" s="15" t="str">
        <f>IF('Raw Data'!JK35="","",'Raw Data'!JK35)</f>
        <v>0</v>
      </c>
      <c r="JX14" s="15" t="str">
        <f>IF('Raw Data'!JL35="","",'Raw Data'!JL35)</f>
        <v>0</v>
      </c>
      <c r="JY14" s="15" t="str">
        <f>IF('Raw Data'!JM35="","",'Raw Data'!JM35)</f>
        <v>1</v>
      </c>
      <c r="JZ14" s="15" t="str">
        <f>IF('Raw Data'!JN35="","",'Raw Data'!JN35)</f>
        <v>1</v>
      </c>
      <c r="KA14" s="15" t="str">
        <f>IF('Raw Data'!JO35="","",'Raw Data'!JO35)</f>
        <v>0</v>
      </c>
      <c r="KB14" s="15" t="str">
        <f>IF('Raw Data'!JP35="","",'Raw Data'!JP35)</f>
        <v>0</v>
      </c>
      <c r="KC14" s="15" t="str">
        <f>IF('Raw Data'!JQ35="","",'Raw Data'!JQ35)</f>
        <v>0</v>
      </c>
      <c r="KD14" s="15" t="str">
        <f>IF('Raw Data'!JR35="","",'Raw Data'!JR35)</f>
        <v>0</v>
      </c>
      <c r="KE14" s="15" t="str">
        <f>IF('Raw Data'!JS35="","",'Raw Data'!JS35)</f>
        <v/>
      </c>
      <c r="KF14" s="15" t="str">
        <f>IF('Raw Data'!JT35="","",'Raw Data'!JT35)</f>
        <v>centre_formation</v>
      </c>
      <c r="KG14" s="15" t="str">
        <f>IF('Raw Data'!JU35="","",'Raw Data'!JU35)</f>
        <v>0</v>
      </c>
      <c r="KH14" s="15" t="str">
        <f>IF('Raw Data'!JV35="","",'Raw Data'!JV35)</f>
        <v>0</v>
      </c>
      <c r="KI14" s="15" t="str">
        <f>IF('Raw Data'!JW35="","",'Raw Data'!JW35)</f>
        <v>0</v>
      </c>
      <c r="KJ14" s="15" t="str">
        <f>IF('Raw Data'!JX35="","",'Raw Data'!JX35)</f>
        <v>0</v>
      </c>
      <c r="KK14" s="15" t="str">
        <f>IF('Raw Data'!JY35="","",'Raw Data'!JY35)</f>
        <v>0</v>
      </c>
      <c r="KL14" s="15" t="str">
        <f>IF('Raw Data'!JZ35="","",'Raw Data'!JZ35)</f>
        <v>0</v>
      </c>
      <c r="KM14" s="15" t="str">
        <f>IF('Raw Data'!KA35="","",'Raw Data'!KA35)</f>
        <v>1</v>
      </c>
      <c r="KN14" s="15" t="str">
        <f>IF('Raw Data'!KB35="","",'Raw Data'!KB35)</f>
        <v>0</v>
      </c>
      <c r="KO14" s="15" t="str">
        <f>IF('Raw Data'!KC35="","",'Raw Data'!KC35)</f>
        <v>0</v>
      </c>
      <c r="KP14" s="15" t="str">
        <f>IF('Raw Data'!KD35="","",'Raw Data'!KD35)</f>
        <v/>
      </c>
      <c r="KQ14" s="15" t="str">
        <f>IF('Raw Data'!KE35="","",'Raw Data'!KE35)</f>
        <v/>
      </c>
      <c r="KR14" s="15" t="str">
        <f>IF('Raw Data'!KF35="","",'Raw Data'!KF35)</f>
        <v>non</v>
      </c>
      <c r="KS14" s="15" t="str">
        <f>IF('Raw Data'!KG35="","",'Raw Data'!KG35)</f>
        <v/>
      </c>
      <c r="KT14" s="15" t="str">
        <f>IF('Raw Data'!KH35="","",'Raw Data'!KH35)</f>
        <v/>
      </c>
      <c r="KU14" s="15" t="str">
        <f>IF('Raw Data'!KI35="","",'Raw Data'!KI35)</f>
        <v/>
      </c>
      <c r="KV14" s="15" t="str">
        <f>IF('Raw Data'!KJ35="","",'Raw Data'!KJ35)</f>
        <v/>
      </c>
      <c r="KW14" s="15" t="str">
        <f>IF('Raw Data'!KK35="","",'Raw Data'!KK35)</f>
        <v/>
      </c>
      <c r="KX14" s="15" t="str">
        <f>IF('Raw Data'!KL35="","",'Raw Data'!KL35)</f>
        <v/>
      </c>
      <c r="KY14" s="15" t="str">
        <f>IF('Raw Data'!KM35="","",'Raw Data'!KM35)</f>
        <v/>
      </c>
      <c r="KZ14" s="15" t="str">
        <f>IF('Raw Data'!KN35="","",'Raw Data'!KN35)</f>
        <v/>
      </c>
      <c r="LA14" s="15" t="str">
        <f>IF('Raw Data'!KO35="","",'Raw Data'!KO35)</f>
        <v/>
      </c>
      <c r="LB14" s="15" t="str">
        <f>IF('Raw Data'!KP35="","",'Raw Data'!KP35)</f>
        <v/>
      </c>
      <c r="LC14" s="15" t="str">
        <f>IF('Raw Data'!KQ35="","",'Raw Data'!KQ35)</f>
        <v/>
      </c>
      <c r="LD14" s="15" t="str">
        <f>IF('Raw Data'!KR35="","",'Raw Data'!KR35)</f>
        <v/>
      </c>
      <c r="LE14" s="15" t="str">
        <f>IF('Raw Data'!KS35="","",'Raw Data'!KS35)</f>
        <v/>
      </c>
      <c r="LF14" s="15" t="str">
        <f>IF('Raw Data'!KT35="","",'Raw Data'!KT35)</f>
        <v/>
      </c>
      <c r="LG14" s="15" t="str">
        <f>IF('Raw Data'!KU35="","",'Raw Data'!KU35)</f>
        <v/>
      </c>
      <c r="LH14" s="15" t="str">
        <f>IF('Raw Data'!KV35="","",'Raw Data'!KV35)</f>
        <v/>
      </c>
      <c r="LI14" s="15" t="str">
        <f>IF('Raw Data'!KW35="","",'Raw Data'!KW35)</f>
        <v/>
      </c>
      <c r="LJ14" s="15" t="str">
        <f>IF('Raw Data'!KX35="","",'Raw Data'!KX35)</f>
        <v/>
      </c>
      <c r="LK14" s="15" t="str">
        <f>IF('Raw Data'!KY35="","",'Raw Data'!KY35)</f>
        <v/>
      </c>
      <c r="LL14" s="15" t="str">
        <f>IF('Raw Data'!KZ35="","",'Raw Data'!KZ35)</f>
        <v/>
      </c>
      <c r="LM14" s="15" t="str">
        <f>IF('Raw Data'!LA35="","",'Raw Data'!LA35)</f>
        <v/>
      </c>
      <c r="LN14" s="15" t="str">
        <f>IF('Raw Data'!LB35="","",'Raw Data'!LB35)</f>
        <v>non</v>
      </c>
      <c r="LO14" s="15" t="str">
        <f>IF('Raw Data'!LC35="","",'Raw Data'!LC35)</f>
        <v/>
      </c>
      <c r="LP14" s="15" t="str">
        <f>IF('Raw Data'!LD35="","",'Raw Data'!LD35)</f>
        <v/>
      </c>
      <c r="LQ14" s="15" t="str">
        <f>IF('Raw Data'!LE35="","",'Raw Data'!LE35)</f>
        <v/>
      </c>
      <c r="LR14" s="15" t="str">
        <f>IF('Raw Data'!LF35="","",'Raw Data'!LF35)</f>
        <v/>
      </c>
      <c r="LS14" s="15" t="str">
        <f>IF('Raw Data'!LG35="","",'Raw Data'!LG35)</f>
        <v/>
      </c>
      <c r="LT14" s="15" t="str">
        <f>IF('Raw Data'!LH35="","",'Raw Data'!LH35)</f>
        <v/>
      </c>
      <c r="LU14" s="15" t="str">
        <f>IF('Raw Data'!LI35="","",'Raw Data'!LI35)</f>
        <v/>
      </c>
      <c r="LV14" s="15" t="str">
        <f>IF('Raw Data'!LJ35="","",'Raw Data'!LJ35)</f>
        <v/>
      </c>
      <c r="LW14" s="15" t="str">
        <f>IF('Raw Data'!LK35="","",'Raw Data'!LK35)</f>
        <v/>
      </c>
      <c r="LX14" s="15" t="str">
        <f>IF('Raw Data'!LL35="","",'Raw Data'!LL35)</f>
        <v/>
      </c>
      <c r="LY14" s="15" t="str">
        <f>IF('Raw Data'!LM35="","",'Raw Data'!LM35)</f>
        <v/>
      </c>
      <c r="LZ14" s="15" t="str">
        <f>IF('Raw Data'!LN35="","",'Raw Data'!LN35)</f>
        <v/>
      </c>
      <c r="MA14" s="15" t="str">
        <f>IF('Raw Data'!LO35="","",'Raw Data'!LO35)</f>
        <v/>
      </c>
      <c r="MB14" s="15" t="str">
        <f>IF('Raw Data'!LP35="","",'Raw Data'!LP35)</f>
        <v>oui</v>
      </c>
      <c r="MC14" s="15" t="str">
        <f>IF('Raw Data'!LQ35="","",'Raw Data'!LQ35)</f>
        <v/>
      </c>
      <c r="MD14" s="31"/>
      <c r="ME14" s="15">
        <f>IF('Raw Data'!LS35="","",'Raw Data'!LS35)</f>
        <v>169365634</v>
      </c>
      <c r="MF14" s="15" t="str">
        <f>IF('Raw Data'!LT35="","",'Raw Data'!LT35)</f>
        <v>2a86fdfe-cbe9-49c3-a512-9e3904f03dcb</v>
      </c>
      <c r="MG14" s="15" t="str">
        <f>IF('Raw Data'!LU35="","",'Raw Data'!LU35)</f>
        <v>2021-04-03T00:05:37</v>
      </c>
      <c r="MH14" s="15" t="str">
        <f>IF('Raw Data'!LV35="","",'Raw Data'!LV35)</f>
        <v/>
      </c>
      <c r="MI14" s="15" t="str">
        <f>IF('Raw Data'!LW35="","",'Raw Data'!LW35)</f>
        <v>[]</v>
      </c>
      <c r="MJ14" s="15" t="str">
        <f>IF('Raw Data'!LX35="","",'Raw Data'!LX35)</f>
        <v>submitted_via_web</v>
      </c>
      <c r="MK14" s="15" t="str">
        <f>IF('Raw Data'!LY35="","",'Raw Data'!LY35)</f>
        <v>reach_niger</v>
      </c>
      <c r="ML14" s="15" t="str">
        <f>IF('Raw Data'!LZ35="","",'Raw Data'!LZ35)</f>
        <v/>
      </c>
      <c r="MM14" s="15">
        <f>IF('Raw Data'!MA35="","",'Raw Data'!MA35)</f>
        <v>36</v>
      </c>
    </row>
    <row r="15" spans="1:351" x14ac:dyDescent="0.3">
      <c r="A15" s="26" t="str">
        <f t="shared" si="0"/>
        <v>d3528cd8-fb30-413e-a0b9-41b3ea3e9e64</v>
      </c>
      <c r="B15" s="26" t="str">
        <f t="shared" si="1"/>
        <v>ayerou</v>
      </c>
      <c r="C15" s="26" t="str">
        <f t="shared" si="2"/>
        <v>D</v>
      </c>
      <c r="D15" s="14" t="str">
        <f>IF('Raw Data'!A10="","",'Raw Data'!A10)</f>
        <v>2021-03-31T12:27:01.898+01:00</v>
      </c>
      <c r="E15" s="14" t="str">
        <f>IF('Raw Data'!B10="","",'Raw Data'!B10)</f>
        <v>2021-03-31T15:49:12.315+01:00</v>
      </c>
      <c r="F15" s="30">
        <v>44286.518761574072</v>
      </c>
      <c r="G15" s="30">
        <v>44286.659166666665</v>
      </c>
      <c r="H15" s="29">
        <f>VLOOKUP(A15,Audit[#All],2,FALSE)</f>
        <v>202.17</v>
      </c>
      <c r="I15" s="29">
        <f>VLOOKUP(A15,Audit[#All],3,FALSE)</f>
        <v>37.81</v>
      </c>
      <c r="J15" s="29">
        <f>VLOOKUP(A15,Audit[#All],4,FALSE)</f>
        <v>34.409999999999997</v>
      </c>
      <c r="K15" s="29">
        <f>VLOOKUP(A15,nb_questions[#All],2,FALSE)</f>
        <v>118</v>
      </c>
      <c r="L15" s="29">
        <f t="shared" si="3"/>
        <v>150</v>
      </c>
      <c r="M15" s="14" t="str">
        <f>IF('Raw Data'!C10="","",'Raw Data'!C10)</f>
        <v>2021-03-31</v>
      </c>
      <c r="N15" s="14" t="str">
        <f>IF('Raw Data'!D10="","",'Raw Data'!D10)</f>
        <v/>
      </c>
      <c r="O15" s="14" t="str">
        <f>IF('Raw Data'!E10="","",'Raw Data'!E10)</f>
        <v/>
      </c>
      <c r="P15" s="29" t="str">
        <f>VLOOKUP(A15,code_enqueteurs[#All],3,FALSE)</f>
        <v>D</v>
      </c>
      <c r="Q15" s="29" t="s">
        <v>1649</v>
      </c>
      <c r="R15" s="14" t="str">
        <f>IF('Raw Data'!F10="","",'Raw Data'!F10)</f>
        <v>Homme</v>
      </c>
      <c r="S15" s="15" t="str">
        <f>IF('Raw Data'!G10="","",'Raw Data'!G10)</f>
        <v>ayerou</v>
      </c>
      <c r="T15" s="15" t="str">
        <f>IF('Raw Data'!H10="","",'Raw Data'!H10)</f>
        <v>ayerou</v>
      </c>
      <c r="U15" s="31" t="s">
        <v>1158</v>
      </c>
      <c r="V15" s="31"/>
      <c r="W15" s="15" t="str">
        <f>IF('Raw Data'!K10="","",'Raw Data'!K10)</f>
        <v/>
      </c>
      <c r="X15" s="15" t="str">
        <f>IF('Raw Data'!L10="","",'Raw Data'!L10)</f>
        <v/>
      </c>
      <c r="Y15" s="15" t="str">
        <f>IF('Raw Data'!M10="","",'Raw Data'!M10)</f>
        <v/>
      </c>
      <c r="Z15" s="15" t="str">
        <f>IF('Raw Data'!N10="","",'Raw Data'!N10)</f>
        <v/>
      </c>
      <c r="AA15" s="15" t="str">
        <f>IF('Raw Data'!O10="","",'Raw Data'!O10)</f>
        <v/>
      </c>
      <c r="AB15" s="15" t="str">
        <f>IF('Raw Data'!P10="","",'Raw Data'!P10)</f>
        <v/>
      </c>
      <c r="AC15" s="15" t="str">
        <f>IF('Raw Data'!Q10="","",'Raw Data'!Q10)</f>
        <v/>
      </c>
      <c r="AD15" s="15" t="str">
        <f>IF('Raw Data'!R10="","",'Raw Data'!R10)</f>
        <v>Homme</v>
      </c>
      <c r="AE15" s="15" t="str">
        <f>IF('Raw Data'!S10="","",'Raw Data'!S10)</f>
        <v>31</v>
      </c>
      <c r="AF15" s="15" t="str">
        <f>IF('Raw Data'!T10="","",'Raw Data'!T10)</f>
        <v>deplace_interne</v>
      </c>
      <c r="AG15" s="15" t="str">
        <f>IF('Raw Data'!U10="","",'Raw Data'!U10)</f>
        <v/>
      </c>
      <c r="AH15" s="15" t="str">
        <f>IF('Raw Data'!V10="","",'Raw Data'!V10)</f>
        <v/>
      </c>
      <c r="AI15" s="15" t="str">
        <f>IF('Raw Data'!W10="","",'Raw Data'!W10)</f>
        <v/>
      </c>
      <c r="AJ15" s="15" t="str">
        <f>IF('Raw Data'!X10="","",'Raw Data'!X10)</f>
        <v/>
      </c>
      <c r="AK15" s="15" t="str">
        <f>IF('Raw Data'!Y10="","",'Raw Data'!Y10)</f>
        <v/>
      </c>
      <c r="AL15" s="15" t="str">
        <f>IF('Raw Data'!Z10="","",'Raw Data'!Z10)</f>
        <v>niger</v>
      </c>
      <c r="AM15" s="15" t="str">
        <f>IF('Raw Data'!AA10="","",'Raw Data'!AA10)</f>
        <v>tillaberi</v>
      </c>
      <c r="AN15" s="15" t="str">
        <f>IF('Raw Data'!AB10="","",'Raw Data'!AB10)</f>
        <v>ayerou</v>
      </c>
      <c r="AO15" s="15" t="str">
        <f>IF('Raw Data'!AC10="","",'Raw Data'!AC10)</f>
        <v/>
      </c>
      <c r="AP15" s="15" t="str">
        <f>IF('Raw Data'!AD10="","",'Raw Data'!AD10)</f>
        <v/>
      </c>
      <c r="AQ15" s="15" t="str">
        <f>IF('Raw Data'!AE10="","",'Raw Data'!AE10)</f>
        <v/>
      </c>
      <c r="AR15" s="15" t="str">
        <f>IF('Raw Data'!AF10="","",'Raw Data'!AF10)</f>
        <v/>
      </c>
      <c r="AS15" s="15" t="str">
        <f>IF('Raw Data'!AG10="","",'Raw Data'!AG10)</f>
        <v>non</v>
      </c>
      <c r="AT15" s="15" t="str">
        <f>IF('Raw Data'!AH10="","",'Raw Data'!AH10)</f>
        <v/>
      </c>
      <c r="AU15" s="15" t="str">
        <f>IF('Raw Data'!AI10="","",'Raw Data'!AI10)</f>
        <v/>
      </c>
      <c r="AV15" s="15" t="str">
        <f>IF('Raw Data'!AJ10="","",'Raw Data'!AJ10)</f>
        <v/>
      </c>
      <c r="AW15" s="15" t="str">
        <f>IF('Raw Data'!AK10="","",'Raw Data'!AK10)</f>
        <v/>
      </c>
      <c r="AX15" s="15" t="str">
        <f>IF('Raw Data'!AL10="","",'Raw Data'!AL10)</f>
        <v/>
      </c>
      <c r="AY15" s="15" t="str">
        <f>IF('Raw Data'!AM10="","",'Raw Data'!AM10)</f>
        <v/>
      </c>
      <c r="AZ15" s="15" t="str">
        <f>IF('Raw Data'!AN10="","",'Raw Data'!AN10)</f>
        <v/>
      </c>
      <c r="BA15" s="15" t="str">
        <f>IF('Raw Data'!AO10="","",'Raw Data'!AO10)</f>
        <v/>
      </c>
      <c r="BB15" s="15" t="str">
        <f>IF('Raw Data'!AP10="","",'Raw Data'!AP10)</f>
        <v/>
      </c>
      <c r="BC15" s="15" t="str">
        <f>IF('Raw Data'!AQ10="","",'Raw Data'!AQ10)</f>
        <v/>
      </c>
      <c r="BD15" s="15" t="str">
        <f>IF('Raw Data'!AR10="","",'Raw Data'!AR10)</f>
        <v/>
      </c>
      <c r="BE15" s="15" t="str">
        <f>IF('Raw Data'!AS10="","",'Raw Data'!AS10)</f>
        <v/>
      </c>
      <c r="BF15" s="15" t="str">
        <f>IF('Raw Data'!AT10="","",'Raw Data'!AT10)</f>
        <v/>
      </c>
      <c r="BG15" s="15" t="str">
        <f>IF('Raw Data'!AU10="","",'Raw Data'!AU10)</f>
        <v/>
      </c>
      <c r="BH15" s="15" t="str">
        <f>IF('Raw Data'!AV10="","",'Raw Data'!AV10)</f>
        <v/>
      </c>
      <c r="BI15" s="15" t="str">
        <f>IF('Raw Data'!AW10="","",'Raw Data'!AW10)</f>
        <v/>
      </c>
      <c r="BJ15" s="15" t="str">
        <f>IF('Raw Data'!AX10="","",'Raw Data'!AX10)</f>
        <v/>
      </c>
      <c r="BK15" s="15" t="str">
        <f>IF('Raw Data'!AY10="","",'Raw Data'!AY10)</f>
        <v/>
      </c>
      <c r="BL15" s="15" t="str">
        <f>IF('Raw Data'!AZ10="","",'Raw Data'!AZ10)</f>
        <v/>
      </c>
      <c r="BM15" s="15" t="str">
        <f>IF('Raw Data'!BA10="","",'Raw Data'!BA10)</f>
        <v/>
      </c>
      <c r="BN15" s="15" t="str">
        <f>IF('Raw Data'!BB10="","",'Raw Data'!BB10)</f>
        <v/>
      </c>
      <c r="BO15" s="15" t="str">
        <f>IF('Raw Data'!BC10="","",'Raw Data'!BC10)</f>
        <v/>
      </c>
      <c r="BP15" s="15" t="str">
        <f>IF('Raw Data'!BD10="","",'Raw Data'!BD10)</f>
        <v/>
      </c>
      <c r="BQ15" s="15" t="str">
        <f>IF('Raw Data'!BE10="","",'Raw Data'!BE10)</f>
        <v/>
      </c>
      <c r="BR15" s="15" t="str">
        <f>IF('Raw Data'!BF10="","",'Raw Data'!BF10)</f>
        <v/>
      </c>
      <c r="BS15" s="15" t="str">
        <f>IF('Raw Data'!BG10="","",'Raw Data'!BG10)</f>
        <v/>
      </c>
      <c r="BT15" s="15" t="str">
        <f>IF('Raw Data'!BH10="","",'Raw Data'!BH10)</f>
        <v/>
      </c>
      <c r="BU15" s="15" t="str">
        <f>IF('Raw Data'!BI10="","",'Raw Data'!BI10)</f>
        <v/>
      </c>
      <c r="BV15" s="15" t="str">
        <f>IF('Raw Data'!BJ10="","",'Raw Data'!BJ10)</f>
        <v/>
      </c>
      <c r="BW15" s="15" t="str">
        <f>IF('Raw Data'!BK10="","",'Raw Data'!BK10)</f>
        <v/>
      </c>
      <c r="BX15" s="15" t="str">
        <f>IF('Raw Data'!BL10="","",'Raw Data'!BL10)</f>
        <v/>
      </c>
      <c r="BY15" s="15" t="str">
        <f>IF('Raw Data'!BM10="","",'Raw Data'!BM10)</f>
        <v/>
      </c>
      <c r="BZ15" s="15" t="str">
        <f>IF('Raw Data'!BN10="","",'Raw Data'!BN10)</f>
        <v/>
      </c>
      <c r="CA15" s="15" t="str">
        <f>IF('Raw Data'!BO10="","",'Raw Data'!BO10)</f>
        <v/>
      </c>
      <c r="CB15" s="15" t="str">
        <f>IF('Raw Data'!BP10="","",'Raw Data'!BP10)</f>
        <v/>
      </c>
      <c r="CC15" s="15" t="str">
        <f>IF('Raw Data'!BQ10="","",'Raw Data'!BQ10)</f>
        <v>non</v>
      </c>
      <c r="CD15" s="15" t="str">
        <f>IF('Raw Data'!BR10="","",'Raw Data'!BR10)</f>
        <v/>
      </c>
      <c r="CE15" s="15" t="str">
        <f>IF('Raw Data'!BS10="","",'Raw Data'!BS10)</f>
        <v/>
      </c>
      <c r="CF15" s="15" t="str">
        <f>IF('Raw Data'!BT10="","",'Raw Data'!BT10)</f>
        <v/>
      </c>
      <c r="CG15" s="15" t="str">
        <f>IF('Raw Data'!BU10="","",'Raw Data'!BU10)</f>
        <v/>
      </c>
      <c r="CH15" s="15" t="str">
        <f>IF('Raw Data'!BV10="","",'Raw Data'!BV10)</f>
        <v/>
      </c>
      <c r="CI15" s="15" t="str">
        <f>IF('Raw Data'!BW10="","",'Raw Data'!BW10)</f>
        <v/>
      </c>
      <c r="CJ15" s="15" t="str">
        <f>IF('Raw Data'!BX10="","",'Raw Data'!BX10)</f>
        <v/>
      </c>
      <c r="CK15" s="15" t="str">
        <f>IF('Raw Data'!BY10="","",'Raw Data'!BY10)</f>
        <v/>
      </c>
      <c r="CL15" s="15" t="str">
        <f>IF('Raw Data'!BZ10="","",'Raw Data'!BZ10)</f>
        <v/>
      </c>
      <c r="CM15" s="15" t="str">
        <f>IF('Raw Data'!CA10="","",'Raw Data'!CA10)</f>
        <v/>
      </c>
      <c r="CN15" s="15" t="str">
        <f>IF('Raw Data'!CB10="","",'Raw Data'!CB10)</f>
        <v/>
      </c>
      <c r="CO15" s="15" t="str">
        <f>IF('Raw Data'!CC10="","",'Raw Data'!CC10)</f>
        <v/>
      </c>
      <c r="CP15" s="15" t="str">
        <f>IF('Raw Data'!CD10="","",'Raw Data'!CD10)</f>
        <v/>
      </c>
      <c r="CQ15" s="15" t="str">
        <f>IF('Raw Data'!CE10="","",'Raw Data'!CE10)</f>
        <v/>
      </c>
      <c r="CR15" s="15" t="str">
        <f>IF('Raw Data'!CF10="","",'Raw Data'!CF10)</f>
        <v/>
      </c>
      <c r="CS15" s="15" t="str">
        <f>IF('Raw Data'!CG10="","",'Raw Data'!CG10)</f>
        <v/>
      </c>
      <c r="CT15" s="15" t="str">
        <f>IF('Raw Data'!CH10="","",'Raw Data'!CH10)</f>
        <v/>
      </c>
      <c r="CU15" s="15" t="str">
        <f>IF('Raw Data'!CI10="","",'Raw Data'!CI10)</f>
        <v/>
      </c>
      <c r="CV15" s="15" t="str">
        <f>IF('Raw Data'!CJ10="","",'Raw Data'!CJ10)</f>
        <v/>
      </c>
      <c r="CW15" s="15" t="str">
        <f>IF('Raw Data'!CK10="","",'Raw Data'!CK10)</f>
        <v/>
      </c>
      <c r="CX15" s="15" t="str">
        <f>IF('Raw Data'!CL10="","",'Raw Data'!CL10)</f>
        <v/>
      </c>
      <c r="CY15" s="15" t="str">
        <f>IF('Raw Data'!CM10="","",'Raw Data'!CM10)</f>
        <v/>
      </c>
      <c r="CZ15" s="15" t="str">
        <f>IF('Raw Data'!CN10="","",'Raw Data'!CN10)</f>
        <v/>
      </c>
      <c r="DA15" s="15" t="str">
        <f>IF('Raw Data'!CO10="","",'Raw Data'!CO10)</f>
        <v/>
      </c>
      <c r="DB15" s="15" t="str">
        <f>IF('Raw Data'!CP10="","",'Raw Data'!CP10)</f>
        <v/>
      </c>
      <c r="DC15" s="15" t="str">
        <f>IF('Raw Data'!CQ10="","",'Raw Data'!CQ10)</f>
        <v/>
      </c>
      <c r="DD15" s="15" t="str">
        <f>IF('Raw Data'!CR10="","",'Raw Data'!CR10)</f>
        <v/>
      </c>
      <c r="DE15" s="15" t="str">
        <f>IF('Raw Data'!CS10="","",'Raw Data'!CS10)</f>
        <v/>
      </c>
      <c r="DF15" s="15" t="str">
        <f>IF('Raw Data'!CT10="","",'Raw Data'!CT10)</f>
        <v/>
      </c>
      <c r="DG15" s="15" t="str">
        <f>IF('Raw Data'!CU10="","",'Raw Data'!CU10)</f>
        <v/>
      </c>
      <c r="DH15" s="15" t="str">
        <f>IF('Raw Data'!CV10="","",'Raw Data'!CV10)</f>
        <v/>
      </c>
      <c r="DI15" s="15" t="str">
        <f>IF('Raw Data'!CW10="","",'Raw Data'!CW10)</f>
        <v/>
      </c>
      <c r="DJ15" s="15" t="str">
        <f>IF('Raw Data'!CX10="","",'Raw Data'!CX10)</f>
        <v/>
      </c>
      <c r="DK15" s="15" t="str">
        <f>IF('Raw Data'!CY10="","",'Raw Data'!CY10)</f>
        <v/>
      </c>
      <c r="DL15" s="15" t="str">
        <f>IF('Raw Data'!CZ10="","",'Raw Data'!CZ10)</f>
        <v/>
      </c>
      <c r="DM15" s="15" t="str">
        <f>IF('Raw Data'!DA10="","",'Raw Data'!DA10)</f>
        <v/>
      </c>
      <c r="DN15" s="15" t="str">
        <f>IF('Raw Data'!DB10="","",'Raw Data'!DB10)</f>
        <v/>
      </c>
      <c r="DO15" s="15" t="str">
        <f>IF('Raw Data'!DC10="","",'Raw Data'!DC10)</f>
        <v/>
      </c>
      <c r="DP15" s="15" t="str">
        <f>IF('Raw Data'!DD10="","",'Raw Data'!DD10)</f>
        <v/>
      </c>
      <c r="DQ15" s="15" t="str">
        <f>IF('Raw Data'!DE10="","",'Raw Data'!DE10)</f>
        <v/>
      </c>
      <c r="DR15" s="15" t="str">
        <f>IF('Raw Data'!DF10="","",'Raw Data'!DF10)</f>
        <v/>
      </c>
      <c r="DS15" s="15" t="str">
        <f>IF('Raw Data'!DG10="","",'Raw Data'!DG10)</f>
        <v/>
      </c>
      <c r="DT15" s="15" t="str">
        <f>IF('Raw Data'!DH10="","",'Raw Data'!DH10)</f>
        <v/>
      </c>
      <c r="DU15" s="15" t="str">
        <f>IF('Raw Data'!DI10="","",'Raw Data'!DI10)</f>
        <v/>
      </c>
      <c r="DV15" s="15" t="str">
        <f>IF('Raw Data'!DJ10="","",'Raw Data'!DJ10)</f>
        <v/>
      </c>
      <c r="DW15" s="15" t="str">
        <f>IF('Raw Data'!DK10="","",'Raw Data'!DK10)</f>
        <v/>
      </c>
      <c r="DX15" s="15" t="str">
        <f>IF('Raw Data'!DL10="","",'Raw Data'!DL10)</f>
        <v/>
      </c>
      <c r="DY15" s="15" t="str">
        <f>IF('Raw Data'!DM10="","",'Raw Data'!DM10)</f>
        <v/>
      </c>
      <c r="DZ15" s="15" t="str">
        <f>IF('Raw Data'!DN10="","",'Raw Data'!DN10)</f>
        <v/>
      </c>
      <c r="EA15" s="15" t="str">
        <f>IF('Raw Data'!DO10="","",'Raw Data'!DO10)</f>
        <v/>
      </c>
      <c r="EB15" s="15" t="str">
        <f>IF('Raw Data'!DP10="","",'Raw Data'!DP10)</f>
        <v/>
      </c>
      <c r="EC15" s="15" t="str">
        <f>IF('Raw Data'!DQ10="","",'Raw Data'!DQ10)</f>
        <v/>
      </c>
      <c r="ED15" s="15" t="str">
        <f>IF('Raw Data'!DR10="","",'Raw Data'!DR10)</f>
        <v/>
      </c>
      <c r="EE15" s="15" t="str">
        <f>IF('Raw Data'!DS10="","",'Raw Data'!DS10)</f>
        <v/>
      </c>
      <c r="EF15" s="15" t="str">
        <f>IF('Raw Data'!DT10="","",'Raw Data'!DT10)</f>
        <v/>
      </c>
      <c r="EG15" s="15" t="str">
        <f>IF('Raw Data'!DU10="","",'Raw Data'!DU10)</f>
        <v/>
      </c>
      <c r="EH15" s="15" t="str">
        <f>IF('Raw Data'!DV10="","",'Raw Data'!DV10)</f>
        <v/>
      </c>
      <c r="EI15" s="15" t="str">
        <f>IF('Raw Data'!DW10="","",'Raw Data'!DW10)</f>
        <v/>
      </c>
      <c r="EJ15" s="15" t="str">
        <f>IF('Raw Data'!DX10="","",'Raw Data'!DX10)</f>
        <v/>
      </c>
      <c r="EK15" s="15" t="str">
        <f>IF('Raw Data'!DY10="","",'Raw Data'!DY10)</f>
        <v/>
      </c>
      <c r="EL15" s="15" t="str">
        <f>IF('Raw Data'!DZ10="","",'Raw Data'!DZ10)</f>
        <v>dplct_abords_com Integration_com_hote Soutien_chef_village Soutien_psychosocial Soutien_en_AGR</v>
      </c>
      <c r="EM15" s="15" t="str">
        <f>IF('Raw Data'!EA10="","",'Raw Data'!EA10)</f>
        <v>1</v>
      </c>
      <c r="EN15" s="15" t="str">
        <f>IF('Raw Data'!EB10="","",'Raw Data'!EB10)</f>
        <v>1</v>
      </c>
      <c r="EO15" s="15" t="str">
        <f>IF('Raw Data'!EC10="","",'Raw Data'!EC10)</f>
        <v>0</v>
      </c>
      <c r="EP15" s="15" t="str">
        <f>IF('Raw Data'!ED10="","",'Raw Data'!ED10)</f>
        <v>1</v>
      </c>
      <c r="EQ15" s="15" t="str">
        <f>IF('Raw Data'!EE10="","",'Raw Data'!EE10)</f>
        <v>1</v>
      </c>
      <c r="ER15" s="15" t="str">
        <f>IF('Raw Data'!EF10="","",'Raw Data'!EF10)</f>
        <v>1</v>
      </c>
      <c r="ES15" s="15" t="str">
        <f>IF('Raw Data'!EG10="","",'Raw Data'!EG10)</f>
        <v>0</v>
      </c>
      <c r="ET15" s="15" t="str">
        <f>IF('Raw Data'!EH10="","",'Raw Data'!EH10)</f>
        <v>0</v>
      </c>
      <c r="EU15" s="15" t="str">
        <f>IF('Raw Data'!EI10="","",'Raw Data'!EI10)</f>
        <v>0</v>
      </c>
      <c r="EV15" s="15" t="str">
        <f>IF('Raw Data'!EJ10="","",'Raw Data'!EJ10)</f>
        <v/>
      </c>
      <c r="EW15" s="15" t="str">
        <f>IF('Raw Data'!EK10="","",'Raw Data'!EK10)</f>
        <v/>
      </c>
      <c r="EX15" s="15" t="str">
        <f>IF('Raw Data'!EL10="","",'Raw Data'!EL10)</f>
        <v>comite_protection famille_accueil comite_gestion_conflits comite_redevabilite</v>
      </c>
      <c r="EY15" s="15" t="str">
        <f>IF('Raw Data'!EM10="","",'Raw Data'!EM10)</f>
        <v>0</v>
      </c>
      <c r="EZ15" s="15" t="str">
        <f>IF('Raw Data'!EN10="","",'Raw Data'!EN10)</f>
        <v>1</v>
      </c>
      <c r="FA15" s="15" t="str">
        <f>IF('Raw Data'!EO10="","",'Raw Data'!EO10)</f>
        <v>1</v>
      </c>
      <c r="FB15" s="15" t="str">
        <f>IF('Raw Data'!EP10="","",'Raw Data'!EP10)</f>
        <v>0</v>
      </c>
      <c r="FC15" s="15" t="str">
        <f>IF('Raw Data'!EQ10="","",'Raw Data'!EQ10)</f>
        <v>1</v>
      </c>
      <c r="FD15" s="15" t="str">
        <f>IF('Raw Data'!ER10="","",'Raw Data'!ER10)</f>
        <v>1</v>
      </c>
      <c r="FE15" s="15" t="str">
        <f>IF('Raw Data'!ES10="","",'Raw Data'!ES10)</f>
        <v>0</v>
      </c>
      <c r="FF15" s="15" t="str">
        <f>IF('Raw Data'!ET10="","",'Raw Data'!ET10)</f>
        <v>0</v>
      </c>
      <c r="FG15" s="15" t="str">
        <f>IF('Raw Data'!EU10="","",'Raw Data'!EU10)</f>
        <v>0</v>
      </c>
      <c r="FH15" s="15" t="str">
        <f>IF('Raw Data'!EV10="","",'Raw Data'!EV10)</f>
        <v>0</v>
      </c>
      <c r="FI15" s="15" t="str">
        <f>IF('Raw Data'!EW10="","",'Raw Data'!EW10)</f>
        <v/>
      </c>
      <c r="FJ15" s="15" t="str">
        <f>IF('Raw Data'!EX10="","",'Raw Data'!EX10)</f>
        <v>oui</v>
      </c>
      <c r="FK15" s="15" t="str">
        <f>IF('Raw Data'!EY10="","",'Raw Data'!EY10)</f>
        <v>manif_sociales Chef_village famille_amis</v>
      </c>
      <c r="FL15" s="15" t="str">
        <f>IF('Raw Data'!EZ10="","",'Raw Data'!EZ10)</f>
        <v>0</v>
      </c>
      <c r="FM15" s="15" t="str">
        <f>IF('Raw Data'!FA10="","",'Raw Data'!FA10)</f>
        <v>0</v>
      </c>
      <c r="FN15" s="15" t="str">
        <f>IF('Raw Data'!FB10="","",'Raw Data'!FB10)</f>
        <v>0</v>
      </c>
      <c r="FO15" s="15" t="str">
        <f>IF('Raw Data'!FC10="","",'Raw Data'!FC10)</f>
        <v>1</v>
      </c>
      <c r="FP15" s="15" t="str">
        <f>IF('Raw Data'!FD10="","",'Raw Data'!FD10)</f>
        <v>1</v>
      </c>
      <c r="FQ15" s="15" t="str">
        <f>IF('Raw Data'!FE10="","",'Raw Data'!FE10)</f>
        <v>1</v>
      </c>
      <c r="FR15" s="15" t="str">
        <f>IF('Raw Data'!FF10="","",'Raw Data'!FF10)</f>
        <v>0</v>
      </c>
      <c r="FS15" s="15" t="str">
        <f>IF('Raw Data'!FG10="","",'Raw Data'!FG10)</f>
        <v>0</v>
      </c>
      <c r="FT15" s="15" t="str">
        <f>IF('Raw Data'!FH10="","",'Raw Data'!FH10)</f>
        <v>0</v>
      </c>
      <c r="FU15" s="15" t="str">
        <f>IF('Raw Data'!FI10="","",'Raw Data'!FI10)</f>
        <v>0</v>
      </c>
      <c r="FV15" s="15" t="str">
        <f>IF('Raw Data'!FJ10="","",'Raw Data'!FJ10)</f>
        <v>0</v>
      </c>
      <c r="FW15" s="15" t="str">
        <f>IF('Raw Data'!FK10="","",'Raw Data'!FK10)</f>
        <v>0</v>
      </c>
      <c r="FX15" s="15" t="str">
        <f>IF('Raw Data'!FL10="","",'Raw Data'!FL10)</f>
        <v>0</v>
      </c>
      <c r="FY15" s="15" t="str">
        <f>IF('Raw Data'!FM10="","",'Raw Data'!FM10)</f>
        <v>0</v>
      </c>
      <c r="FZ15" s="15" t="str">
        <f>IF('Raw Data'!FN10="","",'Raw Data'!FN10)</f>
        <v/>
      </c>
      <c r="GA15" s="15" t="str">
        <f>IF('Raw Data'!FO10="","",'Raw Data'!FO10)</f>
        <v>oui_majorite</v>
      </c>
      <c r="GB15" s="15" t="str">
        <f>IF('Raw Data'!FP10="","",'Raw Data'!FP10)</f>
        <v>oui_majorite</v>
      </c>
      <c r="GC15" s="31" t="s">
        <v>836</v>
      </c>
      <c r="GD15" s="15" t="str">
        <f>IF('Raw Data'!FR10="","",'Raw Data'!FR10)</f>
        <v>1</v>
      </c>
      <c r="GE15" s="15" t="str">
        <f>IF('Raw Data'!FS10="","",'Raw Data'!FS10)</f>
        <v>1</v>
      </c>
      <c r="GF15" s="15" t="str">
        <f>IF('Raw Data'!FT10="","",'Raw Data'!FT10)</f>
        <v>0</v>
      </c>
      <c r="GG15" s="15" t="str">
        <f>IF('Raw Data'!FU10="","",'Raw Data'!FU10)</f>
        <v>0</v>
      </c>
      <c r="GH15" s="15" t="str">
        <f>IF('Raw Data'!FV10="","",'Raw Data'!FV10)</f>
        <v>0</v>
      </c>
      <c r="GI15" s="15" t="str">
        <f>IF('Raw Data'!FW10="","",'Raw Data'!FW10)</f>
        <v>0</v>
      </c>
      <c r="GJ15" s="15" t="str">
        <f>IF('Raw Data'!FX10="","",'Raw Data'!FX10)</f>
        <v>0</v>
      </c>
      <c r="GK15" s="31">
        <v>0</v>
      </c>
      <c r="GL15" s="31"/>
      <c r="GM15" s="15" t="str">
        <f>IF('Raw Data'!GA10="","",'Raw Data'!GA10)</f>
        <v>majorite</v>
      </c>
      <c r="GN15" s="15" t="str">
        <f>IF('Raw Data'!GB10="","",'Raw Data'!GB10)</f>
        <v>minorite</v>
      </c>
      <c r="GO15" s="15" t="str">
        <f>IF('Raw Data'!GC10="","",'Raw Data'!GC10)</f>
        <v>Education Service_de_counseling Services_de_sante Acces_aux_doc Programme_AGR</v>
      </c>
      <c r="GP15" s="15" t="str">
        <f>IF('Raw Data'!GD10="","",'Raw Data'!GD10)</f>
        <v>0</v>
      </c>
      <c r="GQ15" s="15" t="str">
        <f>IF('Raw Data'!GE10="","",'Raw Data'!GE10)</f>
        <v>1</v>
      </c>
      <c r="GR15" s="15" t="str">
        <f>IF('Raw Data'!GF10="","",'Raw Data'!GF10)</f>
        <v>1</v>
      </c>
      <c r="GS15" s="15" t="str">
        <f>IF('Raw Data'!GG10="","",'Raw Data'!GG10)</f>
        <v>1</v>
      </c>
      <c r="GT15" s="15" t="str">
        <f>IF('Raw Data'!GH10="","",'Raw Data'!GH10)</f>
        <v>1</v>
      </c>
      <c r="GU15" s="15" t="str">
        <f>IF('Raw Data'!GI10="","",'Raw Data'!GI10)</f>
        <v>0</v>
      </c>
      <c r="GV15" s="15" t="str">
        <f>IF('Raw Data'!GJ10="","",'Raw Data'!GJ10)</f>
        <v>1</v>
      </c>
      <c r="GW15" s="15" t="str">
        <f>IF('Raw Data'!GK10="","",'Raw Data'!GK10)</f>
        <v>0</v>
      </c>
      <c r="GX15" s="15" t="str">
        <f>IF('Raw Data'!GL10="","",'Raw Data'!GL10)</f>
        <v>0</v>
      </c>
      <c r="GY15" s="15" t="str">
        <f>IF('Raw Data'!GM10="","",'Raw Data'!GM10)</f>
        <v/>
      </c>
      <c r="GZ15" s="15" t="str">
        <f>IF('Raw Data'!GN10="","",'Raw Data'!GN10)</f>
        <v>oui_ensemble</v>
      </c>
      <c r="HA15" s="15" t="str">
        <f>IF('Raw Data'!GO10="","",'Raw Data'!GO10)</f>
        <v>oui_majorite</v>
      </c>
      <c r="HB15" s="15" t="str">
        <f>IF('Raw Data'!GP10="","",'Raw Data'!GP10)</f>
        <v>amelioration_futur repond_besoins_pop permet_obtenir_conseils</v>
      </c>
      <c r="HC15" s="15" t="str">
        <f>IF('Raw Data'!GQ10="","",'Raw Data'!GQ10)</f>
        <v>1</v>
      </c>
      <c r="HD15" s="15" t="str">
        <f>IF('Raw Data'!GR10="","",'Raw Data'!GR10)</f>
        <v>1</v>
      </c>
      <c r="HE15" s="15" t="str">
        <f>IF('Raw Data'!GS10="","",'Raw Data'!GS10)</f>
        <v>1</v>
      </c>
      <c r="HF15" s="15" t="str">
        <f>IF('Raw Data'!GT10="","",'Raw Data'!GT10)</f>
        <v>0</v>
      </c>
      <c r="HG15" s="15" t="str">
        <f>IF('Raw Data'!GU10="","",'Raw Data'!GU10)</f>
        <v>0</v>
      </c>
      <c r="HH15" s="15" t="str">
        <f>IF('Raw Data'!GV10="","",'Raw Data'!GV10)</f>
        <v>0</v>
      </c>
      <c r="HI15" s="15" t="str">
        <f>IF('Raw Data'!GW10="","",'Raw Data'!GW10)</f>
        <v>0</v>
      </c>
      <c r="HJ15" s="15" t="str">
        <f>IF('Raw Data'!GX10="","",'Raw Data'!GX10)</f>
        <v>0</v>
      </c>
      <c r="HK15" s="15" t="str">
        <f>IF('Raw Data'!GY10="","",'Raw Data'!GY10)</f>
        <v/>
      </c>
      <c r="HL15" s="15" t="str">
        <f>IF('Raw Data'!GZ10="","",'Raw Data'!GZ10)</f>
        <v>ne_contribue_pas</v>
      </c>
      <c r="HM15" s="15" t="str">
        <f>IF('Raw Data'!HA10="","",'Raw Data'!HA10)</f>
        <v>1</v>
      </c>
      <c r="HN15" s="15" t="str">
        <f>IF('Raw Data'!HB10="","",'Raw Data'!HB10)</f>
        <v>0</v>
      </c>
      <c r="HO15" s="15" t="str">
        <f>IF('Raw Data'!HC10="","",'Raw Data'!HC10)</f>
        <v>0</v>
      </c>
      <c r="HP15" s="15" t="str">
        <f>IF('Raw Data'!HD10="","",'Raw Data'!HD10)</f>
        <v>0</v>
      </c>
      <c r="HQ15" s="15" t="str">
        <f>IF('Raw Data'!HE10="","",'Raw Data'!HE10)</f>
        <v>0</v>
      </c>
      <c r="HR15" s="15" t="str">
        <f>IF('Raw Data'!HF10="","",'Raw Data'!HF10)</f>
        <v>0</v>
      </c>
      <c r="HS15" s="15" t="str">
        <f>IF('Raw Data'!HG10="","",'Raw Data'!HG10)</f>
        <v/>
      </c>
      <c r="HT15" s="15" t="str">
        <f>IF('Raw Data'!HH10="","",'Raw Data'!HH10)</f>
        <v/>
      </c>
      <c r="HU15" s="15" t="str">
        <f>IF('Raw Data'!HI10="","",'Raw Data'!HI10)</f>
        <v>oui_minorite</v>
      </c>
      <c r="HV15" s="15" t="str">
        <f>IF('Raw Data'!HJ10="","",'Raw Data'!HJ10)</f>
        <v>ingo</v>
      </c>
      <c r="HW15" s="15" t="str">
        <f>IF('Raw Data'!HK10="","",'Raw Data'!HK10)</f>
        <v>0</v>
      </c>
      <c r="HX15" s="15" t="str">
        <f>IF('Raw Data'!HL10="","",'Raw Data'!HL10)</f>
        <v>0</v>
      </c>
      <c r="HY15" s="15" t="str">
        <f>IF('Raw Data'!HM10="","",'Raw Data'!HM10)</f>
        <v>0</v>
      </c>
      <c r="HZ15" s="15" t="str">
        <f>IF('Raw Data'!HN10="","",'Raw Data'!HN10)</f>
        <v>0</v>
      </c>
      <c r="IA15" s="15" t="str">
        <f>IF('Raw Data'!HO10="","",'Raw Data'!HO10)</f>
        <v>1</v>
      </c>
      <c r="IB15" s="15" t="str">
        <f>IF('Raw Data'!HP10="","",'Raw Data'!HP10)</f>
        <v>0</v>
      </c>
      <c r="IC15" s="15" t="str">
        <f>IF('Raw Data'!HQ10="","",'Raw Data'!HQ10)</f>
        <v>0</v>
      </c>
      <c r="ID15" s="15" t="str">
        <f>IF('Raw Data'!HR10="","",'Raw Data'!HR10)</f>
        <v>0</v>
      </c>
      <c r="IE15" s="15" t="str">
        <f>IF('Raw Data'!HS10="","",'Raw Data'!HS10)</f>
        <v>0</v>
      </c>
      <c r="IF15" s="15" t="str">
        <f>IF('Raw Data'!HT10="","",'Raw Data'!HT10)</f>
        <v>0</v>
      </c>
      <c r="IG15" s="15" t="str">
        <f>IF('Raw Data'!HU10="","",'Raw Data'!HU10)</f>
        <v/>
      </c>
      <c r="IH15" s="15" t="str">
        <f>IF('Raw Data'!HV10="","",'Raw Data'!HV10)</f>
        <v>oui</v>
      </c>
      <c r="II15" s="15" t="str">
        <f>IF('Raw Data'!HW10="","",'Raw Data'!HW10)</f>
        <v/>
      </c>
      <c r="IJ15" s="15" t="str">
        <f>IF('Raw Data'!HX10="","",'Raw Data'!HX10)</f>
        <v/>
      </c>
      <c r="IK15" s="15" t="str">
        <f>IF('Raw Data'!HY10="","",'Raw Data'!HY10)</f>
        <v/>
      </c>
      <c r="IL15" s="15" t="str">
        <f>IF('Raw Data'!HZ10="","",'Raw Data'!HZ10)</f>
        <v/>
      </c>
      <c r="IM15" s="15" t="str">
        <f>IF('Raw Data'!IA10="","",'Raw Data'!IA10)</f>
        <v/>
      </c>
      <c r="IN15" s="15" t="str">
        <f>IF('Raw Data'!IB10="","",'Raw Data'!IB10)</f>
        <v/>
      </c>
      <c r="IO15" s="15" t="str">
        <f>IF('Raw Data'!IC10="","",'Raw Data'!IC10)</f>
        <v/>
      </c>
      <c r="IP15" s="15" t="str">
        <f>IF('Raw Data'!ID10="","",'Raw Data'!ID10)</f>
        <v/>
      </c>
      <c r="IQ15" s="15" t="str">
        <f>IF('Raw Data'!IE10="","",'Raw Data'!IE10)</f>
        <v/>
      </c>
      <c r="IR15" s="15" t="str">
        <f>IF('Raw Data'!IF10="","",'Raw Data'!IF10)</f>
        <v/>
      </c>
      <c r="IS15" s="15" t="str">
        <f>IF('Raw Data'!IG10="","",'Raw Data'!IG10)</f>
        <v/>
      </c>
      <c r="IT15" s="15" t="str">
        <f>IF('Raw Data'!IH10="","",'Raw Data'!IH10)</f>
        <v/>
      </c>
      <c r="IU15" s="15" t="str">
        <f>IF('Raw Data'!II10="","",'Raw Data'!II10)</f>
        <v/>
      </c>
      <c r="IV15" s="15" t="str">
        <f>IF('Raw Data'!IJ10="","",'Raw Data'!IJ10)</f>
        <v/>
      </c>
      <c r="IW15" s="15" t="str">
        <f>IF('Raw Data'!IK10="","",'Raw Data'!IK10)</f>
        <v/>
      </c>
      <c r="IX15" s="15" t="str">
        <f>IF('Raw Data'!IL10="","",'Raw Data'!IL10)</f>
        <v/>
      </c>
      <c r="IY15" s="15" t="str">
        <f>IF('Raw Data'!IM10="","",'Raw Data'!IM10)</f>
        <v/>
      </c>
      <c r="IZ15" s="15" t="str">
        <f>IF('Raw Data'!IN10="","",'Raw Data'!IN10)</f>
        <v>50</v>
      </c>
      <c r="JA15" s="15" t="str">
        <f>IF('Raw Data'!IO10="","",'Raw Data'!IO10)</f>
        <v>Services_medicaux Services_educatifs Services_conseil acces_docs programme_agr reinsertion</v>
      </c>
      <c r="JB15" s="15" t="str">
        <f>IF('Raw Data'!IP10="","",'Raw Data'!IP10)</f>
        <v>0</v>
      </c>
      <c r="JC15" s="15" t="str">
        <f>IF('Raw Data'!IQ10="","",'Raw Data'!IQ10)</f>
        <v>1</v>
      </c>
      <c r="JD15" s="15" t="str">
        <f>IF('Raw Data'!IR10="","",'Raw Data'!IR10)</f>
        <v>1</v>
      </c>
      <c r="JE15" s="15" t="str">
        <f>IF('Raw Data'!IS10="","",'Raw Data'!IS10)</f>
        <v>1</v>
      </c>
      <c r="JF15" s="15" t="str">
        <f>IF('Raw Data'!IT10="","",'Raw Data'!IT10)</f>
        <v>1</v>
      </c>
      <c r="JG15" s="15" t="str">
        <f>IF('Raw Data'!IU10="","",'Raw Data'!IU10)</f>
        <v>0</v>
      </c>
      <c r="JH15" s="15" t="str">
        <f>IF('Raw Data'!IV10="","",'Raw Data'!IV10)</f>
        <v>1</v>
      </c>
      <c r="JI15" s="15" t="str">
        <f>IF('Raw Data'!IW10="","",'Raw Data'!IW10)</f>
        <v>0</v>
      </c>
      <c r="JJ15" s="15" t="str">
        <f>IF('Raw Data'!IX10="","",'Raw Data'!IX10)</f>
        <v>1</v>
      </c>
      <c r="JK15" s="15" t="str">
        <f>IF('Raw Data'!IY10="","",'Raw Data'!IY10)</f>
        <v>0</v>
      </c>
      <c r="JL15" s="15" t="str">
        <f>IF('Raw Data'!IZ10="","",'Raw Data'!IZ10)</f>
        <v/>
      </c>
      <c r="JM15" s="15" t="str">
        <f>IF('Raw Data'!JA10="","",'Raw Data'!JA10)</f>
        <v>reorientation signalement prise_enchage</v>
      </c>
      <c r="JN15" s="15" t="str">
        <f>IF('Raw Data'!JB10="","",'Raw Data'!JB10)</f>
        <v>1</v>
      </c>
      <c r="JO15" s="15" t="str">
        <f>IF('Raw Data'!JC10="","",'Raw Data'!JC10)</f>
        <v>1</v>
      </c>
      <c r="JP15" s="15" t="str">
        <f>IF('Raw Data'!JD10="","",'Raw Data'!JD10)</f>
        <v>1</v>
      </c>
      <c r="JQ15" s="15" t="str">
        <f>IF('Raw Data'!JE10="","",'Raw Data'!JE10)</f>
        <v>0</v>
      </c>
      <c r="JR15" s="15" t="str">
        <f>IF('Raw Data'!JF10="","",'Raw Data'!JF10)</f>
        <v>0</v>
      </c>
      <c r="JS15" s="15" t="str">
        <f>IF('Raw Data'!JG10="","",'Raw Data'!JG10)</f>
        <v>0</v>
      </c>
      <c r="JT15" s="15" t="str">
        <f>IF('Raw Data'!JH10="","",'Raw Data'!JH10)</f>
        <v/>
      </c>
      <c r="JU15" s="15" t="str">
        <f>IF('Raw Data'!JI10="","",'Raw Data'!JI10)</f>
        <v>Psychosocia surete</v>
      </c>
      <c r="JV15" s="15" t="str">
        <f>IF('Raw Data'!JJ10="","",'Raw Data'!JJ10)</f>
        <v>0</v>
      </c>
      <c r="JW15" s="15" t="str">
        <f>IF('Raw Data'!JK10="","",'Raw Data'!JK10)</f>
        <v>1</v>
      </c>
      <c r="JX15" s="15" t="str">
        <f>IF('Raw Data'!JL10="","",'Raw Data'!JL10)</f>
        <v>0</v>
      </c>
      <c r="JY15" s="15" t="str">
        <f>IF('Raw Data'!JM10="","",'Raw Data'!JM10)</f>
        <v>0</v>
      </c>
      <c r="JZ15" s="15" t="str">
        <f>IF('Raw Data'!JN10="","",'Raw Data'!JN10)</f>
        <v>1</v>
      </c>
      <c r="KA15" s="15" t="str">
        <f>IF('Raw Data'!JO10="","",'Raw Data'!JO10)</f>
        <v>0</v>
      </c>
      <c r="KB15" s="15" t="str">
        <f>IF('Raw Data'!JP10="","",'Raw Data'!JP10)</f>
        <v>0</v>
      </c>
      <c r="KC15" s="15" t="str">
        <f>IF('Raw Data'!JQ10="","",'Raw Data'!JQ10)</f>
        <v>0</v>
      </c>
      <c r="KD15" s="15" t="str">
        <f>IF('Raw Data'!JR10="","",'Raw Data'!JR10)</f>
        <v>0</v>
      </c>
      <c r="KE15" s="15" t="str">
        <f>IF('Raw Data'!JS10="","",'Raw Data'!JS10)</f>
        <v/>
      </c>
      <c r="KF15" s="15" t="str">
        <f>IF('Raw Data'!JT10="","",'Raw Data'!JT10)</f>
        <v>medical juridique reinsertion centre_formation</v>
      </c>
      <c r="KG15" s="15" t="str">
        <f>IF('Raw Data'!JU10="","",'Raw Data'!JU10)</f>
        <v>1</v>
      </c>
      <c r="KH15" s="15" t="str">
        <f>IF('Raw Data'!JV10="","",'Raw Data'!JV10)</f>
        <v>0</v>
      </c>
      <c r="KI15" s="15" t="str">
        <f>IF('Raw Data'!JW10="","",'Raw Data'!JW10)</f>
        <v>0</v>
      </c>
      <c r="KJ15" s="15" t="str">
        <f>IF('Raw Data'!JX10="","",'Raw Data'!JX10)</f>
        <v>1</v>
      </c>
      <c r="KK15" s="15" t="str">
        <f>IF('Raw Data'!JY10="","",'Raw Data'!JY10)</f>
        <v>0</v>
      </c>
      <c r="KL15" s="15" t="str">
        <f>IF('Raw Data'!JZ10="","",'Raw Data'!JZ10)</f>
        <v>1</v>
      </c>
      <c r="KM15" s="15" t="str">
        <f>IF('Raw Data'!KA10="","",'Raw Data'!KA10)</f>
        <v>1</v>
      </c>
      <c r="KN15" s="15" t="str">
        <f>IF('Raw Data'!KB10="","",'Raw Data'!KB10)</f>
        <v>0</v>
      </c>
      <c r="KO15" s="15" t="str">
        <f>IF('Raw Data'!KC10="","",'Raw Data'!KC10)</f>
        <v>0</v>
      </c>
      <c r="KP15" s="15" t="str">
        <f>IF('Raw Data'!KD10="","",'Raw Data'!KD10)</f>
        <v/>
      </c>
      <c r="KQ15" s="15" t="str">
        <f>IF('Raw Data'!KE10="","",'Raw Data'!KE10)</f>
        <v/>
      </c>
      <c r="KR15" s="15" t="str">
        <f>IF('Raw Data'!KF10="","",'Raw Data'!KF10)</f>
        <v>oui</v>
      </c>
      <c r="KS15" s="15" t="str">
        <f>IF('Raw Data'!KG10="","",'Raw Data'!KG10)</f>
        <v>manque_moyens manque_personnes manque_cordination insecurite_zone</v>
      </c>
      <c r="KT15" s="15" t="str">
        <f>IF('Raw Data'!KH10="","",'Raw Data'!KH10)</f>
        <v>1</v>
      </c>
      <c r="KU15" s="15" t="str">
        <f>IF('Raw Data'!KI10="","",'Raw Data'!KI10)</f>
        <v>1</v>
      </c>
      <c r="KV15" s="15" t="str">
        <f>IF('Raw Data'!KJ10="","",'Raw Data'!KJ10)</f>
        <v>0</v>
      </c>
      <c r="KW15" s="15" t="str">
        <f>IF('Raw Data'!KK10="","",'Raw Data'!KK10)</f>
        <v>0</v>
      </c>
      <c r="KX15" s="15" t="str">
        <f>IF('Raw Data'!KL10="","",'Raw Data'!KL10)</f>
        <v>1</v>
      </c>
      <c r="KY15" s="15" t="str">
        <f>IF('Raw Data'!KM10="","",'Raw Data'!KM10)</f>
        <v>0</v>
      </c>
      <c r="KZ15" s="15" t="str">
        <f>IF('Raw Data'!KN10="","",'Raw Data'!KN10)</f>
        <v>1</v>
      </c>
      <c r="LA15" s="15" t="str">
        <f>IF('Raw Data'!KO10="","",'Raw Data'!KO10)</f>
        <v>0</v>
      </c>
      <c r="LB15" s="15" t="str">
        <f>IF('Raw Data'!KP10="","",'Raw Data'!KP10)</f>
        <v>0</v>
      </c>
      <c r="LC15" s="15" t="str">
        <f>IF('Raw Data'!KQ10="","",'Raw Data'!KQ10)</f>
        <v>0</v>
      </c>
      <c r="LD15" s="15" t="str">
        <f>IF('Raw Data'!KR10="","",'Raw Data'!KR10)</f>
        <v>0</v>
      </c>
      <c r="LE15" s="15" t="str">
        <f>IF('Raw Data'!KS10="","",'Raw Data'!KS10)</f>
        <v/>
      </c>
      <c r="LF15" s="15" t="str">
        <f>IF('Raw Data'!KT10="","",'Raw Data'!KT10)</f>
        <v/>
      </c>
      <c r="LG15" s="15" t="str">
        <f>IF('Raw Data'!KU10="","",'Raw Data'!KU10)</f>
        <v/>
      </c>
      <c r="LH15" s="15" t="str">
        <f>IF('Raw Data'!KV10="","",'Raw Data'!KV10)</f>
        <v/>
      </c>
      <c r="LI15" s="15" t="str">
        <f>IF('Raw Data'!KW10="","",'Raw Data'!KW10)</f>
        <v/>
      </c>
      <c r="LJ15" s="15" t="str">
        <f>IF('Raw Data'!KX10="","",'Raw Data'!KX10)</f>
        <v/>
      </c>
      <c r="LK15" s="15" t="str">
        <f>IF('Raw Data'!KY10="","",'Raw Data'!KY10)</f>
        <v/>
      </c>
      <c r="LL15" s="15" t="str">
        <f>IF('Raw Data'!KZ10="","",'Raw Data'!KZ10)</f>
        <v/>
      </c>
      <c r="LM15" s="15" t="str">
        <f>IF('Raw Data'!LA10="","",'Raw Data'!LA10)</f>
        <v/>
      </c>
      <c r="LN15" s="15" t="str">
        <f>IF('Raw Data'!LB10="","",'Raw Data'!LB10)</f>
        <v>non</v>
      </c>
      <c r="LO15" s="15" t="str">
        <f>IF('Raw Data'!LC10="","",'Raw Data'!LC10)</f>
        <v/>
      </c>
      <c r="LP15" s="15" t="str">
        <f>IF('Raw Data'!LD10="","",'Raw Data'!LD10)</f>
        <v/>
      </c>
      <c r="LQ15" s="15" t="str">
        <f>IF('Raw Data'!LE10="","",'Raw Data'!LE10)</f>
        <v/>
      </c>
      <c r="LR15" s="15" t="str">
        <f>IF('Raw Data'!LF10="","",'Raw Data'!LF10)</f>
        <v/>
      </c>
      <c r="LS15" s="15" t="str">
        <f>IF('Raw Data'!LG10="","",'Raw Data'!LG10)</f>
        <v/>
      </c>
      <c r="LT15" s="15" t="str">
        <f>IF('Raw Data'!LH10="","",'Raw Data'!LH10)</f>
        <v/>
      </c>
      <c r="LU15" s="15" t="str">
        <f>IF('Raw Data'!LI10="","",'Raw Data'!LI10)</f>
        <v/>
      </c>
      <c r="LV15" s="15" t="str">
        <f>IF('Raw Data'!LJ10="","",'Raw Data'!LJ10)</f>
        <v/>
      </c>
      <c r="LW15" s="15" t="str">
        <f>IF('Raw Data'!LK10="","",'Raw Data'!LK10)</f>
        <v/>
      </c>
      <c r="LX15" s="15" t="str">
        <f>IF('Raw Data'!LL10="","",'Raw Data'!LL10)</f>
        <v/>
      </c>
      <c r="LY15" s="15" t="str">
        <f>IF('Raw Data'!LM10="","",'Raw Data'!LM10)</f>
        <v/>
      </c>
      <c r="LZ15" s="15" t="str">
        <f>IF('Raw Data'!LN10="","",'Raw Data'!LN10)</f>
        <v/>
      </c>
      <c r="MA15" s="15" t="str">
        <f>IF('Raw Data'!LO10="","",'Raw Data'!LO10)</f>
        <v/>
      </c>
      <c r="MB15" s="15" t="str">
        <f>IF('Raw Data'!LP10="","",'Raw Data'!LP10)</f>
        <v>oui</v>
      </c>
      <c r="MC15" s="15" t="str">
        <f>IF('Raw Data'!LQ10="","",'Raw Data'!LQ10)</f>
        <v/>
      </c>
      <c r="MD15" s="15" t="str">
        <f>IF('Raw Data'!LR10="","",'Raw Data'!LR10)</f>
        <v>14 quartiers sur un site de déplacés</v>
      </c>
      <c r="ME15" s="15">
        <f>IF('Raw Data'!LS10="","",'Raw Data'!LS10)</f>
        <v>168996971</v>
      </c>
      <c r="MF15" s="15" t="str">
        <f>IF('Raw Data'!LT10="","",'Raw Data'!LT10)</f>
        <v>d3528cd8-fb30-413e-a0b9-41b3ea3e9e64</v>
      </c>
      <c r="MG15" s="15" t="str">
        <f>IF('Raw Data'!LU10="","",'Raw Data'!LU10)</f>
        <v>2021-04-01T00:25:37</v>
      </c>
      <c r="MH15" s="15" t="str">
        <f>IF('Raw Data'!LV10="","",'Raw Data'!LV10)</f>
        <v/>
      </c>
      <c r="MI15" s="15" t="str">
        <f>IF('Raw Data'!LW10="","",'Raw Data'!LW10)</f>
        <v>[]</v>
      </c>
      <c r="MJ15" s="15" t="str">
        <f>IF('Raw Data'!LX10="","",'Raw Data'!LX10)</f>
        <v>submitted_via_web</v>
      </c>
      <c r="MK15" s="15" t="str">
        <f>IF('Raw Data'!LY10="","",'Raw Data'!LY10)</f>
        <v>reach_niger</v>
      </c>
      <c r="ML15" s="15" t="str">
        <f>IF('Raw Data'!LZ10="","",'Raw Data'!LZ10)</f>
        <v/>
      </c>
      <c r="MM15" s="15">
        <f>IF('Raw Data'!MA10="","",'Raw Data'!MA10)</f>
        <v>9</v>
      </c>
    </row>
    <row r="16" spans="1:351" x14ac:dyDescent="0.3">
      <c r="A16" s="26" t="str">
        <f t="shared" si="0"/>
        <v>89997856-f49b-469c-814c-5cc689233050</v>
      </c>
      <c r="B16" s="26" t="str">
        <f t="shared" si="1"/>
        <v>ayerou</v>
      </c>
      <c r="C16" s="26" t="str">
        <f t="shared" si="2"/>
        <v>D</v>
      </c>
      <c r="D16" s="14" t="str">
        <f>IF('Raw Data'!A20="","",'Raw Data'!A20)</f>
        <v>2021-04-01T10:15:52.036+01:00</v>
      </c>
      <c r="E16" s="14" t="str">
        <f>IF('Raw Data'!B20="","",'Raw Data'!B20)</f>
        <v>2021-04-01T10:38:28.508+01:00</v>
      </c>
      <c r="F16" s="30">
        <v>44287.427685185183</v>
      </c>
      <c r="G16" s="30">
        <v>44287.443379629629</v>
      </c>
      <c r="H16" s="29">
        <f>VLOOKUP(A16,Audit[#All],2,FALSE)</f>
        <v>22.61</v>
      </c>
      <c r="I16" s="29">
        <f>VLOOKUP(A16,Audit[#All],3,FALSE)</f>
        <v>22.55</v>
      </c>
      <c r="J16" s="29">
        <f>VLOOKUP(A16,Audit[#All],4,FALSE)</f>
        <v>21.74</v>
      </c>
      <c r="K16" s="29">
        <f>VLOOKUP(A16,nb_questions[#All],2,FALSE)</f>
        <v>83</v>
      </c>
      <c r="L16" s="29">
        <f t="shared" si="3"/>
        <v>125</v>
      </c>
      <c r="M16" s="14" t="str">
        <f>IF('Raw Data'!C20="","",'Raw Data'!C20)</f>
        <v>2021-04-01</v>
      </c>
      <c r="N16" s="14" t="str">
        <f>IF('Raw Data'!D20="","",'Raw Data'!D20)</f>
        <v/>
      </c>
      <c r="O16" s="14" t="str">
        <f>IF('Raw Data'!E20="","",'Raw Data'!E20)</f>
        <v/>
      </c>
      <c r="P16" s="29" t="str">
        <f>VLOOKUP(A16,code_enqueteurs[#All],3,FALSE)</f>
        <v>D</v>
      </c>
      <c r="Q16" s="29" t="s">
        <v>1649</v>
      </c>
      <c r="R16" s="14" t="str">
        <f>IF('Raw Data'!F20="","",'Raw Data'!F20)</f>
        <v>Homme</v>
      </c>
      <c r="S16" s="15" t="str">
        <f>IF('Raw Data'!G20="","",'Raw Data'!G20)</f>
        <v>ayerou</v>
      </c>
      <c r="T16" s="15" t="str">
        <f>IF('Raw Data'!H20="","",'Raw Data'!H20)</f>
        <v>ayerou</v>
      </c>
      <c r="U16" s="31" t="s">
        <v>1158</v>
      </c>
      <c r="V16" s="31"/>
      <c r="W16" s="15" t="str">
        <f>IF('Raw Data'!K20="","",'Raw Data'!K20)</f>
        <v/>
      </c>
      <c r="X16" s="15" t="str">
        <f>IF('Raw Data'!L20="","",'Raw Data'!L20)</f>
        <v/>
      </c>
      <c r="Y16" s="15" t="str">
        <f>IF('Raw Data'!M20="","",'Raw Data'!M20)</f>
        <v/>
      </c>
      <c r="Z16" s="15" t="str">
        <f>IF('Raw Data'!N20="","",'Raw Data'!N20)</f>
        <v/>
      </c>
      <c r="AA16" s="15" t="str">
        <f>IF('Raw Data'!O20="","",'Raw Data'!O20)</f>
        <v/>
      </c>
      <c r="AB16" s="15" t="str">
        <f>IF('Raw Data'!P20="","",'Raw Data'!P20)</f>
        <v/>
      </c>
      <c r="AC16" s="15" t="str">
        <f>IF('Raw Data'!Q20="","",'Raw Data'!Q20)</f>
        <v/>
      </c>
      <c r="AD16" s="15" t="str">
        <f>IF('Raw Data'!R20="","",'Raw Data'!R20)</f>
        <v>Homme</v>
      </c>
      <c r="AE16" s="15" t="str">
        <f>IF('Raw Data'!S20="","",'Raw Data'!S20)</f>
        <v>27</v>
      </c>
      <c r="AF16" s="15" t="str">
        <f>IF('Raw Data'!T20="","",'Raw Data'!T20)</f>
        <v>deplace_interne</v>
      </c>
      <c r="AG16" s="15" t="str">
        <f>IF('Raw Data'!U20="","",'Raw Data'!U20)</f>
        <v/>
      </c>
      <c r="AH16" s="15" t="str">
        <f>IF('Raw Data'!V20="","",'Raw Data'!V20)</f>
        <v/>
      </c>
      <c r="AI16" s="15" t="str">
        <f>IF('Raw Data'!W20="","",'Raw Data'!W20)</f>
        <v/>
      </c>
      <c r="AJ16" s="15" t="str">
        <f>IF('Raw Data'!X20="","",'Raw Data'!X20)</f>
        <v/>
      </c>
      <c r="AK16" s="15" t="str">
        <f>IF('Raw Data'!Y20="","",'Raw Data'!Y20)</f>
        <v/>
      </c>
      <c r="AL16" s="15" t="str">
        <f>IF('Raw Data'!Z20="","",'Raw Data'!Z20)</f>
        <v>niger</v>
      </c>
      <c r="AM16" s="15" t="str">
        <f>IF('Raw Data'!AA20="","",'Raw Data'!AA20)</f>
        <v>tillaberi</v>
      </c>
      <c r="AN16" s="15" t="str">
        <f>IF('Raw Data'!AB20="","",'Raw Data'!AB20)</f>
        <v>ayerou</v>
      </c>
      <c r="AO16" s="15" t="str">
        <f>IF('Raw Data'!AC20="","",'Raw Data'!AC20)</f>
        <v/>
      </c>
      <c r="AP16" s="15" t="str">
        <f>IF('Raw Data'!AD20="","",'Raw Data'!AD20)</f>
        <v/>
      </c>
      <c r="AQ16" s="15" t="str">
        <f>IF('Raw Data'!AE20="","",'Raw Data'!AE20)</f>
        <v/>
      </c>
      <c r="AR16" s="15" t="str">
        <f>IF('Raw Data'!AF20="","",'Raw Data'!AF20)</f>
        <v/>
      </c>
      <c r="AS16" s="15" t="str">
        <f>IF('Raw Data'!AG20="","",'Raw Data'!AG20)</f>
        <v>non</v>
      </c>
      <c r="AT16" s="15" t="str">
        <f>IF('Raw Data'!AH20="","",'Raw Data'!AH20)</f>
        <v/>
      </c>
      <c r="AU16" s="15" t="str">
        <f>IF('Raw Data'!AI20="","",'Raw Data'!AI20)</f>
        <v/>
      </c>
      <c r="AV16" s="15" t="str">
        <f>IF('Raw Data'!AJ20="","",'Raw Data'!AJ20)</f>
        <v/>
      </c>
      <c r="AW16" s="15" t="str">
        <f>IF('Raw Data'!AK20="","",'Raw Data'!AK20)</f>
        <v/>
      </c>
      <c r="AX16" s="15" t="str">
        <f>IF('Raw Data'!AL20="","",'Raw Data'!AL20)</f>
        <v/>
      </c>
      <c r="AY16" s="15" t="str">
        <f>IF('Raw Data'!AM20="","",'Raw Data'!AM20)</f>
        <v/>
      </c>
      <c r="AZ16" s="15" t="str">
        <f>IF('Raw Data'!AN20="","",'Raw Data'!AN20)</f>
        <v/>
      </c>
      <c r="BA16" s="15" t="str">
        <f>IF('Raw Data'!AO20="","",'Raw Data'!AO20)</f>
        <v/>
      </c>
      <c r="BB16" s="15" t="str">
        <f>IF('Raw Data'!AP20="","",'Raw Data'!AP20)</f>
        <v/>
      </c>
      <c r="BC16" s="15" t="str">
        <f>IF('Raw Data'!AQ20="","",'Raw Data'!AQ20)</f>
        <v/>
      </c>
      <c r="BD16" s="15" t="str">
        <f>IF('Raw Data'!AR20="","",'Raw Data'!AR20)</f>
        <v/>
      </c>
      <c r="BE16" s="15" t="str">
        <f>IF('Raw Data'!AS20="","",'Raw Data'!AS20)</f>
        <v/>
      </c>
      <c r="BF16" s="15" t="str">
        <f>IF('Raw Data'!AT20="","",'Raw Data'!AT20)</f>
        <v/>
      </c>
      <c r="BG16" s="15" t="str">
        <f>IF('Raw Data'!AU20="","",'Raw Data'!AU20)</f>
        <v/>
      </c>
      <c r="BH16" s="15" t="str">
        <f>IF('Raw Data'!AV20="","",'Raw Data'!AV20)</f>
        <v/>
      </c>
      <c r="BI16" s="15" t="str">
        <f>IF('Raw Data'!AW20="","",'Raw Data'!AW20)</f>
        <v/>
      </c>
      <c r="BJ16" s="15" t="str">
        <f>IF('Raw Data'!AX20="","",'Raw Data'!AX20)</f>
        <v/>
      </c>
      <c r="BK16" s="15" t="str">
        <f>IF('Raw Data'!AY20="","",'Raw Data'!AY20)</f>
        <v/>
      </c>
      <c r="BL16" s="15" t="str">
        <f>IF('Raw Data'!AZ20="","",'Raw Data'!AZ20)</f>
        <v/>
      </c>
      <c r="BM16" s="15" t="str">
        <f>IF('Raw Data'!BA20="","",'Raw Data'!BA20)</f>
        <v/>
      </c>
      <c r="BN16" s="15" t="str">
        <f>IF('Raw Data'!BB20="","",'Raw Data'!BB20)</f>
        <v/>
      </c>
      <c r="BO16" s="15" t="str">
        <f>IF('Raw Data'!BC20="","",'Raw Data'!BC20)</f>
        <v/>
      </c>
      <c r="BP16" s="15" t="str">
        <f>IF('Raw Data'!BD20="","",'Raw Data'!BD20)</f>
        <v/>
      </c>
      <c r="BQ16" s="15" t="str">
        <f>IF('Raw Data'!BE20="","",'Raw Data'!BE20)</f>
        <v/>
      </c>
      <c r="BR16" s="15" t="str">
        <f>IF('Raw Data'!BF20="","",'Raw Data'!BF20)</f>
        <v/>
      </c>
      <c r="BS16" s="15" t="str">
        <f>IF('Raw Data'!BG20="","",'Raw Data'!BG20)</f>
        <v/>
      </c>
      <c r="BT16" s="15" t="str">
        <f>IF('Raw Data'!BH20="","",'Raw Data'!BH20)</f>
        <v/>
      </c>
      <c r="BU16" s="15" t="str">
        <f>IF('Raw Data'!BI20="","",'Raw Data'!BI20)</f>
        <v/>
      </c>
      <c r="BV16" s="15" t="str">
        <f>IF('Raw Data'!BJ20="","",'Raw Data'!BJ20)</f>
        <v/>
      </c>
      <c r="BW16" s="15" t="str">
        <f>IF('Raw Data'!BK20="","",'Raw Data'!BK20)</f>
        <v/>
      </c>
      <c r="BX16" s="15" t="str">
        <f>IF('Raw Data'!BL20="","",'Raw Data'!BL20)</f>
        <v/>
      </c>
      <c r="BY16" s="15" t="str">
        <f>IF('Raw Data'!BM20="","",'Raw Data'!BM20)</f>
        <v/>
      </c>
      <c r="BZ16" s="15" t="str">
        <f>IF('Raw Data'!BN20="","",'Raw Data'!BN20)</f>
        <v/>
      </c>
      <c r="CA16" s="15" t="str">
        <f>IF('Raw Data'!BO20="","",'Raw Data'!BO20)</f>
        <v/>
      </c>
      <c r="CB16" s="15" t="str">
        <f>IF('Raw Data'!BP20="","",'Raw Data'!BP20)</f>
        <v/>
      </c>
      <c r="CC16" s="15" t="str">
        <f>IF('Raw Data'!BQ20="","",'Raw Data'!BQ20)</f>
        <v>oui</v>
      </c>
      <c r="CD16" s="31" t="s">
        <v>1472</v>
      </c>
      <c r="CE16" s="15" t="str">
        <f>IF('Raw Data'!BS20="","",'Raw Data'!BS20)</f>
        <v>0</v>
      </c>
      <c r="CF16" s="31">
        <v>1</v>
      </c>
      <c r="CG16" s="15" t="str">
        <f>IF('Raw Data'!BU20="","",'Raw Data'!BU20)</f>
        <v>1</v>
      </c>
      <c r="CH16" s="15" t="str">
        <f>IF('Raw Data'!BV20="","",'Raw Data'!BV20)</f>
        <v>0</v>
      </c>
      <c r="CI16" s="15" t="str">
        <f>IF('Raw Data'!BW20="","",'Raw Data'!BW20)</f>
        <v>0</v>
      </c>
      <c r="CJ16" s="15" t="str">
        <f>IF('Raw Data'!BX20="","",'Raw Data'!BX20)</f>
        <v>1</v>
      </c>
      <c r="CK16" s="15" t="str">
        <f>IF('Raw Data'!BY20="","",'Raw Data'!BY20)</f>
        <v>0</v>
      </c>
      <c r="CL16" s="15" t="str">
        <f>IF('Raw Data'!BZ20="","",'Raw Data'!BZ20)</f>
        <v>0</v>
      </c>
      <c r="CM16" s="15" t="str">
        <f>IF('Raw Data'!CA20="","",'Raw Data'!CA20)</f>
        <v>0</v>
      </c>
      <c r="CN16" s="15" t="str">
        <f>IF('Raw Data'!CB20="","",'Raw Data'!CB20)</f>
        <v>0</v>
      </c>
      <c r="CO16" s="15" t="str">
        <f>IF('Raw Data'!CC20="","",'Raw Data'!CC20)</f>
        <v>0</v>
      </c>
      <c r="CP16" s="15" t="str">
        <f>IF('Raw Data'!CD20="","",'Raw Data'!CD20)</f>
        <v>0</v>
      </c>
      <c r="CQ16" s="31">
        <v>0</v>
      </c>
      <c r="CR16" s="15" t="str">
        <f>IF('Raw Data'!CF20="","",'Raw Data'!CF20)</f>
        <v>0</v>
      </c>
      <c r="CS16" s="15" t="str">
        <f>IF('Raw Data'!CG20="","",'Raw Data'!CG20)</f>
        <v>0</v>
      </c>
      <c r="CT16" s="31"/>
      <c r="CU16" s="15" t="str">
        <f>IF('Raw Data'!CI20="","",'Raw Data'!CI20)</f>
        <v>Filles Femmes</v>
      </c>
      <c r="CV16" s="15" t="str">
        <f>IF('Raw Data'!CJ20="","",'Raw Data'!CJ20)</f>
        <v>0</v>
      </c>
      <c r="CW16" s="15" t="str">
        <f>IF('Raw Data'!CK20="","",'Raw Data'!CK20)</f>
        <v>0</v>
      </c>
      <c r="CX16" s="15" t="str">
        <f>IF('Raw Data'!CL20="","",'Raw Data'!CL20)</f>
        <v>1</v>
      </c>
      <c r="CY16" s="15" t="str">
        <f>IF('Raw Data'!CM20="","",'Raw Data'!CM20)</f>
        <v>0</v>
      </c>
      <c r="CZ16" s="15" t="str">
        <f>IF('Raw Data'!CN20="","",'Raw Data'!CN20)</f>
        <v>1</v>
      </c>
      <c r="DA16" s="15" t="str">
        <f>IF('Raw Data'!CO20="","",'Raw Data'!CO20)</f>
        <v>0</v>
      </c>
      <c r="DB16" s="15" t="str">
        <f>IF('Raw Data'!CP20="","",'Raw Data'!CP20)</f>
        <v>0</v>
      </c>
      <c r="DC16" s="15" t="str">
        <f>IF('Raw Data'!CQ20="","",'Raw Data'!CQ20)</f>
        <v>0</v>
      </c>
      <c r="DD16" s="15" t="str">
        <f>IF('Raw Data'!CR20="","",'Raw Data'!CR20)</f>
        <v>0</v>
      </c>
      <c r="DE16" s="15" t="str">
        <f>IF('Raw Data'!CS20="","",'Raw Data'!CS20)</f>
        <v>0</v>
      </c>
      <c r="DF16" s="15" t="str">
        <f>IF('Raw Data'!CT20="","",'Raw Data'!CT20)</f>
        <v>0</v>
      </c>
      <c r="DG16" s="15" t="str">
        <f>IF('Raw Data'!CU20="","",'Raw Data'!CU20)</f>
        <v>0</v>
      </c>
      <c r="DH16" s="15" t="str">
        <f>IF('Raw Data'!CV20="","",'Raw Data'!CV20)</f>
        <v>0</v>
      </c>
      <c r="DI16" s="15" t="str">
        <f>IF('Raw Data'!CW20="","",'Raw Data'!CW20)</f>
        <v>0</v>
      </c>
      <c r="DJ16" s="15" t="str">
        <f>IF('Raw Data'!CX20="","",'Raw Data'!CX20)</f>
        <v/>
      </c>
      <c r="DK16" s="15" t="str">
        <f>IF('Raw Data'!CY20="","",'Raw Data'!CY20)</f>
        <v>1</v>
      </c>
      <c r="DL16" s="15" t="str">
        <f>IF('Raw Data'!CZ20="","",'Raw Data'!CZ20)</f>
        <v>stable</v>
      </c>
      <c r="DM16" s="15" t="str">
        <f>IF('Raw Data'!DA20="","",'Raw Data'!DA20)</f>
        <v/>
      </c>
      <c r="DN16" s="15" t="str">
        <f>IF('Raw Data'!DB20="","",'Raw Data'!DB20)</f>
        <v/>
      </c>
      <c r="DO16" s="15" t="str">
        <f>IF('Raw Data'!DC20="","",'Raw Data'!DC20)</f>
        <v/>
      </c>
      <c r="DP16" s="15" t="str">
        <f>IF('Raw Data'!DD20="","",'Raw Data'!DD20)</f>
        <v/>
      </c>
      <c r="DQ16" s="15" t="str">
        <f>IF('Raw Data'!DE20="","",'Raw Data'!DE20)</f>
        <v/>
      </c>
      <c r="DR16" s="15" t="str">
        <f>IF('Raw Data'!DF20="","",'Raw Data'!DF20)</f>
        <v/>
      </c>
      <c r="DS16" s="15" t="str">
        <f>IF('Raw Data'!DG20="","",'Raw Data'!DG20)</f>
        <v/>
      </c>
      <c r="DT16" s="15" t="str">
        <f>IF('Raw Data'!DH20="","",'Raw Data'!DH20)</f>
        <v/>
      </c>
      <c r="DU16" s="15" t="str">
        <f>IF('Raw Data'!DI20="","",'Raw Data'!DI20)</f>
        <v/>
      </c>
      <c r="DV16" s="15" t="str">
        <f>IF('Raw Data'!DJ20="","",'Raw Data'!DJ20)</f>
        <v/>
      </c>
      <c r="DW16" s="15" t="str">
        <f>IF('Raw Data'!DK20="","",'Raw Data'!DK20)</f>
        <v/>
      </c>
      <c r="DX16" s="15" t="str">
        <f>IF('Raw Data'!DL20="","",'Raw Data'!DL20)</f>
        <v/>
      </c>
      <c r="DY16" s="15" t="str">
        <f>IF('Raw Data'!DM20="","",'Raw Data'!DM20)</f>
        <v/>
      </c>
      <c r="DZ16" s="15" t="str">
        <f>IF('Raw Data'!DN20="","",'Raw Data'!DN20)</f>
        <v/>
      </c>
      <c r="EA16" s="15" t="str">
        <f>IF('Raw Data'!DO20="","",'Raw Data'!DO20)</f>
        <v/>
      </c>
      <c r="EB16" s="15" t="str">
        <f>IF('Raw Data'!DP20="","",'Raw Data'!DP20)</f>
        <v/>
      </c>
      <c r="EC16" s="15" t="str">
        <f>IF('Raw Data'!DQ20="","",'Raw Data'!DQ20)</f>
        <v/>
      </c>
      <c r="ED16" s="15" t="str">
        <f>IF('Raw Data'!DR20="","",'Raw Data'!DR20)</f>
        <v/>
      </c>
      <c r="EE16" s="15" t="str">
        <f>IF('Raw Data'!DS20="","",'Raw Data'!DS20)</f>
        <v/>
      </c>
      <c r="EF16" s="15" t="str">
        <f>IF('Raw Data'!DT20="","",'Raw Data'!DT20)</f>
        <v/>
      </c>
      <c r="EG16" s="15" t="str">
        <f>IF('Raw Data'!DU20="","",'Raw Data'!DU20)</f>
        <v/>
      </c>
      <c r="EH16" s="15" t="str">
        <f>IF('Raw Data'!DV20="","",'Raw Data'!DV20)</f>
        <v/>
      </c>
      <c r="EI16" s="15" t="str">
        <f>IF('Raw Data'!DW20="","",'Raw Data'!DW20)</f>
        <v/>
      </c>
      <c r="EJ16" s="15" t="str">
        <f>IF('Raw Data'!DX20="","",'Raw Data'!DX20)</f>
        <v/>
      </c>
      <c r="EK16" s="15" t="str">
        <f>IF('Raw Data'!DY20="","",'Raw Data'!DY20)</f>
        <v/>
      </c>
      <c r="EL16" s="15" t="str">
        <f>IF('Raw Data'!DZ20="","",'Raw Data'!DZ20)</f>
        <v>dplct_abords_com Integration_com_hote Soutien_chef_village Soutien_en_AGR</v>
      </c>
      <c r="EM16" s="15" t="str">
        <f>IF('Raw Data'!EA20="","",'Raw Data'!EA20)</f>
        <v>1</v>
      </c>
      <c r="EN16" s="15" t="str">
        <f>IF('Raw Data'!EB20="","",'Raw Data'!EB20)</f>
        <v>1</v>
      </c>
      <c r="EO16" s="15" t="str">
        <f>IF('Raw Data'!EC20="","",'Raw Data'!EC20)</f>
        <v>0</v>
      </c>
      <c r="EP16" s="15" t="str">
        <f>IF('Raw Data'!ED20="","",'Raw Data'!ED20)</f>
        <v>1</v>
      </c>
      <c r="EQ16" s="15" t="str">
        <f>IF('Raw Data'!EE20="","",'Raw Data'!EE20)</f>
        <v>0</v>
      </c>
      <c r="ER16" s="15" t="str">
        <f>IF('Raw Data'!EF20="","",'Raw Data'!EF20)</f>
        <v>1</v>
      </c>
      <c r="ES16" s="15" t="str">
        <f>IF('Raw Data'!EG20="","",'Raw Data'!EG20)</f>
        <v>0</v>
      </c>
      <c r="ET16" s="15" t="str">
        <f>IF('Raw Data'!EH20="","",'Raw Data'!EH20)</f>
        <v>0</v>
      </c>
      <c r="EU16" s="15" t="str">
        <f>IF('Raw Data'!EI20="","",'Raw Data'!EI20)</f>
        <v>0</v>
      </c>
      <c r="EV16" s="15" t="str">
        <f>IF('Raw Data'!EJ20="","",'Raw Data'!EJ20)</f>
        <v/>
      </c>
      <c r="EW16" s="15" t="str">
        <f>IF('Raw Data'!EK20="","",'Raw Data'!EK20)</f>
        <v/>
      </c>
      <c r="EX16" s="15" t="str">
        <f>IF('Raw Data'!EL20="","",'Raw Data'!EL20)</f>
        <v>comite_protection famille_accueil comite_redevabilite comite_gestion_conflits</v>
      </c>
      <c r="EY16" s="15" t="str">
        <f>IF('Raw Data'!EM20="","",'Raw Data'!EM20)</f>
        <v>0</v>
      </c>
      <c r="EZ16" s="15" t="str">
        <f>IF('Raw Data'!EN20="","",'Raw Data'!EN20)</f>
        <v>1</v>
      </c>
      <c r="FA16" s="15" t="str">
        <f>IF('Raw Data'!EO20="","",'Raw Data'!EO20)</f>
        <v>1</v>
      </c>
      <c r="FB16" s="15" t="str">
        <f>IF('Raw Data'!EP20="","",'Raw Data'!EP20)</f>
        <v>0</v>
      </c>
      <c r="FC16" s="15" t="str">
        <f>IF('Raw Data'!EQ20="","",'Raw Data'!EQ20)</f>
        <v>1</v>
      </c>
      <c r="FD16" s="15" t="str">
        <f>IF('Raw Data'!ER20="","",'Raw Data'!ER20)</f>
        <v>1</v>
      </c>
      <c r="FE16" s="15" t="str">
        <f>IF('Raw Data'!ES20="","",'Raw Data'!ES20)</f>
        <v>0</v>
      </c>
      <c r="FF16" s="15" t="str">
        <f>IF('Raw Data'!ET20="","",'Raw Data'!ET20)</f>
        <v>0</v>
      </c>
      <c r="FG16" s="15" t="str">
        <f>IF('Raw Data'!EU20="","",'Raw Data'!EU20)</f>
        <v>0</v>
      </c>
      <c r="FH16" s="15" t="str">
        <f>IF('Raw Data'!EV20="","",'Raw Data'!EV20)</f>
        <v>0</v>
      </c>
      <c r="FI16" s="15" t="str">
        <f>IF('Raw Data'!EW20="","",'Raw Data'!EW20)</f>
        <v/>
      </c>
      <c r="FJ16" s="15" t="str">
        <f>IF('Raw Data'!EX20="","",'Raw Data'!EX20)</f>
        <v>oui</v>
      </c>
      <c r="FK16" s="15" t="str">
        <f>IF('Raw Data'!EY20="","",'Raw Data'!EY20)</f>
        <v>manif_sociales Chef_village famille_amis Travailleurs_sociaux/hum</v>
      </c>
      <c r="FL16" s="15" t="str">
        <f>IF('Raw Data'!EZ20="","",'Raw Data'!EZ20)</f>
        <v>0</v>
      </c>
      <c r="FM16" s="15" t="str">
        <f>IF('Raw Data'!FA20="","",'Raw Data'!FA20)</f>
        <v>0</v>
      </c>
      <c r="FN16" s="15" t="str">
        <f>IF('Raw Data'!FB20="","",'Raw Data'!FB20)</f>
        <v>0</v>
      </c>
      <c r="FO16" s="15" t="str">
        <f>IF('Raw Data'!FC20="","",'Raw Data'!FC20)</f>
        <v>1</v>
      </c>
      <c r="FP16" s="15" t="str">
        <f>IF('Raw Data'!FD20="","",'Raw Data'!FD20)</f>
        <v>1</v>
      </c>
      <c r="FQ16" s="15" t="str">
        <f>IF('Raw Data'!FE20="","",'Raw Data'!FE20)</f>
        <v>1</v>
      </c>
      <c r="FR16" s="15" t="str">
        <f>IF('Raw Data'!FF20="","",'Raw Data'!FF20)</f>
        <v>0</v>
      </c>
      <c r="FS16" s="15" t="str">
        <f>IF('Raw Data'!FG20="","",'Raw Data'!FG20)</f>
        <v>0</v>
      </c>
      <c r="FT16" s="15" t="str">
        <f>IF('Raw Data'!FH20="","",'Raw Data'!FH20)</f>
        <v>0</v>
      </c>
      <c r="FU16" s="15" t="str">
        <f>IF('Raw Data'!FI20="","",'Raw Data'!FI20)</f>
        <v>0</v>
      </c>
      <c r="FV16" s="15" t="str">
        <f>IF('Raw Data'!FJ20="","",'Raw Data'!FJ20)</f>
        <v>1</v>
      </c>
      <c r="FW16" s="15" t="str">
        <f>IF('Raw Data'!FK20="","",'Raw Data'!FK20)</f>
        <v>0</v>
      </c>
      <c r="FX16" s="15" t="str">
        <f>IF('Raw Data'!FL20="","",'Raw Data'!FL20)</f>
        <v>0</v>
      </c>
      <c r="FY16" s="15" t="str">
        <f>IF('Raw Data'!FM20="","",'Raw Data'!FM20)</f>
        <v>0</v>
      </c>
      <c r="FZ16" s="15" t="str">
        <f>IF('Raw Data'!FN20="","",'Raw Data'!FN20)</f>
        <v/>
      </c>
      <c r="GA16" s="15" t="str">
        <f>IF('Raw Data'!FO20="","",'Raw Data'!FO20)</f>
        <v>oui_majorite</v>
      </c>
      <c r="GB16" s="15" t="str">
        <f>IF('Raw Data'!FP20="","",'Raw Data'!FP20)</f>
        <v>oui_majorite</v>
      </c>
      <c r="GC16" s="15" t="str">
        <f>IF('Raw Data'!FQ20="","",'Raw Data'!FQ20)</f>
        <v>non_fonctionnelle manque_info</v>
      </c>
      <c r="GD16" s="15" t="str">
        <f>IF('Raw Data'!FR20="","",'Raw Data'!FR20)</f>
        <v>1</v>
      </c>
      <c r="GE16" s="15" t="str">
        <f>IF('Raw Data'!FS20="","",'Raw Data'!FS20)</f>
        <v>1</v>
      </c>
      <c r="GF16" s="15" t="str">
        <f>IF('Raw Data'!FT20="","",'Raw Data'!FT20)</f>
        <v>0</v>
      </c>
      <c r="GG16" s="15" t="str">
        <f>IF('Raw Data'!FU20="","",'Raw Data'!FU20)</f>
        <v>0</v>
      </c>
      <c r="GH16" s="15" t="str">
        <f>IF('Raw Data'!FV20="","",'Raw Data'!FV20)</f>
        <v>0</v>
      </c>
      <c r="GI16" s="15" t="str">
        <f>IF('Raw Data'!FW20="","",'Raw Data'!FW20)</f>
        <v>0</v>
      </c>
      <c r="GJ16" s="15" t="str">
        <f>IF('Raw Data'!FX20="","",'Raw Data'!FX20)</f>
        <v>0</v>
      </c>
      <c r="GK16" s="15" t="str">
        <f>IF('Raw Data'!FY20="","",'Raw Data'!FY20)</f>
        <v>0</v>
      </c>
      <c r="GL16" s="15" t="str">
        <f>IF('Raw Data'!FZ20="","",'Raw Data'!FZ20)</f>
        <v/>
      </c>
      <c r="GM16" s="15" t="str">
        <f>IF('Raw Data'!GA20="","",'Raw Data'!GA20)</f>
        <v>minorite</v>
      </c>
      <c r="GN16" s="15" t="str">
        <f>IF('Raw Data'!GB20="","",'Raw Data'!GB20)</f>
        <v>minorite</v>
      </c>
      <c r="GO16" s="15" t="str">
        <f>IF('Raw Data'!GC20="","",'Raw Data'!GC20)</f>
        <v>Education Services_de_sante Acces_aux_doc</v>
      </c>
      <c r="GP16" s="15" t="str">
        <f>IF('Raw Data'!GD20="","",'Raw Data'!GD20)</f>
        <v>0</v>
      </c>
      <c r="GQ16" s="15" t="str">
        <f>IF('Raw Data'!GE20="","",'Raw Data'!GE20)</f>
        <v>1</v>
      </c>
      <c r="GR16" s="15" t="str">
        <f>IF('Raw Data'!GF20="","",'Raw Data'!GF20)</f>
        <v>0</v>
      </c>
      <c r="GS16" s="15" t="str">
        <f>IF('Raw Data'!GG20="","",'Raw Data'!GG20)</f>
        <v>1</v>
      </c>
      <c r="GT16" s="15" t="str">
        <f>IF('Raw Data'!GH20="","",'Raw Data'!GH20)</f>
        <v>1</v>
      </c>
      <c r="GU16" s="15" t="str">
        <f>IF('Raw Data'!GI20="","",'Raw Data'!GI20)</f>
        <v>0</v>
      </c>
      <c r="GV16" s="15" t="str">
        <f>IF('Raw Data'!GJ20="","",'Raw Data'!GJ20)</f>
        <v>0</v>
      </c>
      <c r="GW16" s="15" t="str">
        <f>IF('Raw Data'!GK20="","",'Raw Data'!GK20)</f>
        <v>0</v>
      </c>
      <c r="GX16" s="15" t="str">
        <f>IF('Raw Data'!GL20="","",'Raw Data'!GL20)</f>
        <v>0</v>
      </c>
      <c r="GY16" s="15" t="str">
        <f>IF('Raw Data'!GM20="","",'Raw Data'!GM20)</f>
        <v/>
      </c>
      <c r="GZ16" s="15" t="str">
        <f>IF('Raw Data'!GN20="","",'Raw Data'!GN20)</f>
        <v>oui_majorite</v>
      </c>
      <c r="HA16" s="15" t="str">
        <f>IF('Raw Data'!GO20="","",'Raw Data'!GO20)</f>
        <v>oui_majorite</v>
      </c>
      <c r="HB16" s="15" t="str">
        <f>IF('Raw Data'!GP20="","",'Raw Data'!GP20)</f>
        <v>amelioration_futur repond_besoins_pop diminution_tensions</v>
      </c>
      <c r="HC16" s="15" t="str">
        <f>IF('Raw Data'!GQ20="","",'Raw Data'!GQ20)</f>
        <v>1</v>
      </c>
      <c r="HD16" s="15" t="str">
        <f>IF('Raw Data'!GR20="","",'Raw Data'!GR20)</f>
        <v>1</v>
      </c>
      <c r="HE16" s="15" t="str">
        <f>IF('Raw Data'!GS20="","",'Raw Data'!GS20)</f>
        <v>0</v>
      </c>
      <c r="HF16" s="15" t="str">
        <f>IF('Raw Data'!GT20="","",'Raw Data'!GT20)</f>
        <v>0</v>
      </c>
      <c r="HG16" s="15" t="str">
        <f>IF('Raw Data'!GU20="","",'Raw Data'!GU20)</f>
        <v>0</v>
      </c>
      <c r="HH16" s="15" t="str">
        <f>IF('Raw Data'!GV20="","",'Raw Data'!GV20)</f>
        <v>1</v>
      </c>
      <c r="HI16" s="15" t="str">
        <f>IF('Raw Data'!GW20="","",'Raw Data'!GW20)</f>
        <v>0</v>
      </c>
      <c r="HJ16" s="15" t="str">
        <f>IF('Raw Data'!GX20="","",'Raw Data'!GX20)</f>
        <v>0</v>
      </c>
      <c r="HK16" s="15" t="str">
        <f>IF('Raw Data'!GY20="","",'Raw Data'!GY20)</f>
        <v/>
      </c>
      <c r="HL16" s="15" t="str">
        <f>IF('Raw Data'!GZ20="","",'Raw Data'!GZ20)</f>
        <v>ne_contribue_pas</v>
      </c>
      <c r="HM16" s="15" t="str">
        <f>IF('Raw Data'!HA20="","",'Raw Data'!HA20)</f>
        <v>1</v>
      </c>
      <c r="HN16" s="15" t="str">
        <f>IF('Raw Data'!HB20="","",'Raw Data'!HB20)</f>
        <v>0</v>
      </c>
      <c r="HO16" s="15" t="str">
        <f>IF('Raw Data'!HC20="","",'Raw Data'!HC20)</f>
        <v>0</v>
      </c>
      <c r="HP16" s="15" t="str">
        <f>IF('Raw Data'!HD20="","",'Raw Data'!HD20)</f>
        <v>0</v>
      </c>
      <c r="HQ16" s="15" t="str">
        <f>IF('Raw Data'!HE20="","",'Raw Data'!HE20)</f>
        <v>0</v>
      </c>
      <c r="HR16" s="15" t="str">
        <f>IF('Raw Data'!HF20="","",'Raw Data'!HF20)</f>
        <v>0</v>
      </c>
      <c r="HS16" s="15" t="str">
        <f>IF('Raw Data'!HG20="","",'Raw Data'!HG20)</f>
        <v/>
      </c>
      <c r="HT16" s="15" t="str">
        <f>IF('Raw Data'!HH20="","",'Raw Data'!HH20)</f>
        <v/>
      </c>
      <c r="HU16" s="15" t="str">
        <f>IF('Raw Data'!HI20="","",'Raw Data'!HI20)</f>
        <v>oui_minorite</v>
      </c>
      <c r="HV16" s="15" t="str">
        <f>IF('Raw Data'!HJ20="","",'Raw Data'!HJ20)</f>
        <v>ingo</v>
      </c>
      <c r="HW16" s="15" t="str">
        <f>IF('Raw Data'!HK20="","",'Raw Data'!HK20)</f>
        <v>0</v>
      </c>
      <c r="HX16" s="15" t="str">
        <f>IF('Raw Data'!HL20="","",'Raw Data'!HL20)</f>
        <v>0</v>
      </c>
      <c r="HY16" s="15" t="str">
        <f>IF('Raw Data'!HM20="","",'Raw Data'!HM20)</f>
        <v>0</v>
      </c>
      <c r="HZ16" s="15" t="str">
        <f>IF('Raw Data'!HN20="","",'Raw Data'!HN20)</f>
        <v>0</v>
      </c>
      <c r="IA16" s="15" t="str">
        <f>IF('Raw Data'!HO20="","",'Raw Data'!HO20)</f>
        <v>1</v>
      </c>
      <c r="IB16" s="15" t="str">
        <f>IF('Raw Data'!HP20="","",'Raw Data'!HP20)</f>
        <v>0</v>
      </c>
      <c r="IC16" s="15" t="str">
        <f>IF('Raw Data'!HQ20="","",'Raw Data'!HQ20)</f>
        <v>0</v>
      </c>
      <c r="ID16" s="15" t="str">
        <f>IF('Raw Data'!HR20="","",'Raw Data'!HR20)</f>
        <v>0</v>
      </c>
      <c r="IE16" s="15" t="str">
        <f>IF('Raw Data'!HS20="","",'Raw Data'!HS20)</f>
        <v>0</v>
      </c>
      <c r="IF16" s="15" t="str">
        <f>IF('Raw Data'!HT20="","",'Raw Data'!HT20)</f>
        <v>0</v>
      </c>
      <c r="IG16" s="15" t="str">
        <f>IF('Raw Data'!HU20="","",'Raw Data'!HU20)</f>
        <v/>
      </c>
      <c r="IH16" s="15" t="str">
        <f>IF('Raw Data'!HV20="","",'Raw Data'!HV20)</f>
        <v>oui</v>
      </c>
      <c r="II16" s="15" t="str">
        <f>IF('Raw Data'!HW20="","",'Raw Data'!HW20)</f>
        <v/>
      </c>
      <c r="IJ16" s="15" t="str">
        <f>IF('Raw Data'!HX20="","",'Raw Data'!HX20)</f>
        <v>Filles Femmes Hommes Hommes_ages</v>
      </c>
      <c r="IK16" s="15" t="str">
        <f>IF('Raw Data'!HY20="","",'Raw Data'!HY20)</f>
        <v>0</v>
      </c>
      <c r="IL16" s="15" t="str">
        <f>IF('Raw Data'!HZ20="","",'Raw Data'!HZ20)</f>
        <v>0</v>
      </c>
      <c r="IM16" s="15" t="str">
        <f>IF('Raw Data'!IA20="","",'Raw Data'!IA20)</f>
        <v>1</v>
      </c>
      <c r="IN16" s="15" t="str">
        <f>IF('Raw Data'!IB20="","",'Raw Data'!IB20)</f>
        <v>0</v>
      </c>
      <c r="IO16" s="15" t="str">
        <f>IF('Raw Data'!IC20="","",'Raw Data'!IC20)</f>
        <v>1</v>
      </c>
      <c r="IP16" s="15" t="str">
        <f>IF('Raw Data'!ID20="","",'Raw Data'!ID20)</f>
        <v>1</v>
      </c>
      <c r="IQ16" s="15" t="str">
        <f>IF('Raw Data'!IE20="","",'Raw Data'!IE20)</f>
        <v>0</v>
      </c>
      <c r="IR16" s="15" t="str">
        <f>IF('Raw Data'!IF20="","",'Raw Data'!IF20)</f>
        <v>1</v>
      </c>
      <c r="IS16" s="15" t="str">
        <f>IF('Raw Data'!IG20="","",'Raw Data'!IG20)</f>
        <v>0</v>
      </c>
      <c r="IT16" s="15" t="str">
        <f>IF('Raw Data'!IH20="","",'Raw Data'!IH20)</f>
        <v>0</v>
      </c>
      <c r="IU16" s="15" t="str">
        <f>IF('Raw Data'!II20="","",'Raw Data'!II20)</f>
        <v>0</v>
      </c>
      <c r="IV16" s="15" t="str">
        <f>IF('Raw Data'!IJ20="","",'Raw Data'!IJ20)</f>
        <v>0</v>
      </c>
      <c r="IW16" s="15" t="str">
        <f>IF('Raw Data'!IK20="","",'Raw Data'!IK20)</f>
        <v>0</v>
      </c>
      <c r="IX16" s="15" t="str">
        <f>IF('Raw Data'!IL20="","",'Raw Data'!IL20)</f>
        <v>0</v>
      </c>
      <c r="IY16" s="15" t="str">
        <f>IF('Raw Data'!IM20="","",'Raw Data'!IM20)</f>
        <v/>
      </c>
      <c r="IZ16" s="15" t="str">
        <f>IF('Raw Data'!IN20="","",'Raw Data'!IN20)</f>
        <v>28</v>
      </c>
      <c r="JA16" s="15" t="str">
        <f>IF('Raw Data'!IO20="","",'Raw Data'!IO20)</f>
        <v>Services_medicaux Services_educatifs acces_docs</v>
      </c>
      <c r="JB16" s="15" t="str">
        <f>IF('Raw Data'!IP20="","",'Raw Data'!IP20)</f>
        <v>0</v>
      </c>
      <c r="JC16" s="15" t="str">
        <f>IF('Raw Data'!IQ20="","",'Raw Data'!IQ20)</f>
        <v>1</v>
      </c>
      <c r="JD16" s="15" t="str">
        <f>IF('Raw Data'!IR20="","",'Raw Data'!IR20)</f>
        <v>1</v>
      </c>
      <c r="JE16" s="15" t="str">
        <f>IF('Raw Data'!IS20="","",'Raw Data'!IS20)</f>
        <v>0</v>
      </c>
      <c r="JF16" s="15" t="str">
        <f>IF('Raw Data'!IT20="","",'Raw Data'!IT20)</f>
        <v>1</v>
      </c>
      <c r="JG16" s="15" t="str">
        <f>IF('Raw Data'!IU20="","",'Raw Data'!IU20)</f>
        <v>0</v>
      </c>
      <c r="JH16" s="15" t="str">
        <f>IF('Raw Data'!IV20="","",'Raw Data'!IV20)</f>
        <v>0</v>
      </c>
      <c r="JI16" s="15" t="str">
        <f>IF('Raw Data'!IW20="","",'Raw Data'!IW20)</f>
        <v>0</v>
      </c>
      <c r="JJ16" s="15" t="str">
        <f>IF('Raw Data'!IX20="","",'Raw Data'!IX20)</f>
        <v>0</v>
      </c>
      <c r="JK16" s="15" t="str">
        <f>IF('Raw Data'!IY20="","",'Raw Data'!IY20)</f>
        <v>0</v>
      </c>
      <c r="JL16" s="15" t="str">
        <f>IF('Raw Data'!IZ20="","",'Raw Data'!IZ20)</f>
        <v/>
      </c>
      <c r="JM16" s="31" t="s">
        <v>646</v>
      </c>
      <c r="JN16" s="31">
        <v>1</v>
      </c>
      <c r="JO16" s="15" t="str">
        <f>IF('Raw Data'!JC20="","",'Raw Data'!JC20)</f>
        <v>1</v>
      </c>
      <c r="JP16" s="15" t="str">
        <f>IF('Raw Data'!JD20="","",'Raw Data'!JD20)</f>
        <v>1</v>
      </c>
      <c r="JQ16" s="31">
        <v>0</v>
      </c>
      <c r="JR16" s="15" t="str">
        <f>IF('Raw Data'!JF20="","",'Raw Data'!JF20)</f>
        <v>0</v>
      </c>
      <c r="JS16" s="15" t="str">
        <f>IF('Raw Data'!JG20="","",'Raw Data'!JG20)</f>
        <v>0</v>
      </c>
      <c r="JT16" s="31"/>
      <c r="JU16" s="15" t="str">
        <f>IF('Raw Data'!JI20="","",'Raw Data'!JI20)</f>
        <v/>
      </c>
      <c r="JV16" s="15" t="str">
        <f>IF('Raw Data'!JJ20="","",'Raw Data'!JJ20)</f>
        <v/>
      </c>
      <c r="JW16" s="15" t="str">
        <f>IF('Raw Data'!JK20="","",'Raw Data'!JK20)</f>
        <v/>
      </c>
      <c r="JX16" s="15" t="str">
        <f>IF('Raw Data'!JL20="","",'Raw Data'!JL20)</f>
        <v/>
      </c>
      <c r="JY16" s="15" t="str">
        <f>IF('Raw Data'!JM20="","",'Raw Data'!JM20)</f>
        <v/>
      </c>
      <c r="JZ16" s="15" t="str">
        <f>IF('Raw Data'!JN20="","",'Raw Data'!JN20)</f>
        <v/>
      </c>
      <c r="KA16" s="15" t="str">
        <f>IF('Raw Data'!JO20="","",'Raw Data'!JO20)</f>
        <v/>
      </c>
      <c r="KB16" s="15" t="str">
        <f>IF('Raw Data'!JP20="","",'Raw Data'!JP20)</f>
        <v/>
      </c>
      <c r="KC16" s="15" t="str">
        <f>IF('Raw Data'!JQ20="","",'Raw Data'!JQ20)</f>
        <v/>
      </c>
      <c r="KD16" s="15" t="str">
        <f>IF('Raw Data'!JR20="","",'Raw Data'!JR20)</f>
        <v/>
      </c>
      <c r="KE16" s="15" t="str">
        <f>IF('Raw Data'!JS20="","",'Raw Data'!JS20)</f>
        <v/>
      </c>
      <c r="KF16" s="15" t="str">
        <f>IF('Raw Data'!JT20="","",'Raw Data'!JT20)</f>
        <v>medical juridique reinsertion surete</v>
      </c>
      <c r="KG16" s="15" t="str">
        <f>IF('Raw Data'!JU20="","",'Raw Data'!JU20)</f>
        <v>1</v>
      </c>
      <c r="KH16" s="15" t="str">
        <f>IF('Raw Data'!JV20="","",'Raw Data'!JV20)</f>
        <v>0</v>
      </c>
      <c r="KI16" s="15" t="str">
        <f>IF('Raw Data'!JW20="","",'Raw Data'!JW20)</f>
        <v>0</v>
      </c>
      <c r="KJ16" s="15" t="str">
        <f>IF('Raw Data'!JX20="","",'Raw Data'!JX20)</f>
        <v>1</v>
      </c>
      <c r="KK16" s="15" t="str">
        <f>IF('Raw Data'!JY20="","",'Raw Data'!JY20)</f>
        <v>1</v>
      </c>
      <c r="KL16" s="15" t="str">
        <f>IF('Raw Data'!JZ20="","",'Raw Data'!JZ20)</f>
        <v>1</v>
      </c>
      <c r="KM16" s="15" t="str">
        <f>IF('Raw Data'!KA20="","",'Raw Data'!KA20)</f>
        <v>0</v>
      </c>
      <c r="KN16" s="15" t="str">
        <f>IF('Raw Data'!KB20="","",'Raw Data'!KB20)</f>
        <v>0</v>
      </c>
      <c r="KO16" s="15" t="str">
        <f>IF('Raw Data'!KC20="","",'Raw Data'!KC20)</f>
        <v>0</v>
      </c>
      <c r="KP16" s="15" t="str">
        <f>IF('Raw Data'!KD20="","",'Raw Data'!KD20)</f>
        <v/>
      </c>
      <c r="KQ16" s="15" t="str">
        <f>IF('Raw Data'!KE20="","",'Raw Data'!KE20)</f>
        <v/>
      </c>
      <c r="KR16" s="15" t="str">
        <f>IF('Raw Data'!KF20="","",'Raw Data'!KF20)</f>
        <v>non</v>
      </c>
      <c r="KS16" s="15" t="str">
        <f>IF('Raw Data'!KG20="","",'Raw Data'!KG20)</f>
        <v/>
      </c>
      <c r="KT16" s="15" t="str">
        <f>IF('Raw Data'!KH20="","",'Raw Data'!KH20)</f>
        <v/>
      </c>
      <c r="KU16" s="15" t="str">
        <f>IF('Raw Data'!KI20="","",'Raw Data'!KI20)</f>
        <v/>
      </c>
      <c r="KV16" s="15" t="str">
        <f>IF('Raw Data'!KJ20="","",'Raw Data'!KJ20)</f>
        <v/>
      </c>
      <c r="KW16" s="15" t="str">
        <f>IF('Raw Data'!KK20="","",'Raw Data'!KK20)</f>
        <v/>
      </c>
      <c r="KX16" s="15" t="str">
        <f>IF('Raw Data'!KL20="","",'Raw Data'!KL20)</f>
        <v/>
      </c>
      <c r="KY16" s="15" t="str">
        <f>IF('Raw Data'!KM20="","",'Raw Data'!KM20)</f>
        <v/>
      </c>
      <c r="KZ16" s="15" t="str">
        <f>IF('Raw Data'!KN20="","",'Raw Data'!KN20)</f>
        <v/>
      </c>
      <c r="LA16" s="15" t="str">
        <f>IF('Raw Data'!KO20="","",'Raw Data'!KO20)</f>
        <v/>
      </c>
      <c r="LB16" s="15" t="str">
        <f>IF('Raw Data'!KP20="","",'Raw Data'!KP20)</f>
        <v/>
      </c>
      <c r="LC16" s="15" t="str">
        <f>IF('Raw Data'!KQ20="","",'Raw Data'!KQ20)</f>
        <v/>
      </c>
      <c r="LD16" s="15" t="str">
        <f>IF('Raw Data'!KR20="","",'Raw Data'!KR20)</f>
        <v/>
      </c>
      <c r="LE16" s="15" t="str">
        <f>IF('Raw Data'!KS20="","",'Raw Data'!KS20)</f>
        <v/>
      </c>
      <c r="LF16" s="15" t="str">
        <f>IF('Raw Data'!KT20="","",'Raw Data'!KT20)</f>
        <v/>
      </c>
      <c r="LG16" s="15" t="str">
        <f>IF('Raw Data'!KU20="","",'Raw Data'!KU20)</f>
        <v/>
      </c>
      <c r="LH16" s="15" t="str">
        <f>IF('Raw Data'!KV20="","",'Raw Data'!KV20)</f>
        <v/>
      </c>
      <c r="LI16" s="15" t="str">
        <f>IF('Raw Data'!KW20="","",'Raw Data'!KW20)</f>
        <v/>
      </c>
      <c r="LJ16" s="15" t="str">
        <f>IF('Raw Data'!KX20="","",'Raw Data'!KX20)</f>
        <v/>
      </c>
      <c r="LK16" s="15" t="str">
        <f>IF('Raw Data'!KY20="","",'Raw Data'!KY20)</f>
        <v/>
      </c>
      <c r="LL16" s="15" t="str">
        <f>IF('Raw Data'!KZ20="","",'Raw Data'!KZ20)</f>
        <v/>
      </c>
      <c r="LM16" s="15" t="str">
        <f>IF('Raw Data'!LA20="","",'Raw Data'!LA20)</f>
        <v/>
      </c>
      <c r="LN16" s="15" t="str">
        <f>IF('Raw Data'!LB20="","",'Raw Data'!LB20)</f>
        <v>non</v>
      </c>
      <c r="LO16" s="15" t="str">
        <f>IF('Raw Data'!LC20="","",'Raw Data'!LC20)</f>
        <v/>
      </c>
      <c r="LP16" s="15" t="str">
        <f>IF('Raw Data'!LD20="","",'Raw Data'!LD20)</f>
        <v/>
      </c>
      <c r="LQ16" s="15" t="str">
        <f>IF('Raw Data'!LE20="","",'Raw Data'!LE20)</f>
        <v/>
      </c>
      <c r="LR16" s="15" t="str">
        <f>IF('Raw Data'!LF20="","",'Raw Data'!LF20)</f>
        <v/>
      </c>
      <c r="LS16" s="15" t="str">
        <f>IF('Raw Data'!LG20="","",'Raw Data'!LG20)</f>
        <v/>
      </c>
      <c r="LT16" s="15" t="str">
        <f>IF('Raw Data'!LH20="","",'Raw Data'!LH20)</f>
        <v/>
      </c>
      <c r="LU16" s="15" t="str">
        <f>IF('Raw Data'!LI20="","",'Raw Data'!LI20)</f>
        <v/>
      </c>
      <c r="LV16" s="15" t="str">
        <f>IF('Raw Data'!LJ20="","",'Raw Data'!LJ20)</f>
        <v/>
      </c>
      <c r="LW16" s="15" t="str">
        <f>IF('Raw Data'!LK20="","",'Raw Data'!LK20)</f>
        <v/>
      </c>
      <c r="LX16" s="15" t="str">
        <f>IF('Raw Data'!LL20="","",'Raw Data'!LL20)</f>
        <v/>
      </c>
      <c r="LY16" s="15" t="str">
        <f>IF('Raw Data'!LM20="","",'Raw Data'!LM20)</f>
        <v/>
      </c>
      <c r="LZ16" s="15" t="str">
        <f>IF('Raw Data'!LN20="","",'Raw Data'!LN20)</f>
        <v/>
      </c>
      <c r="MA16" s="15" t="str">
        <f>IF('Raw Data'!LO20="","",'Raw Data'!LO20)</f>
        <v/>
      </c>
      <c r="MB16" s="15" t="str">
        <f>IF('Raw Data'!LP20="","",'Raw Data'!LP20)</f>
        <v>oui</v>
      </c>
      <c r="MC16" s="15" t="str">
        <f>IF('Raw Data'!LQ20="","",'Raw Data'!LQ20)</f>
        <v/>
      </c>
      <c r="MD16" s="31"/>
      <c r="ME16" s="15">
        <f>IF('Raw Data'!LS20="","",'Raw Data'!LS20)</f>
        <v>169235210</v>
      </c>
      <c r="MF16" s="15" t="str">
        <f>IF('Raw Data'!LT20="","",'Raw Data'!LT20)</f>
        <v>89997856-f49b-469c-814c-5cc689233050</v>
      </c>
      <c r="MG16" s="15" t="str">
        <f>IF('Raw Data'!LU20="","",'Raw Data'!LU20)</f>
        <v>2021-04-02T00:40:48</v>
      </c>
      <c r="MH16" s="15" t="str">
        <f>IF('Raw Data'!LV20="","",'Raw Data'!LV20)</f>
        <v/>
      </c>
      <c r="MI16" s="15" t="str">
        <f>IF('Raw Data'!LW20="","",'Raw Data'!LW20)</f>
        <v>[]</v>
      </c>
      <c r="MJ16" s="15" t="str">
        <f>IF('Raw Data'!LX20="","",'Raw Data'!LX20)</f>
        <v>submitted_via_web</v>
      </c>
      <c r="MK16" s="15" t="str">
        <f>IF('Raw Data'!LY20="","",'Raw Data'!LY20)</f>
        <v>reach_niger</v>
      </c>
      <c r="ML16" s="15" t="str">
        <f>IF('Raw Data'!LZ20="","",'Raw Data'!LZ20)</f>
        <v/>
      </c>
      <c r="MM16" s="15">
        <f>IF('Raw Data'!MA20="","",'Raw Data'!MA20)</f>
        <v>19</v>
      </c>
    </row>
    <row r="17" spans="1:351" x14ac:dyDescent="0.3">
      <c r="A17" s="26" t="str">
        <f t="shared" si="0"/>
        <v>886e1903-9c3e-423f-9439-be35bd95a87c</v>
      </c>
      <c r="B17" s="26" t="str">
        <f t="shared" si="1"/>
        <v>ayerou</v>
      </c>
      <c r="C17" s="26" t="str">
        <f t="shared" si="2"/>
        <v>D</v>
      </c>
      <c r="D17" s="14" t="str">
        <f>IF('Raw Data'!A40="","",'Raw Data'!A40)</f>
        <v>2021-04-03T11:53:54.351+01:00</v>
      </c>
      <c r="E17" s="14" t="str">
        <f>IF('Raw Data'!B40="","",'Raw Data'!B40)</f>
        <v>2021-04-03T12:08:36.948+01:00</v>
      </c>
      <c r="F17" s="30">
        <v>44289.495763888888</v>
      </c>
      <c r="G17" s="30">
        <v>44289.505972222221</v>
      </c>
      <c r="H17" s="29">
        <f>VLOOKUP(A17,Audit[#All],2,FALSE)</f>
        <v>14.71</v>
      </c>
      <c r="I17" s="29">
        <f>VLOOKUP(A17,Audit[#All],3,FALSE)</f>
        <v>14.68</v>
      </c>
      <c r="J17" s="29">
        <f>VLOOKUP(A17,Audit[#All],4,FALSE)</f>
        <v>14.13</v>
      </c>
      <c r="K17" s="29">
        <f>VLOOKUP(A17,nb_questions[#All],2,FALSE)</f>
        <v>67</v>
      </c>
      <c r="L17" s="29">
        <f t="shared" si="3"/>
        <v>114</v>
      </c>
      <c r="M17" s="14" t="str">
        <f>IF('Raw Data'!C40="","",'Raw Data'!C40)</f>
        <v>2021-04-03</v>
      </c>
      <c r="N17" s="14" t="str">
        <f>IF('Raw Data'!D40="","",'Raw Data'!D40)</f>
        <v/>
      </c>
      <c r="O17" s="14" t="str">
        <f>IF('Raw Data'!E40="","",'Raw Data'!E40)</f>
        <v/>
      </c>
      <c r="P17" s="29" t="str">
        <f>VLOOKUP(A17,code_enqueteurs[#All],3,FALSE)</f>
        <v>D</v>
      </c>
      <c r="Q17" s="29" t="s">
        <v>1649</v>
      </c>
      <c r="R17" s="14" t="str">
        <f>IF('Raw Data'!F40="","",'Raw Data'!F40)</f>
        <v>Homme</v>
      </c>
      <c r="S17" s="15" t="str">
        <f>IF('Raw Data'!G40="","",'Raw Data'!G40)</f>
        <v>ayerou</v>
      </c>
      <c r="T17" s="15" t="str">
        <f>IF('Raw Data'!H40="","",'Raw Data'!H40)</f>
        <v>ayerou</v>
      </c>
      <c r="U17" s="15" t="str">
        <f>IF('Raw Data'!I40="","",'Raw Data'!I40)</f>
        <v>autre</v>
      </c>
      <c r="V17" s="31" t="s">
        <v>1642</v>
      </c>
      <c r="W17" s="15" t="str">
        <f>IF('Raw Data'!K40="","",'Raw Data'!K40)</f>
        <v/>
      </c>
      <c r="X17" s="15" t="str">
        <f>IF('Raw Data'!L40="","",'Raw Data'!L40)</f>
        <v/>
      </c>
      <c r="Y17" s="15" t="str">
        <f>IF('Raw Data'!M40="","",'Raw Data'!M40)</f>
        <v/>
      </c>
      <c r="Z17" s="15" t="str">
        <f>IF('Raw Data'!N40="","",'Raw Data'!N40)</f>
        <v/>
      </c>
      <c r="AA17" s="15" t="str">
        <f>IF('Raw Data'!O40="","",'Raw Data'!O40)</f>
        <v/>
      </c>
      <c r="AB17" s="15" t="str">
        <f>IF('Raw Data'!P40="","",'Raw Data'!P40)</f>
        <v/>
      </c>
      <c r="AC17" s="15" t="str">
        <f>IF('Raw Data'!Q40="","",'Raw Data'!Q40)</f>
        <v/>
      </c>
      <c r="AD17" s="15" t="str">
        <f>IF('Raw Data'!R40="","",'Raw Data'!R40)</f>
        <v>Homme</v>
      </c>
      <c r="AE17" s="15" t="str">
        <f>IF('Raw Data'!S40="","",'Raw Data'!S40)</f>
        <v>40</v>
      </c>
      <c r="AF17" s="15" t="str">
        <f>IF('Raw Data'!T40="","",'Raw Data'!T40)</f>
        <v>Hote</v>
      </c>
      <c r="AG17" s="15" t="str">
        <f>IF('Raw Data'!U40="","",'Raw Data'!U40)</f>
        <v/>
      </c>
      <c r="AH17" s="15" t="str">
        <f>IF('Raw Data'!V40="","",'Raw Data'!V40)</f>
        <v/>
      </c>
      <c r="AI17" s="15" t="str">
        <f>IF('Raw Data'!W40="","",'Raw Data'!W40)</f>
        <v/>
      </c>
      <c r="AJ17" s="15" t="str">
        <f>IF('Raw Data'!X40="","",'Raw Data'!X40)</f>
        <v/>
      </c>
      <c r="AK17" s="15" t="str">
        <f>IF('Raw Data'!Y40="","",'Raw Data'!Y40)</f>
        <v/>
      </c>
      <c r="AL17" s="15" t="str">
        <f>IF('Raw Data'!Z40="","",'Raw Data'!Z40)</f>
        <v/>
      </c>
      <c r="AM17" s="15" t="str">
        <f>IF('Raw Data'!AA40="","",'Raw Data'!AA40)</f>
        <v/>
      </c>
      <c r="AN17" s="15" t="str">
        <f>IF('Raw Data'!AB40="","",'Raw Data'!AB40)</f>
        <v/>
      </c>
      <c r="AO17" s="15" t="str">
        <f>IF('Raw Data'!AC40="","",'Raw Data'!AC40)</f>
        <v/>
      </c>
      <c r="AP17" s="15" t="str">
        <f>IF('Raw Data'!AD40="","",'Raw Data'!AD40)</f>
        <v/>
      </c>
      <c r="AQ17" s="15" t="str">
        <f>IF('Raw Data'!AE40="","",'Raw Data'!AE40)</f>
        <v/>
      </c>
      <c r="AR17" s="15" t="str">
        <f>IF('Raw Data'!AF40="","",'Raw Data'!AF40)</f>
        <v/>
      </c>
      <c r="AS17" s="15" t="str">
        <f>IF('Raw Data'!AG40="","",'Raw Data'!AG40)</f>
        <v>non</v>
      </c>
      <c r="AT17" s="15" t="str">
        <f>IF('Raw Data'!AH40="","",'Raw Data'!AH40)</f>
        <v/>
      </c>
      <c r="AU17" s="15" t="str">
        <f>IF('Raw Data'!AI40="","",'Raw Data'!AI40)</f>
        <v/>
      </c>
      <c r="AV17" s="15" t="str">
        <f>IF('Raw Data'!AJ40="","",'Raw Data'!AJ40)</f>
        <v/>
      </c>
      <c r="AW17" s="15" t="str">
        <f>IF('Raw Data'!AK40="","",'Raw Data'!AK40)</f>
        <v/>
      </c>
      <c r="AX17" s="15" t="str">
        <f>IF('Raw Data'!AL40="","",'Raw Data'!AL40)</f>
        <v/>
      </c>
      <c r="AY17" s="15" t="str">
        <f>IF('Raw Data'!AM40="","",'Raw Data'!AM40)</f>
        <v/>
      </c>
      <c r="AZ17" s="15" t="str">
        <f>IF('Raw Data'!AN40="","",'Raw Data'!AN40)</f>
        <v/>
      </c>
      <c r="BA17" s="15" t="str">
        <f>IF('Raw Data'!AO40="","",'Raw Data'!AO40)</f>
        <v/>
      </c>
      <c r="BB17" s="15" t="str">
        <f>IF('Raw Data'!AP40="","",'Raw Data'!AP40)</f>
        <v/>
      </c>
      <c r="BC17" s="15" t="str">
        <f>IF('Raw Data'!AQ40="","",'Raw Data'!AQ40)</f>
        <v/>
      </c>
      <c r="BD17" s="15" t="str">
        <f>IF('Raw Data'!AR40="","",'Raw Data'!AR40)</f>
        <v/>
      </c>
      <c r="BE17" s="15" t="str">
        <f>IF('Raw Data'!AS40="","",'Raw Data'!AS40)</f>
        <v/>
      </c>
      <c r="BF17" s="15" t="str">
        <f>IF('Raw Data'!AT40="","",'Raw Data'!AT40)</f>
        <v/>
      </c>
      <c r="BG17" s="15" t="str">
        <f>IF('Raw Data'!AU40="","",'Raw Data'!AU40)</f>
        <v/>
      </c>
      <c r="BH17" s="15" t="str">
        <f>IF('Raw Data'!AV40="","",'Raw Data'!AV40)</f>
        <v/>
      </c>
      <c r="BI17" s="15" t="str">
        <f>IF('Raw Data'!AW40="","",'Raw Data'!AW40)</f>
        <v/>
      </c>
      <c r="BJ17" s="15" t="str">
        <f>IF('Raw Data'!AX40="","",'Raw Data'!AX40)</f>
        <v/>
      </c>
      <c r="BK17" s="15" t="str">
        <f>IF('Raw Data'!AY40="","",'Raw Data'!AY40)</f>
        <v/>
      </c>
      <c r="BL17" s="15" t="str">
        <f>IF('Raw Data'!AZ40="","",'Raw Data'!AZ40)</f>
        <v/>
      </c>
      <c r="BM17" s="15" t="str">
        <f>IF('Raw Data'!BA40="","",'Raw Data'!BA40)</f>
        <v/>
      </c>
      <c r="BN17" s="15" t="str">
        <f>IF('Raw Data'!BB40="","",'Raw Data'!BB40)</f>
        <v/>
      </c>
      <c r="BO17" s="15" t="str">
        <f>IF('Raw Data'!BC40="","",'Raw Data'!BC40)</f>
        <v/>
      </c>
      <c r="BP17" s="15" t="str">
        <f>IF('Raw Data'!BD40="","",'Raw Data'!BD40)</f>
        <v/>
      </c>
      <c r="BQ17" s="15" t="str">
        <f>IF('Raw Data'!BE40="","",'Raw Data'!BE40)</f>
        <v/>
      </c>
      <c r="BR17" s="15" t="str">
        <f>IF('Raw Data'!BF40="","",'Raw Data'!BF40)</f>
        <v/>
      </c>
      <c r="BS17" s="15" t="str">
        <f>IF('Raw Data'!BG40="","",'Raw Data'!BG40)</f>
        <v/>
      </c>
      <c r="BT17" s="15" t="str">
        <f>IF('Raw Data'!BH40="","",'Raw Data'!BH40)</f>
        <v/>
      </c>
      <c r="BU17" s="15" t="str">
        <f>IF('Raw Data'!BI40="","",'Raw Data'!BI40)</f>
        <v/>
      </c>
      <c r="BV17" s="15" t="str">
        <f>IF('Raw Data'!BJ40="","",'Raw Data'!BJ40)</f>
        <v/>
      </c>
      <c r="BW17" s="15" t="str">
        <f>IF('Raw Data'!BK40="","",'Raw Data'!BK40)</f>
        <v/>
      </c>
      <c r="BX17" s="15" t="str">
        <f>IF('Raw Data'!BL40="","",'Raw Data'!BL40)</f>
        <v/>
      </c>
      <c r="BY17" s="15" t="str">
        <f>IF('Raw Data'!BM40="","",'Raw Data'!BM40)</f>
        <v/>
      </c>
      <c r="BZ17" s="15" t="str">
        <f>IF('Raw Data'!BN40="","",'Raw Data'!BN40)</f>
        <v/>
      </c>
      <c r="CA17" s="15" t="str">
        <f>IF('Raw Data'!BO40="","",'Raw Data'!BO40)</f>
        <v/>
      </c>
      <c r="CB17" s="15" t="str">
        <f>IF('Raw Data'!BP40="","",'Raw Data'!BP40)</f>
        <v/>
      </c>
      <c r="CC17" s="15" t="str">
        <f>IF('Raw Data'!BQ40="","",'Raw Data'!BQ40)</f>
        <v>oui</v>
      </c>
      <c r="CD17" s="15" t="str">
        <f>IF('Raw Data'!BR40="","",'Raw Data'!BR40)</f>
        <v>viol mariage_force menace</v>
      </c>
      <c r="CE17" s="15" t="str">
        <f>IF('Raw Data'!BS40="","",'Raw Data'!BS40)</f>
        <v>1</v>
      </c>
      <c r="CF17" s="15" t="str">
        <f>IF('Raw Data'!BT40="","",'Raw Data'!BT40)</f>
        <v>0</v>
      </c>
      <c r="CG17" s="15" t="str">
        <f>IF('Raw Data'!BU40="","",'Raw Data'!BU40)</f>
        <v>0</v>
      </c>
      <c r="CH17" s="15" t="str">
        <f>IF('Raw Data'!BV40="","",'Raw Data'!BV40)</f>
        <v>0</v>
      </c>
      <c r="CI17" s="15" t="str">
        <f>IF('Raw Data'!BW40="","",'Raw Data'!BW40)</f>
        <v>0</v>
      </c>
      <c r="CJ17" s="15" t="str">
        <f>IF('Raw Data'!BX40="","",'Raw Data'!BX40)</f>
        <v>1</v>
      </c>
      <c r="CK17" s="15" t="str">
        <f>IF('Raw Data'!BY40="","",'Raw Data'!BY40)</f>
        <v>0</v>
      </c>
      <c r="CL17" s="15" t="str">
        <f>IF('Raw Data'!BZ40="","",'Raw Data'!BZ40)</f>
        <v>0</v>
      </c>
      <c r="CM17" s="15" t="str">
        <f>IF('Raw Data'!CA40="","",'Raw Data'!CA40)</f>
        <v>0</v>
      </c>
      <c r="CN17" s="15" t="str">
        <f>IF('Raw Data'!CB40="","",'Raw Data'!CB40)</f>
        <v>0</v>
      </c>
      <c r="CO17" s="15" t="str">
        <f>IF('Raw Data'!CC40="","",'Raw Data'!CC40)</f>
        <v>1</v>
      </c>
      <c r="CP17" s="15" t="str">
        <f>IF('Raw Data'!CD40="","",'Raw Data'!CD40)</f>
        <v>0</v>
      </c>
      <c r="CQ17" s="15" t="str">
        <f>IF('Raw Data'!CE40="","",'Raw Data'!CE40)</f>
        <v>0</v>
      </c>
      <c r="CR17" s="15" t="str">
        <f>IF('Raw Data'!CF40="","",'Raw Data'!CF40)</f>
        <v>0</v>
      </c>
      <c r="CS17" s="15" t="str">
        <f>IF('Raw Data'!CG40="","",'Raw Data'!CG40)</f>
        <v>0</v>
      </c>
      <c r="CT17" s="15" t="str">
        <f>IF('Raw Data'!CH40="","",'Raw Data'!CH40)</f>
        <v/>
      </c>
      <c r="CU17" s="15" t="str">
        <f>IF('Raw Data'!CI40="","",'Raw Data'!CI40)</f>
        <v>Femmes_agees Hommes_ages Bebes/Bambins</v>
      </c>
      <c r="CV17" s="15" t="str">
        <f>IF('Raw Data'!CJ40="","",'Raw Data'!CJ40)</f>
        <v>1</v>
      </c>
      <c r="CW17" s="15" t="str">
        <f>IF('Raw Data'!CK40="","",'Raw Data'!CK40)</f>
        <v>0</v>
      </c>
      <c r="CX17" s="15" t="str">
        <f>IF('Raw Data'!CL40="","",'Raw Data'!CL40)</f>
        <v>0</v>
      </c>
      <c r="CY17" s="15" t="str">
        <f>IF('Raw Data'!CM40="","",'Raw Data'!CM40)</f>
        <v>0</v>
      </c>
      <c r="CZ17" s="15" t="str">
        <f>IF('Raw Data'!CN40="","",'Raw Data'!CN40)</f>
        <v>0</v>
      </c>
      <c r="DA17" s="15" t="str">
        <f>IF('Raw Data'!CO40="","",'Raw Data'!CO40)</f>
        <v>0</v>
      </c>
      <c r="DB17" s="15" t="str">
        <f>IF('Raw Data'!CP40="","",'Raw Data'!CP40)</f>
        <v>1</v>
      </c>
      <c r="DC17" s="15" t="str">
        <f>IF('Raw Data'!CQ40="","",'Raw Data'!CQ40)</f>
        <v>1</v>
      </c>
      <c r="DD17" s="15" t="str">
        <f>IF('Raw Data'!CR40="","",'Raw Data'!CR40)</f>
        <v>0</v>
      </c>
      <c r="DE17" s="15" t="str">
        <f>IF('Raw Data'!CS40="","",'Raw Data'!CS40)</f>
        <v>0</v>
      </c>
      <c r="DF17" s="15" t="str">
        <f>IF('Raw Data'!CT40="","",'Raw Data'!CT40)</f>
        <v>0</v>
      </c>
      <c r="DG17" s="15" t="str">
        <f>IF('Raw Data'!CU40="","",'Raw Data'!CU40)</f>
        <v>0</v>
      </c>
      <c r="DH17" s="15" t="str">
        <f>IF('Raw Data'!CV40="","",'Raw Data'!CV40)</f>
        <v>0</v>
      </c>
      <c r="DI17" s="15" t="str">
        <f>IF('Raw Data'!CW40="","",'Raw Data'!CW40)</f>
        <v>0</v>
      </c>
      <c r="DJ17" s="15" t="str">
        <f>IF('Raw Data'!CX40="","",'Raw Data'!CX40)</f>
        <v/>
      </c>
      <c r="DK17" s="15" t="str">
        <f>IF('Raw Data'!CY40="","",'Raw Data'!CY40)</f>
        <v>1</v>
      </c>
      <c r="DL17" s="15" t="str">
        <f>IF('Raw Data'!CZ40="","",'Raw Data'!CZ40)</f>
        <v>augmente</v>
      </c>
      <c r="DM17" s="15" t="str">
        <f>IF('Raw Data'!DA40="","",'Raw Data'!DA40)</f>
        <v/>
      </c>
      <c r="DN17" s="15" t="str">
        <f>IF('Raw Data'!DB40="","",'Raw Data'!DB40)</f>
        <v>diminution_moyens_existence hausse_tensions_intercomm hausse_chomeurs</v>
      </c>
      <c r="DO17" s="15" t="str">
        <f>IF('Raw Data'!DC40="","",'Raw Data'!DC40)</f>
        <v>1</v>
      </c>
      <c r="DP17" s="15" t="str">
        <f>IF('Raw Data'!DD40="","",'Raw Data'!DD40)</f>
        <v>0</v>
      </c>
      <c r="DQ17" s="15" t="str">
        <f>IF('Raw Data'!DE40="","",'Raw Data'!DE40)</f>
        <v>0</v>
      </c>
      <c r="DR17" s="15" t="str">
        <f>IF('Raw Data'!DF40="","",'Raw Data'!DF40)</f>
        <v>1</v>
      </c>
      <c r="DS17" s="15" t="str">
        <f>IF('Raw Data'!DG40="","",'Raw Data'!DG40)</f>
        <v>0</v>
      </c>
      <c r="DT17" s="15" t="str">
        <f>IF('Raw Data'!DH40="","",'Raw Data'!DH40)</f>
        <v>0</v>
      </c>
      <c r="DU17" s="15" t="str">
        <f>IF('Raw Data'!DI40="","",'Raw Data'!DI40)</f>
        <v>1</v>
      </c>
      <c r="DV17" s="15" t="str">
        <f>IF('Raw Data'!DJ40="","",'Raw Data'!DJ40)</f>
        <v>0</v>
      </c>
      <c r="DW17" s="15" t="str">
        <f>IF('Raw Data'!DK40="","",'Raw Data'!DK40)</f>
        <v>0</v>
      </c>
      <c r="DX17" s="15" t="str">
        <f>IF('Raw Data'!DL40="","",'Raw Data'!DL40)</f>
        <v>0</v>
      </c>
      <c r="DY17" s="15" t="str">
        <f>IF('Raw Data'!DM40="","",'Raw Data'!DM40)</f>
        <v/>
      </c>
      <c r="DZ17" s="15" t="str">
        <f>IF('Raw Data'!DN40="","",'Raw Data'!DN40)</f>
        <v/>
      </c>
      <c r="EA17" s="15" t="str">
        <f>IF('Raw Data'!DO40="","",'Raw Data'!DO40)</f>
        <v/>
      </c>
      <c r="EB17" s="15" t="str">
        <f>IF('Raw Data'!DP40="","",'Raw Data'!DP40)</f>
        <v/>
      </c>
      <c r="EC17" s="15" t="str">
        <f>IF('Raw Data'!DQ40="","",'Raw Data'!DQ40)</f>
        <v/>
      </c>
      <c r="ED17" s="15" t="str">
        <f>IF('Raw Data'!DR40="","",'Raw Data'!DR40)</f>
        <v/>
      </c>
      <c r="EE17" s="15" t="str">
        <f>IF('Raw Data'!DS40="","",'Raw Data'!DS40)</f>
        <v/>
      </c>
      <c r="EF17" s="15" t="str">
        <f>IF('Raw Data'!DT40="","",'Raw Data'!DT40)</f>
        <v/>
      </c>
      <c r="EG17" s="15" t="str">
        <f>IF('Raw Data'!DU40="","",'Raw Data'!DU40)</f>
        <v/>
      </c>
      <c r="EH17" s="15" t="str">
        <f>IF('Raw Data'!DV40="","",'Raw Data'!DV40)</f>
        <v/>
      </c>
      <c r="EI17" s="15" t="str">
        <f>IF('Raw Data'!DW40="","",'Raw Data'!DW40)</f>
        <v/>
      </c>
      <c r="EJ17" s="15" t="str">
        <f>IF('Raw Data'!DX40="","",'Raw Data'!DX40)</f>
        <v/>
      </c>
      <c r="EK17" s="15" t="str">
        <f>IF('Raw Data'!DY40="","",'Raw Data'!DY40)</f>
        <v/>
      </c>
      <c r="EL17" s="15" t="str">
        <f>IF('Raw Data'!DZ40="","",'Raw Data'!DZ40)</f>
        <v>dplct_abords_com Integration_com_hote Soutien_famille_amis Soutien_chef_village Soutien_psychosocial Soutien_en_AGR</v>
      </c>
      <c r="EM17" s="15" t="str">
        <f>IF('Raw Data'!EA40="","",'Raw Data'!EA40)</f>
        <v>1</v>
      </c>
      <c r="EN17" s="15" t="str">
        <f>IF('Raw Data'!EB40="","",'Raw Data'!EB40)</f>
        <v>1</v>
      </c>
      <c r="EO17" s="15" t="str">
        <f>IF('Raw Data'!EC40="","",'Raw Data'!EC40)</f>
        <v>1</v>
      </c>
      <c r="EP17" s="15" t="str">
        <f>IF('Raw Data'!ED40="","",'Raw Data'!ED40)</f>
        <v>1</v>
      </c>
      <c r="EQ17" s="15" t="str">
        <f>IF('Raw Data'!EE40="","",'Raw Data'!EE40)</f>
        <v>1</v>
      </c>
      <c r="ER17" s="15" t="str">
        <f>IF('Raw Data'!EF40="","",'Raw Data'!EF40)</f>
        <v>1</v>
      </c>
      <c r="ES17" s="15" t="str">
        <f>IF('Raw Data'!EG40="","",'Raw Data'!EG40)</f>
        <v>0</v>
      </c>
      <c r="ET17" s="15" t="str">
        <f>IF('Raw Data'!EH40="","",'Raw Data'!EH40)</f>
        <v>0</v>
      </c>
      <c r="EU17" s="15" t="str">
        <f>IF('Raw Data'!EI40="","",'Raw Data'!EI40)</f>
        <v>0</v>
      </c>
      <c r="EV17" s="15" t="str">
        <f>IF('Raw Data'!EJ40="","",'Raw Data'!EJ40)</f>
        <v/>
      </c>
      <c r="EW17" s="15" t="str">
        <f>IF('Raw Data'!EK40="","",'Raw Data'!EK40)</f>
        <v/>
      </c>
      <c r="EX17" s="15" t="str">
        <f>IF('Raw Data'!EL40="","",'Raw Data'!EL40)</f>
        <v>comite_protection famille_accueil comite_redevabilite comite_alerte</v>
      </c>
      <c r="EY17" s="15" t="str">
        <f>IF('Raw Data'!EM40="","",'Raw Data'!EM40)</f>
        <v>0</v>
      </c>
      <c r="EZ17" s="15" t="str">
        <f>IF('Raw Data'!EN40="","",'Raw Data'!EN40)</f>
        <v>1</v>
      </c>
      <c r="FA17" s="15" t="str">
        <f>IF('Raw Data'!EO40="","",'Raw Data'!EO40)</f>
        <v>1</v>
      </c>
      <c r="FB17" s="15" t="str">
        <f>IF('Raw Data'!EP40="","",'Raw Data'!EP40)</f>
        <v>1</v>
      </c>
      <c r="FC17" s="15" t="str">
        <f>IF('Raw Data'!EQ40="","",'Raw Data'!EQ40)</f>
        <v>1</v>
      </c>
      <c r="FD17" s="15" t="str">
        <f>IF('Raw Data'!ER40="","",'Raw Data'!ER40)</f>
        <v>0</v>
      </c>
      <c r="FE17" s="15" t="str">
        <f>IF('Raw Data'!ES40="","",'Raw Data'!ES40)</f>
        <v>0</v>
      </c>
      <c r="FF17" s="15" t="str">
        <f>IF('Raw Data'!ET40="","",'Raw Data'!ET40)</f>
        <v>0</v>
      </c>
      <c r="FG17" s="15" t="str">
        <f>IF('Raw Data'!EU40="","",'Raw Data'!EU40)</f>
        <v>0</v>
      </c>
      <c r="FH17" s="15" t="str">
        <f>IF('Raw Data'!EV40="","",'Raw Data'!EV40)</f>
        <v>0</v>
      </c>
      <c r="FI17" s="15" t="str">
        <f>IF('Raw Data'!EW40="","",'Raw Data'!EW40)</f>
        <v/>
      </c>
      <c r="FJ17" s="15" t="str">
        <f>IF('Raw Data'!EX40="","",'Raw Data'!EX40)</f>
        <v>oui</v>
      </c>
      <c r="FK17" s="15" t="str">
        <f>IF('Raw Data'!EY40="","",'Raw Data'!EY40)</f>
        <v>Radio_television Internet manif_sociales Chef_village famille_amis Leaders_religieux Groupement_femmes Differents_comites_villageois Travailleurs_sociaux/hum Gouvernement</v>
      </c>
      <c r="FL17" s="15" t="str">
        <f>IF('Raw Data'!EZ40="","",'Raw Data'!EZ40)</f>
        <v>1</v>
      </c>
      <c r="FM17" s="15" t="str">
        <f>IF('Raw Data'!FA40="","",'Raw Data'!FA40)</f>
        <v>0</v>
      </c>
      <c r="FN17" s="15" t="str">
        <f>IF('Raw Data'!FB40="","",'Raw Data'!FB40)</f>
        <v>1</v>
      </c>
      <c r="FO17" s="15" t="str">
        <f>IF('Raw Data'!FC40="","",'Raw Data'!FC40)</f>
        <v>1</v>
      </c>
      <c r="FP17" s="15" t="str">
        <f>IF('Raw Data'!FD40="","",'Raw Data'!FD40)</f>
        <v>1</v>
      </c>
      <c r="FQ17" s="15" t="str">
        <f>IF('Raw Data'!FE40="","",'Raw Data'!FE40)</f>
        <v>1</v>
      </c>
      <c r="FR17" s="15" t="str">
        <f>IF('Raw Data'!FF40="","",'Raw Data'!FF40)</f>
        <v>1</v>
      </c>
      <c r="FS17" s="15" t="str">
        <f>IF('Raw Data'!FG40="","",'Raw Data'!FG40)</f>
        <v>1</v>
      </c>
      <c r="FT17" s="15" t="str">
        <f>IF('Raw Data'!FH40="","",'Raw Data'!FH40)</f>
        <v>1</v>
      </c>
      <c r="FU17" s="15" t="str">
        <f>IF('Raw Data'!FI40="","",'Raw Data'!FI40)</f>
        <v>1</v>
      </c>
      <c r="FV17" s="15" t="str">
        <f>IF('Raw Data'!FJ40="","",'Raw Data'!FJ40)</f>
        <v>1</v>
      </c>
      <c r="FW17" s="15" t="str">
        <f>IF('Raw Data'!FK40="","",'Raw Data'!FK40)</f>
        <v>0</v>
      </c>
      <c r="FX17" s="15" t="str">
        <f>IF('Raw Data'!FL40="","",'Raw Data'!FL40)</f>
        <v>0</v>
      </c>
      <c r="FY17" s="15" t="str">
        <f>IF('Raw Data'!FM40="","",'Raw Data'!FM40)</f>
        <v>0</v>
      </c>
      <c r="FZ17" s="15" t="str">
        <f>IF('Raw Data'!FN40="","",'Raw Data'!FN40)</f>
        <v/>
      </c>
      <c r="GA17" s="15" t="str">
        <f>IF('Raw Data'!FO40="","",'Raw Data'!FO40)</f>
        <v>oui_ensemble</v>
      </c>
      <c r="GB17" s="15" t="str">
        <f>IF('Raw Data'!FP40="","",'Raw Data'!FP40)</f>
        <v>oui_majorite</v>
      </c>
      <c r="GC17" s="15" t="str">
        <f>IF('Raw Data'!FQ40="","",'Raw Data'!FQ40)</f>
        <v>non_fonctionnelle</v>
      </c>
      <c r="GD17" s="15" t="str">
        <f>IF('Raw Data'!FR40="","",'Raw Data'!FR40)</f>
        <v>1</v>
      </c>
      <c r="GE17" s="15" t="str">
        <f>IF('Raw Data'!FS40="","",'Raw Data'!FS40)</f>
        <v>0</v>
      </c>
      <c r="GF17" s="15" t="str">
        <f>IF('Raw Data'!FT40="","",'Raw Data'!FT40)</f>
        <v>0</v>
      </c>
      <c r="GG17" s="15" t="str">
        <f>IF('Raw Data'!FU40="","",'Raw Data'!FU40)</f>
        <v>0</v>
      </c>
      <c r="GH17" s="15" t="str">
        <f>IF('Raw Data'!FV40="","",'Raw Data'!FV40)</f>
        <v>0</v>
      </c>
      <c r="GI17" s="15" t="str">
        <f>IF('Raw Data'!FW40="","",'Raw Data'!FW40)</f>
        <v>0</v>
      </c>
      <c r="GJ17" s="15" t="str">
        <f>IF('Raw Data'!FX40="","",'Raw Data'!FX40)</f>
        <v>0</v>
      </c>
      <c r="GK17" s="15" t="str">
        <f>IF('Raw Data'!FY40="","",'Raw Data'!FY40)</f>
        <v>0</v>
      </c>
      <c r="GL17" s="15" t="str">
        <f>IF('Raw Data'!FZ40="","",'Raw Data'!FZ40)</f>
        <v/>
      </c>
      <c r="GM17" s="15" t="str">
        <f>IF('Raw Data'!GA40="","",'Raw Data'!GA40)</f>
        <v>majorite</v>
      </c>
      <c r="GN17" s="15" t="str">
        <f>IF('Raw Data'!GB40="","",'Raw Data'!GB40)</f>
        <v>majorite</v>
      </c>
      <c r="GO17" s="15" t="str">
        <f>IF('Raw Data'!GC40="","",'Raw Data'!GC40)</f>
        <v>Education Appui_psychosocial Services_de_sante Acces_aux_doc Programme_AGR</v>
      </c>
      <c r="GP17" s="15" t="str">
        <f>IF('Raw Data'!GD40="","",'Raw Data'!GD40)</f>
        <v>1</v>
      </c>
      <c r="GQ17" s="15" t="str">
        <f>IF('Raw Data'!GE40="","",'Raw Data'!GE40)</f>
        <v>1</v>
      </c>
      <c r="GR17" s="15" t="str">
        <f>IF('Raw Data'!GF40="","",'Raw Data'!GF40)</f>
        <v>0</v>
      </c>
      <c r="GS17" s="15" t="str">
        <f>IF('Raw Data'!GG40="","",'Raw Data'!GG40)</f>
        <v>1</v>
      </c>
      <c r="GT17" s="15" t="str">
        <f>IF('Raw Data'!GH40="","",'Raw Data'!GH40)</f>
        <v>1</v>
      </c>
      <c r="GU17" s="15" t="str">
        <f>IF('Raw Data'!GI40="","",'Raw Data'!GI40)</f>
        <v>0</v>
      </c>
      <c r="GV17" s="15" t="str">
        <f>IF('Raw Data'!GJ40="","",'Raw Data'!GJ40)</f>
        <v>1</v>
      </c>
      <c r="GW17" s="15" t="str">
        <f>IF('Raw Data'!GK40="","",'Raw Data'!GK40)</f>
        <v>0</v>
      </c>
      <c r="GX17" s="15" t="str">
        <f>IF('Raw Data'!GL40="","",'Raw Data'!GL40)</f>
        <v>0</v>
      </c>
      <c r="GY17" s="15" t="str">
        <f>IF('Raw Data'!GM40="","",'Raw Data'!GM40)</f>
        <v/>
      </c>
      <c r="GZ17" s="15" t="str">
        <f>IF('Raw Data'!GN40="","",'Raw Data'!GN40)</f>
        <v>oui_majorite</v>
      </c>
      <c r="HA17" s="15" t="str">
        <f>IF('Raw Data'!GO40="","",'Raw Data'!GO40)</f>
        <v>oui_majorite</v>
      </c>
      <c r="HB17" s="15" t="str">
        <f>IF('Raw Data'!GP40="","",'Raw Data'!GP40)</f>
        <v>amelioration_futur repond_besoins_pop permet_eviter_conflits</v>
      </c>
      <c r="HC17" s="15" t="str">
        <f>IF('Raw Data'!GQ40="","",'Raw Data'!GQ40)</f>
        <v>1</v>
      </c>
      <c r="HD17" s="15" t="str">
        <f>IF('Raw Data'!GR40="","",'Raw Data'!GR40)</f>
        <v>1</v>
      </c>
      <c r="HE17" s="15" t="str">
        <f>IF('Raw Data'!GS40="","",'Raw Data'!GS40)</f>
        <v>0</v>
      </c>
      <c r="HF17" s="15" t="str">
        <f>IF('Raw Data'!GT40="","",'Raw Data'!GT40)</f>
        <v>1</v>
      </c>
      <c r="HG17" s="15" t="str">
        <f>IF('Raw Data'!GU40="","",'Raw Data'!GU40)</f>
        <v>0</v>
      </c>
      <c r="HH17" s="15" t="str">
        <f>IF('Raw Data'!GV40="","",'Raw Data'!GV40)</f>
        <v>0</v>
      </c>
      <c r="HI17" s="15" t="str">
        <f>IF('Raw Data'!GW40="","",'Raw Data'!GW40)</f>
        <v>0</v>
      </c>
      <c r="HJ17" s="15" t="str">
        <f>IF('Raw Data'!GX40="","",'Raw Data'!GX40)</f>
        <v>0</v>
      </c>
      <c r="HK17" s="15" t="str">
        <f>IF('Raw Data'!GY40="","",'Raw Data'!GY40)</f>
        <v/>
      </c>
      <c r="HL17" s="15" t="str">
        <f>IF('Raw Data'!GZ40="","",'Raw Data'!GZ40)</f>
        <v>ne_contribue_pas</v>
      </c>
      <c r="HM17" s="15" t="str">
        <f>IF('Raw Data'!HA40="","",'Raw Data'!HA40)</f>
        <v>1</v>
      </c>
      <c r="HN17" s="15" t="str">
        <f>IF('Raw Data'!HB40="","",'Raw Data'!HB40)</f>
        <v>0</v>
      </c>
      <c r="HO17" s="15" t="str">
        <f>IF('Raw Data'!HC40="","",'Raw Data'!HC40)</f>
        <v>0</v>
      </c>
      <c r="HP17" s="15" t="str">
        <f>IF('Raw Data'!HD40="","",'Raw Data'!HD40)</f>
        <v>0</v>
      </c>
      <c r="HQ17" s="15" t="str">
        <f>IF('Raw Data'!HE40="","",'Raw Data'!HE40)</f>
        <v>0</v>
      </c>
      <c r="HR17" s="15" t="str">
        <f>IF('Raw Data'!HF40="","",'Raw Data'!HF40)</f>
        <v>0</v>
      </c>
      <c r="HS17" s="15" t="str">
        <f>IF('Raw Data'!HG40="","",'Raw Data'!HG40)</f>
        <v/>
      </c>
      <c r="HT17" s="15" t="str">
        <f>IF('Raw Data'!HH40="","",'Raw Data'!HH40)</f>
        <v/>
      </c>
      <c r="HU17" s="15" t="str">
        <f>IF('Raw Data'!HI40="","",'Raw Data'!HI40)</f>
        <v>oui_minorite</v>
      </c>
      <c r="HV17" s="15" t="str">
        <f>IF('Raw Data'!HJ40="","",'Raw Data'!HJ40)</f>
        <v>gvt fds_arme autorite_locale_leaders ingo ong_locale famille_amis</v>
      </c>
      <c r="HW17" s="15" t="str">
        <f>IF('Raw Data'!HK40="","",'Raw Data'!HK40)</f>
        <v>1</v>
      </c>
      <c r="HX17" s="15" t="str">
        <f>IF('Raw Data'!HL40="","",'Raw Data'!HL40)</f>
        <v>1</v>
      </c>
      <c r="HY17" s="15" t="str">
        <f>IF('Raw Data'!HM40="","",'Raw Data'!HM40)</f>
        <v>1</v>
      </c>
      <c r="HZ17" s="15" t="str">
        <f>IF('Raw Data'!HN40="","",'Raw Data'!HN40)</f>
        <v>0</v>
      </c>
      <c r="IA17" s="15" t="str">
        <f>IF('Raw Data'!HO40="","",'Raw Data'!HO40)</f>
        <v>1</v>
      </c>
      <c r="IB17" s="15" t="str">
        <f>IF('Raw Data'!HP40="","",'Raw Data'!HP40)</f>
        <v>1</v>
      </c>
      <c r="IC17" s="15" t="str">
        <f>IF('Raw Data'!HQ40="","",'Raw Data'!HQ40)</f>
        <v>1</v>
      </c>
      <c r="ID17" s="15" t="str">
        <f>IF('Raw Data'!HR40="","",'Raw Data'!HR40)</f>
        <v>0</v>
      </c>
      <c r="IE17" s="15" t="str">
        <f>IF('Raw Data'!HS40="","",'Raw Data'!HS40)</f>
        <v>0</v>
      </c>
      <c r="IF17" s="15" t="str">
        <f>IF('Raw Data'!HT40="","",'Raw Data'!HT40)</f>
        <v>0</v>
      </c>
      <c r="IG17" s="15" t="str">
        <f>IF('Raw Data'!HU40="","",'Raw Data'!HU40)</f>
        <v/>
      </c>
      <c r="IH17" s="15" t="str">
        <f>IF('Raw Data'!HV40="","",'Raw Data'!HV40)</f>
        <v>oui</v>
      </c>
      <c r="II17" s="15" t="str">
        <f>IF('Raw Data'!HW40="","",'Raw Data'!HW40)</f>
        <v/>
      </c>
      <c r="IJ17" s="15" t="str">
        <f>IF('Raw Data'!HX40="","",'Raw Data'!HX40)</f>
        <v>Bebes/Bambins Enfants Filles Garçons Femmes_agees Hommes_ages</v>
      </c>
      <c r="IK17" s="15" t="str">
        <f>IF('Raw Data'!HY40="","",'Raw Data'!HY40)</f>
        <v>1</v>
      </c>
      <c r="IL17" s="15" t="str">
        <f>IF('Raw Data'!HZ40="","",'Raw Data'!HZ40)</f>
        <v>1</v>
      </c>
      <c r="IM17" s="15" t="str">
        <f>IF('Raw Data'!IA40="","",'Raw Data'!IA40)</f>
        <v>1</v>
      </c>
      <c r="IN17" s="15" t="str">
        <f>IF('Raw Data'!IB40="","",'Raw Data'!IB40)</f>
        <v>1</v>
      </c>
      <c r="IO17" s="15" t="str">
        <f>IF('Raw Data'!IC40="","",'Raw Data'!IC40)</f>
        <v>0</v>
      </c>
      <c r="IP17" s="15" t="str">
        <f>IF('Raw Data'!ID40="","",'Raw Data'!ID40)</f>
        <v>0</v>
      </c>
      <c r="IQ17" s="15" t="str">
        <f>IF('Raw Data'!IE40="","",'Raw Data'!IE40)</f>
        <v>1</v>
      </c>
      <c r="IR17" s="15" t="str">
        <f>IF('Raw Data'!IF40="","",'Raw Data'!IF40)</f>
        <v>1</v>
      </c>
      <c r="IS17" s="15" t="str">
        <f>IF('Raw Data'!IG40="","",'Raw Data'!IG40)</f>
        <v>0</v>
      </c>
      <c r="IT17" s="15" t="str">
        <f>IF('Raw Data'!IH40="","",'Raw Data'!IH40)</f>
        <v>0</v>
      </c>
      <c r="IU17" s="15" t="str">
        <f>IF('Raw Data'!II40="","",'Raw Data'!II40)</f>
        <v>0</v>
      </c>
      <c r="IV17" s="15" t="str">
        <f>IF('Raw Data'!IJ40="","",'Raw Data'!IJ40)</f>
        <v>0</v>
      </c>
      <c r="IW17" s="15" t="str">
        <f>IF('Raw Data'!IK40="","",'Raw Data'!IK40)</f>
        <v>0</v>
      </c>
      <c r="IX17" s="15" t="str">
        <f>IF('Raw Data'!IL40="","",'Raw Data'!IL40)</f>
        <v>0</v>
      </c>
      <c r="IY17" s="15" t="str">
        <f>IF('Raw Data'!IM40="","",'Raw Data'!IM40)</f>
        <v/>
      </c>
      <c r="IZ17" s="15" t="str">
        <f>IF('Raw Data'!IN40="","",'Raw Data'!IN40)</f>
        <v>12</v>
      </c>
      <c r="JA17" s="15" t="str">
        <f>IF('Raw Data'!IO40="","",'Raw Data'!IO40)</f>
        <v>Appui_psychosocial Services_medicaux Services_educatifs Services_conseil acces_docs programme_agr points_ecoute</v>
      </c>
      <c r="JB17" s="15" t="str">
        <f>IF('Raw Data'!IP40="","",'Raw Data'!IP40)</f>
        <v>1</v>
      </c>
      <c r="JC17" s="15" t="str">
        <f>IF('Raw Data'!IQ40="","",'Raw Data'!IQ40)</f>
        <v>1</v>
      </c>
      <c r="JD17" s="15" t="str">
        <f>IF('Raw Data'!IR40="","",'Raw Data'!IR40)</f>
        <v>1</v>
      </c>
      <c r="JE17" s="15" t="str">
        <f>IF('Raw Data'!IS40="","",'Raw Data'!IS40)</f>
        <v>1</v>
      </c>
      <c r="JF17" s="15" t="str">
        <f>IF('Raw Data'!IT40="","",'Raw Data'!IT40)</f>
        <v>1</v>
      </c>
      <c r="JG17" s="15" t="str">
        <f>IF('Raw Data'!IU40="","",'Raw Data'!IU40)</f>
        <v>0</v>
      </c>
      <c r="JH17" s="15" t="str">
        <f>IF('Raw Data'!IV40="","",'Raw Data'!IV40)</f>
        <v>1</v>
      </c>
      <c r="JI17" s="15" t="str">
        <f>IF('Raw Data'!IW40="","",'Raw Data'!IW40)</f>
        <v>1</v>
      </c>
      <c r="JJ17" s="15" t="str">
        <f>IF('Raw Data'!IX40="","",'Raw Data'!IX40)</f>
        <v>0</v>
      </c>
      <c r="JK17" s="15" t="str">
        <f>IF('Raw Data'!IY40="","",'Raw Data'!IY40)</f>
        <v>0</v>
      </c>
      <c r="JL17" s="15" t="str">
        <f>IF('Raw Data'!IZ40="","",'Raw Data'!IZ40)</f>
        <v/>
      </c>
      <c r="JM17" s="15" t="str">
        <f>IF('Raw Data'!JA40="","",'Raw Data'!JA40)</f>
        <v>reorientation signalement</v>
      </c>
      <c r="JN17" s="15" t="str">
        <f>IF('Raw Data'!JB40="","",'Raw Data'!JB40)</f>
        <v>0</v>
      </c>
      <c r="JO17" s="15" t="str">
        <f>IF('Raw Data'!JC40="","",'Raw Data'!JC40)</f>
        <v>1</v>
      </c>
      <c r="JP17" s="15" t="str">
        <f>IF('Raw Data'!JD40="","",'Raw Data'!JD40)</f>
        <v>1</v>
      </c>
      <c r="JQ17" s="15" t="str">
        <f>IF('Raw Data'!JE40="","",'Raw Data'!JE40)</f>
        <v>0</v>
      </c>
      <c r="JR17" s="15" t="str">
        <f>IF('Raw Data'!JF40="","",'Raw Data'!JF40)</f>
        <v>0</v>
      </c>
      <c r="JS17" s="15" t="str">
        <f>IF('Raw Data'!JG40="","",'Raw Data'!JG40)</f>
        <v>0</v>
      </c>
      <c r="JT17" s="15" t="str">
        <f>IF('Raw Data'!JH40="","",'Raw Data'!JH40)</f>
        <v/>
      </c>
      <c r="JU17" s="15" t="str">
        <f>IF('Raw Data'!JI40="","",'Raw Data'!JI40)</f>
        <v/>
      </c>
      <c r="JV17" s="15" t="str">
        <f>IF('Raw Data'!JJ40="","",'Raw Data'!JJ40)</f>
        <v/>
      </c>
      <c r="JW17" s="15" t="str">
        <f>IF('Raw Data'!JK40="","",'Raw Data'!JK40)</f>
        <v/>
      </c>
      <c r="JX17" s="15" t="str">
        <f>IF('Raw Data'!JL40="","",'Raw Data'!JL40)</f>
        <v/>
      </c>
      <c r="JY17" s="15" t="str">
        <f>IF('Raw Data'!JM40="","",'Raw Data'!JM40)</f>
        <v/>
      </c>
      <c r="JZ17" s="15" t="str">
        <f>IF('Raw Data'!JN40="","",'Raw Data'!JN40)</f>
        <v/>
      </c>
      <c r="KA17" s="15" t="str">
        <f>IF('Raw Data'!JO40="","",'Raw Data'!JO40)</f>
        <v/>
      </c>
      <c r="KB17" s="15" t="str">
        <f>IF('Raw Data'!JP40="","",'Raw Data'!JP40)</f>
        <v/>
      </c>
      <c r="KC17" s="15" t="str">
        <f>IF('Raw Data'!JQ40="","",'Raw Data'!JQ40)</f>
        <v/>
      </c>
      <c r="KD17" s="15" t="str">
        <f>IF('Raw Data'!JR40="","",'Raw Data'!JR40)</f>
        <v/>
      </c>
      <c r="KE17" s="15" t="str">
        <f>IF('Raw Data'!JS40="","",'Raw Data'!JS40)</f>
        <v/>
      </c>
      <c r="KF17" s="15" t="str">
        <f>IF('Raw Data'!JT40="","",'Raw Data'!JT40)</f>
        <v>medical reinsertion juridique centre_formation</v>
      </c>
      <c r="KG17" s="15" t="str">
        <f>IF('Raw Data'!JU40="","",'Raw Data'!JU40)</f>
        <v>1</v>
      </c>
      <c r="KH17" s="15" t="str">
        <f>IF('Raw Data'!JV40="","",'Raw Data'!JV40)</f>
        <v>0</v>
      </c>
      <c r="KI17" s="15" t="str">
        <f>IF('Raw Data'!JW40="","",'Raw Data'!JW40)</f>
        <v>0</v>
      </c>
      <c r="KJ17" s="15" t="str">
        <f>IF('Raw Data'!JX40="","",'Raw Data'!JX40)</f>
        <v>1</v>
      </c>
      <c r="KK17" s="15" t="str">
        <f>IF('Raw Data'!JY40="","",'Raw Data'!JY40)</f>
        <v>0</v>
      </c>
      <c r="KL17" s="15" t="str">
        <f>IF('Raw Data'!JZ40="","",'Raw Data'!JZ40)</f>
        <v>1</v>
      </c>
      <c r="KM17" s="15" t="str">
        <f>IF('Raw Data'!KA40="","",'Raw Data'!KA40)</f>
        <v>1</v>
      </c>
      <c r="KN17" s="15" t="str">
        <f>IF('Raw Data'!KB40="","",'Raw Data'!KB40)</f>
        <v>0</v>
      </c>
      <c r="KO17" s="15" t="str">
        <f>IF('Raw Data'!KC40="","",'Raw Data'!KC40)</f>
        <v>0</v>
      </c>
      <c r="KP17" s="15" t="str">
        <f>IF('Raw Data'!KD40="","",'Raw Data'!KD40)</f>
        <v/>
      </c>
      <c r="KQ17" s="15" t="str">
        <f>IF('Raw Data'!KE40="","",'Raw Data'!KE40)</f>
        <v/>
      </c>
      <c r="KR17" s="15" t="str">
        <f>IF('Raw Data'!KF40="","",'Raw Data'!KF40)</f>
        <v>non</v>
      </c>
      <c r="KS17" s="15" t="str">
        <f>IF('Raw Data'!KG40="","",'Raw Data'!KG40)</f>
        <v/>
      </c>
      <c r="KT17" s="15" t="str">
        <f>IF('Raw Data'!KH40="","",'Raw Data'!KH40)</f>
        <v/>
      </c>
      <c r="KU17" s="15" t="str">
        <f>IF('Raw Data'!KI40="","",'Raw Data'!KI40)</f>
        <v/>
      </c>
      <c r="KV17" s="15" t="str">
        <f>IF('Raw Data'!KJ40="","",'Raw Data'!KJ40)</f>
        <v/>
      </c>
      <c r="KW17" s="15" t="str">
        <f>IF('Raw Data'!KK40="","",'Raw Data'!KK40)</f>
        <v/>
      </c>
      <c r="KX17" s="15" t="str">
        <f>IF('Raw Data'!KL40="","",'Raw Data'!KL40)</f>
        <v/>
      </c>
      <c r="KY17" s="15" t="str">
        <f>IF('Raw Data'!KM40="","",'Raw Data'!KM40)</f>
        <v/>
      </c>
      <c r="KZ17" s="15" t="str">
        <f>IF('Raw Data'!KN40="","",'Raw Data'!KN40)</f>
        <v/>
      </c>
      <c r="LA17" s="15" t="str">
        <f>IF('Raw Data'!KO40="","",'Raw Data'!KO40)</f>
        <v/>
      </c>
      <c r="LB17" s="15" t="str">
        <f>IF('Raw Data'!KP40="","",'Raw Data'!KP40)</f>
        <v/>
      </c>
      <c r="LC17" s="15" t="str">
        <f>IF('Raw Data'!KQ40="","",'Raw Data'!KQ40)</f>
        <v/>
      </c>
      <c r="LD17" s="15" t="str">
        <f>IF('Raw Data'!KR40="","",'Raw Data'!KR40)</f>
        <v/>
      </c>
      <c r="LE17" s="15" t="str">
        <f>IF('Raw Data'!KS40="","",'Raw Data'!KS40)</f>
        <v/>
      </c>
      <c r="LF17" s="15" t="str">
        <f>IF('Raw Data'!KT40="","",'Raw Data'!KT40)</f>
        <v/>
      </c>
      <c r="LG17" s="15" t="str">
        <f>IF('Raw Data'!KU40="","",'Raw Data'!KU40)</f>
        <v/>
      </c>
      <c r="LH17" s="15" t="str">
        <f>IF('Raw Data'!KV40="","",'Raw Data'!KV40)</f>
        <v/>
      </c>
      <c r="LI17" s="15" t="str">
        <f>IF('Raw Data'!KW40="","",'Raw Data'!KW40)</f>
        <v/>
      </c>
      <c r="LJ17" s="15" t="str">
        <f>IF('Raw Data'!KX40="","",'Raw Data'!KX40)</f>
        <v/>
      </c>
      <c r="LK17" s="15" t="str">
        <f>IF('Raw Data'!KY40="","",'Raw Data'!KY40)</f>
        <v/>
      </c>
      <c r="LL17" s="15" t="str">
        <f>IF('Raw Data'!KZ40="","",'Raw Data'!KZ40)</f>
        <v/>
      </c>
      <c r="LM17" s="15" t="str">
        <f>IF('Raw Data'!LA40="","",'Raw Data'!LA40)</f>
        <v/>
      </c>
      <c r="LN17" s="15" t="str">
        <f>IF('Raw Data'!LB40="","",'Raw Data'!LB40)</f>
        <v>non</v>
      </c>
      <c r="LO17" s="15" t="str">
        <f>IF('Raw Data'!LC40="","",'Raw Data'!LC40)</f>
        <v/>
      </c>
      <c r="LP17" s="15" t="str">
        <f>IF('Raw Data'!LD40="","",'Raw Data'!LD40)</f>
        <v/>
      </c>
      <c r="LQ17" s="15" t="str">
        <f>IF('Raw Data'!LE40="","",'Raw Data'!LE40)</f>
        <v/>
      </c>
      <c r="LR17" s="15" t="str">
        <f>IF('Raw Data'!LF40="","",'Raw Data'!LF40)</f>
        <v/>
      </c>
      <c r="LS17" s="15" t="str">
        <f>IF('Raw Data'!LG40="","",'Raw Data'!LG40)</f>
        <v/>
      </c>
      <c r="LT17" s="15" t="str">
        <f>IF('Raw Data'!LH40="","",'Raw Data'!LH40)</f>
        <v/>
      </c>
      <c r="LU17" s="15" t="str">
        <f>IF('Raw Data'!LI40="","",'Raw Data'!LI40)</f>
        <v/>
      </c>
      <c r="LV17" s="15" t="str">
        <f>IF('Raw Data'!LJ40="","",'Raw Data'!LJ40)</f>
        <v/>
      </c>
      <c r="LW17" s="15" t="str">
        <f>IF('Raw Data'!LK40="","",'Raw Data'!LK40)</f>
        <v/>
      </c>
      <c r="LX17" s="15" t="str">
        <f>IF('Raw Data'!LL40="","",'Raw Data'!LL40)</f>
        <v/>
      </c>
      <c r="LY17" s="15" t="str">
        <f>IF('Raw Data'!LM40="","",'Raw Data'!LM40)</f>
        <v/>
      </c>
      <c r="LZ17" s="15" t="str">
        <f>IF('Raw Data'!LN40="","",'Raw Data'!LN40)</f>
        <v/>
      </c>
      <c r="MA17" s="15" t="str">
        <f>IF('Raw Data'!LO40="","",'Raw Data'!LO40)</f>
        <v/>
      </c>
      <c r="MB17" s="15" t="str">
        <f>IF('Raw Data'!LP40="","",'Raw Data'!LP40)</f>
        <v>oui</v>
      </c>
      <c r="MC17" s="15" t="str">
        <f>IF('Raw Data'!LQ40="","",'Raw Data'!LQ40)</f>
        <v/>
      </c>
      <c r="MD17" s="31"/>
      <c r="ME17" s="15">
        <f>IF('Raw Data'!LS40="","",'Raw Data'!LS40)</f>
        <v>169587325</v>
      </c>
      <c r="MF17" s="15" t="str">
        <f>IF('Raw Data'!LT40="","",'Raw Data'!LT40)</f>
        <v>886e1903-9c3e-423f-9439-be35bd95a87c</v>
      </c>
      <c r="MG17" s="15" t="str">
        <f>IF('Raw Data'!LU40="","",'Raw Data'!LU40)</f>
        <v>2021-04-04T12:27:18</v>
      </c>
      <c r="MH17" s="15" t="str">
        <f>IF('Raw Data'!LV40="","",'Raw Data'!LV40)</f>
        <v/>
      </c>
      <c r="MI17" s="15" t="str">
        <f>IF('Raw Data'!LW40="","",'Raw Data'!LW40)</f>
        <v>[]</v>
      </c>
      <c r="MJ17" s="15" t="str">
        <f>IF('Raw Data'!LX40="","",'Raw Data'!LX40)</f>
        <v>submitted_via_web</v>
      </c>
      <c r="MK17" s="15" t="str">
        <f>IF('Raw Data'!LY40="","",'Raw Data'!LY40)</f>
        <v>reach_niger</v>
      </c>
      <c r="ML17" s="15" t="str">
        <f>IF('Raw Data'!LZ40="","",'Raw Data'!LZ40)</f>
        <v/>
      </c>
      <c r="MM17" s="15">
        <f>IF('Raw Data'!MA40="","",'Raw Data'!MA40)</f>
        <v>41</v>
      </c>
    </row>
    <row r="18" spans="1:351" x14ac:dyDescent="0.3">
      <c r="A18" s="26" t="str">
        <f t="shared" si="0"/>
        <v>a543808c-cb82-4e75-9a6e-6e92595b12e4</v>
      </c>
      <c r="B18" s="26" t="str">
        <f t="shared" si="1"/>
        <v>bankilare</v>
      </c>
      <c r="C18" s="26" t="str">
        <f t="shared" si="2"/>
        <v>E</v>
      </c>
      <c r="D18" s="14" t="str">
        <f>IF('Raw Data'!A28="","",'Raw Data'!A28)</f>
        <v>2021-04-02T11:53:05.642+01:00</v>
      </c>
      <c r="E18" s="14" t="str">
        <f>IF('Raw Data'!B28="","",'Raw Data'!B28)</f>
        <v>2021-04-02T12:08:41.777+01:00</v>
      </c>
      <c r="F18" s="30">
        <v>44288.495196759257</v>
      </c>
      <c r="G18" s="30">
        <v>44288.506030092591</v>
      </c>
      <c r="H18" s="29">
        <f>VLOOKUP(A18,Audit[#All],2,FALSE)</f>
        <v>15.6</v>
      </c>
      <c r="I18" s="29">
        <f>VLOOKUP(A18,Audit[#All],3,FALSE)</f>
        <v>15.5</v>
      </c>
      <c r="J18" s="29">
        <f>VLOOKUP(A18,Audit[#All],4,FALSE)</f>
        <v>14.96</v>
      </c>
      <c r="K18" s="29">
        <f>VLOOKUP(A18,nb_questions[#All],2,FALSE)</f>
        <v>77</v>
      </c>
      <c r="L18" s="29">
        <f t="shared" si="3"/>
        <v>126</v>
      </c>
      <c r="M18" s="14" t="str">
        <f>IF('Raw Data'!C28="","",'Raw Data'!C28)</f>
        <v>2021-04-02</v>
      </c>
      <c r="N18" s="14" t="str">
        <f>IF('Raw Data'!D28="","",'Raw Data'!D28)</f>
        <v/>
      </c>
      <c r="O18" s="14" t="str">
        <f>IF('Raw Data'!E28="","",'Raw Data'!E28)</f>
        <v/>
      </c>
      <c r="P18" s="29" t="str">
        <f>VLOOKUP(A18,code_enqueteurs[#All],3,FALSE)</f>
        <v>E</v>
      </c>
      <c r="Q18" s="29" t="s">
        <v>1650</v>
      </c>
      <c r="R18" s="14" t="str">
        <f>IF('Raw Data'!F28="","",'Raw Data'!F28)</f>
        <v>Homme</v>
      </c>
      <c r="S18" s="15" t="str">
        <f>IF('Raw Data'!G28="","",'Raw Data'!G28)</f>
        <v>bankilare</v>
      </c>
      <c r="T18" s="15" t="str">
        <f>IF('Raw Data'!H28="","",'Raw Data'!H28)</f>
        <v>bankilare</v>
      </c>
      <c r="U18" s="31" t="s">
        <v>1000</v>
      </c>
      <c r="V18" s="15" t="str">
        <f>IF('Raw Data'!J28="","",'Raw Data'!J28)</f>
        <v>Intikinderie</v>
      </c>
      <c r="W18" s="15" t="str">
        <f>IF('Raw Data'!K28="","",'Raw Data'!K28)</f>
        <v/>
      </c>
      <c r="X18" s="15" t="str">
        <f>IF('Raw Data'!L28="","",'Raw Data'!L28)</f>
        <v/>
      </c>
      <c r="Y18" s="15" t="str">
        <f>IF('Raw Data'!M28="","",'Raw Data'!M28)</f>
        <v/>
      </c>
      <c r="Z18" s="15" t="str">
        <f>IF('Raw Data'!N28="","",'Raw Data'!N28)</f>
        <v/>
      </c>
      <c r="AA18" s="15" t="str">
        <f>IF('Raw Data'!O28="","",'Raw Data'!O28)</f>
        <v/>
      </c>
      <c r="AB18" s="15" t="str">
        <f>IF('Raw Data'!P28="","",'Raw Data'!P28)</f>
        <v/>
      </c>
      <c r="AC18" s="15" t="str">
        <f>IF('Raw Data'!Q28="","",'Raw Data'!Q28)</f>
        <v/>
      </c>
      <c r="AD18" s="15" t="str">
        <f>IF('Raw Data'!R28="","",'Raw Data'!R28)</f>
        <v>Homme</v>
      </c>
      <c r="AE18" s="15" t="str">
        <f>IF('Raw Data'!S28="","",'Raw Data'!S28)</f>
        <v>35</v>
      </c>
      <c r="AF18" s="15" t="str">
        <f>IF('Raw Data'!T28="","",'Raw Data'!T28)</f>
        <v>refugie</v>
      </c>
      <c r="AG18" s="15" t="str">
        <f>IF('Raw Data'!U28="","",'Raw Data'!U28)</f>
        <v/>
      </c>
      <c r="AH18" s="15" t="str">
        <f>IF('Raw Data'!V28="","",'Raw Data'!V28)</f>
        <v/>
      </c>
      <c r="AI18" s="15" t="str">
        <f>IF('Raw Data'!W28="","",'Raw Data'!W28)</f>
        <v/>
      </c>
      <c r="AJ18" s="15" t="str">
        <f>IF('Raw Data'!X28="","",'Raw Data'!X28)</f>
        <v/>
      </c>
      <c r="AK18" s="15" t="str">
        <f>IF('Raw Data'!Y28="","",'Raw Data'!Y28)</f>
        <v/>
      </c>
      <c r="AL18" s="15" t="str">
        <f>IF('Raw Data'!Z28="","",'Raw Data'!Z28)</f>
        <v>burkina_faso</v>
      </c>
      <c r="AM18" s="15" t="str">
        <f>IF('Raw Data'!AA28="","",'Raw Data'!AA28)</f>
        <v>sahel</v>
      </c>
      <c r="AN18" s="15" t="str">
        <f>IF('Raw Data'!AB28="","",'Raw Data'!AB28)</f>
        <v>oudalan</v>
      </c>
      <c r="AO18" s="15" t="str">
        <f>IF('Raw Data'!AC28="","",'Raw Data'!AC28)</f>
        <v/>
      </c>
      <c r="AP18" s="15" t="str">
        <f>IF('Raw Data'!AD28="","",'Raw Data'!AD28)</f>
        <v/>
      </c>
      <c r="AQ18" s="15" t="str">
        <f>IF('Raw Data'!AE28="","",'Raw Data'!AE28)</f>
        <v/>
      </c>
      <c r="AR18" s="15" t="str">
        <f>IF('Raw Data'!AF28="","",'Raw Data'!AF28)</f>
        <v/>
      </c>
      <c r="AS18" s="15" t="str">
        <f>IF('Raw Data'!AG28="","",'Raw Data'!AG28)</f>
        <v>oui</v>
      </c>
      <c r="AT18" s="15" t="str">
        <f>IF('Raw Data'!AH28="","",'Raw Data'!AH28)</f>
        <v>Disputes_intercommunataires Vols_braquages extorsions Violences_physique_civils Recrutement_enfants</v>
      </c>
      <c r="AU18" s="15" t="str">
        <f>IF('Raw Data'!AI28="","",'Raw Data'!AI28)</f>
        <v>0</v>
      </c>
      <c r="AV18" s="15" t="str">
        <f>IF('Raw Data'!AJ28="","",'Raw Data'!AJ28)</f>
        <v>1</v>
      </c>
      <c r="AW18" s="15" t="str">
        <f>IF('Raw Data'!AK28="","",'Raw Data'!AK28)</f>
        <v>1</v>
      </c>
      <c r="AX18" s="15" t="str">
        <f>IF('Raw Data'!AL28="","",'Raw Data'!AL28)</f>
        <v>1</v>
      </c>
      <c r="AY18" s="15" t="str">
        <f>IF('Raw Data'!AM28="","",'Raw Data'!AM28)</f>
        <v>1</v>
      </c>
      <c r="AZ18" s="15" t="str">
        <f>IF('Raw Data'!AN28="","",'Raw Data'!AN28)</f>
        <v>0</v>
      </c>
      <c r="BA18" s="15" t="str">
        <f>IF('Raw Data'!AO28="","",'Raw Data'!AO28)</f>
        <v>1</v>
      </c>
      <c r="BB18" s="15" t="str">
        <f>IF('Raw Data'!AP28="","",'Raw Data'!AP28)</f>
        <v>0</v>
      </c>
      <c r="BC18" s="15" t="str">
        <f>IF('Raw Data'!AQ28="","",'Raw Data'!AQ28)</f>
        <v>0</v>
      </c>
      <c r="BD18" s="15" t="str">
        <f>IF('Raw Data'!AR28="","",'Raw Data'!AR28)</f>
        <v>0</v>
      </c>
      <c r="BE18" s="15" t="str">
        <f>IF('Raw Data'!AS28="","",'Raw Data'!AS28)</f>
        <v>0</v>
      </c>
      <c r="BF18" s="15" t="str">
        <f>IF('Raw Data'!AT28="","",'Raw Data'!AT28)</f>
        <v>0</v>
      </c>
      <c r="BG18" s="15" t="str">
        <f>IF('Raw Data'!AU28="","",'Raw Data'!AU28)</f>
        <v>0</v>
      </c>
      <c r="BH18" s="15" t="str">
        <f>IF('Raw Data'!AV28="","",'Raw Data'!AV28)</f>
        <v>0</v>
      </c>
      <c r="BI18" s="15" t="str">
        <f>IF('Raw Data'!AW28="","",'Raw Data'!AW28)</f>
        <v/>
      </c>
      <c r="BJ18" s="15" t="str">
        <f>IF('Raw Data'!AX28="","",'Raw Data'!AX28)</f>
        <v>Bebes/Bambins Enfants Filles Garçons Femmes</v>
      </c>
      <c r="BK18" s="15" t="str">
        <f>IF('Raw Data'!AY28="","",'Raw Data'!AY28)</f>
        <v>1</v>
      </c>
      <c r="BL18" s="15" t="str">
        <f>IF('Raw Data'!AZ28="","",'Raw Data'!AZ28)</f>
        <v>1</v>
      </c>
      <c r="BM18" s="15" t="str">
        <f>IF('Raw Data'!BA28="","",'Raw Data'!BA28)</f>
        <v>1</v>
      </c>
      <c r="BN18" s="15" t="str">
        <f>IF('Raw Data'!BB28="","",'Raw Data'!BB28)</f>
        <v>1</v>
      </c>
      <c r="BO18" s="15" t="str">
        <f>IF('Raw Data'!BC28="","",'Raw Data'!BC28)</f>
        <v>1</v>
      </c>
      <c r="BP18" s="15" t="str">
        <f>IF('Raw Data'!BD28="","",'Raw Data'!BD28)</f>
        <v>0</v>
      </c>
      <c r="BQ18" s="15" t="str">
        <f>IF('Raw Data'!BE28="","",'Raw Data'!BE28)</f>
        <v>0</v>
      </c>
      <c r="BR18" s="15" t="str">
        <f>IF('Raw Data'!BF28="","",'Raw Data'!BF28)</f>
        <v>0</v>
      </c>
      <c r="BS18" s="15" t="str">
        <f>IF('Raw Data'!BG28="","",'Raw Data'!BG28)</f>
        <v>0</v>
      </c>
      <c r="BT18" s="15" t="str">
        <f>IF('Raw Data'!BH28="","",'Raw Data'!BH28)</f>
        <v>0</v>
      </c>
      <c r="BU18" s="15" t="str">
        <f>IF('Raw Data'!BI28="","",'Raw Data'!BI28)</f>
        <v>0</v>
      </c>
      <c r="BV18" s="15" t="str">
        <f>IF('Raw Data'!BJ28="","",'Raw Data'!BJ28)</f>
        <v>0</v>
      </c>
      <c r="BW18" s="15" t="str">
        <f>IF('Raw Data'!BK28="","",'Raw Data'!BK28)</f>
        <v>0</v>
      </c>
      <c r="BX18" s="15" t="str">
        <f>IF('Raw Data'!BL28="","",'Raw Data'!BL28)</f>
        <v>0</v>
      </c>
      <c r="BY18" s="15" t="str">
        <f>IF('Raw Data'!BM28="","",'Raw Data'!BM28)</f>
        <v/>
      </c>
      <c r="BZ18" s="15" t="str">
        <f>IF('Raw Data'!BN28="","",'Raw Data'!BN28)</f>
        <v>3</v>
      </c>
      <c r="CA18" s="15" t="str">
        <f>IF('Raw Data'!BO28="","",'Raw Data'!BO28)</f>
        <v>augmente</v>
      </c>
      <c r="CB18" s="15" t="str">
        <f>IF('Raw Data'!BP28="","",'Raw Data'!BP28)</f>
        <v/>
      </c>
      <c r="CC18" s="15" t="str">
        <f>IF('Raw Data'!BQ28="","",'Raw Data'!BQ28)</f>
        <v>oui</v>
      </c>
      <c r="CD18" s="15" t="str">
        <f>IF('Raw Data'!BR28="","",'Raw Data'!BR28)</f>
        <v>agression_physique agression_psychologique defus_de_acces_aide exploitations_enfant menace</v>
      </c>
      <c r="CE18" s="15" t="str">
        <f>IF('Raw Data'!BS28="","",'Raw Data'!BS28)</f>
        <v>0</v>
      </c>
      <c r="CF18" s="15" t="str">
        <f>IF('Raw Data'!BT28="","",'Raw Data'!BT28)</f>
        <v>0</v>
      </c>
      <c r="CG18" s="15" t="str">
        <f>IF('Raw Data'!BU28="","",'Raw Data'!BU28)</f>
        <v>1</v>
      </c>
      <c r="CH18" s="15" t="str">
        <f>IF('Raw Data'!BV28="","",'Raw Data'!BV28)</f>
        <v>0</v>
      </c>
      <c r="CI18" s="15" t="str">
        <f>IF('Raw Data'!BW28="","",'Raw Data'!BW28)</f>
        <v>1</v>
      </c>
      <c r="CJ18" s="15" t="str">
        <f>IF('Raw Data'!BX28="","",'Raw Data'!BX28)</f>
        <v>0</v>
      </c>
      <c r="CK18" s="15" t="str">
        <f>IF('Raw Data'!BY28="","",'Raw Data'!BY28)</f>
        <v>0</v>
      </c>
      <c r="CL18" s="15" t="str">
        <f>IF('Raw Data'!BZ28="","",'Raw Data'!BZ28)</f>
        <v>1</v>
      </c>
      <c r="CM18" s="15" t="str">
        <f>IF('Raw Data'!CA28="","",'Raw Data'!CA28)</f>
        <v>1</v>
      </c>
      <c r="CN18" s="15" t="str">
        <f>IF('Raw Data'!CB28="","",'Raw Data'!CB28)</f>
        <v>0</v>
      </c>
      <c r="CO18" s="15" t="str">
        <f>IF('Raw Data'!CC28="","",'Raw Data'!CC28)</f>
        <v>1</v>
      </c>
      <c r="CP18" s="15" t="str">
        <f>IF('Raw Data'!CD28="","",'Raw Data'!CD28)</f>
        <v>0</v>
      </c>
      <c r="CQ18" s="15" t="str">
        <f>IF('Raw Data'!CE28="","",'Raw Data'!CE28)</f>
        <v>0</v>
      </c>
      <c r="CR18" s="15" t="str">
        <f>IF('Raw Data'!CF28="","",'Raw Data'!CF28)</f>
        <v>0</v>
      </c>
      <c r="CS18" s="15" t="str">
        <f>IF('Raw Data'!CG28="","",'Raw Data'!CG28)</f>
        <v>0</v>
      </c>
      <c r="CT18" s="15" t="str">
        <f>IF('Raw Data'!CH28="","",'Raw Data'!CH28)</f>
        <v/>
      </c>
      <c r="CU18" s="15" t="str">
        <f>IF('Raw Data'!CI28="","",'Raw Data'!CI28)</f>
        <v>Bebes/Bambins Enfants Garçons Filles Femmes</v>
      </c>
      <c r="CV18" s="15" t="str">
        <f>IF('Raw Data'!CJ28="","",'Raw Data'!CJ28)</f>
        <v>1</v>
      </c>
      <c r="CW18" s="15" t="str">
        <f>IF('Raw Data'!CK28="","",'Raw Data'!CK28)</f>
        <v>1</v>
      </c>
      <c r="CX18" s="15" t="str">
        <f>IF('Raw Data'!CL28="","",'Raw Data'!CL28)</f>
        <v>1</v>
      </c>
      <c r="CY18" s="15" t="str">
        <f>IF('Raw Data'!CM28="","",'Raw Data'!CM28)</f>
        <v>1</v>
      </c>
      <c r="CZ18" s="15" t="str">
        <f>IF('Raw Data'!CN28="","",'Raw Data'!CN28)</f>
        <v>1</v>
      </c>
      <c r="DA18" s="15" t="str">
        <f>IF('Raw Data'!CO28="","",'Raw Data'!CO28)</f>
        <v>0</v>
      </c>
      <c r="DB18" s="15" t="str">
        <f>IF('Raw Data'!CP28="","",'Raw Data'!CP28)</f>
        <v>0</v>
      </c>
      <c r="DC18" s="15" t="str">
        <f>IF('Raw Data'!CQ28="","",'Raw Data'!CQ28)</f>
        <v>0</v>
      </c>
      <c r="DD18" s="15" t="str">
        <f>IF('Raw Data'!CR28="","",'Raw Data'!CR28)</f>
        <v>0</v>
      </c>
      <c r="DE18" s="15" t="str">
        <f>IF('Raw Data'!CS28="","",'Raw Data'!CS28)</f>
        <v>0</v>
      </c>
      <c r="DF18" s="15" t="str">
        <f>IF('Raw Data'!CT28="","",'Raw Data'!CT28)</f>
        <v>0</v>
      </c>
      <c r="DG18" s="15" t="str">
        <f>IF('Raw Data'!CU28="","",'Raw Data'!CU28)</f>
        <v>0</v>
      </c>
      <c r="DH18" s="15" t="str">
        <f>IF('Raw Data'!CV28="","",'Raw Data'!CV28)</f>
        <v>0</v>
      </c>
      <c r="DI18" s="15" t="str">
        <f>IF('Raw Data'!CW28="","",'Raw Data'!CW28)</f>
        <v>0</v>
      </c>
      <c r="DJ18" s="15" t="str">
        <f>IF('Raw Data'!CX28="","",'Raw Data'!CX28)</f>
        <v/>
      </c>
      <c r="DK18" s="15" t="str">
        <f>IF('Raw Data'!CY28="","",'Raw Data'!CY28)</f>
        <v>3</v>
      </c>
      <c r="DL18" s="15" t="str">
        <f>IF('Raw Data'!CZ28="","",'Raw Data'!CZ28)</f>
        <v>augmente</v>
      </c>
      <c r="DM18" s="15" t="str">
        <f>IF('Raw Data'!DA28="","",'Raw Data'!DA28)</f>
        <v/>
      </c>
      <c r="DN18" s="15" t="str">
        <f>IF('Raw Data'!DB28="","",'Raw Data'!DB28)</f>
        <v>deterioration_con_abris deterioration_acces_service_base diminution_moyens_existence</v>
      </c>
      <c r="DO18" s="15" t="str">
        <f>IF('Raw Data'!DC28="","",'Raw Data'!DC28)</f>
        <v>1</v>
      </c>
      <c r="DP18" s="15" t="str">
        <f>IF('Raw Data'!DD28="","",'Raw Data'!DD28)</f>
        <v>1</v>
      </c>
      <c r="DQ18" s="15" t="str">
        <f>IF('Raw Data'!DE28="","",'Raw Data'!DE28)</f>
        <v>1</v>
      </c>
      <c r="DR18" s="15" t="str">
        <f>IF('Raw Data'!DF28="","",'Raw Data'!DF28)</f>
        <v>0</v>
      </c>
      <c r="DS18" s="15" t="str">
        <f>IF('Raw Data'!DG28="","",'Raw Data'!DG28)</f>
        <v>0</v>
      </c>
      <c r="DT18" s="15" t="str">
        <f>IF('Raw Data'!DH28="","",'Raw Data'!DH28)</f>
        <v>0</v>
      </c>
      <c r="DU18" s="15" t="str">
        <f>IF('Raw Data'!DI28="","",'Raw Data'!DI28)</f>
        <v>0</v>
      </c>
      <c r="DV18" s="15" t="str">
        <f>IF('Raw Data'!DJ28="","",'Raw Data'!DJ28)</f>
        <v>0</v>
      </c>
      <c r="DW18" s="15" t="str">
        <f>IF('Raw Data'!DK28="","",'Raw Data'!DK28)</f>
        <v>0</v>
      </c>
      <c r="DX18" s="15" t="str">
        <f>IF('Raw Data'!DL28="","",'Raw Data'!DL28)</f>
        <v>0</v>
      </c>
      <c r="DY18" s="15" t="str">
        <f>IF('Raw Data'!DM28="","",'Raw Data'!DM28)</f>
        <v/>
      </c>
      <c r="DZ18" s="15" t="str">
        <f>IF('Raw Data'!DN28="","",'Raw Data'!DN28)</f>
        <v/>
      </c>
      <c r="EA18" s="15" t="str">
        <f>IF('Raw Data'!DO28="","",'Raw Data'!DO28)</f>
        <v/>
      </c>
      <c r="EB18" s="15" t="str">
        <f>IF('Raw Data'!DP28="","",'Raw Data'!DP28)</f>
        <v/>
      </c>
      <c r="EC18" s="15" t="str">
        <f>IF('Raw Data'!DQ28="","",'Raw Data'!DQ28)</f>
        <v/>
      </c>
      <c r="ED18" s="15" t="str">
        <f>IF('Raw Data'!DR28="","",'Raw Data'!DR28)</f>
        <v/>
      </c>
      <c r="EE18" s="15" t="str">
        <f>IF('Raw Data'!DS28="","",'Raw Data'!DS28)</f>
        <v/>
      </c>
      <c r="EF18" s="15" t="str">
        <f>IF('Raw Data'!DT28="","",'Raw Data'!DT28)</f>
        <v/>
      </c>
      <c r="EG18" s="15" t="str">
        <f>IF('Raw Data'!DU28="","",'Raw Data'!DU28)</f>
        <v/>
      </c>
      <c r="EH18" s="15" t="str">
        <f>IF('Raw Data'!DV28="","",'Raw Data'!DV28)</f>
        <v/>
      </c>
      <c r="EI18" s="15" t="str">
        <f>IF('Raw Data'!DW28="","",'Raw Data'!DW28)</f>
        <v/>
      </c>
      <c r="EJ18" s="15" t="str">
        <f>IF('Raw Data'!DX28="","",'Raw Data'!DX28)</f>
        <v/>
      </c>
      <c r="EK18" s="15" t="str">
        <f>IF('Raw Data'!DY28="","",'Raw Data'!DY28)</f>
        <v/>
      </c>
      <c r="EL18" s="15" t="str">
        <f>IF('Raw Data'!DZ28="","",'Raw Data'!DZ28)</f>
        <v>dplct_abords_com Soutien_famille_amis Integration_com_hote</v>
      </c>
      <c r="EM18" s="15" t="str">
        <f>IF('Raw Data'!EA28="","",'Raw Data'!EA28)</f>
        <v>1</v>
      </c>
      <c r="EN18" s="15" t="str">
        <f>IF('Raw Data'!EB28="","",'Raw Data'!EB28)</f>
        <v>1</v>
      </c>
      <c r="EO18" s="15" t="str">
        <f>IF('Raw Data'!EC28="","",'Raw Data'!EC28)</f>
        <v>1</v>
      </c>
      <c r="EP18" s="15" t="str">
        <f>IF('Raw Data'!ED28="","",'Raw Data'!ED28)</f>
        <v>0</v>
      </c>
      <c r="EQ18" s="15" t="str">
        <f>IF('Raw Data'!EE28="","",'Raw Data'!EE28)</f>
        <v>0</v>
      </c>
      <c r="ER18" s="15" t="str">
        <f>IF('Raw Data'!EF28="","",'Raw Data'!EF28)</f>
        <v>0</v>
      </c>
      <c r="ES18" s="15" t="str">
        <f>IF('Raw Data'!EG28="","",'Raw Data'!EG28)</f>
        <v>0</v>
      </c>
      <c r="ET18" s="15" t="str">
        <f>IF('Raw Data'!EH28="","",'Raw Data'!EH28)</f>
        <v>0</v>
      </c>
      <c r="EU18" s="15" t="str">
        <f>IF('Raw Data'!EI28="","",'Raw Data'!EI28)</f>
        <v>0</v>
      </c>
      <c r="EV18" s="15" t="str">
        <f>IF('Raw Data'!EJ28="","",'Raw Data'!EJ28)</f>
        <v/>
      </c>
      <c r="EW18" s="15" t="str">
        <f>IF('Raw Data'!EK28="","",'Raw Data'!EK28)</f>
        <v/>
      </c>
      <c r="EX18" s="15" t="str">
        <f>IF('Raw Data'!EL28="","",'Raw Data'!EL28)</f>
        <v>comite_protection famille_accueil comite_alerte comite_gestion_conflits</v>
      </c>
      <c r="EY18" s="15" t="str">
        <f>IF('Raw Data'!EM28="","",'Raw Data'!EM28)</f>
        <v>0</v>
      </c>
      <c r="EZ18" s="15" t="str">
        <f>IF('Raw Data'!EN28="","",'Raw Data'!EN28)</f>
        <v>1</v>
      </c>
      <c r="FA18" s="15" t="str">
        <f>IF('Raw Data'!EO28="","",'Raw Data'!EO28)</f>
        <v>1</v>
      </c>
      <c r="FB18" s="15" t="str">
        <f>IF('Raw Data'!EP28="","",'Raw Data'!EP28)</f>
        <v>1</v>
      </c>
      <c r="FC18" s="15" t="str">
        <f>IF('Raw Data'!EQ28="","",'Raw Data'!EQ28)</f>
        <v>0</v>
      </c>
      <c r="FD18" s="15" t="str">
        <f>IF('Raw Data'!ER28="","",'Raw Data'!ER28)</f>
        <v>1</v>
      </c>
      <c r="FE18" s="15" t="str">
        <f>IF('Raw Data'!ES28="","",'Raw Data'!ES28)</f>
        <v>0</v>
      </c>
      <c r="FF18" s="15" t="str">
        <f>IF('Raw Data'!ET28="","",'Raw Data'!ET28)</f>
        <v>0</v>
      </c>
      <c r="FG18" s="15" t="str">
        <f>IF('Raw Data'!EU28="","",'Raw Data'!EU28)</f>
        <v>0</v>
      </c>
      <c r="FH18" s="15" t="str">
        <f>IF('Raw Data'!EV28="","",'Raw Data'!EV28)</f>
        <v>0</v>
      </c>
      <c r="FI18" s="15" t="str">
        <f>IF('Raw Data'!EW28="","",'Raw Data'!EW28)</f>
        <v/>
      </c>
      <c r="FJ18" s="15" t="str">
        <f>IF('Raw Data'!EX28="","",'Raw Data'!EX28)</f>
        <v>non</v>
      </c>
      <c r="FK18" s="15" t="str">
        <f>IF('Raw Data'!EY28="","",'Raw Data'!EY28)</f>
        <v/>
      </c>
      <c r="FL18" s="15" t="str">
        <f>IF('Raw Data'!EZ28="","",'Raw Data'!EZ28)</f>
        <v/>
      </c>
      <c r="FM18" s="15" t="str">
        <f>IF('Raw Data'!FA28="","",'Raw Data'!FA28)</f>
        <v/>
      </c>
      <c r="FN18" s="15" t="str">
        <f>IF('Raw Data'!FB28="","",'Raw Data'!FB28)</f>
        <v/>
      </c>
      <c r="FO18" s="15" t="str">
        <f>IF('Raw Data'!FC28="","",'Raw Data'!FC28)</f>
        <v/>
      </c>
      <c r="FP18" s="15" t="str">
        <f>IF('Raw Data'!FD28="","",'Raw Data'!FD28)</f>
        <v/>
      </c>
      <c r="FQ18" s="15" t="str">
        <f>IF('Raw Data'!FE28="","",'Raw Data'!FE28)</f>
        <v/>
      </c>
      <c r="FR18" s="15" t="str">
        <f>IF('Raw Data'!FF28="","",'Raw Data'!FF28)</f>
        <v/>
      </c>
      <c r="FS18" s="15" t="str">
        <f>IF('Raw Data'!FG28="","",'Raw Data'!FG28)</f>
        <v/>
      </c>
      <c r="FT18" s="15" t="str">
        <f>IF('Raw Data'!FH28="","",'Raw Data'!FH28)</f>
        <v/>
      </c>
      <c r="FU18" s="15" t="str">
        <f>IF('Raw Data'!FI28="","",'Raw Data'!FI28)</f>
        <v/>
      </c>
      <c r="FV18" s="15" t="str">
        <f>IF('Raw Data'!FJ28="","",'Raw Data'!FJ28)</f>
        <v/>
      </c>
      <c r="FW18" s="15" t="str">
        <f>IF('Raw Data'!FK28="","",'Raw Data'!FK28)</f>
        <v/>
      </c>
      <c r="FX18" s="15" t="str">
        <f>IF('Raw Data'!FL28="","",'Raw Data'!FL28)</f>
        <v/>
      </c>
      <c r="FY18" s="15" t="str">
        <f>IF('Raw Data'!FM28="","",'Raw Data'!FM28)</f>
        <v/>
      </c>
      <c r="FZ18" s="15" t="str">
        <f>IF('Raw Data'!FN28="","",'Raw Data'!FN28)</f>
        <v/>
      </c>
      <c r="GA18" s="15" t="str">
        <f>IF('Raw Data'!FO28="","",'Raw Data'!FO28)</f>
        <v/>
      </c>
      <c r="GB18" s="15" t="str">
        <f>IF('Raw Data'!FP28="","",'Raw Data'!FP28)</f>
        <v/>
      </c>
      <c r="GC18" s="15" t="str">
        <f>IF('Raw Data'!FQ28="","",'Raw Data'!FQ28)</f>
        <v/>
      </c>
      <c r="GD18" s="15" t="str">
        <f>IF('Raw Data'!FR28="","",'Raw Data'!FR28)</f>
        <v/>
      </c>
      <c r="GE18" s="15" t="str">
        <f>IF('Raw Data'!FS28="","",'Raw Data'!FS28)</f>
        <v/>
      </c>
      <c r="GF18" s="15" t="str">
        <f>IF('Raw Data'!FT28="","",'Raw Data'!FT28)</f>
        <v/>
      </c>
      <c r="GG18" s="15" t="str">
        <f>IF('Raw Data'!FU28="","",'Raw Data'!FU28)</f>
        <v/>
      </c>
      <c r="GH18" s="15" t="str">
        <f>IF('Raw Data'!FV28="","",'Raw Data'!FV28)</f>
        <v/>
      </c>
      <c r="GI18" s="15" t="str">
        <f>IF('Raw Data'!FW28="","",'Raw Data'!FW28)</f>
        <v/>
      </c>
      <c r="GJ18" s="15" t="str">
        <f>IF('Raw Data'!FX28="","",'Raw Data'!FX28)</f>
        <v/>
      </c>
      <c r="GK18" s="15" t="str">
        <f>IF('Raw Data'!FY28="","",'Raw Data'!FY28)</f>
        <v/>
      </c>
      <c r="GL18" s="15" t="str">
        <f>IF('Raw Data'!FZ28="","",'Raw Data'!FZ28)</f>
        <v/>
      </c>
      <c r="GM18" s="15" t="str">
        <f>IF('Raw Data'!GA28="","",'Raw Data'!GA28)</f>
        <v/>
      </c>
      <c r="GN18" s="15" t="str">
        <f>IF('Raw Data'!GB28="","",'Raw Data'!GB28)</f>
        <v/>
      </c>
      <c r="GO18" s="15" t="str">
        <f>IF('Raw Data'!GC28="","",'Raw Data'!GC28)</f>
        <v/>
      </c>
      <c r="GP18" s="15" t="str">
        <f>IF('Raw Data'!GD28="","",'Raw Data'!GD28)</f>
        <v/>
      </c>
      <c r="GQ18" s="15" t="str">
        <f>IF('Raw Data'!GE28="","",'Raw Data'!GE28)</f>
        <v/>
      </c>
      <c r="GR18" s="15" t="str">
        <f>IF('Raw Data'!GF28="","",'Raw Data'!GF28)</f>
        <v/>
      </c>
      <c r="GS18" s="15" t="str">
        <f>IF('Raw Data'!GG28="","",'Raw Data'!GG28)</f>
        <v/>
      </c>
      <c r="GT18" s="15" t="str">
        <f>IF('Raw Data'!GH28="","",'Raw Data'!GH28)</f>
        <v/>
      </c>
      <c r="GU18" s="15" t="str">
        <f>IF('Raw Data'!GI28="","",'Raw Data'!GI28)</f>
        <v/>
      </c>
      <c r="GV18" s="15" t="str">
        <f>IF('Raw Data'!GJ28="","",'Raw Data'!GJ28)</f>
        <v/>
      </c>
      <c r="GW18" s="15" t="str">
        <f>IF('Raw Data'!GK28="","",'Raw Data'!GK28)</f>
        <v/>
      </c>
      <c r="GX18" s="15" t="str">
        <f>IF('Raw Data'!GL28="","",'Raw Data'!GL28)</f>
        <v/>
      </c>
      <c r="GY18" s="15" t="str">
        <f>IF('Raw Data'!GM28="","",'Raw Data'!GM28)</f>
        <v/>
      </c>
      <c r="GZ18" s="31"/>
      <c r="HA18" s="31"/>
      <c r="HB18" s="31"/>
      <c r="HC18" s="31"/>
      <c r="HD18" s="31"/>
      <c r="HE18" s="31"/>
      <c r="HF18" s="31"/>
      <c r="HG18" s="31"/>
      <c r="HH18" s="31"/>
      <c r="HI18" s="31"/>
      <c r="HJ18" s="31"/>
      <c r="HK18" s="15" t="str">
        <f>IF('Raw Data'!GY28="","",'Raw Data'!GY28)</f>
        <v/>
      </c>
      <c r="HL18" s="31"/>
      <c r="HM18" s="31"/>
      <c r="HN18" s="31"/>
      <c r="HO18" s="31"/>
      <c r="HP18" s="31"/>
      <c r="HQ18" s="31"/>
      <c r="HR18" s="31"/>
      <c r="HS18" s="15" t="str">
        <f>IF('Raw Data'!HG28="","",'Raw Data'!HG28)</f>
        <v/>
      </c>
      <c r="HT18" s="15" t="str">
        <f>IF('Raw Data'!HH28="","",'Raw Data'!HH28)</f>
        <v/>
      </c>
      <c r="HU18" s="15" t="str">
        <f>IF('Raw Data'!HI28="","",'Raw Data'!HI28)</f>
        <v>non</v>
      </c>
      <c r="HV18" s="15" t="str">
        <f>IF('Raw Data'!HJ28="","",'Raw Data'!HJ28)</f>
        <v/>
      </c>
      <c r="HW18" s="15" t="str">
        <f>IF('Raw Data'!HK28="","",'Raw Data'!HK28)</f>
        <v/>
      </c>
      <c r="HX18" s="15" t="str">
        <f>IF('Raw Data'!HL28="","",'Raw Data'!HL28)</f>
        <v/>
      </c>
      <c r="HY18" s="15" t="str">
        <f>IF('Raw Data'!HM28="","",'Raw Data'!HM28)</f>
        <v/>
      </c>
      <c r="HZ18" s="15" t="str">
        <f>IF('Raw Data'!HN28="","",'Raw Data'!HN28)</f>
        <v/>
      </c>
      <c r="IA18" s="15" t="str">
        <f>IF('Raw Data'!HO28="","",'Raw Data'!HO28)</f>
        <v/>
      </c>
      <c r="IB18" s="15" t="str">
        <f>IF('Raw Data'!HP28="","",'Raw Data'!HP28)</f>
        <v/>
      </c>
      <c r="IC18" s="15" t="str">
        <f>IF('Raw Data'!HQ28="","",'Raw Data'!HQ28)</f>
        <v/>
      </c>
      <c r="ID18" s="15" t="str">
        <f>IF('Raw Data'!HR28="","",'Raw Data'!HR28)</f>
        <v/>
      </c>
      <c r="IE18" s="15" t="str">
        <f>IF('Raw Data'!HS28="","",'Raw Data'!HS28)</f>
        <v/>
      </c>
      <c r="IF18" s="15" t="str">
        <f>IF('Raw Data'!HT28="","",'Raw Data'!HT28)</f>
        <v/>
      </c>
      <c r="IG18" s="15" t="str">
        <f>IF('Raw Data'!HU28="","",'Raw Data'!HU28)</f>
        <v/>
      </c>
      <c r="IH18" s="15" t="str">
        <f>IF('Raw Data'!HV28="","",'Raw Data'!HV28)</f>
        <v>oui</v>
      </c>
      <c r="II18" s="15" t="str">
        <f>IF('Raw Data'!HW28="","",'Raw Data'!HW28)</f>
        <v/>
      </c>
      <c r="IJ18" s="15" t="str">
        <f>IF('Raw Data'!HX28="","",'Raw Data'!HX28)</f>
        <v>Bebes/Bambins Enfants Filles Garçons Femmes</v>
      </c>
      <c r="IK18" s="15" t="str">
        <f>IF('Raw Data'!HY28="","",'Raw Data'!HY28)</f>
        <v>1</v>
      </c>
      <c r="IL18" s="15" t="str">
        <f>IF('Raw Data'!HZ28="","",'Raw Data'!HZ28)</f>
        <v>1</v>
      </c>
      <c r="IM18" s="15" t="str">
        <f>IF('Raw Data'!IA28="","",'Raw Data'!IA28)</f>
        <v>1</v>
      </c>
      <c r="IN18" s="15" t="str">
        <f>IF('Raw Data'!IB28="","",'Raw Data'!IB28)</f>
        <v>1</v>
      </c>
      <c r="IO18" s="15" t="str">
        <f>IF('Raw Data'!IC28="","",'Raw Data'!IC28)</f>
        <v>1</v>
      </c>
      <c r="IP18" s="15" t="str">
        <f>IF('Raw Data'!ID28="","",'Raw Data'!ID28)</f>
        <v>0</v>
      </c>
      <c r="IQ18" s="15" t="str">
        <f>IF('Raw Data'!IE28="","",'Raw Data'!IE28)</f>
        <v>0</v>
      </c>
      <c r="IR18" s="15" t="str">
        <f>IF('Raw Data'!IF28="","",'Raw Data'!IF28)</f>
        <v>0</v>
      </c>
      <c r="IS18" s="15" t="str">
        <f>IF('Raw Data'!IG28="","",'Raw Data'!IG28)</f>
        <v>0</v>
      </c>
      <c r="IT18" s="15" t="str">
        <f>IF('Raw Data'!IH28="","",'Raw Data'!IH28)</f>
        <v>0</v>
      </c>
      <c r="IU18" s="15" t="str">
        <f>IF('Raw Data'!II28="","",'Raw Data'!II28)</f>
        <v>0</v>
      </c>
      <c r="IV18" s="15" t="str">
        <f>IF('Raw Data'!IJ28="","",'Raw Data'!IJ28)</f>
        <v>0</v>
      </c>
      <c r="IW18" s="15" t="str">
        <f>IF('Raw Data'!IK28="","",'Raw Data'!IK28)</f>
        <v>0</v>
      </c>
      <c r="IX18" s="15" t="str">
        <f>IF('Raw Data'!IL28="","",'Raw Data'!IL28)</f>
        <v>0</v>
      </c>
      <c r="IY18" s="15" t="str">
        <f>IF('Raw Data'!IM28="","",'Raw Data'!IM28)</f>
        <v/>
      </c>
      <c r="IZ18" s="15" t="str">
        <f>IF('Raw Data'!IN28="","",'Raw Data'!IN28)</f>
        <v>4</v>
      </c>
      <c r="JA18" s="31" t="s">
        <v>1627</v>
      </c>
      <c r="JB18" s="31" t="s">
        <v>1627</v>
      </c>
      <c r="JC18" s="31" t="s">
        <v>1627</v>
      </c>
      <c r="JD18" s="31" t="s">
        <v>1627</v>
      </c>
      <c r="JE18" s="31" t="s">
        <v>1627</v>
      </c>
      <c r="JF18" s="31" t="s">
        <v>1627</v>
      </c>
      <c r="JG18" s="31" t="s">
        <v>1627</v>
      </c>
      <c r="JH18" s="31" t="s">
        <v>1627</v>
      </c>
      <c r="JI18" s="31" t="s">
        <v>1627</v>
      </c>
      <c r="JJ18" s="31" t="s">
        <v>1627</v>
      </c>
      <c r="JK18" s="31" t="s">
        <v>1627</v>
      </c>
      <c r="JL18" s="15" t="str">
        <f>IF('Raw Data'!IZ28="","",'Raw Data'!IZ28)</f>
        <v/>
      </c>
      <c r="JM18" s="15" t="str">
        <f>IF('Raw Data'!JA28="","",'Raw Data'!JA28)</f>
        <v>prise_enchage reorientation signalement</v>
      </c>
      <c r="JN18" s="15" t="str">
        <f>IF('Raw Data'!JB28="","",'Raw Data'!JB28)</f>
        <v>1</v>
      </c>
      <c r="JO18" s="15" t="str">
        <f>IF('Raw Data'!JC28="","",'Raw Data'!JC28)</f>
        <v>1</v>
      </c>
      <c r="JP18" s="15" t="str">
        <f>IF('Raw Data'!JD28="","",'Raw Data'!JD28)</f>
        <v>1</v>
      </c>
      <c r="JQ18" s="15" t="str">
        <f>IF('Raw Data'!JE28="","",'Raw Data'!JE28)</f>
        <v>0</v>
      </c>
      <c r="JR18" s="15" t="str">
        <f>IF('Raw Data'!JF28="","",'Raw Data'!JF28)</f>
        <v>0</v>
      </c>
      <c r="JS18" s="15" t="str">
        <f>IF('Raw Data'!JG28="","",'Raw Data'!JG28)</f>
        <v>0</v>
      </c>
      <c r="JT18" s="15" t="str">
        <f>IF('Raw Data'!JH28="","",'Raw Data'!JH28)</f>
        <v/>
      </c>
      <c r="JU18" s="15" t="str">
        <f>IF('Raw Data'!JI28="","",'Raw Data'!JI28)</f>
        <v>medical juridique surete Psychosocia point_ecoute</v>
      </c>
      <c r="JV18" s="15" t="str">
        <f>IF('Raw Data'!JJ28="","",'Raw Data'!JJ28)</f>
        <v>1</v>
      </c>
      <c r="JW18" s="15" t="str">
        <f>IF('Raw Data'!JK28="","",'Raw Data'!JK28)</f>
        <v>1</v>
      </c>
      <c r="JX18" s="15" t="str">
        <f>IF('Raw Data'!JL28="","",'Raw Data'!JL28)</f>
        <v>1</v>
      </c>
      <c r="JY18" s="15" t="str">
        <f>IF('Raw Data'!JM28="","",'Raw Data'!JM28)</f>
        <v>1</v>
      </c>
      <c r="JZ18" s="15" t="str">
        <f>IF('Raw Data'!JN28="","",'Raw Data'!JN28)</f>
        <v>1</v>
      </c>
      <c r="KA18" s="15" t="str">
        <f>IF('Raw Data'!JO28="","",'Raw Data'!JO28)</f>
        <v>0</v>
      </c>
      <c r="KB18" s="15" t="str">
        <f>IF('Raw Data'!JP28="","",'Raw Data'!JP28)</f>
        <v>0</v>
      </c>
      <c r="KC18" s="15" t="str">
        <f>IF('Raw Data'!JQ28="","",'Raw Data'!JQ28)</f>
        <v>0</v>
      </c>
      <c r="KD18" s="15" t="str">
        <f>IF('Raw Data'!JR28="","",'Raw Data'!JR28)</f>
        <v>0</v>
      </c>
      <c r="KE18" s="15" t="str">
        <f>IF('Raw Data'!JS28="","",'Raw Data'!JS28)</f>
        <v/>
      </c>
      <c r="KF18" s="15" t="str">
        <f>IF('Raw Data'!JT28="","",'Raw Data'!JT28)</f>
        <v>medical surete point_ecoute Psychosocia reinsertion</v>
      </c>
      <c r="KG18" s="15" t="str">
        <f>IF('Raw Data'!JU28="","",'Raw Data'!JU28)</f>
        <v>1</v>
      </c>
      <c r="KH18" s="15" t="str">
        <f>IF('Raw Data'!JV28="","",'Raw Data'!JV28)</f>
        <v>1</v>
      </c>
      <c r="KI18" s="15" t="str">
        <f>IF('Raw Data'!JW28="","",'Raw Data'!JW28)</f>
        <v>1</v>
      </c>
      <c r="KJ18" s="15" t="str">
        <f>IF('Raw Data'!JX28="","",'Raw Data'!JX28)</f>
        <v>0</v>
      </c>
      <c r="KK18" s="15" t="str">
        <f>IF('Raw Data'!JY28="","",'Raw Data'!JY28)</f>
        <v>1</v>
      </c>
      <c r="KL18" s="15" t="str">
        <f>IF('Raw Data'!JZ28="","",'Raw Data'!JZ28)</f>
        <v>1</v>
      </c>
      <c r="KM18" s="15" t="str">
        <f>IF('Raw Data'!KA28="","",'Raw Data'!KA28)</f>
        <v>0</v>
      </c>
      <c r="KN18" s="15" t="str">
        <f>IF('Raw Data'!KB28="","",'Raw Data'!KB28)</f>
        <v>0</v>
      </c>
      <c r="KO18" s="15" t="str">
        <f>IF('Raw Data'!KC28="","",'Raw Data'!KC28)</f>
        <v>0</v>
      </c>
      <c r="KP18" s="15" t="str">
        <f>IF('Raw Data'!KD28="","",'Raw Data'!KD28)</f>
        <v/>
      </c>
      <c r="KQ18" s="15" t="str">
        <f>IF('Raw Data'!KE28="","",'Raw Data'!KE28)</f>
        <v/>
      </c>
      <c r="KR18" s="15" t="str">
        <f>IF('Raw Data'!KF28="","",'Raw Data'!KF28)</f>
        <v>oui</v>
      </c>
      <c r="KS18" s="15" t="str">
        <f>IF('Raw Data'!KG28="","",'Raw Data'!KG28)</f>
        <v>manque_moyens manque_personnes manque_d'information insecurite_zone tensions_locales</v>
      </c>
      <c r="KT18" s="15" t="str">
        <f>IF('Raw Data'!KH28="","",'Raw Data'!KH28)</f>
        <v>1</v>
      </c>
      <c r="KU18" s="15" t="str">
        <f>IF('Raw Data'!KI28="","",'Raw Data'!KI28)</f>
        <v>1</v>
      </c>
      <c r="KV18" s="15" t="str">
        <f>IF('Raw Data'!KJ28="","",'Raw Data'!KJ28)</f>
        <v>1</v>
      </c>
      <c r="KW18" s="15" t="str">
        <f>IF('Raw Data'!KK28="","",'Raw Data'!KK28)</f>
        <v>0</v>
      </c>
      <c r="KX18" s="15" t="str">
        <f>IF('Raw Data'!KL28="","",'Raw Data'!KL28)</f>
        <v>1</v>
      </c>
      <c r="KY18" s="15" t="str">
        <f>IF('Raw Data'!KM28="","",'Raw Data'!KM28)</f>
        <v>1</v>
      </c>
      <c r="KZ18" s="15" t="str">
        <f>IF('Raw Data'!KN28="","",'Raw Data'!KN28)</f>
        <v>0</v>
      </c>
      <c r="LA18" s="15" t="str">
        <f>IF('Raw Data'!KO28="","",'Raw Data'!KO28)</f>
        <v>0</v>
      </c>
      <c r="LB18" s="15" t="str">
        <f>IF('Raw Data'!KP28="","",'Raw Data'!KP28)</f>
        <v>0</v>
      </c>
      <c r="LC18" s="15" t="str">
        <f>IF('Raw Data'!KQ28="","",'Raw Data'!KQ28)</f>
        <v>0</v>
      </c>
      <c r="LD18" s="15" t="str">
        <f>IF('Raw Data'!KR28="","",'Raw Data'!KR28)</f>
        <v>0</v>
      </c>
      <c r="LE18" s="15" t="str">
        <f>IF('Raw Data'!KS28="","",'Raw Data'!KS28)</f>
        <v/>
      </c>
      <c r="LF18" s="15" t="str">
        <f>IF('Raw Data'!KT28="","",'Raw Data'!KT28)</f>
        <v/>
      </c>
      <c r="LG18" s="15" t="str">
        <f>IF('Raw Data'!KU28="","",'Raw Data'!KU28)</f>
        <v/>
      </c>
      <c r="LH18" s="15" t="str">
        <f>IF('Raw Data'!KV28="","",'Raw Data'!KV28)</f>
        <v/>
      </c>
      <c r="LI18" s="15" t="str">
        <f>IF('Raw Data'!KW28="","",'Raw Data'!KW28)</f>
        <v/>
      </c>
      <c r="LJ18" s="15" t="str">
        <f>IF('Raw Data'!KX28="","",'Raw Data'!KX28)</f>
        <v/>
      </c>
      <c r="LK18" s="15" t="str">
        <f>IF('Raw Data'!KY28="","",'Raw Data'!KY28)</f>
        <v/>
      </c>
      <c r="LL18" s="15" t="str">
        <f>IF('Raw Data'!KZ28="","",'Raw Data'!KZ28)</f>
        <v/>
      </c>
      <c r="LM18" s="15" t="str">
        <f>IF('Raw Data'!LA28="","",'Raw Data'!LA28)</f>
        <v/>
      </c>
      <c r="LN18" s="15" t="str">
        <f>IF('Raw Data'!LB28="","",'Raw Data'!LB28)</f>
        <v>non</v>
      </c>
      <c r="LO18" s="15" t="str">
        <f>IF('Raw Data'!LC28="","",'Raw Data'!LC28)</f>
        <v/>
      </c>
      <c r="LP18" s="15" t="str">
        <f>IF('Raw Data'!LD28="","",'Raw Data'!LD28)</f>
        <v/>
      </c>
      <c r="LQ18" s="15" t="str">
        <f>IF('Raw Data'!LE28="","",'Raw Data'!LE28)</f>
        <v/>
      </c>
      <c r="LR18" s="15" t="str">
        <f>IF('Raw Data'!LF28="","",'Raw Data'!LF28)</f>
        <v/>
      </c>
      <c r="LS18" s="15" t="str">
        <f>IF('Raw Data'!LG28="","",'Raw Data'!LG28)</f>
        <v/>
      </c>
      <c r="LT18" s="15" t="str">
        <f>IF('Raw Data'!LH28="","",'Raw Data'!LH28)</f>
        <v/>
      </c>
      <c r="LU18" s="15" t="str">
        <f>IF('Raw Data'!LI28="","",'Raw Data'!LI28)</f>
        <v/>
      </c>
      <c r="LV18" s="15" t="str">
        <f>IF('Raw Data'!LJ28="","",'Raw Data'!LJ28)</f>
        <v/>
      </c>
      <c r="LW18" s="15" t="str">
        <f>IF('Raw Data'!LK28="","",'Raw Data'!LK28)</f>
        <v/>
      </c>
      <c r="LX18" s="15" t="str">
        <f>IF('Raw Data'!LL28="","",'Raw Data'!LL28)</f>
        <v/>
      </c>
      <c r="LY18" s="15" t="str">
        <f>IF('Raw Data'!LM28="","",'Raw Data'!LM28)</f>
        <v/>
      </c>
      <c r="LZ18" s="15" t="str">
        <f>IF('Raw Data'!LN28="","",'Raw Data'!LN28)</f>
        <v/>
      </c>
      <c r="MA18" s="15" t="str">
        <f>IF('Raw Data'!LO28="","",'Raw Data'!LO28)</f>
        <v/>
      </c>
      <c r="MB18" s="15" t="str">
        <f>IF('Raw Data'!LP28="","",'Raw Data'!LP28)</f>
        <v>oui</v>
      </c>
      <c r="MC18" s="15" t="str">
        <f>IF('Raw Data'!LQ28="","",'Raw Data'!LQ28)</f>
        <v/>
      </c>
      <c r="MD18" s="15" t="str">
        <f>IF('Raw Data'!LR28="","",'Raw Data'!LR28)</f>
        <v>Besoin de case de santé</v>
      </c>
      <c r="ME18" s="15">
        <f>IF('Raw Data'!LS28="","",'Raw Data'!LS28)</f>
        <v>169351669</v>
      </c>
      <c r="MF18" s="15" t="str">
        <f>IF('Raw Data'!LT28="","",'Raw Data'!LT28)</f>
        <v>a543808c-cb82-4e75-9a6e-6e92595b12e4</v>
      </c>
      <c r="MG18" s="15" t="str">
        <f>IF('Raw Data'!LU28="","",'Raw Data'!LU28)</f>
        <v>2021-04-02T19:02:07</v>
      </c>
      <c r="MH18" s="15" t="str">
        <f>IF('Raw Data'!LV28="","",'Raw Data'!LV28)</f>
        <v/>
      </c>
      <c r="MI18" s="15" t="str">
        <f>IF('Raw Data'!LW28="","",'Raw Data'!LW28)</f>
        <v>[]</v>
      </c>
      <c r="MJ18" s="15" t="str">
        <f>IF('Raw Data'!LX28="","",'Raw Data'!LX28)</f>
        <v>submitted_via_web</v>
      </c>
      <c r="MK18" s="15" t="str">
        <f>IF('Raw Data'!LY28="","",'Raw Data'!LY28)</f>
        <v>reach_niger</v>
      </c>
      <c r="ML18" s="15" t="str">
        <f>IF('Raw Data'!LZ28="","",'Raw Data'!LZ28)</f>
        <v/>
      </c>
      <c r="MM18" s="15">
        <f>IF('Raw Data'!MA28="","",'Raw Data'!MA28)</f>
        <v>29</v>
      </c>
    </row>
    <row r="19" spans="1:351" x14ac:dyDescent="0.3">
      <c r="A19" s="26" t="str">
        <f t="shared" si="0"/>
        <v>590d4d25-2b3c-4d68-93fc-06d004a5efe4</v>
      </c>
      <c r="B19" s="26" t="str">
        <f t="shared" si="1"/>
        <v>bankilare</v>
      </c>
      <c r="C19" s="26" t="str">
        <f t="shared" si="2"/>
        <v>E</v>
      </c>
      <c r="D19" s="14" t="str">
        <f>IF('Raw Data'!A29="","",'Raw Data'!A29)</f>
        <v>2021-04-02T13:35:31.112+01:00</v>
      </c>
      <c r="E19" s="14" t="str">
        <f>IF('Raw Data'!B29="","",'Raw Data'!B29)</f>
        <v>2021-04-02T13:53:52.439+01:00</v>
      </c>
      <c r="F19" s="30">
        <v>44288.566331018519</v>
      </c>
      <c r="G19" s="30">
        <v>44288.579074074078</v>
      </c>
      <c r="H19" s="29">
        <f>VLOOKUP(A19,Audit[#All],2,FALSE)</f>
        <v>18.36</v>
      </c>
      <c r="I19" s="29">
        <f>VLOOKUP(A19,Audit[#All],3,FALSE)</f>
        <v>18.260000000000002</v>
      </c>
      <c r="J19" s="29">
        <f>VLOOKUP(A19,Audit[#All],4,FALSE)</f>
        <v>17.11</v>
      </c>
      <c r="K19" s="29">
        <f>VLOOKUP(A19,nb_questions[#All],2,FALSE)</f>
        <v>155</v>
      </c>
      <c r="L19" s="29">
        <f t="shared" si="3"/>
        <v>107</v>
      </c>
      <c r="M19" s="14" t="str">
        <f>IF('Raw Data'!C29="","",'Raw Data'!C29)</f>
        <v>2021-04-02</v>
      </c>
      <c r="N19" s="14" t="str">
        <f>IF('Raw Data'!D29="","",'Raw Data'!D29)</f>
        <v/>
      </c>
      <c r="O19" s="14" t="str">
        <f>IF('Raw Data'!E29="","",'Raw Data'!E29)</f>
        <v/>
      </c>
      <c r="P19" s="29" t="str">
        <f>VLOOKUP(A19,code_enqueteurs[#All],3,FALSE)</f>
        <v>E</v>
      </c>
      <c r="Q19" s="29" t="s">
        <v>1650</v>
      </c>
      <c r="R19" s="14" t="str">
        <f>IF('Raw Data'!F29="","",'Raw Data'!F29)</f>
        <v>Homme</v>
      </c>
      <c r="S19" s="15" t="str">
        <f>IF('Raw Data'!G29="","",'Raw Data'!G29)</f>
        <v>bankilare</v>
      </c>
      <c r="T19" s="15" t="str">
        <f>IF('Raw Data'!H29="","",'Raw Data'!H29)</f>
        <v>bankilare</v>
      </c>
      <c r="U19" s="31" t="s">
        <v>1017</v>
      </c>
      <c r="V19" s="15" t="str">
        <f>IF('Raw Data'!J29="","",'Raw Data'!J29)</f>
        <v>Houberi</v>
      </c>
      <c r="W19" s="15" t="str">
        <f>IF('Raw Data'!K29="","",'Raw Data'!K29)</f>
        <v/>
      </c>
      <c r="X19" s="15" t="str">
        <f>IF('Raw Data'!L29="","",'Raw Data'!L29)</f>
        <v/>
      </c>
      <c r="Y19" s="15" t="str">
        <f>IF('Raw Data'!M29="","",'Raw Data'!M29)</f>
        <v/>
      </c>
      <c r="Z19" s="15" t="str">
        <f>IF('Raw Data'!N29="","",'Raw Data'!N29)</f>
        <v/>
      </c>
      <c r="AA19" s="15" t="str">
        <f>IF('Raw Data'!O29="","",'Raw Data'!O29)</f>
        <v/>
      </c>
      <c r="AB19" s="15" t="str">
        <f>IF('Raw Data'!P29="","",'Raw Data'!P29)</f>
        <v/>
      </c>
      <c r="AC19" s="15" t="str">
        <f>IF('Raw Data'!Q29="","",'Raw Data'!Q29)</f>
        <v/>
      </c>
      <c r="AD19" s="15" t="str">
        <f>IF('Raw Data'!R29="","",'Raw Data'!R29)</f>
        <v>Homme</v>
      </c>
      <c r="AE19" s="15" t="str">
        <f>IF('Raw Data'!S29="","",'Raw Data'!S29)</f>
        <v>59</v>
      </c>
      <c r="AF19" s="15" t="str">
        <f>IF('Raw Data'!T29="","",'Raw Data'!T29)</f>
        <v>deplace_interne</v>
      </c>
      <c r="AG19" s="15" t="str">
        <f>IF('Raw Data'!U29="","",'Raw Data'!U29)</f>
        <v/>
      </c>
      <c r="AH19" s="15" t="str">
        <f>IF('Raw Data'!V29="","",'Raw Data'!V29)</f>
        <v/>
      </c>
      <c r="AI19" s="15" t="str">
        <f>IF('Raw Data'!W29="","",'Raw Data'!W29)</f>
        <v/>
      </c>
      <c r="AJ19" s="15" t="str">
        <f>IF('Raw Data'!X29="","",'Raw Data'!X29)</f>
        <v/>
      </c>
      <c r="AK19" s="15" t="str">
        <f>IF('Raw Data'!Y29="","",'Raw Data'!Y29)</f>
        <v/>
      </c>
      <c r="AL19" s="15" t="str">
        <f>IF('Raw Data'!Z29="","",'Raw Data'!Z29)</f>
        <v>niger</v>
      </c>
      <c r="AM19" s="15" t="str">
        <f>IF('Raw Data'!AA29="","",'Raw Data'!AA29)</f>
        <v>tillaberi</v>
      </c>
      <c r="AN19" s="15" t="str">
        <f>IF('Raw Data'!AB29="","",'Raw Data'!AB29)</f>
        <v>bankilare</v>
      </c>
      <c r="AO19" s="15" t="str">
        <f>IF('Raw Data'!AC29="","",'Raw Data'!AC29)</f>
        <v/>
      </c>
      <c r="AP19" s="15" t="str">
        <f>IF('Raw Data'!AD29="","",'Raw Data'!AD29)</f>
        <v/>
      </c>
      <c r="AQ19" s="15" t="str">
        <f>IF('Raw Data'!AE29="","",'Raw Data'!AE29)</f>
        <v/>
      </c>
      <c r="AR19" s="15" t="str">
        <f>IF('Raw Data'!AF29="","",'Raw Data'!AF29)</f>
        <v/>
      </c>
      <c r="AS19" s="15" t="str">
        <f>IF('Raw Data'!AG29="","",'Raw Data'!AG29)</f>
        <v>oui</v>
      </c>
      <c r="AT19" s="15" t="str">
        <f>IF('Raw Data'!AH29="","",'Raw Data'!AH29)</f>
        <v>Disputes_intercommunataires Vols_braquages extorsions Violences_physique_civils Attaques_ecoles_sante</v>
      </c>
      <c r="AU19" s="15" t="str">
        <f>IF('Raw Data'!AI29="","",'Raw Data'!AI29)</f>
        <v>0</v>
      </c>
      <c r="AV19" s="15" t="str">
        <f>IF('Raw Data'!AJ29="","",'Raw Data'!AJ29)</f>
        <v>1</v>
      </c>
      <c r="AW19" s="15" t="str">
        <f>IF('Raw Data'!AK29="","",'Raw Data'!AK29)</f>
        <v>1</v>
      </c>
      <c r="AX19" s="15" t="str">
        <f>IF('Raw Data'!AL29="","",'Raw Data'!AL29)</f>
        <v>1</v>
      </c>
      <c r="AY19" s="15" t="str">
        <f>IF('Raw Data'!AM29="","",'Raw Data'!AM29)</f>
        <v>1</v>
      </c>
      <c r="AZ19" s="15" t="str">
        <f>IF('Raw Data'!AN29="","",'Raw Data'!AN29)</f>
        <v>0</v>
      </c>
      <c r="BA19" s="15" t="str">
        <f>IF('Raw Data'!AO29="","",'Raw Data'!AO29)</f>
        <v>0</v>
      </c>
      <c r="BB19" s="15" t="str">
        <f>IF('Raw Data'!AP29="","",'Raw Data'!AP29)</f>
        <v>1</v>
      </c>
      <c r="BC19" s="15" t="str">
        <f>IF('Raw Data'!AQ29="","",'Raw Data'!AQ29)</f>
        <v>0</v>
      </c>
      <c r="BD19" s="15" t="str">
        <f>IF('Raw Data'!AR29="","",'Raw Data'!AR29)</f>
        <v>0</v>
      </c>
      <c r="BE19" s="15" t="str">
        <f>IF('Raw Data'!AS29="","",'Raw Data'!AS29)</f>
        <v>0</v>
      </c>
      <c r="BF19" s="15" t="str">
        <f>IF('Raw Data'!AT29="","",'Raw Data'!AT29)</f>
        <v>0</v>
      </c>
      <c r="BG19" s="15" t="str">
        <f>IF('Raw Data'!AU29="","",'Raw Data'!AU29)</f>
        <v>0</v>
      </c>
      <c r="BH19" s="15" t="str">
        <f>IF('Raw Data'!AV29="","",'Raw Data'!AV29)</f>
        <v>0</v>
      </c>
      <c r="BI19" s="15" t="str">
        <f>IF('Raw Data'!AW29="","",'Raw Data'!AW29)</f>
        <v/>
      </c>
      <c r="BJ19" s="15" t="str">
        <f>IF('Raw Data'!AX29="","",'Raw Data'!AX29)</f>
        <v>Bebes/Bambins Enfants Filles Garçons Femmes</v>
      </c>
      <c r="BK19" s="15" t="str">
        <f>IF('Raw Data'!AY29="","",'Raw Data'!AY29)</f>
        <v>1</v>
      </c>
      <c r="BL19" s="15" t="str">
        <f>IF('Raw Data'!AZ29="","",'Raw Data'!AZ29)</f>
        <v>1</v>
      </c>
      <c r="BM19" s="15" t="str">
        <f>IF('Raw Data'!BA29="","",'Raw Data'!BA29)</f>
        <v>1</v>
      </c>
      <c r="BN19" s="15" t="str">
        <f>IF('Raw Data'!BB29="","",'Raw Data'!BB29)</f>
        <v>1</v>
      </c>
      <c r="BO19" s="15" t="str">
        <f>IF('Raw Data'!BC29="","",'Raw Data'!BC29)</f>
        <v>1</v>
      </c>
      <c r="BP19" s="15" t="str">
        <f>IF('Raw Data'!BD29="","",'Raw Data'!BD29)</f>
        <v>0</v>
      </c>
      <c r="BQ19" s="15" t="str">
        <f>IF('Raw Data'!BE29="","",'Raw Data'!BE29)</f>
        <v>0</v>
      </c>
      <c r="BR19" s="15" t="str">
        <f>IF('Raw Data'!BF29="","",'Raw Data'!BF29)</f>
        <v>0</v>
      </c>
      <c r="BS19" s="15" t="str">
        <f>IF('Raw Data'!BG29="","",'Raw Data'!BG29)</f>
        <v>0</v>
      </c>
      <c r="BT19" s="15" t="str">
        <f>IF('Raw Data'!BH29="","",'Raw Data'!BH29)</f>
        <v>0</v>
      </c>
      <c r="BU19" s="15" t="str">
        <f>IF('Raw Data'!BI29="","",'Raw Data'!BI29)</f>
        <v>0</v>
      </c>
      <c r="BV19" s="15" t="str">
        <f>IF('Raw Data'!BJ29="","",'Raw Data'!BJ29)</f>
        <v>0</v>
      </c>
      <c r="BW19" s="15" t="str">
        <f>IF('Raw Data'!BK29="","",'Raw Data'!BK29)</f>
        <v>0</v>
      </c>
      <c r="BX19" s="15" t="str">
        <f>IF('Raw Data'!BL29="","",'Raw Data'!BL29)</f>
        <v>0</v>
      </c>
      <c r="BY19" s="15" t="str">
        <f>IF('Raw Data'!BM29="","",'Raw Data'!BM29)</f>
        <v/>
      </c>
      <c r="BZ19" s="15" t="str">
        <f>IF('Raw Data'!BN29="","",'Raw Data'!BN29)</f>
        <v>5</v>
      </c>
      <c r="CA19" s="15" t="str">
        <f>IF('Raw Data'!BO29="","",'Raw Data'!BO29)</f>
        <v>augmente</v>
      </c>
      <c r="CB19" s="15" t="str">
        <f>IF('Raw Data'!BP29="","",'Raw Data'!BP29)</f>
        <v/>
      </c>
      <c r="CC19" s="15" t="str">
        <f>IF('Raw Data'!BQ29="","",'Raw Data'!BQ29)</f>
        <v>oui</v>
      </c>
      <c r="CD19" s="15" t="str">
        <f>IF('Raw Data'!BR29="","",'Raw Data'!BR29)</f>
        <v>agression_physique agression_psychologique exploitations_enfant menace enscrimination_acces_services</v>
      </c>
      <c r="CE19" s="15" t="str">
        <f>IF('Raw Data'!BS29="","",'Raw Data'!BS29)</f>
        <v>0</v>
      </c>
      <c r="CF19" s="15" t="str">
        <f>IF('Raw Data'!BT29="","",'Raw Data'!BT29)</f>
        <v>0</v>
      </c>
      <c r="CG19" s="15" t="str">
        <f>IF('Raw Data'!BU29="","",'Raw Data'!BU29)</f>
        <v>1</v>
      </c>
      <c r="CH19" s="15" t="str">
        <f>IF('Raw Data'!BV29="","",'Raw Data'!BV29)</f>
        <v>0</v>
      </c>
      <c r="CI19" s="15" t="str">
        <f>IF('Raw Data'!BW29="","",'Raw Data'!BW29)</f>
        <v>1</v>
      </c>
      <c r="CJ19" s="15" t="str">
        <f>IF('Raw Data'!BX29="","",'Raw Data'!BX29)</f>
        <v>0</v>
      </c>
      <c r="CK19" s="15" t="str">
        <f>IF('Raw Data'!BY29="","",'Raw Data'!BY29)</f>
        <v>0</v>
      </c>
      <c r="CL19" s="15" t="str">
        <f>IF('Raw Data'!BZ29="","",'Raw Data'!BZ29)</f>
        <v>0</v>
      </c>
      <c r="CM19" s="15" t="str">
        <f>IF('Raw Data'!CA29="","",'Raw Data'!CA29)</f>
        <v>1</v>
      </c>
      <c r="CN19" s="15" t="str">
        <f>IF('Raw Data'!CB29="","",'Raw Data'!CB29)</f>
        <v>0</v>
      </c>
      <c r="CO19" s="15" t="str">
        <f>IF('Raw Data'!CC29="","",'Raw Data'!CC29)</f>
        <v>1</v>
      </c>
      <c r="CP19" s="15" t="str">
        <f>IF('Raw Data'!CD29="","",'Raw Data'!CD29)</f>
        <v>1</v>
      </c>
      <c r="CQ19" s="15" t="str">
        <f>IF('Raw Data'!CE29="","",'Raw Data'!CE29)</f>
        <v>0</v>
      </c>
      <c r="CR19" s="15" t="str">
        <f>IF('Raw Data'!CF29="","",'Raw Data'!CF29)</f>
        <v>0</v>
      </c>
      <c r="CS19" s="15" t="str">
        <f>IF('Raw Data'!CG29="","",'Raw Data'!CG29)</f>
        <v>0</v>
      </c>
      <c r="CT19" s="15" t="str">
        <f>IF('Raw Data'!CH29="","",'Raw Data'!CH29)</f>
        <v/>
      </c>
      <c r="CU19" s="15" t="str">
        <f>IF('Raw Data'!CI29="","",'Raw Data'!CI29)</f>
        <v>Bebes/Bambins Enfants Filles Garçons Femmes</v>
      </c>
      <c r="CV19" s="15" t="str">
        <f>IF('Raw Data'!CJ29="","",'Raw Data'!CJ29)</f>
        <v>1</v>
      </c>
      <c r="CW19" s="15" t="str">
        <f>IF('Raw Data'!CK29="","",'Raw Data'!CK29)</f>
        <v>1</v>
      </c>
      <c r="CX19" s="15" t="str">
        <f>IF('Raw Data'!CL29="","",'Raw Data'!CL29)</f>
        <v>1</v>
      </c>
      <c r="CY19" s="15" t="str">
        <f>IF('Raw Data'!CM29="","",'Raw Data'!CM29)</f>
        <v>1</v>
      </c>
      <c r="CZ19" s="15" t="str">
        <f>IF('Raw Data'!CN29="","",'Raw Data'!CN29)</f>
        <v>1</v>
      </c>
      <c r="DA19" s="15" t="str">
        <f>IF('Raw Data'!CO29="","",'Raw Data'!CO29)</f>
        <v>0</v>
      </c>
      <c r="DB19" s="15" t="str">
        <f>IF('Raw Data'!CP29="","",'Raw Data'!CP29)</f>
        <v>0</v>
      </c>
      <c r="DC19" s="15" t="str">
        <f>IF('Raw Data'!CQ29="","",'Raw Data'!CQ29)</f>
        <v>0</v>
      </c>
      <c r="DD19" s="15" t="str">
        <f>IF('Raw Data'!CR29="","",'Raw Data'!CR29)</f>
        <v>0</v>
      </c>
      <c r="DE19" s="15" t="str">
        <f>IF('Raw Data'!CS29="","",'Raw Data'!CS29)</f>
        <v>0</v>
      </c>
      <c r="DF19" s="15" t="str">
        <f>IF('Raw Data'!CT29="","",'Raw Data'!CT29)</f>
        <v>0</v>
      </c>
      <c r="DG19" s="15" t="str">
        <f>IF('Raw Data'!CU29="","",'Raw Data'!CU29)</f>
        <v>0</v>
      </c>
      <c r="DH19" s="15" t="str">
        <f>IF('Raw Data'!CV29="","",'Raw Data'!CV29)</f>
        <v>0</v>
      </c>
      <c r="DI19" s="15" t="str">
        <f>IF('Raw Data'!CW29="","",'Raw Data'!CW29)</f>
        <v>0</v>
      </c>
      <c r="DJ19" s="15" t="str">
        <f>IF('Raw Data'!CX29="","",'Raw Data'!CX29)</f>
        <v/>
      </c>
      <c r="DK19" s="15" t="str">
        <f>IF('Raw Data'!CY29="","",'Raw Data'!CY29)</f>
        <v>5</v>
      </c>
      <c r="DL19" s="15" t="str">
        <f>IF('Raw Data'!CZ29="","",'Raw Data'!CZ29)</f>
        <v>augmente</v>
      </c>
      <c r="DM19" s="15" t="str">
        <f>IF('Raw Data'!DA29="","",'Raw Data'!DA29)</f>
        <v/>
      </c>
      <c r="DN19" s="15" t="str">
        <f>IF('Raw Data'!DB29="","",'Raw Data'!DB29)</f>
        <v>diminution_moyens_existence deterioration_con_abris deterioration_acces_service_base</v>
      </c>
      <c r="DO19" s="15" t="str">
        <f>IF('Raw Data'!DC29="","",'Raw Data'!DC29)</f>
        <v>1</v>
      </c>
      <c r="DP19" s="15" t="str">
        <f>IF('Raw Data'!DD29="","",'Raw Data'!DD29)</f>
        <v>1</v>
      </c>
      <c r="DQ19" s="15" t="str">
        <f>IF('Raw Data'!DE29="","",'Raw Data'!DE29)</f>
        <v>1</v>
      </c>
      <c r="DR19" s="15" t="str">
        <f>IF('Raw Data'!DF29="","",'Raw Data'!DF29)</f>
        <v>0</v>
      </c>
      <c r="DS19" s="15" t="str">
        <f>IF('Raw Data'!DG29="","",'Raw Data'!DG29)</f>
        <v>0</v>
      </c>
      <c r="DT19" s="15" t="str">
        <f>IF('Raw Data'!DH29="","",'Raw Data'!DH29)</f>
        <v>0</v>
      </c>
      <c r="DU19" s="15" t="str">
        <f>IF('Raw Data'!DI29="","",'Raw Data'!DI29)</f>
        <v>0</v>
      </c>
      <c r="DV19" s="15" t="str">
        <f>IF('Raw Data'!DJ29="","",'Raw Data'!DJ29)</f>
        <v>0</v>
      </c>
      <c r="DW19" s="15" t="str">
        <f>IF('Raw Data'!DK29="","",'Raw Data'!DK29)</f>
        <v>0</v>
      </c>
      <c r="DX19" s="15" t="str">
        <f>IF('Raw Data'!DL29="","",'Raw Data'!DL29)</f>
        <v>0</v>
      </c>
      <c r="DY19" s="15" t="str">
        <f>IF('Raw Data'!DM29="","",'Raw Data'!DM29)</f>
        <v/>
      </c>
      <c r="DZ19" s="15" t="str">
        <f>IF('Raw Data'!DN29="","",'Raw Data'!DN29)</f>
        <v/>
      </c>
      <c r="EA19" s="15" t="str">
        <f>IF('Raw Data'!DO29="","",'Raw Data'!DO29)</f>
        <v/>
      </c>
      <c r="EB19" s="15" t="str">
        <f>IF('Raw Data'!DP29="","",'Raw Data'!DP29)</f>
        <v/>
      </c>
      <c r="EC19" s="15" t="str">
        <f>IF('Raw Data'!DQ29="","",'Raw Data'!DQ29)</f>
        <v/>
      </c>
      <c r="ED19" s="15" t="str">
        <f>IF('Raw Data'!DR29="","",'Raw Data'!DR29)</f>
        <v/>
      </c>
      <c r="EE19" s="15" t="str">
        <f>IF('Raw Data'!DS29="","",'Raw Data'!DS29)</f>
        <v/>
      </c>
      <c r="EF19" s="15" t="str">
        <f>IF('Raw Data'!DT29="","",'Raw Data'!DT29)</f>
        <v/>
      </c>
      <c r="EG19" s="15" t="str">
        <f>IF('Raw Data'!DU29="","",'Raw Data'!DU29)</f>
        <v/>
      </c>
      <c r="EH19" s="15" t="str">
        <f>IF('Raw Data'!DV29="","",'Raw Data'!DV29)</f>
        <v/>
      </c>
      <c r="EI19" s="15" t="str">
        <f>IF('Raw Data'!DW29="","",'Raw Data'!DW29)</f>
        <v/>
      </c>
      <c r="EJ19" s="15" t="str">
        <f>IF('Raw Data'!DX29="","",'Raw Data'!DX29)</f>
        <v/>
      </c>
      <c r="EK19" s="15" t="str">
        <f>IF('Raw Data'!DY29="","",'Raw Data'!DY29)</f>
        <v/>
      </c>
      <c r="EL19" s="15" t="str">
        <f>IF('Raw Data'!DZ29="","",'Raw Data'!DZ29)</f>
        <v>Integration_com_hote Soutien_famille_amis dplct_abords_com</v>
      </c>
      <c r="EM19" s="15" t="str">
        <f>IF('Raw Data'!EA29="","",'Raw Data'!EA29)</f>
        <v>1</v>
      </c>
      <c r="EN19" s="15" t="str">
        <f>IF('Raw Data'!EB29="","",'Raw Data'!EB29)</f>
        <v>1</v>
      </c>
      <c r="EO19" s="15" t="str">
        <f>IF('Raw Data'!EC29="","",'Raw Data'!EC29)</f>
        <v>1</v>
      </c>
      <c r="EP19" s="15" t="str">
        <f>IF('Raw Data'!ED29="","",'Raw Data'!ED29)</f>
        <v>0</v>
      </c>
      <c r="EQ19" s="15" t="str">
        <f>IF('Raw Data'!EE29="","",'Raw Data'!EE29)</f>
        <v>0</v>
      </c>
      <c r="ER19" s="15" t="str">
        <f>IF('Raw Data'!EF29="","",'Raw Data'!EF29)</f>
        <v>0</v>
      </c>
      <c r="ES19" s="15" t="str">
        <f>IF('Raw Data'!EG29="","",'Raw Data'!EG29)</f>
        <v>0</v>
      </c>
      <c r="ET19" s="15" t="str">
        <f>IF('Raw Data'!EH29="","",'Raw Data'!EH29)</f>
        <v>0</v>
      </c>
      <c r="EU19" s="15" t="str">
        <f>IF('Raw Data'!EI29="","",'Raw Data'!EI29)</f>
        <v>0</v>
      </c>
      <c r="EV19" s="15" t="str">
        <f>IF('Raw Data'!EJ29="","",'Raw Data'!EJ29)</f>
        <v/>
      </c>
      <c r="EW19" s="15" t="str">
        <f>IF('Raw Data'!EK29="","",'Raw Data'!EK29)</f>
        <v/>
      </c>
      <c r="EX19" s="15" t="str">
        <f>IF('Raw Data'!EL29="","",'Raw Data'!EL29)</f>
        <v>comite_protection famille_accueil comite_redevabilite</v>
      </c>
      <c r="EY19" s="15" t="str">
        <f>IF('Raw Data'!EM29="","",'Raw Data'!EM29)</f>
        <v>0</v>
      </c>
      <c r="EZ19" s="15" t="str">
        <f>IF('Raw Data'!EN29="","",'Raw Data'!EN29)</f>
        <v>1</v>
      </c>
      <c r="FA19" s="15" t="str">
        <f>IF('Raw Data'!EO29="","",'Raw Data'!EO29)</f>
        <v>1</v>
      </c>
      <c r="FB19" s="15" t="str">
        <f>IF('Raw Data'!EP29="","",'Raw Data'!EP29)</f>
        <v>0</v>
      </c>
      <c r="FC19" s="15" t="str">
        <f>IF('Raw Data'!EQ29="","",'Raw Data'!EQ29)</f>
        <v>1</v>
      </c>
      <c r="FD19" s="15" t="str">
        <f>IF('Raw Data'!ER29="","",'Raw Data'!ER29)</f>
        <v>0</v>
      </c>
      <c r="FE19" s="15" t="str">
        <f>IF('Raw Data'!ES29="","",'Raw Data'!ES29)</f>
        <v>0</v>
      </c>
      <c r="FF19" s="15" t="str">
        <f>IF('Raw Data'!ET29="","",'Raw Data'!ET29)</f>
        <v>0</v>
      </c>
      <c r="FG19" s="15" t="str">
        <f>IF('Raw Data'!EU29="","",'Raw Data'!EU29)</f>
        <v>0</v>
      </c>
      <c r="FH19" s="15" t="str">
        <f>IF('Raw Data'!EV29="","",'Raw Data'!EV29)</f>
        <v>0</v>
      </c>
      <c r="FI19" s="15" t="str">
        <f>IF('Raw Data'!EW29="","",'Raw Data'!EW29)</f>
        <v/>
      </c>
      <c r="FJ19" s="15" t="str">
        <f>IF('Raw Data'!EX29="","",'Raw Data'!EX29)</f>
        <v>non</v>
      </c>
      <c r="FK19" s="15" t="str">
        <f>IF('Raw Data'!EY29="","",'Raw Data'!EY29)</f>
        <v/>
      </c>
      <c r="FL19" s="15" t="str">
        <f>IF('Raw Data'!EZ29="","",'Raw Data'!EZ29)</f>
        <v/>
      </c>
      <c r="FM19" s="15" t="str">
        <f>IF('Raw Data'!FA29="","",'Raw Data'!FA29)</f>
        <v/>
      </c>
      <c r="FN19" s="15" t="str">
        <f>IF('Raw Data'!FB29="","",'Raw Data'!FB29)</f>
        <v/>
      </c>
      <c r="FO19" s="15" t="str">
        <f>IF('Raw Data'!FC29="","",'Raw Data'!FC29)</f>
        <v/>
      </c>
      <c r="FP19" s="15" t="str">
        <f>IF('Raw Data'!FD29="","",'Raw Data'!FD29)</f>
        <v/>
      </c>
      <c r="FQ19" s="15" t="str">
        <f>IF('Raw Data'!FE29="","",'Raw Data'!FE29)</f>
        <v/>
      </c>
      <c r="FR19" s="15" t="str">
        <f>IF('Raw Data'!FF29="","",'Raw Data'!FF29)</f>
        <v/>
      </c>
      <c r="FS19" s="15" t="str">
        <f>IF('Raw Data'!FG29="","",'Raw Data'!FG29)</f>
        <v/>
      </c>
      <c r="FT19" s="15" t="str">
        <f>IF('Raw Data'!FH29="","",'Raw Data'!FH29)</f>
        <v/>
      </c>
      <c r="FU19" s="15" t="str">
        <f>IF('Raw Data'!FI29="","",'Raw Data'!FI29)</f>
        <v/>
      </c>
      <c r="FV19" s="15" t="str">
        <f>IF('Raw Data'!FJ29="","",'Raw Data'!FJ29)</f>
        <v/>
      </c>
      <c r="FW19" s="15" t="str">
        <f>IF('Raw Data'!FK29="","",'Raw Data'!FK29)</f>
        <v/>
      </c>
      <c r="FX19" s="15" t="str">
        <f>IF('Raw Data'!FL29="","",'Raw Data'!FL29)</f>
        <v/>
      </c>
      <c r="FY19" s="15" t="str">
        <f>IF('Raw Data'!FM29="","",'Raw Data'!FM29)</f>
        <v/>
      </c>
      <c r="FZ19" s="15" t="str">
        <f>IF('Raw Data'!FN29="","",'Raw Data'!FN29)</f>
        <v/>
      </c>
      <c r="GA19" s="15" t="str">
        <f>IF('Raw Data'!FO29="","",'Raw Data'!FO29)</f>
        <v/>
      </c>
      <c r="GB19" s="15" t="str">
        <f>IF('Raw Data'!FP29="","",'Raw Data'!FP29)</f>
        <v/>
      </c>
      <c r="GC19" s="15" t="str">
        <f>IF('Raw Data'!FQ29="","",'Raw Data'!FQ29)</f>
        <v/>
      </c>
      <c r="GD19" s="15" t="str">
        <f>IF('Raw Data'!FR29="","",'Raw Data'!FR29)</f>
        <v/>
      </c>
      <c r="GE19" s="15" t="str">
        <f>IF('Raw Data'!FS29="","",'Raw Data'!FS29)</f>
        <v/>
      </c>
      <c r="GF19" s="15" t="str">
        <f>IF('Raw Data'!FT29="","",'Raw Data'!FT29)</f>
        <v/>
      </c>
      <c r="GG19" s="15" t="str">
        <f>IF('Raw Data'!FU29="","",'Raw Data'!FU29)</f>
        <v/>
      </c>
      <c r="GH19" s="15" t="str">
        <f>IF('Raw Data'!FV29="","",'Raw Data'!FV29)</f>
        <v/>
      </c>
      <c r="GI19" s="15" t="str">
        <f>IF('Raw Data'!FW29="","",'Raw Data'!FW29)</f>
        <v/>
      </c>
      <c r="GJ19" s="15" t="str">
        <f>IF('Raw Data'!FX29="","",'Raw Data'!FX29)</f>
        <v/>
      </c>
      <c r="GK19" s="15" t="str">
        <f>IF('Raw Data'!FY29="","",'Raw Data'!FY29)</f>
        <v/>
      </c>
      <c r="GL19" s="15" t="str">
        <f>IF('Raw Data'!FZ29="","",'Raw Data'!FZ29)</f>
        <v/>
      </c>
      <c r="GM19" s="15" t="str">
        <f>IF('Raw Data'!GA29="","",'Raw Data'!GA29)</f>
        <v/>
      </c>
      <c r="GN19" s="15" t="str">
        <f>IF('Raw Data'!GB29="","",'Raw Data'!GB29)</f>
        <v/>
      </c>
      <c r="GO19" s="15" t="str">
        <f>IF('Raw Data'!GC29="","",'Raw Data'!GC29)</f>
        <v/>
      </c>
      <c r="GP19" s="15" t="str">
        <f>IF('Raw Data'!GD29="","",'Raw Data'!GD29)</f>
        <v/>
      </c>
      <c r="GQ19" s="15" t="str">
        <f>IF('Raw Data'!GE29="","",'Raw Data'!GE29)</f>
        <v/>
      </c>
      <c r="GR19" s="15" t="str">
        <f>IF('Raw Data'!GF29="","",'Raw Data'!GF29)</f>
        <v/>
      </c>
      <c r="GS19" s="15" t="str">
        <f>IF('Raw Data'!GG29="","",'Raw Data'!GG29)</f>
        <v/>
      </c>
      <c r="GT19" s="15" t="str">
        <f>IF('Raw Data'!GH29="","",'Raw Data'!GH29)</f>
        <v/>
      </c>
      <c r="GU19" s="15" t="str">
        <f>IF('Raw Data'!GI29="","",'Raw Data'!GI29)</f>
        <v/>
      </c>
      <c r="GV19" s="15" t="str">
        <f>IF('Raw Data'!GJ29="","",'Raw Data'!GJ29)</f>
        <v/>
      </c>
      <c r="GW19" s="15" t="str">
        <f>IF('Raw Data'!GK29="","",'Raw Data'!GK29)</f>
        <v/>
      </c>
      <c r="GX19" s="15" t="str">
        <f>IF('Raw Data'!GL29="","",'Raw Data'!GL29)</f>
        <v/>
      </c>
      <c r="GY19" s="15" t="str">
        <f>IF('Raw Data'!GM29="","",'Raw Data'!GM29)</f>
        <v/>
      </c>
      <c r="GZ19" s="31"/>
      <c r="HA19" s="31"/>
      <c r="HB19" s="31"/>
      <c r="HC19" s="31"/>
      <c r="HD19" s="31"/>
      <c r="HE19" s="31"/>
      <c r="HF19" s="31"/>
      <c r="HG19" s="31"/>
      <c r="HH19" s="31"/>
      <c r="HI19" s="31"/>
      <c r="HJ19" s="31"/>
      <c r="HK19" s="15" t="str">
        <f>IF('Raw Data'!GY29="","",'Raw Data'!GY29)</f>
        <v/>
      </c>
      <c r="HL19" s="31"/>
      <c r="HM19" s="31"/>
      <c r="HN19" s="31"/>
      <c r="HO19" s="31"/>
      <c r="HP19" s="31"/>
      <c r="HQ19" s="31"/>
      <c r="HR19" s="31"/>
      <c r="HS19" s="15" t="str">
        <f>IF('Raw Data'!HG29="","",'Raw Data'!HG29)</f>
        <v/>
      </c>
      <c r="HT19" s="15" t="str">
        <f>IF('Raw Data'!HH29="","",'Raw Data'!HH29)</f>
        <v/>
      </c>
      <c r="HU19" s="15" t="str">
        <f>IF('Raw Data'!HI29="","",'Raw Data'!HI29)</f>
        <v>non</v>
      </c>
      <c r="HV19" s="15" t="str">
        <f>IF('Raw Data'!HJ29="","",'Raw Data'!HJ29)</f>
        <v/>
      </c>
      <c r="HW19" s="15" t="str">
        <f>IF('Raw Data'!HK29="","",'Raw Data'!HK29)</f>
        <v/>
      </c>
      <c r="HX19" s="15" t="str">
        <f>IF('Raw Data'!HL29="","",'Raw Data'!HL29)</f>
        <v/>
      </c>
      <c r="HY19" s="15" t="str">
        <f>IF('Raw Data'!HM29="","",'Raw Data'!HM29)</f>
        <v/>
      </c>
      <c r="HZ19" s="15" t="str">
        <f>IF('Raw Data'!HN29="","",'Raw Data'!HN29)</f>
        <v/>
      </c>
      <c r="IA19" s="15" t="str">
        <f>IF('Raw Data'!HO29="","",'Raw Data'!HO29)</f>
        <v/>
      </c>
      <c r="IB19" s="15" t="str">
        <f>IF('Raw Data'!HP29="","",'Raw Data'!HP29)</f>
        <v/>
      </c>
      <c r="IC19" s="15" t="str">
        <f>IF('Raw Data'!HQ29="","",'Raw Data'!HQ29)</f>
        <v/>
      </c>
      <c r="ID19" s="15" t="str">
        <f>IF('Raw Data'!HR29="","",'Raw Data'!HR29)</f>
        <v/>
      </c>
      <c r="IE19" s="15" t="str">
        <f>IF('Raw Data'!HS29="","",'Raw Data'!HS29)</f>
        <v/>
      </c>
      <c r="IF19" s="15" t="str">
        <f>IF('Raw Data'!HT29="","",'Raw Data'!HT29)</f>
        <v/>
      </c>
      <c r="IG19" s="15" t="str">
        <f>IF('Raw Data'!HU29="","",'Raw Data'!HU29)</f>
        <v/>
      </c>
      <c r="IH19" s="15" t="str">
        <f>IF('Raw Data'!HV29="","",'Raw Data'!HV29)</f>
        <v>oui</v>
      </c>
      <c r="II19" s="15" t="str">
        <f>IF('Raw Data'!HW29="","",'Raw Data'!HW29)</f>
        <v/>
      </c>
      <c r="IJ19" s="15" t="str">
        <f>IF('Raw Data'!HX29="","",'Raw Data'!HX29)</f>
        <v>Bebes/Bambins Enfants Filles Garçons Femmes</v>
      </c>
      <c r="IK19" s="15" t="str">
        <f>IF('Raw Data'!HY29="","",'Raw Data'!HY29)</f>
        <v>1</v>
      </c>
      <c r="IL19" s="15" t="str">
        <f>IF('Raw Data'!HZ29="","",'Raw Data'!HZ29)</f>
        <v>1</v>
      </c>
      <c r="IM19" s="15" t="str">
        <f>IF('Raw Data'!IA29="","",'Raw Data'!IA29)</f>
        <v>1</v>
      </c>
      <c r="IN19" s="15" t="str">
        <f>IF('Raw Data'!IB29="","",'Raw Data'!IB29)</f>
        <v>1</v>
      </c>
      <c r="IO19" s="15" t="str">
        <f>IF('Raw Data'!IC29="","",'Raw Data'!IC29)</f>
        <v>1</v>
      </c>
      <c r="IP19" s="15" t="str">
        <f>IF('Raw Data'!ID29="","",'Raw Data'!ID29)</f>
        <v>0</v>
      </c>
      <c r="IQ19" s="15" t="str">
        <f>IF('Raw Data'!IE29="","",'Raw Data'!IE29)</f>
        <v>0</v>
      </c>
      <c r="IR19" s="15" t="str">
        <f>IF('Raw Data'!IF29="","",'Raw Data'!IF29)</f>
        <v>0</v>
      </c>
      <c r="IS19" s="15" t="str">
        <f>IF('Raw Data'!IG29="","",'Raw Data'!IG29)</f>
        <v>0</v>
      </c>
      <c r="IT19" s="15" t="str">
        <f>IF('Raw Data'!IH29="","",'Raw Data'!IH29)</f>
        <v>0</v>
      </c>
      <c r="IU19" s="15" t="str">
        <f>IF('Raw Data'!II29="","",'Raw Data'!II29)</f>
        <v>0</v>
      </c>
      <c r="IV19" s="15" t="str">
        <f>IF('Raw Data'!IJ29="","",'Raw Data'!IJ29)</f>
        <v>0</v>
      </c>
      <c r="IW19" s="15" t="str">
        <f>IF('Raw Data'!IK29="","",'Raw Data'!IK29)</f>
        <v>0</v>
      </c>
      <c r="IX19" s="15" t="str">
        <f>IF('Raw Data'!IL29="","",'Raw Data'!IL29)</f>
        <v>0</v>
      </c>
      <c r="IY19" s="15" t="str">
        <f>IF('Raw Data'!IM29="","",'Raw Data'!IM29)</f>
        <v/>
      </c>
      <c r="IZ19" s="15" t="str">
        <f>IF('Raw Data'!IN29="","",'Raw Data'!IN29)</f>
        <v>6</v>
      </c>
      <c r="JA19" s="31" t="s">
        <v>1627</v>
      </c>
      <c r="JB19" s="31" t="s">
        <v>1627</v>
      </c>
      <c r="JC19" s="31" t="s">
        <v>1627</v>
      </c>
      <c r="JD19" s="31" t="s">
        <v>1627</v>
      </c>
      <c r="JE19" s="31" t="s">
        <v>1627</v>
      </c>
      <c r="JF19" s="31" t="s">
        <v>1627</v>
      </c>
      <c r="JG19" s="31" t="s">
        <v>1627</v>
      </c>
      <c r="JH19" s="31" t="s">
        <v>1627</v>
      </c>
      <c r="JI19" s="31" t="s">
        <v>1627</v>
      </c>
      <c r="JJ19" s="31" t="s">
        <v>1627</v>
      </c>
      <c r="JK19" s="31" t="s">
        <v>1627</v>
      </c>
      <c r="JL19" s="15" t="str">
        <f>IF('Raw Data'!IZ29="","",'Raw Data'!IZ29)</f>
        <v/>
      </c>
      <c r="JM19" s="15" t="str">
        <f>IF('Raw Data'!JA29="","",'Raw Data'!JA29)</f>
        <v>prise_enchage reorientation signalement</v>
      </c>
      <c r="JN19" s="15" t="str">
        <f>IF('Raw Data'!JB29="","",'Raw Data'!JB29)</f>
        <v>1</v>
      </c>
      <c r="JO19" s="15" t="str">
        <f>IF('Raw Data'!JC29="","",'Raw Data'!JC29)</f>
        <v>1</v>
      </c>
      <c r="JP19" s="15" t="str">
        <f>IF('Raw Data'!JD29="","",'Raw Data'!JD29)</f>
        <v>1</v>
      </c>
      <c r="JQ19" s="15" t="str">
        <f>IF('Raw Data'!JE29="","",'Raw Data'!JE29)</f>
        <v>0</v>
      </c>
      <c r="JR19" s="15" t="str">
        <f>IF('Raw Data'!JF29="","",'Raw Data'!JF29)</f>
        <v>0</v>
      </c>
      <c r="JS19" s="15" t="str">
        <f>IF('Raw Data'!JG29="","",'Raw Data'!JG29)</f>
        <v>0</v>
      </c>
      <c r="JT19" s="15" t="str">
        <f>IF('Raw Data'!JH29="","",'Raw Data'!JH29)</f>
        <v/>
      </c>
      <c r="JU19" s="15" t="str">
        <f>IF('Raw Data'!JI29="","",'Raw Data'!JI29)</f>
        <v>reinsertion surete point_ecoute medical Psychosocia</v>
      </c>
      <c r="JV19" s="15" t="str">
        <f>IF('Raw Data'!JJ29="","",'Raw Data'!JJ29)</f>
        <v>1</v>
      </c>
      <c r="JW19" s="15" t="str">
        <f>IF('Raw Data'!JK29="","",'Raw Data'!JK29)</f>
        <v>1</v>
      </c>
      <c r="JX19" s="15" t="str">
        <f>IF('Raw Data'!JL29="","",'Raw Data'!JL29)</f>
        <v>1</v>
      </c>
      <c r="JY19" s="15" t="str">
        <f>IF('Raw Data'!JM29="","",'Raw Data'!JM29)</f>
        <v>0</v>
      </c>
      <c r="JZ19" s="15" t="str">
        <f>IF('Raw Data'!JN29="","",'Raw Data'!JN29)</f>
        <v>1</v>
      </c>
      <c r="KA19" s="15" t="str">
        <f>IF('Raw Data'!JO29="","",'Raw Data'!JO29)</f>
        <v>1</v>
      </c>
      <c r="KB19" s="15" t="str">
        <f>IF('Raw Data'!JP29="","",'Raw Data'!JP29)</f>
        <v>0</v>
      </c>
      <c r="KC19" s="15" t="str">
        <f>IF('Raw Data'!JQ29="","",'Raw Data'!JQ29)</f>
        <v>0</v>
      </c>
      <c r="KD19" s="15" t="str">
        <f>IF('Raw Data'!JR29="","",'Raw Data'!JR29)</f>
        <v>0</v>
      </c>
      <c r="KE19" s="15" t="str">
        <f>IF('Raw Data'!JS29="","",'Raw Data'!JS29)</f>
        <v/>
      </c>
      <c r="KF19" s="15" t="str">
        <f>IF('Raw Data'!JT29="","",'Raw Data'!JT29)</f>
        <v>medical Psychosocia point_ecoute surete reinsertion</v>
      </c>
      <c r="KG19" s="15" t="str">
        <f>IF('Raw Data'!JU29="","",'Raw Data'!JU29)</f>
        <v>1</v>
      </c>
      <c r="KH19" s="15" t="str">
        <f>IF('Raw Data'!JV29="","",'Raw Data'!JV29)</f>
        <v>1</v>
      </c>
      <c r="KI19" s="15" t="str">
        <f>IF('Raw Data'!JW29="","",'Raw Data'!JW29)</f>
        <v>1</v>
      </c>
      <c r="KJ19" s="15" t="str">
        <f>IF('Raw Data'!JX29="","",'Raw Data'!JX29)</f>
        <v>0</v>
      </c>
      <c r="KK19" s="15" t="str">
        <f>IF('Raw Data'!JY29="","",'Raw Data'!JY29)</f>
        <v>1</v>
      </c>
      <c r="KL19" s="15" t="str">
        <f>IF('Raw Data'!JZ29="","",'Raw Data'!JZ29)</f>
        <v>1</v>
      </c>
      <c r="KM19" s="15" t="str">
        <f>IF('Raw Data'!KA29="","",'Raw Data'!KA29)</f>
        <v>0</v>
      </c>
      <c r="KN19" s="15" t="str">
        <f>IF('Raw Data'!KB29="","",'Raw Data'!KB29)</f>
        <v>0</v>
      </c>
      <c r="KO19" s="15" t="str">
        <f>IF('Raw Data'!KC29="","",'Raw Data'!KC29)</f>
        <v>0</v>
      </c>
      <c r="KP19" s="15" t="str">
        <f>IF('Raw Data'!KD29="","",'Raw Data'!KD29)</f>
        <v/>
      </c>
      <c r="KQ19" s="15" t="str">
        <f>IF('Raw Data'!KE29="","",'Raw Data'!KE29)</f>
        <v/>
      </c>
      <c r="KR19" s="15" t="str">
        <f>IF('Raw Data'!KF29="","",'Raw Data'!KF29)</f>
        <v>oui</v>
      </c>
      <c r="KS19" s="15" t="str">
        <f>IF('Raw Data'!KG29="","",'Raw Data'!KG29)</f>
        <v>manque_moyens manque_d'information manque_personnes insecurite_zone probleme_orientation</v>
      </c>
      <c r="KT19" s="15" t="str">
        <f>IF('Raw Data'!KH29="","",'Raw Data'!KH29)</f>
        <v>1</v>
      </c>
      <c r="KU19" s="15" t="str">
        <f>IF('Raw Data'!KI29="","",'Raw Data'!KI29)</f>
        <v>1</v>
      </c>
      <c r="KV19" s="15" t="str">
        <f>IF('Raw Data'!KJ29="","",'Raw Data'!KJ29)</f>
        <v>1</v>
      </c>
      <c r="KW19" s="15" t="str">
        <f>IF('Raw Data'!KK29="","",'Raw Data'!KK29)</f>
        <v>1</v>
      </c>
      <c r="KX19" s="15" t="str">
        <f>IF('Raw Data'!KL29="","",'Raw Data'!KL29)</f>
        <v>1</v>
      </c>
      <c r="KY19" s="15" t="str">
        <f>IF('Raw Data'!KM29="","",'Raw Data'!KM29)</f>
        <v>0</v>
      </c>
      <c r="KZ19" s="15" t="str">
        <f>IF('Raw Data'!KN29="","",'Raw Data'!KN29)</f>
        <v>0</v>
      </c>
      <c r="LA19" s="15" t="str">
        <f>IF('Raw Data'!KO29="","",'Raw Data'!KO29)</f>
        <v>0</v>
      </c>
      <c r="LB19" s="15" t="str">
        <f>IF('Raw Data'!KP29="","",'Raw Data'!KP29)</f>
        <v>0</v>
      </c>
      <c r="LC19" s="15" t="str">
        <f>IF('Raw Data'!KQ29="","",'Raw Data'!KQ29)</f>
        <v>0</v>
      </c>
      <c r="LD19" s="15" t="str">
        <f>IF('Raw Data'!KR29="","",'Raw Data'!KR29)</f>
        <v>0</v>
      </c>
      <c r="LE19" s="15" t="str">
        <f>IF('Raw Data'!KS29="","",'Raw Data'!KS29)</f>
        <v/>
      </c>
      <c r="LF19" s="15" t="str">
        <f>IF('Raw Data'!KT29="","",'Raw Data'!KT29)</f>
        <v>pb_protection_donnee pb_logistiques pb_secu</v>
      </c>
      <c r="LG19" s="15" t="str">
        <f>IF('Raw Data'!KU29="","",'Raw Data'!KU29)</f>
        <v>1</v>
      </c>
      <c r="LH19" s="15" t="str">
        <f>IF('Raw Data'!KV29="","",'Raw Data'!KV29)</f>
        <v>1</v>
      </c>
      <c r="LI19" s="15" t="str">
        <f>IF('Raw Data'!KW29="","",'Raw Data'!KW29)</f>
        <v>1</v>
      </c>
      <c r="LJ19" s="15" t="str">
        <f>IF('Raw Data'!KX29="","",'Raw Data'!KX29)</f>
        <v>0</v>
      </c>
      <c r="LK19" s="15" t="str">
        <f>IF('Raw Data'!KY29="","",'Raw Data'!KY29)</f>
        <v>0</v>
      </c>
      <c r="LL19" s="15" t="str">
        <f>IF('Raw Data'!KZ29="","",'Raw Data'!KZ29)</f>
        <v>0</v>
      </c>
      <c r="LM19" s="15" t="str">
        <f>IF('Raw Data'!LA29="","",'Raw Data'!LA29)</f>
        <v/>
      </c>
      <c r="LN19" s="15" t="str">
        <f>IF('Raw Data'!LB29="","",'Raw Data'!LB29)</f>
        <v>oui</v>
      </c>
      <c r="LO19" s="15" t="str">
        <f>IF('Raw Data'!LC29="","",'Raw Data'!LC29)</f>
        <v>violence_physique violence_psycho menace_mort</v>
      </c>
      <c r="LP19" s="15" t="str">
        <f>IF('Raw Data'!LD29="","",'Raw Data'!LD29)</f>
        <v>1</v>
      </c>
      <c r="LQ19" s="15" t="str">
        <f>IF('Raw Data'!LE29="","",'Raw Data'!LE29)</f>
        <v>1</v>
      </c>
      <c r="LR19" s="15" t="str">
        <f>IF('Raw Data'!LF29="","",'Raw Data'!LF29)</f>
        <v>0</v>
      </c>
      <c r="LS19" s="15" t="str">
        <f>IF('Raw Data'!LG29="","",'Raw Data'!LG29)</f>
        <v>0</v>
      </c>
      <c r="LT19" s="15" t="str">
        <f>IF('Raw Data'!LH29="","",'Raw Data'!LH29)</f>
        <v>1</v>
      </c>
      <c r="LU19" s="15" t="str">
        <f>IF('Raw Data'!LI29="","",'Raw Data'!LI29)</f>
        <v>0</v>
      </c>
      <c r="LV19" s="15" t="str">
        <f>IF('Raw Data'!LJ29="","",'Raw Data'!LJ29)</f>
        <v>0</v>
      </c>
      <c r="LW19" s="15" t="str">
        <f>IF('Raw Data'!LK29="","",'Raw Data'!LK29)</f>
        <v>0</v>
      </c>
      <c r="LX19" s="15" t="str">
        <f>IF('Raw Data'!LL29="","",'Raw Data'!LL29)</f>
        <v>0</v>
      </c>
      <c r="LY19" s="15" t="str">
        <f>IF('Raw Data'!LM29="","",'Raw Data'!LM29)</f>
        <v>0</v>
      </c>
      <c r="LZ19" s="15" t="str">
        <f>IF('Raw Data'!LN29="","",'Raw Data'!LN29)</f>
        <v/>
      </c>
      <c r="MA19" s="15" t="str">
        <f>IF('Raw Data'!LO29="","",'Raw Data'!LO29)</f>
        <v>oui</v>
      </c>
      <c r="MB19" s="15" t="str">
        <f>IF('Raw Data'!LP29="","",'Raw Data'!LP29)</f>
        <v>oui</v>
      </c>
      <c r="MC19" s="15" t="str">
        <f>IF('Raw Data'!LQ29="","",'Raw Data'!LQ29)</f>
        <v/>
      </c>
      <c r="MD19" s="15" t="str">
        <f>IF('Raw Data'!LR29="","",'Raw Data'!LR29)</f>
        <v>Famine totale et surtout instauré la cohésion totale,la paix</v>
      </c>
      <c r="ME19" s="15">
        <f>IF('Raw Data'!LS29="","",'Raw Data'!LS29)</f>
        <v>169351678</v>
      </c>
      <c r="MF19" s="15" t="str">
        <f>IF('Raw Data'!LT29="","",'Raw Data'!LT29)</f>
        <v>590d4d25-2b3c-4d68-93fc-06d004a5efe4</v>
      </c>
      <c r="MG19" s="15" t="str">
        <f>IF('Raw Data'!LU29="","",'Raw Data'!LU29)</f>
        <v>2021-04-02T19:02:13</v>
      </c>
      <c r="MH19" s="15" t="str">
        <f>IF('Raw Data'!LV29="","",'Raw Data'!LV29)</f>
        <v/>
      </c>
      <c r="MI19" s="15" t="str">
        <f>IF('Raw Data'!LW29="","",'Raw Data'!LW29)</f>
        <v>[]</v>
      </c>
      <c r="MJ19" s="15" t="str">
        <f>IF('Raw Data'!LX29="","",'Raw Data'!LX29)</f>
        <v>submitted_via_web</v>
      </c>
      <c r="MK19" s="15" t="str">
        <f>IF('Raw Data'!LY29="","",'Raw Data'!LY29)</f>
        <v>reach_niger</v>
      </c>
      <c r="ML19" s="15" t="str">
        <f>IF('Raw Data'!LZ29="","",'Raw Data'!LZ29)</f>
        <v/>
      </c>
      <c r="MM19" s="15">
        <f>IF('Raw Data'!MA29="","",'Raw Data'!MA29)</f>
        <v>30</v>
      </c>
    </row>
    <row r="20" spans="1:351" x14ac:dyDescent="0.3">
      <c r="A20" s="26" t="str">
        <f t="shared" si="0"/>
        <v>fcd0c38c-be4e-4ab1-ae99-c54b5563b42e</v>
      </c>
      <c r="B20" s="26" t="str">
        <f t="shared" si="1"/>
        <v>bankilare</v>
      </c>
      <c r="C20" s="26" t="str">
        <f t="shared" si="2"/>
        <v>E</v>
      </c>
      <c r="D20" s="14" t="str">
        <f>IF('Raw Data'!A27="","",'Raw Data'!A27)</f>
        <v>2021-04-02T11:02:19.303+01:00</v>
      </c>
      <c r="E20" s="14" t="str">
        <f>IF('Raw Data'!B27="","",'Raw Data'!B27)</f>
        <v>2021-04-02T11:32:01.883+01:00</v>
      </c>
      <c r="F20" s="30">
        <v>44288.45994212963</v>
      </c>
      <c r="G20" s="30">
        <v>44288.480567129627</v>
      </c>
      <c r="H20" s="29">
        <f>VLOOKUP(A20,Audit[#All],2,FALSE)</f>
        <v>29.71</v>
      </c>
      <c r="I20" s="29">
        <f>VLOOKUP(A20,Audit[#All],3,FALSE)</f>
        <v>29.55</v>
      </c>
      <c r="J20" s="29">
        <f>VLOOKUP(A20,Audit[#All],4,FALSE)</f>
        <v>23.52</v>
      </c>
      <c r="K20" s="29">
        <f>VLOOKUP(A20,nb_questions[#All],2,FALSE)</f>
        <v>117</v>
      </c>
      <c r="L20" s="29">
        <f t="shared" si="3"/>
        <v>63</v>
      </c>
      <c r="M20" s="14" t="str">
        <f>IF('Raw Data'!C27="","",'Raw Data'!C27)</f>
        <v>2021-04-02</v>
      </c>
      <c r="N20" s="14" t="str">
        <f>IF('Raw Data'!D27="","",'Raw Data'!D27)</f>
        <v/>
      </c>
      <c r="O20" s="14" t="str">
        <f>IF('Raw Data'!E27="","",'Raw Data'!E27)</f>
        <v/>
      </c>
      <c r="P20" s="29" t="str">
        <f>VLOOKUP(A20,code_enqueteurs[#All],3,FALSE)</f>
        <v>E</v>
      </c>
      <c r="Q20" s="29" t="s">
        <v>1650</v>
      </c>
      <c r="R20" s="14" t="str">
        <f>IF('Raw Data'!F27="","",'Raw Data'!F27)</f>
        <v>Homme</v>
      </c>
      <c r="S20" s="15" t="str">
        <f>IF('Raw Data'!G27="","",'Raw Data'!G27)</f>
        <v>bankilare</v>
      </c>
      <c r="T20" s="15" t="str">
        <f>IF('Raw Data'!H27="","",'Raw Data'!H27)</f>
        <v>bankilare</v>
      </c>
      <c r="U20" s="31" t="s">
        <v>1177</v>
      </c>
      <c r="V20" s="31" t="s">
        <v>1177</v>
      </c>
      <c r="W20" s="15" t="str">
        <f>IF('Raw Data'!K27="","",'Raw Data'!K27)</f>
        <v/>
      </c>
      <c r="X20" s="15" t="str">
        <f>IF('Raw Data'!L27="","",'Raw Data'!L27)</f>
        <v/>
      </c>
      <c r="Y20" s="15" t="str">
        <f>IF('Raw Data'!M27="","",'Raw Data'!M27)</f>
        <v/>
      </c>
      <c r="Z20" s="15" t="str">
        <f>IF('Raw Data'!N27="","",'Raw Data'!N27)</f>
        <v/>
      </c>
      <c r="AA20" s="15" t="str">
        <f>IF('Raw Data'!O27="","",'Raw Data'!O27)</f>
        <v/>
      </c>
      <c r="AB20" s="15" t="str">
        <f>IF('Raw Data'!P27="","",'Raw Data'!P27)</f>
        <v/>
      </c>
      <c r="AC20" s="15" t="str">
        <f>IF('Raw Data'!Q27="","",'Raw Data'!Q27)</f>
        <v/>
      </c>
      <c r="AD20" s="15" t="str">
        <f>IF('Raw Data'!R27="","",'Raw Data'!R27)</f>
        <v>Homme</v>
      </c>
      <c r="AE20" s="15" t="str">
        <f>IF('Raw Data'!S27="","",'Raw Data'!S27)</f>
        <v>34</v>
      </c>
      <c r="AF20" s="15" t="str">
        <f>IF('Raw Data'!T27="","",'Raw Data'!T27)</f>
        <v>deplace_interne</v>
      </c>
      <c r="AG20" s="15" t="str">
        <f>IF('Raw Data'!U27="","",'Raw Data'!U27)</f>
        <v/>
      </c>
      <c r="AH20" s="15" t="str">
        <f>IF('Raw Data'!V27="","",'Raw Data'!V27)</f>
        <v/>
      </c>
      <c r="AI20" s="15" t="str">
        <f>IF('Raw Data'!W27="","",'Raw Data'!W27)</f>
        <v/>
      </c>
      <c r="AJ20" s="15" t="str">
        <f>IF('Raw Data'!X27="","",'Raw Data'!X27)</f>
        <v/>
      </c>
      <c r="AK20" s="15" t="str">
        <f>IF('Raw Data'!Y27="","",'Raw Data'!Y27)</f>
        <v/>
      </c>
      <c r="AL20" s="15" t="str">
        <f>IF('Raw Data'!Z27="","",'Raw Data'!Z27)</f>
        <v>niger</v>
      </c>
      <c r="AM20" s="15" t="str">
        <f>IF('Raw Data'!AA27="","",'Raw Data'!AA27)</f>
        <v>tillaberi</v>
      </c>
      <c r="AN20" s="15" t="str">
        <f>IF('Raw Data'!AB27="","",'Raw Data'!AB27)</f>
        <v>bankilare</v>
      </c>
      <c r="AO20" s="15" t="str">
        <f>IF('Raw Data'!AC27="","",'Raw Data'!AC27)</f>
        <v/>
      </c>
      <c r="AP20" s="15" t="str">
        <f>IF('Raw Data'!AD27="","",'Raw Data'!AD27)</f>
        <v/>
      </c>
      <c r="AQ20" s="15" t="str">
        <f>IF('Raw Data'!AE27="","",'Raw Data'!AE27)</f>
        <v/>
      </c>
      <c r="AR20" s="15" t="str">
        <f>IF('Raw Data'!AF27="","",'Raw Data'!AF27)</f>
        <v/>
      </c>
      <c r="AS20" s="15" t="str">
        <f>IF('Raw Data'!AG27="","",'Raw Data'!AG27)</f>
        <v>oui</v>
      </c>
      <c r="AT20" s="15" t="str">
        <f>IF('Raw Data'!AH27="","",'Raw Data'!AH27)</f>
        <v>Vols_braquages extorsions Violences_physique_civils Attaques_ecoles_sante Disputes_intercommunataires</v>
      </c>
      <c r="AU20" s="15" t="str">
        <f>IF('Raw Data'!AI27="","",'Raw Data'!AI27)</f>
        <v>0</v>
      </c>
      <c r="AV20" s="15" t="str">
        <f>IF('Raw Data'!AJ27="","",'Raw Data'!AJ27)</f>
        <v>1</v>
      </c>
      <c r="AW20" s="15" t="str">
        <f>IF('Raw Data'!AK27="","",'Raw Data'!AK27)</f>
        <v>1</v>
      </c>
      <c r="AX20" s="15" t="str">
        <f>IF('Raw Data'!AL27="","",'Raw Data'!AL27)</f>
        <v>1</v>
      </c>
      <c r="AY20" s="15" t="str">
        <f>IF('Raw Data'!AM27="","",'Raw Data'!AM27)</f>
        <v>1</v>
      </c>
      <c r="AZ20" s="15" t="str">
        <f>IF('Raw Data'!AN27="","",'Raw Data'!AN27)</f>
        <v>0</v>
      </c>
      <c r="BA20" s="15" t="str">
        <f>IF('Raw Data'!AO27="","",'Raw Data'!AO27)</f>
        <v>0</v>
      </c>
      <c r="BB20" s="15" t="str">
        <f>IF('Raw Data'!AP27="","",'Raw Data'!AP27)</f>
        <v>1</v>
      </c>
      <c r="BC20" s="15" t="str">
        <f>IF('Raw Data'!AQ27="","",'Raw Data'!AQ27)</f>
        <v>0</v>
      </c>
      <c r="BD20" s="15" t="str">
        <f>IF('Raw Data'!AR27="","",'Raw Data'!AR27)</f>
        <v>0</v>
      </c>
      <c r="BE20" s="15" t="str">
        <f>IF('Raw Data'!AS27="","",'Raw Data'!AS27)</f>
        <v>0</v>
      </c>
      <c r="BF20" s="15" t="str">
        <f>IF('Raw Data'!AT27="","",'Raw Data'!AT27)</f>
        <v>0</v>
      </c>
      <c r="BG20" s="15" t="str">
        <f>IF('Raw Data'!AU27="","",'Raw Data'!AU27)</f>
        <v>0</v>
      </c>
      <c r="BH20" s="15" t="str">
        <f>IF('Raw Data'!AV27="","",'Raw Data'!AV27)</f>
        <v>0</v>
      </c>
      <c r="BI20" s="15" t="str">
        <f>IF('Raw Data'!AW27="","",'Raw Data'!AW27)</f>
        <v/>
      </c>
      <c r="BJ20" s="15" t="str">
        <f>IF('Raw Data'!AX27="","",'Raw Data'!AX27)</f>
        <v>Bebes/Bambins Enfants Filles Femmes Femmes_agees</v>
      </c>
      <c r="BK20" s="15" t="str">
        <f>IF('Raw Data'!AY27="","",'Raw Data'!AY27)</f>
        <v>1</v>
      </c>
      <c r="BL20" s="15" t="str">
        <f>IF('Raw Data'!AZ27="","",'Raw Data'!AZ27)</f>
        <v>1</v>
      </c>
      <c r="BM20" s="15" t="str">
        <f>IF('Raw Data'!BA27="","",'Raw Data'!BA27)</f>
        <v>1</v>
      </c>
      <c r="BN20" s="15" t="str">
        <f>IF('Raw Data'!BB27="","",'Raw Data'!BB27)</f>
        <v>0</v>
      </c>
      <c r="BO20" s="15" t="str">
        <f>IF('Raw Data'!BC27="","",'Raw Data'!BC27)</f>
        <v>1</v>
      </c>
      <c r="BP20" s="15" t="str">
        <f>IF('Raw Data'!BD27="","",'Raw Data'!BD27)</f>
        <v>0</v>
      </c>
      <c r="BQ20" s="15" t="str">
        <f>IF('Raw Data'!BE27="","",'Raw Data'!BE27)</f>
        <v>1</v>
      </c>
      <c r="BR20" s="15" t="str">
        <f>IF('Raw Data'!BF27="","",'Raw Data'!BF27)</f>
        <v>0</v>
      </c>
      <c r="BS20" s="15" t="str">
        <f>IF('Raw Data'!BG27="","",'Raw Data'!BG27)</f>
        <v>0</v>
      </c>
      <c r="BT20" s="15" t="str">
        <f>IF('Raw Data'!BH27="","",'Raw Data'!BH27)</f>
        <v>0</v>
      </c>
      <c r="BU20" s="15" t="str">
        <f>IF('Raw Data'!BI27="","",'Raw Data'!BI27)</f>
        <v>0</v>
      </c>
      <c r="BV20" s="15" t="str">
        <f>IF('Raw Data'!BJ27="","",'Raw Data'!BJ27)</f>
        <v>0</v>
      </c>
      <c r="BW20" s="15" t="str">
        <f>IF('Raw Data'!BK27="","",'Raw Data'!BK27)</f>
        <v>0</v>
      </c>
      <c r="BX20" s="15" t="str">
        <f>IF('Raw Data'!BL27="","",'Raw Data'!BL27)</f>
        <v>0</v>
      </c>
      <c r="BY20" s="15" t="str">
        <f>IF('Raw Data'!BM27="","",'Raw Data'!BM27)</f>
        <v/>
      </c>
      <c r="BZ20" s="15" t="str">
        <f>IF('Raw Data'!BN27="","",'Raw Data'!BN27)</f>
        <v>3</v>
      </c>
      <c r="CA20" s="15" t="str">
        <f>IF('Raw Data'!BO27="","",'Raw Data'!BO27)</f>
        <v>augmente</v>
      </c>
      <c r="CB20" s="15" t="str">
        <f>IF('Raw Data'!BP27="","",'Raw Data'!BP27)</f>
        <v/>
      </c>
      <c r="CC20" s="15" t="str">
        <f>IF('Raw Data'!BQ27="","",'Raw Data'!BQ27)</f>
        <v>oui</v>
      </c>
      <c r="CD20" s="15" t="str">
        <f>IF('Raw Data'!BR27="","",'Raw Data'!BR27)</f>
        <v>agression_physique agression_psychologique travail_force exploitations_enfant menace</v>
      </c>
      <c r="CE20" s="15" t="str">
        <f>IF('Raw Data'!BS27="","",'Raw Data'!BS27)</f>
        <v>0</v>
      </c>
      <c r="CF20" s="15" t="str">
        <f>IF('Raw Data'!BT27="","",'Raw Data'!BT27)</f>
        <v>0</v>
      </c>
      <c r="CG20" s="15" t="str">
        <f>IF('Raw Data'!BU27="","",'Raw Data'!BU27)</f>
        <v>1</v>
      </c>
      <c r="CH20" s="15" t="str">
        <f>IF('Raw Data'!BV27="","",'Raw Data'!BV27)</f>
        <v>0</v>
      </c>
      <c r="CI20" s="15" t="str">
        <f>IF('Raw Data'!BW27="","",'Raw Data'!BW27)</f>
        <v>1</v>
      </c>
      <c r="CJ20" s="15" t="str">
        <f>IF('Raw Data'!BX27="","",'Raw Data'!BX27)</f>
        <v>0</v>
      </c>
      <c r="CK20" s="15" t="str">
        <f>IF('Raw Data'!BY27="","",'Raw Data'!BY27)</f>
        <v>1</v>
      </c>
      <c r="CL20" s="15" t="str">
        <f>IF('Raw Data'!BZ27="","",'Raw Data'!BZ27)</f>
        <v>0</v>
      </c>
      <c r="CM20" s="15" t="str">
        <f>IF('Raw Data'!CA27="","",'Raw Data'!CA27)</f>
        <v>1</v>
      </c>
      <c r="CN20" s="15" t="str">
        <f>IF('Raw Data'!CB27="","",'Raw Data'!CB27)</f>
        <v>0</v>
      </c>
      <c r="CO20" s="15" t="str">
        <f>IF('Raw Data'!CC27="","",'Raw Data'!CC27)</f>
        <v>1</v>
      </c>
      <c r="CP20" s="15" t="str">
        <f>IF('Raw Data'!CD27="","",'Raw Data'!CD27)</f>
        <v>0</v>
      </c>
      <c r="CQ20" s="15" t="str">
        <f>IF('Raw Data'!CE27="","",'Raw Data'!CE27)</f>
        <v>0</v>
      </c>
      <c r="CR20" s="15" t="str">
        <f>IF('Raw Data'!CF27="","",'Raw Data'!CF27)</f>
        <v>0</v>
      </c>
      <c r="CS20" s="15" t="str">
        <f>IF('Raw Data'!CG27="","",'Raw Data'!CG27)</f>
        <v>0</v>
      </c>
      <c r="CT20" s="15" t="str">
        <f>IF('Raw Data'!CH27="","",'Raw Data'!CH27)</f>
        <v/>
      </c>
      <c r="CU20" s="15" t="str">
        <f>IF('Raw Data'!CI27="","",'Raw Data'!CI27)</f>
        <v>Bebes/Bambins Enfants Filles Garçons Femmes</v>
      </c>
      <c r="CV20" s="15" t="str">
        <f>IF('Raw Data'!CJ27="","",'Raw Data'!CJ27)</f>
        <v>1</v>
      </c>
      <c r="CW20" s="15" t="str">
        <f>IF('Raw Data'!CK27="","",'Raw Data'!CK27)</f>
        <v>1</v>
      </c>
      <c r="CX20" s="15" t="str">
        <f>IF('Raw Data'!CL27="","",'Raw Data'!CL27)</f>
        <v>1</v>
      </c>
      <c r="CY20" s="15" t="str">
        <f>IF('Raw Data'!CM27="","",'Raw Data'!CM27)</f>
        <v>1</v>
      </c>
      <c r="CZ20" s="15" t="str">
        <f>IF('Raw Data'!CN27="","",'Raw Data'!CN27)</f>
        <v>1</v>
      </c>
      <c r="DA20" s="15" t="str">
        <f>IF('Raw Data'!CO27="","",'Raw Data'!CO27)</f>
        <v>0</v>
      </c>
      <c r="DB20" s="15" t="str">
        <f>IF('Raw Data'!CP27="","",'Raw Data'!CP27)</f>
        <v>0</v>
      </c>
      <c r="DC20" s="15" t="str">
        <f>IF('Raw Data'!CQ27="","",'Raw Data'!CQ27)</f>
        <v>0</v>
      </c>
      <c r="DD20" s="15" t="str">
        <f>IF('Raw Data'!CR27="","",'Raw Data'!CR27)</f>
        <v>0</v>
      </c>
      <c r="DE20" s="15" t="str">
        <f>IF('Raw Data'!CS27="","",'Raw Data'!CS27)</f>
        <v>0</v>
      </c>
      <c r="DF20" s="15" t="str">
        <f>IF('Raw Data'!CT27="","",'Raw Data'!CT27)</f>
        <v>0</v>
      </c>
      <c r="DG20" s="15" t="str">
        <f>IF('Raw Data'!CU27="","",'Raw Data'!CU27)</f>
        <v>0</v>
      </c>
      <c r="DH20" s="15" t="str">
        <f>IF('Raw Data'!CV27="","",'Raw Data'!CV27)</f>
        <v>0</v>
      </c>
      <c r="DI20" s="15" t="str">
        <f>IF('Raw Data'!CW27="","",'Raw Data'!CW27)</f>
        <v>0</v>
      </c>
      <c r="DJ20" s="15" t="str">
        <f>IF('Raw Data'!CX27="","",'Raw Data'!CX27)</f>
        <v/>
      </c>
      <c r="DK20" s="15" t="str">
        <f>IF('Raw Data'!CY27="","",'Raw Data'!CY27)</f>
        <v>3</v>
      </c>
      <c r="DL20" s="15" t="str">
        <f>IF('Raw Data'!CZ27="","",'Raw Data'!CZ27)</f>
        <v>augmente</v>
      </c>
      <c r="DM20" s="15" t="str">
        <f>IF('Raw Data'!DA27="","",'Raw Data'!DA27)</f>
        <v/>
      </c>
      <c r="DN20" s="15" t="str">
        <f>IF('Raw Data'!DB27="","",'Raw Data'!DB27)</f>
        <v>deterioration_con_abris deterioration_acces_service_base diminution_moyens_existence</v>
      </c>
      <c r="DO20" s="15" t="str">
        <f>IF('Raw Data'!DC27="","",'Raw Data'!DC27)</f>
        <v>1</v>
      </c>
      <c r="DP20" s="15" t="str">
        <f>IF('Raw Data'!DD27="","",'Raw Data'!DD27)</f>
        <v>1</v>
      </c>
      <c r="DQ20" s="15" t="str">
        <f>IF('Raw Data'!DE27="","",'Raw Data'!DE27)</f>
        <v>1</v>
      </c>
      <c r="DR20" s="15" t="str">
        <f>IF('Raw Data'!DF27="","",'Raw Data'!DF27)</f>
        <v>0</v>
      </c>
      <c r="DS20" s="15" t="str">
        <f>IF('Raw Data'!DG27="","",'Raw Data'!DG27)</f>
        <v>0</v>
      </c>
      <c r="DT20" s="15" t="str">
        <f>IF('Raw Data'!DH27="","",'Raw Data'!DH27)</f>
        <v>0</v>
      </c>
      <c r="DU20" s="15" t="str">
        <f>IF('Raw Data'!DI27="","",'Raw Data'!DI27)</f>
        <v>0</v>
      </c>
      <c r="DV20" s="15" t="str">
        <f>IF('Raw Data'!DJ27="","",'Raw Data'!DJ27)</f>
        <v>0</v>
      </c>
      <c r="DW20" s="15" t="str">
        <f>IF('Raw Data'!DK27="","",'Raw Data'!DK27)</f>
        <v>0</v>
      </c>
      <c r="DX20" s="15" t="str">
        <f>IF('Raw Data'!DL27="","",'Raw Data'!DL27)</f>
        <v>0</v>
      </c>
      <c r="DY20" s="15" t="str">
        <f>IF('Raw Data'!DM27="","",'Raw Data'!DM27)</f>
        <v/>
      </c>
      <c r="DZ20" s="15" t="str">
        <f>IF('Raw Data'!DN27="","",'Raw Data'!DN27)</f>
        <v/>
      </c>
      <c r="EA20" s="15" t="str">
        <f>IF('Raw Data'!DO27="","",'Raw Data'!DO27)</f>
        <v/>
      </c>
      <c r="EB20" s="15" t="str">
        <f>IF('Raw Data'!DP27="","",'Raw Data'!DP27)</f>
        <v/>
      </c>
      <c r="EC20" s="15" t="str">
        <f>IF('Raw Data'!DQ27="","",'Raw Data'!DQ27)</f>
        <v/>
      </c>
      <c r="ED20" s="15" t="str">
        <f>IF('Raw Data'!DR27="","",'Raw Data'!DR27)</f>
        <v/>
      </c>
      <c r="EE20" s="15" t="str">
        <f>IF('Raw Data'!DS27="","",'Raw Data'!DS27)</f>
        <v/>
      </c>
      <c r="EF20" s="15" t="str">
        <f>IF('Raw Data'!DT27="","",'Raw Data'!DT27)</f>
        <v/>
      </c>
      <c r="EG20" s="15" t="str">
        <f>IF('Raw Data'!DU27="","",'Raw Data'!DU27)</f>
        <v/>
      </c>
      <c r="EH20" s="15" t="str">
        <f>IF('Raw Data'!DV27="","",'Raw Data'!DV27)</f>
        <v/>
      </c>
      <c r="EI20" s="15" t="str">
        <f>IF('Raw Data'!DW27="","",'Raw Data'!DW27)</f>
        <v/>
      </c>
      <c r="EJ20" s="15" t="str">
        <f>IF('Raw Data'!DX27="","",'Raw Data'!DX27)</f>
        <v/>
      </c>
      <c r="EK20" s="15" t="str">
        <f>IF('Raw Data'!DY27="","",'Raw Data'!DY27)</f>
        <v/>
      </c>
      <c r="EL20" s="15" t="str">
        <f>IF('Raw Data'!DZ27="","",'Raw Data'!DZ27)</f>
        <v>dplct_abords_com Integration_com_hote Soutien_famille_amis</v>
      </c>
      <c r="EM20" s="15" t="str">
        <f>IF('Raw Data'!EA27="","",'Raw Data'!EA27)</f>
        <v>1</v>
      </c>
      <c r="EN20" s="15" t="str">
        <f>IF('Raw Data'!EB27="","",'Raw Data'!EB27)</f>
        <v>1</v>
      </c>
      <c r="EO20" s="15" t="str">
        <f>IF('Raw Data'!EC27="","",'Raw Data'!EC27)</f>
        <v>1</v>
      </c>
      <c r="EP20" s="15" t="str">
        <f>IF('Raw Data'!ED27="","",'Raw Data'!ED27)</f>
        <v>0</v>
      </c>
      <c r="EQ20" s="15" t="str">
        <f>IF('Raw Data'!EE27="","",'Raw Data'!EE27)</f>
        <v>0</v>
      </c>
      <c r="ER20" s="15" t="str">
        <f>IF('Raw Data'!EF27="","",'Raw Data'!EF27)</f>
        <v>0</v>
      </c>
      <c r="ES20" s="15" t="str">
        <f>IF('Raw Data'!EG27="","",'Raw Data'!EG27)</f>
        <v>0</v>
      </c>
      <c r="ET20" s="15" t="str">
        <f>IF('Raw Data'!EH27="","",'Raw Data'!EH27)</f>
        <v>0</v>
      </c>
      <c r="EU20" s="15" t="str">
        <f>IF('Raw Data'!EI27="","",'Raw Data'!EI27)</f>
        <v>0</v>
      </c>
      <c r="EV20" s="15" t="str">
        <f>IF('Raw Data'!EJ27="","",'Raw Data'!EJ27)</f>
        <v/>
      </c>
      <c r="EW20" s="15" t="str">
        <f>IF('Raw Data'!EK27="","",'Raw Data'!EK27)</f>
        <v/>
      </c>
      <c r="EX20" s="15" t="str">
        <f>IF('Raw Data'!EL27="","",'Raw Data'!EL27)</f>
        <v>comite_protection famille_accueil comite_gestion_conflits comite_redevabilite</v>
      </c>
      <c r="EY20" s="15" t="str">
        <f>IF('Raw Data'!EM27="","",'Raw Data'!EM27)</f>
        <v>0</v>
      </c>
      <c r="EZ20" s="15" t="str">
        <f>IF('Raw Data'!EN27="","",'Raw Data'!EN27)</f>
        <v>1</v>
      </c>
      <c r="FA20" s="15" t="str">
        <f>IF('Raw Data'!EO27="","",'Raw Data'!EO27)</f>
        <v>1</v>
      </c>
      <c r="FB20" s="15" t="str">
        <f>IF('Raw Data'!EP27="","",'Raw Data'!EP27)</f>
        <v>0</v>
      </c>
      <c r="FC20" s="15" t="str">
        <f>IF('Raw Data'!EQ27="","",'Raw Data'!EQ27)</f>
        <v>1</v>
      </c>
      <c r="FD20" s="15" t="str">
        <f>IF('Raw Data'!ER27="","",'Raw Data'!ER27)</f>
        <v>1</v>
      </c>
      <c r="FE20" s="15" t="str">
        <f>IF('Raw Data'!ES27="","",'Raw Data'!ES27)</f>
        <v>0</v>
      </c>
      <c r="FF20" s="15" t="str">
        <f>IF('Raw Data'!ET27="","",'Raw Data'!ET27)</f>
        <v>0</v>
      </c>
      <c r="FG20" s="15" t="str">
        <f>IF('Raw Data'!EU27="","",'Raw Data'!EU27)</f>
        <v>0</v>
      </c>
      <c r="FH20" s="15" t="str">
        <f>IF('Raw Data'!EV27="","",'Raw Data'!EV27)</f>
        <v>0</v>
      </c>
      <c r="FI20" s="15" t="str">
        <f>IF('Raw Data'!EW27="","",'Raw Data'!EW27)</f>
        <v/>
      </c>
      <c r="FJ20" s="15" t="str">
        <f>IF('Raw Data'!EX27="","",'Raw Data'!EX27)</f>
        <v>oui</v>
      </c>
      <c r="FK20" s="15" t="str">
        <f>IF('Raw Data'!EY27="","",'Raw Data'!EY27)</f>
        <v>manif_sociales Leaders_religieux Groupement_femmes Differents_comites_villageois famille_amis</v>
      </c>
      <c r="FL20" s="15" t="str">
        <f>IF('Raw Data'!EZ27="","",'Raw Data'!EZ27)</f>
        <v>0</v>
      </c>
      <c r="FM20" s="15" t="str">
        <f>IF('Raw Data'!FA27="","",'Raw Data'!FA27)</f>
        <v>0</v>
      </c>
      <c r="FN20" s="15" t="str">
        <f>IF('Raw Data'!FB27="","",'Raw Data'!FB27)</f>
        <v>0</v>
      </c>
      <c r="FO20" s="15" t="str">
        <f>IF('Raw Data'!FC27="","",'Raw Data'!FC27)</f>
        <v>1</v>
      </c>
      <c r="FP20" s="15" t="str">
        <f>IF('Raw Data'!FD27="","",'Raw Data'!FD27)</f>
        <v>0</v>
      </c>
      <c r="FQ20" s="15" t="str">
        <f>IF('Raw Data'!FE27="","",'Raw Data'!FE27)</f>
        <v>1</v>
      </c>
      <c r="FR20" s="15" t="str">
        <f>IF('Raw Data'!FF27="","",'Raw Data'!FF27)</f>
        <v>1</v>
      </c>
      <c r="FS20" s="15" t="str">
        <f>IF('Raw Data'!FG27="","",'Raw Data'!FG27)</f>
        <v>1</v>
      </c>
      <c r="FT20" s="15" t="str">
        <f>IF('Raw Data'!FH27="","",'Raw Data'!FH27)</f>
        <v>1</v>
      </c>
      <c r="FU20" s="15" t="str">
        <f>IF('Raw Data'!FI27="","",'Raw Data'!FI27)</f>
        <v>0</v>
      </c>
      <c r="FV20" s="15" t="str">
        <f>IF('Raw Data'!FJ27="","",'Raw Data'!FJ27)</f>
        <v>0</v>
      </c>
      <c r="FW20" s="15" t="str">
        <f>IF('Raw Data'!FK27="","",'Raw Data'!FK27)</f>
        <v>0</v>
      </c>
      <c r="FX20" s="15" t="str">
        <f>IF('Raw Data'!FL27="","",'Raw Data'!FL27)</f>
        <v>0</v>
      </c>
      <c r="FY20" s="15" t="str">
        <f>IF('Raw Data'!FM27="","",'Raw Data'!FM27)</f>
        <v>0</v>
      </c>
      <c r="FZ20" s="15" t="str">
        <f>IF('Raw Data'!FN27="","",'Raw Data'!FN27)</f>
        <v/>
      </c>
      <c r="GA20" s="15" t="str">
        <f>IF('Raw Data'!FO27="","",'Raw Data'!FO27)</f>
        <v>oui_minorite</v>
      </c>
      <c r="GB20" s="15" t="str">
        <f>IF('Raw Data'!FP27="","",'Raw Data'!FP27)</f>
        <v>oui_minorite</v>
      </c>
      <c r="GC20" s="15" t="str">
        <f>IF('Raw Data'!FQ27="","",'Raw Data'!FQ27)</f>
        <v>manque_info discrimination non_utilisation</v>
      </c>
      <c r="GD20" s="15" t="str">
        <f>IF('Raw Data'!FR27="","",'Raw Data'!FR27)</f>
        <v>0</v>
      </c>
      <c r="GE20" s="15" t="str">
        <f>IF('Raw Data'!FS27="","",'Raw Data'!FS27)</f>
        <v>1</v>
      </c>
      <c r="GF20" s="15" t="str">
        <f>IF('Raw Data'!FT27="","",'Raw Data'!FT27)</f>
        <v>1</v>
      </c>
      <c r="GG20" s="15" t="str">
        <f>IF('Raw Data'!FU27="","",'Raw Data'!FU27)</f>
        <v>1</v>
      </c>
      <c r="GH20" s="15" t="str">
        <f>IF('Raw Data'!FV27="","",'Raw Data'!FV27)</f>
        <v>0</v>
      </c>
      <c r="GI20" s="15" t="str">
        <f>IF('Raw Data'!FW27="","",'Raw Data'!FW27)</f>
        <v>0</v>
      </c>
      <c r="GJ20" s="15" t="str">
        <f>IF('Raw Data'!FX27="","",'Raw Data'!FX27)</f>
        <v>0</v>
      </c>
      <c r="GK20" s="15" t="str">
        <f>IF('Raw Data'!FY27="","",'Raw Data'!FY27)</f>
        <v>0</v>
      </c>
      <c r="GL20" s="15" t="str">
        <f>IF('Raw Data'!FZ27="","",'Raw Data'!FZ27)</f>
        <v/>
      </c>
      <c r="GM20" s="15" t="str">
        <f>IF('Raw Data'!GA27="","",'Raw Data'!GA27)</f>
        <v>minorite</v>
      </c>
      <c r="GN20" s="15" t="str">
        <f>IF('Raw Data'!GB27="","",'Raw Data'!GB27)</f>
        <v>minorite</v>
      </c>
      <c r="GO20" s="15" t="str">
        <f>IF('Raw Data'!GC27="","",'Raw Data'!GC27)</f>
        <v>Education Service_de_counseling Services_de_sante Appui_psychosocial</v>
      </c>
      <c r="GP20" s="15" t="str">
        <f>IF('Raw Data'!GD27="","",'Raw Data'!GD27)</f>
        <v>1</v>
      </c>
      <c r="GQ20" s="15" t="str">
        <f>IF('Raw Data'!GE27="","",'Raw Data'!GE27)</f>
        <v>1</v>
      </c>
      <c r="GR20" s="15" t="str">
        <f>IF('Raw Data'!GF27="","",'Raw Data'!GF27)</f>
        <v>1</v>
      </c>
      <c r="GS20" s="15" t="str">
        <f>IF('Raw Data'!GG27="","",'Raw Data'!GG27)</f>
        <v>1</v>
      </c>
      <c r="GT20" s="15" t="str">
        <f>IF('Raw Data'!GH27="","",'Raw Data'!GH27)</f>
        <v>0</v>
      </c>
      <c r="GU20" s="15" t="str">
        <f>IF('Raw Data'!GI27="","",'Raw Data'!GI27)</f>
        <v>0</v>
      </c>
      <c r="GV20" s="15" t="str">
        <f>IF('Raw Data'!GJ27="","",'Raw Data'!GJ27)</f>
        <v>0</v>
      </c>
      <c r="GW20" s="15" t="str">
        <f>IF('Raw Data'!GK27="","",'Raw Data'!GK27)</f>
        <v>0</v>
      </c>
      <c r="GX20" s="15" t="str">
        <f>IF('Raw Data'!GL27="","",'Raw Data'!GL27)</f>
        <v>0</v>
      </c>
      <c r="GY20" s="15" t="str">
        <f>IF('Raw Data'!GM27="","",'Raw Data'!GM27)</f>
        <v/>
      </c>
      <c r="GZ20" s="15" t="str">
        <f>IF('Raw Data'!GN27="","",'Raw Data'!GN27)</f>
        <v>oui_minorite</v>
      </c>
      <c r="HA20" s="15" t="str">
        <f>IF('Raw Data'!GO27="","",'Raw Data'!GO27)</f>
        <v>oui_minorite</v>
      </c>
      <c r="HB20" s="15" t="str">
        <f>IF('Raw Data'!GP27="","",'Raw Data'!GP27)</f>
        <v>repond_besoins_pop permet_obtenir_conseils permet_eviter_conflits</v>
      </c>
      <c r="HC20" s="15" t="str">
        <f>IF('Raw Data'!GQ27="","",'Raw Data'!GQ27)</f>
        <v>0</v>
      </c>
      <c r="HD20" s="15" t="str">
        <f>IF('Raw Data'!GR27="","",'Raw Data'!GR27)</f>
        <v>1</v>
      </c>
      <c r="HE20" s="15" t="str">
        <f>IF('Raw Data'!GS27="","",'Raw Data'!GS27)</f>
        <v>1</v>
      </c>
      <c r="HF20" s="15" t="str">
        <f>IF('Raw Data'!GT27="","",'Raw Data'!GT27)</f>
        <v>1</v>
      </c>
      <c r="HG20" s="15" t="str">
        <f>IF('Raw Data'!GU27="","",'Raw Data'!GU27)</f>
        <v>0</v>
      </c>
      <c r="HH20" s="15" t="str">
        <f>IF('Raw Data'!GV27="","",'Raw Data'!GV27)</f>
        <v>0</v>
      </c>
      <c r="HI20" s="15" t="str">
        <f>IF('Raw Data'!GW27="","",'Raw Data'!GW27)</f>
        <v>0</v>
      </c>
      <c r="HJ20" s="15" t="str">
        <f>IF('Raw Data'!GX27="","",'Raw Data'!GX27)</f>
        <v>0</v>
      </c>
      <c r="HK20" s="15" t="str">
        <f>IF('Raw Data'!GY27="","",'Raw Data'!GY27)</f>
        <v/>
      </c>
      <c r="HL20" s="15" t="str">
        <f>IF('Raw Data'!GZ27="","",'Raw Data'!GZ27)</f>
        <v>ne_repond_pas non_obtention_info ne_contribue_pas</v>
      </c>
      <c r="HM20" s="15" t="str">
        <f>IF('Raw Data'!HA27="","",'Raw Data'!HA27)</f>
        <v>1</v>
      </c>
      <c r="HN20" s="15" t="str">
        <f>IF('Raw Data'!HB27="","",'Raw Data'!HB27)</f>
        <v>1</v>
      </c>
      <c r="HO20" s="15" t="str">
        <f>IF('Raw Data'!HC27="","",'Raw Data'!HC27)</f>
        <v>1</v>
      </c>
      <c r="HP20" s="15" t="str">
        <f>IF('Raw Data'!HD27="","",'Raw Data'!HD27)</f>
        <v>0</v>
      </c>
      <c r="HQ20" s="15" t="str">
        <f>IF('Raw Data'!HE27="","",'Raw Data'!HE27)</f>
        <v>0</v>
      </c>
      <c r="HR20" s="15" t="str">
        <f>IF('Raw Data'!HF27="","",'Raw Data'!HF27)</f>
        <v>0</v>
      </c>
      <c r="HS20" s="15" t="str">
        <f>IF('Raw Data'!HG27="","",'Raw Data'!HG27)</f>
        <v/>
      </c>
      <c r="HT20" s="15" t="str">
        <f>IF('Raw Data'!HH27="","",'Raw Data'!HH27)</f>
        <v/>
      </c>
      <c r="HU20" s="15" t="str">
        <f>IF('Raw Data'!HI27="","",'Raw Data'!HI27)</f>
        <v>non</v>
      </c>
      <c r="HV20" s="15" t="str">
        <f>IF('Raw Data'!HJ27="","",'Raw Data'!HJ27)</f>
        <v/>
      </c>
      <c r="HW20" s="15" t="str">
        <f>IF('Raw Data'!HK27="","",'Raw Data'!HK27)</f>
        <v/>
      </c>
      <c r="HX20" s="15" t="str">
        <f>IF('Raw Data'!HL27="","",'Raw Data'!HL27)</f>
        <v/>
      </c>
      <c r="HY20" s="15" t="str">
        <f>IF('Raw Data'!HM27="","",'Raw Data'!HM27)</f>
        <v/>
      </c>
      <c r="HZ20" s="15" t="str">
        <f>IF('Raw Data'!HN27="","",'Raw Data'!HN27)</f>
        <v/>
      </c>
      <c r="IA20" s="15" t="str">
        <f>IF('Raw Data'!HO27="","",'Raw Data'!HO27)</f>
        <v/>
      </c>
      <c r="IB20" s="15" t="str">
        <f>IF('Raw Data'!HP27="","",'Raw Data'!HP27)</f>
        <v/>
      </c>
      <c r="IC20" s="15" t="str">
        <f>IF('Raw Data'!HQ27="","",'Raw Data'!HQ27)</f>
        <v/>
      </c>
      <c r="ID20" s="15" t="str">
        <f>IF('Raw Data'!HR27="","",'Raw Data'!HR27)</f>
        <v/>
      </c>
      <c r="IE20" s="15" t="str">
        <f>IF('Raw Data'!HS27="","",'Raw Data'!HS27)</f>
        <v/>
      </c>
      <c r="IF20" s="15" t="str">
        <f>IF('Raw Data'!HT27="","",'Raw Data'!HT27)</f>
        <v/>
      </c>
      <c r="IG20" s="15" t="str">
        <f>IF('Raw Data'!HU27="","",'Raw Data'!HU27)</f>
        <v/>
      </c>
      <c r="IH20" s="15" t="str">
        <f>IF('Raw Data'!HV27="","",'Raw Data'!HV27)</f>
        <v>oui</v>
      </c>
      <c r="II20" s="15" t="str">
        <f>IF('Raw Data'!HW27="","",'Raw Data'!HW27)</f>
        <v/>
      </c>
      <c r="IJ20" s="15" t="str">
        <f>IF('Raw Data'!HX27="","",'Raw Data'!HX27)</f>
        <v>Bebes/Bambins Enfants Filles Garçons Femmes</v>
      </c>
      <c r="IK20" s="15" t="str">
        <f>IF('Raw Data'!HY27="","",'Raw Data'!HY27)</f>
        <v>1</v>
      </c>
      <c r="IL20" s="15" t="str">
        <f>IF('Raw Data'!HZ27="","",'Raw Data'!HZ27)</f>
        <v>1</v>
      </c>
      <c r="IM20" s="15" t="str">
        <f>IF('Raw Data'!IA27="","",'Raw Data'!IA27)</f>
        <v>1</v>
      </c>
      <c r="IN20" s="15" t="str">
        <f>IF('Raw Data'!IB27="","",'Raw Data'!IB27)</f>
        <v>1</v>
      </c>
      <c r="IO20" s="15" t="str">
        <f>IF('Raw Data'!IC27="","",'Raw Data'!IC27)</f>
        <v>1</v>
      </c>
      <c r="IP20" s="15" t="str">
        <f>IF('Raw Data'!ID27="","",'Raw Data'!ID27)</f>
        <v>0</v>
      </c>
      <c r="IQ20" s="15" t="str">
        <f>IF('Raw Data'!IE27="","",'Raw Data'!IE27)</f>
        <v>0</v>
      </c>
      <c r="IR20" s="15" t="str">
        <f>IF('Raw Data'!IF27="","",'Raw Data'!IF27)</f>
        <v>0</v>
      </c>
      <c r="IS20" s="15" t="str">
        <f>IF('Raw Data'!IG27="","",'Raw Data'!IG27)</f>
        <v>0</v>
      </c>
      <c r="IT20" s="15" t="str">
        <f>IF('Raw Data'!IH27="","",'Raw Data'!IH27)</f>
        <v>0</v>
      </c>
      <c r="IU20" s="15" t="str">
        <f>IF('Raw Data'!II27="","",'Raw Data'!II27)</f>
        <v>0</v>
      </c>
      <c r="IV20" s="15" t="str">
        <f>IF('Raw Data'!IJ27="","",'Raw Data'!IJ27)</f>
        <v>0</v>
      </c>
      <c r="IW20" s="15" t="str">
        <f>IF('Raw Data'!IK27="","",'Raw Data'!IK27)</f>
        <v>0</v>
      </c>
      <c r="IX20" s="15" t="str">
        <f>IF('Raw Data'!IL27="","",'Raw Data'!IL27)</f>
        <v>0</v>
      </c>
      <c r="IY20" s="15" t="str">
        <f>IF('Raw Data'!IM27="","",'Raw Data'!IM27)</f>
        <v/>
      </c>
      <c r="IZ20" s="15" t="str">
        <f>IF('Raw Data'!IN27="","",'Raw Data'!IN27)</f>
        <v>7</v>
      </c>
      <c r="JA20" s="15" t="str">
        <f>IF('Raw Data'!IO27="","",'Raw Data'!IO27)</f>
        <v>Services_medicaux Services_educatifs Services_conseil points_ecoute</v>
      </c>
      <c r="JB20" s="15" t="str">
        <f>IF('Raw Data'!IP27="","",'Raw Data'!IP27)</f>
        <v>0</v>
      </c>
      <c r="JC20" s="15" t="str">
        <f>IF('Raw Data'!IQ27="","",'Raw Data'!IQ27)</f>
        <v>1</v>
      </c>
      <c r="JD20" s="15" t="str">
        <f>IF('Raw Data'!IR27="","",'Raw Data'!IR27)</f>
        <v>1</v>
      </c>
      <c r="JE20" s="15" t="str">
        <f>IF('Raw Data'!IS27="","",'Raw Data'!IS27)</f>
        <v>1</v>
      </c>
      <c r="JF20" s="15" t="str">
        <f>IF('Raw Data'!IT27="","",'Raw Data'!IT27)</f>
        <v>0</v>
      </c>
      <c r="JG20" s="15" t="str">
        <f>IF('Raw Data'!IU27="","",'Raw Data'!IU27)</f>
        <v>0</v>
      </c>
      <c r="JH20" s="15" t="str">
        <f>IF('Raw Data'!IV27="","",'Raw Data'!IV27)</f>
        <v>0</v>
      </c>
      <c r="JI20" s="15" t="str">
        <f>IF('Raw Data'!IW27="","",'Raw Data'!IW27)</f>
        <v>1</v>
      </c>
      <c r="JJ20" s="15" t="str">
        <f>IF('Raw Data'!IX27="","",'Raw Data'!IX27)</f>
        <v>0</v>
      </c>
      <c r="JK20" s="15" t="str">
        <f>IF('Raw Data'!IY27="","",'Raw Data'!IY27)</f>
        <v>0</v>
      </c>
      <c r="JL20" s="15" t="str">
        <f>IF('Raw Data'!IZ27="","",'Raw Data'!IZ27)</f>
        <v/>
      </c>
      <c r="JM20" s="15" t="str">
        <f>IF('Raw Data'!JA27="","",'Raw Data'!JA27)</f>
        <v>prise_enchage reorientation signalement</v>
      </c>
      <c r="JN20" s="15" t="str">
        <f>IF('Raw Data'!JB27="","",'Raw Data'!JB27)</f>
        <v>1</v>
      </c>
      <c r="JO20" s="15" t="str">
        <f>IF('Raw Data'!JC27="","",'Raw Data'!JC27)</f>
        <v>1</v>
      </c>
      <c r="JP20" s="15" t="str">
        <f>IF('Raw Data'!JD27="","",'Raw Data'!JD27)</f>
        <v>1</v>
      </c>
      <c r="JQ20" s="15" t="str">
        <f>IF('Raw Data'!JE27="","",'Raw Data'!JE27)</f>
        <v>0</v>
      </c>
      <c r="JR20" s="15" t="str">
        <f>IF('Raw Data'!JF27="","",'Raw Data'!JF27)</f>
        <v>0</v>
      </c>
      <c r="JS20" s="15" t="str">
        <f>IF('Raw Data'!JG27="","",'Raw Data'!JG27)</f>
        <v>0</v>
      </c>
      <c r="JT20" s="15" t="str">
        <f>IF('Raw Data'!JH27="","",'Raw Data'!JH27)</f>
        <v/>
      </c>
      <c r="JU20" s="15" t="str">
        <f>IF('Raw Data'!JI27="","",'Raw Data'!JI27)</f>
        <v>medical point_ecoute surete centre_formation reinsertion</v>
      </c>
      <c r="JV20" s="15" t="str">
        <f>IF('Raw Data'!JJ27="","",'Raw Data'!JJ27)</f>
        <v>1</v>
      </c>
      <c r="JW20" s="15" t="str">
        <f>IF('Raw Data'!JK27="","",'Raw Data'!JK27)</f>
        <v>0</v>
      </c>
      <c r="JX20" s="15" t="str">
        <f>IF('Raw Data'!JL27="","",'Raw Data'!JL27)</f>
        <v>1</v>
      </c>
      <c r="JY20" s="15" t="str">
        <f>IF('Raw Data'!JM27="","",'Raw Data'!JM27)</f>
        <v>0</v>
      </c>
      <c r="JZ20" s="15" t="str">
        <f>IF('Raw Data'!JN27="","",'Raw Data'!JN27)</f>
        <v>1</v>
      </c>
      <c r="KA20" s="15" t="str">
        <f>IF('Raw Data'!JO27="","",'Raw Data'!JO27)</f>
        <v>1</v>
      </c>
      <c r="KB20" s="15" t="str">
        <f>IF('Raw Data'!JP27="","",'Raw Data'!JP27)</f>
        <v>1</v>
      </c>
      <c r="KC20" s="15" t="str">
        <f>IF('Raw Data'!JQ27="","",'Raw Data'!JQ27)</f>
        <v>0</v>
      </c>
      <c r="KD20" s="15" t="str">
        <f>IF('Raw Data'!JR27="","",'Raw Data'!JR27)</f>
        <v>0</v>
      </c>
      <c r="KE20" s="15" t="str">
        <f>IF('Raw Data'!JS27="","",'Raw Data'!JS27)</f>
        <v/>
      </c>
      <c r="KF20" s="15" t="str">
        <f>IF('Raw Data'!JT27="","",'Raw Data'!JT27)</f>
        <v>medical Psychosocia point_ecoute surete reinsertion</v>
      </c>
      <c r="KG20" s="15" t="str">
        <f>IF('Raw Data'!JU27="","",'Raw Data'!JU27)</f>
        <v>1</v>
      </c>
      <c r="KH20" s="15" t="str">
        <f>IF('Raw Data'!JV27="","",'Raw Data'!JV27)</f>
        <v>1</v>
      </c>
      <c r="KI20" s="15" t="str">
        <f>IF('Raw Data'!JW27="","",'Raw Data'!JW27)</f>
        <v>1</v>
      </c>
      <c r="KJ20" s="15" t="str">
        <f>IF('Raw Data'!JX27="","",'Raw Data'!JX27)</f>
        <v>0</v>
      </c>
      <c r="KK20" s="15" t="str">
        <f>IF('Raw Data'!JY27="","",'Raw Data'!JY27)</f>
        <v>1</v>
      </c>
      <c r="KL20" s="15" t="str">
        <f>IF('Raw Data'!JZ27="","",'Raw Data'!JZ27)</f>
        <v>1</v>
      </c>
      <c r="KM20" s="15" t="str">
        <f>IF('Raw Data'!KA27="","",'Raw Data'!KA27)</f>
        <v>0</v>
      </c>
      <c r="KN20" s="15" t="str">
        <f>IF('Raw Data'!KB27="","",'Raw Data'!KB27)</f>
        <v>0</v>
      </c>
      <c r="KO20" s="15" t="str">
        <f>IF('Raw Data'!KC27="","",'Raw Data'!KC27)</f>
        <v>0</v>
      </c>
      <c r="KP20" s="15" t="str">
        <f>IF('Raw Data'!KD27="","",'Raw Data'!KD27)</f>
        <v/>
      </c>
      <c r="KQ20" s="15" t="str">
        <f>IF('Raw Data'!KE27="","",'Raw Data'!KE27)</f>
        <v/>
      </c>
      <c r="KR20" s="15" t="str">
        <f>IF('Raw Data'!KF27="","",'Raw Data'!KF27)</f>
        <v>oui</v>
      </c>
      <c r="KS20" s="15" t="str">
        <f>IF('Raw Data'!KG27="","",'Raw Data'!KG27)</f>
        <v>manque_moyens manque_d'information insecurite_zone probleme_orientation manque_personnes</v>
      </c>
      <c r="KT20" s="15" t="str">
        <f>IF('Raw Data'!KH27="","",'Raw Data'!KH27)</f>
        <v>1</v>
      </c>
      <c r="KU20" s="15" t="str">
        <f>IF('Raw Data'!KI27="","",'Raw Data'!KI27)</f>
        <v>1</v>
      </c>
      <c r="KV20" s="15" t="str">
        <f>IF('Raw Data'!KJ27="","",'Raw Data'!KJ27)</f>
        <v>1</v>
      </c>
      <c r="KW20" s="15" t="str">
        <f>IF('Raw Data'!KK27="","",'Raw Data'!KK27)</f>
        <v>1</v>
      </c>
      <c r="KX20" s="15" t="str">
        <f>IF('Raw Data'!KL27="","",'Raw Data'!KL27)</f>
        <v>1</v>
      </c>
      <c r="KY20" s="15" t="str">
        <f>IF('Raw Data'!KM27="","",'Raw Data'!KM27)</f>
        <v>0</v>
      </c>
      <c r="KZ20" s="15" t="str">
        <f>IF('Raw Data'!KN27="","",'Raw Data'!KN27)</f>
        <v>0</v>
      </c>
      <c r="LA20" s="15" t="str">
        <f>IF('Raw Data'!KO27="","",'Raw Data'!KO27)</f>
        <v>0</v>
      </c>
      <c r="LB20" s="15" t="str">
        <f>IF('Raw Data'!KP27="","",'Raw Data'!KP27)</f>
        <v>0</v>
      </c>
      <c r="LC20" s="15" t="str">
        <f>IF('Raw Data'!KQ27="","",'Raw Data'!KQ27)</f>
        <v>0</v>
      </c>
      <c r="LD20" s="15" t="str">
        <f>IF('Raw Data'!KR27="","",'Raw Data'!KR27)</f>
        <v>0</v>
      </c>
      <c r="LE20" s="15" t="str">
        <f>IF('Raw Data'!KS27="","",'Raw Data'!KS27)</f>
        <v/>
      </c>
      <c r="LF20" s="15" t="str">
        <f>IF('Raw Data'!KT27="","",'Raw Data'!KT27)</f>
        <v>pb_logistiques pb_protection_donnee pb_secu</v>
      </c>
      <c r="LG20" s="15" t="str">
        <f>IF('Raw Data'!KU27="","",'Raw Data'!KU27)</f>
        <v>1</v>
      </c>
      <c r="LH20" s="15" t="str">
        <f>IF('Raw Data'!KV27="","",'Raw Data'!KV27)</f>
        <v>1</v>
      </c>
      <c r="LI20" s="15" t="str">
        <f>IF('Raw Data'!KW27="","",'Raw Data'!KW27)</f>
        <v>1</v>
      </c>
      <c r="LJ20" s="15" t="str">
        <f>IF('Raw Data'!KX27="","",'Raw Data'!KX27)</f>
        <v>0</v>
      </c>
      <c r="LK20" s="15" t="str">
        <f>IF('Raw Data'!KY27="","",'Raw Data'!KY27)</f>
        <v>0</v>
      </c>
      <c r="LL20" s="15" t="str">
        <f>IF('Raw Data'!KZ27="","",'Raw Data'!KZ27)</f>
        <v>0</v>
      </c>
      <c r="LM20" s="15" t="str">
        <f>IF('Raw Data'!LA27="","",'Raw Data'!LA27)</f>
        <v/>
      </c>
      <c r="LN20" s="15" t="str">
        <f>IF('Raw Data'!LB27="","",'Raw Data'!LB27)</f>
        <v>non</v>
      </c>
      <c r="LO20" s="15" t="str">
        <f>IF('Raw Data'!LC27="","",'Raw Data'!LC27)</f>
        <v/>
      </c>
      <c r="LP20" s="15" t="str">
        <f>IF('Raw Data'!LD27="","",'Raw Data'!LD27)</f>
        <v/>
      </c>
      <c r="LQ20" s="15" t="str">
        <f>IF('Raw Data'!LE27="","",'Raw Data'!LE27)</f>
        <v/>
      </c>
      <c r="LR20" s="15" t="str">
        <f>IF('Raw Data'!LF27="","",'Raw Data'!LF27)</f>
        <v/>
      </c>
      <c r="LS20" s="15" t="str">
        <f>IF('Raw Data'!LG27="","",'Raw Data'!LG27)</f>
        <v/>
      </c>
      <c r="LT20" s="15" t="str">
        <f>IF('Raw Data'!LH27="","",'Raw Data'!LH27)</f>
        <v/>
      </c>
      <c r="LU20" s="15" t="str">
        <f>IF('Raw Data'!LI27="","",'Raw Data'!LI27)</f>
        <v/>
      </c>
      <c r="LV20" s="15" t="str">
        <f>IF('Raw Data'!LJ27="","",'Raw Data'!LJ27)</f>
        <v/>
      </c>
      <c r="LW20" s="15" t="str">
        <f>IF('Raw Data'!LK27="","",'Raw Data'!LK27)</f>
        <v/>
      </c>
      <c r="LX20" s="15" t="str">
        <f>IF('Raw Data'!LL27="","",'Raw Data'!LL27)</f>
        <v/>
      </c>
      <c r="LY20" s="15" t="str">
        <f>IF('Raw Data'!LM27="","",'Raw Data'!LM27)</f>
        <v/>
      </c>
      <c r="LZ20" s="15" t="str">
        <f>IF('Raw Data'!LN27="","",'Raw Data'!LN27)</f>
        <v/>
      </c>
      <c r="MA20" s="15" t="str">
        <f>IF('Raw Data'!LO27="","",'Raw Data'!LO27)</f>
        <v/>
      </c>
      <c r="MB20" s="15" t="str">
        <f>IF('Raw Data'!LP27="","",'Raw Data'!LP27)</f>
        <v>oui</v>
      </c>
      <c r="MC20" s="15" t="str">
        <f>IF('Raw Data'!LQ27="","",'Raw Data'!LQ27)</f>
        <v/>
      </c>
      <c r="MD20" s="15" t="str">
        <f>IF('Raw Data'!LR27="","",'Raw Data'!LR27)</f>
        <v>Problème de nourriture et appui conseil</v>
      </c>
      <c r="ME20" s="15">
        <f>IF('Raw Data'!LS27="","",'Raw Data'!LS27)</f>
        <v>169351662</v>
      </c>
      <c r="MF20" s="15" t="str">
        <f>IF('Raw Data'!LT27="","",'Raw Data'!LT27)</f>
        <v>fcd0c38c-be4e-4ab1-ae99-c54b5563b42e</v>
      </c>
      <c r="MG20" s="15" t="str">
        <f>IF('Raw Data'!LU27="","",'Raw Data'!LU27)</f>
        <v>2021-04-02T19:02:03</v>
      </c>
      <c r="MH20" s="15" t="str">
        <f>IF('Raw Data'!LV27="","",'Raw Data'!LV27)</f>
        <v/>
      </c>
      <c r="MI20" s="15" t="str">
        <f>IF('Raw Data'!LW27="","",'Raw Data'!LW27)</f>
        <v>[]</v>
      </c>
      <c r="MJ20" s="15" t="str">
        <f>IF('Raw Data'!LX27="","",'Raw Data'!LX27)</f>
        <v>submitted_via_web</v>
      </c>
      <c r="MK20" s="15" t="str">
        <f>IF('Raw Data'!LY27="","",'Raw Data'!LY27)</f>
        <v>reach_niger</v>
      </c>
      <c r="ML20" s="15" t="str">
        <f>IF('Raw Data'!LZ27="","",'Raw Data'!LZ27)</f>
        <v/>
      </c>
      <c r="MM20" s="15">
        <f>IF('Raw Data'!MA27="","",'Raw Data'!MA27)</f>
        <v>28</v>
      </c>
    </row>
    <row r="21" spans="1:351" x14ac:dyDescent="0.3">
      <c r="A21" s="26" t="str">
        <f t="shared" si="0"/>
        <v>da3345dd-a270-4710-bd73-3491a6a19bb6</v>
      </c>
      <c r="B21" s="26" t="str">
        <f t="shared" si="1"/>
        <v>diagourou</v>
      </c>
      <c r="C21" s="26" t="str">
        <f t="shared" si="2"/>
        <v>E</v>
      </c>
      <c r="D21" s="14" t="str">
        <f>IF('Raw Data'!A23="","",'Raw Data'!A23)</f>
        <v>2021-04-01T12:47:49.980+01:00</v>
      </c>
      <c r="E21" s="14" t="str">
        <f>IF('Raw Data'!B23="","",'Raw Data'!B23)</f>
        <v>2021-04-01T13:05:12.105+01:00</v>
      </c>
      <c r="F21" s="30">
        <v>44287.533206018517</v>
      </c>
      <c r="G21" s="30">
        <v>44287.545277777775</v>
      </c>
      <c r="H21" s="29">
        <f>VLOOKUP(A21,Audit[#All],2,FALSE)</f>
        <v>17.37</v>
      </c>
      <c r="I21" s="29">
        <f>VLOOKUP(A21,Audit[#All],3,FALSE)</f>
        <v>17.239999999999998</v>
      </c>
      <c r="J21" s="29">
        <f>VLOOKUP(A21,Audit[#All],4,FALSE)</f>
        <v>16.43</v>
      </c>
      <c r="K21" s="29">
        <f>VLOOKUP(A21,nb_questions[#All],2,FALSE)</f>
        <v>71</v>
      </c>
      <c r="L21" s="29">
        <f t="shared" si="3"/>
        <v>59</v>
      </c>
      <c r="M21" s="14" t="str">
        <f>IF('Raw Data'!C23="","",'Raw Data'!C23)</f>
        <v>2021-04-01</v>
      </c>
      <c r="N21" s="14" t="str">
        <f>IF('Raw Data'!D23="","",'Raw Data'!D23)</f>
        <v/>
      </c>
      <c r="O21" s="14" t="str">
        <f>IF('Raw Data'!E23="","",'Raw Data'!E23)</f>
        <v/>
      </c>
      <c r="P21" s="29" t="str">
        <f>VLOOKUP(A21,code_enqueteurs[#All],3,FALSE)</f>
        <v>E</v>
      </c>
      <c r="Q21" s="29" t="s">
        <v>1650</v>
      </c>
      <c r="R21" s="14" t="str">
        <f>IF('Raw Data'!F23="","",'Raw Data'!F23)</f>
        <v>Homme</v>
      </c>
      <c r="S21" s="15" t="str">
        <f>IF('Raw Data'!G23="","",'Raw Data'!G23)</f>
        <v>tera</v>
      </c>
      <c r="T21" s="15" t="str">
        <f>IF('Raw Data'!H23="","",'Raw Data'!H23)</f>
        <v>diagourou</v>
      </c>
      <c r="U21" s="31" t="s">
        <v>1046</v>
      </c>
      <c r="V21" s="31"/>
      <c r="W21" s="15" t="str">
        <f>IF('Raw Data'!K23="","",'Raw Data'!K23)</f>
        <v/>
      </c>
      <c r="X21" s="15" t="str">
        <f>IF('Raw Data'!L23="","",'Raw Data'!L23)</f>
        <v/>
      </c>
      <c r="Y21" s="15" t="str">
        <f>IF('Raw Data'!M23="","",'Raw Data'!M23)</f>
        <v/>
      </c>
      <c r="Z21" s="15" t="str">
        <f>IF('Raw Data'!N23="","",'Raw Data'!N23)</f>
        <v/>
      </c>
      <c r="AA21" s="15" t="str">
        <f>IF('Raw Data'!O23="","",'Raw Data'!O23)</f>
        <v/>
      </c>
      <c r="AB21" s="15" t="str">
        <f>IF('Raw Data'!P23="","",'Raw Data'!P23)</f>
        <v/>
      </c>
      <c r="AC21" s="15" t="str">
        <f>IF('Raw Data'!Q23="","",'Raw Data'!Q23)</f>
        <v/>
      </c>
      <c r="AD21" s="15" t="str">
        <f>IF('Raw Data'!R23="","",'Raw Data'!R23)</f>
        <v>Homme</v>
      </c>
      <c r="AE21" s="15" t="str">
        <f>IF('Raw Data'!S23="","",'Raw Data'!S23)</f>
        <v>41</v>
      </c>
      <c r="AF21" s="31" t="s">
        <v>503</v>
      </c>
      <c r="AG21" s="31"/>
      <c r="AH21" s="15" t="str">
        <f>IF('Raw Data'!V23="","",'Raw Data'!V23)</f>
        <v/>
      </c>
      <c r="AI21" s="15" t="str">
        <f>IF('Raw Data'!W23="","",'Raw Data'!W23)</f>
        <v/>
      </c>
      <c r="AJ21" s="15" t="str">
        <f>IF('Raw Data'!X23="","",'Raw Data'!X23)</f>
        <v/>
      </c>
      <c r="AK21" s="15" t="str">
        <f>IF('Raw Data'!Y23="","",'Raw Data'!Y23)</f>
        <v/>
      </c>
      <c r="AL21" s="15" t="str">
        <f>IF('Raw Data'!Z23="","",'Raw Data'!Z23)</f>
        <v/>
      </c>
      <c r="AM21" s="15" t="str">
        <f>IF('Raw Data'!AA23="","",'Raw Data'!AA23)</f>
        <v/>
      </c>
      <c r="AN21" s="15" t="str">
        <f>IF('Raw Data'!AB23="","",'Raw Data'!AB23)</f>
        <v/>
      </c>
      <c r="AO21" s="15" t="str">
        <f>IF('Raw Data'!AC23="","",'Raw Data'!AC23)</f>
        <v/>
      </c>
      <c r="AP21" s="15" t="str">
        <f>IF('Raw Data'!AD23="","",'Raw Data'!AD23)</f>
        <v/>
      </c>
      <c r="AQ21" s="15" t="str">
        <f>IF('Raw Data'!AE23="","",'Raw Data'!AE23)</f>
        <v/>
      </c>
      <c r="AR21" s="15" t="str">
        <f>IF('Raw Data'!AF23="","",'Raw Data'!AF23)</f>
        <v/>
      </c>
      <c r="AS21" s="15" t="str">
        <f>IF('Raw Data'!AG23="","",'Raw Data'!AG23)</f>
        <v>oui</v>
      </c>
      <c r="AT21" s="15" t="str">
        <f>IF('Raw Data'!AH23="","",'Raw Data'!AH23)</f>
        <v>extorsions Vols_braquages Combat_groupes_armes Violences_physique_civils Attaques_ecoles_sante</v>
      </c>
      <c r="AU21" s="15" t="str">
        <f>IF('Raw Data'!AI23="","",'Raw Data'!AI23)</f>
        <v>1</v>
      </c>
      <c r="AV21" s="15" t="str">
        <f>IF('Raw Data'!AJ23="","",'Raw Data'!AJ23)</f>
        <v>0</v>
      </c>
      <c r="AW21" s="15" t="str">
        <f>IF('Raw Data'!AK23="","",'Raw Data'!AK23)</f>
        <v>1</v>
      </c>
      <c r="AX21" s="15" t="str">
        <f>IF('Raw Data'!AL23="","",'Raw Data'!AL23)</f>
        <v>1</v>
      </c>
      <c r="AY21" s="15" t="str">
        <f>IF('Raw Data'!AM23="","",'Raw Data'!AM23)</f>
        <v>1</v>
      </c>
      <c r="AZ21" s="15" t="str">
        <f>IF('Raw Data'!AN23="","",'Raw Data'!AN23)</f>
        <v>0</v>
      </c>
      <c r="BA21" s="15" t="str">
        <f>IF('Raw Data'!AO23="","",'Raw Data'!AO23)</f>
        <v>0</v>
      </c>
      <c r="BB21" s="15" t="str">
        <f>IF('Raw Data'!AP23="","",'Raw Data'!AP23)</f>
        <v>1</v>
      </c>
      <c r="BC21" s="15" t="str">
        <f>IF('Raw Data'!AQ23="","",'Raw Data'!AQ23)</f>
        <v>0</v>
      </c>
      <c r="BD21" s="15" t="str">
        <f>IF('Raw Data'!AR23="","",'Raw Data'!AR23)</f>
        <v>0</v>
      </c>
      <c r="BE21" s="15" t="str">
        <f>IF('Raw Data'!AS23="","",'Raw Data'!AS23)</f>
        <v>0</v>
      </c>
      <c r="BF21" s="15" t="str">
        <f>IF('Raw Data'!AT23="","",'Raw Data'!AT23)</f>
        <v>0</v>
      </c>
      <c r="BG21" s="15" t="str">
        <f>IF('Raw Data'!AU23="","",'Raw Data'!AU23)</f>
        <v>0</v>
      </c>
      <c r="BH21" s="15" t="str">
        <f>IF('Raw Data'!AV23="","",'Raw Data'!AV23)</f>
        <v>0</v>
      </c>
      <c r="BI21" s="15" t="str">
        <f>IF('Raw Data'!AW23="","",'Raw Data'!AW23)</f>
        <v/>
      </c>
      <c r="BJ21" s="15" t="str">
        <f>IF('Raw Data'!AX23="","",'Raw Data'!AX23)</f>
        <v>Bebes/Bambins Enfants Filles Femmes_agees Hommes_ages</v>
      </c>
      <c r="BK21" s="15" t="str">
        <f>IF('Raw Data'!AY23="","",'Raw Data'!AY23)</f>
        <v>1</v>
      </c>
      <c r="BL21" s="15" t="str">
        <f>IF('Raw Data'!AZ23="","",'Raw Data'!AZ23)</f>
        <v>1</v>
      </c>
      <c r="BM21" s="15" t="str">
        <f>IF('Raw Data'!BA23="","",'Raw Data'!BA23)</f>
        <v>1</v>
      </c>
      <c r="BN21" s="15" t="str">
        <f>IF('Raw Data'!BB23="","",'Raw Data'!BB23)</f>
        <v>0</v>
      </c>
      <c r="BO21" s="15" t="str">
        <f>IF('Raw Data'!BC23="","",'Raw Data'!BC23)</f>
        <v>0</v>
      </c>
      <c r="BP21" s="15" t="str">
        <f>IF('Raw Data'!BD23="","",'Raw Data'!BD23)</f>
        <v>0</v>
      </c>
      <c r="BQ21" s="15" t="str">
        <f>IF('Raw Data'!BE23="","",'Raw Data'!BE23)</f>
        <v>1</v>
      </c>
      <c r="BR21" s="15" t="str">
        <f>IF('Raw Data'!BF23="","",'Raw Data'!BF23)</f>
        <v>1</v>
      </c>
      <c r="BS21" s="15" t="str">
        <f>IF('Raw Data'!BG23="","",'Raw Data'!BG23)</f>
        <v>0</v>
      </c>
      <c r="BT21" s="15" t="str">
        <f>IF('Raw Data'!BH23="","",'Raw Data'!BH23)</f>
        <v>0</v>
      </c>
      <c r="BU21" s="15" t="str">
        <f>IF('Raw Data'!BI23="","",'Raw Data'!BI23)</f>
        <v>0</v>
      </c>
      <c r="BV21" s="15" t="str">
        <f>IF('Raw Data'!BJ23="","",'Raw Data'!BJ23)</f>
        <v>0</v>
      </c>
      <c r="BW21" s="15" t="str">
        <f>IF('Raw Data'!BK23="","",'Raw Data'!BK23)</f>
        <v>0</v>
      </c>
      <c r="BX21" s="15" t="str">
        <f>IF('Raw Data'!BL23="","",'Raw Data'!BL23)</f>
        <v>0</v>
      </c>
      <c r="BY21" s="15" t="str">
        <f>IF('Raw Data'!BM23="","",'Raw Data'!BM23)</f>
        <v/>
      </c>
      <c r="BZ21" s="15" t="str">
        <f>IF('Raw Data'!BN23="","",'Raw Data'!BN23)</f>
        <v>4</v>
      </c>
      <c r="CA21" s="15" t="str">
        <f>IF('Raw Data'!BO23="","",'Raw Data'!BO23)</f>
        <v>augmente</v>
      </c>
      <c r="CB21" s="15" t="str">
        <f>IF('Raw Data'!BP23="","",'Raw Data'!BP23)</f>
        <v/>
      </c>
      <c r="CC21" s="15" t="str">
        <f>IF('Raw Data'!BQ23="","",'Raw Data'!BQ23)</f>
        <v>oui</v>
      </c>
      <c r="CD21" s="15" t="str">
        <f>IF('Raw Data'!BR23="","",'Raw Data'!BR23)</f>
        <v>menace agression_psychologique agression_physique viol defus_de_acces_aide</v>
      </c>
      <c r="CE21" s="15" t="str">
        <f>IF('Raw Data'!BS23="","",'Raw Data'!BS23)</f>
        <v>1</v>
      </c>
      <c r="CF21" s="15" t="str">
        <f>IF('Raw Data'!BT23="","",'Raw Data'!BT23)</f>
        <v>0</v>
      </c>
      <c r="CG21" s="15" t="str">
        <f>IF('Raw Data'!BU23="","",'Raw Data'!BU23)</f>
        <v>1</v>
      </c>
      <c r="CH21" s="15" t="str">
        <f>IF('Raw Data'!BV23="","",'Raw Data'!BV23)</f>
        <v>0</v>
      </c>
      <c r="CI21" s="15" t="str">
        <f>IF('Raw Data'!BW23="","",'Raw Data'!BW23)</f>
        <v>1</v>
      </c>
      <c r="CJ21" s="15" t="str">
        <f>IF('Raw Data'!BX23="","",'Raw Data'!BX23)</f>
        <v>0</v>
      </c>
      <c r="CK21" s="15" t="str">
        <f>IF('Raw Data'!BY23="","",'Raw Data'!BY23)</f>
        <v>0</v>
      </c>
      <c r="CL21" s="15" t="str">
        <f>IF('Raw Data'!BZ23="","",'Raw Data'!BZ23)</f>
        <v>1</v>
      </c>
      <c r="CM21" s="15" t="str">
        <f>IF('Raw Data'!CA23="","",'Raw Data'!CA23)</f>
        <v>0</v>
      </c>
      <c r="CN21" s="15" t="str">
        <f>IF('Raw Data'!CB23="","",'Raw Data'!CB23)</f>
        <v>0</v>
      </c>
      <c r="CO21" s="15" t="str">
        <f>IF('Raw Data'!CC23="","",'Raw Data'!CC23)</f>
        <v>1</v>
      </c>
      <c r="CP21" s="15" t="str">
        <f>IF('Raw Data'!CD23="","",'Raw Data'!CD23)</f>
        <v>0</v>
      </c>
      <c r="CQ21" s="15" t="str">
        <f>IF('Raw Data'!CE23="","",'Raw Data'!CE23)</f>
        <v>0</v>
      </c>
      <c r="CR21" s="15" t="str">
        <f>IF('Raw Data'!CF23="","",'Raw Data'!CF23)</f>
        <v>0</v>
      </c>
      <c r="CS21" s="15" t="str">
        <f>IF('Raw Data'!CG23="","",'Raw Data'!CG23)</f>
        <v>0</v>
      </c>
      <c r="CT21" s="15" t="str">
        <f>IF('Raw Data'!CH23="","",'Raw Data'!CH23)</f>
        <v/>
      </c>
      <c r="CU21" s="15" t="str">
        <f>IF('Raw Data'!CI23="","",'Raw Data'!CI23)</f>
        <v>Bebes/Bambins Enfants Filles Femmes_agees Hommes_ages</v>
      </c>
      <c r="CV21" s="15" t="str">
        <f>IF('Raw Data'!CJ23="","",'Raw Data'!CJ23)</f>
        <v>1</v>
      </c>
      <c r="CW21" s="15" t="str">
        <f>IF('Raw Data'!CK23="","",'Raw Data'!CK23)</f>
        <v>1</v>
      </c>
      <c r="CX21" s="15" t="str">
        <f>IF('Raw Data'!CL23="","",'Raw Data'!CL23)</f>
        <v>1</v>
      </c>
      <c r="CY21" s="15" t="str">
        <f>IF('Raw Data'!CM23="","",'Raw Data'!CM23)</f>
        <v>0</v>
      </c>
      <c r="CZ21" s="15" t="str">
        <f>IF('Raw Data'!CN23="","",'Raw Data'!CN23)</f>
        <v>0</v>
      </c>
      <c r="DA21" s="15" t="str">
        <f>IF('Raw Data'!CO23="","",'Raw Data'!CO23)</f>
        <v>0</v>
      </c>
      <c r="DB21" s="15" t="str">
        <f>IF('Raw Data'!CP23="","",'Raw Data'!CP23)</f>
        <v>1</v>
      </c>
      <c r="DC21" s="15" t="str">
        <f>IF('Raw Data'!CQ23="","",'Raw Data'!CQ23)</f>
        <v>1</v>
      </c>
      <c r="DD21" s="15" t="str">
        <f>IF('Raw Data'!CR23="","",'Raw Data'!CR23)</f>
        <v>0</v>
      </c>
      <c r="DE21" s="15" t="str">
        <f>IF('Raw Data'!CS23="","",'Raw Data'!CS23)</f>
        <v>0</v>
      </c>
      <c r="DF21" s="15" t="str">
        <f>IF('Raw Data'!CT23="","",'Raw Data'!CT23)</f>
        <v>0</v>
      </c>
      <c r="DG21" s="15" t="str">
        <f>IF('Raw Data'!CU23="","",'Raw Data'!CU23)</f>
        <v>0</v>
      </c>
      <c r="DH21" s="15" t="str">
        <f>IF('Raw Data'!CV23="","",'Raw Data'!CV23)</f>
        <v>0</v>
      </c>
      <c r="DI21" s="15" t="str">
        <f>IF('Raw Data'!CW23="","",'Raw Data'!CW23)</f>
        <v>0</v>
      </c>
      <c r="DJ21" s="15" t="str">
        <f>IF('Raw Data'!CX23="","",'Raw Data'!CX23)</f>
        <v/>
      </c>
      <c r="DK21" s="15" t="str">
        <f>IF('Raw Data'!CY23="","",'Raw Data'!CY23)</f>
        <v>4</v>
      </c>
      <c r="DL21" s="15" t="str">
        <f>IF('Raw Data'!CZ23="","",'Raw Data'!CZ23)</f>
        <v>augmente</v>
      </c>
      <c r="DM21" s="15" t="str">
        <f>IF('Raw Data'!DA23="","",'Raw Data'!DA23)</f>
        <v/>
      </c>
      <c r="DN21" s="15" t="str">
        <f>IF('Raw Data'!DB23="","",'Raw Data'!DB23)</f>
        <v>hausse_chomeurs deterioration_con_abris deterioration_acces_service_base</v>
      </c>
      <c r="DO21" s="15" t="str">
        <f>IF('Raw Data'!DC23="","",'Raw Data'!DC23)</f>
        <v>0</v>
      </c>
      <c r="DP21" s="15" t="str">
        <f>IF('Raw Data'!DD23="","",'Raw Data'!DD23)</f>
        <v>1</v>
      </c>
      <c r="DQ21" s="15" t="str">
        <f>IF('Raw Data'!DE23="","",'Raw Data'!DE23)</f>
        <v>1</v>
      </c>
      <c r="DR21" s="15" t="str">
        <f>IF('Raw Data'!DF23="","",'Raw Data'!DF23)</f>
        <v>0</v>
      </c>
      <c r="DS21" s="15" t="str">
        <f>IF('Raw Data'!DG23="","",'Raw Data'!DG23)</f>
        <v>0</v>
      </c>
      <c r="DT21" s="15" t="str">
        <f>IF('Raw Data'!DH23="","",'Raw Data'!DH23)</f>
        <v>0</v>
      </c>
      <c r="DU21" s="15" t="str">
        <f>IF('Raw Data'!DI23="","",'Raw Data'!DI23)</f>
        <v>1</v>
      </c>
      <c r="DV21" s="15" t="str">
        <f>IF('Raw Data'!DJ23="","",'Raw Data'!DJ23)</f>
        <v>0</v>
      </c>
      <c r="DW21" s="15" t="str">
        <f>IF('Raw Data'!DK23="","",'Raw Data'!DK23)</f>
        <v>0</v>
      </c>
      <c r="DX21" s="15" t="str">
        <f>IF('Raw Data'!DL23="","",'Raw Data'!DL23)</f>
        <v>0</v>
      </c>
      <c r="DY21" s="15" t="str">
        <f>IF('Raw Data'!DM23="","",'Raw Data'!DM23)</f>
        <v/>
      </c>
      <c r="DZ21" s="15" t="str">
        <f>IF('Raw Data'!DN23="","",'Raw Data'!DN23)</f>
        <v/>
      </c>
      <c r="EA21" s="15" t="str">
        <f>IF('Raw Data'!DO23="","",'Raw Data'!DO23)</f>
        <v/>
      </c>
      <c r="EB21" s="15" t="str">
        <f>IF('Raw Data'!DP23="","",'Raw Data'!DP23)</f>
        <v/>
      </c>
      <c r="EC21" s="15" t="str">
        <f>IF('Raw Data'!DQ23="","",'Raw Data'!DQ23)</f>
        <v/>
      </c>
      <c r="ED21" s="15" t="str">
        <f>IF('Raw Data'!DR23="","",'Raw Data'!DR23)</f>
        <v/>
      </c>
      <c r="EE21" s="15" t="str">
        <f>IF('Raw Data'!DS23="","",'Raw Data'!DS23)</f>
        <v/>
      </c>
      <c r="EF21" s="15" t="str">
        <f>IF('Raw Data'!DT23="","",'Raw Data'!DT23)</f>
        <v/>
      </c>
      <c r="EG21" s="15" t="str">
        <f>IF('Raw Data'!DU23="","",'Raw Data'!DU23)</f>
        <v/>
      </c>
      <c r="EH21" s="15" t="str">
        <f>IF('Raw Data'!DV23="","",'Raw Data'!DV23)</f>
        <v/>
      </c>
      <c r="EI21" s="15" t="str">
        <f>IF('Raw Data'!DW23="","",'Raw Data'!DW23)</f>
        <v/>
      </c>
      <c r="EJ21" s="15" t="str">
        <f>IF('Raw Data'!DX23="","",'Raw Data'!DX23)</f>
        <v/>
      </c>
      <c r="EK21" s="15" t="str">
        <f>IF('Raw Data'!DY23="","",'Raw Data'!DY23)</f>
        <v/>
      </c>
      <c r="EL21" s="15" t="str">
        <f>IF('Raw Data'!DZ23="","",'Raw Data'!DZ23)</f>
        <v>Soutien_famille_amis</v>
      </c>
      <c r="EM21" s="15" t="str">
        <f>IF('Raw Data'!EA23="","",'Raw Data'!EA23)</f>
        <v>0</v>
      </c>
      <c r="EN21" s="15" t="str">
        <f>IF('Raw Data'!EB23="","",'Raw Data'!EB23)</f>
        <v>0</v>
      </c>
      <c r="EO21" s="15" t="str">
        <f>IF('Raw Data'!EC23="","",'Raw Data'!EC23)</f>
        <v>1</v>
      </c>
      <c r="EP21" s="15" t="str">
        <f>IF('Raw Data'!ED23="","",'Raw Data'!ED23)</f>
        <v>0</v>
      </c>
      <c r="EQ21" s="15" t="str">
        <f>IF('Raw Data'!EE23="","",'Raw Data'!EE23)</f>
        <v>0</v>
      </c>
      <c r="ER21" s="15" t="str">
        <f>IF('Raw Data'!EF23="","",'Raw Data'!EF23)</f>
        <v>0</v>
      </c>
      <c r="ES21" s="15" t="str">
        <f>IF('Raw Data'!EG23="","",'Raw Data'!EG23)</f>
        <v>0</v>
      </c>
      <c r="ET21" s="15" t="str">
        <f>IF('Raw Data'!EH23="","",'Raw Data'!EH23)</f>
        <v>0</v>
      </c>
      <c r="EU21" s="15" t="str">
        <f>IF('Raw Data'!EI23="","",'Raw Data'!EI23)</f>
        <v>0</v>
      </c>
      <c r="EV21" s="15" t="str">
        <f>IF('Raw Data'!EJ23="","",'Raw Data'!EJ23)</f>
        <v/>
      </c>
      <c r="EW21" s="15" t="str">
        <f>IF('Raw Data'!EK23="","",'Raw Data'!EK23)</f>
        <v/>
      </c>
      <c r="EX21" s="15" t="str">
        <f>IF('Raw Data'!EL23="","",'Raw Data'!EL23)</f>
        <v>famille_accueil comite_protection comite_redevabilite</v>
      </c>
      <c r="EY21" s="15" t="str">
        <f>IF('Raw Data'!EM23="","",'Raw Data'!EM23)</f>
        <v>0</v>
      </c>
      <c r="EZ21" s="15" t="str">
        <f>IF('Raw Data'!EN23="","",'Raw Data'!EN23)</f>
        <v>1</v>
      </c>
      <c r="FA21" s="15" t="str">
        <f>IF('Raw Data'!EO23="","",'Raw Data'!EO23)</f>
        <v>1</v>
      </c>
      <c r="FB21" s="15" t="str">
        <f>IF('Raw Data'!EP23="","",'Raw Data'!EP23)</f>
        <v>0</v>
      </c>
      <c r="FC21" s="15" t="str">
        <f>IF('Raw Data'!EQ23="","",'Raw Data'!EQ23)</f>
        <v>1</v>
      </c>
      <c r="FD21" s="15" t="str">
        <f>IF('Raw Data'!ER23="","",'Raw Data'!ER23)</f>
        <v>0</v>
      </c>
      <c r="FE21" s="15" t="str">
        <f>IF('Raw Data'!ES23="","",'Raw Data'!ES23)</f>
        <v>0</v>
      </c>
      <c r="FF21" s="15" t="str">
        <f>IF('Raw Data'!ET23="","",'Raw Data'!ET23)</f>
        <v>0</v>
      </c>
      <c r="FG21" s="15" t="str">
        <f>IF('Raw Data'!EU23="","",'Raw Data'!EU23)</f>
        <v>0</v>
      </c>
      <c r="FH21" s="15" t="str">
        <f>IF('Raw Data'!EV23="","",'Raw Data'!EV23)</f>
        <v>0</v>
      </c>
      <c r="FI21" s="15" t="str">
        <f>IF('Raw Data'!EW23="","",'Raw Data'!EW23)</f>
        <v/>
      </c>
      <c r="FJ21" s="15" t="str">
        <f>IF('Raw Data'!EX23="","",'Raw Data'!EX23)</f>
        <v>oui</v>
      </c>
      <c r="FK21" s="15" t="str">
        <f>IF('Raw Data'!EY23="","",'Raw Data'!EY23)</f>
        <v>manif_sociales Leaders_religieux famille_amis</v>
      </c>
      <c r="FL21" s="15" t="str">
        <f>IF('Raw Data'!EZ23="","",'Raw Data'!EZ23)</f>
        <v>0</v>
      </c>
      <c r="FM21" s="15" t="str">
        <f>IF('Raw Data'!FA23="","",'Raw Data'!FA23)</f>
        <v>0</v>
      </c>
      <c r="FN21" s="15" t="str">
        <f>IF('Raw Data'!FB23="","",'Raw Data'!FB23)</f>
        <v>0</v>
      </c>
      <c r="FO21" s="15" t="str">
        <f>IF('Raw Data'!FC23="","",'Raw Data'!FC23)</f>
        <v>1</v>
      </c>
      <c r="FP21" s="15" t="str">
        <f>IF('Raw Data'!FD23="","",'Raw Data'!FD23)</f>
        <v>0</v>
      </c>
      <c r="FQ21" s="15" t="str">
        <f>IF('Raw Data'!FE23="","",'Raw Data'!FE23)</f>
        <v>1</v>
      </c>
      <c r="FR21" s="15" t="str">
        <f>IF('Raw Data'!FF23="","",'Raw Data'!FF23)</f>
        <v>1</v>
      </c>
      <c r="FS21" s="15" t="str">
        <f>IF('Raw Data'!FG23="","",'Raw Data'!FG23)</f>
        <v>0</v>
      </c>
      <c r="FT21" s="15" t="str">
        <f>IF('Raw Data'!FH23="","",'Raw Data'!FH23)</f>
        <v>0</v>
      </c>
      <c r="FU21" s="15" t="str">
        <f>IF('Raw Data'!FI23="","",'Raw Data'!FI23)</f>
        <v>0</v>
      </c>
      <c r="FV21" s="15" t="str">
        <f>IF('Raw Data'!FJ23="","",'Raw Data'!FJ23)</f>
        <v>0</v>
      </c>
      <c r="FW21" s="15" t="str">
        <f>IF('Raw Data'!FK23="","",'Raw Data'!FK23)</f>
        <v>0</v>
      </c>
      <c r="FX21" s="15" t="str">
        <f>IF('Raw Data'!FL23="","",'Raw Data'!FL23)</f>
        <v>0</v>
      </c>
      <c r="FY21" s="15" t="str">
        <f>IF('Raw Data'!FM23="","",'Raw Data'!FM23)</f>
        <v>0</v>
      </c>
      <c r="FZ21" s="15" t="str">
        <f>IF('Raw Data'!FN23="","",'Raw Data'!FN23)</f>
        <v/>
      </c>
      <c r="GA21" s="15" t="str">
        <f>IF('Raw Data'!FO23="","",'Raw Data'!FO23)</f>
        <v>oui_minorite</v>
      </c>
      <c r="GB21" s="15" t="str">
        <f>IF('Raw Data'!FP23="","",'Raw Data'!FP23)</f>
        <v>oui_minorite</v>
      </c>
      <c r="GC21" s="15" t="str">
        <f>IF('Raw Data'!FQ23="","",'Raw Data'!FQ23)</f>
        <v>manque_info trop_du_monde non_fonctionnelle</v>
      </c>
      <c r="GD21" s="15" t="str">
        <f>IF('Raw Data'!FR23="","",'Raw Data'!FR23)</f>
        <v>1</v>
      </c>
      <c r="GE21" s="15" t="str">
        <f>IF('Raw Data'!FS23="","",'Raw Data'!FS23)</f>
        <v>1</v>
      </c>
      <c r="GF21" s="15" t="str">
        <f>IF('Raw Data'!FT23="","",'Raw Data'!FT23)</f>
        <v>0</v>
      </c>
      <c r="GG21" s="15" t="str">
        <f>IF('Raw Data'!FU23="","",'Raw Data'!FU23)</f>
        <v>0</v>
      </c>
      <c r="GH21" s="15" t="str">
        <f>IF('Raw Data'!FV23="","",'Raw Data'!FV23)</f>
        <v>1</v>
      </c>
      <c r="GI21" s="15" t="str">
        <f>IF('Raw Data'!FW23="","",'Raw Data'!FW23)</f>
        <v>0</v>
      </c>
      <c r="GJ21" s="15" t="str">
        <f>IF('Raw Data'!FX23="","",'Raw Data'!FX23)</f>
        <v>0</v>
      </c>
      <c r="GK21" s="15" t="str">
        <f>IF('Raw Data'!FY23="","",'Raw Data'!FY23)</f>
        <v>0</v>
      </c>
      <c r="GL21" s="15" t="str">
        <f>IF('Raw Data'!FZ23="","",'Raw Data'!FZ23)</f>
        <v/>
      </c>
      <c r="GM21" s="15" t="str">
        <f>IF('Raw Data'!GA23="","",'Raw Data'!GA23)</f>
        <v>minorite</v>
      </c>
      <c r="GN21" s="15" t="str">
        <f>IF('Raw Data'!GB23="","",'Raw Data'!GB23)</f>
        <v>minorite</v>
      </c>
      <c r="GO21" s="15" t="str">
        <f>IF('Raw Data'!GC23="","",'Raw Data'!GC23)</f>
        <v>Service_de_counseling Education Services_de_sante Appui_psychosocial</v>
      </c>
      <c r="GP21" s="15" t="str">
        <f>IF('Raw Data'!GD23="","",'Raw Data'!GD23)</f>
        <v>1</v>
      </c>
      <c r="GQ21" s="15" t="str">
        <f>IF('Raw Data'!GE23="","",'Raw Data'!GE23)</f>
        <v>1</v>
      </c>
      <c r="GR21" s="15" t="str">
        <f>IF('Raw Data'!GF23="","",'Raw Data'!GF23)</f>
        <v>1</v>
      </c>
      <c r="GS21" s="15" t="str">
        <f>IF('Raw Data'!GG23="","",'Raw Data'!GG23)</f>
        <v>1</v>
      </c>
      <c r="GT21" s="15" t="str">
        <f>IF('Raw Data'!GH23="","",'Raw Data'!GH23)</f>
        <v>0</v>
      </c>
      <c r="GU21" s="15" t="str">
        <f>IF('Raw Data'!GI23="","",'Raw Data'!GI23)</f>
        <v>0</v>
      </c>
      <c r="GV21" s="15" t="str">
        <f>IF('Raw Data'!GJ23="","",'Raw Data'!GJ23)</f>
        <v>0</v>
      </c>
      <c r="GW21" s="15" t="str">
        <f>IF('Raw Data'!GK23="","",'Raw Data'!GK23)</f>
        <v>0</v>
      </c>
      <c r="GX21" s="15" t="str">
        <f>IF('Raw Data'!GL23="","",'Raw Data'!GL23)</f>
        <v>0</v>
      </c>
      <c r="GY21" s="15" t="str">
        <f>IF('Raw Data'!GM23="","",'Raw Data'!GM23)</f>
        <v/>
      </c>
      <c r="GZ21" s="15" t="str">
        <f>IF('Raw Data'!GN23="","",'Raw Data'!GN23)</f>
        <v>oui_minorite</v>
      </c>
      <c r="HA21" s="15" t="str">
        <f>IF('Raw Data'!GO23="","",'Raw Data'!GO23)</f>
        <v>oui_minorite</v>
      </c>
      <c r="HB21" s="15" t="str">
        <f>IF('Raw Data'!GP23="","",'Raw Data'!GP23)</f>
        <v>permet_obtenir_conseils permet_eviter_conflits repond_besoins_pop</v>
      </c>
      <c r="HC21" s="15" t="str">
        <f>IF('Raw Data'!GQ23="","",'Raw Data'!GQ23)</f>
        <v>0</v>
      </c>
      <c r="HD21" s="15" t="str">
        <f>IF('Raw Data'!GR23="","",'Raw Data'!GR23)</f>
        <v>1</v>
      </c>
      <c r="HE21" s="15" t="str">
        <f>IF('Raw Data'!GS23="","",'Raw Data'!GS23)</f>
        <v>1</v>
      </c>
      <c r="HF21" s="15" t="str">
        <f>IF('Raw Data'!GT23="","",'Raw Data'!GT23)</f>
        <v>1</v>
      </c>
      <c r="HG21" s="15" t="str">
        <f>IF('Raw Data'!GU23="","",'Raw Data'!GU23)</f>
        <v>0</v>
      </c>
      <c r="HH21" s="15" t="str">
        <f>IF('Raw Data'!GV23="","",'Raw Data'!GV23)</f>
        <v>0</v>
      </c>
      <c r="HI21" s="15" t="str">
        <f>IF('Raw Data'!GW23="","",'Raw Data'!GW23)</f>
        <v>0</v>
      </c>
      <c r="HJ21" s="15" t="str">
        <f>IF('Raw Data'!GX23="","",'Raw Data'!GX23)</f>
        <v>0</v>
      </c>
      <c r="HK21" s="15" t="str">
        <f>IF('Raw Data'!GY23="","",'Raw Data'!GY23)</f>
        <v/>
      </c>
      <c r="HL21" s="15" t="str">
        <f>IF('Raw Data'!GZ23="","",'Raw Data'!GZ23)</f>
        <v>ne_repond_pas non_obtention_info ne_contribue_pas</v>
      </c>
      <c r="HM21" s="15" t="str">
        <f>IF('Raw Data'!HA23="","",'Raw Data'!HA23)</f>
        <v>1</v>
      </c>
      <c r="HN21" s="15" t="str">
        <f>IF('Raw Data'!HB23="","",'Raw Data'!HB23)</f>
        <v>1</v>
      </c>
      <c r="HO21" s="15" t="str">
        <f>IF('Raw Data'!HC23="","",'Raw Data'!HC23)</f>
        <v>1</v>
      </c>
      <c r="HP21" s="15" t="str">
        <f>IF('Raw Data'!HD23="","",'Raw Data'!HD23)</f>
        <v>0</v>
      </c>
      <c r="HQ21" s="15" t="str">
        <f>IF('Raw Data'!HE23="","",'Raw Data'!HE23)</f>
        <v>0</v>
      </c>
      <c r="HR21" s="15" t="str">
        <f>IF('Raw Data'!HF23="","",'Raw Data'!HF23)</f>
        <v>0</v>
      </c>
      <c r="HS21" s="15" t="str">
        <f>IF('Raw Data'!HG23="","",'Raw Data'!HG23)</f>
        <v/>
      </c>
      <c r="HT21" s="15" t="str">
        <f>IF('Raw Data'!HH23="","",'Raw Data'!HH23)</f>
        <v/>
      </c>
      <c r="HU21" s="15" t="str">
        <f>IF('Raw Data'!HI23="","",'Raw Data'!HI23)</f>
        <v>oui_minorite</v>
      </c>
      <c r="HV21" s="15" t="str">
        <f>IF('Raw Data'!HJ23="","",'Raw Data'!HJ23)</f>
        <v>ong_locale ingo un_agencies</v>
      </c>
      <c r="HW21" s="15" t="str">
        <f>IF('Raw Data'!HK23="","",'Raw Data'!HK23)</f>
        <v>0</v>
      </c>
      <c r="HX21" s="15" t="str">
        <f>IF('Raw Data'!HL23="","",'Raw Data'!HL23)</f>
        <v>0</v>
      </c>
      <c r="HY21" s="15" t="str">
        <f>IF('Raw Data'!HM23="","",'Raw Data'!HM23)</f>
        <v>0</v>
      </c>
      <c r="HZ21" s="15" t="str">
        <f>IF('Raw Data'!HN23="","",'Raw Data'!HN23)</f>
        <v>1</v>
      </c>
      <c r="IA21" s="15" t="str">
        <f>IF('Raw Data'!HO23="","",'Raw Data'!HO23)</f>
        <v>1</v>
      </c>
      <c r="IB21" s="15" t="str">
        <f>IF('Raw Data'!HP23="","",'Raw Data'!HP23)</f>
        <v>1</v>
      </c>
      <c r="IC21" s="15" t="str">
        <f>IF('Raw Data'!HQ23="","",'Raw Data'!HQ23)</f>
        <v>0</v>
      </c>
      <c r="ID21" s="15" t="str">
        <f>IF('Raw Data'!HR23="","",'Raw Data'!HR23)</f>
        <v>0</v>
      </c>
      <c r="IE21" s="15" t="str">
        <f>IF('Raw Data'!HS23="","",'Raw Data'!HS23)</f>
        <v>0</v>
      </c>
      <c r="IF21" s="15" t="str">
        <f>IF('Raw Data'!HT23="","",'Raw Data'!HT23)</f>
        <v>0</v>
      </c>
      <c r="IG21" s="15" t="str">
        <f>IF('Raw Data'!HU23="","",'Raw Data'!HU23)</f>
        <v/>
      </c>
      <c r="IH21" s="15" t="str">
        <f>IF('Raw Data'!HV23="","",'Raw Data'!HV23)</f>
        <v>oui</v>
      </c>
      <c r="II21" s="15" t="str">
        <f>IF('Raw Data'!HW23="","",'Raw Data'!HW23)</f>
        <v/>
      </c>
      <c r="IJ21" s="15" t="str">
        <f>IF('Raw Data'!HX23="","",'Raw Data'!HX23)</f>
        <v>Bebes/Bambins Enfants Filles Femmes_agees Hommes_ages</v>
      </c>
      <c r="IK21" s="15" t="str">
        <f>IF('Raw Data'!HY23="","",'Raw Data'!HY23)</f>
        <v>1</v>
      </c>
      <c r="IL21" s="15" t="str">
        <f>IF('Raw Data'!HZ23="","",'Raw Data'!HZ23)</f>
        <v>1</v>
      </c>
      <c r="IM21" s="15" t="str">
        <f>IF('Raw Data'!IA23="","",'Raw Data'!IA23)</f>
        <v>1</v>
      </c>
      <c r="IN21" s="15" t="str">
        <f>IF('Raw Data'!IB23="","",'Raw Data'!IB23)</f>
        <v>0</v>
      </c>
      <c r="IO21" s="15" t="str">
        <f>IF('Raw Data'!IC23="","",'Raw Data'!IC23)</f>
        <v>0</v>
      </c>
      <c r="IP21" s="15" t="str">
        <f>IF('Raw Data'!ID23="","",'Raw Data'!ID23)</f>
        <v>0</v>
      </c>
      <c r="IQ21" s="15" t="str">
        <f>IF('Raw Data'!IE23="","",'Raw Data'!IE23)</f>
        <v>1</v>
      </c>
      <c r="IR21" s="15" t="str">
        <f>IF('Raw Data'!IF23="","",'Raw Data'!IF23)</f>
        <v>1</v>
      </c>
      <c r="IS21" s="15" t="str">
        <f>IF('Raw Data'!IG23="","",'Raw Data'!IG23)</f>
        <v>0</v>
      </c>
      <c r="IT21" s="15" t="str">
        <f>IF('Raw Data'!IH23="","",'Raw Data'!IH23)</f>
        <v>0</v>
      </c>
      <c r="IU21" s="15" t="str">
        <f>IF('Raw Data'!II23="","",'Raw Data'!II23)</f>
        <v>0</v>
      </c>
      <c r="IV21" s="15" t="str">
        <f>IF('Raw Data'!IJ23="","",'Raw Data'!IJ23)</f>
        <v>0</v>
      </c>
      <c r="IW21" s="15" t="str">
        <f>IF('Raw Data'!IK23="","",'Raw Data'!IK23)</f>
        <v>0</v>
      </c>
      <c r="IX21" s="15" t="str">
        <f>IF('Raw Data'!IL23="","",'Raw Data'!IL23)</f>
        <v>0</v>
      </c>
      <c r="IY21" s="15" t="str">
        <f>IF('Raw Data'!IM23="","",'Raw Data'!IM23)</f>
        <v/>
      </c>
      <c r="IZ21" s="15" t="str">
        <f>IF('Raw Data'!IN23="","",'Raw Data'!IN23)</f>
        <v>7</v>
      </c>
      <c r="JA21" s="15" t="str">
        <f>IF('Raw Data'!IO23="","",'Raw Data'!IO23)</f>
        <v>Services_medicaux Services_educatifs Services_conseil acces_docs Appui_psychosocial</v>
      </c>
      <c r="JB21" s="15" t="str">
        <f>IF('Raw Data'!IP23="","",'Raw Data'!IP23)</f>
        <v>1</v>
      </c>
      <c r="JC21" s="15" t="str">
        <f>IF('Raw Data'!IQ23="","",'Raw Data'!IQ23)</f>
        <v>1</v>
      </c>
      <c r="JD21" s="15" t="str">
        <f>IF('Raw Data'!IR23="","",'Raw Data'!IR23)</f>
        <v>1</v>
      </c>
      <c r="JE21" s="15" t="str">
        <f>IF('Raw Data'!IS23="","",'Raw Data'!IS23)</f>
        <v>1</v>
      </c>
      <c r="JF21" s="15" t="str">
        <f>IF('Raw Data'!IT23="","",'Raw Data'!IT23)</f>
        <v>1</v>
      </c>
      <c r="JG21" s="15" t="str">
        <f>IF('Raw Data'!IU23="","",'Raw Data'!IU23)</f>
        <v>0</v>
      </c>
      <c r="JH21" s="15" t="str">
        <f>IF('Raw Data'!IV23="","",'Raw Data'!IV23)</f>
        <v>0</v>
      </c>
      <c r="JI21" s="15" t="str">
        <f>IF('Raw Data'!IW23="","",'Raw Data'!IW23)</f>
        <v>0</v>
      </c>
      <c r="JJ21" s="15" t="str">
        <f>IF('Raw Data'!IX23="","",'Raw Data'!IX23)</f>
        <v>0</v>
      </c>
      <c r="JK21" s="15" t="str">
        <f>IF('Raw Data'!IY23="","",'Raw Data'!IY23)</f>
        <v>0</v>
      </c>
      <c r="JL21" s="15" t="str">
        <f>IF('Raw Data'!IZ23="","",'Raw Data'!IZ23)</f>
        <v/>
      </c>
      <c r="JM21" s="15" t="str">
        <f>IF('Raw Data'!JA23="","",'Raw Data'!JA23)</f>
        <v>prise_enchage reorientation signalement</v>
      </c>
      <c r="JN21" s="15" t="str">
        <f>IF('Raw Data'!JB23="","",'Raw Data'!JB23)</f>
        <v>1</v>
      </c>
      <c r="JO21" s="15" t="str">
        <f>IF('Raw Data'!JC23="","",'Raw Data'!JC23)</f>
        <v>1</v>
      </c>
      <c r="JP21" s="15" t="str">
        <f>IF('Raw Data'!JD23="","",'Raw Data'!JD23)</f>
        <v>1</v>
      </c>
      <c r="JQ21" s="15" t="str">
        <f>IF('Raw Data'!JE23="","",'Raw Data'!JE23)</f>
        <v>0</v>
      </c>
      <c r="JR21" s="15" t="str">
        <f>IF('Raw Data'!JF23="","",'Raw Data'!JF23)</f>
        <v>0</v>
      </c>
      <c r="JS21" s="15" t="str">
        <f>IF('Raw Data'!JG23="","",'Raw Data'!JG23)</f>
        <v>0</v>
      </c>
      <c r="JT21" s="15" t="str">
        <f>IF('Raw Data'!JH23="","",'Raw Data'!JH23)</f>
        <v/>
      </c>
      <c r="JU21" s="15" t="str">
        <f>IF('Raw Data'!JI23="","",'Raw Data'!JI23)</f>
        <v>medical reinsertion Psychosocia juridique surete</v>
      </c>
      <c r="JV21" s="15" t="str">
        <f>IF('Raw Data'!JJ23="","",'Raw Data'!JJ23)</f>
        <v>1</v>
      </c>
      <c r="JW21" s="15" t="str">
        <f>IF('Raw Data'!JK23="","",'Raw Data'!JK23)</f>
        <v>1</v>
      </c>
      <c r="JX21" s="15" t="str">
        <f>IF('Raw Data'!JL23="","",'Raw Data'!JL23)</f>
        <v>0</v>
      </c>
      <c r="JY21" s="15" t="str">
        <f>IF('Raw Data'!JM23="","",'Raw Data'!JM23)</f>
        <v>1</v>
      </c>
      <c r="JZ21" s="15" t="str">
        <f>IF('Raw Data'!JN23="","",'Raw Data'!JN23)</f>
        <v>1</v>
      </c>
      <c r="KA21" s="15" t="str">
        <f>IF('Raw Data'!JO23="","",'Raw Data'!JO23)</f>
        <v>1</v>
      </c>
      <c r="KB21" s="15" t="str">
        <f>IF('Raw Data'!JP23="","",'Raw Data'!JP23)</f>
        <v>0</v>
      </c>
      <c r="KC21" s="15" t="str">
        <f>IF('Raw Data'!JQ23="","",'Raw Data'!JQ23)</f>
        <v>0</v>
      </c>
      <c r="KD21" s="15" t="str">
        <f>IF('Raw Data'!JR23="","",'Raw Data'!JR23)</f>
        <v>0</v>
      </c>
      <c r="KE21" s="15" t="str">
        <f>IF('Raw Data'!JS23="","",'Raw Data'!JS23)</f>
        <v/>
      </c>
      <c r="KF21" s="15" t="str">
        <f>IF('Raw Data'!JT23="","",'Raw Data'!JT23)</f>
        <v>medical Psychosocia surete reinsertion point_ecoute</v>
      </c>
      <c r="KG21" s="15" t="str">
        <f>IF('Raw Data'!JU23="","",'Raw Data'!JU23)</f>
        <v>1</v>
      </c>
      <c r="KH21" s="15" t="str">
        <f>IF('Raw Data'!JV23="","",'Raw Data'!JV23)</f>
        <v>1</v>
      </c>
      <c r="KI21" s="15" t="str">
        <f>IF('Raw Data'!JW23="","",'Raw Data'!JW23)</f>
        <v>1</v>
      </c>
      <c r="KJ21" s="15" t="str">
        <f>IF('Raw Data'!JX23="","",'Raw Data'!JX23)</f>
        <v>0</v>
      </c>
      <c r="KK21" s="15" t="str">
        <f>IF('Raw Data'!JY23="","",'Raw Data'!JY23)</f>
        <v>1</v>
      </c>
      <c r="KL21" s="15" t="str">
        <f>IF('Raw Data'!JZ23="","",'Raw Data'!JZ23)</f>
        <v>1</v>
      </c>
      <c r="KM21" s="15" t="str">
        <f>IF('Raw Data'!KA23="","",'Raw Data'!KA23)</f>
        <v>0</v>
      </c>
      <c r="KN21" s="15" t="str">
        <f>IF('Raw Data'!KB23="","",'Raw Data'!KB23)</f>
        <v>0</v>
      </c>
      <c r="KO21" s="15" t="str">
        <f>IF('Raw Data'!KC23="","",'Raw Data'!KC23)</f>
        <v>0</v>
      </c>
      <c r="KP21" s="15" t="str">
        <f>IF('Raw Data'!KD23="","",'Raw Data'!KD23)</f>
        <v/>
      </c>
      <c r="KQ21" s="15" t="str">
        <f>IF('Raw Data'!KE23="","",'Raw Data'!KE23)</f>
        <v/>
      </c>
      <c r="KR21" s="15" t="str">
        <f>IF('Raw Data'!KF23="","",'Raw Data'!KF23)</f>
        <v>non</v>
      </c>
      <c r="KS21" s="15" t="str">
        <f>IF('Raw Data'!KG23="","",'Raw Data'!KG23)</f>
        <v/>
      </c>
      <c r="KT21" s="15" t="str">
        <f>IF('Raw Data'!KH23="","",'Raw Data'!KH23)</f>
        <v/>
      </c>
      <c r="KU21" s="15" t="str">
        <f>IF('Raw Data'!KI23="","",'Raw Data'!KI23)</f>
        <v/>
      </c>
      <c r="KV21" s="15" t="str">
        <f>IF('Raw Data'!KJ23="","",'Raw Data'!KJ23)</f>
        <v/>
      </c>
      <c r="KW21" s="15" t="str">
        <f>IF('Raw Data'!KK23="","",'Raw Data'!KK23)</f>
        <v/>
      </c>
      <c r="KX21" s="15" t="str">
        <f>IF('Raw Data'!KL23="","",'Raw Data'!KL23)</f>
        <v/>
      </c>
      <c r="KY21" s="15" t="str">
        <f>IF('Raw Data'!KM23="","",'Raw Data'!KM23)</f>
        <v/>
      </c>
      <c r="KZ21" s="15" t="str">
        <f>IF('Raw Data'!KN23="","",'Raw Data'!KN23)</f>
        <v/>
      </c>
      <c r="LA21" s="15" t="str">
        <f>IF('Raw Data'!KO23="","",'Raw Data'!KO23)</f>
        <v/>
      </c>
      <c r="LB21" s="15" t="str">
        <f>IF('Raw Data'!KP23="","",'Raw Data'!KP23)</f>
        <v/>
      </c>
      <c r="LC21" s="15" t="str">
        <f>IF('Raw Data'!KQ23="","",'Raw Data'!KQ23)</f>
        <v/>
      </c>
      <c r="LD21" s="15" t="str">
        <f>IF('Raw Data'!KR23="","",'Raw Data'!KR23)</f>
        <v/>
      </c>
      <c r="LE21" s="15" t="str">
        <f>IF('Raw Data'!KS23="","",'Raw Data'!KS23)</f>
        <v/>
      </c>
      <c r="LF21" s="15" t="str">
        <f>IF('Raw Data'!KT23="","",'Raw Data'!KT23)</f>
        <v/>
      </c>
      <c r="LG21" s="15" t="str">
        <f>IF('Raw Data'!KU23="","",'Raw Data'!KU23)</f>
        <v/>
      </c>
      <c r="LH21" s="15" t="str">
        <f>IF('Raw Data'!KV23="","",'Raw Data'!KV23)</f>
        <v/>
      </c>
      <c r="LI21" s="15" t="str">
        <f>IF('Raw Data'!KW23="","",'Raw Data'!KW23)</f>
        <v/>
      </c>
      <c r="LJ21" s="15" t="str">
        <f>IF('Raw Data'!KX23="","",'Raw Data'!KX23)</f>
        <v/>
      </c>
      <c r="LK21" s="15" t="str">
        <f>IF('Raw Data'!KY23="","",'Raw Data'!KY23)</f>
        <v/>
      </c>
      <c r="LL21" s="15" t="str">
        <f>IF('Raw Data'!KZ23="","",'Raw Data'!KZ23)</f>
        <v/>
      </c>
      <c r="LM21" s="15" t="str">
        <f>IF('Raw Data'!LA23="","",'Raw Data'!LA23)</f>
        <v/>
      </c>
      <c r="LN21" s="15" t="str">
        <f>IF('Raw Data'!LB23="","",'Raw Data'!LB23)</f>
        <v>oui</v>
      </c>
      <c r="LO21" s="15" t="str">
        <f>IF('Raw Data'!LC23="","",'Raw Data'!LC23)</f>
        <v>violence_physique menace_entourage violence_psycho</v>
      </c>
      <c r="LP21" s="15" t="str">
        <f>IF('Raw Data'!LD23="","",'Raw Data'!LD23)</f>
        <v>1</v>
      </c>
      <c r="LQ21" s="15" t="str">
        <f>IF('Raw Data'!LE23="","",'Raw Data'!LE23)</f>
        <v>1</v>
      </c>
      <c r="LR21" s="15" t="str">
        <f>IF('Raw Data'!LF23="","",'Raw Data'!LF23)</f>
        <v>0</v>
      </c>
      <c r="LS21" s="15" t="str">
        <f>IF('Raw Data'!LG23="","",'Raw Data'!LG23)</f>
        <v>1</v>
      </c>
      <c r="LT21" s="15" t="str">
        <f>IF('Raw Data'!LH23="","",'Raw Data'!LH23)</f>
        <v>0</v>
      </c>
      <c r="LU21" s="15" t="str">
        <f>IF('Raw Data'!LI23="","",'Raw Data'!LI23)</f>
        <v>0</v>
      </c>
      <c r="LV21" s="15" t="str">
        <f>IF('Raw Data'!LJ23="","",'Raw Data'!LJ23)</f>
        <v>0</v>
      </c>
      <c r="LW21" s="15" t="str">
        <f>IF('Raw Data'!LK23="","",'Raw Data'!LK23)</f>
        <v>0</v>
      </c>
      <c r="LX21" s="15" t="str">
        <f>IF('Raw Data'!LL23="","",'Raw Data'!LL23)</f>
        <v>0</v>
      </c>
      <c r="LY21" s="15" t="str">
        <f>IF('Raw Data'!LM23="","",'Raw Data'!LM23)</f>
        <v>0</v>
      </c>
      <c r="LZ21" s="15" t="str">
        <f>IF('Raw Data'!LN23="","",'Raw Data'!LN23)</f>
        <v/>
      </c>
      <c r="MA21" s="15" t="str">
        <f>IF('Raw Data'!LO23="","",'Raw Data'!LO23)</f>
        <v>oui</v>
      </c>
      <c r="MB21" s="15" t="str">
        <f>IF('Raw Data'!LP23="","",'Raw Data'!LP23)</f>
        <v>oui</v>
      </c>
      <c r="MC21" s="15" t="str">
        <f>IF('Raw Data'!LQ23="","",'Raw Data'!LQ23)</f>
        <v/>
      </c>
      <c r="MD21" s="15" t="str">
        <f>IF('Raw Data'!LR23="","",'Raw Data'!LR23)</f>
        <v>Aide alimentaire et surtout la sensibilisation aux relais et la sécurité</v>
      </c>
      <c r="ME21" s="15">
        <f>IF('Raw Data'!LS23="","",'Raw Data'!LS23)</f>
        <v>169351628</v>
      </c>
      <c r="MF21" s="15" t="str">
        <f>IF('Raw Data'!LT23="","",'Raw Data'!LT23)</f>
        <v>da3345dd-a270-4710-bd73-3491a6a19bb6</v>
      </c>
      <c r="MG21" s="15" t="str">
        <f>IF('Raw Data'!LU23="","",'Raw Data'!LU23)</f>
        <v>2021-04-02T19:01:47</v>
      </c>
      <c r="MH21" s="15" t="str">
        <f>IF('Raw Data'!LV23="","",'Raw Data'!LV23)</f>
        <v/>
      </c>
      <c r="MI21" s="15" t="str">
        <f>IF('Raw Data'!LW23="","",'Raw Data'!LW23)</f>
        <v>[]</v>
      </c>
      <c r="MJ21" s="15" t="str">
        <f>IF('Raw Data'!LX23="","",'Raw Data'!LX23)</f>
        <v>submitted_via_web</v>
      </c>
      <c r="MK21" s="15" t="str">
        <f>IF('Raw Data'!LY23="","",'Raw Data'!LY23)</f>
        <v>reach_niger</v>
      </c>
      <c r="ML21" s="15" t="str">
        <f>IF('Raw Data'!LZ23="","",'Raw Data'!LZ23)</f>
        <v/>
      </c>
      <c r="MM21" s="15">
        <f>IF('Raw Data'!MA23="","",'Raw Data'!MA23)</f>
        <v>23</v>
      </c>
    </row>
    <row r="22" spans="1:351" x14ac:dyDescent="0.3">
      <c r="A22" s="26" t="str">
        <f t="shared" si="0"/>
        <v>ff465deb-b738-4edb-80b3-18b7db548378</v>
      </c>
      <c r="B22" s="26" t="str">
        <f t="shared" si="1"/>
        <v>tera</v>
      </c>
      <c r="C22" s="26" t="str">
        <f t="shared" si="2"/>
        <v>E</v>
      </c>
      <c r="D22" s="14" t="str">
        <f>IF('Raw Data'!A5="","",'Raw Data'!A5)</f>
        <v>2021-03-31T10:05:59.828+01:00</v>
      </c>
      <c r="E22" s="14" t="str">
        <f>IF('Raw Data'!B5="","",'Raw Data'!B5)</f>
        <v>2021-03-31T10:34:16.376+01:00</v>
      </c>
      <c r="F22" s="30">
        <v>44286.42082175926</v>
      </c>
      <c r="G22" s="30">
        <v>44286.440462962964</v>
      </c>
      <c r="H22" s="29">
        <f>VLOOKUP(A22,Audit[#All],2,FALSE)</f>
        <v>28.28</v>
      </c>
      <c r="I22" s="29">
        <f>VLOOKUP(A22,Audit[#All],3,FALSE)</f>
        <v>28.17</v>
      </c>
      <c r="J22" s="29">
        <f>VLOOKUP(A22,Audit[#All],4,FALSE)</f>
        <v>26.72</v>
      </c>
      <c r="K22" s="29">
        <f>VLOOKUP(A22,nb_questions[#All],2,FALSE)</f>
        <v>79</v>
      </c>
      <c r="L22" s="29">
        <f t="shared" si="3"/>
        <v>158</v>
      </c>
      <c r="M22" s="14" t="str">
        <f>IF('Raw Data'!C5="","",'Raw Data'!C5)</f>
        <v>2021-03-31</v>
      </c>
      <c r="N22" s="14" t="str">
        <f>IF('Raw Data'!D5="","",'Raw Data'!D5)</f>
        <v/>
      </c>
      <c r="O22" s="14" t="str">
        <f>IF('Raw Data'!E5="","",'Raw Data'!E5)</f>
        <v/>
      </c>
      <c r="P22" s="29" t="str">
        <f>VLOOKUP(A22,code_enqueteurs[#All],3,FALSE)</f>
        <v>E</v>
      </c>
      <c r="Q22" s="29" t="s">
        <v>1650</v>
      </c>
      <c r="R22" s="14" t="str">
        <f>IF('Raw Data'!F5="","",'Raw Data'!F5)</f>
        <v>Homme</v>
      </c>
      <c r="S22" s="15" t="str">
        <f>IF('Raw Data'!G5="","",'Raw Data'!G5)</f>
        <v>tera</v>
      </c>
      <c r="T22" s="15" t="str">
        <f>IF('Raw Data'!H5="","",'Raw Data'!H5)</f>
        <v>tera</v>
      </c>
      <c r="U22" s="15" t="str">
        <f>IF('Raw Data'!I5="","",'Raw Data'!I5)</f>
        <v>tera</v>
      </c>
      <c r="V22" s="15" t="str">
        <f>IF('Raw Data'!J5="","",'Raw Data'!J5)</f>
        <v/>
      </c>
      <c r="W22" s="15" t="str">
        <f>IF('Raw Data'!K5="","",'Raw Data'!K5)</f>
        <v/>
      </c>
      <c r="X22" s="15" t="str">
        <f>IF('Raw Data'!L5="","",'Raw Data'!L5)</f>
        <v/>
      </c>
      <c r="Y22" s="15" t="str">
        <f>IF('Raw Data'!M5="","",'Raw Data'!M5)</f>
        <v/>
      </c>
      <c r="Z22" s="15" t="str">
        <f>IF('Raw Data'!N5="","",'Raw Data'!N5)</f>
        <v/>
      </c>
      <c r="AA22" s="15" t="str">
        <f>IF('Raw Data'!O5="","",'Raw Data'!O5)</f>
        <v/>
      </c>
      <c r="AB22" s="15" t="str">
        <f>IF('Raw Data'!P5="","",'Raw Data'!P5)</f>
        <v/>
      </c>
      <c r="AC22" s="15" t="str">
        <f>IF('Raw Data'!Q5="","",'Raw Data'!Q5)</f>
        <v/>
      </c>
      <c r="AD22" s="15" t="str">
        <f>IF('Raw Data'!R5="","",'Raw Data'!R5)</f>
        <v>Femme</v>
      </c>
      <c r="AE22" s="15" t="str">
        <f>IF('Raw Data'!S5="","",'Raw Data'!S5)</f>
        <v>37</v>
      </c>
      <c r="AF22" s="15" t="str">
        <f>IF('Raw Data'!T5="","",'Raw Data'!T5)</f>
        <v>deplace_interne</v>
      </c>
      <c r="AG22" s="15" t="str">
        <f>IF('Raw Data'!U5="","",'Raw Data'!U5)</f>
        <v/>
      </c>
      <c r="AH22" s="15" t="str">
        <f>IF('Raw Data'!V5="","",'Raw Data'!V5)</f>
        <v/>
      </c>
      <c r="AI22" s="15" t="str">
        <f>IF('Raw Data'!W5="","",'Raw Data'!W5)</f>
        <v/>
      </c>
      <c r="AJ22" s="15" t="str">
        <f>IF('Raw Data'!X5="","",'Raw Data'!X5)</f>
        <v/>
      </c>
      <c r="AK22" s="15" t="str">
        <f>IF('Raw Data'!Y5="","",'Raw Data'!Y5)</f>
        <v/>
      </c>
      <c r="AL22" s="15" t="str">
        <f>IF('Raw Data'!Z5="","",'Raw Data'!Z5)</f>
        <v>niger</v>
      </c>
      <c r="AM22" s="15" t="str">
        <f>IF('Raw Data'!AA5="","",'Raw Data'!AA5)</f>
        <v>tillaberi</v>
      </c>
      <c r="AN22" s="15" t="str">
        <f>IF('Raw Data'!AB5="","",'Raw Data'!AB5)</f>
        <v>tera</v>
      </c>
      <c r="AO22" s="15" t="str">
        <f>IF('Raw Data'!AC5="","",'Raw Data'!AC5)</f>
        <v/>
      </c>
      <c r="AP22" s="15" t="str">
        <f>IF('Raw Data'!AD5="","",'Raw Data'!AD5)</f>
        <v/>
      </c>
      <c r="AQ22" s="15" t="str">
        <f>IF('Raw Data'!AE5="","",'Raw Data'!AE5)</f>
        <v/>
      </c>
      <c r="AR22" s="15" t="str">
        <f>IF('Raw Data'!AF5="","",'Raw Data'!AF5)</f>
        <v/>
      </c>
      <c r="AS22" s="15" t="str">
        <f>IF('Raw Data'!AG5="","",'Raw Data'!AG5)</f>
        <v>oui</v>
      </c>
      <c r="AT22" s="15" t="str">
        <f>IF('Raw Data'!AH5="","",'Raw Data'!AH5)</f>
        <v>Vols_braquages extorsions Attaques_ecoles_sante Disputes_intercommunataires Violences_physique_civils</v>
      </c>
      <c r="AU22" s="15" t="str">
        <f>IF('Raw Data'!AI5="","",'Raw Data'!AI5)</f>
        <v>0</v>
      </c>
      <c r="AV22" s="15" t="str">
        <f>IF('Raw Data'!AJ5="","",'Raw Data'!AJ5)</f>
        <v>1</v>
      </c>
      <c r="AW22" s="15" t="str">
        <f>IF('Raw Data'!AK5="","",'Raw Data'!AK5)</f>
        <v>1</v>
      </c>
      <c r="AX22" s="15" t="str">
        <f>IF('Raw Data'!AL5="","",'Raw Data'!AL5)</f>
        <v>1</v>
      </c>
      <c r="AY22" s="15" t="str">
        <f>IF('Raw Data'!AM5="","",'Raw Data'!AM5)</f>
        <v>1</v>
      </c>
      <c r="AZ22" s="15" t="str">
        <f>IF('Raw Data'!AN5="","",'Raw Data'!AN5)</f>
        <v>0</v>
      </c>
      <c r="BA22" s="15" t="str">
        <f>IF('Raw Data'!AO5="","",'Raw Data'!AO5)</f>
        <v>0</v>
      </c>
      <c r="BB22" s="15" t="str">
        <f>IF('Raw Data'!AP5="","",'Raw Data'!AP5)</f>
        <v>1</v>
      </c>
      <c r="BC22" s="15" t="str">
        <f>IF('Raw Data'!AQ5="","",'Raw Data'!AQ5)</f>
        <v>0</v>
      </c>
      <c r="BD22" s="15" t="str">
        <f>IF('Raw Data'!AR5="","",'Raw Data'!AR5)</f>
        <v>0</v>
      </c>
      <c r="BE22" s="15" t="str">
        <f>IF('Raw Data'!AS5="","",'Raw Data'!AS5)</f>
        <v>0</v>
      </c>
      <c r="BF22" s="15" t="str">
        <f>IF('Raw Data'!AT5="","",'Raw Data'!AT5)</f>
        <v>0</v>
      </c>
      <c r="BG22" s="15" t="str">
        <f>IF('Raw Data'!AU5="","",'Raw Data'!AU5)</f>
        <v>0</v>
      </c>
      <c r="BH22" s="15" t="str">
        <f>IF('Raw Data'!AV5="","",'Raw Data'!AV5)</f>
        <v>0</v>
      </c>
      <c r="BI22" s="15" t="str">
        <f>IF('Raw Data'!AW5="","",'Raw Data'!AW5)</f>
        <v/>
      </c>
      <c r="BJ22" s="15" t="str">
        <f>IF('Raw Data'!AX5="","",'Raw Data'!AX5)</f>
        <v>Bebes/Bambins Enfants Femmes_agees Filles Garçons</v>
      </c>
      <c r="BK22" s="15" t="str">
        <f>IF('Raw Data'!AY5="","",'Raw Data'!AY5)</f>
        <v>1</v>
      </c>
      <c r="BL22" s="15" t="str">
        <f>IF('Raw Data'!AZ5="","",'Raw Data'!AZ5)</f>
        <v>1</v>
      </c>
      <c r="BM22" s="15" t="str">
        <f>IF('Raw Data'!BA5="","",'Raw Data'!BA5)</f>
        <v>1</v>
      </c>
      <c r="BN22" s="15" t="str">
        <f>IF('Raw Data'!BB5="","",'Raw Data'!BB5)</f>
        <v>1</v>
      </c>
      <c r="BO22" s="15" t="str">
        <f>IF('Raw Data'!BC5="","",'Raw Data'!BC5)</f>
        <v>0</v>
      </c>
      <c r="BP22" s="15" t="str">
        <f>IF('Raw Data'!BD5="","",'Raw Data'!BD5)</f>
        <v>0</v>
      </c>
      <c r="BQ22" s="15" t="str">
        <f>IF('Raw Data'!BE5="","",'Raw Data'!BE5)</f>
        <v>1</v>
      </c>
      <c r="BR22" s="15" t="str">
        <f>IF('Raw Data'!BF5="","",'Raw Data'!BF5)</f>
        <v>0</v>
      </c>
      <c r="BS22" s="15" t="str">
        <f>IF('Raw Data'!BG5="","",'Raw Data'!BG5)</f>
        <v>0</v>
      </c>
      <c r="BT22" s="15" t="str">
        <f>IF('Raw Data'!BH5="","",'Raw Data'!BH5)</f>
        <v>0</v>
      </c>
      <c r="BU22" s="15" t="str">
        <f>IF('Raw Data'!BI5="","",'Raw Data'!BI5)</f>
        <v>0</v>
      </c>
      <c r="BV22" s="15" t="str">
        <f>IF('Raw Data'!BJ5="","",'Raw Data'!BJ5)</f>
        <v>0</v>
      </c>
      <c r="BW22" s="15" t="str">
        <f>IF('Raw Data'!BK5="","",'Raw Data'!BK5)</f>
        <v>0</v>
      </c>
      <c r="BX22" s="15" t="str">
        <f>IF('Raw Data'!BL5="","",'Raw Data'!BL5)</f>
        <v>0</v>
      </c>
      <c r="BY22" s="15" t="str">
        <f>IF('Raw Data'!BM5="","",'Raw Data'!BM5)</f>
        <v/>
      </c>
      <c r="BZ22" s="15" t="str">
        <f>IF('Raw Data'!BN5="","",'Raw Data'!BN5)</f>
        <v>4</v>
      </c>
      <c r="CA22" s="15" t="str">
        <f>IF('Raw Data'!BO5="","",'Raw Data'!BO5)</f>
        <v>augmente</v>
      </c>
      <c r="CB22" s="15" t="str">
        <f>IF('Raw Data'!BP5="","",'Raw Data'!BP5)</f>
        <v/>
      </c>
      <c r="CC22" s="15" t="str">
        <f>IF('Raw Data'!BQ5="","",'Raw Data'!BQ5)</f>
        <v>non</v>
      </c>
      <c r="CD22" s="15" t="str">
        <f>IF('Raw Data'!BR5="","",'Raw Data'!BR5)</f>
        <v/>
      </c>
      <c r="CE22" s="15" t="str">
        <f>IF('Raw Data'!BS5="","",'Raw Data'!BS5)</f>
        <v/>
      </c>
      <c r="CF22" s="15" t="str">
        <f>IF('Raw Data'!BT5="","",'Raw Data'!BT5)</f>
        <v/>
      </c>
      <c r="CG22" s="15" t="str">
        <f>IF('Raw Data'!BU5="","",'Raw Data'!BU5)</f>
        <v/>
      </c>
      <c r="CH22" s="15" t="str">
        <f>IF('Raw Data'!BV5="","",'Raw Data'!BV5)</f>
        <v/>
      </c>
      <c r="CI22" s="15" t="str">
        <f>IF('Raw Data'!BW5="","",'Raw Data'!BW5)</f>
        <v/>
      </c>
      <c r="CJ22" s="15" t="str">
        <f>IF('Raw Data'!BX5="","",'Raw Data'!BX5)</f>
        <v/>
      </c>
      <c r="CK22" s="15" t="str">
        <f>IF('Raw Data'!BY5="","",'Raw Data'!BY5)</f>
        <v/>
      </c>
      <c r="CL22" s="15" t="str">
        <f>IF('Raw Data'!BZ5="","",'Raw Data'!BZ5)</f>
        <v/>
      </c>
      <c r="CM22" s="15" t="str">
        <f>IF('Raw Data'!CA5="","",'Raw Data'!CA5)</f>
        <v/>
      </c>
      <c r="CN22" s="15" t="str">
        <f>IF('Raw Data'!CB5="","",'Raw Data'!CB5)</f>
        <v/>
      </c>
      <c r="CO22" s="15" t="str">
        <f>IF('Raw Data'!CC5="","",'Raw Data'!CC5)</f>
        <v/>
      </c>
      <c r="CP22" s="15" t="str">
        <f>IF('Raw Data'!CD5="","",'Raw Data'!CD5)</f>
        <v/>
      </c>
      <c r="CQ22" s="15" t="str">
        <f>IF('Raw Data'!CE5="","",'Raw Data'!CE5)</f>
        <v/>
      </c>
      <c r="CR22" s="15" t="str">
        <f>IF('Raw Data'!CF5="","",'Raw Data'!CF5)</f>
        <v/>
      </c>
      <c r="CS22" s="15" t="str">
        <f>IF('Raw Data'!CG5="","",'Raw Data'!CG5)</f>
        <v/>
      </c>
      <c r="CT22" s="15" t="str">
        <f>IF('Raw Data'!CH5="","",'Raw Data'!CH5)</f>
        <v/>
      </c>
      <c r="CU22" s="15" t="str">
        <f>IF('Raw Data'!CI5="","",'Raw Data'!CI5)</f>
        <v/>
      </c>
      <c r="CV22" s="15" t="str">
        <f>IF('Raw Data'!CJ5="","",'Raw Data'!CJ5)</f>
        <v/>
      </c>
      <c r="CW22" s="15" t="str">
        <f>IF('Raw Data'!CK5="","",'Raw Data'!CK5)</f>
        <v/>
      </c>
      <c r="CX22" s="15" t="str">
        <f>IF('Raw Data'!CL5="","",'Raw Data'!CL5)</f>
        <v/>
      </c>
      <c r="CY22" s="15" t="str">
        <f>IF('Raw Data'!CM5="","",'Raw Data'!CM5)</f>
        <v/>
      </c>
      <c r="CZ22" s="15" t="str">
        <f>IF('Raw Data'!CN5="","",'Raw Data'!CN5)</f>
        <v/>
      </c>
      <c r="DA22" s="15" t="str">
        <f>IF('Raw Data'!CO5="","",'Raw Data'!CO5)</f>
        <v/>
      </c>
      <c r="DB22" s="15" t="str">
        <f>IF('Raw Data'!CP5="","",'Raw Data'!CP5)</f>
        <v/>
      </c>
      <c r="DC22" s="15" t="str">
        <f>IF('Raw Data'!CQ5="","",'Raw Data'!CQ5)</f>
        <v/>
      </c>
      <c r="DD22" s="15" t="str">
        <f>IF('Raw Data'!CR5="","",'Raw Data'!CR5)</f>
        <v/>
      </c>
      <c r="DE22" s="15" t="str">
        <f>IF('Raw Data'!CS5="","",'Raw Data'!CS5)</f>
        <v/>
      </c>
      <c r="DF22" s="15" t="str">
        <f>IF('Raw Data'!CT5="","",'Raw Data'!CT5)</f>
        <v/>
      </c>
      <c r="DG22" s="15" t="str">
        <f>IF('Raw Data'!CU5="","",'Raw Data'!CU5)</f>
        <v/>
      </c>
      <c r="DH22" s="15" t="str">
        <f>IF('Raw Data'!CV5="","",'Raw Data'!CV5)</f>
        <v/>
      </c>
      <c r="DI22" s="15" t="str">
        <f>IF('Raw Data'!CW5="","",'Raw Data'!CW5)</f>
        <v/>
      </c>
      <c r="DJ22" s="15" t="str">
        <f>IF('Raw Data'!CX5="","",'Raw Data'!CX5)</f>
        <v/>
      </c>
      <c r="DK22" s="15" t="str">
        <f>IF('Raw Data'!CY5="","",'Raw Data'!CY5)</f>
        <v/>
      </c>
      <c r="DL22" s="15" t="str">
        <f>IF('Raw Data'!CZ5="","",'Raw Data'!CZ5)</f>
        <v/>
      </c>
      <c r="DM22" s="15" t="str">
        <f>IF('Raw Data'!DA5="","",'Raw Data'!DA5)</f>
        <v/>
      </c>
      <c r="DN22" s="15" t="str">
        <f>IF('Raw Data'!DB5="","",'Raw Data'!DB5)</f>
        <v>deterioration_con_abris diminution_moyens_existence hausse_chomeurs</v>
      </c>
      <c r="DO22" s="15" t="str">
        <f>IF('Raw Data'!DC5="","",'Raw Data'!DC5)</f>
        <v>1</v>
      </c>
      <c r="DP22" s="15" t="str">
        <f>IF('Raw Data'!DD5="","",'Raw Data'!DD5)</f>
        <v>1</v>
      </c>
      <c r="DQ22" s="15" t="str">
        <f>IF('Raw Data'!DE5="","",'Raw Data'!DE5)</f>
        <v>0</v>
      </c>
      <c r="DR22" s="15" t="str">
        <f>IF('Raw Data'!DF5="","",'Raw Data'!DF5)</f>
        <v>0</v>
      </c>
      <c r="DS22" s="15" t="str">
        <f>IF('Raw Data'!DG5="","",'Raw Data'!DG5)</f>
        <v>0</v>
      </c>
      <c r="DT22" s="15" t="str">
        <f>IF('Raw Data'!DH5="","",'Raw Data'!DH5)</f>
        <v>0</v>
      </c>
      <c r="DU22" s="15" t="str">
        <f>IF('Raw Data'!DI5="","",'Raw Data'!DI5)</f>
        <v>1</v>
      </c>
      <c r="DV22" s="15" t="str">
        <f>IF('Raw Data'!DJ5="","",'Raw Data'!DJ5)</f>
        <v>0</v>
      </c>
      <c r="DW22" s="15" t="str">
        <f>IF('Raw Data'!DK5="","",'Raw Data'!DK5)</f>
        <v>0</v>
      </c>
      <c r="DX22" s="15" t="str">
        <f>IF('Raw Data'!DL5="","",'Raw Data'!DL5)</f>
        <v>0</v>
      </c>
      <c r="DY22" s="15" t="str">
        <f>IF('Raw Data'!DM5="","",'Raw Data'!DM5)</f>
        <v/>
      </c>
      <c r="DZ22" s="15" t="str">
        <f>IF('Raw Data'!DN5="","",'Raw Data'!DN5)</f>
        <v/>
      </c>
      <c r="EA22" s="15" t="str">
        <f>IF('Raw Data'!DO5="","",'Raw Data'!DO5)</f>
        <v/>
      </c>
      <c r="EB22" s="15" t="str">
        <f>IF('Raw Data'!DP5="","",'Raw Data'!DP5)</f>
        <v/>
      </c>
      <c r="EC22" s="15" t="str">
        <f>IF('Raw Data'!DQ5="","",'Raw Data'!DQ5)</f>
        <v/>
      </c>
      <c r="ED22" s="15" t="str">
        <f>IF('Raw Data'!DR5="","",'Raw Data'!DR5)</f>
        <v/>
      </c>
      <c r="EE22" s="15" t="str">
        <f>IF('Raw Data'!DS5="","",'Raw Data'!DS5)</f>
        <v/>
      </c>
      <c r="EF22" s="15" t="str">
        <f>IF('Raw Data'!DT5="","",'Raw Data'!DT5)</f>
        <v/>
      </c>
      <c r="EG22" s="15" t="str">
        <f>IF('Raw Data'!DU5="","",'Raw Data'!DU5)</f>
        <v/>
      </c>
      <c r="EH22" s="15" t="str">
        <f>IF('Raw Data'!DV5="","",'Raw Data'!DV5)</f>
        <v/>
      </c>
      <c r="EI22" s="15" t="str">
        <f>IF('Raw Data'!DW5="","",'Raw Data'!DW5)</f>
        <v/>
      </c>
      <c r="EJ22" s="15" t="str">
        <f>IF('Raw Data'!DX5="","",'Raw Data'!DX5)</f>
        <v/>
      </c>
      <c r="EK22" s="15" t="str">
        <f>IF('Raw Data'!DY5="","",'Raw Data'!DY5)</f>
        <v/>
      </c>
      <c r="EL22" s="15" t="str">
        <f>IF('Raw Data'!DZ5="","",'Raw Data'!DZ5)</f>
        <v>Integration_com_hote dplct_abords_com Soutien_famille_amis Soutien_chef_village</v>
      </c>
      <c r="EM22" s="15" t="str">
        <f>IF('Raw Data'!EA5="","",'Raw Data'!EA5)</f>
        <v>1</v>
      </c>
      <c r="EN22" s="15" t="str">
        <f>IF('Raw Data'!EB5="","",'Raw Data'!EB5)</f>
        <v>1</v>
      </c>
      <c r="EO22" s="15" t="str">
        <f>IF('Raw Data'!EC5="","",'Raw Data'!EC5)</f>
        <v>1</v>
      </c>
      <c r="EP22" s="15" t="str">
        <f>IF('Raw Data'!ED5="","",'Raw Data'!ED5)</f>
        <v>1</v>
      </c>
      <c r="EQ22" s="15" t="str">
        <f>IF('Raw Data'!EE5="","",'Raw Data'!EE5)</f>
        <v>0</v>
      </c>
      <c r="ER22" s="15" t="str">
        <f>IF('Raw Data'!EF5="","",'Raw Data'!EF5)</f>
        <v>0</v>
      </c>
      <c r="ES22" s="15" t="str">
        <f>IF('Raw Data'!EG5="","",'Raw Data'!EG5)</f>
        <v>0</v>
      </c>
      <c r="ET22" s="15" t="str">
        <f>IF('Raw Data'!EH5="","",'Raw Data'!EH5)</f>
        <v>0</v>
      </c>
      <c r="EU22" s="15" t="str">
        <f>IF('Raw Data'!EI5="","",'Raw Data'!EI5)</f>
        <v>0</v>
      </c>
      <c r="EV22" s="15" t="str">
        <f>IF('Raw Data'!EJ5="","",'Raw Data'!EJ5)</f>
        <v/>
      </c>
      <c r="EW22" s="15" t="str">
        <f>IF('Raw Data'!EK5="","",'Raw Data'!EK5)</f>
        <v/>
      </c>
      <c r="EX22" s="15" t="str">
        <f>IF('Raw Data'!EL5="","",'Raw Data'!EL5)</f>
        <v>femmes_elite famille_accueil</v>
      </c>
      <c r="EY22" s="15" t="str">
        <f>IF('Raw Data'!EM5="","",'Raw Data'!EM5)</f>
        <v>1</v>
      </c>
      <c r="EZ22" s="15" t="str">
        <f>IF('Raw Data'!EN5="","",'Raw Data'!EN5)</f>
        <v>0</v>
      </c>
      <c r="FA22" s="15" t="str">
        <f>IF('Raw Data'!EO5="","",'Raw Data'!EO5)</f>
        <v>1</v>
      </c>
      <c r="FB22" s="15" t="str">
        <f>IF('Raw Data'!EP5="","",'Raw Data'!EP5)</f>
        <v>0</v>
      </c>
      <c r="FC22" s="15" t="str">
        <f>IF('Raw Data'!EQ5="","",'Raw Data'!EQ5)</f>
        <v>0</v>
      </c>
      <c r="FD22" s="15" t="str">
        <f>IF('Raw Data'!ER5="","",'Raw Data'!ER5)</f>
        <v>0</v>
      </c>
      <c r="FE22" s="15" t="str">
        <f>IF('Raw Data'!ES5="","",'Raw Data'!ES5)</f>
        <v>0</v>
      </c>
      <c r="FF22" s="15" t="str">
        <f>IF('Raw Data'!ET5="","",'Raw Data'!ET5)</f>
        <v>0</v>
      </c>
      <c r="FG22" s="15" t="str">
        <f>IF('Raw Data'!EU5="","",'Raw Data'!EU5)</f>
        <v>0</v>
      </c>
      <c r="FH22" s="15" t="str">
        <f>IF('Raw Data'!EV5="","",'Raw Data'!EV5)</f>
        <v>0</v>
      </c>
      <c r="FI22" s="15" t="str">
        <f>IF('Raw Data'!EW5="","",'Raw Data'!EW5)</f>
        <v/>
      </c>
      <c r="FJ22" s="15" t="str">
        <f>IF('Raw Data'!EX5="","",'Raw Data'!EX5)</f>
        <v>non</v>
      </c>
      <c r="FK22" s="15" t="str">
        <f>IF('Raw Data'!EY5="","",'Raw Data'!EY5)</f>
        <v/>
      </c>
      <c r="FL22" s="15" t="str">
        <f>IF('Raw Data'!EZ5="","",'Raw Data'!EZ5)</f>
        <v/>
      </c>
      <c r="FM22" s="15" t="str">
        <f>IF('Raw Data'!FA5="","",'Raw Data'!FA5)</f>
        <v/>
      </c>
      <c r="FN22" s="15" t="str">
        <f>IF('Raw Data'!FB5="","",'Raw Data'!FB5)</f>
        <v/>
      </c>
      <c r="FO22" s="15" t="str">
        <f>IF('Raw Data'!FC5="","",'Raw Data'!FC5)</f>
        <v/>
      </c>
      <c r="FP22" s="15" t="str">
        <f>IF('Raw Data'!FD5="","",'Raw Data'!FD5)</f>
        <v/>
      </c>
      <c r="FQ22" s="15" t="str">
        <f>IF('Raw Data'!FE5="","",'Raw Data'!FE5)</f>
        <v/>
      </c>
      <c r="FR22" s="15" t="str">
        <f>IF('Raw Data'!FF5="","",'Raw Data'!FF5)</f>
        <v/>
      </c>
      <c r="FS22" s="15" t="str">
        <f>IF('Raw Data'!FG5="","",'Raw Data'!FG5)</f>
        <v/>
      </c>
      <c r="FT22" s="15" t="str">
        <f>IF('Raw Data'!FH5="","",'Raw Data'!FH5)</f>
        <v/>
      </c>
      <c r="FU22" s="15" t="str">
        <f>IF('Raw Data'!FI5="","",'Raw Data'!FI5)</f>
        <v/>
      </c>
      <c r="FV22" s="15" t="str">
        <f>IF('Raw Data'!FJ5="","",'Raw Data'!FJ5)</f>
        <v/>
      </c>
      <c r="FW22" s="15" t="str">
        <f>IF('Raw Data'!FK5="","",'Raw Data'!FK5)</f>
        <v/>
      </c>
      <c r="FX22" s="15" t="str">
        <f>IF('Raw Data'!FL5="","",'Raw Data'!FL5)</f>
        <v/>
      </c>
      <c r="FY22" s="15" t="str">
        <f>IF('Raw Data'!FM5="","",'Raw Data'!FM5)</f>
        <v/>
      </c>
      <c r="FZ22" s="15" t="str">
        <f>IF('Raw Data'!FN5="","",'Raw Data'!FN5)</f>
        <v/>
      </c>
      <c r="GA22" s="15" t="str">
        <f>IF('Raw Data'!FO5="","",'Raw Data'!FO5)</f>
        <v/>
      </c>
      <c r="GB22" s="15" t="str">
        <f>IF('Raw Data'!FP5="","",'Raw Data'!FP5)</f>
        <v/>
      </c>
      <c r="GC22" s="15" t="str">
        <f>IF('Raw Data'!FQ5="","",'Raw Data'!FQ5)</f>
        <v/>
      </c>
      <c r="GD22" s="15" t="str">
        <f>IF('Raw Data'!FR5="","",'Raw Data'!FR5)</f>
        <v/>
      </c>
      <c r="GE22" s="15" t="str">
        <f>IF('Raw Data'!FS5="","",'Raw Data'!FS5)</f>
        <v/>
      </c>
      <c r="GF22" s="15" t="str">
        <f>IF('Raw Data'!FT5="","",'Raw Data'!FT5)</f>
        <v/>
      </c>
      <c r="GG22" s="15" t="str">
        <f>IF('Raw Data'!FU5="","",'Raw Data'!FU5)</f>
        <v/>
      </c>
      <c r="GH22" s="15" t="str">
        <f>IF('Raw Data'!FV5="","",'Raw Data'!FV5)</f>
        <v/>
      </c>
      <c r="GI22" s="15" t="str">
        <f>IF('Raw Data'!FW5="","",'Raw Data'!FW5)</f>
        <v/>
      </c>
      <c r="GJ22" s="15" t="str">
        <f>IF('Raw Data'!FX5="","",'Raw Data'!FX5)</f>
        <v/>
      </c>
      <c r="GK22" s="15" t="str">
        <f>IF('Raw Data'!FY5="","",'Raw Data'!FY5)</f>
        <v/>
      </c>
      <c r="GL22" s="15" t="str">
        <f>IF('Raw Data'!FZ5="","",'Raw Data'!FZ5)</f>
        <v/>
      </c>
      <c r="GM22" s="15" t="str">
        <f>IF('Raw Data'!GA5="","",'Raw Data'!GA5)</f>
        <v/>
      </c>
      <c r="GN22" s="15" t="str">
        <f>IF('Raw Data'!GB5="","",'Raw Data'!GB5)</f>
        <v/>
      </c>
      <c r="GO22" s="15" t="str">
        <f>IF('Raw Data'!GC5="","",'Raw Data'!GC5)</f>
        <v/>
      </c>
      <c r="GP22" s="15" t="str">
        <f>IF('Raw Data'!GD5="","",'Raw Data'!GD5)</f>
        <v/>
      </c>
      <c r="GQ22" s="15" t="str">
        <f>IF('Raw Data'!GE5="","",'Raw Data'!GE5)</f>
        <v/>
      </c>
      <c r="GR22" s="15" t="str">
        <f>IF('Raw Data'!GF5="","",'Raw Data'!GF5)</f>
        <v/>
      </c>
      <c r="GS22" s="15" t="str">
        <f>IF('Raw Data'!GG5="","",'Raw Data'!GG5)</f>
        <v/>
      </c>
      <c r="GT22" s="15" t="str">
        <f>IF('Raw Data'!GH5="","",'Raw Data'!GH5)</f>
        <v/>
      </c>
      <c r="GU22" s="15" t="str">
        <f>IF('Raw Data'!GI5="","",'Raw Data'!GI5)</f>
        <v/>
      </c>
      <c r="GV22" s="15" t="str">
        <f>IF('Raw Data'!GJ5="","",'Raw Data'!GJ5)</f>
        <v/>
      </c>
      <c r="GW22" s="15" t="str">
        <f>IF('Raw Data'!GK5="","",'Raw Data'!GK5)</f>
        <v/>
      </c>
      <c r="GX22" s="15" t="str">
        <f>IF('Raw Data'!GL5="","",'Raw Data'!GL5)</f>
        <v/>
      </c>
      <c r="GY22" s="15" t="str">
        <f>IF('Raw Data'!GM5="","",'Raw Data'!GM5)</f>
        <v/>
      </c>
      <c r="GZ22" s="31"/>
      <c r="HA22" s="31"/>
      <c r="HB22" s="31"/>
      <c r="HC22" s="31"/>
      <c r="HD22" s="31"/>
      <c r="HE22" s="31"/>
      <c r="HF22" s="31"/>
      <c r="HG22" s="31"/>
      <c r="HH22" s="31"/>
      <c r="HI22" s="31"/>
      <c r="HJ22" s="31"/>
      <c r="HK22" s="15" t="str">
        <f>IF('Raw Data'!GY5="","",'Raw Data'!GY5)</f>
        <v/>
      </c>
      <c r="HL22" s="31"/>
      <c r="HM22" s="31"/>
      <c r="HN22" s="31"/>
      <c r="HO22" s="31"/>
      <c r="HP22" s="31"/>
      <c r="HQ22" s="31"/>
      <c r="HR22" s="31"/>
      <c r="HS22" s="15" t="str">
        <f>IF('Raw Data'!HG5="","",'Raw Data'!HG5)</f>
        <v/>
      </c>
      <c r="HT22" s="15" t="str">
        <f>IF('Raw Data'!HH5="","",'Raw Data'!HH5)</f>
        <v/>
      </c>
      <c r="HU22" s="15" t="str">
        <f>IF('Raw Data'!HI5="","",'Raw Data'!HI5)</f>
        <v>oui_moitie</v>
      </c>
      <c r="HV22" s="15" t="str">
        <f>IF('Raw Data'!HJ5="","",'Raw Data'!HJ5)</f>
        <v>ingo</v>
      </c>
      <c r="HW22" s="15" t="str">
        <f>IF('Raw Data'!HK5="","",'Raw Data'!HK5)</f>
        <v>0</v>
      </c>
      <c r="HX22" s="15" t="str">
        <f>IF('Raw Data'!HL5="","",'Raw Data'!HL5)</f>
        <v>0</v>
      </c>
      <c r="HY22" s="15" t="str">
        <f>IF('Raw Data'!HM5="","",'Raw Data'!HM5)</f>
        <v>0</v>
      </c>
      <c r="HZ22" s="15" t="str">
        <f>IF('Raw Data'!HN5="","",'Raw Data'!HN5)</f>
        <v>0</v>
      </c>
      <c r="IA22" s="15" t="str">
        <f>IF('Raw Data'!HO5="","",'Raw Data'!HO5)</f>
        <v>1</v>
      </c>
      <c r="IB22" s="15" t="str">
        <f>IF('Raw Data'!HP5="","",'Raw Data'!HP5)</f>
        <v>0</v>
      </c>
      <c r="IC22" s="15" t="str">
        <f>IF('Raw Data'!HQ5="","",'Raw Data'!HQ5)</f>
        <v>0</v>
      </c>
      <c r="ID22" s="15" t="str">
        <f>IF('Raw Data'!HR5="","",'Raw Data'!HR5)</f>
        <v>0</v>
      </c>
      <c r="IE22" s="15" t="str">
        <f>IF('Raw Data'!HS5="","",'Raw Data'!HS5)</f>
        <v>0</v>
      </c>
      <c r="IF22" s="15" t="str">
        <f>IF('Raw Data'!HT5="","",'Raw Data'!HT5)</f>
        <v>0</v>
      </c>
      <c r="IG22" s="15" t="str">
        <f>IF('Raw Data'!HU5="","",'Raw Data'!HU5)</f>
        <v/>
      </c>
      <c r="IH22" s="15" t="str">
        <f>IF('Raw Data'!HV5="","",'Raw Data'!HV5)</f>
        <v>oui</v>
      </c>
      <c r="II22" s="15" t="str">
        <f>IF('Raw Data'!HW5="","",'Raw Data'!HW5)</f>
        <v/>
      </c>
      <c r="IJ22" s="15" t="str">
        <f>IF('Raw Data'!HX5="","",'Raw Data'!HX5)</f>
        <v>Bebes/Bambins Enfants Filles Femmes_agees Hommes_ages</v>
      </c>
      <c r="IK22" s="15" t="str">
        <f>IF('Raw Data'!HY5="","",'Raw Data'!HY5)</f>
        <v>1</v>
      </c>
      <c r="IL22" s="15" t="str">
        <f>IF('Raw Data'!HZ5="","",'Raw Data'!HZ5)</f>
        <v>1</v>
      </c>
      <c r="IM22" s="15" t="str">
        <f>IF('Raw Data'!IA5="","",'Raw Data'!IA5)</f>
        <v>1</v>
      </c>
      <c r="IN22" s="15" t="str">
        <f>IF('Raw Data'!IB5="","",'Raw Data'!IB5)</f>
        <v>0</v>
      </c>
      <c r="IO22" s="15" t="str">
        <f>IF('Raw Data'!IC5="","",'Raw Data'!IC5)</f>
        <v>0</v>
      </c>
      <c r="IP22" s="15" t="str">
        <f>IF('Raw Data'!ID5="","",'Raw Data'!ID5)</f>
        <v>0</v>
      </c>
      <c r="IQ22" s="15" t="str">
        <f>IF('Raw Data'!IE5="","",'Raw Data'!IE5)</f>
        <v>1</v>
      </c>
      <c r="IR22" s="15" t="str">
        <f>IF('Raw Data'!IF5="","",'Raw Data'!IF5)</f>
        <v>1</v>
      </c>
      <c r="IS22" s="15" t="str">
        <f>IF('Raw Data'!IG5="","",'Raw Data'!IG5)</f>
        <v>0</v>
      </c>
      <c r="IT22" s="15" t="str">
        <f>IF('Raw Data'!IH5="","",'Raw Data'!IH5)</f>
        <v>0</v>
      </c>
      <c r="IU22" s="15" t="str">
        <f>IF('Raw Data'!II5="","",'Raw Data'!II5)</f>
        <v>0</v>
      </c>
      <c r="IV22" s="15" t="str">
        <f>IF('Raw Data'!IJ5="","",'Raw Data'!IJ5)</f>
        <v>0</v>
      </c>
      <c r="IW22" s="15" t="str">
        <f>IF('Raw Data'!IK5="","",'Raw Data'!IK5)</f>
        <v>0</v>
      </c>
      <c r="IX22" s="15" t="str">
        <f>IF('Raw Data'!IL5="","",'Raw Data'!IL5)</f>
        <v>0</v>
      </c>
      <c r="IY22" s="15" t="str">
        <f>IF('Raw Data'!IM5="","",'Raw Data'!IM5)</f>
        <v/>
      </c>
      <c r="IZ22" s="15" t="str">
        <f>IF('Raw Data'!IN5="","",'Raw Data'!IN5)</f>
        <v>10</v>
      </c>
      <c r="JA22" s="31" t="s">
        <v>1627</v>
      </c>
      <c r="JB22" s="31" t="s">
        <v>1627</v>
      </c>
      <c r="JC22" s="31" t="s">
        <v>1627</v>
      </c>
      <c r="JD22" s="31" t="s">
        <v>1627</v>
      </c>
      <c r="JE22" s="31" t="s">
        <v>1627</v>
      </c>
      <c r="JF22" s="31" t="s">
        <v>1627</v>
      </c>
      <c r="JG22" s="31" t="s">
        <v>1627</v>
      </c>
      <c r="JH22" s="31" t="s">
        <v>1627</v>
      </c>
      <c r="JI22" s="31" t="s">
        <v>1627</v>
      </c>
      <c r="JJ22" s="31" t="s">
        <v>1627</v>
      </c>
      <c r="JK22" s="31" t="s">
        <v>1627</v>
      </c>
      <c r="JL22" s="15" t="str">
        <f>IF('Raw Data'!IZ5="","",'Raw Data'!IZ5)</f>
        <v/>
      </c>
      <c r="JM22" s="31" t="s">
        <v>738</v>
      </c>
      <c r="JN22" s="15" t="str">
        <f>IF('Raw Data'!JB5="","",'Raw Data'!JB5)</f>
        <v>0</v>
      </c>
      <c r="JO22" s="15" t="str">
        <f>IF('Raw Data'!JC5="","",'Raw Data'!JC5)</f>
        <v>1</v>
      </c>
      <c r="JP22" s="15" t="str">
        <f>IF('Raw Data'!JD5="","",'Raw Data'!JD5)</f>
        <v>1</v>
      </c>
      <c r="JQ22" s="31">
        <v>0</v>
      </c>
      <c r="JR22" s="15" t="str">
        <f>IF('Raw Data'!JF5="","",'Raw Data'!JF5)</f>
        <v>0</v>
      </c>
      <c r="JS22" s="15" t="str">
        <f>IF('Raw Data'!JG5="","",'Raw Data'!JG5)</f>
        <v>0</v>
      </c>
      <c r="JT22" s="31"/>
      <c r="JU22" s="15" t="str">
        <f>IF('Raw Data'!JI5="","",'Raw Data'!JI5)</f>
        <v/>
      </c>
      <c r="JV22" s="15" t="str">
        <f>IF('Raw Data'!JJ5="","",'Raw Data'!JJ5)</f>
        <v/>
      </c>
      <c r="JW22" s="15" t="str">
        <f>IF('Raw Data'!JK5="","",'Raw Data'!JK5)</f>
        <v/>
      </c>
      <c r="JX22" s="15" t="str">
        <f>IF('Raw Data'!JL5="","",'Raw Data'!JL5)</f>
        <v/>
      </c>
      <c r="JY22" s="15" t="str">
        <f>IF('Raw Data'!JM5="","",'Raw Data'!JM5)</f>
        <v/>
      </c>
      <c r="JZ22" s="15" t="str">
        <f>IF('Raw Data'!JN5="","",'Raw Data'!JN5)</f>
        <v/>
      </c>
      <c r="KA22" s="15" t="str">
        <f>IF('Raw Data'!JO5="","",'Raw Data'!JO5)</f>
        <v/>
      </c>
      <c r="KB22" s="15" t="str">
        <f>IF('Raw Data'!JP5="","",'Raw Data'!JP5)</f>
        <v/>
      </c>
      <c r="KC22" s="15" t="str">
        <f>IF('Raw Data'!JQ5="","",'Raw Data'!JQ5)</f>
        <v/>
      </c>
      <c r="KD22" s="15" t="str">
        <f>IF('Raw Data'!JR5="","",'Raw Data'!JR5)</f>
        <v/>
      </c>
      <c r="KE22" s="15" t="str">
        <f>IF('Raw Data'!JS5="","",'Raw Data'!JS5)</f>
        <v/>
      </c>
      <c r="KF22" s="15" t="str">
        <f>IF('Raw Data'!JT5="","",'Raw Data'!JT5)</f>
        <v>surete centre_formation medical Psychosocia</v>
      </c>
      <c r="KG22" s="15" t="str">
        <f>IF('Raw Data'!JU5="","",'Raw Data'!JU5)</f>
        <v>1</v>
      </c>
      <c r="KH22" s="15" t="str">
        <f>IF('Raw Data'!JV5="","",'Raw Data'!JV5)</f>
        <v>1</v>
      </c>
      <c r="KI22" s="15" t="str">
        <f>IF('Raw Data'!JW5="","",'Raw Data'!JW5)</f>
        <v>0</v>
      </c>
      <c r="KJ22" s="15" t="str">
        <f>IF('Raw Data'!JX5="","",'Raw Data'!JX5)</f>
        <v>0</v>
      </c>
      <c r="KK22" s="15" t="str">
        <f>IF('Raw Data'!JY5="","",'Raw Data'!JY5)</f>
        <v>1</v>
      </c>
      <c r="KL22" s="15" t="str">
        <f>IF('Raw Data'!JZ5="","",'Raw Data'!JZ5)</f>
        <v>0</v>
      </c>
      <c r="KM22" s="15" t="str">
        <f>IF('Raw Data'!KA5="","",'Raw Data'!KA5)</f>
        <v>1</v>
      </c>
      <c r="KN22" s="15" t="str">
        <f>IF('Raw Data'!KB5="","",'Raw Data'!KB5)</f>
        <v>0</v>
      </c>
      <c r="KO22" s="15" t="str">
        <f>IF('Raw Data'!KC5="","",'Raw Data'!KC5)</f>
        <v>0</v>
      </c>
      <c r="KP22" s="15" t="str">
        <f>IF('Raw Data'!KD5="","",'Raw Data'!KD5)</f>
        <v/>
      </c>
      <c r="KQ22" s="15" t="str">
        <f>IF('Raw Data'!KE5="","",'Raw Data'!KE5)</f>
        <v/>
      </c>
      <c r="KR22" s="15" t="str">
        <f>IF('Raw Data'!KF5="","",'Raw Data'!KF5)</f>
        <v>oui</v>
      </c>
      <c r="KS22" s="15" t="str">
        <f>IF('Raw Data'!KG5="","",'Raw Data'!KG5)</f>
        <v>manque_moyens manque_personnes manque_d'information insecurite_zone tensions_locales</v>
      </c>
      <c r="KT22" s="15" t="str">
        <f>IF('Raw Data'!KH5="","",'Raw Data'!KH5)</f>
        <v>1</v>
      </c>
      <c r="KU22" s="15" t="str">
        <f>IF('Raw Data'!KI5="","",'Raw Data'!KI5)</f>
        <v>1</v>
      </c>
      <c r="KV22" s="15" t="str">
        <f>IF('Raw Data'!KJ5="","",'Raw Data'!KJ5)</f>
        <v>1</v>
      </c>
      <c r="KW22" s="15" t="str">
        <f>IF('Raw Data'!KK5="","",'Raw Data'!KK5)</f>
        <v>0</v>
      </c>
      <c r="KX22" s="15" t="str">
        <f>IF('Raw Data'!KL5="","",'Raw Data'!KL5)</f>
        <v>1</v>
      </c>
      <c r="KY22" s="15" t="str">
        <f>IF('Raw Data'!KM5="","",'Raw Data'!KM5)</f>
        <v>1</v>
      </c>
      <c r="KZ22" s="15" t="str">
        <f>IF('Raw Data'!KN5="","",'Raw Data'!KN5)</f>
        <v>0</v>
      </c>
      <c r="LA22" s="15" t="str">
        <f>IF('Raw Data'!KO5="","",'Raw Data'!KO5)</f>
        <v>0</v>
      </c>
      <c r="LB22" s="15" t="str">
        <f>IF('Raw Data'!KP5="","",'Raw Data'!KP5)</f>
        <v>0</v>
      </c>
      <c r="LC22" s="15" t="str">
        <f>IF('Raw Data'!KQ5="","",'Raw Data'!KQ5)</f>
        <v>0</v>
      </c>
      <c r="LD22" s="15" t="str">
        <f>IF('Raw Data'!KR5="","",'Raw Data'!KR5)</f>
        <v>0</v>
      </c>
      <c r="LE22" s="15" t="str">
        <f>IF('Raw Data'!KS5="","",'Raw Data'!KS5)</f>
        <v/>
      </c>
      <c r="LF22" s="15" t="str">
        <f>IF('Raw Data'!KT5="","",'Raw Data'!KT5)</f>
        <v/>
      </c>
      <c r="LG22" s="15" t="str">
        <f>IF('Raw Data'!KU5="","",'Raw Data'!KU5)</f>
        <v/>
      </c>
      <c r="LH22" s="15" t="str">
        <f>IF('Raw Data'!KV5="","",'Raw Data'!KV5)</f>
        <v/>
      </c>
      <c r="LI22" s="15" t="str">
        <f>IF('Raw Data'!KW5="","",'Raw Data'!KW5)</f>
        <v/>
      </c>
      <c r="LJ22" s="15" t="str">
        <f>IF('Raw Data'!KX5="","",'Raw Data'!KX5)</f>
        <v/>
      </c>
      <c r="LK22" s="15" t="str">
        <f>IF('Raw Data'!KY5="","",'Raw Data'!KY5)</f>
        <v/>
      </c>
      <c r="LL22" s="15" t="str">
        <f>IF('Raw Data'!KZ5="","",'Raw Data'!KZ5)</f>
        <v/>
      </c>
      <c r="LM22" s="15" t="str">
        <f>IF('Raw Data'!LA5="","",'Raw Data'!LA5)</f>
        <v/>
      </c>
      <c r="LN22" s="15" t="str">
        <f>IF('Raw Data'!LB5="","",'Raw Data'!LB5)</f>
        <v>non</v>
      </c>
      <c r="LO22" s="15" t="str">
        <f>IF('Raw Data'!LC5="","",'Raw Data'!LC5)</f>
        <v/>
      </c>
      <c r="LP22" s="15" t="str">
        <f>IF('Raw Data'!LD5="","",'Raw Data'!LD5)</f>
        <v/>
      </c>
      <c r="LQ22" s="15" t="str">
        <f>IF('Raw Data'!LE5="","",'Raw Data'!LE5)</f>
        <v/>
      </c>
      <c r="LR22" s="15" t="str">
        <f>IF('Raw Data'!LF5="","",'Raw Data'!LF5)</f>
        <v/>
      </c>
      <c r="LS22" s="15" t="str">
        <f>IF('Raw Data'!LG5="","",'Raw Data'!LG5)</f>
        <v/>
      </c>
      <c r="LT22" s="15" t="str">
        <f>IF('Raw Data'!LH5="","",'Raw Data'!LH5)</f>
        <v/>
      </c>
      <c r="LU22" s="15" t="str">
        <f>IF('Raw Data'!LI5="","",'Raw Data'!LI5)</f>
        <v/>
      </c>
      <c r="LV22" s="15" t="str">
        <f>IF('Raw Data'!LJ5="","",'Raw Data'!LJ5)</f>
        <v/>
      </c>
      <c r="LW22" s="15" t="str">
        <f>IF('Raw Data'!LK5="","",'Raw Data'!LK5)</f>
        <v/>
      </c>
      <c r="LX22" s="15" t="str">
        <f>IF('Raw Data'!LL5="","",'Raw Data'!LL5)</f>
        <v/>
      </c>
      <c r="LY22" s="15" t="str">
        <f>IF('Raw Data'!LM5="","",'Raw Data'!LM5)</f>
        <v/>
      </c>
      <c r="LZ22" s="15" t="str">
        <f>IF('Raw Data'!LN5="","",'Raw Data'!LN5)</f>
        <v/>
      </c>
      <c r="MA22" s="15" t="str">
        <f>IF('Raw Data'!LO5="","",'Raw Data'!LO5)</f>
        <v/>
      </c>
      <c r="MB22" s="15" t="str">
        <f>IF('Raw Data'!LP5="","",'Raw Data'!LP5)</f>
        <v>oui</v>
      </c>
      <c r="MC22" s="15" t="str">
        <f>IF('Raw Data'!LQ5="","",'Raw Data'!LQ5)</f>
        <v/>
      </c>
      <c r="MD22" s="15" t="str">
        <f>IF('Raw Data'!LR5="","",'Raw Data'!LR5)</f>
        <v>Appel aux ONG et appu aux régénératrice de revenus</v>
      </c>
      <c r="ME22" s="15">
        <f>IF('Raw Data'!LS5="","",'Raw Data'!LS5)</f>
        <v>168983515</v>
      </c>
      <c r="MF22" s="15" t="str">
        <f>IF('Raw Data'!LT5="","",'Raw Data'!LT5)</f>
        <v>ff465deb-b738-4edb-80b3-18b7db548378</v>
      </c>
      <c r="MG22" s="15" t="str">
        <f>IF('Raw Data'!LU5="","",'Raw Data'!LU5)</f>
        <v>2021-03-31T21:00:12</v>
      </c>
      <c r="MH22" s="15" t="str">
        <f>IF('Raw Data'!LV5="","",'Raw Data'!LV5)</f>
        <v/>
      </c>
      <c r="MI22" s="15" t="str">
        <f>IF('Raw Data'!LW5="","",'Raw Data'!LW5)</f>
        <v>[]</v>
      </c>
      <c r="MJ22" s="15" t="str">
        <f>IF('Raw Data'!LX5="","",'Raw Data'!LX5)</f>
        <v>submitted_via_web</v>
      </c>
      <c r="MK22" s="15" t="str">
        <f>IF('Raw Data'!LY5="","",'Raw Data'!LY5)</f>
        <v>reach_niger</v>
      </c>
      <c r="ML22" s="15" t="str">
        <f>IF('Raw Data'!LZ5="","",'Raw Data'!LZ5)</f>
        <v/>
      </c>
      <c r="MM22" s="15">
        <f>IF('Raw Data'!MA5="","",'Raw Data'!MA5)</f>
        <v>4</v>
      </c>
    </row>
    <row r="23" spans="1:351" x14ac:dyDescent="0.3">
      <c r="A23" s="26" t="str">
        <f t="shared" si="0"/>
        <v>dbf6ba85-c1d2-4a12-8e3b-52ab89ac6183</v>
      </c>
      <c r="B23" s="26" t="str">
        <f t="shared" si="1"/>
        <v>tera</v>
      </c>
      <c r="C23" s="26" t="str">
        <f t="shared" si="2"/>
        <v>E</v>
      </c>
      <c r="D23" s="14" t="str">
        <f>IF('Raw Data'!A26="","",'Raw Data'!A26)</f>
        <v>2021-04-01T19:48:23.558+01:00</v>
      </c>
      <c r="E23" s="14" t="str">
        <f>IF('Raw Data'!B26="","",'Raw Data'!B26)</f>
        <v>2021-04-01T20:01:04.538+01:00</v>
      </c>
      <c r="F23" s="30">
        <v>44287.825266203705</v>
      </c>
      <c r="G23" s="30">
        <v>44287.834074074075</v>
      </c>
      <c r="H23" s="29">
        <f>VLOOKUP(A23,Audit[#All],2,FALSE)</f>
        <v>12.69</v>
      </c>
      <c r="I23" s="29">
        <f>VLOOKUP(A23,Audit[#All],3,FALSE)</f>
        <v>12.54</v>
      </c>
      <c r="J23" s="29">
        <f>VLOOKUP(A23,Audit[#All],4,FALSE)</f>
        <v>12.04</v>
      </c>
      <c r="K23" s="29">
        <f>VLOOKUP(A23,nb_questions[#All],2,FALSE)</f>
        <v>90</v>
      </c>
      <c r="L23" s="29">
        <f t="shared" si="3"/>
        <v>114</v>
      </c>
      <c r="M23" s="14" t="str">
        <f>IF('Raw Data'!C26="","",'Raw Data'!C26)</f>
        <v>2021-04-01</v>
      </c>
      <c r="N23" s="14" t="str">
        <f>IF('Raw Data'!D26="","",'Raw Data'!D26)</f>
        <v/>
      </c>
      <c r="O23" s="14" t="str">
        <f>IF('Raw Data'!E26="","",'Raw Data'!E26)</f>
        <v/>
      </c>
      <c r="P23" s="29" t="str">
        <f>VLOOKUP(A23,code_enqueteurs[#All],3,FALSE)</f>
        <v>E</v>
      </c>
      <c r="Q23" s="29" t="s">
        <v>1650</v>
      </c>
      <c r="R23" s="14" t="str">
        <f>IF('Raw Data'!F26="","",'Raw Data'!F26)</f>
        <v>Homme</v>
      </c>
      <c r="S23" s="15" t="str">
        <f>IF('Raw Data'!G26="","",'Raw Data'!G26)</f>
        <v>tera</v>
      </c>
      <c r="T23" s="15" t="str">
        <f>IF('Raw Data'!H26="","",'Raw Data'!H26)</f>
        <v>tera</v>
      </c>
      <c r="U23" s="15" t="str">
        <f>IF('Raw Data'!I26="","",'Raw Data'!I26)</f>
        <v>foneko</v>
      </c>
      <c r="V23" s="15" t="str">
        <f>IF('Raw Data'!J26="","",'Raw Data'!J26)</f>
        <v/>
      </c>
      <c r="W23" s="15" t="str">
        <f>IF('Raw Data'!K26="","",'Raw Data'!K26)</f>
        <v/>
      </c>
      <c r="X23" s="15" t="str">
        <f>IF('Raw Data'!L26="","",'Raw Data'!L26)</f>
        <v/>
      </c>
      <c r="Y23" s="15" t="str">
        <f>IF('Raw Data'!M26="","",'Raw Data'!M26)</f>
        <v/>
      </c>
      <c r="Z23" s="15" t="str">
        <f>IF('Raw Data'!N26="","",'Raw Data'!N26)</f>
        <v/>
      </c>
      <c r="AA23" s="15" t="str">
        <f>IF('Raw Data'!O26="","",'Raw Data'!O26)</f>
        <v/>
      </c>
      <c r="AB23" s="15" t="str">
        <f>IF('Raw Data'!P26="","",'Raw Data'!P26)</f>
        <v/>
      </c>
      <c r="AC23" s="15" t="str">
        <f>IF('Raw Data'!Q26="","",'Raw Data'!Q26)</f>
        <v/>
      </c>
      <c r="AD23" s="15" t="str">
        <f>IF('Raw Data'!R26="","",'Raw Data'!R26)</f>
        <v>Homme</v>
      </c>
      <c r="AE23" s="15" t="str">
        <f>IF('Raw Data'!S26="","",'Raw Data'!S26)</f>
        <v>54</v>
      </c>
      <c r="AF23" s="15" t="str">
        <f>IF('Raw Data'!T26="","",'Raw Data'!T26)</f>
        <v>deplace_interne</v>
      </c>
      <c r="AG23" s="15" t="str">
        <f>IF('Raw Data'!U26="","",'Raw Data'!U26)</f>
        <v/>
      </c>
      <c r="AH23" s="15" t="str">
        <f>IF('Raw Data'!V26="","",'Raw Data'!V26)</f>
        <v/>
      </c>
      <c r="AI23" s="15" t="str">
        <f>IF('Raw Data'!W26="","",'Raw Data'!W26)</f>
        <v/>
      </c>
      <c r="AJ23" s="15" t="str">
        <f>IF('Raw Data'!X26="","",'Raw Data'!X26)</f>
        <v/>
      </c>
      <c r="AK23" s="15" t="str">
        <f>IF('Raw Data'!Y26="","",'Raw Data'!Y26)</f>
        <v/>
      </c>
      <c r="AL23" s="15" t="str">
        <f>IF('Raw Data'!Z26="","",'Raw Data'!Z26)</f>
        <v>niger</v>
      </c>
      <c r="AM23" s="15" t="str">
        <f>IF('Raw Data'!AA26="","",'Raw Data'!AA26)</f>
        <v>tillaberi</v>
      </c>
      <c r="AN23" s="15" t="str">
        <f>IF('Raw Data'!AB26="","",'Raw Data'!AB26)</f>
        <v>tera</v>
      </c>
      <c r="AO23" s="15" t="str">
        <f>IF('Raw Data'!AC26="","",'Raw Data'!AC26)</f>
        <v/>
      </c>
      <c r="AP23" s="15" t="str">
        <f>IF('Raw Data'!AD26="","",'Raw Data'!AD26)</f>
        <v/>
      </c>
      <c r="AQ23" s="15" t="str">
        <f>IF('Raw Data'!AE26="","",'Raw Data'!AE26)</f>
        <v/>
      </c>
      <c r="AR23" s="15" t="str">
        <f>IF('Raw Data'!AF26="","",'Raw Data'!AF26)</f>
        <v/>
      </c>
      <c r="AS23" s="15" t="str">
        <f>IF('Raw Data'!AG26="","",'Raw Data'!AG26)</f>
        <v>oui</v>
      </c>
      <c r="AT23" s="15" t="str">
        <f>IF('Raw Data'!AH26="","",'Raw Data'!AH26)</f>
        <v>Disputes_intercommunataires Vols_braquages extorsions Attaques_ecoles_sante Recrutement_enfants</v>
      </c>
      <c r="AU23" s="15" t="str">
        <f>IF('Raw Data'!AI26="","",'Raw Data'!AI26)</f>
        <v>0</v>
      </c>
      <c r="AV23" s="15" t="str">
        <f>IF('Raw Data'!AJ26="","",'Raw Data'!AJ26)</f>
        <v>1</v>
      </c>
      <c r="AW23" s="15" t="str">
        <f>IF('Raw Data'!AK26="","",'Raw Data'!AK26)</f>
        <v>1</v>
      </c>
      <c r="AX23" s="15" t="str">
        <f>IF('Raw Data'!AL26="","",'Raw Data'!AL26)</f>
        <v>1</v>
      </c>
      <c r="AY23" s="15" t="str">
        <f>IF('Raw Data'!AM26="","",'Raw Data'!AM26)</f>
        <v>0</v>
      </c>
      <c r="AZ23" s="15" t="str">
        <f>IF('Raw Data'!AN26="","",'Raw Data'!AN26)</f>
        <v>0</v>
      </c>
      <c r="BA23" s="15" t="str">
        <f>IF('Raw Data'!AO26="","",'Raw Data'!AO26)</f>
        <v>1</v>
      </c>
      <c r="BB23" s="15" t="str">
        <f>IF('Raw Data'!AP26="","",'Raw Data'!AP26)</f>
        <v>1</v>
      </c>
      <c r="BC23" s="15" t="str">
        <f>IF('Raw Data'!AQ26="","",'Raw Data'!AQ26)</f>
        <v>0</v>
      </c>
      <c r="BD23" s="15" t="str">
        <f>IF('Raw Data'!AR26="","",'Raw Data'!AR26)</f>
        <v>0</v>
      </c>
      <c r="BE23" s="15" t="str">
        <f>IF('Raw Data'!AS26="","",'Raw Data'!AS26)</f>
        <v>0</v>
      </c>
      <c r="BF23" s="15" t="str">
        <f>IF('Raw Data'!AT26="","",'Raw Data'!AT26)</f>
        <v>0</v>
      </c>
      <c r="BG23" s="15" t="str">
        <f>IF('Raw Data'!AU26="","",'Raw Data'!AU26)</f>
        <v>0</v>
      </c>
      <c r="BH23" s="15" t="str">
        <f>IF('Raw Data'!AV26="","",'Raw Data'!AV26)</f>
        <v>0</v>
      </c>
      <c r="BI23" s="15" t="str">
        <f>IF('Raw Data'!AW26="","",'Raw Data'!AW26)</f>
        <v/>
      </c>
      <c r="BJ23" s="15" t="str">
        <f>IF('Raw Data'!AX26="","",'Raw Data'!AX26)</f>
        <v>Bebes/Bambins Enfants Filles Femmes Hommes</v>
      </c>
      <c r="BK23" s="15" t="str">
        <f>IF('Raw Data'!AY26="","",'Raw Data'!AY26)</f>
        <v>1</v>
      </c>
      <c r="BL23" s="15" t="str">
        <f>IF('Raw Data'!AZ26="","",'Raw Data'!AZ26)</f>
        <v>1</v>
      </c>
      <c r="BM23" s="15" t="str">
        <f>IF('Raw Data'!BA26="","",'Raw Data'!BA26)</f>
        <v>1</v>
      </c>
      <c r="BN23" s="15" t="str">
        <f>IF('Raw Data'!BB26="","",'Raw Data'!BB26)</f>
        <v>0</v>
      </c>
      <c r="BO23" s="15" t="str">
        <f>IF('Raw Data'!BC26="","",'Raw Data'!BC26)</f>
        <v>1</v>
      </c>
      <c r="BP23" s="15" t="str">
        <f>IF('Raw Data'!BD26="","",'Raw Data'!BD26)</f>
        <v>1</v>
      </c>
      <c r="BQ23" s="15" t="str">
        <f>IF('Raw Data'!BE26="","",'Raw Data'!BE26)</f>
        <v>0</v>
      </c>
      <c r="BR23" s="15" t="str">
        <f>IF('Raw Data'!BF26="","",'Raw Data'!BF26)</f>
        <v>0</v>
      </c>
      <c r="BS23" s="15" t="str">
        <f>IF('Raw Data'!BG26="","",'Raw Data'!BG26)</f>
        <v>0</v>
      </c>
      <c r="BT23" s="15" t="str">
        <f>IF('Raw Data'!BH26="","",'Raw Data'!BH26)</f>
        <v>0</v>
      </c>
      <c r="BU23" s="15" t="str">
        <f>IF('Raw Data'!BI26="","",'Raw Data'!BI26)</f>
        <v>0</v>
      </c>
      <c r="BV23" s="15" t="str">
        <f>IF('Raw Data'!BJ26="","",'Raw Data'!BJ26)</f>
        <v>0</v>
      </c>
      <c r="BW23" s="15" t="str">
        <f>IF('Raw Data'!BK26="","",'Raw Data'!BK26)</f>
        <v>0</v>
      </c>
      <c r="BX23" s="15" t="str">
        <f>IF('Raw Data'!BL26="","",'Raw Data'!BL26)</f>
        <v>0</v>
      </c>
      <c r="BY23" s="15" t="str">
        <f>IF('Raw Data'!BM26="","",'Raw Data'!BM26)</f>
        <v/>
      </c>
      <c r="BZ23" s="15" t="str">
        <f>IF('Raw Data'!BN26="","",'Raw Data'!BN26)</f>
        <v>3</v>
      </c>
      <c r="CA23" s="15" t="str">
        <f>IF('Raw Data'!BO26="","",'Raw Data'!BO26)</f>
        <v>augmente</v>
      </c>
      <c r="CB23" s="15" t="str">
        <f>IF('Raw Data'!BP26="","",'Raw Data'!BP26)</f>
        <v/>
      </c>
      <c r="CC23" s="15" t="str">
        <f>IF('Raw Data'!BQ26="","",'Raw Data'!BQ26)</f>
        <v>oui</v>
      </c>
      <c r="CD23" s="15" t="str">
        <f>IF('Raw Data'!BR26="","",'Raw Data'!BR26)</f>
        <v>agression_physique agression_psychologique travail_force exploitations_sexuelles exploitations_enfant</v>
      </c>
      <c r="CE23" s="15" t="str">
        <f>IF('Raw Data'!BS26="","",'Raw Data'!BS26)</f>
        <v>0</v>
      </c>
      <c r="CF23" s="15" t="str">
        <f>IF('Raw Data'!BT26="","",'Raw Data'!BT26)</f>
        <v>0</v>
      </c>
      <c r="CG23" s="15" t="str">
        <f>IF('Raw Data'!BU26="","",'Raw Data'!BU26)</f>
        <v>1</v>
      </c>
      <c r="CH23" s="15" t="str">
        <f>IF('Raw Data'!BV26="","",'Raw Data'!BV26)</f>
        <v>0</v>
      </c>
      <c r="CI23" s="15" t="str">
        <f>IF('Raw Data'!BW26="","",'Raw Data'!BW26)</f>
        <v>1</v>
      </c>
      <c r="CJ23" s="15" t="str">
        <f>IF('Raw Data'!BX26="","",'Raw Data'!BX26)</f>
        <v>0</v>
      </c>
      <c r="CK23" s="15" t="str">
        <f>IF('Raw Data'!BY26="","",'Raw Data'!BY26)</f>
        <v>1</v>
      </c>
      <c r="CL23" s="15" t="str">
        <f>IF('Raw Data'!BZ26="","",'Raw Data'!BZ26)</f>
        <v>0</v>
      </c>
      <c r="CM23" s="15" t="str">
        <f>IF('Raw Data'!CA26="","",'Raw Data'!CA26)</f>
        <v>1</v>
      </c>
      <c r="CN23" s="15" t="str">
        <f>IF('Raw Data'!CB26="","",'Raw Data'!CB26)</f>
        <v>1</v>
      </c>
      <c r="CO23" s="15" t="str">
        <f>IF('Raw Data'!CC26="","",'Raw Data'!CC26)</f>
        <v>0</v>
      </c>
      <c r="CP23" s="15" t="str">
        <f>IF('Raw Data'!CD26="","",'Raw Data'!CD26)</f>
        <v>0</v>
      </c>
      <c r="CQ23" s="15" t="str">
        <f>IF('Raw Data'!CE26="","",'Raw Data'!CE26)</f>
        <v>0</v>
      </c>
      <c r="CR23" s="15" t="str">
        <f>IF('Raw Data'!CF26="","",'Raw Data'!CF26)</f>
        <v>0</v>
      </c>
      <c r="CS23" s="15" t="str">
        <f>IF('Raw Data'!CG26="","",'Raw Data'!CG26)</f>
        <v>0</v>
      </c>
      <c r="CT23" s="15" t="str">
        <f>IF('Raw Data'!CH26="","",'Raw Data'!CH26)</f>
        <v/>
      </c>
      <c r="CU23" s="15" t="str">
        <f>IF('Raw Data'!CI26="","",'Raw Data'!CI26)</f>
        <v>Bebes/Bambins Enfants Filles Femmes Hommes</v>
      </c>
      <c r="CV23" s="15" t="str">
        <f>IF('Raw Data'!CJ26="","",'Raw Data'!CJ26)</f>
        <v>1</v>
      </c>
      <c r="CW23" s="15" t="str">
        <f>IF('Raw Data'!CK26="","",'Raw Data'!CK26)</f>
        <v>1</v>
      </c>
      <c r="CX23" s="15" t="str">
        <f>IF('Raw Data'!CL26="","",'Raw Data'!CL26)</f>
        <v>1</v>
      </c>
      <c r="CY23" s="15" t="str">
        <f>IF('Raw Data'!CM26="","",'Raw Data'!CM26)</f>
        <v>0</v>
      </c>
      <c r="CZ23" s="15" t="str">
        <f>IF('Raw Data'!CN26="","",'Raw Data'!CN26)</f>
        <v>1</v>
      </c>
      <c r="DA23" s="15" t="str">
        <f>IF('Raw Data'!CO26="","",'Raw Data'!CO26)</f>
        <v>1</v>
      </c>
      <c r="DB23" s="15" t="str">
        <f>IF('Raw Data'!CP26="","",'Raw Data'!CP26)</f>
        <v>0</v>
      </c>
      <c r="DC23" s="15" t="str">
        <f>IF('Raw Data'!CQ26="","",'Raw Data'!CQ26)</f>
        <v>0</v>
      </c>
      <c r="DD23" s="15" t="str">
        <f>IF('Raw Data'!CR26="","",'Raw Data'!CR26)</f>
        <v>0</v>
      </c>
      <c r="DE23" s="15" t="str">
        <f>IF('Raw Data'!CS26="","",'Raw Data'!CS26)</f>
        <v>0</v>
      </c>
      <c r="DF23" s="15" t="str">
        <f>IF('Raw Data'!CT26="","",'Raw Data'!CT26)</f>
        <v>0</v>
      </c>
      <c r="DG23" s="15" t="str">
        <f>IF('Raw Data'!CU26="","",'Raw Data'!CU26)</f>
        <v>0</v>
      </c>
      <c r="DH23" s="15" t="str">
        <f>IF('Raw Data'!CV26="","",'Raw Data'!CV26)</f>
        <v>0</v>
      </c>
      <c r="DI23" s="15" t="str">
        <f>IF('Raw Data'!CW26="","",'Raw Data'!CW26)</f>
        <v>0</v>
      </c>
      <c r="DJ23" s="15" t="str">
        <f>IF('Raw Data'!CX26="","",'Raw Data'!CX26)</f>
        <v/>
      </c>
      <c r="DK23" s="15" t="str">
        <f>IF('Raw Data'!CY26="","",'Raw Data'!CY26)</f>
        <v>3</v>
      </c>
      <c r="DL23" s="15" t="str">
        <f>IF('Raw Data'!CZ26="","",'Raw Data'!CZ26)</f>
        <v>augmente</v>
      </c>
      <c r="DM23" s="15" t="str">
        <f>IF('Raw Data'!DA26="","",'Raw Data'!DA26)</f>
        <v/>
      </c>
      <c r="DN23" s="15" t="str">
        <f>IF('Raw Data'!DB26="","",'Raw Data'!DB26)</f>
        <v>deterioration_con_abris deterioration_acces_service_base hausse_chomeurs</v>
      </c>
      <c r="DO23" s="15" t="str">
        <f>IF('Raw Data'!DC26="","",'Raw Data'!DC26)</f>
        <v>0</v>
      </c>
      <c r="DP23" s="15" t="str">
        <f>IF('Raw Data'!DD26="","",'Raw Data'!DD26)</f>
        <v>1</v>
      </c>
      <c r="DQ23" s="15" t="str">
        <f>IF('Raw Data'!DE26="","",'Raw Data'!DE26)</f>
        <v>1</v>
      </c>
      <c r="DR23" s="15" t="str">
        <f>IF('Raw Data'!DF26="","",'Raw Data'!DF26)</f>
        <v>0</v>
      </c>
      <c r="DS23" s="15" t="str">
        <f>IF('Raw Data'!DG26="","",'Raw Data'!DG26)</f>
        <v>0</v>
      </c>
      <c r="DT23" s="15" t="str">
        <f>IF('Raw Data'!DH26="","",'Raw Data'!DH26)</f>
        <v>0</v>
      </c>
      <c r="DU23" s="15" t="str">
        <f>IF('Raw Data'!DI26="","",'Raw Data'!DI26)</f>
        <v>1</v>
      </c>
      <c r="DV23" s="15" t="str">
        <f>IF('Raw Data'!DJ26="","",'Raw Data'!DJ26)</f>
        <v>0</v>
      </c>
      <c r="DW23" s="15" t="str">
        <f>IF('Raw Data'!DK26="","",'Raw Data'!DK26)</f>
        <v>0</v>
      </c>
      <c r="DX23" s="15" t="str">
        <f>IF('Raw Data'!DL26="","",'Raw Data'!DL26)</f>
        <v>0</v>
      </c>
      <c r="DY23" s="15" t="str">
        <f>IF('Raw Data'!DM26="","",'Raw Data'!DM26)</f>
        <v/>
      </c>
      <c r="DZ23" s="15" t="str">
        <f>IF('Raw Data'!DN26="","",'Raw Data'!DN26)</f>
        <v/>
      </c>
      <c r="EA23" s="15" t="str">
        <f>IF('Raw Data'!DO26="","",'Raw Data'!DO26)</f>
        <v/>
      </c>
      <c r="EB23" s="15" t="str">
        <f>IF('Raw Data'!DP26="","",'Raw Data'!DP26)</f>
        <v/>
      </c>
      <c r="EC23" s="15" t="str">
        <f>IF('Raw Data'!DQ26="","",'Raw Data'!DQ26)</f>
        <v/>
      </c>
      <c r="ED23" s="15" t="str">
        <f>IF('Raw Data'!DR26="","",'Raw Data'!DR26)</f>
        <v/>
      </c>
      <c r="EE23" s="15" t="str">
        <f>IF('Raw Data'!DS26="","",'Raw Data'!DS26)</f>
        <v/>
      </c>
      <c r="EF23" s="15" t="str">
        <f>IF('Raw Data'!DT26="","",'Raw Data'!DT26)</f>
        <v/>
      </c>
      <c r="EG23" s="15" t="str">
        <f>IF('Raw Data'!DU26="","",'Raw Data'!DU26)</f>
        <v/>
      </c>
      <c r="EH23" s="15" t="str">
        <f>IF('Raw Data'!DV26="","",'Raw Data'!DV26)</f>
        <v/>
      </c>
      <c r="EI23" s="15" t="str">
        <f>IF('Raw Data'!DW26="","",'Raw Data'!DW26)</f>
        <v/>
      </c>
      <c r="EJ23" s="15" t="str">
        <f>IF('Raw Data'!DX26="","",'Raw Data'!DX26)</f>
        <v/>
      </c>
      <c r="EK23" s="15" t="str">
        <f>IF('Raw Data'!DY26="","",'Raw Data'!DY26)</f>
        <v/>
      </c>
      <c r="EL23" s="15" t="str">
        <f>IF('Raw Data'!DZ26="","",'Raw Data'!DZ26)</f>
        <v>Integration_com_hote Soutien_famille_amis Soutien_psychosocial</v>
      </c>
      <c r="EM23" s="15" t="str">
        <f>IF('Raw Data'!EA26="","",'Raw Data'!EA26)</f>
        <v>0</v>
      </c>
      <c r="EN23" s="15" t="str">
        <f>IF('Raw Data'!EB26="","",'Raw Data'!EB26)</f>
        <v>1</v>
      </c>
      <c r="EO23" s="15" t="str">
        <f>IF('Raw Data'!EC26="","",'Raw Data'!EC26)</f>
        <v>1</v>
      </c>
      <c r="EP23" s="15" t="str">
        <f>IF('Raw Data'!ED26="","",'Raw Data'!ED26)</f>
        <v>0</v>
      </c>
      <c r="EQ23" s="15" t="str">
        <f>IF('Raw Data'!EE26="","",'Raw Data'!EE26)</f>
        <v>1</v>
      </c>
      <c r="ER23" s="15" t="str">
        <f>IF('Raw Data'!EF26="","",'Raw Data'!EF26)</f>
        <v>0</v>
      </c>
      <c r="ES23" s="15" t="str">
        <f>IF('Raw Data'!EG26="","",'Raw Data'!EG26)</f>
        <v>0</v>
      </c>
      <c r="ET23" s="15" t="str">
        <f>IF('Raw Data'!EH26="","",'Raw Data'!EH26)</f>
        <v>0</v>
      </c>
      <c r="EU23" s="15" t="str">
        <f>IF('Raw Data'!EI26="","",'Raw Data'!EI26)</f>
        <v>0</v>
      </c>
      <c r="EV23" s="15" t="str">
        <f>IF('Raw Data'!EJ26="","",'Raw Data'!EJ26)</f>
        <v/>
      </c>
      <c r="EW23" s="15" t="str">
        <f>IF('Raw Data'!EK26="","",'Raw Data'!EK26)</f>
        <v/>
      </c>
      <c r="EX23" s="15" t="str">
        <f>IF('Raw Data'!EL26="","",'Raw Data'!EL26)</f>
        <v>femmes_elite comite_protection famille_accueil comite_redevabilite</v>
      </c>
      <c r="EY23" s="15" t="str">
        <f>IF('Raw Data'!EM26="","",'Raw Data'!EM26)</f>
        <v>1</v>
      </c>
      <c r="EZ23" s="15" t="str">
        <f>IF('Raw Data'!EN26="","",'Raw Data'!EN26)</f>
        <v>1</v>
      </c>
      <c r="FA23" s="15" t="str">
        <f>IF('Raw Data'!EO26="","",'Raw Data'!EO26)</f>
        <v>1</v>
      </c>
      <c r="FB23" s="15" t="str">
        <f>IF('Raw Data'!EP26="","",'Raw Data'!EP26)</f>
        <v>0</v>
      </c>
      <c r="FC23" s="15" t="str">
        <f>IF('Raw Data'!EQ26="","",'Raw Data'!EQ26)</f>
        <v>1</v>
      </c>
      <c r="FD23" s="15" t="str">
        <f>IF('Raw Data'!ER26="","",'Raw Data'!ER26)</f>
        <v>0</v>
      </c>
      <c r="FE23" s="15" t="str">
        <f>IF('Raw Data'!ES26="","",'Raw Data'!ES26)</f>
        <v>0</v>
      </c>
      <c r="FF23" s="15" t="str">
        <f>IF('Raw Data'!ET26="","",'Raw Data'!ET26)</f>
        <v>0</v>
      </c>
      <c r="FG23" s="15" t="str">
        <f>IF('Raw Data'!EU26="","",'Raw Data'!EU26)</f>
        <v>0</v>
      </c>
      <c r="FH23" s="15" t="str">
        <f>IF('Raw Data'!EV26="","",'Raw Data'!EV26)</f>
        <v>0</v>
      </c>
      <c r="FI23" s="15" t="str">
        <f>IF('Raw Data'!EW26="","",'Raw Data'!EW26)</f>
        <v/>
      </c>
      <c r="FJ23" s="15" t="str">
        <f>IF('Raw Data'!EX26="","",'Raw Data'!EX26)</f>
        <v>non</v>
      </c>
      <c r="FK23" s="15" t="str">
        <f>IF('Raw Data'!EY26="","",'Raw Data'!EY26)</f>
        <v/>
      </c>
      <c r="FL23" s="15" t="str">
        <f>IF('Raw Data'!EZ26="","",'Raw Data'!EZ26)</f>
        <v/>
      </c>
      <c r="FM23" s="15" t="str">
        <f>IF('Raw Data'!FA26="","",'Raw Data'!FA26)</f>
        <v/>
      </c>
      <c r="FN23" s="15" t="str">
        <f>IF('Raw Data'!FB26="","",'Raw Data'!FB26)</f>
        <v/>
      </c>
      <c r="FO23" s="15" t="str">
        <f>IF('Raw Data'!FC26="","",'Raw Data'!FC26)</f>
        <v/>
      </c>
      <c r="FP23" s="15" t="str">
        <f>IF('Raw Data'!FD26="","",'Raw Data'!FD26)</f>
        <v/>
      </c>
      <c r="FQ23" s="15" t="str">
        <f>IF('Raw Data'!FE26="","",'Raw Data'!FE26)</f>
        <v/>
      </c>
      <c r="FR23" s="15" t="str">
        <f>IF('Raw Data'!FF26="","",'Raw Data'!FF26)</f>
        <v/>
      </c>
      <c r="FS23" s="15" t="str">
        <f>IF('Raw Data'!FG26="","",'Raw Data'!FG26)</f>
        <v/>
      </c>
      <c r="FT23" s="15" t="str">
        <f>IF('Raw Data'!FH26="","",'Raw Data'!FH26)</f>
        <v/>
      </c>
      <c r="FU23" s="15" t="str">
        <f>IF('Raw Data'!FI26="","",'Raw Data'!FI26)</f>
        <v/>
      </c>
      <c r="FV23" s="15" t="str">
        <f>IF('Raw Data'!FJ26="","",'Raw Data'!FJ26)</f>
        <v/>
      </c>
      <c r="FW23" s="15" t="str">
        <f>IF('Raw Data'!FK26="","",'Raw Data'!FK26)</f>
        <v/>
      </c>
      <c r="FX23" s="15" t="str">
        <f>IF('Raw Data'!FL26="","",'Raw Data'!FL26)</f>
        <v/>
      </c>
      <c r="FY23" s="15" t="str">
        <f>IF('Raw Data'!FM26="","",'Raw Data'!FM26)</f>
        <v/>
      </c>
      <c r="FZ23" s="15" t="str">
        <f>IF('Raw Data'!FN26="","",'Raw Data'!FN26)</f>
        <v/>
      </c>
      <c r="GA23" s="15" t="str">
        <f>IF('Raw Data'!FO26="","",'Raw Data'!FO26)</f>
        <v/>
      </c>
      <c r="GB23" s="15" t="str">
        <f>IF('Raw Data'!FP26="","",'Raw Data'!FP26)</f>
        <v/>
      </c>
      <c r="GC23" s="15" t="str">
        <f>IF('Raw Data'!FQ26="","",'Raw Data'!FQ26)</f>
        <v/>
      </c>
      <c r="GD23" s="15" t="str">
        <f>IF('Raw Data'!FR26="","",'Raw Data'!FR26)</f>
        <v/>
      </c>
      <c r="GE23" s="15" t="str">
        <f>IF('Raw Data'!FS26="","",'Raw Data'!FS26)</f>
        <v/>
      </c>
      <c r="GF23" s="15" t="str">
        <f>IF('Raw Data'!FT26="","",'Raw Data'!FT26)</f>
        <v/>
      </c>
      <c r="GG23" s="15" t="str">
        <f>IF('Raw Data'!FU26="","",'Raw Data'!FU26)</f>
        <v/>
      </c>
      <c r="GH23" s="15" t="str">
        <f>IF('Raw Data'!FV26="","",'Raw Data'!FV26)</f>
        <v/>
      </c>
      <c r="GI23" s="15" t="str">
        <f>IF('Raw Data'!FW26="","",'Raw Data'!FW26)</f>
        <v/>
      </c>
      <c r="GJ23" s="15" t="str">
        <f>IF('Raw Data'!FX26="","",'Raw Data'!FX26)</f>
        <v/>
      </c>
      <c r="GK23" s="15" t="str">
        <f>IF('Raw Data'!FY26="","",'Raw Data'!FY26)</f>
        <v/>
      </c>
      <c r="GL23" s="15" t="str">
        <f>IF('Raw Data'!FZ26="","",'Raw Data'!FZ26)</f>
        <v/>
      </c>
      <c r="GM23" s="15" t="str">
        <f>IF('Raw Data'!GA26="","",'Raw Data'!GA26)</f>
        <v/>
      </c>
      <c r="GN23" s="15" t="str">
        <f>IF('Raw Data'!GB26="","",'Raw Data'!GB26)</f>
        <v/>
      </c>
      <c r="GO23" s="15" t="str">
        <f>IF('Raw Data'!GC26="","",'Raw Data'!GC26)</f>
        <v/>
      </c>
      <c r="GP23" s="15" t="str">
        <f>IF('Raw Data'!GD26="","",'Raw Data'!GD26)</f>
        <v/>
      </c>
      <c r="GQ23" s="15" t="str">
        <f>IF('Raw Data'!GE26="","",'Raw Data'!GE26)</f>
        <v/>
      </c>
      <c r="GR23" s="15" t="str">
        <f>IF('Raw Data'!GF26="","",'Raw Data'!GF26)</f>
        <v/>
      </c>
      <c r="GS23" s="15" t="str">
        <f>IF('Raw Data'!GG26="","",'Raw Data'!GG26)</f>
        <v/>
      </c>
      <c r="GT23" s="15" t="str">
        <f>IF('Raw Data'!GH26="","",'Raw Data'!GH26)</f>
        <v/>
      </c>
      <c r="GU23" s="15" t="str">
        <f>IF('Raw Data'!GI26="","",'Raw Data'!GI26)</f>
        <v/>
      </c>
      <c r="GV23" s="15" t="str">
        <f>IF('Raw Data'!GJ26="","",'Raw Data'!GJ26)</f>
        <v/>
      </c>
      <c r="GW23" s="15" t="str">
        <f>IF('Raw Data'!GK26="","",'Raw Data'!GK26)</f>
        <v/>
      </c>
      <c r="GX23" s="15" t="str">
        <f>IF('Raw Data'!GL26="","",'Raw Data'!GL26)</f>
        <v/>
      </c>
      <c r="GY23" s="15" t="str">
        <f>IF('Raw Data'!GM26="","",'Raw Data'!GM26)</f>
        <v/>
      </c>
      <c r="GZ23" s="31"/>
      <c r="HA23" s="31"/>
      <c r="HB23" s="31"/>
      <c r="HC23" s="31"/>
      <c r="HD23" s="31"/>
      <c r="HE23" s="31"/>
      <c r="HF23" s="31"/>
      <c r="HG23" s="31"/>
      <c r="HH23" s="31"/>
      <c r="HI23" s="31"/>
      <c r="HJ23" s="31"/>
      <c r="HK23" s="15" t="str">
        <f>IF('Raw Data'!GY26="","",'Raw Data'!GY26)</f>
        <v/>
      </c>
      <c r="HL23" s="31"/>
      <c r="HM23" s="31"/>
      <c r="HN23" s="31"/>
      <c r="HO23" s="31"/>
      <c r="HP23" s="31"/>
      <c r="HQ23" s="31"/>
      <c r="HR23" s="31"/>
      <c r="HS23" s="15" t="str">
        <f>IF('Raw Data'!HG26="","",'Raw Data'!HG26)</f>
        <v/>
      </c>
      <c r="HT23" s="15" t="str">
        <f>IF('Raw Data'!HH26="","",'Raw Data'!HH26)</f>
        <v/>
      </c>
      <c r="HU23" s="15" t="str">
        <f>IF('Raw Data'!HI26="","",'Raw Data'!HI26)</f>
        <v>non</v>
      </c>
      <c r="HV23" s="15" t="str">
        <f>IF('Raw Data'!HJ26="","",'Raw Data'!HJ26)</f>
        <v/>
      </c>
      <c r="HW23" s="15" t="str">
        <f>IF('Raw Data'!HK26="","",'Raw Data'!HK26)</f>
        <v/>
      </c>
      <c r="HX23" s="15" t="str">
        <f>IF('Raw Data'!HL26="","",'Raw Data'!HL26)</f>
        <v/>
      </c>
      <c r="HY23" s="15" t="str">
        <f>IF('Raw Data'!HM26="","",'Raw Data'!HM26)</f>
        <v/>
      </c>
      <c r="HZ23" s="15" t="str">
        <f>IF('Raw Data'!HN26="","",'Raw Data'!HN26)</f>
        <v/>
      </c>
      <c r="IA23" s="15" t="str">
        <f>IF('Raw Data'!HO26="","",'Raw Data'!HO26)</f>
        <v/>
      </c>
      <c r="IB23" s="15" t="str">
        <f>IF('Raw Data'!HP26="","",'Raw Data'!HP26)</f>
        <v/>
      </c>
      <c r="IC23" s="15" t="str">
        <f>IF('Raw Data'!HQ26="","",'Raw Data'!HQ26)</f>
        <v/>
      </c>
      <c r="ID23" s="15" t="str">
        <f>IF('Raw Data'!HR26="","",'Raw Data'!HR26)</f>
        <v/>
      </c>
      <c r="IE23" s="15" t="str">
        <f>IF('Raw Data'!HS26="","",'Raw Data'!HS26)</f>
        <v/>
      </c>
      <c r="IF23" s="15" t="str">
        <f>IF('Raw Data'!HT26="","",'Raw Data'!HT26)</f>
        <v/>
      </c>
      <c r="IG23" s="15" t="str">
        <f>IF('Raw Data'!HU26="","",'Raw Data'!HU26)</f>
        <v/>
      </c>
      <c r="IH23" s="15" t="str">
        <f>IF('Raw Data'!HV26="","",'Raw Data'!HV26)</f>
        <v>oui</v>
      </c>
      <c r="II23" s="15" t="str">
        <f>IF('Raw Data'!HW26="","",'Raw Data'!HW26)</f>
        <v/>
      </c>
      <c r="IJ23" s="15" t="str">
        <f>IF('Raw Data'!HX26="","",'Raw Data'!HX26)</f>
        <v>Bebes/Bambins Filles Enfants Femmes Garçons</v>
      </c>
      <c r="IK23" s="15" t="str">
        <f>IF('Raw Data'!HY26="","",'Raw Data'!HY26)</f>
        <v>1</v>
      </c>
      <c r="IL23" s="15" t="str">
        <f>IF('Raw Data'!HZ26="","",'Raw Data'!HZ26)</f>
        <v>1</v>
      </c>
      <c r="IM23" s="15" t="str">
        <f>IF('Raw Data'!IA26="","",'Raw Data'!IA26)</f>
        <v>1</v>
      </c>
      <c r="IN23" s="15" t="str">
        <f>IF('Raw Data'!IB26="","",'Raw Data'!IB26)</f>
        <v>1</v>
      </c>
      <c r="IO23" s="15" t="str">
        <f>IF('Raw Data'!IC26="","",'Raw Data'!IC26)</f>
        <v>1</v>
      </c>
      <c r="IP23" s="15" t="str">
        <f>IF('Raw Data'!ID26="","",'Raw Data'!ID26)</f>
        <v>0</v>
      </c>
      <c r="IQ23" s="15" t="str">
        <f>IF('Raw Data'!IE26="","",'Raw Data'!IE26)</f>
        <v>0</v>
      </c>
      <c r="IR23" s="15" t="str">
        <f>IF('Raw Data'!IF26="","",'Raw Data'!IF26)</f>
        <v>0</v>
      </c>
      <c r="IS23" s="15" t="str">
        <f>IF('Raw Data'!IG26="","",'Raw Data'!IG26)</f>
        <v>0</v>
      </c>
      <c r="IT23" s="15" t="str">
        <f>IF('Raw Data'!IH26="","",'Raw Data'!IH26)</f>
        <v>0</v>
      </c>
      <c r="IU23" s="15" t="str">
        <f>IF('Raw Data'!II26="","",'Raw Data'!II26)</f>
        <v>0</v>
      </c>
      <c r="IV23" s="15" t="str">
        <f>IF('Raw Data'!IJ26="","",'Raw Data'!IJ26)</f>
        <v>0</v>
      </c>
      <c r="IW23" s="15" t="str">
        <f>IF('Raw Data'!IK26="","",'Raw Data'!IK26)</f>
        <v>0</v>
      </c>
      <c r="IX23" s="15" t="str">
        <f>IF('Raw Data'!IL26="","",'Raw Data'!IL26)</f>
        <v>0</v>
      </c>
      <c r="IY23" s="15" t="str">
        <f>IF('Raw Data'!IM26="","",'Raw Data'!IM26)</f>
        <v/>
      </c>
      <c r="IZ23" s="15" t="str">
        <f>IF('Raw Data'!IN26="","",'Raw Data'!IN26)</f>
        <v>6</v>
      </c>
      <c r="JA23" s="31" t="s">
        <v>1627</v>
      </c>
      <c r="JB23" s="31" t="s">
        <v>1627</v>
      </c>
      <c r="JC23" s="31" t="s">
        <v>1627</v>
      </c>
      <c r="JD23" s="31" t="s">
        <v>1627</v>
      </c>
      <c r="JE23" s="31" t="s">
        <v>1627</v>
      </c>
      <c r="JF23" s="31" t="s">
        <v>1627</v>
      </c>
      <c r="JG23" s="31" t="s">
        <v>1627</v>
      </c>
      <c r="JH23" s="31" t="s">
        <v>1627</v>
      </c>
      <c r="JI23" s="31" t="s">
        <v>1627</v>
      </c>
      <c r="JJ23" s="31" t="s">
        <v>1627</v>
      </c>
      <c r="JK23" s="31" t="s">
        <v>1627</v>
      </c>
      <c r="JL23" s="15" t="str">
        <f>IF('Raw Data'!IZ26="","",'Raw Data'!IZ26)</f>
        <v/>
      </c>
      <c r="JM23" s="15" t="str">
        <f>IF('Raw Data'!JA26="","",'Raw Data'!JA26)</f>
        <v>prise_enchage reorientation signalement</v>
      </c>
      <c r="JN23" s="15" t="str">
        <f>IF('Raw Data'!JB26="","",'Raw Data'!JB26)</f>
        <v>1</v>
      </c>
      <c r="JO23" s="15" t="str">
        <f>IF('Raw Data'!JC26="","",'Raw Data'!JC26)</f>
        <v>1</v>
      </c>
      <c r="JP23" s="15" t="str">
        <f>IF('Raw Data'!JD26="","",'Raw Data'!JD26)</f>
        <v>1</v>
      </c>
      <c r="JQ23" s="15" t="str">
        <f>IF('Raw Data'!JE26="","",'Raw Data'!JE26)</f>
        <v>0</v>
      </c>
      <c r="JR23" s="15" t="str">
        <f>IF('Raw Data'!JF26="","",'Raw Data'!JF26)</f>
        <v>0</v>
      </c>
      <c r="JS23" s="15" t="str">
        <f>IF('Raw Data'!JG26="","",'Raw Data'!JG26)</f>
        <v>0</v>
      </c>
      <c r="JT23" s="15" t="str">
        <f>IF('Raw Data'!JH26="","",'Raw Data'!JH26)</f>
        <v/>
      </c>
      <c r="JU23" s="15" t="str">
        <f>IF('Raw Data'!JI26="","",'Raw Data'!JI26)</f>
        <v>medical juridique centre_formation surete Psychosocia</v>
      </c>
      <c r="JV23" s="15" t="str">
        <f>IF('Raw Data'!JJ26="","",'Raw Data'!JJ26)</f>
        <v>1</v>
      </c>
      <c r="JW23" s="15" t="str">
        <f>IF('Raw Data'!JK26="","",'Raw Data'!JK26)</f>
        <v>1</v>
      </c>
      <c r="JX23" s="15" t="str">
        <f>IF('Raw Data'!JL26="","",'Raw Data'!JL26)</f>
        <v>0</v>
      </c>
      <c r="JY23" s="15" t="str">
        <f>IF('Raw Data'!JM26="","",'Raw Data'!JM26)</f>
        <v>1</v>
      </c>
      <c r="JZ23" s="15" t="str">
        <f>IF('Raw Data'!JN26="","",'Raw Data'!JN26)</f>
        <v>1</v>
      </c>
      <c r="KA23" s="15" t="str">
        <f>IF('Raw Data'!JO26="","",'Raw Data'!JO26)</f>
        <v>0</v>
      </c>
      <c r="KB23" s="15" t="str">
        <f>IF('Raw Data'!JP26="","",'Raw Data'!JP26)</f>
        <v>1</v>
      </c>
      <c r="KC23" s="15" t="str">
        <f>IF('Raw Data'!JQ26="","",'Raw Data'!JQ26)</f>
        <v>0</v>
      </c>
      <c r="KD23" s="15" t="str">
        <f>IF('Raw Data'!JR26="","",'Raw Data'!JR26)</f>
        <v>0</v>
      </c>
      <c r="KE23" s="15" t="str">
        <f>IF('Raw Data'!JS26="","",'Raw Data'!JS26)</f>
        <v/>
      </c>
      <c r="KF23" s="15" t="str">
        <f>IF('Raw Data'!JT26="","",'Raw Data'!JT26)</f>
        <v>medical Psychosocia point_ecoute surete centre_formation</v>
      </c>
      <c r="KG23" s="15" t="str">
        <f>IF('Raw Data'!JU26="","",'Raw Data'!JU26)</f>
        <v>1</v>
      </c>
      <c r="KH23" s="15" t="str">
        <f>IF('Raw Data'!JV26="","",'Raw Data'!JV26)</f>
        <v>1</v>
      </c>
      <c r="KI23" s="15" t="str">
        <f>IF('Raw Data'!JW26="","",'Raw Data'!JW26)</f>
        <v>1</v>
      </c>
      <c r="KJ23" s="15" t="str">
        <f>IF('Raw Data'!JX26="","",'Raw Data'!JX26)</f>
        <v>0</v>
      </c>
      <c r="KK23" s="15" t="str">
        <f>IF('Raw Data'!JY26="","",'Raw Data'!JY26)</f>
        <v>1</v>
      </c>
      <c r="KL23" s="15" t="str">
        <f>IF('Raw Data'!JZ26="","",'Raw Data'!JZ26)</f>
        <v>0</v>
      </c>
      <c r="KM23" s="15" t="str">
        <f>IF('Raw Data'!KA26="","",'Raw Data'!KA26)</f>
        <v>1</v>
      </c>
      <c r="KN23" s="15" t="str">
        <f>IF('Raw Data'!KB26="","",'Raw Data'!KB26)</f>
        <v>0</v>
      </c>
      <c r="KO23" s="15" t="str">
        <f>IF('Raw Data'!KC26="","",'Raw Data'!KC26)</f>
        <v>0</v>
      </c>
      <c r="KP23" s="15" t="str">
        <f>IF('Raw Data'!KD26="","",'Raw Data'!KD26)</f>
        <v/>
      </c>
      <c r="KQ23" s="15" t="str">
        <f>IF('Raw Data'!KE26="","",'Raw Data'!KE26)</f>
        <v/>
      </c>
      <c r="KR23" s="15" t="str">
        <f>IF('Raw Data'!KF26="","",'Raw Data'!KF26)</f>
        <v>oui</v>
      </c>
      <c r="KS23" s="15" t="str">
        <f>IF('Raw Data'!KG26="","",'Raw Data'!KG26)</f>
        <v>manque_moyens manque_personnes manque_d'information insecurite_zone manque_cordination</v>
      </c>
      <c r="KT23" s="15" t="str">
        <f>IF('Raw Data'!KH26="","",'Raw Data'!KH26)</f>
        <v>1</v>
      </c>
      <c r="KU23" s="15" t="str">
        <f>IF('Raw Data'!KI26="","",'Raw Data'!KI26)</f>
        <v>1</v>
      </c>
      <c r="KV23" s="15" t="str">
        <f>IF('Raw Data'!KJ26="","",'Raw Data'!KJ26)</f>
        <v>1</v>
      </c>
      <c r="KW23" s="15" t="str">
        <f>IF('Raw Data'!KK26="","",'Raw Data'!KK26)</f>
        <v>0</v>
      </c>
      <c r="KX23" s="15" t="str">
        <f>IF('Raw Data'!KL26="","",'Raw Data'!KL26)</f>
        <v>1</v>
      </c>
      <c r="KY23" s="15" t="str">
        <f>IF('Raw Data'!KM26="","",'Raw Data'!KM26)</f>
        <v>0</v>
      </c>
      <c r="KZ23" s="15" t="str">
        <f>IF('Raw Data'!KN26="","",'Raw Data'!KN26)</f>
        <v>1</v>
      </c>
      <c r="LA23" s="15" t="str">
        <f>IF('Raw Data'!KO26="","",'Raw Data'!KO26)</f>
        <v>0</v>
      </c>
      <c r="LB23" s="15" t="str">
        <f>IF('Raw Data'!KP26="","",'Raw Data'!KP26)</f>
        <v>0</v>
      </c>
      <c r="LC23" s="15" t="str">
        <f>IF('Raw Data'!KQ26="","",'Raw Data'!KQ26)</f>
        <v>0</v>
      </c>
      <c r="LD23" s="15" t="str">
        <f>IF('Raw Data'!KR26="","",'Raw Data'!KR26)</f>
        <v>0</v>
      </c>
      <c r="LE23" s="15" t="str">
        <f>IF('Raw Data'!KS26="","",'Raw Data'!KS26)</f>
        <v/>
      </c>
      <c r="LF23" s="15" t="str">
        <f>IF('Raw Data'!KT26="","",'Raw Data'!KT26)</f>
        <v/>
      </c>
      <c r="LG23" s="15" t="str">
        <f>IF('Raw Data'!KU26="","",'Raw Data'!KU26)</f>
        <v/>
      </c>
      <c r="LH23" s="15" t="str">
        <f>IF('Raw Data'!KV26="","",'Raw Data'!KV26)</f>
        <v/>
      </c>
      <c r="LI23" s="15" t="str">
        <f>IF('Raw Data'!KW26="","",'Raw Data'!KW26)</f>
        <v/>
      </c>
      <c r="LJ23" s="15" t="str">
        <f>IF('Raw Data'!KX26="","",'Raw Data'!KX26)</f>
        <v/>
      </c>
      <c r="LK23" s="15" t="str">
        <f>IF('Raw Data'!KY26="","",'Raw Data'!KY26)</f>
        <v/>
      </c>
      <c r="LL23" s="15" t="str">
        <f>IF('Raw Data'!KZ26="","",'Raw Data'!KZ26)</f>
        <v/>
      </c>
      <c r="LM23" s="15" t="str">
        <f>IF('Raw Data'!LA26="","",'Raw Data'!LA26)</f>
        <v/>
      </c>
      <c r="LN23" s="15" t="str">
        <f>IF('Raw Data'!LB26="","",'Raw Data'!LB26)</f>
        <v>oui</v>
      </c>
      <c r="LO23" s="15" t="str">
        <f>IF('Raw Data'!LC26="","",'Raw Data'!LC26)</f>
        <v>violence_physique violence_psycho menace_entourage menace_mort</v>
      </c>
      <c r="LP23" s="15" t="str">
        <f>IF('Raw Data'!LD26="","",'Raw Data'!LD26)</f>
        <v>1</v>
      </c>
      <c r="LQ23" s="15" t="str">
        <f>IF('Raw Data'!LE26="","",'Raw Data'!LE26)</f>
        <v>1</v>
      </c>
      <c r="LR23" s="15" t="str">
        <f>IF('Raw Data'!LF26="","",'Raw Data'!LF26)</f>
        <v>0</v>
      </c>
      <c r="LS23" s="15" t="str">
        <f>IF('Raw Data'!LG26="","",'Raw Data'!LG26)</f>
        <v>1</v>
      </c>
      <c r="LT23" s="15" t="str">
        <f>IF('Raw Data'!LH26="","",'Raw Data'!LH26)</f>
        <v>1</v>
      </c>
      <c r="LU23" s="15" t="str">
        <f>IF('Raw Data'!LI26="","",'Raw Data'!LI26)</f>
        <v>0</v>
      </c>
      <c r="LV23" s="15" t="str">
        <f>IF('Raw Data'!LJ26="","",'Raw Data'!LJ26)</f>
        <v>0</v>
      </c>
      <c r="LW23" s="15" t="str">
        <f>IF('Raw Data'!LK26="","",'Raw Data'!LK26)</f>
        <v>0</v>
      </c>
      <c r="LX23" s="15" t="str">
        <f>IF('Raw Data'!LL26="","",'Raw Data'!LL26)</f>
        <v>0</v>
      </c>
      <c r="LY23" s="15" t="str">
        <f>IF('Raw Data'!LM26="","",'Raw Data'!LM26)</f>
        <v>0</v>
      </c>
      <c r="LZ23" s="15" t="str">
        <f>IF('Raw Data'!LN26="","",'Raw Data'!LN26)</f>
        <v/>
      </c>
      <c r="MA23" s="15" t="str">
        <f>IF('Raw Data'!LO26="","",'Raw Data'!LO26)</f>
        <v>oui</v>
      </c>
      <c r="MB23" s="15" t="str">
        <f>IF('Raw Data'!LP26="","",'Raw Data'!LP26)</f>
        <v>oui</v>
      </c>
      <c r="MC23" s="15" t="str">
        <f>IF('Raw Data'!LQ26="","",'Raw Data'!LQ26)</f>
        <v/>
      </c>
      <c r="MD23" s="15" t="str">
        <f>IF('Raw Data'!LR26="","",'Raw Data'!LR26)</f>
        <v>Nous avons un manque d abris et nourriture</v>
      </c>
      <c r="ME23" s="15">
        <f>IF('Raw Data'!LS26="","",'Raw Data'!LS26)</f>
        <v>169351660</v>
      </c>
      <c r="MF23" s="15" t="str">
        <f>IF('Raw Data'!LT26="","",'Raw Data'!LT26)</f>
        <v>dbf6ba85-c1d2-4a12-8e3b-52ab89ac6183</v>
      </c>
      <c r="MG23" s="15" t="str">
        <f>IF('Raw Data'!LU26="","",'Raw Data'!LU26)</f>
        <v>2021-04-02T19:02:01</v>
      </c>
      <c r="MH23" s="15" t="str">
        <f>IF('Raw Data'!LV26="","",'Raw Data'!LV26)</f>
        <v/>
      </c>
      <c r="MI23" s="15" t="str">
        <f>IF('Raw Data'!LW26="","",'Raw Data'!LW26)</f>
        <v>[]</v>
      </c>
      <c r="MJ23" s="15" t="str">
        <f>IF('Raw Data'!LX26="","",'Raw Data'!LX26)</f>
        <v>submitted_via_web</v>
      </c>
      <c r="MK23" s="15" t="str">
        <f>IF('Raw Data'!LY26="","",'Raw Data'!LY26)</f>
        <v>reach_niger</v>
      </c>
      <c r="ML23" s="15" t="str">
        <f>IF('Raw Data'!LZ26="","",'Raw Data'!LZ26)</f>
        <v/>
      </c>
      <c r="MM23" s="15">
        <f>IF('Raw Data'!MA26="","",'Raw Data'!MA26)</f>
        <v>27</v>
      </c>
    </row>
    <row r="24" spans="1:351" x14ac:dyDescent="0.3">
      <c r="A24" s="26" t="str">
        <f t="shared" si="0"/>
        <v>13aa18d8-0988-415c-92d7-0665d942b2d0</v>
      </c>
      <c r="B24" s="26" t="str">
        <f t="shared" si="1"/>
        <v>tera</v>
      </c>
      <c r="C24" s="26" t="str">
        <f t="shared" si="2"/>
        <v>E</v>
      </c>
      <c r="D24" s="14" t="str">
        <f>IF('Raw Data'!A25="","",'Raw Data'!A25)</f>
        <v>2021-04-01T18:28:51.655+01:00</v>
      </c>
      <c r="E24" s="14" t="str">
        <f>IF('Raw Data'!B25="","",'Raw Data'!B25)</f>
        <v>2021-04-01T18:58:33.343+01:00</v>
      </c>
      <c r="F24" s="30">
        <v>44287.77003472222</v>
      </c>
      <c r="G24" s="30">
        <v>44287.790659722225</v>
      </c>
      <c r="H24" s="29">
        <f>VLOOKUP(A24,Audit[#All],2,FALSE)</f>
        <v>29.7</v>
      </c>
      <c r="I24" s="29">
        <f>VLOOKUP(A24,Audit[#All],3,FALSE)</f>
        <v>29.41</v>
      </c>
      <c r="J24" s="29">
        <f>VLOOKUP(A24,Audit[#All],4,FALSE)</f>
        <v>23.61</v>
      </c>
      <c r="K24" s="29">
        <f>VLOOKUP(A24,nb_questions[#All],2,FALSE)</f>
        <v>75</v>
      </c>
      <c r="L24" s="29">
        <f t="shared" si="3"/>
        <v>126</v>
      </c>
      <c r="M24" s="14" t="str">
        <f>IF('Raw Data'!C25="","",'Raw Data'!C25)</f>
        <v>2021-04-01</v>
      </c>
      <c r="N24" s="14" t="str">
        <f>IF('Raw Data'!D25="","",'Raw Data'!D25)</f>
        <v/>
      </c>
      <c r="O24" s="14" t="str">
        <f>IF('Raw Data'!E25="","",'Raw Data'!E25)</f>
        <v/>
      </c>
      <c r="P24" s="29" t="str">
        <f>VLOOKUP(A24,code_enqueteurs[#All],3,FALSE)</f>
        <v>E</v>
      </c>
      <c r="Q24" s="29" t="s">
        <v>1650</v>
      </c>
      <c r="R24" s="14" t="str">
        <f>IF('Raw Data'!F25="","",'Raw Data'!F25)</f>
        <v>Homme</v>
      </c>
      <c r="S24" s="15" t="str">
        <f>IF('Raw Data'!G25="","",'Raw Data'!G25)</f>
        <v>tera</v>
      </c>
      <c r="T24" s="15" t="str">
        <f>IF('Raw Data'!H25="","",'Raw Data'!H25)</f>
        <v>tera</v>
      </c>
      <c r="U24" s="31" t="s">
        <v>949</v>
      </c>
      <c r="V24" s="15" t="str">
        <f>IF('Raw Data'!J25="","",'Raw Data'!J25)</f>
        <v>Farko</v>
      </c>
      <c r="W24" s="15" t="str">
        <f>IF('Raw Data'!K25="","",'Raw Data'!K25)</f>
        <v/>
      </c>
      <c r="X24" s="15" t="str">
        <f>IF('Raw Data'!L25="","",'Raw Data'!L25)</f>
        <v/>
      </c>
      <c r="Y24" s="15" t="str">
        <f>IF('Raw Data'!M25="","",'Raw Data'!M25)</f>
        <v/>
      </c>
      <c r="Z24" s="15" t="str">
        <f>IF('Raw Data'!N25="","",'Raw Data'!N25)</f>
        <v/>
      </c>
      <c r="AA24" s="15" t="str">
        <f>IF('Raw Data'!O25="","",'Raw Data'!O25)</f>
        <v/>
      </c>
      <c r="AB24" s="15" t="str">
        <f>IF('Raw Data'!P25="","",'Raw Data'!P25)</f>
        <v/>
      </c>
      <c r="AC24" s="15" t="str">
        <f>IF('Raw Data'!Q25="","",'Raw Data'!Q25)</f>
        <v/>
      </c>
      <c r="AD24" s="15" t="str">
        <f>IF('Raw Data'!R25="","",'Raw Data'!R25)</f>
        <v>Femme</v>
      </c>
      <c r="AE24" s="15" t="str">
        <f>IF('Raw Data'!S25="","",'Raw Data'!S25)</f>
        <v>45</v>
      </c>
      <c r="AF24" s="15" t="str">
        <f>IF('Raw Data'!T25="","",'Raw Data'!T25)</f>
        <v>deplace_interne</v>
      </c>
      <c r="AG24" s="15" t="str">
        <f>IF('Raw Data'!U25="","",'Raw Data'!U25)</f>
        <v/>
      </c>
      <c r="AH24" s="31" t="s">
        <v>862</v>
      </c>
      <c r="AI24" s="15" t="str">
        <f>IF('Raw Data'!W25="","",'Raw Data'!W25)</f>
        <v/>
      </c>
      <c r="AJ24" s="15" t="str">
        <f>IF('Raw Data'!X25="","",'Raw Data'!X25)</f>
        <v/>
      </c>
      <c r="AK24" s="15" t="str">
        <f>IF('Raw Data'!Y25="","",'Raw Data'!Y25)</f>
        <v/>
      </c>
      <c r="AL24" s="15" t="str">
        <f>IF('Raw Data'!Z25="","",'Raw Data'!Z25)</f>
        <v>niger</v>
      </c>
      <c r="AM24" s="15" t="str">
        <f>IF('Raw Data'!AA25="","",'Raw Data'!AA25)</f>
        <v>tillaberi</v>
      </c>
      <c r="AN24" s="15" t="str">
        <f>IF('Raw Data'!AB25="","",'Raw Data'!AB25)</f>
        <v>tera</v>
      </c>
      <c r="AO24" s="15" t="str">
        <f>IF('Raw Data'!AC25="","",'Raw Data'!AC25)</f>
        <v/>
      </c>
      <c r="AP24" s="15" t="str">
        <f>IF('Raw Data'!AD25="","",'Raw Data'!AD25)</f>
        <v/>
      </c>
      <c r="AQ24" s="15" t="str">
        <f>IF('Raw Data'!AE25="","",'Raw Data'!AE25)</f>
        <v/>
      </c>
      <c r="AR24" s="15" t="str">
        <f>IF('Raw Data'!AF25="","",'Raw Data'!AF25)</f>
        <v/>
      </c>
      <c r="AS24" s="15" t="str">
        <f>IF('Raw Data'!AG25="","",'Raw Data'!AG25)</f>
        <v>oui</v>
      </c>
      <c r="AT24" s="15" t="str">
        <f>IF('Raw Data'!AH25="","",'Raw Data'!AH25)</f>
        <v>extorsions Violences_physique_civils Attaques_ecoles_sante Vols_braquages Disputes_intercommunataires</v>
      </c>
      <c r="AU24" s="15" t="str">
        <f>IF('Raw Data'!AI25="","",'Raw Data'!AI25)</f>
        <v>0</v>
      </c>
      <c r="AV24" s="15" t="str">
        <f>IF('Raw Data'!AJ25="","",'Raw Data'!AJ25)</f>
        <v>1</v>
      </c>
      <c r="AW24" s="15" t="str">
        <f>IF('Raw Data'!AK25="","",'Raw Data'!AK25)</f>
        <v>1</v>
      </c>
      <c r="AX24" s="15" t="str">
        <f>IF('Raw Data'!AL25="","",'Raw Data'!AL25)</f>
        <v>1</v>
      </c>
      <c r="AY24" s="15" t="str">
        <f>IF('Raw Data'!AM25="","",'Raw Data'!AM25)</f>
        <v>1</v>
      </c>
      <c r="AZ24" s="15" t="str">
        <f>IF('Raw Data'!AN25="","",'Raw Data'!AN25)</f>
        <v>0</v>
      </c>
      <c r="BA24" s="15" t="str">
        <f>IF('Raw Data'!AO25="","",'Raw Data'!AO25)</f>
        <v>0</v>
      </c>
      <c r="BB24" s="15" t="str">
        <f>IF('Raw Data'!AP25="","",'Raw Data'!AP25)</f>
        <v>1</v>
      </c>
      <c r="BC24" s="15" t="str">
        <f>IF('Raw Data'!AQ25="","",'Raw Data'!AQ25)</f>
        <v>0</v>
      </c>
      <c r="BD24" s="15" t="str">
        <f>IF('Raw Data'!AR25="","",'Raw Data'!AR25)</f>
        <v>0</v>
      </c>
      <c r="BE24" s="15" t="str">
        <f>IF('Raw Data'!AS25="","",'Raw Data'!AS25)</f>
        <v>0</v>
      </c>
      <c r="BF24" s="15" t="str">
        <f>IF('Raw Data'!AT25="","",'Raw Data'!AT25)</f>
        <v>0</v>
      </c>
      <c r="BG24" s="15" t="str">
        <f>IF('Raw Data'!AU25="","",'Raw Data'!AU25)</f>
        <v>0</v>
      </c>
      <c r="BH24" s="15" t="str">
        <f>IF('Raw Data'!AV25="","",'Raw Data'!AV25)</f>
        <v>0</v>
      </c>
      <c r="BI24" s="15" t="str">
        <f>IF('Raw Data'!AW25="","",'Raw Data'!AW25)</f>
        <v/>
      </c>
      <c r="BJ24" s="15" t="str">
        <f>IF('Raw Data'!AX25="","",'Raw Data'!AX25)</f>
        <v>Bebes/Bambins Enfants Filles Femmes Garçons</v>
      </c>
      <c r="BK24" s="15" t="str">
        <f>IF('Raw Data'!AY25="","",'Raw Data'!AY25)</f>
        <v>1</v>
      </c>
      <c r="BL24" s="15" t="str">
        <f>IF('Raw Data'!AZ25="","",'Raw Data'!AZ25)</f>
        <v>1</v>
      </c>
      <c r="BM24" s="15" t="str">
        <f>IF('Raw Data'!BA25="","",'Raw Data'!BA25)</f>
        <v>1</v>
      </c>
      <c r="BN24" s="15" t="str">
        <f>IF('Raw Data'!BB25="","",'Raw Data'!BB25)</f>
        <v>1</v>
      </c>
      <c r="BO24" s="15" t="str">
        <f>IF('Raw Data'!BC25="","",'Raw Data'!BC25)</f>
        <v>1</v>
      </c>
      <c r="BP24" s="15" t="str">
        <f>IF('Raw Data'!BD25="","",'Raw Data'!BD25)</f>
        <v>0</v>
      </c>
      <c r="BQ24" s="15" t="str">
        <f>IF('Raw Data'!BE25="","",'Raw Data'!BE25)</f>
        <v>0</v>
      </c>
      <c r="BR24" s="15" t="str">
        <f>IF('Raw Data'!BF25="","",'Raw Data'!BF25)</f>
        <v>0</v>
      </c>
      <c r="BS24" s="15" t="str">
        <f>IF('Raw Data'!BG25="","",'Raw Data'!BG25)</f>
        <v>0</v>
      </c>
      <c r="BT24" s="15" t="str">
        <f>IF('Raw Data'!BH25="","",'Raw Data'!BH25)</f>
        <v>0</v>
      </c>
      <c r="BU24" s="15" t="str">
        <f>IF('Raw Data'!BI25="","",'Raw Data'!BI25)</f>
        <v>0</v>
      </c>
      <c r="BV24" s="15" t="str">
        <f>IF('Raw Data'!BJ25="","",'Raw Data'!BJ25)</f>
        <v>0</v>
      </c>
      <c r="BW24" s="15" t="str">
        <f>IF('Raw Data'!BK25="","",'Raw Data'!BK25)</f>
        <v>0</v>
      </c>
      <c r="BX24" s="15" t="str">
        <f>IF('Raw Data'!BL25="","",'Raw Data'!BL25)</f>
        <v>0</v>
      </c>
      <c r="BY24" s="15" t="str">
        <f>IF('Raw Data'!BM25="","",'Raw Data'!BM25)</f>
        <v/>
      </c>
      <c r="BZ24" s="15" t="str">
        <f>IF('Raw Data'!BN25="","",'Raw Data'!BN25)</f>
        <v>2</v>
      </c>
      <c r="CA24" s="15" t="str">
        <f>IF('Raw Data'!BO25="","",'Raw Data'!BO25)</f>
        <v>augmente</v>
      </c>
      <c r="CB24" s="15" t="str">
        <f>IF('Raw Data'!BP25="","",'Raw Data'!BP25)</f>
        <v/>
      </c>
      <c r="CC24" s="15" t="str">
        <f>IF('Raw Data'!BQ25="","",'Raw Data'!BQ25)</f>
        <v>oui</v>
      </c>
      <c r="CD24" s="15" t="str">
        <f>IF('Raw Data'!BR25="","",'Raw Data'!BR25)</f>
        <v>agression_physique agression_psychologique menace defus_de_acces_aide exploitations_enfant</v>
      </c>
      <c r="CE24" s="15" t="str">
        <f>IF('Raw Data'!BS25="","",'Raw Data'!BS25)</f>
        <v>0</v>
      </c>
      <c r="CF24" s="15" t="str">
        <f>IF('Raw Data'!BT25="","",'Raw Data'!BT25)</f>
        <v>0</v>
      </c>
      <c r="CG24" s="15" t="str">
        <f>IF('Raw Data'!BU25="","",'Raw Data'!BU25)</f>
        <v>1</v>
      </c>
      <c r="CH24" s="15" t="str">
        <f>IF('Raw Data'!BV25="","",'Raw Data'!BV25)</f>
        <v>0</v>
      </c>
      <c r="CI24" s="15" t="str">
        <f>IF('Raw Data'!BW25="","",'Raw Data'!BW25)</f>
        <v>1</v>
      </c>
      <c r="CJ24" s="15" t="str">
        <f>IF('Raw Data'!BX25="","",'Raw Data'!BX25)</f>
        <v>0</v>
      </c>
      <c r="CK24" s="15" t="str">
        <f>IF('Raw Data'!BY25="","",'Raw Data'!BY25)</f>
        <v>0</v>
      </c>
      <c r="CL24" s="15" t="str">
        <f>IF('Raw Data'!BZ25="","",'Raw Data'!BZ25)</f>
        <v>1</v>
      </c>
      <c r="CM24" s="15" t="str">
        <f>IF('Raw Data'!CA25="","",'Raw Data'!CA25)</f>
        <v>1</v>
      </c>
      <c r="CN24" s="15" t="str">
        <f>IF('Raw Data'!CB25="","",'Raw Data'!CB25)</f>
        <v>0</v>
      </c>
      <c r="CO24" s="15" t="str">
        <f>IF('Raw Data'!CC25="","",'Raw Data'!CC25)</f>
        <v>1</v>
      </c>
      <c r="CP24" s="15" t="str">
        <f>IF('Raw Data'!CD25="","",'Raw Data'!CD25)</f>
        <v>0</v>
      </c>
      <c r="CQ24" s="15" t="str">
        <f>IF('Raw Data'!CE25="","",'Raw Data'!CE25)</f>
        <v>0</v>
      </c>
      <c r="CR24" s="15" t="str">
        <f>IF('Raw Data'!CF25="","",'Raw Data'!CF25)</f>
        <v>0</v>
      </c>
      <c r="CS24" s="15" t="str">
        <f>IF('Raw Data'!CG25="","",'Raw Data'!CG25)</f>
        <v>0</v>
      </c>
      <c r="CT24" s="15" t="str">
        <f>IF('Raw Data'!CH25="","",'Raw Data'!CH25)</f>
        <v/>
      </c>
      <c r="CU24" s="15" t="str">
        <f>IF('Raw Data'!CI25="","",'Raw Data'!CI25)</f>
        <v>Bebes/Bambins Enfants Femmes Filles Hommes</v>
      </c>
      <c r="CV24" s="15" t="str">
        <f>IF('Raw Data'!CJ25="","",'Raw Data'!CJ25)</f>
        <v>1</v>
      </c>
      <c r="CW24" s="15" t="str">
        <f>IF('Raw Data'!CK25="","",'Raw Data'!CK25)</f>
        <v>1</v>
      </c>
      <c r="CX24" s="15" t="str">
        <f>IF('Raw Data'!CL25="","",'Raw Data'!CL25)</f>
        <v>1</v>
      </c>
      <c r="CY24" s="15" t="str">
        <f>IF('Raw Data'!CM25="","",'Raw Data'!CM25)</f>
        <v>0</v>
      </c>
      <c r="CZ24" s="15" t="str">
        <f>IF('Raw Data'!CN25="","",'Raw Data'!CN25)</f>
        <v>1</v>
      </c>
      <c r="DA24" s="15" t="str">
        <f>IF('Raw Data'!CO25="","",'Raw Data'!CO25)</f>
        <v>1</v>
      </c>
      <c r="DB24" s="15" t="str">
        <f>IF('Raw Data'!CP25="","",'Raw Data'!CP25)</f>
        <v>0</v>
      </c>
      <c r="DC24" s="15" t="str">
        <f>IF('Raw Data'!CQ25="","",'Raw Data'!CQ25)</f>
        <v>0</v>
      </c>
      <c r="DD24" s="15" t="str">
        <f>IF('Raw Data'!CR25="","",'Raw Data'!CR25)</f>
        <v>0</v>
      </c>
      <c r="DE24" s="15" t="str">
        <f>IF('Raw Data'!CS25="","",'Raw Data'!CS25)</f>
        <v>0</v>
      </c>
      <c r="DF24" s="15" t="str">
        <f>IF('Raw Data'!CT25="","",'Raw Data'!CT25)</f>
        <v>0</v>
      </c>
      <c r="DG24" s="15" t="str">
        <f>IF('Raw Data'!CU25="","",'Raw Data'!CU25)</f>
        <v>0</v>
      </c>
      <c r="DH24" s="15" t="str">
        <f>IF('Raw Data'!CV25="","",'Raw Data'!CV25)</f>
        <v>0</v>
      </c>
      <c r="DI24" s="15" t="str">
        <f>IF('Raw Data'!CW25="","",'Raw Data'!CW25)</f>
        <v>0</v>
      </c>
      <c r="DJ24" s="15" t="str">
        <f>IF('Raw Data'!CX25="","",'Raw Data'!CX25)</f>
        <v/>
      </c>
      <c r="DK24" s="15" t="str">
        <f>IF('Raw Data'!CY25="","",'Raw Data'!CY25)</f>
        <v>2</v>
      </c>
      <c r="DL24" s="15" t="str">
        <f>IF('Raw Data'!CZ25="","",'Raw Data'!CZ25)</f>
        <v>augmente</v>
      </c>
      <c r="DM24" s="15" t="str">
        <f>IF('Raw Data'!DA25="","",'Raw Data'!DA25)</f>
        <v/>
      </c>
      <c r="DN24" s="15" t="str">
        <f>IF('Raw Data'!DB25="","",'Raw Data'!DB25)</f>
        <v>deterioration_con_abris deterioration_acces_service_base hausse_chomeurs</v>
      </c>
      <c r="DO24" s="15" t="str">
        <f>IF('Raw Data'!DC25="","",'Raw Data'!DC25)</f>
        <v>0</v>
      </c>
      <c r="DP24" s="15" t="str">
        <f>IF('Raw Data'!DD25="","",'Raw Data'!DD25)</f>
        <v>1</v>
      </c>
      <c r="DQ24" s="15" t="str">
        <f>IF('Raw Data'!DE25="","",'Raw Data'!DE25)</f>
        <v>1</v>
      </c>
      <c r="DR24" s="15" t="str">
        <f>IF('Raw Data'!DF25="","",'Raw Data'!DF25)</f>
        <v>0</v>
      </c>
      <c r="DS24" s="15" t="str">
        <f>IF('Raw Data'!DG25="","",'Raw Data'!DG25)</f>
        <v>0</v>
      </c>
      <c r="DT24" s="15" t="str">
        <f>IF('Raw Data'!DH25="","",'Raw Data'!DH25)</f>
        <v>0</v>
      </c>
      <c r="DU24" s="15" t="str">
        <f>IF('Raw Data'!DI25="","",'Raw Data'!DI25)</f>
        <v>1</v>
      </c>
      <c r="DV24" s="15" t="str">
        <f>IF('Raw Data'!DJ25="","",'Raw Data'!DJ25)</f>
        <v>0</v>
      </c>
      <c r="DW24" s="15" t="str">
        <f>IF('Raw Data'!DK25="","",'Raw Data'!DK25)</f>
        <v>0</v>
      </c>
      <c r="DX24" s="15" t="str">
        <f>IF('Raw Data'!DL25="","",'Raw Data'!DL25)</f>
        <v>0</v>
      </c>
      <c r="DY24" s="15" t="str">
        <f>IF('Raw Data'!DM25="","",'Raw Data'!DM25)</f>
        <v/>
      </c>
      <c r="DZ24" s="15" t="str">
        <f>IF('Raw Data'!DN25="","",'Raw Data'!DN25)</f>
        <v/>
      </c>
      <c r="EA24" s="15" t="str">
        <f>IF('Raw Data'!DO25="","",'Raw Data'!DO25)</f>
        <v/>
      </c>
      <c r="EB24" s="15" t="str">
        <f>IF('Raw Data'!DP25="","",'Raw Data'!DP25)</f>
        <v/>
      </c>
      <c r="EC24" s="15" t="str">
        <f>IF('Raw Data'!DQ25="","",'Raw Data'!DQ25)</f>
        <v/>
      </c>
      <c r="ED24" s="15" t="str">
        <f>IF('Raw Data'!DR25="","",'Raw Data'!DR25)</f>
        <v/>
      </c>
      <c r="EE24" s="15" t="str">
        <f>IF('Raw Data'!DS25="","",'Raw Data'!DS25)</f>
        <v/>
      </c>
      <c r="EF24" s="15" t="str">
        <f>IF('Raw Data'!DT25="","",'Raw Data'!DT25)</f>
        <v/>
      </c>
      <c r="EG24" s="15" t="str">
        <f>IF('Raw Data'!DU25="","",'Raw Data'!DU25)</f>
        <v/>
      </c>
      <c r="EH24" s="15" t="str">
        <f>IF('Raw Data'!DV25="","",'Raw Data'!DV25)</f>
        <v/>
      </c>
      <c r="EI24" s="15" t="str">
        <f>IF('Raw Data'!DW25="","",'Raw Data'!DW25)</f>
        <v/>
      </c>
      <c r="EJ24" s="15" t="str">
        <f>IF('Raw Data'!DX25="","",'Raw Data'!DX25)</f>
        <v/>
      </c>
      <c r="EK24" s="15" t="str">
        <f>IF('Raw Data'!DY25="","",'Raw Data'!DY25)</f>
        <v/>
      </c>
      <c r="EL24" s="15" t="str">
        <f>IF('Raw Data'!DZ25="","",'Raw Data'!DZ25)</f>
        <v>Integration_com_hote Soutien_famille_amis Soutien_psychosocial dplct_abords_com</v>
      </c>
      <c r="EM24" s="15" t="str">
        <f>IF('Raw Data'!EA25="","",'Raw Data'!EA25)</f>
        <v>1</v>
      </c>
      <c r="EN24" s="15" t="str">
        <f>IF('Raw Data'!EB25="","",'Raw Data'!EB25)</f>
        <v>1</v>
      </c>
      <c r="EO24" s="15" t="str">
        <f>IF('Raw Data'!EC25="","",'Raw Data'!EC25)</f>
        <v>1</v>
      </c>
      <c r="EP24" s="15" t="str">
        <f>IF('Raw Data'!ED25="","",'Raw Data'!ED25)</f>
        <v>0</v>
      </c>
      <c r="EQ24" s="15" t="str">
        <f>IF('Raw Data'!EE25="","",'Raw Data'!EE25)</f>
        <v>1</v>
      </c>
      <c r="ER24" s="15" t="str">
        <f>IF('Raw Data'!EF25="","",'Raw Data'!EF25)</f>
        <v>0</v>
      </c>
      <c r="ES24" s="15" t="str">
        <f>IF('Raw Data'!EG25="","",'Raw Data'!EG25)</f>
        <v>0</v>
      </c>
      <c r="ET24" s="15" t="str">
        <f>IF('Raw Data'!EH25="","",'Raw Data'!EH25)</f>
        <v>0</v>
      </c>
      <c r="EU24" s="15" t="str">
        <f>IF('Raw Data'!EI25="","",'Raw Data'!EI25)</f>
        <v>0</v>
      </c>
      <c r="EV24" s="15" t="str">
        <f>IF('Raw Data'!EJ25="","",'Raw Data'!EJ25)</f>
        <v/>
      </c>
      <c r="EW24" s="15" t="str">
        <f>IF('Raw Data'!EK25="","",'Raw Data'!EK25)</f>
        <v/>
      </c>
      <c r="EX24" s="15" t="str">
        <f>IF('Raw Data'!EL25="","",'Raw Data'!EL25)</f>
        <v>comite_protection famille_accueil comite_gestion_conflits</v>
      </c>
      <c r="EY24" s="15" t="str">
        <f>IF('Raw Data'!EM25="","",'Raw Data'!EM25)</f>
        <v>0</v>
      </c>
      <c r="EZ24" s="15" t="str">
        <f>IF('Raw Data'!EN25="","",'Raw Data'!EN25)</f>
        <v>1</v>
      </c>
      <c r="FA24" s="15" t="str">
        <f>IF('Raw Data'!EO25="","",'Raw Data'!EO25)</f>
        <v>1</v>
      </c>
      <c r="FB24" s="15" t="str">
        <f>IF('Raw Data'!EP25="","",'Raw Data'!EP25)</f>
        <v>0</v>
      </c>
      <c r="FC24" s="15" t="str">
        <f>IF('Raw Data'!EQ25="","",'Raw Data'!EQ25)</f>
        <v>0</v>
      </c>
      <c r="FD24" s="15" t="str">
        <f>IF('Raw Data'!ER25="","",'Raw Data'!ER25)</f>
        <v>1</v>
      </c>
      <c r="FE24" s="15" t="str">
        <f>IF('Raw Data'!ES25="","",'Raw Data'!ES25)</f>
        <v>0</v>
      </c>
      <c r="FF24" s="15" t="str">
        <f>IF('Raw Data'!ET25="","",'Raw Data'!ET25)</f>
        <v>0</v>
      </c>
      <c r="FG24" s="15" t="str">
        <f>IF('Raw Data'!EU25="","",'Raw Data'!EU25)</f>
        <v>0</v>
      </c>
      <c r="FH24" s="15" t="str">
        <f>IF('Raw Data'!EV25="","",'Raw Data'!EV25)</f>
        <v>0</v>
      </c>
      <c r="FI24" s="15" t="str">
        <f>IF('Raw Data'!EW25="","",'Raw Data'!EW25)</f>
        <v/>
      </c>
      <c r="FJ24" s="15" t="str">
        <f>IF('Raw Data'!EX25="","",'Raw Data'!EX25)</f>
        <v>non</v>
      </c>
      <c r="FK24" s="15" t="str">
        <f>IF('Raw Data'!EY25="","",'Raw Data'!EY25)</f>
        <v/>
      </c>
      <c r="FL24" s="15" t="str">
        <f>IF('Raw Data'!EZ25="","",'Raw Data'!EZ25)</f>
        <v/>
      </c>
      <c r="FM24" s="15" t="str">
        <f>IF('Raw Data'!FA25="","",'Raw Data'!FA25)</f>
        <v/>
      </c>
      <c r="FN24" s="15" t="str">
        <f>IF('Raw Data'!FB25="","",'Raw Data'!FB25)</f>
        <v/>
      </c>
      <c r="FO24" s="15" t="str">
        <f>IF('Raw Data'!FC25="","",'Raw Data'!FC25)</f>
        <v/>
      </c>
      <c r="FP24" s="15" t="str">
        <f>IF('Raw Data'!FD25="","",'Raw Data'!FD25)</f>
        <v/>
      </c>
      <c r="FQ24" s="15" t="str">
        <f>IF('Raw Data'!FE25="","",'Raw Data'!FE25)</f>
        <v/>
      </c>
      <c r="FR24" s="15" t="str">
        <f>IF('Raw Data'!FF25="","",'Raw Data'!FF25)</f>
        <v/>
      </c>
      <c r="FS24" s="15" t="str">
        <f>IF('Raw Data'!FG25="","",'Raw Data'!FG25)</f>
        <v/>
      </c>
      <c r="FT24" s="15" t="str">
        <f>IF('Raw Data'!FH25="","",'Raw Data'!FH25)</f>
        <v/>
      </c>
      <c r="FU24" s="15" t="str">
        <f>IF('Raw Data'!FI25="","",'Raw Data'!FI25)</f>
        <v/>
      </c>
      <c r="FV24" s="15" t="str">
        <f>IF('Raw Data'!FJ25="","",'Raw Data'!FJ25)</f>
        <v/>
      </c>
      <c r="FW24" s="15" t="str">
        <f>IF('Raw Data'!FK25="","",'Raw Data'!FK25)</f>
        <v/>
      </c>
      <c r="FX24" s="15" t="str">
        <f>IF('Raw Data'!FL25="","",'Raw Data'!FL25)</f>
        <v/>
      </c>
      <c r="FY24" s="15" t="str">
        <f>IF('Raw Data'!FM25="","",'Raw Data'!FM25)</f>
        <v/>
      </c>
      <c r="FZ24" s="15" t="str">
        <f>IF('Raw Data'!FN25="","",'Raw Data'!FN25)</f>
        <v/>
      </c>
      <c r="GA24" s="15" t="str">
        <f>IF('Raw Data'!FO25="","",'Raw Data'!FO25)</f>
        <v/>
      </c>
      <c r="GB24" s="15" t="str">
        <f>IF('Raw Data'!FP25="","",'Raw Data'!FP25)</f>
        <v/>
      </c>
      <c r="GC24" s="15" t="str">
        <f>IF('Raw Data'!FQ25="","",'Raw Data'!FQ25)</f>
        <v/>
      </c>
      <c r="GD24" s="15" t="str">
        <f>IF('Raw Data'!FR25="","",'Raw Data'!FR25)</f>
        <v/>
      </c>
      <c r="GE24" s="15" t="str">
        <f>IF('Raw Data'!FS25="","",'Raw Data'!FS25)</f>
        <v/>
      </c>
      <c r="GF24" s="15" t="str">
        <f>IF('Raw Data'!FT25="","",'Raw Data'!FT25)</f>
        <v/>
      </c>
      <c r="GG24" s="15" t="str">
        <f>IF('Raw Data'!FU25="","",'Raw Data'!FU25)</f>
        <v/>
      </c>
      <c r="GH24" s="15" t="str">
        <f>IF('Raw Data'!FV25="","",'Raw Data'!FV25)</f>
        <v/>
      </c>
      <c r="GI24" s="15" t="str">
        <f>IF('Raw Data'!FW25="","",'Raw Data'!FW25)</f>
        <v/>
      </c>
      <c r="GJ24" s="15" t="str">
        <f>IF('Raw Data'!FX25="","",'Raw Data'!FX25)</f>
        <v/>
      </c>
      <c r="GK24" s="15" t="str">
        <f>IF('Raw Data'!FY25="","",'Raw Data'!FY25)</f>
        <v/>
      </c>
      <c r="GL24" s="15" t="str">
        <f>IF('Raw Data'!FZ25="","",'Raw Data'!FZ25)</f>
        <v/>
      </c>
      <c r="GM24" s="15" t="str">
        <f>IF('Raw Data'!GA25="","",'Raw Data'!GA25)</f>
        <v/>
      </c>
      <c r="GN24" s="15" t="str">
        <f>IF('Raw Data'!GB25="","",'Raw Data'!GB25)</f>
        <v/>
      </c>
      <c r="GO24" s="15" t="str">
        <f>IF('Raw Data'!GC25="","",'Raw Data'!GC25)</f>
        <v/>
      </c>
      <c r="GP24" s="15" t="str">
        <f>IF('Raw Data'!GD25="","",'Raw Data'!GD25)</f>
        <v/>
      </c>
      <c r="GQ24" s="15" t="str">
        <f>IF('Raw Data'!GE25="","",'Raw Data'!GE25)</f>
        <v/>
      </c>
      <c r="GR24" s="15" t="str">
        <f>IF('Raw Data'!GF25="","",'Raw Data'!GF25)</f>
        <v/>
      </c>
      <c r="GS24" s="15" t="str">
        <f>IF('Raw Data'!GG25="","",'Raw Data'!GG25)</f>
        <v/>
      </c>
      <c r="GT24" s="15" t="str">
        <f>IF('Raw Data'!GH25="","",'Raw Data'!GH25)</f>
        <v/>
      </c>
      <c r="GU24" s="15" t="str">
        <f>IF('Raw Data'!GI25="","",'Raw Data'!GI25)</f>
        <v/>
      </c>
      <c r="GV24" s="15" t="str">
        <f>IF('Raw Data'!GJ25="","",'Raw Data'!GJ25)</f>
        <v/>
      </c>
      <c r="GW24" s="15" t="str">
        <f>IF('Raw Data'!GK25="","",'Raw Data'!GK25)</f>
        <v/>
      </c>
      <c r="GX24" s="15" t="str">
        <f>IF('Raw Data'!GL25="","",'Raw Data'!GL25)</f>
        <v/>
      </c>
      <c r="GY24" s="15" t="str">
        <f>IF('Raw Data'!GM25="","",'Raw Data'!GM25)</f>
        <v/>
      </c>
      <c r="GZ24" s="31"/>
      <c r="HA24" s="31"/>
      <c r="HB24" s="31"/>
      <c r="HC24" s="31"/>
      <c r="HD24" s="31"/>
      <c r="HE24" s="31"/>
      <c r="HF24" s="31"/>
      <c r="HG24" s="31"/>
      <c r="HH24" s="31"/>
      <c r="HI24" s="31"/>
      <c r="HJ24" s="31"/>
      <c r="HK24" s="15" t="str">
        <f>IF('Raw Data'!GY25="","",'Raw Data'!GY25)</f>
        <v/>
      </c>
      <c r="HL24" s="31"/>
      <c r="HM24" s="31"/>
      <c r="HN24" s="31"/>
      <c r="HO24" s="31"/>
      <c r="HP24" s="31"/>
      <c r="HQ24" s="31"/>
      <c r="HR24" s="31"/>
      <c r="HS24" s="15" t="str">
        <f>IF('Raw Data'!HG25="","",'Raw Data'!HG25)</f>
        <v/>
      </c>
      <c r="HT24" s="15" t="str">
        <f>IF('Raw Data'!HH25="","",'Raw Data'!HH25)</f>
        <v/>
      </c>
      <c r="HU24" s="15" t="str">
        <f>IF('Raw Data'!HI25="","",'Raw Data'!HI25)</f>
        <v>non</v>
      </c>
      <c r="HV24" s="15" t="str">
        <f>IF('Raw Data'!HJ25="","",'Raw Data'!HJ25)</f>
        <v/>
      </c>
      <c r="HW24" s="15" t="str">
        <f>IF('Raw Data'!HK25="","",'Raw Data'!HK25)</f>
        <v/>
      </c>
      <c r="HX24" s="15" t="str">
        <f>IF('Raw Data'!HL25="","",'Raw Data'!HL25)</f>
        <v/>
      </c>
      <c r="HY24" s="15" t="str">
        <f>IF('Raw Data'!HM25="","",'Raw Data'!HM25)</f>
        <v/>
      </c>
      <c r="HZ24" s="15" t="str">
        <f>IF('Raw Data'!HN25="","",'Raw Data'!HN25)</f>
        <v/>
      </c>
      <c r="IA24" s="15" t="str">
        <f>IF('Raw Data'!HO25="","",'Raw Data'!HO25)</f>
        <v/>
      </c>
      <c r="IB24" s="15" t="str">
        <f>IF('Raw Data'!HP25="","",'Raw Data'!HP25)</f>
        <v/>
      </c>
      <c r="IC24" s="15" t="str">
        <f>IF('Raw Data'!HQ25="","",'Raw Data'!HQ25)</f>
        <v/>
      </c>
      <c r="ID24" s="15" t="str">
        <f>IF('Raw Data'!HR25="","",'Raw Data'!HR25)</f>
        <v/>
      </c>
      <c r="IE24" s="15" t="str">
        <f>IF('Raw Data'!HS25="","",'Raw Data'!HS25)</f>
        <v/>
      </c>
      <c r="IF24" s="15" t="str">
        <f>IF('Raw Data'!HT25="","",'Raw Data'!HT25)</f>
        <v/>
      </c>
      <c r="IG24" s="15" t="str">
        <f>IF('Raw Data'!HU25="","",'Raw Data'!HU25)</f>
        <v/>
      </c>
      <c r="IH24" s="15" t="str">
        <f>IF('Raw Data'!HV25="","",'Raw Data'!HV25)</f>
        <v>oui</v>
      </c>
      <c r="II24" s="15" t="str">
        <f>IF('Raw Data'!HW25="","",'Raw Data'!HW25)</f>
        <v/>
      </c>
      <c r="IJ24" s="15" t="str">
        <f>IF('Raw Data'!HX25="","",'Raw Data'!HX25)</f>
        <v>Bebes/Bambins Filles Enfants Hommes Femmes</v>
      </c>
      <c r="IK24" s="15" t="str">
        <f>IF('Raw Data'!HY25="","",'Raw Data'!HY25)</f>
        <v>1</v>
      </c>
      <c r="IL24" s="15" t="str">
        <f>IF('Raw Data'!HZ25="","",'Raw Data'!HZ25)</f>
        <v>1</v>
      </c>
      <c r="IM24" s="15" t="str">
        <f>IF('Raw Data'!IA25="","",'Raw Data'!IA25)</f>
        <v>1</v>
      </c>
      <c r="IN24" s="15" t="str">
        <f>IF('Raw Data'!IB25="","",'Raw Data'!IB25)</f>
        <v>0</v>
      </c>
      <c r="IO24" s="15" t="str">
        <f>IF('Raw Data'!IC25="","",'Raw Data'!IC25)</f>
        <v>1</v>
      </c>
      <c r="IP24" s="15" t="str">
        <f>IF('Raw Data'!ID25="","",'Raw Data'!ID25)</f>
        <v>1</v>
      </c>
      <c r="IQ24" s="15" t="str">
        <f>IF('Raw Data'!IE25="","",'Raw Data'!IE25)</f>
        <v>0</v>
      </c>
      <c r="IR24" s="15" t="str">
        <f>IF('Raw Data'!IF25="","",'Raw Data'!IF25)</f>
        <v>0</v>
      </c>
      <c r="IS24" s="15" t="str">
        <f>IF('Raw Data'!IG25="","",'Raw Data'!IG25)</f>
        <v>0</v>
      </c>
      <c r="IT24" s="15" t="str">
        <f>IF('Raw Data'!IH25="","",'Raw Data'!IH25)</f>
        <v>0</v>
      </c>
      <c r="IU24" s="15" t="str">
        <f>IF('Raw Data'!II25="","",'Raw Data'!II25)</f>
        <v>0</v>
      </c>
      <c r="IV24" s="15" t="str">
        <f>IF('Raw Data'!IJ25="","",'Raw Data'!IJ25)</f>
        <v>0</v>
      </c>
      <c r="IW24" s="15" t="str">
        <f>IF('Raw Data'!IK25="","",'Raw Data'!IK25)</f>
        <v>0</v>
      </c>
      <c r="IX24" s="15" t="str">
        <f>IF('Raw Data'!IL25="","",'Raw Data'!IL25)</f>
        <v>0</v>
      </c>
      <c r="IY24" s="15" t="str">
        <f>IF('Raw Data'!IM25="","",'Raw Data'!IM25)</f>
        <v/>
      </c>
      <c r="IZ24" s="15" t="str">
        <f>IF('Raw Data'!IN25="","",'Raw Data'!IN25)</f>
        <v>5</v>
      </c>
      <c r="JA24" s="31" t="s">
        <v>1627</v>
      </c>
      <c r="JB24" s="31" t="s">
        <v>1627</v>
      </c>
      <c r="JC24" s="31" t="s">
        <v>1627</v>
      </c>
      <c r="JD24" s="31" t="s">
        <v>1627</v>
      </c>
      <c r="JE24" s="31" t="s">
        <v>1627</v>
      </c>
      <c r="JF24" s="31" t="s">
        <v>1627</v>
      </c>
      <c r="JG24" s="31" t="s">
        <v>1627</v>
      </c>
      <c r="JH24" s="31" t="s">
        <v>1627</v>
      </c>
      <c r="JI24" s="31" t="s">
        <v>1627</v>
      </c>
      <c r="JJ24" s="31" t="s">
        <v>1627</v>
      </c>
      <c r="JK24" s="31" t="s">
        <v>1627</v>
      </c>
      <c r="JL24" s="15" t="str">
        <f>IF('Raw Data'!IZ25="","",'Raw Data'!IZ25)</f>
        <v/>
      </c>
      <c r="JM24" s="15" t="str">
        <f>IF('Raw Data'!JA25="","",'Raw Data'!JA25)</f>
        <v>prise_enchage reorientation signalement</v>
      </c>
      <c r="JN24" s="15" t="str">
        <f>IF('Raw Data'!JB25="","",'Raw Data'!JB25)</f>
        <v>1</v>
      </c>
      <c r="JO24" s="15" t="str">
        <f>IF('Raw Data'!JC25="","",'Raw Data'!JC25)</f>
        <v>1</v>
      </c>
      <c r="JP24" s="15" t="str">
        <f>IF('Raw Data'!JD25="","",'Raw Data'!JD25)</f>
        <v>1</v>
      </c>
      <c r="JQ24" s="15" t="str">
        <f>IF('Raw Data'!JE25="","",'Raw Data'!JE25)</f>
        <v>0</v>
      </c>
      <c r="JR24" s="15" t="str">
        <f>IF('Raw Data'!JF25="","",'Raw Data'!JF25)</f>
        <v>0</v>
      </c>
      <c r="JS24" s="15" t="str">
        <f>IF('Raw Data'!JG25="","",'Raw Data'!JG25)</f>
        <v>0</v>
      </c>
      <c r="JT24" s="15" t="str">
        <f>IF('Raw Data'!JH25="","",'Raw Data'!JH25)</f>
        <v/>
      </c>
      <c r="JU24" s="15" t="str">
        <f>IF('Raw Data'!JI25="","",'Raw Data'!JI25)</f>
        <v>surete centre_formation point_ecoute Psychosocia medical</v>
      </c>
      <c r="JV24" s="15" t="str">
        <f>IF('Raw Data'!JJ25="","",'Raw Data'!JJ25)</f>
        <v>1</v>
      </c>
      <c r="JW24" s="15" t="str">
        <f>IF('Raw Data'!JK25="","",'Raw Data'!JK25)</f>
        <v>1</v>
      </c>
      <c r="JX24" s="15" t="str">
        <f>IF('Raw Data'!JL25="","",'Raw Data'!JL25)</f>
        <v>1</v>
      </c>
      <c r="JY24" s="15" t="str">
        <f>IF('Raw Data'!JM25="","",'Raw Data'!JM25)</f>
        <v>0</v>
      </c>
      <c r="JZ24" s="15" t="str">
        <f>IF('Raw Data'!JN25="","",'Raw Data'!JN25)</f>
        <v>1</v>
      </c>
      <c r="KA24" s="15" t="str">
        <f>IF('Raw Data'!JO25="","",'Raw Data'!JO25)</f>
        <v>0</v>
      </c>
      <c r="KB24" s="15" t="str">
        <f>IF('Raw Data'!JP25="","",'Raw Data'!JP25)</f>
        <v>1</v>
      </c>
      <c r="KC24" s="15" t="str">
        <f>IF('Raw Data'!JQ25="","",'Raw Data'!JQ25)</f>
        <v>0</v>
      </c>
      <c r="KD24" s="15" t="str">
        <f>IF('Raw Data'!JR25="","",'Raw Data'!JR25)</f>
        <v>0</v>
      </c>
      <c r="KE24" s="15" t="str">
        <f>IF('Raw Data'!JS25="","",'Raw Data'!JS25)</f>
        <v/>
      </c>
      <c r="KF24" s="15" t="str">
        <f>IF('Raw Data'!JT25="","",'Raw Data'!JT25)</f>
        <v>medical Psychosocia point_ecoute centre_formation surete</v>
      </c>
      <c r="KG24" s="15" t="str">
        <f>IF('Raw Data'!JU25="","",'Raw Data'!JU25)</f>
        <v>1</v>
      </c>
      <c r="KH24" s="15" t="str">
        <f>IF('Raw Data'!JV25="","",'Raw Data'!JV25)</f>
        <v>1</v>
      </c>
      <c r="KI24" s="15" t="str">
        <f>IF('Raw Data'!JW25="","",'Raw Data'!JW25)</f>
        <v>1</v>
      </c>
      <c r="KJ24" s="15" t="str">
        <f>IF('Raw Data'!JX25="","",'Raw Data'!JX25)</f>
        <v>0</v>
      </c>
      <c r="KK24" s="15" t="str">
        <f>IF('Raw Data'!JY25="","",'Raw Data'!JY25)</f>
        <v>1</v>
      </c>
      <c r="KL24" s="15" t="str">
        <f>IF('Raw Data'!JZ25="","",'Raw Data'!JZ25)</f>
        <v>0</v>
      </c>
      <c r="KM24" s="15" t="str">
        <f>IF('Raw Data'!KA25="","",'Raw Data'!KA25)</f>
        <v>1</v>
      </c>
      <c r="KN24" s="15" t="str">
        <f>IF('Raw Data'!KB25="","",'Raw Data'!KB25)</f>
        <v>0</v>
      </c>
      <c r="KO24" s="15" t="str">
        <f>IF('Raw Data'!KC25="","",'Raw Data'!KC25)</f>
        <v>0</v>
      </c>
      <c r="KP24" s="15" t="str">
        <f>IF('Raw Data'!KD25="","",'Raw Data'!KD25)</f>
        <v/>
      </c>
      <c r="KQ24" s="15" t="str">
        <f>IF('Raw Data'!KE25="","",'Raw Data'!KE25)</f>
        <v/>
      </c>
      <c r="KR24" s="15" t="str">
        <f>IF('Raw Data'!KF25="","",'Raw Data'!KF25)</f>
        <v>non</v>
      </c>
      <c r="KS24" s="15" t="str">
        <f>IF('Raw Data'!KG25="","",'Raw Data'!KG25)</f>
        <v/>
      </c>
      <c r="KT24" s="15" t="str">
        <f>IF('Raw Data'!KH25="","",'Raw Data'!KH25)</f>
        <v/>
      </c>
      <c r="KU24" s="15" t="str">
        <f>IF('Raw Data'!KI25="","",'Raw Data'!KI25)</f>
        <v/>
      </c>
      <c r="KV24" s="15" t="str">
        <f>IF('Raw Data'!KJ25="","",'Raw Data'!KJ25)</f>
        <v/>
      </c>
      <c r="KW24" s="15" t="str">
        <f>IF('Raw Data'!KK25="","",'Raw Data'!KK25)</f>
        <v/>
      </c>
      <c r="KX24" s="15" t="str">
        <f>IF('Raw Data'!KL25="","",'Raw Data'!KL25)</f>
        <v/>
      </c>
      <c r="KY24" s="15" t="str">
        <f>IF('Raw Data'!KM25="","",'Raw Data'!KM25)</f>
        <v/>
      </c>
      <c r="KZ24" s="15" t="str">
        <f>IF('Raw Data'!KN25="","",'Raw Data'!KN25)</f>
        <v/>
      </c>
      <c r="LA24" s="15" t="str">
        <f>IF('Raw Data'!KO25="","",'Raw Data'!KO25)</f>
        <v/>
      </c>
      <c r="LB24" s="15" t="str">
        <f>IF('Raw Data'!KP25="","",'Raw Data'!KP25)</f>
        <v/>
      </c>
      <c r="LC24" s="15" t="str">
        <f>IF('Raw Data'!KQ25="","",'Raw Data'!KQ25)</f>
        <v/>
      </c>
      <c r="LD24" s="15" t="str">
        <f>IF('Raw Data'!KR25="","",'Raw Data'!KR25)</f>
        <v/>
      </c>
      <c r="LE24" s="15" t="str">
        <f>IF('Raw Data'!KS25="","",'Raw Data'!KS25)</f>
        <v/>
      </c>
      <c r="LF24" s="15" t="str">
        <f>IF('Raw Data'!KT25="","",'Raw Data'!KT25)</f>
        <v/>
      </c>
      <c r="LG24" s="15" t="str">
        <f>IF('Raw Data'!KU25="","",'Raw Data'!KU25)</f>
        <v/>
      </c>
      <c r="LH24" s="15" t="str">
        <f>IF('Raw Data'!KV25="","",'Raw Data'!KV25)</f>
        <v/>
      </c>
      <c r="LI24" s="15" t="str">
        <f>IF('Raw Data'!KW25="","",'Raw Data'!KW25)</f>
        <v/>
      </c>
      <c r="LJ24" s="15" t="str">
        <f>IF('Raw Data'!KX25="","",'Raw Data'!KX25)</f>
        <v/>
      </c>
      <c r="LK24" s="15" t="str">
        <f>IF('Raw Data'!KY25="","",'Raw Data'!KY25)</f>
        <v/>
      </c>
      <c r="LL24" s="15" t="str">
        <f>IF('Raw Data'!KZ25="","",'Raw Data'!KZ25)</f>
        <v/>
      </c>
      <c r="LM24" s="15" t="str">
        <f>IF('Raw Data'!LA25="","",'Raw Data'!LA25)</f>
        <v/>
      </c>
      <c r="LN24" s="15" t="str">
        <f>IF('Raw Data'!LB25="","",'Raw Data'!LB25)</f>
        <v>oui</v>
      </c>
      <c r="LO24" s="15" t="str">
        <f>IF('Raw Data'!LC25="","",'Raw Data'!LC25)</f>
        <v>violence_physique violence_psycho menace_entourage message menace_mort</v>
      </c>
      <c r="LP24" s="15" t="str">
        <f>IF('Raw Data'!LD25="","",'Raw Data'!LD25)</f>
        <v>1</v>
      </c>
      <c r="LQ24" s="15" t="str">
        <f>IF('Raw Data'!LE25="","",'Raw Data'!LE25)</f>
        <v>1</v>
      </c>
      <c r="LR24" s="15" t="str">
        <f>IF('Raw Data'!LF25="","",'Raw Data'!LF25)</f>
        <v>1</v>
      </c>
      <c r="LS24" s="15" t="str">
        <f>IF('Raw Data'!LG25="","",'Raw Data'!LG25)</f>
        <v>1</v>
      </c>
      <c r="LT24" s="15" t="str">
        <f>IF('Raw Data'!LH25="","",'Raw Data'!LH25)</f>
        <v>1</v>
      </c>
      <c r="LU24" s="15" t="str">
        <f>IF('Raw Data'!LI25="","",'Raw Data'!LI25)</f>
        <v>0</v>
      </c>
      <c r="LV24" s="15" t="str">
        <f>IF('Raw Data'!LJ25="","",'Raw Data'!LJ25)</f>
        <v>0</v>
      </c>
      <c r="LW24" s="15" t="str">
        <f>IF('Raw Data'!LK25="","",'Raw Data'!LK25)</f>
        <v>0</v>
      </c>
      <c r="LX24" s="15" t="str">
        <f>IF('Raw Data'!LL25="","",'Raw Data'!LL25)</f>
        <v>0</v>
      </c>
      <c r="LY24" s="15" t="str">
        <f>IF('Raw Data'!LM25="","",'Raw Data'!LM25)</f>
        <v>0</v>
      </c>
      <c r="LZ24" s="15" t="str">
        <f>IF('Raw Data'!LN25="","",'Raw Data'!LN25)</f>
        <v/>
      </c>
      <c r="MA24" s="15" t="str">
        <f>IF('Raw Data'!LO25="","",'Raw Data'!LO25)</f>
        <v>oui</v>
      </c>
      <c r="MB24" s="15" t="str">
        <f>IF('Raw Data'!LP25="","",'Raw Data'!LP25)</f>
        <v>oui</v>
      </c>
      <c r="MC24" s="15" t="str">
        <f>IF('Raw Data'!LQ25="","",'Raw Data'!LQ25)</f>
        <v/>
      </c>
      <c r="MD24" s="15" t="str">
        <f>IF('Raw Data'!LR25="","",'Raw Data'!LR25)</f>
        <v>Appu en formation professionnelle</v>
      </c>
      <c r="ME24" s="15">
        <f>IF('Raw Data'!LS25="","",'Raw Data'!LS25)</f>
        <v>169351652</v>
      </c>
      <c r="MF24" s="15" t="str">
        <f>IF('Raw Data'!LT25="","",'Raw Data'!LT25)</f>
        <v>13aa18d8-0988-415c-92d7-0665d942b2d0</v>
      </c>
      <c r="MG24" s="15" t="str">
        <f>IF('Raw Data'!LU25="","",'Raw Data'!LU25)</f>
        <v>2021-04-02T19:01:57</v>
      </c>
      <c r="MH24" s="15" t="str">
        <f>IF('Raw Data'!LV25="","",'Raw Data'!LV25)</f>
        <v/>
      </c>
      <c r="MI24" s="15" t="str">
        <f>IF('Raw Data'!LW25="","",'Raw Data'!LW25)</f>
        <v>[]</v>
      </c>
      <c r="MJ24" s="15" t="str">
        <f>IF('Raw Data'!LX25="","",'Raw Data'!LX25)</f>
        <v>submitted_via_web</v>
      </c>
      <c r="MK24" s="15" t="str">
        <f>IF('Raw Data'!LY25="","",'Raw Data'!LY25)</f>
        <v>reach_niger</v>
      </c>
      <c r="ML24" s="15" t="str">
        <f>IF('Raw Data'!LZ25="","",'Raw Data'!LZ25)</f>
        <v/>
      </c>
      <c r="MM24" s="15">
        <f>IF('Raw Data'!MA25="","",'Raw Data'!MA25)</f>
        <v>26</v>
      </c>
    </row>
    <row r="25" spans="1:351" x14ac:dyDescent="0.3">
      <c r="A25" s="26" t="str">
        <f t="shared" si="0"/>
        <v>7d4602c8-7b62-46e7-bf3b-e3652356e498</v>
      </c>
      <c r="B25" s="26" t="str">
        <f t="shared" si="1"/>
        <v>tera</v>
      </c>
      <c r="C25" s="26" t="str">
        <f t="shared" si="2"/>
        <v>E</v>
      </c>
      <c r="D25" s="14" t="str">
        <f>IF('Raw Data'!A24="","",'Raw Data'!A24)</f>
        <v>2021-04-01T14:01:03.046+01:00</v>
      </c>
      <c r="E25" s="14" t="str">
        <f>IF('Raw Data'!B24="","",'Raw Data'!B24)</f>
        <v>2021-04-01T14:30:25.597+01:00</v>
      </c>
      <c r="F25" s="30">
        <v>44287.584062499998</v>
      </c>
      <c r="G25" s="30">
        <v>44287.604456018518</v>
      </c>
      <c r="H25" s="29">
        <f>VLOOKUP(A25,Audit[#All],2,FALSE)</f>
        <v>29.38</v>
      </c>
      <c r="I25" s="29">
        <f>VLOOKUP(A25,Audit[#All],3,FALSE)</f>
        <v>29.32</v>
      </c>
      <c r="J25" s="29">
        <f>VLOOKUP(A25,Audit[#All],4,FALSE)</f>
        <v>12.55</v>
      </c>
      <c r="K25" s="29">
        <f>VLOOKUP(A25,nb_questions[#All],2,FALSE)</f>
        <v>68</v>
      </c>
      <c r="L25" s="29">
        <f t="shared" si="3"/>
        <v>103</v>
      </c>
      <c r="M25" s="14" t="str">
        <f>IF('Raw Data'!C24="","",'Raw Data'!C24)</f>
        <v>2021-04-01</v>
      </c>
      <c r="N25" s="14" t="str">
        <f>IF('Raw Data'!D24="","",'Raw Data'!D24)</f>
        <v/>
      </c>
      <c r="O25" s="14" t="str">
        <f>IF('Raw Data'!E24="","",'Raw Data'!E24)</f>
        <v/>
      </c>
      <c r="P25" s="29" t="str">
        <f>VLOOKUP(A25,code_enqueteurs[#All],3,FALSE)</f>
        <v>E</v>
      </c>
      <c r="Q25" s="29" t="s">
        <v>1650</v>
      </c>
      <c r="R25" s="14" t="str">
        <f>IF('Raw Data'!F24="","",'Raw Data'!F24)</f>
        <v>Homme</v>
      </c>
      <c r="S25" s="15" t="str">
        <f>IF('Raw Data'!G24="","",'Raw Data'!G24)</f>
        <v>tera</v>
      </c>
      <c r="T25" s="15" t="str">
        <f>IF('Raw Data'!H24="","",'Raw Data'!H24)</f>
        <v>tera</v>
      </c>
      <c r="U25" s="31" t="s">
        <v>916</v>
      </c>
      <c r="V25" s="15" t="str">
        <f>IF('Raw Data'!J24="","",'Raw Data'!J24)</f>
        <v>Zongo</v>
      </c>
      <c r="W25" s="15" t="str">
        <f>IF('Raw Data'!K24="","",'Raw Data'!K24)</f>
        <v/>
      </c>
      <c r="X25" s="15" t="str">
        <f>IF('Raw Data'!L24="","",'Raw Data'!L24)</f>
        <v/>
      </c>
      <c r="Y25" s="15" t="str">
        <f>IF('Raw Data'!M24="","",'Raw Data'!M24)</f>
        <v/>
      </c>
      <c r="Z25" s="15" t="str">
        <f>IF('Raw Data'!N24="","",'Raw Data'!N24)</f>
        <v/>
      </c>
      <c r="AA25" s="15" t="str">
        <f>IF('Raw Data'!O24="","",'Raw Data'!O24)</f>
        <v/>
      </c>
      <c r="AB25" s="15" t="str">
        <f>IF('Raw Data'!P24="","",'Raw Data'!P24)</f>
        <v/>
      </c>
      <c r="AC25" s="15" t="str">
        <f>IF('Raw Data'!Q24="","",'Raw Data'!Q24)</f>
        <v/>
      </c>
      <c r="AD25" s="15" t="str">
        <f>IF('Raw Data'!R24="","",'Raw Data'!R24)</f>
        <v>Homme</v>
      </c>
      <c r="AE25" s="15" t="str">
        <f>IF('Raw Data'!S24="","",'Raw Data'!S24)</f>
        <v>56</v>
      </c>
      <c r="AF25" s="15" t="str">
        <f>IF('Raw Data'!T24="","",'Raw Data'!T24)</f>
        <v>deplace_interne</v>
      </c>
      <c r="AG25" s="15" t="str">
        <f>IF('Raw Data'!U24="","",'Raw Data'!U24)</f>
        <v/>
      </c>
      <c r="AH25" s="15" t="str">
        <f>IF('Raw Data'!V24="","",'Raw Data'!V24)</f>
        <v/>
      </c>
      <c r="AI25" s="15" t="str">
        <f>IF('Raw Data'!W24="","",'Raw Data'!W24)</f>
        <v/>
      </c>
      <c r="AJ25" s="15" t="str">
        <f>IF('Raw Data'!X24="","",'Raw Data'!X24)</f>
        <v/>
      </c>
      <c r="AK25" s="15" t="str">
        <f>IF('Raw Data'!Y24="","",'Raw Data'!Y24)</f>
        <v/>
      </c>
      <c r="AL25" s="15" t="str">
        <f>IF('Raw Data'!Z24="","",'Raw Data'!Z24)</f>
        <v>niger</v>
      </c>
      <c r="AM25" s="15" t="str">
        <f>IF('Raw Data'!AA24="","",'Raw Data'!AA24)</f>
        <v>tillaberi</v>
      </c>
      <c r="AN25" s="15" t="str">
        <f>IF('Raw Data'!AB24="","",'Raw Data'!AB24)</f>
        <v>tera</v>
      </c>
      <c r="AO25" s="15" t="str">
        <f>IF('Raw Data'!AC24="","",'Raw Data'!AC24)</f>
        <v/>
      </c>
      <c r="AP25" s="15" t="str">
        <f>IF('Raw Data'!AD24="","",'Raw Data'!AD24)</f>
        <v/>
      </c>
      <c r="AQ25" s="15" t="str">
        <f>IF('Raw Data'!AE24="","",'Raw Data'!AE24)</f>
        <v/>
      </c>
      <c r="AR25" s="15" t="str">
        <f>IF('Raw Data'!AF24="","",'Raw Data'!AF24)</f>
        <v/>
      </c>
      <c r="AS25" s="15" t="str">
        <f>IF('Raw Data'!AG24="","",'Raw Data'!AG24)</f>
        <v>oui</v>
      </c>
      <c r="AT25" s="15" t="str">
        <f>IF('Raw Data'!AH24="","",'Raw Data'!AH24)</f>
        <v>Vols_braquages extorsions Violences_physique_civils Combat_groupes_armes Attaques_ecoles_sante</v>
      </c>
      <c r="AU25" s="15" t="str">
        <f>IF('Raw Data'!AI24="","",'Raw Data'!AI24)</f>
        <v>1</v>
      </c>
      <c r="AV25" s="15" t="str">
        <f>IF('Raw Data'!AJ24="","",'Raw Data'!AJ24)</f>
        <v>0</v>
      </c>
      <c r="AW25" s="15" t="str">
        <f>IF('Raw Data'!AK24="","",'Raw Data'!AK24)</f>
        <v>1</v>
      </c>
      <c r="AX25" s="15" t="str">
        <f>IF('Raw Data'!AL24="","",'Raw Data'!AL24)</f>
        <v>1</v>
      </c>
      <c r="AY25" s="15" t="str">
        <f>IF('Raw Data'!AM24="","",'Raw Data'!AM24)</f>
        <v>1</v>
      </c>
      <c r="AZ25" s="15" t="str">
        <f>IF('Raw Data'!AN24="","",'Raw Data'!AN24)</f>
        <v>0</v>
      </c>
      <c r="BA25" s="15" t="str">
        <f>IF('Raw Data'!AO24="","",'Raw Data'!AO24)</f>
        <v>0</v>
      </c>
      <c r="BB25" s="15" t="str">
        <f>IF('Raw Data'!AP24="","",'Raw Data'!AP24)</f>
        <v>1</v>
      </c>
      <c r="BC25" s="15" t="str">
        <f>IF('Raw Data'!AQ24="","",'Raw Data'!AQ24)</f>
        <v>0</v>
      </c>
      <c r="BD25" s="15" t="str">
        <f>IF('Raw Data'!AR24="","",'Raw Data'!AR24)</f>
        <v>0</v>
      </c>
      <c r="BE25" s="15" t="str">
        <f>IF('Raw Data'!AS24="","",'Raw Data'!AS24)</f>
        <v>0</v>
      </c>
      <c r="BF25" s="15" t="str">
        <f>IF('Raw Data'!AT24="","",'Raw Data'!AT24)</f>
        <v>0</v>
      </c>
      <c r="BG25" s="15" t="str">
        <f>IF('Raw Data'!AU24="","",'Raw Data'!AU24)</f>
        <v>0</v>
      </c>
      <c r="BH25" s="15" t="str">
        <f>IF('Raw Data'!AV24="","",'Raw Data'!AV24)</f>
        <v>0</v>
      </c>
      <c r="BI25" s="15" t="str">
        <f>IF('Raw Data'!AW24="","",'Raw Data'!AW24)</f>
        <v/>
      </c>
      <c r="BJ25" s="15" t="str">
        <f>IF('Raw Data'!AX24="","",'Raw Data'!AX24)</f>
        <v>Bebes/Bambins Enfants Filles Femmes_agees Hommes_ages</v>
      </c>
      <c r="BK25" s="15" t="str">
        <f>IF('Raw Data'!AY24="","",'Raw Data'!AY24)</f>
        <v>1</v>
      </c>
      <c r="BL25" s="15" t="str">
        <f>IF('Raw Data'!AZ24="","",'Raw Data'!AZ24)</f>
        <v>1</v>
      </c>
      <c r="BM25" s="15" t="str">
        <f>IF('Raw Data'!BA24="","",'Raw Data'!BA24)</f>
        <v>1</v>
      </c>
      <c r="BN25" s="15" t="str">
        <f>IF('Raw Data'!BB24="","",'Raw Data'!BB24)</f>
        <v>0</v>
      </c>
      <c r="BO25" s="15" t="str">
        <f>IF('Raw Data'!BC24="","",'Raw Data'!BC24)</f>
        <v>0</v>
      </c>
      <c r="BP25" s="15" t="str">
        <f>IF('Raw Data'!BD24="","",'Raw Data'!BD24)</f>
        <v>0</v>
      </c>
      <c r="BQ25" s="15" t="str">
        <f>IF('Raw Data'!BE24="","",'Raw Data'!BE24)</f>
        <v>1</v>
      </c>
      <c r="BR25" s="15" t="str">
        <f>IF('Raw Data'!BF24="","",'Raw Data'!BF24)</f>
        <v>1</v>
      </c>
      <c r="BS25" s="15" t="str">
        <f>IF('Raw Data'!BG24="","",'Raw Data'!BG24)</f>
        <v>0</v>
      </c>
      <c r="BT25" s="15" t="str">
        <f>IF('Raw Data'!BH24="","",'Raw Data'!BH24)</f>
        <v>0</v>
      </c>
      <c r="BU25" s="15" t="str">
        <f>IF('Raw Data'!BI24="","",'Raw Data'!BI24)</f>
        <v>0</v>
      </c>
      <c r="BV25" s="15" t="str">
        <f>IF('Raw Data'!BJ24="","",'Raw Data'!BJ24)</f>
        <v>0</v>
      </c>
      <c r="BW25" s="15" t="str">
        <f>IF('Raw Data'!BK24="","",'Raw Data'!BK24)</f>
        <v>0</v>
      </c>
      <c r="BX25" s="15" t="str">
        <f>IF('Raw Data'!BL24="","",'Raw Data'!BL24)</f>
        <v>0</v>
      </c>
      <c r="BY25" s="15" t="str">
        <f>IF('Raw Data'!BM24="","",'Raw Data'!BM24)</f>
        <v/>
      </c>
      <c r="BZ25" s="15" t="str">
        <f>IF('Raw Data'!BN24="","",'Raw Data'!BN24)</f>
        <v>4</v>
      </c>
      <c r="CA25" s="15" t="str">
        <f>IF('Raw Data'!BO24="","",'Raw Data'!BO24)</f>
        <v>augmente</v>
      </c>
      <c r="CB25" s="15" t="str">
        <f>IF('Raw Data'!BP24="","",'Raw Data'!BP24)</f>
        <v/>
      </c>
      <c r="CC25" s="15" t="str">
        <f>IF('Raw Data'!BQ24="","",'Raw Data'!BQ24)</f>
        <v>oui</v>
      </c>
      <c r="CD25" s="15" t="str">
        <f>IF('Raw Data'!BR24="","",'Raw Data'!BR24)</f>
        <v>agression_physique agression_psychologique exploitations_enfant menace travail_force</v>
      </c>
      <c r="CE25" s="15" t="str">
        <f>IF('Raw Data'!BS24="","",'Raw Data'!BS24)</f>
        <v>0</v>
      </c>
      <c r="CF25" s="15" t="str">
        <f>IF('Raw Data'!BT24="","",'Raw Data'!BT24)</f>
        <v>0</v>
      </c>
      <c r="CG25" s="15" t="str">
        <f>IF('Raw Data'!BU24="","",'Raw Data'!BU24)</f>
        <v>1</v>
      </c>
      <c r="CH25" s="15" t="str">
        <f>IF('Raw Data'!BV24="","",'Raw Data'!BV24)</f>
        <v>0</v>
      </c>
      <c r="CI25" s="15" t="str">
        <f>IF('Raw Data'!BW24="","",'Raw Data'!BW24)</f>
        <v>1</v>
      </c>
      <c r="CJ25" s="15" t="str">
        <f>IF('Raw Data'!BX24="","",'Raw Data'!BX24)</f>
        <v>0</v>
      </c>
      <c r="CK25" s="15" t="str">
        <f>IF('Raw Data'!BY24="","",'Raw Data'!BY24)</f>
        <v>1</v>
      </c>
      <c r="CL25" s="15" t="str">
        <f>IF('Raw Data'!BZ24="","",'Raw Data'!BZ24)</f>
        <v>0</v>
      </c>
      <c r="CM25" s="15" t="str">
        <f>IF('Raw Data'!CA24="","",'Raw Data'!CA24)</f>
        <v>1</v>
      </c>
      <c r="CN25" s="15" t="str">
        <f>IF('Raw Data'!CB24="","",'Raw Data'!CB24)</f>
        <v>0</v>
      </c>
      <c r="CO25" s="15" t="str">
        <f>IF('Raw Data'!CC24="","",'Raw Data'!CC24)</f>
        <v>1</v>
      </c>
      <c r="CP25" s="15" t="str">
        <f>IF('Raw Data'!CD24="","",'Raw Data'!CD24)</f>
        <v>0</v>
      </c>
      <c r="CQ25" s="15" t="str">
        <f>IF('Raw Data'!CE24="","",'Raw Data'!CE24)</f>
        <v>0</v>
      </c>
      <c r="CR25" s="15" t="str">
        <f>IF('Raw Data'!CF24="","",'Raw Data'!CF24)</f>
        <v>0</v>
      </c>
      <c r="CS25" s="15" t="str">
        <f>IF('Raw Data'!CG24="","",'Raw Data'!CG24)</f>
        <v>0</v>
      </c>
      <c r="CT25" s="15" t="str">
        <f>IF('Raw Data'!CH24="","",'Raw Data'!CH24)</f>
        <v/>
      </c>
      <c r="CU25" s="15" t="str">
        <f>IF('Raw Data'!CI24="","",'Raw Data'!CI24)</f>
        <v>Bebes/Bambins Enfants Filles Hommes_ages Femmes_agees</v>
      </c>
      <c r="CV25" s="15" t="str">
        <f>IF('Raw Data'!CJ24="","",'Raw Data'!CJ24)</f>
        <v>1</v>
      </c>
      <c r="CW25" s="15" t="str">
        <f>IF('Raw Data'!CK24="","",'Raw Data'!CK24)</f>
        <v>1</v>
      </c>
      <c r="CX25" s="15" t="str">
        <f>IF('Raw Data'!CL24="","",'Raw Data'!CL24)</f>
        <v>1</v>
      </c>
      <c r="CY25" s="15" t="str">
        <f>IF('Raw Data'!CM24="","",'Raw Data'!CM24)</f>
        <v>0</v>
      </c>
      <c r="CZ25" s="15" t="str">
        <f>IF('Raw Data'!CN24="","",'Raw Data'!CN24)</f>
        <v>0</v>
      </c>
      <c r="DA25" s="15" t="str">
        <f>IF('Raw Data'!CO24="","",'Raw Data'!CO24)</f>
        <v>0</v>
      </c>
      <c r="DB25" s="15" t="str">
        <f>IF('Raw Data'!CP24="","",'Raw Data'!CP24)</f>
        <v>1</v>
      </c>
      <c r="DC25" s="15" t="str">
        <f>IF('Raw Data'!CQ24="","",'Raw Data'!CQ24)</f>
        <v>1</v>
      </c>
      <c r="DD25" s="15" t="str">
        <f>IF('Raw Data'!CR24="","",'Raw Data'!CR24)</f>
        <v>0</v>
      </c>
      <c r="DE25" s="15" t="str">
        <f>IF('Raw Data'!CS24="","",'Raw Data'!CS24)</f>
        <v>0</v>
      </c>
      <c r="DF25" s="15" t="str">
        <f>IF('Raw Data'!CT24="","",'Raw Data'!CT24)</f>
        <v>0</v>
      </c>
      <c r="DG25" s="15" t="str">
        <f>IF('Raw Data'!CU24="","",'Raw Data'!CU24)</f>
        <v>0</v>
      </c>
      <c r="DH25" s="15" t="str">
        <f>IF('Raw Data'!CV24="","",'Raw Data'!CV24)</f>
        <v>0</v>
      </c>
      <c r="DI25" s="15" t="str">
        <f>IF('Raw Data'!CW24="","",'Raw Data'!CW24)</f>
        <v>0</v>
      </c>
      <c r="DJ25" s="15" t="str">
        <f>IF('Raw Data'!CX24="","",'Raw Data'!CX24)</f>
        <v/>
      </c>
      <c r="DK25" s="15" t="str">
        <f>IF('Raw Data'!CY24="","",'Raw Data'!CY24)</f>
        <v>4</v>
      </c>
      <c r="DL25" s="15" t="str">
        <f>IF('Raw Data'!CZ24="","",'Raw Data'!CZ24)</f>
        <v>augmente</v>
      </c>
      <c r="DM25" s="15" t="str">
        <f>IF('Raw Data'!DA24="","",'Raw Data'!DA24)</f>
        <v/>
      </c>
      <c r="DN25" s="15" t="str">
        <f>IF('Raw Data'!DB24="","",'Raw Data'!DB24)</f>
        <v>deterioration_con_abris deterioration_acces_service_base hausse_chomeurs</v>
      </c>
      <c r="DO25" s="15" t="str">
        <f>IF('Raw Data'!DC24="","",'Raw Data'!DC24)</f>
        <v>0</v>
      </c>
      <c r="DP25" s="15" t="str">
        <f>IF('Raw Data'!DD24="","",'Raw Data'!DD24)</f>
        <v>1</v>
      </c>
      <c r="DQ25" s="15" t="str">
        <f>IF('Raw Data'!DE24="","",'Raw Data'!DE24)</f>
        <v>1</v>
      </c>
      <c r="DR25" s="15" t="str">
        <f>IF('Raw Data'!DF24="","",'Raw Data'!DF24)</f>
        <v>0</v>
      </c>
      <c r="DS25" s="15" t="str">
        <f>IF('Raw Data'!DG24="","",'Raw Data'!DG24)</f>
        <v>0</v>
      </c>
      <c r="DT25" s="15" t="str">
        <f>IF('Raw Data'!DH24="","",'Raw Data'!DH24)</f>
        <v>0</v>
      </c>
      <c r="DU25" s="15" t="str">
        <f>IF('Raw Data'!DI24="","",'Raw Data'!DI24)</f>
        <v>1</v>
      </c>
      <c r="DV25" s="15" t="str">
        <f>IF('Raw Data'!DJ24="","",'Raw Data'!DJ24)</f>
        <v>0</v>
      </c>
      <c r="DW25" s="15" t="str">
        <f>IF('Raw Data'!DK24="","",'Raw Data'!DK24)</f>
        <v>0</v>
      </c>
      <c r="DX25" s="15" t="str">
        <f>IF('Raw Data'!DL24="","",'Raw Data'!DL24)</f>
        <v>0</v>
      </c>
      <c r="DY25" s="15" t="str">
        <f>IF('Raw Data'!DM24="","",'Raw Data'!DM24)</f>
        <v/>
      </c>
      <c r="DZ25" s="15" t="str">
        <f>IF('Raw Data'!DN24="","",'Raw Data'!DN24)</f>
        <v/>
      </c>
      <c r="EA25" s="15" t="str">
        <f>IF('Raw Data'!DO24="","",'Raw Data'!DO24)</f>
        <v/>
      </c>
      <c r="EB25" s="15" t="str">
        <f>IF('Raw Data'!DP24="","",'Raw Data'!DP24)</f>
        <v/>
      </c>
      <c r="EC25" s="15" t="str">
        <f>IF('Raw Data'!DQ24="","",'Raw Data'!DQ24)</f>
        <v/>
      </c>
      <c r="ED25" s="15" t="str">
        <f>IF('Raw Data'!DR24="","",'Raw Data'!DR24)</f>
        <v/>
      </c>
      <c r="EE25" s="15" t="str">
        <f>IF('Raw Data'!DS24="","",'Raw Data'!DS24)</f>
        <v/>
      </c>
      <c r="EF25" s="15" t="str">
        <f>IF('Raw Data'!DT24="","",'Raw Data'!DT24)</f>
        <v/>
      </c>
      <c r="EG25" s="15" t="str">
        <f>IF('Raw Data'!DU24="","",'Raw Data'!DU24)</f>
        <v/>
      </c>
      <c r="EH25" s="15" t="str">
        <f>IF('Raw Data'!DV24="","",'Raw Data'!DV24)</f>
        <v/>
      </c>
      <c r="EI25" s="15" t="str">
        <f>IF('Raw Data'!DW24="","",'Raw Data'!DW24)</f>
        <v/>
      </c>
      <c r="EJ25" s="15" t="str">
        <f>IF('Raw Data'!DX24="","",'Raw Data'!DX24)</f>
        <v/>
      </c>
      <c r="EK25" s="15" t="str">
        <f>IF('Raw Data'!DY24="","",'Raw Data'!DY24)</f>
        <v/>
      </c>
      <c r="EL25" s="15" t="str">
        <f>IF('Raw Data'!DZ24="","",'Raw Data'!DZ24)</f>
        <v>Soutien_famille_amis Integration_com_hote dplct_abords_com</v>
      </c>
      <c r="EM25" s="15" t="str">
        <f>IF('Raw Data'!EA24="","",'Raw Data'!EA24)</f>
        <v>1</v>
      </c>
      <c r="EN25" s="15" t="str">
        <f>IF('Raw Data'!EB24="","",'Raw Data'!EB24)</f>
        <v>1</v>
      </c>
      <c r="EO25" s="15" t="str">
        <f>IF('Raw Data'!EC24="","",'Raw Data'!EC24)</f>
        <v>1</v>
      </c>
      <c r="EP25" s="15" t="str">
        <f>IF('Raw Data'!ED24="","",'Raw Data'!ED24)</f>
        <v>0</v>
      </c>
      <c r="EQ25" s="15" t="str">
        <f>IF('Raw Data'!EE24="","",'Raw Data'!EE24)</f>
        <v>0</v>
      </c>
      <c r="ER25" s="15" t="str">
        <f>IF('Raw Data'!EF24="","",'Raw Data'!EF24)</f>
        <v>0</v>
      </c>
      <c r="ES25" s="15" t="str">
        <f>IF('Raw Data'!EG24="","",'Raw Data'!EG24)</f>
        <v>0</v>
      </c>
      <c r="ET25" s="15" t="str">
        <f>IF('Raw Data'!EH24="","",'Raw Data'!EH24)</f>
        <v>0</v>
      </c>
      <c r="EU25" s="15" t="str">
        <f>IF('Raw Data'!EI24="","",'Raw Data'!EI24)</f>
        <v>0</v>
      </c>
      <c r="EV25" s="15" t="str">
        <f>IF('Raw Data'!EJ24="","",'Raw Data'!EJ24)</f>
        <v/>
      </c>
      <c r="EW25" s="15" t="str">
        <f>IF('Raw Data'!EK24="","",'Raw Data'!EK24)</f>
        <v/>
      </c>
      <c r="EX25" s="15" t="str">
        <f>IF('Raw Data'!EL24="","",'Raw Data'!EL24)</f>
        <v>famille_accueil comite_protection femmes_elite comite_alerte</v>
      </c>
      <c r="EY25" s="15" t="str">
        <f>IF('Raw Data'!EM24="","",'Raw Data'!EM24)</f>
        <v>1</v>
      </c>
      <c r="EZ25" s="15" t="str">
        <f>IF('Raw Data'!EN24="","",'Raw Data'!EN24)</f>
        <v>1</v>
      </c>
      <c r="FA25" s="15" t="str">
        <f>IF('Raw Data'!EO24="","",'Raw Data'!EO24)</f>
        <v>1</v>
      </c>
      <c r="FB25" s="15" t="str">
        <f>IF('Raw Data'!EP24="","",'Raw Data'!EP24)</f>
        <v>1</v>
      </c>
      <c r="FC25" s="15" t="str">
        <f>IF('Raw Data'!EQ24="","",'Raw Data'!EQ24)</f>
        <v>0</v>
      </c>
      <c r="FD25" s="15" t="str">
        <f>IF('Raw Data'!ER24="","",'Raw Data'!ER24)</f>
        <v>0</v>
      </c>
      <c r="FE25" s="15" t="str">
        <f>IF('Raw Data'!ES24="","",'Raw Data'!ES24)</f>
        <v>0</v>
      </c>
      <c r="FF25" s="15" t="str">
        <f>IF('Raw Data'!ET24="","",'Raw Data'!ET24)</f>
        <v>0</v>
      </c>
      <c r="FG25" s="15" t="str">
        <f>IF('Raw Data'!EU24="","",'Raw Data'!EU24)</f>
        <v>0</v>
      </c>
      <c r="FH25" s="15" t="str">
        <f>IF('Raw Data'!EV24="","",'Raw Data'!EV24)</f>
        <v>0</v>
      </c>
      <c r="FI25" s="15" t="str">
        <f>IF('Raw Data'!EW24="","",'Raw Data'!EW24)</f>
        <v/>
      </c>
      <c r="FJ25" s="15" t="str">
        <f>IF('Raw Data'!EX24="","",'Raw Data'!EX24)</f>
        <v>non</v>
      </c>
      <c r="FK25" s="15" t="str">
        <f>IF('Raw Data'!EY24="","",'Raw Data'!EY24)</f>
        <v/>
      </c>
      <c r="FL25" s="15" t="str">
        <f>IF('Raw Data'!EZ24="","",'Raw Data'!EZ24)</f>
        <v/>
      </c>
      <c r="FM25" s="15" t="str">
        <f>IF('Raw Data'!FA24="","",'Raw Data'!FA24)</f>
        <v/>
      </c>
      <c r="FN25" s="15" t="str">
        <f>IF('Raw Data'!FB24="","",'Raw Data'!FB24)</f>
        <v/>
      </c>
      <c r="FO25" s="15" t="str">
        <f>IF('Raw Data'!FC24="","",'Raw Data'!FC24)</f>
        <v/>
      </c>
      <c r="FP25" s="15" t="str">
        <f>IF('Raw Data'!FD24="","",'Raw Data'!FD24)</f>
        <v/>
      </c>
      <c r="FQ25" s="15" t="str">
        <f>IF('Raw Data'!FE24="","",'Raw Data'!FE24)</f>
        <v/>
      </c>
      <c r="FR25" s="15" t="str">
        <f>IF('Raw Data'!FF24="","",'Raw Data'!FF24)</f>
        <v/>
      </c>
      <c r="FS25" s="15" t="str">
        <f>IF('Raw Data'!FG24="","",'Raw Data'!FG24)</f>
        <v/>
      </c>
      <c r="FT25" s="15" t="str">
        <f>IF('Raw Data'!FH24="","",'Raw Data'!FH24)</f>
        <v/>
      </c>
      <c r="FU25" s="15" t="str">
        <f>IF('Raw Data'!FI24="","",'Raw Data'!FI24)</f>
        <v/>
      </c>
      <c r="FV25" s="15" t="str">
        <f>IF('Raw Data'!FJ24="","",'Raw Data'!FJ24)</f>
        <v/>
      </c>
      <c r="FW25" s="15" t="str">
        <f>IF('Raw Data'!FK24="","",'Raw Data'!FK24)</f>
        <v/>
      </c>
      <c r="FX25" s="15" t="str">
        <f>IF('Raw Data'!FL24="","",'Raw Data'!FL24)</f>
        <v/>
      </c>
      <c r="FY25" s="15" t="str">
        <f>IF('Raw Data'!FM24="","",'Raw Data'!FM24)</f>
        <v/>
      </c>
      <c r="FZ25" s="15" t="str">
        <f>IF('Raw Data'!FN24="","",'Raw Data'!FN24)</f>
        <v/>
      </c>
      <c r="GA25" s="15" t="str">
        <f>IF('Raw Data'!FO24="","",'Raw Data'!FO24)</f>
        <v/>
      </c>
      <c r="GB25" s="15" t="str">
        <f>IF('Raw Data'!FP24="","",'Raw Data'!FP24)</f>
        <v/>
      </c>
      <c r="GC25" s="15" t="str">
        <f>IF('Raw Data'!FQ24="","",'Raw Data'!FQ24)</f>
        <v/>
      </c>
      <c r="GD25" s="15" t="str">
        <f>IF('Raw Data'!FR24="","",'Raw Data'!FR24)</f>
        <v/>
      </c>
      <c r="GE25" s="15" t="str">
        <f>IF('Raw Data'!FS24="","",'Raw Data'!FS24)</f>
        <v/>
      </c>
      <c r="GF25" s="15" t="str">
        <f>IF('Raw Data'!FT24="","",'Raw Data'!FT24)</f>
        <v/>
      </c>
      <c r="GG25" s="15" t="str">
        <f>IF('Raw Data'!FU24="","",'Raw Data'!FU24)</f>
        <v/>
      </c>
      <c r="GH25" s="15" t="str">
        <f>IF('Raw Data'!FV24="","",'Raw Data'!FV24)</f>
        <v/>
      </c>
      <c r="GI25" s="15" t="str">
        <f>IF('Raw Data'!FW24="","",'Raw Data'!FW24)</f>
        <v/>
      </c>
      <c r="GJ25" s="15" t="str">
        <f>IF('Raw Data'!FX24="","",'Raw Data'!FX24)</f>
        <v/>
      </c>
      <c r="GK25" s="15" t="str">
        <f>IF('Raw Data'!FY24="","",'Raw Data'!FY24)</f>
        <v/>
      </c>
      <c r="GL25" s="15" t="str">
        <f>IF('Raw Data'!FZ24="","",'Raw Data'!FZ24)</f>
        <v/>
      </c>
      <c r="GM25" s="15" t="str">
        <f>IF('Raw Data'!GA24="","",'Raw Data'!GA24)</f>
        <v/>
      </c>
      <c r="GN25" s="15" t="str">
        <f>IF('Raw Data'!GB24="","",'Raw Data'!GB24)</f>
        <v/>
      </c>
      <c r="GO25" s="15" t="str">
        <f>IF('Raw Data'!GC24="","",'Raw Data'!GC24)</f>
        <v/>
      </c>
      <c r="GP25" s="15" t="str">
        <f>IF('Raw Data'!GD24="","",'Raw Data'!GD24)</f>
        <v/>
      </c>
      <c r="GQ25" s="15" t="str">
        <f>IF('Raw Data'!GE24="","",'Raw Data'!GE24)</f>
        <v/>
      </c>
      <c r="GR25" s="15" t="str">
        <f>IF('Raw Data'!GF24="","",'Raw Data'!GF24)</f>
        <v/>
      </c>
      <c r="GS25" s="15" t="str">
        <f>IF('Raw Data'!GG24="","",'Raw Data'!GG24)</f>
        <v/>
      </c>
      <c r="GT25" s="15" t="str">
        <f>IF('Raw Data'!GH24="","",'Raw Data'!GH24)</f>
        <v/>
      </c>
      <c r="GU25" s="15" t="str">
        <f>IF('Raw Data'!GI24="","",'Raw Data'!GI24)</f>
        <v/>
      </c>
      <c r="GV25" s="15" t="str">
        <f>IF('Raw Data'!GJ24="","",'Raw Data'!GJ24)</f>
        <v/>
      </c>
      <c r="GW25" s="15" t="str">
        <f>IF('Raw Data'!GK24="","",'Raw Data'!GK24)</f>
        <v/>
      </c>
      <c r="GX25" s="15" t="str">
        <f>IF('Raw Data'!GL24="","",'Raw Data'!GL24)</f>
        <v/>
      </c>
      <c r="GY25" s="15" t="str">
        <f>IF('Raw Data'!GM24="","",'Raw Data'!GM24)</f>
        <v/>
      </c>
      <c r="GZ25" s="31"/>
      <c r="HA25" s="31"/>
      <c r="HB25" s="31"/>
      <c r="HC25" s="31"/>
      <c r="HD25" s="31"/>
      <c r="HE25" s="31"/>
      <c r="HF25" s="31"/>
      <c r="HG25" s="31"/>
      <c r="HH25" s="31"/>
      <c r="HI25" s="31"/>
      <c r="HJ25" s="31"/>
      <c r="HK25" s="15" t="str">
        <f>IF('Raw Data'!GY24="","",'Raw Data'!GY24)</f>
        <v/>
      </c>
      <c r="HL25" s="31"/>
      <c r="HM25" s="31"/>
      <c r="HN25" s="31"/>
      <c r="HO25" s="31"/>
      <c r="HP25" s="31"/>
      <c r="HQ25" s="31"/>
      <c r="HR25" s="31"/>
      <c r="HS25" s="15" t="str">
        <f>IF('Raw Data'!HG24="","",'Raw Data'!HG24)</f>
        <v/>
      </c>
      <c r="HT25" s="15" t="str">
        <f>IF('Raw Data'!HH24="","",'Raw Data'!HH24)</f>
        <v/>
      </c>
      <c r="HU25" s="15" t="str">
        <f>IF('Raw Data'!HI24="","",'Raw Data'!HI24)</f>
        <v>oui_minorite</v>
      </c>
      <c r="HV25" s="15" t="str">
        <f>IF('Raw Data'!HJ24="","",'Raw Data'!HJ24)</f>
        <v>ingo ong_locale famille_amis</v>
      </c>
      <c r="HW25" s="15" t="str">
        <f>IF('Raw Data'!HK24="","",'Raw Data'!HK24)</f>
        <v>0</v>
      </c>
      <c r="HX25" s="15" t="str">
        <f>IF('Raw Data'!HL24="","",'Raw Data'!HL24)</f>
        <v>0</v>
      </c>
      <c r="HY25" s="15" t="str">
        <f>IF('Raw Data'!HM24="","",'Raw Data'!HM24)</f>
        <v>0</v>
      </c>
      <c r="HZ25" s="15" t="str">
        <f>IF('Raw Data'!HN24="","",'Raw Data'!HN24)</f>
        <v>0</v>
      </c>
      <c r="IA25" s="15" t="str">
        <f>IF('Raw Data'!HO24="","",'Raw Data'!HO24)</f>
        <v>1</v>
      </c>
      <c r="IB25" s="15" t="str">
        <f>IF('Raw Data'!HP24="","",'Raw Data'!HP24)</f>
        <v>1</v>
      </c>
      <c r="IC25" s="15" t="str">
        <f>IF('Raw Data'!HQ24="","",'Raw Data'!HQ24)</f>
        <v>1</v>
      </c>
      <c r="ID25" s="15" t="str">
        <f>IF('Raw Data'!HR24="","",'Raw Data'!HR24)</f>
        <v>0</v>
      </c>
      <c r="IE25" s="15" t="str">
        <f>IF('Raw Data'!HS24="","",'Raw Data'!HS24)</f>
        <v>0</v>
      </c>
      <c r="IF25" s="15" t="str">
        <f>IF('Raw Data'!HT24="","",'Raw Data'!HT24)</f>
        <v>0</v>
      </c>
      <c r="IG25" s="15" t="str">
        <f>IF('Raw Data'!HU24="","",'Raw Data'!HU24)</f>
        <v/>
      </c>
      <c r="IH25" s="15" t="str">
        <f>IF('Raw Data'!HV24="","",'Raw Data'!HV24)</f>
        <v>oui</v>
      </c>
      <c r="II25" s="15" t="str">
        <f>IF('Raw Data'!HW24="","",'Raw Data'!HW24)</f>
        <v/>
      </c>
      <c r="IJ25" s="15" t="str">
        <f>IF('Raw Data'!HX24="","",'Raw Data'!HX24)</f>
        <v>Bebes/Bambins Enfants Femmes_agees Hommes_ages</v>
      </c>
      <c r="IK25" s="15" t="str">
        <f>IF('Raw Data'!HY24="","",'Raw Data'!HY24)</f>
        <v>1</v>
      </c>
      <c r="IL25" s="15" t="str">
        <f>IF('Raw Data'!HZ24="","",'Raw Data'!HZ24)</f>
        <v>1</v>
      </c>
      <c r="IM25" s="15" t="str">
        <f>IF('Raw Data'!IA24="","",'Raw Data'!IA24)</f>
        <v>0</v>
      </c>
      <c r="IN25" s="15" t="str">
        <f>IF('Raw Data'!IB24="","",'Raw Data'!IB24)</f>
        <v>0</v>
      </c>
      <c r="IO25" s="15" t="str">
        <f>IF('Raw Data'!IC24="","",'Raw Data'!IC24)</f>
        <v>0</v>
      </c>
      <c r="IP25" s="15" t="str">
        <f>IF('Raw Data'!ID24="","",'Raw Data'!ID24)</f>
        <v>0</v>
      </c>
      <c r="IQ25" s="15" t="str">
        <f>IF('Raw Data'!IE24="","",'Raw Data'!IE24)</f>
        <v>1</v>
      </c>
      <c r="IR25" s="15" t="str">
        <f>IF('Raw Data'!IF24="","",'Raw Data'!IF24)</f>
        <v>1</v>
      </c>
      <c r="IS25" s="15" t="str">
        <f>IF('Raw Data'!IG24="","",'Raw Data'!IG24)</f>
        <v>0</v>
      </c>
      <c r="IT25" s="15" t="str">
        <f>IF('Raw Data'!IH24="","",'Raw Data'!IH24)</f>
        <v>0</v>
      </c>
      <c r="IU25" s="15" t="str">
        <f>IF('Raw Data'!II24="","",'Raw Data'!II24)</f>
        <v>0</v>
      </c>
      <c r="IV25" s="15" t="str">
        <f>IF('Raw Data'!IJ24="","",'Raw Data'!IJ24)</f>
        <v>0</v>
      </c>
      <c r="IW25" s="15" t="str">
        <f>IF('Raw Data'!IK24="","",'Raw Data'!IK24)</f>
        <v>0</v>
      </c>
      <c r="IX25" s="15" t="str">
        <f>IF('Raw Data'!IL24="","",'Raw Data'!IL24)</f>
        <v>0</v>
      </c>
      <c r="IY25" s="15" t="str">
        <f>IF('Raw Data'!IM24="","",'Raw Data'!IM24)</f>
        <v/>
      </c>
      <c r="IZ25" s="15" t="str">
        <f>IF('Raw Data'!IN24="","",'Raw Data'!IN24)</f>
        <v>13</v>
      </c>
      <c r="JA25" s="31" t="s">
        <v>1627</v>
      </c>
      <c r="JB25" s="31" t="s">
        <v>1627</v>
      </c>
      <c r="JC25" s="31" t="s">
        <v>1627</v>
      </c>
      <c r="JD25" s="31" t="s">
        <v>1627</v>
      </c>
      <c r="JE25" s="31" t="s">
        <v>1627</v>
      </c>
      <c r="JF25" s="31" t="s">
        <v>1627</v>
      </c>
      <c r="JG25" s="31" t="s">
        <v>1627</v>
      </c>
      <c r="JH25" s="31" t="s">
        <v>1627</v>
      </c>
      <c r="JI25" s="31" t="s">
        <v>1627</v>
      </c>
      <c r="JJ25" s="31" t="s">
        <v>1627</v>
      </c>
      <c r="JK25" s="31" t="s">
        <v>1627</v>
      </c>
      <c r="JL25" s="15" t="str">
        <f>IF('Raw Data'!IZ24="","",'Raw Data'!IZ24)</f>
        <v/>
      </c>
      <c r="JM25" s="15" t="str">
        <f>IF('Raw Data'!JA24="","",'Raw Data'!JA24)</f>
        <v>prise_enchage reorientation signalement</v>
      </c>
      <c r="JN25" s="15" t="str">
        <f>IF('Raw Data'!JB24="","",'Raw Data'!JB24)</f>
        <v>1</v>
      </c>
      <c r="JO25" s="15" t="str">
        <f>IF('Raw Data'!JC24="","",'Raw Data'!JC24)</f>
        <v>1</v>
      </c>
      <c r="JP25" s="15" t="str">
        <f>IF('Raw Data'!JD24="","",'Raw Data'!JD24)</f>
        <v>1</v>
      </c>
      <c r="JQ25" s="15" t="str">
        <f>IF('Raw Data'!JE24="","",'Raw Data'!JE24)</f>
        <v>0</v>
      </c>
      <c r="JR25" s="15" t="str">
        <f>IF('Raw Data'!JF24="","",'Raw Data'!JF24)</f>
        <v>0</v>
      </c>
      <c r="JS25" s="15" t="str">
        <f>IF('Raw Data'!JG24="","",'Raw Data'!JG24)</f>
        <v>0</v>
      </c>
      <c r="JT25" s="15" t="str">
        <f>IF('Raw Data'!JH24="","",'Raw Data'!JH24)</f>
        <v/>
      </c>
      <c r="JU25" s="15" t="str">
        <f>IF('Raw Data'!JI24="","",'Raw Data'!JI24)</f>
        <v>medical Psychosocia surete centre_formation point_ecoute</v>
      </c>
      <c r="JV25" s="15" t="str">
        <f>IF('Raw Data'!JJ24="","",'Raw Data'!JJ24)</f>
        <v>1</v>
      </c>
      <c r="JW25" s="15" t="str">
        <f>IF('Raw Data'!JK24="","",'Raw Data'!JK24)</f>
        <v>1</v>
      </c>
      <c r="JX25" s="15" t="str">
        <f>IF('Raw Data'!JL24="","",'Raw Data'!JL24)</f>
        <v>1</v>
      </c>
      <c r="JY25" s="15" t="str">
        <f>IF('Raw Data'!JM24="","",'Raw Data'!JM24)</f>
        <v>0</v>
      </c>
      <c r="JZ25" s="15" t="str">
        <f>IF('Raw Data'!JN24="","",'Raw Data'!JN24)</f>
        <v>1</v>
      </c>
      <c r="KA25" s="15" t="str">
        <f>IF('Raw Data'!JO24="","",'Raw Data'!JO24)</f>
        <v>0</v>
      </c>
      <c r="KB25" s="15" t="str">
        <f>IF('Raw Data'!JP24="","",'Raw Data'!JP24)</f>
        <v>1</v>
      </c>
      <c r="KC25" s="15" t="str">
        <f>IF('Raw Data'!JQ24="","",'Raw Data'!JQ24)</f>
        <v>0</v>
      </c>
      <c r="KD25" s="15" t="str">
        <f>IF('Raw Data'!JR24="","",'Raw Data'!JR24)</f>
        <v>0</v>
      </c>
      <c r="KE25" s="15" t="str">
        <f>IF('Raw Data'!JS24="","",'Raw Data'!JS24)</f>
        <v/>
      </c>
      <c r="KF25" s="15" t="str">
        <f>IF('Raw Data'!JT24="","",'Raw Data'!JT24)</f>
        <v>medical Psychosocia point_ecoute surete centre_formation</v>
      </c>
      <c r="KG25" s="15" t="str">
        <f>IF('Raw Data'!JU24="","",'Raw Data'!JU24)</f>
        <v>1</v>
      </c>
      <c r="KH25" s="15" t="str">
        <f>IF('Raw Data'!JV24="","",'Raw Data'!JV24)</f>
        <v>1</v>
      </c>
      <c r="KI25" s="15" t="str">
        <f>IF('Raw Data'!JW24="","",'Raw Data'!JW24)</f>
        <v>1</v>
      </c>
      <c r="KJ25" s="15" t="str">
        <f>IF('Raw Data'!JX24="","",'Raw Data'!JX24)</f>
        <v>0</v>
      </c>
      <c r="KK25" s="15" t="str">
        <f>IF('Raw Data'!JY24="","",'Raw Data'!JY24)</f>
        <v>1</v>
      </c>
      <c r="KL25" s="15" t="str">
        <f>IF('Raw Data'!JZ24="","",'Raw Data'!JZ24)</f>
        <v>0</v>
      </c>
      <c r="KM25" s="15" t="str">
        <f>IF('Raw Data'!KA24="","",'Raw Data'!KA24)</f>
        <v>1</v>
      </c>
      <c r="KN25" s="15" t="str">
        <f>IF('Raw Data'!KB24="","",'Raw Data'!KB24)</f>
        <v>0</v>
      </c>
      <c r="KO25" s="15" t="str">
        <f>IF('Raw Data'!KC24="","",'Raw Data'!KC24)</f>
        <v>0</v>
      </c>
      <c r="KP25" s="15" t="str">
        <f>IF('Raw Data'!KD24="","",'Raw Data'!KD24)</f>
        <v/>
      </c>
      <c r="KQ25" s="15" t="str">
        <f>IF('Raw Data'!KE24="","",'Raw Data'!KE24)</f>
        <v/>
      </c>
      <c r="KR25" s="15" t="str">
        <f>IF('Raw Data'!KF24="","",'Raw Data'!KF24)</f>
        <v>oui</v>
      </c>
      <c r="KS25" s="15" t="str">
        <f>IF('Raw Data'!KG24="","",'Raw Data'!KG24)</f>
        <v>manque_moyens manque_d'information insecurite_zone manque_cordination manque_personnes</v>
      </c>
      <c r="KT25" s="15" t="str">
        <f>IF('Raw Data'!KH24="","",'Raw Data'!KH24)</f>
        <v>1</v>
      </c>
      <c r="KU25" s="15" t="str">
        <f>IF('Raw Data'!KI24="","",'Raw Data'!KI24)</f>
        <v>1</v>
      </c>
      <c r="KV25" s="15" t="str">
        <f>IF('Raw Data'!KJ24="","",'Raw Data'!KJ24)</f>
        <v>1</v>
      </c>
      <c r="KW25" s="15" t="str">
        <f>IF('Raw Data'!KK24="","",'Raw Data'!KK24)</f>
        <v>0</v>
      </c>
      <c r="KX25" s="15" t="str">
        <f>IF('Raw Data'!KL24="","",'Raw Data'!KL24)</f>
        <v>1</v>
      </c>
      <c r="KY25" s="15" t="str">
        <f>IF('Raw Data'!KM24="","",'Raw Data'!KM24)</f>
        <v>0</v>
      </c>
      <c r="KZ25" s="15" t="str">
        <f>IF('Raw Data'!KN24="","",'Raw Data'!KN24)</f>
        <v>1</v>
      </c>
      <c r="LA25" s="15" t="str">
        <f>IF('Raw Data'!KO24="","",'Raw Data'!KO24)</f>
        <v>0</v>
      </c>
      <c r="LB25" s="15" t="str">
        <f>IF('Raw Data'!KP24="","",'Raw Data'!KP24)</f>
        <v>0</v>
      </c>
      <c r="LC25" s="15" t="str">
        <f>IF('Raw Data'!KQ24="","",'Raw Data'!KQ24)</f>
        <v>0</v>
      </c>
      <c r="LD25" s="15" t="str">
        <f>IF('Raw Data'!KR24="","",'Raw Data'!KR24)</f>
        <v>0</v>
      </c>
      <c r="LE25" s="15" t="str">
        <f>IF('Raw Data'!KS24="","",'Raw Data'!KS24)</f>
        <v/>
      </c>
      <c r="LF25" s="15" t="str">
        <f>IF('Raw Data'!KT24="","",'Raw Data'!KT24)</f>
        <v/>
      </c>
      <c r="LG25" s="15" t="str">
        <f>IF('Raw Data'!KU24="","",'Raw Data'!KU24)</f>
        <v/>
      </c>
      <c r="LH25" s="15" t="str">
        <f>IF('Raw Data'!KV24="","",'Raw Data'!KV24)</f>
        <v/>
      </c>
      <c r="LI25" s="15" t="str">
        <f>IF('Raw Data'!KW24="","",'Raw Data'!KW24)</f>
        <v/>
      </c>
      <c r="LJ25" s="15" t="str">
        <f>IF('Raw Data'!KX24="","",'Raw Data'!KX24)</f>
        <v/>
      </c>
      <c r="LK25" s="15" t="str">
        <f>IF('Raw Data'!KY24="","",'Raw Data'!KY24)</f>
        <v/>
      </c>
      <c r="LL25" s="15" t="str">
        <f>IF('Raw Data'!KZ24="","",'Raw Data'!KZ24)</f>
        <v/>
      </c>
      <c r="LM25" s="15" t="str">
        <f>IF('Raw Data'!LA24="","",'Raw Data'!LA24)</f>
        <v/>
      </c>
      <c r="LN25" s="15" t="str">
        <f>IF('Raw Data'!LB24="","",'Raw Data'!LB24)</f>
        <v>oui</v>
      </c>
      <c r="LO25" s="15" t="str">
        <f>IF('Raw Data'!LC24="","",'Raw Data'!LC24)</f>
        <v>violence_physique menace_mort violence_psycho menace_entourage</v>
      </c>
      <c r="LP25" s="15" t="str">
        <f>IF('Raw Data'!LD24="","",'Raw Data'!LD24)</f>
        <v>1</v>
      </c>
      <c r="LQ25" s="15" t="str">
        <f>IF('Raw Data'!LE24="","",'Raw Data'!LE24)</f>
        <v>1</v>
      </c>
      <c r="LR25" s="15" t="str">
        <f>IF('Raw Data'!LF24="","",'Raw Data'!LF24)</f>
        <v>0</v>
      </c>
      <c r="LS25" s="15" t="str">
        <f>IF('Raw Data'!LG24="","",'Raw Data'!LG24)</f>
        <v>1</v>
      </c>
      <c r="LT25" s="15" t="str">
        <f>IF('Raw Data'!LH24="","",'Raw Data'!LH24)</f>
        <v>1</v>
      </c>
      <c r="LU25" s="15" t="str">
        <f>IF('Raw Data'!LI24="","",'Raw Data'!LI24)</f>
        <v>0</v>
      </c>
      <c r="LV25" s="15" t="str">
        <f>IF('Raw Data'!LJ24="","",'Raw Data'!LJ24)</f>
        <v>0</v>
      </c>
      <c r="LW25" s="15" t="str">
        <f>IF('Raw Data'!LK24="","",'Raw Data'!LK24)</f>
        <v>0</v>
      </c>
      <c r="LX25" s="15" t="str">
        <f>IF('Raw Data'!LL24="","",'Raw Data'!LL24)</f>
        <v>0</v>
      </c>
      <c r="LY25" s="15" t="str">
        <f>IF('Raw Data'!LM24="","",'Raw Data'!LM24)</f>
        <v>0</v>
      </c>
      <c r="LZ25" s="15" t="str">
        <f>IF('Raw Data'!LN24="","",'Raw Data'!LN24)</f>
        <v/>
      </c>
      <c r="MA25" s="15" t="str">
        <f>IF('Raw Data'!LO24="","",'Raw Data'!LO24)</f>
        <v>oui</v>
      </c>
      <c r="MB25" s="15" t="str">
        <f>IF('Raw Data'!LP24="","",'Raw Data'!LP24)</f>
        <v>oui</v>
      </c>
      <c r="MC25" s="15" t="str">
        <f>IF('Raw Data'!LQ24="","",'Raw Data'!LQ24)</f>
        <v/>
      </c>
      <c r="MD25" s="15" t="str">
        <f>IF('Raw Data'!LR24="","",'Raw Data'!LR24)</f>
        <v>Manque d abris et surtout l alimentation</v>
      </c>
      <c r="ME25" s="15">
        <f>IF('Raw Data'!LS24="","",'Raw Data'!LS24)</f>
        <v>169351634</v>
      </c>
      <c r="MF25" s="15" t="str">
        <f>IF('Raw Data'!LT24="","",'Raw Data'!LT24)</f>
        <v>7d4602c8-7b62-46e7-bf3b-e3652356e498</v>
      </c>
      <c r="MG25" s="15" t="str">
        <f>IF('Raw Data'!LU24="","",'Raw Data'!LU24)</f>
        <v>2021-04-02T19:01:50</v>
      </c>
      <c r="MH25" s="15" t="str">
        <f>IF('Raw Data'!LV24="","",'Raw Data'!LV24)</f>
        <v/>
      </c>
      <c r="MI25" s="15" t="str">
        <f>IF('Raw Data'!LW24="","",'Raw Data'!LW24)</f>
        <v>[]</v>
      </c>
      <c r="MJ25" s="15" t="str">
        <f>IF('Raw Data'!LX24="","",'Raw Data'!LX24)</f>
        <v>submitted_via_web</v>
      </c>
      <c r="MK25" s="15" t="str">
        <f>IF('Raw Data'!LY24="","",'Raw Data'!LY24)</f>
        <v>reach_niger</v>
      </c>
      <c r="ML25" s="15" t="str">
        <f>IF('Raw Data'!LZ24="","",'Raw Data'!LZ24)</f>
        <v/>
      </c>
      <c r="MM25" s="15">
        <f>IF('Raw Data'!MA24="","",'Raw Data'!MA24)</f>
        <v>24</v>
      </c>
    </row>
    <row r="26" spans="1:351" x14ac:dyDescent="0.3">
      <c r="A26" s="26" t="str">
        <f t="shared" si="0"/>
        <v>2c45eae5-09b0-45df-aaa6-49943c949afb</v>
      </c>
      <c r="B26" s="26" t="str">
        <f t="shared" si="1"/>
        <v>tera</v>
      </c>
      <c r="C26" s="26" t="str">
        <f t="shared" si="2"/>
        <v>E</v>
      </c>
      <c r="D26" s="14" t="str">
        <f>IF('Raw Data'!A22="","",'Raw Data'!A22)</f>
        <v>2021-04-01T08:32:40.948+01:00</v>
      </c>
      <c r="E26" s="14" t="str">
        <f>IF('Raw Data'!B22="","",'Raw Data'!B22)</f>
        <v>2021-04-01T09:07:36.245+01:00</v>
      </c>
      <c r="F26" s="30">
        <v>44287.35601851852</v>
      </c>
      <c r="G26" s="30">
        <v>44287.380277777775</v>
      </c>
      <c r="H26" s="29">
        <f>VLOOKUP(A26,Audit[#All],2,FALSE)</f>
        <v>34.92</v>
      </c>
      <c r="I26" s="29">
        <f>VLOOKUP(A26,Audit[#All],3,FALSE)</f>
        <v>34.85</v>
      </c>
      <c r="J26" s="29">
        <f>VLOOKUP(A26,Audit[#All],4,FALSE)</f>
        <v>28.56</v>
      </c>
      <c r="K26" s="29">
        <f>VLOOKUP(A26,nb_questions[#All],2,FALSE)</f>
        <v>76</v>
      </c>
      <c r="L26" s="29">
        <f t="shared" si="3"/>
        <v>59</v>
      </c>
      <c r="M26" s="14" t="str">
        <f>IF('Raw Data'!C22="","",'Raw Data'!C22)</f>
        <v>2021-04-01</v>
      </c>
      <c r="N26" s="14" t="str">
        <f>IF('Raw Data'!D22="","",'Raw Data'!D22)</f>
        <v/>
      </c>
      <c r="O26" s="14" t="str">
        <f>IF('Raw Data'!E22="","",'Raw Data'!E22)</f>
        <v/>
      </c>
      <c r="P26" s="29" t="str">
        <f>VLOOKUP(A26,code_enqueteurs[#All],3,FALSE)</f>
        <v>E</v>
      </c>
      <c r="Q26" s="29" t="s">
        <v>1650</v>
      </c>
      <c r="R26" s="14" t="str">
        <f>IF('Raw Data'!F22="","",'Raw Data'!F22)</f>
        <v>Homme</v>
      </c>
      <c r="S26" s="15" t="str">
        <f>IF('Raw Data'!G22="","",'Raw Data'!G22)</f>
        <v>tera</v>
      </c>
      <c r="T26" s="15" t="str">
        <f>IF('Raw Data'!H22="","",'Raw Data'!H22)</f>
        <v>tera</v>
      </c>
      <c r="U26" s="15" t="str">
        <f>IF('Raw Data'!I22="","",'Raw Data'!I22)</f>
        <v>tera</v>
      </c>
      <c r="V26" s="15" t="str">
        <f>IF('Raw Data'!J22="","",'Raw Data'!J22)</f>
        <v/>
      </c>
      <c r="W26" s="15" t="str">
        <f>IF('Raw Data'!K22="","",'Raw Data'!K22)</f>
        <v/>
      </c>
      <c r="X26" s="15" t="str">
        <f>IF('Raw Data'!L22="","",'Raw Data'!L22)</f>
        <v/>
      </c>
      <c r="Y26" s="15" t="str">
        <f>IF('Raw Data'!M22="","",'Raw Data'!M22)</f>
        <v/>
      </c>
      <c r="Z26" s="15" t="str">
        <f>IF('Raw Data'!N22="","",'Raw Data'!N22)</f>
        <v/>
      </c>
      <c r="AA26" s="15" t="str">
        <f>IF('Raw Data'!O22="","",'Raw Data'!O22)</f>
        <v/>
      </c>
      <c r="AB26" s="15" t="str">
        <f>IF('Raw Data'!P22="","",'Raw Data'!P22)</f>
        <v/>
      </c>
      <c r="AC26" s="15" t="str">
        <f>IF('Raw Data'!Q22="","",'Raw Data'!Q22)</f>
        <v/>
      </c>
      <c r="AD26" s="15" t="str">
        <f>IF('Raw Data'!R22="","",'Raw Data'!R22)</f>
        <v>Homme</v>
      </c>
      <c r="AE26" s="15" t="str">
        <f>IF('Raw Data'!S22="","",'Raw Data'!S22)</f>
        <v>55</v>
      </c>
      <c r="AF26" s="31" t="s">
        <v>503</v>
      </c>
      <c r="AG26" s="31"/>
      <c r="AH26" s="15" t="str">
        <f>IF('Raw Data'!V22="","",'Raw Data'!V22)</f>
        <v/>
      </c>
      <c r="AI26" s="15" t="str">
        <f>IF('Raw Data'!W22="","",'Raw Data'!W22)</f>
        <v/>
      </c>
      <c r="AJ26" s="15" t="str">
        <f>IF('Raw Data'!X22="","",'Raw Data'!X22)</f>
        <v/>
      </c>
      <c r="AK26" s="15" t="str">
        <f>IF('Raw Data'!Y22="","",'Raw Data'!Y22)</f>
        <v/>
      </c>
      <c r="AL26" s="15" t="str">
        <f>IF('Raw Data'!Z22="","",'Raw Data'!Z22)</f>
        <v/>
      </c>
      <c r="AM26" s="15" t="str">
        <f>IF('Raw Data'!AA22="","",'Raw Data'!AA22)</f>
        <v/>
      </c>
      <c r="AN26" s="15" t="str">
        <f>IF('Raw Data'!AB22="","",'Raw Data'!AB22)</f>
        <v/>
      </c>
      <c r="AO26" s="15" t="str">
        <f>IF('Raw Data'!AC22="","",'Raw Data'!AC22)</f>
        <v/>
      </c>
      <c r="AP26" s="15" t="str">
        <f>IF('Raw Data'!AD22="","",'Raw Data'!AD22)</f>
        <v/>
      </c>
      <c r="AQ26" s="15" t="str">
        <f>IF('Raw Data'!AE22="","",'Raw Data'!AE22)</f>
        <v/>
      </c>
      <c r="AR26" s="15" t="str">
        <f>IF('Raw Data'!AF22="","",'Raw Data'!AF22)</f>
        <v/>
      </c>
      <c r="AS26" s="15" t="str">
        <f>IF('Raw Data'!AG22="","",'Raw Data'!AG22)</f>
        <v>oui</v>
      </c>
      <c r="AT26" s="15" t="str">
        <f>IF('Raw Data'!AH22="","",'Raw Data'!AH22)</f>
        <v>Vols_braquages extorsions Attaques_ecoles_sante Violences_physique_civils Recrutement_enfants</v>
      </c>
      <c r="AU26" s="15" t="str">
        <f>IF('Raw Data'!AI22="","",'Raw Data'!AI22)</f>
        <v>0</v>
      </c>
      <c r="AV26" s="15" t="str">
        <f>IF('Raw Data'!AJ22="","",'Raw Data'!AJ22)</f>
        <v>0</v>
      </c>
      <c r="AW26" s="15" t="str">
        <f>IF('Raw Data'!AK22="","",'Raw Data'!AK22)</f>
        <v>1</v>
      </c>
      <c r="AX26" s="15" t="str">
        <f>IF('Raw Data'!AL22="","",'Raw Data'!AL22)</f>
        <v>1</v>
      </c>
      <c r="AY26" s="15" t="str">
        <f>IF('Raw Data'!AM22="","",'Raw Data'!AM22)</f>
        <v>1</v>
      </c>
      <c r="AZ26" s="15" t="str">
        <f>IF('Raw Data'!AN22="","",'Raw Data'!AN22)</f>
        <v>0</v>
      </c>
      <c r="BA26" s="15" t="str">
        <f>IF('Raw Data'!AO22="","",'Raw Data'!AO22)</f>
        <v>1</v>
      </c>
      <c r="BB26" s="15" t="str">
        <f>IF('Raw Data'!AP22="","",'Raw Data'!AP22)</f>
        <v>1</v>
      </c>
      <c r="BC26" s="15" t="str">
        <f>IF('Raw Data'!AQ22="","",'Raw Data'!AQ22)</f>
        <v>0</v>
      </c>
      <c r="BD26" s="15" t="str">
        <f>IF('Raw Data'!AR22="","",'Raw Data'!AR22)</f>
        <v>0</v>
      </c>
      <c r="BE26" s="15" t="str">
        <f>IF('Raw Data'!AS22="","",'Raw Data'!AS22)</f>
        <v>0</v>
      </c>
      <c r="BF26" s="15" t="str">
        <f>IF('Raw Data'!AT22="","",'Raw Data'!AT22)</f>
        <v>0</v>
      </c>
      <c r="BG26" s="15" t="str">
        <f>IF('Raw Data'!AU22="","",'Raw Data'!AU22)</f>
        <v>0</v>
      </c>
      <c r="BH26" s="15" t="str">
        <f>IF('Raw Data'!AV22="","",'Raw Data'!AV22)</f>
        <v>0</v>
      </c>
      <c r="BI26" s="15" t="str">
        <f>IF('Raw Data'!AW22="","",'Raw Data'!AW22)</f>
        <v/>
      </c>
      <c r="BJ26" s="15" t="str">
        <f>IF('Raw Data'!AX22="","",'Raw Data'!AX22)</f>
        <v>Bebes/Bambins Enfants Filles Femmes_agees Hommes_ages</v>
      </c>
      <c r="BK26" s="15" t="str">
        <f>IF('Raw Data'!AY22="","",'Raw Data'!AY22)</f>
        <v>1</v>
      </c>
      <c r="BL26" s="15" t="str">
        <f>IF('Raw Data'!AZ22="","",'Raw Data'!AZ22)</f>
        <v>1</v>
      </c>
      <c r="BM26" s="15" t="str">
        <f>IF('Raw Data'!BA22="","",'Raw Data'!BA22)</f>
        <v>1</v>
      </c>
      <c r="BN26" s="15" t="str">
        <f>IF('Raw Data'!BB22="","",'Raw Data'!BB22)</f>
        <v>0</v>
      </c>
      <c r="BO26" s="15" t="str">
        <f>IF('Raw Data'!BC22="","",'Raw Data'!BC22)</f>
        <v>0</v>
      </c>
      <c r="BP26" s="15" t="str">
        <f>IF('Raw Data'!BD22="","",'Raw Data'!BD22)</f>
        <v>0</v>
      </c>
      <c r="BQ26" s="15" t="str">
        <f>IF('Raw Data'!BE22="","",'Raw Data'!BE22)</f>
        <v>1</v>
      </c>
      <c r="BR26" s="15" t="str">
        <f>IF('Raw Data'!BF22="","",'Raw Data'!BF22)</f>
        <v>1</v>
      </c>
      <c r="BS26" s="15" t="str">
        <f>IF('Raw Data'!BG22="","",'Raw Data'!BG22)</f>
        <v>0</v>
      </c>
      <c r="BT26" s="15" t="str">
        <f>IF('Raw Data'!BH22="","",'Raw Data'!BH22)</f>
        <v>0</v>
      </c>
      <c r="BU26" s="15" t="str">
        <f>IF('Raw Data'!BI22="","",'Raw Data'!BI22)</f>
        <v>0</v>
      </c>
      <c r="BV26" s="15" t="str">
        <f>IF('Raw Data'!BJ22="","",'Raw Data'!BJ22)</f>
        <v>0</v>
      </c>
      <c r="BW26" s="15" t="str">
        <f>IF('Raw Data'!BK22="","",'Raw Data'!BK22)</f>
        <v>0</v>
      </c>
      <c r="BX26" s="15" t="str">
        <f>IF('Raw Data'!BL22="","",'Raw Data'!BL22)</f>
        <v>0</v>
      </c>
      <c r="BY26" s="15" t="str">
        <f>IF('Raw Data'!BM22="","",'Raw Data'!BM22)</f>
        <v/>
      </c>
      <c r="BZ26" s="15" t="str">
        <f>IF('Raw Data'!BN22="","",'Raw Data'!BN22)</f>
        <v>4</v>
      </c>
      <c r="CA26" s="15" t="str">
        <f>IF('Raw Data'!BO22="","",'Raw Data'!BO22)</f>
        <v>augmente</v>
      </c>
      <c r="CB26" s="15" t="str">
        <f>IF('Raw Data'!BP22="","",'Raw Data'!BP22)</f>
        <v/>
      </c>
      <c r="CC26" s="15" t="str">
        <f>IF('Raw Data'!BQ22="","",'Raw Data'!BQ22)</f>
        <v>oui</v>
      </c>
      <c r="CD26" s="15" t="str">
        <f>IF('Raw Data'!BR22="","",'Raw Data'!BR22)</f>
        <v>viol agression_sexuelle agression_physique travail_force menace</v>
      </c>
      <c r="CE26" s="15" t="str">
        <f>IF('Raw Data'!BS22="","",'Raw Data'!BS22)</f>
        <v>1</v>
      </c>
      <c r="CF26" s="15" t="str">
        <f>IF('Raw Data'!BT22="","",'Raw Data'!BT22)</f>
        <v>1</v>
      </c>
      <c r="CG26" s="15" t="str">
        <f>IF('Raw Data'!BU22="","",'Raw Data'!BU22)</f>
        <v>1</v>
      </c>
      <c r="CH26" s="15" t="str">
        <f>IF('Raw Data'!BV22="","",'Raw Data'!BV22)</f>
        <v>0</v>
      </c>
      <c r="CI26" s="15" t="str">
        <f>IF('Raw Data'!BW22="","",'Raw Data'!BW22)</f>
        <v>0</v>
      </c>
      <c r="CJ26" s="15" t="str">
        <f>IF('Raw Data'!BX22="","",'Raw Data'!BX22)</f>
        <v>0</v>
      </c>
      <c r="CK26" s="15" t="str">
        <f>IF('Raw Data'!BY22="","",'Raw Data'!BY22)</f>
        <v>1</v>
      </c>
      <c r="CL26" s="15" t="str">
        <f>IF('Raw Data'!BZ22="","",'Raw Data'!BZ22)</f>
        <v>0</v>
      </c>
      <c r="CM26" s="15" t="str">
        <f>IF('Raw Data'!CA22="","",'Raw Data'!CA22)</f>
        <v>0</v>
      </c>
      <c r="CN26" s="15" t="str">
        <f>IF('Raw Data'!CB22="","",'Raw Data'!CB22)</f>
        <v>0</v>
      </c>
      <c r="CO26" s="15" t="str">
        <f>IF('Raw Data'!CC22="","",'Raw Data'!CC22)</f>
        <v>1</v>
      </c>
      <c r="CP26" s="15" t="str">
        <f>IF('Raw Data'!CD22="","",'Raw Data'!CD22)</f>
        <v>0</v>
      </c>
      <c r="CQ26" s="15" t="str">
        <f>IF('Raw Data'!CE22="","",'Raw Data'!CE22)</f>
        <v>0</v>
      </c>
      <c r="CR26" s="15" t="str">
        <f>IF('Raw Data'!CF22="","",'Raw Data'!CF22)</f>
        <v>0</v>
      </c>
      <c r="CS26" s="15" t="str">
        <f>IF('Raw Data'!CG22="","",'Raw Data'!CG22)</f>
        <v>0</v>
      </c>
      <c r="CT26" s="15" t="str">
        <f>IF('Raw Data'!CH22="","",'Raw Data'!CH22)</f>
        <v/>
      </c>
      <c r="CU26" s="15" t="str">
        <f>IF('Raw Data'!CI22="","",'Raw Data'!CI22)</f>
        <v>Bebes/Bambins Enfants Filles Femmes_agees Hommes_ages</v>
      </c>
      <c r="CV26" s="15" t="str">
        <f>IF('Raw Data'!CJ22="","",'Raw Data'!CJ22)</f>
        <v>1</v>
      </c>
      <c r="CW26" s="15" t="str">
        <f>IF('Raw Data'!CK22="","",'Raw Data'!CK22)</f>
        <v>1</v>
      </c>
      <c r="CX26" s="15" t="str">
        <f>IF('Raw Data'!CL22="","",'Raw Data'!CL22)</f>
        <v>1</v>
      </c>
      <c r="CY26" s="15" t="str">
        <f>IF('Raw Data'!CM22="","",'Raw Data'!CM22)</f>
        <v>0</v>
      </c>
      <c r="CZ26" s="15" t="str">
        <f>IF('Raw Data'!CN22="","",'Raw Data'!CN22)</f>
        <v>0</v>
      </c>
      <c r="DA26" s="15" t="str">
        <f>IF('Raw Data'!CO22="","",'Raw Data'!CO22)</f>
        <v>0</v>
      </c>
      <c r="DB26" s="15" t="str">
        <f>IF('Raw Data'!CP22="","",'Raw Data'!CP22)</f>
        <v>1</v>
      </c>
      <c r="DC26" s="15" t="str">
        <f>IF('Raw Data'!CQ22="","",'Raw Data'!CQ22)</f>
        <v>1</v>
      </c>
      <c r="DD26" s="15" t="str">
        <f>IF('Raw Data'!CR22="","",'Raw Data'!CR22)</f>
        <v>0</v>
      </c>
      <c r="DE26" s="15" t="str">
        <f>IF('Raw Data'!CS22="","",'Raw Data'!CS22)</f>
        <v>0</v>
      </c>
      <c r="DF26" s="15" t="str">
        <f>IF('Raw Data'!CT22="","",'Raw Data'!CT22)</f>
        <v>0</v>
      </c>
      <c r="DG26" s="15" t="str">
        <f>IF('Raw Data'!CU22="","",'Raw Data'!CU22)</f>
        <v>0</v>
      </c>
      <c r="DH26" s="15" t="str">
        <f>IF('Raw Data'!CV22="","",'Raw Data'!CV22)</f>
        <v>0</v>
      </c>
      <c r="DI26" s="15" t="str">
        <f>IF('Raw Data'!CW22="","",'Raw Data'!CW22)</f>
        <v>0</v>
      </c>
      <c r="DJ26" s="15" t="str">
        <f>IF('Raw Data'!CX22="","",'Raw Data'!CX22)</f>
        <v/>
      </c>
      <c r="DK26" s="15" t="str">
        <f>IF('Raw Data'!CY22="","",'Raw Data'!CY22)</f>
        <v>4</v>
      </c>
      <c r="DL26" s="15" t="str">
        <f>IF('Raw Data'!CZ22="","",'Raw Data'!CZ22)</f>
        <v>augmente</v>
      </c>
      <c r="DM26" s="15" t="str">
        <f>IF('Raw Data'!DA22="","",'Raw Data'!DA22)</f>
        <v/>
      </c>
      <c r="DN26" s="15" t="str">
        <f>IF('Raw Data'!DB22="","",'Raw Data'!DB22)</f>
        <v>deterioration_con_abris hausse_chomeurs diminution_moyens_existence</v>
      </c>
      <c r="DO26" s="15" t="str">
        <f>IF('Raw Data'!DC22="","",'Raw Data'!DC22)</f>
        <v>1</v>
      </c>
      <c r="DP26" s="15" t="str">
        <f>IF('Raw Data'!DD22="","",'Raw Data'!DD22)</f>
        <v>1</v>
      </c>
      <c r="DQ26" s="15" t="str">
        <f>IF('Raw Data'!DE22="","",'Raw Data'!DE22)</f>
        <v>0</v>
      </c>
      <c r="DR26" s="15" t="str">
        <f>IF('Raw Data'!DF22="","",'Raw Data'!DF22)</f>
        <v>0</v>
      </c>
      <c r="DS26" s="15" t="str">
        <f>IF('Raw Data'!DG22="","",'Raw Data'!DG22)</f>
        <v>0</v>
      </c>
      <c r="DT26" s="15" t="str">
        <f>IF('Raw Data'!DH22="","",'Raw Data'!DH22)</f>
        <v>0</v>
      </c>
      <c r="DU26" s="15" t="str">
        <f>IF('Raw Data'!DI22="","",'Raw Data'!DI22)</f>
        <v>1</v>
      </c>
      <c r="DV26" s="15" t="str">
        <f>IF('Raw Data'!DJ22="","",'Raw Data'!DJ22)</f>
        <v>0</v>
      </c>
      <c r="DW26" s="15" t="str">
        <f>IF('Raw Data'!DK22="","",'Raw Data'!DK22)</f>
        <v>0</v>
      </c>
      <c r="DX26" s="15" t="str">
        <f>IF('Raw Data'!DL22="","",'Raw Data'!DL22)</f>
        <v>0</v>
      </c>
      <c r="DY26" s="15" t="str">
        <f>IF('Raw Data'!DM22="","",'Raw Data'!DM22)</f>
        <v/>
      </c>
      <c r="DZ26" s="15" t="str">
        <f>IF('Raw Data'!DN22="","",'Raw Data'!DN22)</f>
        <v/>
      </c>
      <c r="EA26" s="15" t="str">
        <f>IF('Raw Data'!DO22="","",'Raw Data'!DO22)</f>
        <v/>
      </c>
      <c r="EB26" s="15" t="str">
        <f>IF('Raw Data'!DP22="","",'Raw Data'!DP22)</f>
        <v/>
      </c>
      <c r="EC26" s="15" t="str">
        <f>IF('Raw Data'!DQ22="","",'Raw Data'!DQ22)</f>
        <v/>
      </c>
      <c r="ED26" s="15" t="str">
        <f>IF('Raw Data'!DR22="","",'Raw Data'!DR22)</f>
        <v/>
      </c>
      <c r="EE26" s="15" t="str">
        <f>IF('Raw Data'!DS22="","",'Raw Data'!DS22)</f>
        <v/>
      </c>
      <c r="EF26" s="15" t="str">
        <f>IF('Raw Data'!DT22="","",'Raw Data'!DT22)</f>
        <v/>
      </c>
      <c r="EG26" s="15" t="str">
        <f>IF('Raw Data'!DU22="","",'Raw Data'!DU22)</f>
        <v/>
      </c>
      <c r="EH26" s="15" t="str">
        <f>IF('Raw Data'!DV22="","",'Raw Data'!DV22)</f>
        <v/>
      </c>
      <c r="EI26" s="15" t="str">
        <f>IF('Raw Data'!DW22="","",'Raw Data'!DW22)</f>
        <v/>
      </c>
      <c r="EJ26" s="15" t="str">
        <f>IF('Raw Data'!DX22="","",'Raw Data'!DX22)</f>
        <v/>
      </c>
      <c r="EK26" s="15" t="str">
        <f>IF('Raw Data'!DY22="","",'Raw Data'!DY22)</f>
        <v/>
      </c>
      <c r="EL26" s="15" t="str">
        <f>IF('Raw Data'!DZ22="","",'Raw Data'!DZ22)</f>
        <v>Soutien_famille_amis Soutien_chef_village dplct_abords_com</v>
      </c>
      <c r="EM26" s="15" t="str">
        <f>IF('Raw Data'!EA22="","",'Raw Data'!EA22)</f>
        <v>1</v>
      </c>
      <c r="EN26" s="15" t="str">
        <f>IF('Raw Data'!EB22="","",'Raw Data'!EB22)</f>
        <v>0</v>
      </c>
      <c r="EO26" s="15" t="str">
        <f>IF('Raw Data'!EC22="","",'Raw Data'!EC22)</f>
        <v>1</v>
      </c>
      <c r="EP26" s="15" t="str">
        <f>IF('Raw Data'!ED22="","",'Raw Data'!ED22)</f>
        <v>1</v>
      </c>
      <c r="EQ26" s="15" t="str">
        <f>IF('Raw Data'!EE22="","",'Raw Data'!EE22)</f>
        <v>0</v>
      </c>
      <c r="ER26" s="15" t="str">
        <f>IF('Raw Data'!EF22="","",'Raw Data'!EF22)</f>
        <v>0</v>
      </c>
      <c r="ES26" s="15" t="str">
        <f>IF('Raw Data'!EG22="","",'Raw Data'!EG22)</f>
        <v>0</v>
      </c>
      <c r="ET26" s="15" t="str">
        <f>IF('Raw Data'!EH22="","",'Raw Data'!EH22)</f>
        <v>0</v>
      </c>
      <c r="EU26" s="15" t="str">
        <f>IF('Raw Data'!EI22="","",'Raw Data'!EI22)</f>
        <v>0</v>
      </c>
      <c r="EV26" s="15" t="str">
        <f>IF('Raw Data'!EJ22="","",'Raw Data'!EJ22)</f>
        <v/>
      </c>
      <c r="EW26" s="15" t="str">
        <f>IF('Raw Data'!EK22="","",'Raw Data'!EK22)</f>
        <v/>
      </c>
      <c r="EX26" s="15" t="str">
        <f>IF('Raw Data'!EL22="","",'Raw Data'!EL22)</f>
        <v>famille_accueil comite_alerte femmes_elite</v>
      </c>
      <c r="EY26" s="15" t="str">
        <f>IF('Raw Data'!EM22="","",'Raw Data'!EM22)</f>
        <v>1</v>
      </c>
      <c r="EZ26" s="15" t="str">
        <f>IF('Raw Data'!EN22="","",'Raw Data'!EN22)</f>
        <v>0</v>
      </c>
      <c r="FA26" s="15" t="str">
        <f>IF('Raw Data'!EO22="","",'Raw Data'!EO22)</f>
        <v>1</v>
      </c>
      <c r="FB26" s="15" t="str">
        <f>IF('Raw Data'!EP22="","",'Raw Data'!EP22)</f>
        <v>1</v>
      </c>
      <c r="FC26" s="15" t="str">
        <f>IF('Raw Data'!EQ22="","",'Raw Data'!EQ22)</f>
        <v>0</v>
      </c>
      <c r="FD26" s="15" t="str">
        <f>IF('Raw Data'!ER22="","",'Raw Data'!ER22)</f>
        <v>0</v>
      </c>
      <c r="FE26" s="15" t="str">
        <f>IF('Raw Data'!ES22="","",'Raw Data'!ES22)</f>
        <v>0</v>
      </c>
      <c r="FF26" s="15" t="str">
        <f>IF('Raw Data'!ET22="","",'Raw Data'!ET22)</f>
        <v>0</v>
      </c>
      <c r="FG26" s="15" t="str">
        <f>IF('Raw Data'!EU22="","",'Raw Data'!EU22)</f>
        <v>0</v>
      </c>
      <c r="FH26" s="15" t="str">
        <f>IF('Raw Data'!EV22="","",'Raw Data'!EV22)</f>
        <v>0</v>
      </c>
      <c r="FI26" s="15" t="str">
        <f>IF('Raw Data'!EW22="","",'Raw Data'!EW22)</f>
        <v/>
      </c>
      <c r="FJ26" s="15" t="str">
        <f>IF('Raw Data'!EX22="","",'Raw Data'!EX22)</f>
        <v>oui</v>
      </c>
      <c r="FK26" s="15" t="str">
        <f>IF('Raw Data'!EY22="","",'Raw Data'!EY22)</f>
        <v>manif_sociales Chef_village Groupement_femmes Leaders_religieux</v>
      </c>
      <c r="FL26" s="15" t="str">
        <f>IF('Raw Data'!EZ22="","",'Raw Data'!EZ22)</f>
        <v>0</v>
      </c>
      <c r="FM26" s="15" t="str">
        <f>IF('Raw Data'!FA22="","",'Raw Data'!FA22)</f>
        <v>0</v>
      </c>
      <c r="FN26" s="15" t="str">
        <f>IF('Raw Data'!FB22="","",'Raw Data'!FB22)</f>
        <v>0</v>
      </c>
      <c r="FO26" s="15" t="str">
        <f>IF('Raw Data'!FC22="","",'Raw Data'!FC22)</f>
        <v>1</v>
      </c>
      <c r="FP26" s="15" t="str">
        <f>IF('Raw Data'!FD22="","",'Raw Data'!FD22)</f>
        <v>1</v>
      </c>
      <c r="FQ26" s="15" t="str">
        <f>IF('Raw Data'!FE22="","",'Raw Data'!FE22)</f>
        <v>0</v>
      </c>
      <c r="FR26" s="15" t="str">
        <f>IF('Raw Data'!FF22="","",'Raw Data'!FF22)</f>
        <v>1</v>
      </c>
      <c r="FS26" s="15" t="str">
        <f>IF('Raw Data'!FG22="","",'Raw Data'!FG22)</f>
        <v>1</v>
      </c>
      <c r="FT26" s="15" t="str">
        <f>IF('Raw Data'!FH22="","",'Raw Data'!FH22)</f>
        <v>0</v>
      </c>
      <c r="FU26" s="15" t="str">
        <f>IF('Raw Data'!FI22="","",'Raw Data'!FI22)</f>
        <v>0</v>
      </c>
      <c r="FV26" s="15" t="str">
        <f>IF('Raw Data'!FJ22="","",'Raw Data'!FJ22)</f>
        <v>0</v>
      </c>
      <c r="FW26" s="15" t="str">
        <f>IF('Raw Data'!FK22="","",'Raw Data'!FK22)</f>
        <v>0</v>
      </c>
      <c r="FX26" s="15" t="str">
        <f>IF('Raw Data'!FL22="","",'Raw Data'!FL22)</f>
        <v>0</v>
      </c>
      <c r="FY26" s="15" t="str">
        <f>IF('Raw Data'!FM22="","",'Raw Data'!FM22)</f>
        <v>0</v>
      </c>
      <c r="FZ26" s="15" t="str">
        <f>IF('Raw Data'!FN22="","",'Raw Data'!FN22)</f>
        <v/>
      </c>
      <c r="GA26" s="15" t="str">
        <f>IF('Raw Data'!FO22="","",'Raw Data'!FO22)</f>
        <v>oui_minorite</v>
      </c>
      <c r="GB26" s="15" t="str">
        <f>IF('Raw Data'!FP22="","",'Raw Data'!FP22)</f>
        <v>oui_minorite</v>
      </c>
      <c r="GC26" s="15" t="str">
        <f>IF('Raw Data'!FQ22="","",'Raw Data'!FQ22)</f>
        <v>manque_info trop_du_monde insecurite</v>
      </c>
      <c r="GD26" s="15" t="str">
        <f>IF('Raw Data'!FR22="","",'Raw Data'!FR22)</f>
        <v>0</v>
      </c>
      <c r="GE26" s="15" t="str">
        <f>IF('Raw Data'!FS22="","",'Raw Data'!FS22)</f>
        <v>1</v>
      </c>
      <c r="GF26" s="15" t="str">
        <f>IF('Raw Data'!FT22="","",'Raw Data'!FT22)</f>
        <v>0</v>
      </c>
      <c r="GG26" s="15" t="str">
        <f>IF('Raw Data'!FU22="","",'Raw Data'!FU22)</f>
        <v>0</v>
      </c>
      <c r="GH26" s="15" t="str">
        <f>IF('Raw Data'!FV22="","",'Raw Data'!FV22)</f>
        <v>1</v>
      </c>
      <c r="GI26" s="15" t="str">
        <f>IF('Raw Data'!FW22="","",'Raw Data'!FW22)</f>
        <v>1</v>
      </c>
      <c r="GJ26" s="15" t="str">
        <f>IF('Raw Data'!FX22="","",'Raw Data'!FX22)</f>
        <v>0</v>
      </c>
      <c r="GK26" s="15" t="str">
        <f>IF('Raw Data'!FY22="","",'Raw Data'!FY22)</f>
        <v>0</v>
      </c>
      <c r="GL26" s="15" t="str">
        <f>IF('Raw Data'!FZ22="","",'Raw Data'!FZ22)</f>
        <v/>
      </c>
      <c r="GM26" s="15" t="str">
        <f>IF('Raw Data'!GA22="","",'Raw Data'!GA22)</f>
        <v>minorite</v>
      </c>
      <c r="GN26" s="15" t="str">
        <f>IF('Raw Data'!GB22="","",'Raw Data'!GB22)</f>
        <v>minorite</v>
      </c>
      <c r="GO26" s="15" t="str">
        <f>IF('Raw Data'!GC22="","",'Raw Data'!GC22)</f>
        <v>Education Service_de_counseling Services_de_sante Appui_psychosocial</v>
      </c>
      <c r="GP26" s="15" t="str">
        <f>IF('Raw Data'!GD22="","",'Raw Data'!GD22)</f>
        <v>1</v>
      </c>
      <c r="GQ26" s="15" t="str">
        <f>IF('Raw Data'!GE22="","",'Raw Data'!GE22)</f>
        <v>1</v>
      </c>
      <c r="GR26" s="15" t="str">
        <f>IF('Raw Data'!GF22="","",'Raw Data'!GF22)</f>
        <v>1</v>
      </c>
      <c r="GS26" s="15" t="str">
        <f>IF('Raw Data'!GG22="","",'Raw Data'!GG22)</f>
        <v>1</v>
      </c>
      <c r="GT26" s="15" t="str">
        <f>IF('Raw Data'!GH22="","",'Raw Data'!GH22)</f>
        <v>0</v>
      </c>
      <c r="GU26" s="15" t="str">
        <f>IF('Raw Data'!GI22="","",'Raw Data'!GI22)</f>
        <v>0</v>
      </c>
      <c r="GV26" s="15" t="str">
        <f>IF('Raw Data'!GJ22="","",'Raw Data'!GJ22)</f>
        <v>0</v>
      </c>
      <c r="GW26" s="15" t="str">
        <f>IF('Raw Data'!GK22="","",'Raw Data'!GK22)</f>
        <v>0</v>
      </c>
      <c r="GX26" s="15" t="str">
        <f>IF('Raw Data'!GL22="","",'Raw Data'!GL22)</f>
        <v>0</v>
      </c>
      <c r="GY26" s="15" t="str">
        <f>IF('Raw Data'!GM22="","",'Raw Data'!GM22)</f>
        <v/>
      </c>
      <c r="GZ26" s="15" t="str">
        <f>IF('Raw Data'!GN22="","",'Raw Data'!GN22)</f>
        <v>oui_minorite</v>
      </c>
      <c r="HA26" s="15" t="str">
        <f>IF('Raw Data'!GO22="","",'Raw Data'!GO22)</f>
        <v>oui_minorite</v>
      </c>
      <c r="HB26" s="15" t="str">
        <f>IF('Raw Data'!GP22="","",'Raw Data'!GP22)</f>
        <v>diminution_tensions repond_besoins_pop permet_negociation</v>
      </c>
      <c r="HC26" s="15" t="str">
        <f>IF('Raw Data'!GQ22="","",'Raw Data'!GQ22)</f>
        <v>0</v>
      </c>
      <c r="HD26" s="15" t="str">
        <f>IF('Raw Data'!GR22="","",'Raw Data'!GR22)</f>
        <v>1</v>
      </c>
      <c r="HE26" s="15" t="str">
        <f>IF('Raw Data'!GS22="","",'Raw Data'!GS22)</f>
        <v>0</v>
      </c>
      <c r="HF26" s="15" t="str">
        <f>IF('Raw Data'!GT22="","",'Raw Data'!GT22)</f>
        <v>0</v>
      </c>
      <c r="HG26" s="15" t="str">
        <f>IF('Raw Data'!GU22="","",'Raw Data'!GU22)</f>
        <v>1</v>
      </c>
      <c r="HH26" s="15" t="str">
        <f>IF('Raw Data'!GV22="","",'Raw Data'!GV22)</f>
        <v>1</v>
      </c>
      <c r="HI26" s="15" t="str">
        <f>IF('Raw Data'!GW22="","",'Raw Data'!GW22)</f>
        <v>0</v>
      </c>
      <c r="HJ26" s="15" t="str">
        <f>IF('Raw Data'!GX22="","",'Raw Data'!GX22)</f>
        <v>0</v>
      </c>
      <c r="HK26" s="15" t="str">
        <f>IF('Raw Data'!GY22="","",'Raw Data'!GY22)</f>
        <v/>
      </c>
      <c r="HL26" s="15" t="str">
        <f>IF('Raw Data'!GZ22="","",'Raw Data'!GZ22)</f>
        <v>ne_repond_pas non_obtention_info ne_contribue_pas</v>
      </c>
      <c r="HM26" s="15" t="str">
        <f>IF('Raw Data'!HA22="","",'Raw Data'!HA22)</f>
        <v>1</v>
      </c>
      <c r="HN26" s="15" t="str">
        <f>IF('Raw Data'!HB22="","",'Raw Data'!HB22)</f>
        <v>1</v>
      </c>
      <c r="HO26" s="15" t="str">
        <f>IF('Raw Data'!HC22="","",'Raw Data'!HC22)</f>
        <v>1</v>
      </c>
      <c r="HP26" s="15" t="str">
        <f>IF('Raw Data'!HD22="","",'Raw Data'!HD22)</f>
        <v>0</v>
      </c>
      <c r="HQ26" s="15" t="str">
        <f>IF('Raw Data'!HE22="","",'Raw Data'!HE22)</f>
        <v>0</v>
      </c>
      <c r="HR26" s="15" t="str">
        <f>IF('Raw Data'!HF22="","",'Raw Data'!HF22)</f>
        <v>0</v>
      </c>
      <c r="HS26" s="15" t="str">
        <f>IF('Raw Data'!HG22="","",'Raw Data'!HG22)</f>
        <v/>
      </c>
      <c r="HT26" s="15" t="str">
        <f>IF('Raw Data'!HH22="","",'Raw Data'!HH22)</f>
        <v/>
      </c>
      <c r="HU26" s="15" t="str">
        <f>IF('Raw Data'!HI22="","",'Raw Data'!HI22)</f>
        <v>oui_minorite</v>
      </c>
      <c r="HV26" s="15" t="str">
        <f>IF('Raw Data'!HJ22="","",'Raw Data'!HJ22)</f>
        <v>ingo autorite_locale_leaders ong_locale</v>
      </c>
      <c r="HW26" s="15" t="str">
        <f>IF('Raw Data'!HK22="","",'Raw Data'!HK22)</f>
        <v>0</v>
      </c>
      <c r="HX26" s="15" t="str">
        <f>IF('Raw Data'!HL22="","",'Raw Data'!HL22)</f>
        <v>0</v>
      </c>
      <c r="HY26" s="15" t="str">
        <f>IF('Raw Data'!HM22="","",'Raw Data'!HM22)</f>
        <v>1</v>
      </c>
      <c r="HZ26" s="15" t="str">
        <f>IF('Raw Data'!HN22="","",'Raw Data'!HN22)</f>
        <v>0</v>
      </c>
      <c r="IA26" s="15" t="str">
        <f>IF('Raw Data'!HO22="","",'Raw Data'!HO22)</f>
        <v>1</v>
      </c>
      <c r="IB26" s="15" t="str">
        <f>IF('Raw Data'!HP22="","",'Raw Data'!HP22)</f>
        <v>1</v>
      </c>
      <c r="IC26" s="15" t="str">
        <f>IF('Raw Data'!HQ22="","",'Raw Data'!HQ22)</f>
        <v>0</v>
      </c>
      <c r="ID26" s="15" t="str">
        <f>IF('Raw Data'!HR22="","",'Raw Data'!HR22)</f>
        <v>0</v>
      </c>
      <c r="IE26" s="15" t="str">
        <f>IF('Raw Data'!HS22="","",'Raw Data'!HS22)</f>
        <v>0</v>
      </c>
      <c r="IF26" s="15" t="str">
        <f>IF('Raw Data'!HT22="","",'Raw Data'!HT22)</f>
        <v>0</v>
      </c>
      <c r="IG26" s="15" t="str">
        <f>IF('Raw Data'!HU22="","",'Raw Data'!HU22)</f>
        <v/>
      </c>
      <c r="IH26" s="15" t="str">
        <f>IF('Raw Data'!HV22="","",'Raw Data'!HV22)</f>
        <v>oui</v>
      </c>
      <c r="II26" s="15" t="str">
        <f>IF('Raw Data'!HW22="","",'Raw Data'!HW22)</f>
        <v/>
      </c>
      <c r="IJ26" s="15" t="str">
        <f>IF('Raw Data'!HX22="","",'Raw Data'!HX22)</f>
        <v>Bebes/Bambins Enfants Filles Femmes_agees Hommes_ages</v>
      </c>
      <c r="IK26" s="15" t="str">
        <f>IF('Raw Data'!HY22="","",'Raw Data'!HY22)</f>
        <v>1</v>
      </c>
      <c r="IL26" s="15" t="str">
        <f>IF('Raw Data'!HZ22="","",'Raw Data'!HZ22)</f>
        <v>1</v>
      </c>
      <c r="IM26" s="15" t="str">
        <f>IF('Raw Data'!IA22="","",'Raw Data'!IA22)</f>
        <v>1</v>
      </c>
      <c r="IN26" s="15" t="str">
        <f>IF('Raw Data'!IB22="","",'Raw Data'!IB22)</f>
        <v>0</v>
      </c>
      <c r="IO26" s="15" t="str">
        <f>IF('Raw Data'!IC22="","",'Raw Data'!IC22)</f>
        <v>0</v>
      </c>
      <c r="IP26" s="15" t="str">
        <f>IF('Raw Data'!ID22="","",'Raw Data'!ID22)</f>
        <v>0</v>
      </c>
      <c r="IQ26" s="15" t="str">
        <f>IF('Raw Data'!IE22="","",'Raw Data'!IE22)</f>
        <v>1</v>
      </c>
      <c r="IR26" s="15" t="str">
        <f>IF('Raw Data'!IF22="","",'Raw Data'!IF22)</f>
        <v>1</v>
      </c>
      <c r="IS26" s="15" t="str">
        <f>IF('Raw Data'!IG22="","",'Raw Data'!IG22)</f>
        <v>0</v>
      </c>
      <c r="IT26" s="15" t="str">
        <f>IF('Raw Data'!IH22="","",'Raw Data'!IH22)</f>
        <v>0</v>
      </c>
      <c r="IU26" s="15" t="str">
        <f>IF('Raw Data'!II22="","",'Raw Data'!II22)</f>
        <v>0</v>
      </c>
      <c r="IV26" s="15" t="str">
        <f>IF('Raw Data'!IJ22="","",'Raw Data'!IJ22)</f>
        <v>0</v>
      </c>
      <c r="IW26" s="15" t="str">
        <f>IF('Raw Data'!IK22="","",'Raw Data'!IK22)</f>
        <v>0</v>
      </c>
      <c r="IX26" s="15" t="str">
        <f>IF('Raw Data'!IL22="","",'Raw Data'!IL22)</f>
        <v>0</v>
      </c>
      <c r="IY26" s="15" t="str">
        <f>IF('Raw Data'!IM22="","",'Raw Data'!IM22)</f>
        <v/>
      </c>
      <c r="IZ26" s="15" t="str">
        <f>IF('Raw Data'!IN22="","",'Raw Data'!IN22)</f>
        <v>10</v>
      </c>
      <c r="JA26" s="15" t="str">
        <f>IF('Raw Data'!IO22="","",'Raw Data'!IO22)</f>
        <v>Services_conseil Services_educatifs Services_medicaux Appui_psychosocial</v>
      </c>
      <c r="JB26" s="15" t="str">
        <f>IF('Raw Data'!IP22="","",'Raw Data'!IP22)</f>
        <v>1</v>
      </c>
      <c r="JC26" s="15" t="str">
        <f>IF('Raw Data'!IQ22="","",'Raw Data'!IQ22)</f>
        <v>1</v>
      </c>
      <c r="JD26" s="15" t="str">
        <f>IF('Raw Data'!IR22="","",'Raw Data'!IR22)</f>
        <v>1</v>
      </c>
      <c r="JE26" s="15" t="str">
        <f>IF('Raw Data'!IS22="","",'Raw Data'!IS22)</f>
        <v>1</v>
      </c>
      <c r="JF26" s="15" t="str">
        <f>IF('Raw Data'!IT22="","",'Raw Data'!IT22)</f>
        <v>0</v>
      </c>
      <c r="JG26" s="15" t="str">
        <f>IF('Raw Data'!IU22="","",'Raw Data'!IU22)</f>
        <v>0</v>
      </c>
      <c r="JH26" s="15" t="str">
        <f>IF('Raw Data'!IV22="","",'Raw Data'!IV22)</f>
        <v>0</v>
      </c>
      <c r="JI26" s="15" t="str">
        <f>IF('Raw Data'!IW22="","",'Raw Data'!IW22)</f>
        <v>0</v>
      </c>
      <c r="JJ26" s="15" t="str">
        <f>IF('Raw Data'!IX22="","",'Raw Data'!IX22)</f>
        <v>0</v>
      </c>
      <c r="JK26" s="15" t="str">
        <f>IF('Raw Data'!IY22="","",'Raw Data'!IY22)</f>
        <v>0</v>
      </c>
      <c r="JL26" s="15" t="str">
        <f>IF('Raw Data'!IZ22="","",'Raw Data'!IZ22)</f>
        <v/>
      </c>
      <c r="JM26" s="15" t="str">
        <f>IF('Raw Data'!JA22="","",'Raw Data'!JA22)</f>
        <v>prise_enchage reorientation signalement</v>
      </c>
      <c r="JN26" s="15" t="str">
        <f>IF('Raw Data'!JB22="","",'Raw Data'!JB22)</f>
        <v>1</v>
      </c>
      <c r="JO26" s="15" t="str">
        <f>IF('Raw Data'!JC22="","",'Raw Data'!JC22)</f>
        <v>1</v>
      </c>
      <c r="JP26" s="15" t="str">
        <f>IF('Raw Data'!JD22="","",'Raw Data'!JD22)</f>
        <v>1</v>
      </c>
      <c r="JQ26" s="15" t="str">
        <f>IF('Raw Data'!JE22="","",'Raw Data'!JE22)</f>
        <v>0</v>
      </c>
      <c r="JR26" s="15" t="str">
        <f>IF('Raw Data'!JF22="","",'Raw Data'!JF22)</f>
        <v>0</v>
      </c>
      <c r="JS26" s="15" t="str">
        <f>IF('Raw Data'!JG22="","",'Raw Data'!JG22)</f>
        <v>0</v>
      </c>
      <c r="JT26" s="15" t="str">
        <f>IF('Raw Data'!JH22="","",'Raw Data'!JH22)</f>
        <v/>
      </c>
      <c r="JU26" s="15" t="str">
        <f>IF('Raw Data'!JI22="","",'Raw Data'!JI22)</f>
        <v>medical Psychosocia point_ecoute juridique centre_formation</v>
      </c>
      <c r="JV26" s="15" t="str">
        <f>IF('Raw Data'!JJ22="","",'Raw Data'!JJ22)</f>
        <v>1</v>
      </c>
      <c r="JW26" s="15" t="str">
        <f>IF('Raw Data'!JK22="","",'Raw Data'!JK22)</f>
        <v>1</v>
      </c>
      <c r="JX26" s="15" t="str">
        <f>IF('Raw Data'!JL22="","",'Raw Data'!JL22)</f>
        <v>1</v>
      </c>
      <c r="JY26" s="15" t="str">
        <f>IF('Raw Data'!JM22="","",'Raw Data'!JM22)</f>
        <v>1</v>
      </c>
      <c r="JZ26" s="15" t="str">
        <f>IF('Raw Data'!JN22="","",'Raw Data'!JN22)</f>
        <v>0</v>
      </c>
      <c r="KA26" s="15" t="str">
        <f>IF('Raw Data'!JO22="","",'Raw Data'!JO22)</f>
        <v>0</v>
      </c>
      <c r="KB26" s="15" t="str">
        <f>IF('Raw Data'!JP22="","",'Raw Data'!JP22)</f>
        <v>1</v>
      </c>
      <c r="KC26" s="15" t="str">
        <f>IF('Raw Data'!JQ22="","",'Raw Data'!JQ22)</f>
        <v>0</v>
      </c>
      <c r="KD26" s="15" t="str">
        <f>IF('Raw Data'!JR22="","",'Raw Data'!JR22)</f>
        <v>0</v>
      </c>
      <c r="KE26" s="15" t="str">
        <f>IF('Raw Data'!JS22="","",'Raw Data'!JS22)</f>
        <v/>
      </c>
      <c r="KF26" s="15" t="str">
        <f>IF('Raw Data'!JT22="","",'Raw Data'!JT22)</f>
        <v>medical Psychosocia point_ecoute surete reinsertion</v>
      </c>
      <c r="KG26" s="15" t="str">
        <f>IF('Raw Data'!JU22="","",'Raw Data'!JU22)</f>
        <v>1</v>
      </c>
      <c r="KH26" s="15" t="str">
        <f>IF('Raw Data'!JV22="","",'Raw Data'!JV22)</f>
        <v>1</v>
      </c>
      <c r="KI26" s="15" t="str">
        <f>IF('Raw Data'!JW22="","",'Raw Data'!JW22)</f>
        <v>1</v>
      </c>
      <c r="KJ26" s="15" t="str">
        <f>IF('Raw Data'!JX22="","",'Raw Data'!JX22)</f>
        <v>0</v>
      </c>
      <c r="KK26" s="15" t="str">
        <f>IF('Raw Data'!JY22="","",'Raw Data'!JY22)</f>
        <v>1</v>
      </c>
      <c r="KL26" s="15" t="str">
        <f>IF('Raw Data'!JZ22="","",'Raw Data'!JZ22)</f>
        <v>1</v>
      </c>
      <c r="KM26" s="15" t="str">
        <f>IF('Raw Data'!KA22="","",'Raw Data'!KA22)</f>
        <v>0</v>
      </c>
      <c r="KN26" s="15" t="str">
        <f>IF('Raw Data'!KB22="","",'Raw Data'!KB22)</f>
        <v>0</v>
      </c>
      <c r="KO26" s="15" t="str">
        <f>IF('Raw Data'!KC22="","",'Raw Data'!KC22)</f>
        <v>0</v>
      </c>
      <c r="KP26" s="15" t="str">
        <f>IF('Raw Data'!KD22="","",'Raw Data'!KD22)</f>
        <v/>
      </c>
      <c r="KQ26" s="15" t="str">
        <f>IF('Raw Data'!KE22="","",'Raw Data'!KE22)</f>
        <v/>
      </c>
      <c r="KR26" s="15" t="str">
        <f>IF('Raw Data'!KF22="","",'Raw Data'!KF22)</f>
        <v>oui</v>
      </c>
      <c r="KS26" s="15" t="str">
        <f>IF('Raw Data'!KG22="","",'Raw Data'!KG22)</f>
        <v>manque_moyens manque_d'information manque_personnes tensions_locales manque_cordination</v>
      </c>
      <c r="KT26" s="15" t="str">
        <f>IF('Raw Data'!KH22="","",'Raw Data'!KH22)</f>
        <v>1</v>
      </c>
      <c r="KU26" s="15" t="str">
        <f>IF('Raw Data'!KI22="","",'Raw Data'!KI22)</f>
        <v>1</v>
      </c>
      <c r="KV26" s="15" t="str">
        <f>IF('Raw Data'!KJ22="","",'Raw Data'!KJ22)</f>
        <v>1</v>
      </c>
      <c r="KW26" s="15" t="str">
        <f>IF('Raw Data'!KK22="","",'Raw Data'!KK22)</f>
        <v>0</v>
      </c>
      <c r="KX26" s="15" t="str">
        <f>IF('Raw Data'!KL22="","",'Raw Data'!KL22)</f>
        <v>0</v>
      </c>
      <c r="KY26" s="15" t="str">
        <f>IF('Raw Data'!KM22="","",'Raw Data'!KM22)</f>
        <v>1</v>
      </c>
      <c r="KZ26" s="15" t="str">
        <f>IF('Raw Data'!KN22="","",'Raw Data'!KN22)</f>
        <v>1</v>
      </c>
      <c r="LA26" s="15" t="str">
        <f>IF('Raw Data'!KO22="","",'Raw Data'!KO22)</f>
        <v>0</v>
      </c>
      <c r="LB26" s="15" t="str">
        <f>IF('Raw Data'!KP22="","",'Raw Data'!KP22)</f>
        <v>0</v>
      </c>
      <c r="LC26" s="15" t="str">
        <f>IF('Raw Data'!KQ22="","",'Raw Data'!KQ22)</f>
        <v>0</v>
      </c>
      <c r="LD26" s="15" t="str">
        <f>IF('Raw Data'!KR22="","",'Raw Data'!KR22)</f>
        <v>0</v>
      </c>
      <c r="LE26" s="15" t="str">
        <f>IF('Raw Data'!KS22="","",'Raw Data'!KS22)</f>
        <v/>
      </c>
      <c r="LF26" s="15" t="str">
        <f>IF('Raw Data'!KT22="","",'Raw Data'!KT22)</f>
        <v/>
      </c>
      <c r="LG26" s="15" t="str">
        <f>IF('Raw Data'!KU22="","",'Raw Data'!KU22)</f>
        <v/>
      </c>
      <c r="LH26" s="15" t="str">
        <f>IF('Raw Data'!KV22="","",'Raw Data'!KV22)</f>
        <v/>
      </c>
      <c r="LI26" s="15" t="str">
        <f>IF('Raw Data'!KW22="","",'Raw Data'!KW22)</f>
        <v/>
      </c>
      <c r="LJ26" s="15" t="str">
        <f>IF('Raw Data'!KX22="","",'Raw Data'!KX22)</f>
        <v/>
      </c>
      <c r="LK26" s="15" t="str">
        <f>IF('Raw Data'!KY22="","",'Raw Data'!KY22)</f>
        <v/>
      </c>
      <c r="LL26" s="15" t="str">
        <f>IF('Raw Data'!KZ22="","",'Raw Data'!KZ22)</f>
        <v/>
      </c>
      <c r="LM26" s="15" t="str">
        <f>IF('Raw Data'!LA22="","",'Raw Data'!LA22)</f>
        <v/>
      </c>
      <c r="LN26" s="15" t="str">
        <f>IF('Raw Data'!LB22="","",'Raw Data'!LB22)</f>
        <v>non</v>
      </c>
      <c r="LO26" s="15" t="str">
        <f>IF('Raw Data'!LC22="","",'Raw Data'!LC22)</f>
        <v/>
      </c>
      <c r="LP26" s="15" t="str">
        <f>IF('Raw Data'!LD22="","",'Raw Data'!LD22)</f>
        <v/>
      </c>
      <c r="LQ26" s="15" t="str">
        <f>IF('Raw Data'!LE22="","",'Raw Data'!LE22)</f>
        <v/>
      </c>
      <c r="LR26" s="15" t="str">
        <f>IF('Raw Data'!LF22="","",'Raw Data'!LF22)</f>
        <v/>
      </c>
      <c r="LS26" s="15" t="str">
        <f>IF('Raw Data'!LG22="","",'Raw Data'!LG22)</f>
        <v/>
      </c>
      <c r="LT26" s="15" t="str">
        <f>IF('Raw Data'!LH22="","",'Raw Data'!LH22)</f>
        <v/>
      </c>
      <c r="LU26" s="15" t="str">
        <f>IF('Raw Data'!LI22="","",'Raw Data'!LI22)</f>
        <v/>
      </c>
      <c r="LV26" s="15" t="str">
        <f>IF('Raw Data'!LJ22="","",'Raw Data'!LJ22)</f>
        <v/>
      </c>
      <c r="LW26" s="15" t="str">
        <f>IF('Raw Data'!LK22="","",'Raw Data'!LK22)</f>
        <v/>
      </c>
      <c r="LX26" s="15" t="str">
        <f>IF('Raw Data'!LL22="","",'Raw Data'!LL22)</f>
        <v/>
      </c>
      <c r="LY26" s="15" t="str">
        <f>IF('Raw Data'!LM22="","",'Raw Data'!LM22)</f>
        <v/>
      </c>
      <c r="LZ26" s="15" t="str">
        <f>IF('Raw Data'!LN22="","",'Raw Data'!LN22)</f>
        <v/>
      </c>
      <c r="MA26" s="15" t="str">
        <f>IF('Raw Data'!LO22="","",'Raw Data'!LO22)</f>
        <v/>
      </c>
      <c r="MB26" s="15" t="str">
        <f>IF('Raw Data'!LP22="","",'Raw Data'!LP22)</f>
        <v>oui</v>
      </c>
      <c r="MC26" s="15" t="str">
        <f>IF('Raw Data'!LQ22="","",'Raw Data'!LQ22)</f>
        <v/>
      </c>
      <c r="MD26" s="15" t="str">
        <f>IF('Raw Data'!LR22="","",'Raw Data'!LR22)</f>
        <v>Plan d action</v>
      </c>
      <c r="ME26" s="15">
        <f>IF('Raw Data'!LS22="","",'Raw Data'!LS22)</f>
        <v>169351621</v>
      </c>
      <c r="MF26" s="15" t="str">
        <f>IF('Raw Data'!LT22="","",'Raw Data'!LT22)</f>
        <v>2c45eae5-09b0-45df-aaa6-49943c949afb</v>
      </c>
      <c r="MG26" s="15" t="str">
        <f>IF('Raw Data'!LU22="","",'Raw Data'!LU22)</f>
        <v>2021-04-02T19:01:44</v>
      </c>
      <c r="MH26" s="15" t="str">
        <f>IF('Raw Data'!LV22="","",'Raw Data'!LV22)</f>
        <v/>
      </c>
      <c r="MI26" s="15" t="str">
        <f>IF('Raw Data'!LW22="","",'Raw Data'!LW22)</f>
        <v>[]</v>
      </c>
      <c r="MJ26" s="15" t="str">
        <f>IF('Raw Data'!LX22="","",'Raw Data'!LX22)</f>
        <v>submitted_via_web</v>
      </c>
      <c r="MK26" s="15" t="str">
        <f>IF('Raw Data'!LY22="","",'Raw Data'!LY22)</f>
        <v>reach_niger</v>
      </c>
      <c r="ML26" s="15" t="str">
        <f>IF('Raw Data'!LZ22="","",'Raw Data'!LZ22)</f>
        <v/>
      </c>
      <c r="MM26" s="15">
        <f>IF('Raw Data'!MA22="","",'Raw Data'!MA22)</f>
        <v>22</v>
      </c>
    </row>
    <row r="27" spans="1:351" x14ac:dyDescent="0.3">
      <c r="A27" s="26" t="str">
        <f t="shared" si="0"/>
        <v>5a69afca-39c4-42b3-adf8-6b7e98c35f20</v>
      </c>
      <c r="B27" s="26" t="str">
        <f t="shared" si="1"/>
        <v>tera</v>
      </c>
      <c r="C27" s="26" t="str">
        <f t="shared" si="2"/>
        <v>E</v>
      </c>
      <c r="D27" s="14" t="str">
        <f>IF('Raw Data'!A2="","",'Raw Data'!A2)</f>
        <v>2021-03-31T15:47:17.884+01:00</v>
      </c>
      <c r="E27" s="14" t="str">
        <f>IF('Raw Data'!B2="","",'Raw Data'!B2)</f>
        <v>2021-03-31T16:21:21.778+01:00</v>
      </c>
      <c r="F27" s="30">
        <v>44286.657835648148</v>
      </c>
      <c r="G27" s="30">
        <v>44286.681493055556</v>
      </c>
      <c r="H27" s="29">
        <f>VLOOKUP(A27,Audit[#All],2,FALSE)</f>
        <v>34.07</v>
      </c>
      <c r="I27" s="29">
        <f>VLOOKUP(A27,Audit[#All],3,FALSE)</f>
        <v>34.01</v>
      </c>
      <c r="J27" s="29">
        <f>VLOOKUP(A27,Audit[#All],4,FALSE)</f>
        <v>32.909999999999997</v>
      </c>
      <c r="K27" s="29">
        <f>VLOOKUP(A27,nb_questions[#All],2,FALSE)</f>
        <v>108</v>
      </c>
      <c r="L27" s="29">
        <f t="shared" si="3"/>
        <v>47</v>
      </c>
      <c r="M27" s="14" t="str">
        <f>IF('Raw Data'!C2="","",'Raw Data'!C2)</f>
        <v>2021-03-31</v>
      </c>
      <c r="N27" s="14" t="str">
        <f>IF('Raw Data'!D2="","",'Raw Data'!D2)</f>
        <v/>
      </c>
      <c r="O27" s="14" t="str">
        <f>IF('Raw Data'!E2="","",'Raw Data'!E2)</f>
        <v/>
      </c>
      <c r="P27" s="29" t="str">
        <f>VLOOKUP(A27,code_enqueteurs[#All],3,FALSE)</f>
        <v>E</v>
      </c>
      <c r="Q27" s="29" t="s">
        <v>1650</v>
      </c>
      <c r="R27" s="14" t="str">
        <f>IF('Raw Data'!F2="","",'Raw Data'!F2)</f>
        <v>Homme</v>
      </c>
      <c r="S27" s="15" t="str">
        <f>IF('Raw Data'!G2="","",'Raw Data'!G2)</f>
        <v>tera</v>
      </c>
      <c r="T27" s="15" t="str">
        <f>IF('Raw Data'!H2="","",'Raw Data'!H2)</f>
        <v>tera</v>
      </c>
      <c r="U27" s="15" t="str">
        <f>IF('Raw Data'!I2="","",'Raw Data'!I2)</f>
        <v>carre</v>
      </c>
      <c r="V27" s="15" t="str">
        <f>IF('Raw Data'!J2="","",'Raw Data'!J2)</f>
        <v/>
      </c>
      <c r="W27" s="15" t="str">
        <f>IF('Raw Data'!K2="","",'Raw Data'!K2)</f>
        <v/>
      </c>
      <c r="X27" s="15" t="str">
        <f>IF('Raw Data'!L2="","",'Raw Data'!L2)</f>
        <v/>
      </c>
      <c r="Y27" s="15" t="str">
        <f>IF('Raw Data'!M2="","",'Raw Data'!M2)</f>
        <v/>
      </c>
      <c r="Z27" s="15" t="str">
        <f>IF('Raw Data'!N2="","",'Raw Data'!N2)</f>
        <v/>
      </c>
      <c r="AA27" s="15" t="str">
        <f>IF('Raw Data'!O2="","",'Raw Data'!O2)</f>
        <v/>
      </c>
      <c r="AB27" s="15" t="str">
        <f>IF('Raw Data'!P2="","",'Raw Data'!P2)</f>
        <v/>
      </c>
      <c r="AC27" s="15" t="str">
        <f>IF('Raw Data'!Q2="","",'Raw Data'!Q2)</f>
        <v/>
      </c>
      <c r="AD27" s="15" t="str">
        <f>IF('Raw Data'!R2="","",'Raw Data'!R2)</f>
        <v>Homme</v>
      </c>
      <c r="AE27" s="15" t="str">
        <f>IF('Raw Data'!S2="","",'Raw Data'!S2)</f>
        <v>25</v>
      </c>
      <c r="AF27" s="15" t="str">
        <f>IF('Raw Data'!T2="","",'Raw Data'!T2)</f>
        <v>deplace_interne</v>
      </c>
      <c r="AG27" s="15" t="str">
        <f>IF('Raw Data'!U2="","",'Raw Data'!U2)</f>
        <v/>
      </c>
      <c r="AH27" s="15" t="str">
        <f>IF('Raw Data'!V2="","",'Raw Data'!V2)</f>
        <v/>
      </c>
      <c r="AI27" s="15" t="str">
        <f>IF('Raw Data'!W2="","",'Raw Data'!W2)</f>
        <v/>
      </c>
      <c r="AJ27" s="15" t="str">
        <f>IF('Raw Data'!X2="","",'Raw Data'!X2)</f>
        <v/>
      </c>
      <c r="AK27" s="15" t="str">
        <f>IF('Raw Data'!Y2="","",'Raw Data'!Y2)</f>
        <v/>
      </c>
      <c r="AL27" s="15" t="str">
        <f>IF('Raw Data'!Z2="","",'Raw Data'!Z2)</f>
        <v>niger</v>
      </c>
      <c r="AM27" s="15" t="str">
        <f>IF('Raw Data'!AA2="","",'Raw Data'!AA2)</f>
        <v>tillaberi</v>
      </c>
      <c r="AN27" s="15" t="str">
        <f>IF('Raw Data'!AB2="","",'Raw Data'!AB2)</f>
        <v>tera</v>
      </c>
      <c r="AO27" s="15" t="str">
        <f>IF('Raw Data'!AC2="","",'Raw Data'!AC2)</f>
        <v/>
      </c>
      <c r="AP27" s="15" t="str">
        <f>IF('Raw Data'!AD2="","",'Raw Data'!AD2)</f>
        <v/>
      </c>
      <c r="AQ27" s="15" t="str">
        <f>IF('Raw Data'!AE2="","",'Raw Data'!AE2)</f>
        <v/>
      </c>
      <c r="AR27" s="15" t="str">
        <f>IF('Raw Data'!AF2="","",'Raw Data'!AF2)</f>
        <v/>
      </c>
      <c r="AS27" s="15" t="str">
        <f>IF('Raw Data'!AG2="","",'Raw Data'!AG2)</f>
        <v>oui</v>
      </c>
      <c r="AT27" s="15" t="str">
        <f>IF('Raw Data'!AH2="","",'Raw Data'!AH2)</f>
        <v>Attaques_ecoles_sante extorsions Violences_physique_civils Vols_braquages Kidnapping_Disparitions_forcees</v>
      </c>
      <c r="AU27" s="15" t="str">
        <f>IF('Raw Data'!AI2="","",'Raw Data'!AI2)</f>
        <v>0</v>
      </c>
      <c r="AV27" s="15" t="str">
        <f>IF('Raw Data'!AJ2="","",'Raw Data'!AJ2)</f>
        <v>0</v>
      </c>
      <c r="AW27" s="15" t="str">
        <f>IF('Raw Data'!AK2="","",'Raw Data'!AK2)</f>
        <v>1</v>
      </c>
      <c r="AX27" s="15" t="str">
        <f>IF('Raw Data'!AL2="","",'Raw Data'!AL2)</f>
        <v>1</v>
      </c>
      <c r="AY27" s="15" t="str">
        <f>IF('Raw Data'!AM2="","",'Raw Data'!AM2)</f>
        <v>1</v>
      </c>
      <c r="AZ27" s="15" t="str">
        <f>IF('Raw Data'!AN2="","",'Raw Data'!AN2)</f>
        <v>1</v>
      </c>
      <c r="BA27" s="15" t="str">
        <f>IF('Raw Data'!AO2="","",'Raw Data'!AO2)</f>
        <v>0</v>
      </c>
      <c r="BB27" s="15" t="str">
        <f>IF('Raw Data'!AP2="","",'Raw Data'!AP2)</f>
        <v>1</v>
      </c>
      <c r="BC27" s="15" t="str">
        <f>IF('Raw Data'!AQ2="","",'Raw Data'!AQ2)</f>
        <v>0</v>
      </c>
      <c r="BD27" s="15" t="str">
        <f>IF('Raw Data'!AR2="","",'Raw Data'!AR2)</f>
        <v>0</v>
      </c>
      <c r="BE27" s="15" t="str">
        <f>IF('Raw Data'!AS2="","",'Raw Data'!AS2)</f>
        <v>0</v>
      </c>
      <c r="BF27" s="15" t="str">
        <f>IF('Raw Data'!AT2="","",'Raw Data'!AT2)</f>
        <v>0</v>
      </c>
      <c r="BG27" s="15" t="str">
        <f>IF('Raw Data'!AU2="","",'Raw Data'!AU2)</f>
        <v>0</v>
      </c>
      <c r="BH27" s="15" t="str">
        <f>IF('Raw Data'!AV2="","",'Raw Data'!AV2)</f>
        <v>0</v>
      </c>
      <c r="BI27" s="15" t="str">
        <f>IF('Raw Data'!AW2="","",'Raw Data'!AW2)</f>
        <v/>
      </c>
      <c r="BJ27" s="15" t="str">
        <f>IF('Raw Data'!AX2="","",'Raw Data'!AX2)</f>
        <v>Bebes/Bambins Enfants Filles Femmes_agees Hommes_ages</v>
      </c>
      <c r="BK27" s="15" t="str">
        <f>IF('Raw Data'!AY2="","",'Raw Data'!AY2)</f>
        <v>1</v>
      </c>
      <c r="BL27" s="15" t="str">
        <f>IF('Raw Data'!AZ2="","",'Raw Data'!AZ2)</f>
        <v>1</v>
      </c>
      <c r="BM27" s="15" t="str">
        <f>IF('Raw Data'!BA2="","",'Raw Data'!BA2)</f>
        <v>1</v>
      </c>
      <c r="BN27" s="15" t="str">
        <f>IF('Raw Data'!BB2="","",'Raw Data'!BB2)</f>
        <v>0</v>
      </c>
      <c r="BO27" s="15" t="str">
        <f>IF('Raw Data'!BC2="","",'Raw Data'!BC2)</f>
        <v>0</v>
      </c>
      <c r="BP27" s="15" t="str">
        <f>IF('Raw Data'!BD2="","",'Raw Data'!BD2)</f>
        <v>0</v>
      </c>
      <c r="BQ27" s="15" t="str">
        <f>IF('Raw Data'!BE2="","",'Raw Data'!BE2)</f>
        <v>1</v>
      </c>
      <c r="BR27" s="15" t="str">
        <f>IF('Raw Data'!BF2="","",'Raw Data'!BF2)</f>
        <v>1</v>
      </c>
      <c r="BS27" s="15" t="str">
        <f>IF('Raw Data'!BG2="","",'Raw Data'!BG2)</f>
        <v>0</v>
      </c>
      <c r="BT27" s="15" t="str">
        <f>IF('Raw Data'!BH2="","",'Raw Data'!BH2)</f>
        <v>0</v>
      </c>
      <c r="BU27" s="15" t="str">
        <f>IF('Raw Data'!BI2="","",'Raw Data'!BI2)</f>
        <v>0</v>
      </c>
      <c r="BV27" s="15" t="str">
        <f>IF('Raw Data'!BJ2="","",'Raw Data'!BJ2)</f>
        <v>0</v>
      </c>
      <c r="BW27" s="15" t="str">
        <f>IF('Raw Data'!BK2="","",'Raw Data'!BK2)</f>
        <v>0</v>
      </c>
      <c r="BX27" s="15" t="str">
        <f>IF('Raw Data'!BL2="","",'Raw Data'!BL2)</f>
        <v>0</v>
      </c>
      <c r="BY27" s="15" t="str">
        <f>IF('Raw Data'!BM2="","",'Raw Data'!BM2)</f>
        <v/>
      </c>
      <c r="BZ27" s="15" t="str">
        <f>IF('Raw Data'!BN2="","",'Raw Data'!BN2)</f>
        <v>4</v>
      </c>
      <c r="CA27" s="15" t="str">
        <f>IF('Raw Data'!BO2="","",'Raw Data'!BO2)</f>
        <v>augmente</v>
      </c>
      <c r="CB27" s="15" t="str">
        <f>IF('Raw Data'!BP2="","",'Raw Data'!BP2)</f>
        <v/>
      </c>
      <c r="CC27" s="15" t="str">
        <f>IF('Raw Data'!BQ2="","",'Raw Data'!BQ2)</f>
        <v>oui</v>
      </c>
      <c r="CD27" s="15" t="str">
        <f>IF('Raw Data'!BR2="","",'Raw Data'!BR2)</f>
        <v>agression_physique travail_force exploitations_enfant menace enscrimination_acces_services</v>
      </c>
      <c r="CE27" s="15" t="str">
        <f>IF('Raw Data'!BS2="","",'Raw Data'!BS2)</f>
        <v>0</v>
      </c>
      <c r="CF27" s="15" t="str">
        <f>IF('Raw Data'!BT2="","",'Raw Data'!BT2)</f>
        <v>0</v>
      </c>
      <c r="CG27" s="15" t="str">
        <f>IF('Raw Data'!BU2="","",'Raw Data'!BU2)</f>
        <v>1</v>
      </c>
      <c r="CH27" s="15" t="str">
        <f>IF('Raw Data'!BV2="","",'Raw Data'!BV2)</f>
        <v>0</v>
      </c>
      <c r="CI27" s="15" t="str">
        <f>IF('Raw Data'!BW2="","",'Raw Data'!BW2)</f>
        <v>0</v>
      </c>
      <c r="CJ27" s="15" t="str">
        <f>IF('Raw Data'!BX2="","",'Raw Data'!BX2)</f>
        <v>0</v>
      </c>
      <c r="CK27" s="15" t="str">
        <f>IF('Raw Data'!BY2="","",'Raw Data'!BY2)</f>
        <v>1</v>
      </c>
      <c r="CL27" s="15" t="str">
        <f>IF('Raw Data'!BZ2="","",'Raw Data'!BZ2)</f>
        <v>0</v>
      </c>
      <c r="CM27" s="15" t="str">
        <f>IF('Raw Data'!CA2="","",'Raw Data'!CA2)</f>
        <v>1</v>
      </c>
      <c r="CN27" s="15" t="str">
        <f>IF('Raw Data'!CB2="","",'Raw Data'!CB2)</f>
        <v>0</v>
      </c>
      <c r="CO27" s="15" t="str">
        <f>IF('Raw Data'!CC2="","",'Raw Data'!CC2)</f>
        <v>1</v>
      </c>
      <c r="CP27" s="15" t="str">
        <f>IF('Raw Data'!CD2="","",'Raw Data'!CD2)</f>
        <v>1</v>
      </c>
      <c r="CQ27" s="15" t="str">
        <f>IF('Raw Data'!CE2="","",'Raw Data'!CE2)</f>
        <v>0</v>
      </c>
      <c r="CR27" s="15" t="str">
        <f>IF('Raw Data'!CF2="","",'Raw Data'!CF2)</f>
        <v>0</v>
      </c>
      <c r="CS27" s="15" t="str">
        <f>IF('Raw Data'!CG2="","",'Raw Data'!CG2)</f>
        <v>0</v>
      </c>
      <c r="CT27" s="15" t="str">
        <f>IF('Raw Data'!CH2="","",'Raw Data'!CH2)</f>
        <v/>
      </c>
      <c r="CU27" s="15" t="str">
        <f>IF('Raw Data'!CI2="","",'Raw Data'!CI2)</f>
        <v>Bebes/Bambins Enfants Filles Femmes_agees Hommes_ages</v>
      </c>
      <c r="CV27" s="15" t="str">
        <f>IF('Raw Data'!CJ2="","",'Raw Data'!CJ2)</f>
        <v>1</v>
      </c>
      <c r="CW27" s="15" t="str">
        <f>IF('Raw Data'!CK2="","",'Raw Data'!CK2)</f>
        <v>1</v>
      </c>
      <c r="CX27" s="15" t="str">
        <f>IF('Raw Data'!CL2="","",'Raw Data'!CL2)</f>
        <v>1</v>
      </c>
      <c r="CY27" s="15" t="str">
        <f>IF('Raw Data'!CM2="","",'Raw Data'!CM2)</f>
        <v>0</v>
      </c>
      <c r="CZ27" s="15" t="str">
        <f>IF('Raw Data'!CN2="","",'Raw Data'!CN2)</f>
        <v>0</v>
      </c>
      <c r="DA27" s="15" t="str">
        <f>IF('Raw Data'!CO2="","",'Raw Data'!CO2)</f>
        <v>0</v>
      </c>
      <c r="DB27" s="15" t="str">
        <f>IF('Raw Data'!CP2="","",'Raw Data'!CP2)</f>
        <v>1</v>
      </c>
      <c r="DC27" s="15" t="str">
        <f>IF('Raw Data'!CQ2="","",'Raw Data'!CQ2)</f>
        <v>1</v>
      </c>
      <c r="DD27" s="15" t="str">
        <f>IF('Raw Data'!CR2="","",'Raw Data'!CR2)</f>
        <v>0</v>
      </c>
      <c r="DE27" s="15" t="str">
        <f>IF('Raw Data'!CS2="","",'Raw Data'!CS2)</f>
        <v>0</v>
      </c>
      <c r="DF27" s="15" t="str">
        <f>IF('Raw Data'!CT2="","",'Raw Data'!CT2)</f>
        <v>0</v>
      </c>
      <c r="DG27" s="15" t="str">
        <f>IF('Raw Data'!CU2="","",'Raw Data'!CU2)</f>
        <v>0</v>
      </c>
      <c r="DH27" s="15" t="str">
        <f>IF('Raw Data'!CV2="","",'Raw Data'!CV2)</f>
        <v>0</v>
      </c>
      <c r="DI27" s="15" t="str">
        <f>IF('Raw Data'!CW2="","",'Raw Data'!CW2)</f>
        <v>0</v>
      </c>
      <c r="DJ27" s="15" t="str">
        <f>IF('Raw Data'!CX2="","",'Raw Data'!CX2)</f>
        <v/>
      </c>
      <c r="DK27" s="15" t="str">
        <f>IF('Raw Data'!CY2="","",'Raw Data'!CY2)</f>
        <v>4</v>
      </c>
      <c r="DL27" s="15" t="str">
        <f>IF('Raw Data'!CZ2="","",'Raw Data'!CZ2)</f>
        <v>augmente</v>
      </c>
      <c r="DM27" s="15" t="str">
        <f>IF('Raw Data'!DA2="","",'Raw Data'!DA2)</f>
        <v/>
      </c>
      <c r="DN27" s="15" t="str">
        <f>IF('Raw Data'!DB2="","",'Raw Data'!DB2)</f>
        <v>diminution_moyens_existence deterioration_con_abris hausse_chomeurs</v>
      </c>
      <c r="DO27" s="15" t="str">
        <f>IF('Raw Data'!DC2="","",'Raw Data'!DC2)</f>
        <v>1</v>
      </c>
      <c r="DP27" s="15" t="str">
        <f>IF('Raw Data'!DD2="","",'Raw Data'!DD2)</f>
        <v>1</v>
      </c>
      <c r="DQ27" s="15" t="str">
        <f>IF('Raw Data'!DE2="","",'Raw Data'!DE2)</f>
        <v>0</v>
      </c>
      <c r="DR27" s="15" t="str">
        <f>IF('Raw Data'!DF2="","",'Raw Data'!DF2)</f>
        <v>0</v>
      </c>
      <c r="DS27" s="15" t="str">
        <f>IF('Raw Data'!DG2="","",'Raw Data'!DG2)</f>
        <v>0</v>
      </c>
      <c r="DT27" s="15" t="str">
        <f>IF('Raw Data'!DH2="","",'Raw Data'!DH2)</f>
        <v>0</v>
      </c>
      <c r="DU27" s="15" t="str">
        <f>IF('Raw Data'!DI2="","",'Raw Data'!DI2)</f>
        <v>1</v>
      </c>
      <c r="DV27" s="15" t="str">
        <f>IF('Raw Data'!DJ2="","",'Raw Data'!DJ2)</f>
        <v>0</v>
      </c>
      <c r="DW27" s="15" t="str">
        <f>IF('Raw Data'!DK2="","",'Raw Data'!DK2)</f>
        <v>0</v>
      </c>
      <c r="DX27" s="15" t="str">
        <f>IF('Raw Data'!DL2="","",'Raw Data'!DL2)</f>
        <v>0</v>
      </c>
      <c r="DY27" s="15" t="str">
        <f>IF('Raw Data'!DM2="","",'Raw Data'!DM2)</f>
        <v/>
      </c>
      <c r="DZ27" s="15" t="str">
        <f>IF('Raw Data'!DN2="","",'Raw Data'!DN2)</f>
        <v/>
      </c>
      <c r="EA27" s="15" t="str">
        <f>IF('Raw Data'!DO2="","",'Raw Data'!DO2)</f>
        <v/>
      </c>
      <c r="EB27" s="15" t="str">
        <f>IF('Raw Data'!DP2="","",'Raw Data'!DP2)</f>
        <v/>
      </c>
      <c r="EC27" s="15" t="str">
        <f>IF('Raw Data'!DQ2="","",'Raw Data'!DQ2)</f>
        <v/>
      </c>
      <c r="ED27" s="15" t="str">
        <f>IF('Raw Data'!DR2="","",'Raw Data'!DR2)</f>
        <v/>
      </c>
      <c r="EE27" s="15" t="str">
        <f>IF('Raw Data'!DS2="","",'Raw Data'!DS2)</f>
        <v/>
      </c>
      <c r="EF27" s="15" t="str">
        <f>IF('Raw Data'!DT2="","",'Raw Data'!DT2)</f>
        <v/>
      </c>
      <c r="EG27" s="15" t="str">
        <f>IF('Raw Data'!DU2="","",'Raw Data'!DU2)</f>
        <v/>
      </c>
      <c r="EH27" s="15" t="str">
        <f>IF('Raw Data'!DV2="","",'Raw Data'!DV2)</f>
        <v/>
      </c>
      <c r="EI27" s="15" t="str">
        <f>IF('Raw Data'!DW2="","",'Raw Data'!DW2)</f>
        <v/>
      </c>
      <c r="EJ27" s="15" t="str">
        <f>IF('Raw Data'!DX2="","",'Raw Data'!DX2)</f>
        <v/>
      </c>
      <c r="EK27" s="15" t="str">
        <f>IF('Raw Data'!DY2="","",'Raw Data'!DY2)</f>
        <v/>
      </c>
      <c r="EL27" s="15" t="str">
        <f>IF('Raw Data'!DZ2="","",'Raw Data'!DZ2)</f>
        <v>Soutien_famille_amis dplct_abords_com Integration_com_hote</v>
      </c>
      <c r="EM27" s="15" t="str">
        <f>IF('Raw Data'!EA2="","",'Raw Data'!EA2)</f>
        <v>1</v>
      </c>
      <c r="EN27" s="15" t="str">
        <f>IF('Raw Data'!EB2="","",'Raw Data'!EB2)</f>
        <v>1</v>
      </c>
      <c r="EO27" s="15" t="str">
        <f>IF('Raw Data'!EC2="","",'Raw Data'!EC2)</f>
        <v>1</v>
      </c>
      <c r="EP27" s="15" t="str">
        <f>IF('Raw Data'!ED2="","",'Raw Data'!ED2)</f>
        <v>0</v>
      </c>
      <c r="EQ27" s="15" t="str">
        <f>IF('Raw Data'!EE2="","",'Raw Data'!EE2)</f>
        <v>0</v>
      </c>
      <c r="ER27" s="15" t="str">
        <f>IF('Raw Data'!EF2="","",'Raw Data'!EF2)</f>
        <v>0</v>
      </c>
      <c r="ES27" s="15" t="str">
        <f>IF('Raw Data'!EG2="","",'Raw Data'!EG2)</f>
        <v>0</v>
      </c>
      <c r="ET27" s="15" t="str">
        <f>IF('Raw Data'!EH2="","",'Raw Data'!EH2)</f>
        <v>0</v>
      </c>
      <c r="EU27" s="15" t="str">
        <f>IF('Raw Data'!EI2="","",'Raw Data'!EI2)</f>
        <v>0</v>
      </c>
      <c r="EV27" s="15" t="str">
        <f>IF('Raw Data'!EJ2="","",'Raw Data'!EJ2)</f>
        <v/>
      </c>
      <c r="EW27" s="15" t="str">
        <f>IF('Raw Data'!EK2="","",'Raw Data'!EK2)</f>
        <v/>
      </c>
      <c r="EX27" s="15" t="str">
        <f>IF('Raw Data'!EL2="","",'Raw Data'!EL2)</f>
        <v>famille_accueil comite_redevabilite femmes_elite</v>
      </c>
      <c r="EY27" s="15" t="str">
        <f>IF('Raw Data'!EM2="","",'Raw Data'!EM2)</f>
        <v>1</v>
      </c>
      <c r="EZ27" s="15" t="str">
        <f>IF('Raw Data'!EN2="","",'Raw Data'!EN2)</f>
        <v>0</v>
      </c>
      <c r="FA27" s="15" t="str">
        <f>IF('Raw Data'!EO2="","",'Raw Data'!EO2)</f>
        <v>1</v>
      </c>
      <c r="FB27" s="15" t="str">
        <f>IF('Raw Data'!EP2="","",'Raw Data'!EP2)</f>
        <v>0</v>
      </c>
      <c r="FC27" s="15" t="str">
        <f>IF('Raw Data'!EQ2="","",'Raw Data'!EQ2)</f>
        <v>1</v>
      </c>
      <c r="FD27" s="15" t="str">
        <f>IF('Raw Data'!ER2="","",'Raw Data'!ER2)</f>
        <v>0</v>
      </c>
      <c r="FE27" s="15" t="str">
        <f>IF('Raw Data'!ES2="","",'Raw Data'!ES2)</f>
        <v>0</v>
      </c>
      <c r="FF27" s="15" t="str">
        <f>IF('Raw Data'!ET2="","",'Raw Data'!ET2)</f>
        <v>0</v>
      </c>
      <c r="FG27" s="15" t="str">
        <f>IF('Raw Data'!EU2="","",'Raw Data'!EU2)</f>
        <v>0</v>
      </c>
      <c r="FH27" s="15" t="str">
        <f>IF('Raw Data'!EV2="","",'Raw Data'!EV2)</f>
        <v>0</v>
      </c>
      <c r="FI27" s="15" t="str">
        <f>IF('Raw Data'!EW2="","",'Raw Data'!EW2)</f>
        <v/>
      </c>
      <c r="FJ27" s="15" t="str">
        <f>IF('Raw Data'!EX2="","",'Raw Data'!EX2)</f>
        <v>oui</v>
      </c>
      <c r="FK27" s="15" t="str">
        <f>IF('Raw Data'!EY2="","",'Raw Data'!EY2)</f>
        <v>famille_amis Differents_comites_villageois manif_sociales Chef_village</v>
      </c>
      <c r="FL27" s="15" t="str">
        <f>IF('Raw Data'!EZ2="","",'Raw Data'!EZ2)</f>
        <v>0</v>
      </c>
      <c r="FM27" s="15" t="str">
        <f>IF('Raw Data'!FA2="","",'Raw Data'!FA2)</f>
        <v>0</v>
      </c>
      <c r="FN27" s="15" t="str">
        <f>IF('Raw Data'!FB2="","",'Raw Data'!FB2)</f>
        <v>0</v>
      </c>
      <c r="FO27" s="15" t="str">
        <f>IF('Raw Data'!FC2="","",'Raw Data'!FC2)</f>
        <v>1</v>
      </c>
      <c r="FP27" s="15" t="str">
        <f>IF('Raw Data'!FD2="","",'Raw Data'!FD2)</f>
        <v>1</v>
      </c>
      <c r="FQ27" s="15" t="str">
        <f>IF('Raw Data'!FE2="","",'Raw Data'!FE2)</f>
        <v>1</v>
      </c>
      <c r="FR27" s="15" t="str">
        <f>IF('Raw Data'!FF2="","",'Raw Data'!FF2)</f>
        <v>0</v>
      </c>
      <c r="FS27" s="15" t="str">
        <f>IF('Raw Data'!FG2="","",'Raw Data'!FG2)</f>
        <v>0</v>
      </c>
      <c r="FT27" s="15" t="str">
        <f>IF('Raw Data'!FH2="","",'Raw Data'!FH2)</f>
        <v>1</v>
      </c>
      <c r="FU27" s="15" t="str">
        <f>IF('Raw Data'!FI2="","",'Raw Data'!FI2)</f>
        <v>0</v>
      </c>
      <c r="FV27" s="15" t="str">
        <f>IF('Raw Data'!FJ2="","",'Raw Data'!FJ2)</f>
        <v>0</v>
      </c>
      <c r="FW27" s="15" t="str">
        <f>IF('Raw Data'!FK2="","",'Raw Data'!FK2)</f>
        <v>0</v>
      </c>
      <c r="FX27" s="15" t="str">
        <f>IF('Raw Data'!FL2="","",'Raw Data'!FL2)</f>
        <v>0</v>
      </c>
      <c r="FY27" s="15" t="str">
        <f>IF('Raw Data'!FM2="","",'Raw Data'!FM2)</f>
        <v>0</v>
      </c>
      <c r="FZ27" s="15" t="str">
        <f>IF('Raw Data'!FN2="","",'Raw Data'!FN2)</f>
        <v/>
      </c>
      <c r="GA27" s="15" t="str">
        <f>IF('Raw Data'!FO2="","",'Raw Data'!FO2)</f>
        <v>oui_minorite</v>
      </c>
      <c r="GB27" s="15" t="str">
        <f>IF('Raw Data'!FP2="","",'Raw Data'!FP2)</f>
        <v>oui_minorite</v>
      </c>
      <c r="GC27" s="15" t="str">
        <f>IF('Raw Data'!FQ2="","",'Raw Data'!FQ2)</f>
        <v>manque_info trop_du_monde insecurite</v>
      </c>
      <c r="GD27" s="15" t="str">
        <f>IF('Raw Data'!FR2="","",'Raw Data'!FR2)</f>
        <v>0</v>
      </c>
      <c r="GE27" s="15" t="str">
        <f>IF('Raw Data'!FS2="","",'Raw Data'!FS2)</f>
        <v>1</v>
      </c>
      <c r="GF27" s="15" t="str">
        <f>IF('Raw Data'!FT2="","",'Raw Data'!FT2)</f>
        <v>0</v>
      </c>
      <c r="GG27" s="15" t="str">
        <f>IF('Raw Data'!FU2="","",'Raw Data'!FU2)</f>
        <v>0</v>
      </c>
      <c r="GH27" s="15" t="str">
        <f>IF('Raw Data'!FV2="","",'Raw Data'!FV2)</f>
        <v>1</v>
      </c>
      <c r="GI27" s="15" t="str">
        <f>IF('Raw Data'!FW2="","",'Raw Data'!FW2)</f>
        <v>1</v>
      </c>
      <c r="GJ27" s="15" t="str">
        <f>IF('Raw Data'!FX2="","",'Raw Data'!FX2)</f>
        <v>0</v>
      </c>
      <c r="GK27" s="15" t="str">
        <f>IF('Raw Data'!FY2="","",'Raw Data'!FY2)</f>
        <v>0</v>
      </c>
      <c r="GL27" s="15" t="str">
        <f>IF('Raw Data'!FZ2="","",'Raw Data'!FZ2)</f>
        <v/>
      </c>
      <c r="GM27" s="15" t="str">
        <f>IF('Raw Data'!GA2="","",'Raw Data'!GA2)</f>
        <v>minorite</v>
      </c>
      <c r="GN27" s="15" t="str">
        <f>IF('Raw Data'!GB2="","",'Raw Data'!GB2)</f>
        <v>minorite</v>
      </c>
      <c r="GO27" s="15" t="str">
        <f>IF('Raw Data'!GC2="","",'Raw Data'!GC2)</f>
        <v>Service_de_counseling Appui_psychosocial Education Services_de_sante</v>
      </c>
      <c r="GP27" s="15" t="str">
        <f>IF('Raw Data'!GD2="","",'Raw Data'!GD2)</f>
        <v>1</v>
      </c>
      <c r="GQ27" s="15" t="str">
        <f>IF('Raw Data'!GE2="","",'Raw Data'!GE2)</f>
        <v>1</v>
      </c>
      <c r="GR27" s="15" t="str">
        <f>IF('Raw Data'!GF2="","",'Raw Data'!GF2)</f>
        <v>1</v>
      </c>
      <c r="GS27" s="15" t="str">
        <f>IF('Raw Data'!GG2="","",'Raw Data'!GG2)</f>
        <v>1</v>
      </c>
      <c r="GT27" s="15" t="str">
        <f>IF('Raw Data'!GH2="","",'Raw Data'!GH2)</f>
        <v>0</v>
      </c>
      <c r="GU27" s="15" t="str">
        <f>IF('Raw Data'!GI2="","",'Raw Data'!GI2)</f>
        <v>0</v>
      </c>
      <c r="GV27" s="15" t="str">
        <f>IF('Raw Data'!GJ2="","",'Raw Data'!GJ2)</f>
        <v>0</v>
      </c>
      <c r="GW27" s="15" t="str">
        <f>IF('Raw Data'!GK2="","",'Raw Data'!GK2)</f>
        <v>0</v>
      </c>
      <c r="GX27" s="15" t="str">
        <f>IF('Raw Data'!GL2="","",'Raw Data'!GL2)</f>
        <v>0</v>
      </c>
      <c r="GY27" s="15" t="str">
        <f>IF('Raw Data'!GM2="","",'Raw Data'!GM2)</f>
        <v/>
      </c>
      <c r="GZ27" s="15" t="str">
        <f>IF('Raw Data'!GN2="","",'Raw Data'!GN2)</f>
        <v>oui_minorite</v>
      </c>
      <c r="HA27" s="15" t="str">
        <f>IF('Raw Data'!GO2="","",'Raw Data'!GO2)</f>
        <v>oui_minorite</v>
      </c>
      <c r="HB27" s="15" t="str">
        <f>IF('Raw Data'!GP2="","",'Raw Data'!GP2)</f>
        <v>diminution_tensions permet_eviter_conflits amelioration_futur</v>
      </c>
      <c r="HC27" s="15" t="str">
        <f>IF('Raw Data'!GQ2="","",'Raw Data'!GQ2)</f>
        <v>1</v>
      </c>
      <c r="HD27" s="15" t="str">
        <f>IF('Raw Data'!GR2="","",'Raw Data'!GR2)</f>
        <v>0</v>
      </c>
      <c r="HE27" s="15" t="str">
        <f>IF('Raw Data'!GS2="","",'Raw Data'!GS2)</f>
        <v>0</v>
      </c>
      <c r="HF27" s="15" t="str">
        <f>IF('Raw Data'!GT2="","",'Raw Data'!GT2)</f>
        <v>1</v>
      </c>
      <c r="HG27" s="15" t="str">
        <f>IF('Raw Data'!GU2="","",'Raw Data'!GU2)</f>
        <v>0</v>
      </c>
      <c r="HH27" s="15" t="str">
        <f>IF('Raw Data'!GV2="","",'Raw Data'!GV2)</f>
        <v>1</v>
      </c>
      <c r="HI27" s="15" t="str">
        <f>IF('Raw Data'!GW2="","",'Raw Data'!GW2)</f>
        <v>0</v>
      </c>
      <c r="HJ27" s="15" t="str">
        <f>IF('Raw Data'!GX2="","",'Raw Data'!GX2)</f>
        <v>0</v>
      </c>
      <c r="HK27" s="15" t="str">
        <f>IF('Raw Data'!GY2="","",'Raw Data'!GY2)</f>
        <v/>
      </c>
      <c r="HL27" s="15" t="str">
        <f>IF('Raw Data'!GZ2="","",'Raw Data'!GZ2)</f>
        <v>ne_repond_pas ne_contribue_pas non_obtention_info</v>
      </c>
      <c r="HM27" s="15" t="str">
        <f>IF('Raw Data'!HA2="","",'Raw Data'!HA2)</f>
        <v>1</v>
      </c>
      <c r="HN27" s="15" t="str">
        <f>IF('Raw Data'!HB2="","",'Raw Data'!HB2)</f>
        <v>1</v>
      </c>
      <c r="HO27" s="15" t="str">
        <f>IF('Raw Data'!HC2="","",'Raw Data'!HC2)</f>
        <v>1</v>
      </c>
      <c r="HP27" s="15" t="str">
        <f>IF('Raw Data'!HD2="","",'Raw Data'!HD2)</f>
        <v>0</v>
      </c>
      <c r="HQ27" s="15" t="str">
        <f>IF('Raw Data'!HE2="","",'Raw Data'!HE2)</f>
        <v>0</v>
      </c>
      <c r="HR27" s="15" t="str">
        <f>IF('Raw Data'!HF2="","",'Raw Data'!HF2)</f>
        <v>0</v>
      </c>
      <c r="HS27" s="15" t="str">
        <f>IF('Raw Data'!HG2="","",'Raw Data'!HG2)</f>
        <v/>
      </c>
      <c r="HT27" s="15" t="str">
        <f>IF('Raw Data'!HH2="","",'Raw Data'!HH2)</f>
        <v/>
      </c>
      <c r="HU27" s="15" t="str">
        <f>IF('Raw Data'!HI2="","",'Raw Data'!HI2)</f>
        <v>oui_minorite</v>
      </c>
      <c r="HV27" s="15" t="str">
        <f>IF('Raw Data'!HJ2="","",'Raw Data'!HJ2)</f>
        <v>ingo ong_locale autorite_locale_leaders</v>
      </c>
      <c r="HW27" s="15" t="str">
        <f>IF('Raw Data'!HK2="","",'Raw Data'!HK2)</f>
        <v>0</v>
      </c>
      <c r="HX27" s="15" t="str">
        <f>IF('Raw Data'!HL2="","",'Raw Data'!HL2)</f>
        <v>0</v>
      </c>
      <c r="HY27" s="15" t="str">
        <f>IF('Raw Data'!HM2="","",'Raw Data'!HM2)</f>
        <v>1</v>
      </c>
      <c r="HZ27" s="15" t="str">
        <f>IF('Raw Data'!HN2="","",'Raw Data'!HN2)</f>
        <v>0</v>
      </c>
      <c r="IA27" s="15" t="str">
        <f>IF('Raw Data'!HO2="","",'Raw Data'!HO2)</f>
        <v>1</v>
      </c>
      <c r="IB27" s="15" t="str">
        <f>IF('Raw Data'!HP2="","",'Raw Data'!HP2)</f>
        <v>1</v>
      </c>
      <c r="IC27" s="15" t="str">
        <f>IF('Raw Data'!HQ2="","",'Raw Data'!HQ2)</f>
        <v>0</v>
      </c>
      <c r="ID27" s="15" t="str">
        <f>IF('Raw Data'!HR2="","",'Raw Data'!HR2)</f>
        <v>0</v>
      </c>
      <c r="IE27" s="15" t="str">
        <f>IF('Raw Data'!HS2="","",'Raw Data'!HS2)</f>
        <v>0</v>
      </c>
      <c r="IF27" s="15" t="str">
        <f>IF('Raw Data'!HT2="","",'Raw Data'!HT2)</f>
        <v>0</v>
      </c>
      <c r="IG27" s="15" t="str">
        <f>IF('Raw Data'!HU2="","",'Raw Data'!HU2)</f>
        <v/>
      </c>
      <c r="IH27" s="15" t="str">
        <f>IF('Raw Data'!HV2="","",'Raw Data'!HV2)</f>
        <v>oui</v>
      </c>
      <c r="II27" s="15" t="str">
        <f>IF('Raw Data'!HW2="","",'Raw Data'!HW2)</f>
        <v/>
      </c>
      <c r="IJ27" s="15" t="str">
        <f>IF('Raw Data'!HX2="","",'Raw Data'!HX2)</f>
        <v>Bebes/Bambins Enfants Filles Femmes_agees Hommes_ages</v>
      </c>
      <c r="IK27" s="15" t="str">
        <f>IF('Raw Data'!HY2="","",'Raw Data'!HY2)</f>
        <v>1</v>
      </c>
      <c r="IL27" s="15" t="str">
        <f>IF('Raw Data'!HZ2="","",'Raw Data'!HZ2)</f>
        <v>1</v>
      </c>
      <c r="IM27" s="15" t="str">
        <f>IF('Raw Data'!IA2="","",'Raw Data'!IA2)</f>
        <v>1</v>
      </c>
      <c r="IN27" s="15" t="str">
        <f>IF('Raw Data'!IB2="","",'Raw Data'!IB2)</f>
        <v>0</v>
      </c>
      <c r="IO27" s="15" t="str">
        <f>IF('Raw Data'!IC2="","",'Raw Data'!IC2)</f>
        <v>0</v>
      </c>
      <c r="IP27" s="15" t="str">
        <f>IF('Raw Data'!ID2="","",'Raw Data'!ID2)</f>
        <v>0</v>
      </c>
      <c r="IQ27" s="15" t="str">
        <f>IF('Raw Data'!IE2="","",'Raw Data'!IE2)</f>
        <v>1</v>
      </c>
      <c r="IR27" s="15" t="str">
        <f>IF('Raw Data'!IF2="","",'Raw Data'!IF2)</f>
        <v>1</v>
      </c>
      <c r="IS27" s="15" t="str">
        <f>IF('Raw Data'!IG2="","",'Raw Data'!IG2)</f>
        <v>0</v>
      </c>
      <c r="IT27" s="15" t="str">
        <f>IF('Raw Data'!IH2="","",'Raw Data'!IH2)</f>
        <v>0</v>
      </c>
      <c r="IU27" s="15" t="str">
        <f>IF('Raw Data'!II2="","",'Raw Data'!II2)</f>
        <v>0</v>
      </c>
      <c r="IV27" s="15" t="str">
        <f>IF('Raw Data'!IJ2="","",'Raw Data'!IJ2)</f>
        <v>0</v>
      </c>
      <c r="IW27" s="15" t="str">
        <f>IF('Raw Data'!IK2="","",'Raw Data'!IK2)</f>
        <v>0</v>
      </c>
      <c r="IX27" s="15" t="str">
        <f>IF('Raw Data'!IL2="","",'Raw Data'!IL2)</f>
        <v>0</v>
      </c>
      <c r="IY27" s="15" t="str">
        <f>IF('Raw Data'!IM2="","",'Raw Data'!IM2)</f>
        <v/>
      </c>
      <c r="IZ27" s="15" t="str">
        <f>IF('Raw Data'!IN2="","",'Raw Data'!IN2)</f>
        <v>10</v>
      </c>
      <c r="JA27" s="15" t="str">
        <f>IF('Raw Data'!IO2="","",'Raw Data'!IO2)</f>
        <v>Services_medicaux Services_educatifs Services_conseil acces_docs Appui_psychosocial</v>
      </c>
      <c r="JB27" s="15" t="str">
        <f>IF('Raw Data'!IP2="","",'Raw Data'!IP2)</f>
        <v>1</v>
      </c>
      <c r="JC27" s="15" t="str">
        <f>IF('Raw Data'!IQ2="","",'Raw Data'!IQ2)</f>
        <v>1</v>
      </c>
      <c r="JD27" s="15" t="str">
        <f>IF('Raw Data'!IR2="","",'Raw Data'!IR2)</f>
        <v>1</v>
      </c>
      <c r="JE27" s="15" t="str">
        <f>IF('Raw Data'!IS2="","",'Raw Data'!IS2)</f>
        <v>1</v>
      </c>
      <c r="JF27" s="15" t="str">
        <f>IF('Raw Data'!IT2="","",'Raw Data'!IT2)</f>
        <v>1</v>
      </c>
      <c r="JG27" s="15" t="str">
        <f>IF('Raw Data'!IU2="","",'Raw Data'!IU2)</f>
        <v>0</v>
      </c>
      <c r="JH27" s="15" t="str">
        <f>IF('Raw Data'!IV2="","",'Raw Data'!IV2)</f>
        <v>0</v>
      </c>
      <c r="JI27" s="15" t="str">
        <f>IF('Raw Data'!IW2="","",'Raw Data'!IW2)</f>
        <v>0</v>
      </c>
      <c r="JJ27" s="15" t="str">
        <f>IF('Raw Data'!IX2="","",'Raw Data'!IX2)</f>
        <v>0</v>
      </c>
      <c r="JK27" s="15" t="str">
        <f>IF('Raw Data'!IY2="","",'Raw Data'!IY2)</f>
        <v>0</v>
      </c>
      <c r="JL27" s="15" t="str">
        <f>IF('Raw Data'!IZ2="","",'Raw Data'!IZ2)</f>
        <v/>
      </c>
      <c r="JM27" s="15" t="str">
        <f>IF('Raw Data'!JA2="","",'Raw Data'!JA2)</f>
        <v>reorientation prise_enchage signalement</v>
      </c>
      <c r="JN27" s="15" t="str">
        <f>IF('Raw Data'!JB2="","",'Raw Data'!JB2)</f>
        <v>1</v>
      </c>
      <c r="JO27" s="15" t="str">
        <f>IF('Raw Data'!JC2="","",'Raw Data'!JC2)</f>
        <v>1</v>
      </c>
      <c r="JP27" s="15" t="str">
        <f>IF('Raw Data'!JD2="","",'Raw Data'!JD2)</f>
        <v>1</v>
      </c>
      <c r="JQ27" s="15" t="str">
        <f>IF('Raw Data'!JE2="","",'Raw Data'!JE2)</f>
        <v>0</v>
      </c>
      <c r="JR27" s="15" t="str">
        <f>IF('Raw Data'!JF2="","",'Raw Data'!JF2)</f>
        <v>0</v>
      </c>
      <c r="JS27" s="15" t="str">
        <f>IF('Raw Data'!JG2="","",'Raw Data'!JG2)</f>
        <v>0</v>
      </c>
      <c r="JT27" s="15" t="str">
        <f>IF('Raw Data'!JH2="","",'Raw Data'!JH2)</f>
        <v/>
      </c>
      <c r="JU27" s="15" t="str">
        <f>IF('Raw Data'!JI2="","",'Raw Data'!JI2)</f>
        <v>surete centre_formation Psychosocia medical point_ecoute</v>
      </c>
      <c r="JV27" s="15" t="str">
        <f>IF('Raw Data'!JJ2="","",'Raw Data'!JJ2)</f>
        <v>1</v>
      </c>
      <c r="JW27" s="15" t="str">
        <f>IF('Raw Data'!JK2="","",'Raw Data'!JK2)</f>
        <v>1</v>
      </c>
      <c r="JX27" s="15" t="str">
        <f>IF('Raw Data'!JL2="","",'Raw Data'!JL2)</f>
        <v>1</v>
      </c>
      <c r="JY27" s="15" t="str">
        <f>IF('Raw Data'!JM2="","",'Raw Data'!JM2)</f>
        <v>0</v>
      </c>
      <c r="JZ27" s="15" t="str">
        <f>IF('Raw Data'!JN2="","",'Raw Data'!JN2)</f>
        <v>1</v>
      </c>
      <c r="KA27" s="15" t="str">
        <f>IF('Raw Data'!JO2="","",'Raw Data'!JO2)</f>
        <v>0</v>
      </c>
      <c r="KB27" s="15" t="str">
        <f>IF('Raw Data'!JP2="","",'Raw Data'!JP2)</f>
        <v>1</v>
      </c>
      <c r="KC27" s="15" t="str">
        <f>IF('Raw Data'!JQ2="","",'Raw Data'!JQ2)</f>
        <v>0</v>
      </c>
      <c r="KD27" s="15" t="str">
        <f>IF('Raw Data'!JR2="","",'Raw Data'!JR2)</f>
        <v>0</v>
      </c>
      <c r="KE27" s="15" t="str">
        <f>IF('Raw Data'!JS2="","",'Raw Data'!JS2)</f>
        <v/>
      </c>
      <c r="KF27" s="15" t="str">
        <f>IF('Raw Data'!JT2="","",'Raw Data'!JT2)</f>
        <v>medical Psychosocia surete centre_formation point_ecoute</v>
      </c>
      <c r="KG27" s="15" t="str">
        <f>IF('Raw Data'!JU2="","",'Raw Data'!JU2)</f>
        <v>1</v>
      </c>
      <c r="KH27" s="15" t="str">
        <f>IF('Raw Data'!JV2="","",'Raw Data'!JV2)</f>
        <v>1</v>
      </c>
      <c r="KI27" s="15" t="str">
        <f>IF('Raw Data'!JW2="","",'Raw Data'!JW2)</f>
        <v>1</v>
      </c>
      <c r="KJ27" s="15" t="str">
        <f>IF('Raw Data'!JX2="","",'Raw Data'!JX2)</f>
        <v>0</v>
      </c>
      <c r="KK27" s="15" t="str">
        <f>IF('Raw Data'!JY2="","",'Raw Data'!JY2)</f>
        <v>1</v>
      </c>
      <c r="KL27" s="15" t="str">
        <f>IF('Raw Data'!JZ2="","",'Raw Data'!JZ2)</f>
        <v>0</v>
      </c>
      <c r="KM27" s="15" t="str">
        <f>IF('Raw Data'!KA2="","",'Raw Data'!KA2)</f>
        <v>1</v>
      </c>
      <c r="KN27" s="15" t="str">
        <f>IF('Raw Data'!KB2="","",'Raw Data'!KB2)</f>
        <v>0</v>
      </c>
      <c r="KO27" s="15" t="str">
        <f>IF('Raw Data'!KC2="","",'Raw Data'!KC2)</f>
        <v>0</v>
      </c>
      <c r="KP27" s="15" t="str">
        <f>IF('Raw Data'!KD2="","",'Raw Data'!KD2)</f>
        <v/>
      </c>
      <c r="KQ27" s="15" t="str">
        <f>IF('Raw Data'!KE2="","",'Raw Data'!KE2)</f>
        <v/>
      </c>
      <c r="KR27" s="15" t="str">
        <f>IF('Raw Data'!KF2="","",'Raw Data'!KF2)</f>
        <v>oui</v>
      </c>
      <c r="KS27" s="15" t="str">
        <f>IF('Raw Data'!KG2="","",'Raw Data'!KG2)</f>
        <v>manque_moyens manque_d'information manque_personnes tensions_locales manque_definition</v>
      </c>
      <c r="KT27" s="15" t="str">
        <f>IF('Raw Data'!KH2="","",'Raw Data'!KH2)</f>
        <v>1</v>
      </c>
      <c r="KU27" s="15" t="str">
        <f>IF('Raw Data'!KI2="","",'Raw Data'!KI2)</f>
        <v>1</v>
      </c>
      <c r="KV27" s="15" t="str">
        <f>IF('Raw Data'!KJ2="","",'Raw Data'!KJ2)</f>
        <v>1</v>
      </c>
      <c r="KW27" s="15" t="str">
        <f>IF('Raw Data'!KK2="","",'Raw Data'!KK2)</f>
        <v>0</v>
      </c>
      <c r="KX27" s="15" t="str">
        <f>IF('Raw Data'!KL2="","",'Raw Data'!KL2)</f>
        <v>0</v>
      </c>
      <c r="KY27" s="15" t="str">
        <f>IF('Raw Data'!KM2="","",'Raw Data'!KM2)</f>
        <v>1</v>
      </c>
      <c r="KZ27" s="15" t="str">
        <f>IF('Raw Data'!KN2="","",'Raw Data'!KN2)</f>
        <v>0</v>
      </c>
      <c r="LA27" s="15" t="str">
        <f>IF('Raw Data'!KO2="","",'Raw Data'!KO2)</f>
        <v>1</v>
      </c>
      <c r="LB27" s="15" t="str">
        <f>IF('Raw Data'!KP2="","",'Raw Data'!KP2)</f>
        <v>0</v>
      </c>
      <c r="LC27" s="15" t="str">
        <f>IF('Raw Data'!KQ2="","",'Raw Data'!KQ2)</f>
        <v>0</v>
      </c>
      <c r="LD27" s="15" t="str">
        <f>IF('Raw Data'!KR2="","",'Raw Data'!KR2)</f>
        <v>0</v>
      </c>
      <c r="LE27" s="15" t="str">
        <f>IF('Raw Data'!KS2="","",'Raw Data'!KS2)</f>
        <v/>
      </c>
      <c r="LF27" s="15" t="str">
        <f>IF('Raw Data'!KT2="","",'Raw Data'!KT2)</f>
        <v/>
      </c>
      <c r="LG27" s="15" t="str">
        <f>IF('Raw Data'!KU2="","",'Raw Data'!KU2)</f>
        <v/>
      </c>
      <c r="LH27" s="15" t="str">
        <f>IF('Raw Data'!KV2="","",'Raw Data'!KV2)</f>
        <v/>
      </c>
      <c r="LI27" s="15" t="str">
        <f>IF('Raw Data'!KW2="","",'Raw Data'!KW2)</f>
        <v/>
      </c>
      <c r="LJ27" s="15" t="str">
        <f>IF('Raw Data'!KX2="","",'Raw Data'!KX2)</f>
        <v/>
      </c>
      <c r="LK27" s="15" t="str">
        <f>IF('Raw Data'!KY2="","",'Raw Data'!KY2)</f>
        <v/>
      </c>
      <c r="LL27" s="15" t="str">
        <f>IF('Raw Data'!KZ2="","",'Raw Data'!KZ2)</f>
        <v/>
      </c>
      <c r="LM27" s="15" t="str">
        <f>IF('Raw Data'!LA2="","",'Raw Data'!LA2)</f>
        <v/>
      </c>
      <c r="LN27" s="15" t="str">
        <f>IF('Raw Data'!LB2="","",'Raw Data'!LB2)</f>
        <v>oui</v>
      </c>
      <c r="LO27" s="15" t="str">
        <f>IF('Raw Data'!LC2="","",'Raw Data'!LC2)</f>
        <v>violence_physique violence_psycho menace_mort menace_enlevement</v>
      </c>
      <c r="LP27" s="15" t="str">
        <f>IF('Raw Data'!LD2="","",'Raw Data'!LD2)</f>
        <v>1</v>
      </c>
      <c r="LQ27" s="15" t="str">
        <f>IF('Raw Data'!LE2="","",'Raw Data'!LE2)</f>
        <v>1</v>
      </c>
      <c r="LR27" s="15" t="str">
        <f>IF('Raw Data'!LF2="","",'Raw Data'!LF2)</f>
        <v>0</v>
      </c>
      <c r="LS27" s="15" t="str">
        <f>IF('Raw Data'!LG2="","",'Raw Data'!LG2)</f>
        <v>0</v>
      </c>
      <c r="LT27" s="15" t="str">
        <f>IF('Raw Data'!LH2="","",'Raw Data'!LH2)</f>
        <v>1</v>
      </c>
      <c r="LU27" s="15" t="str">
        <f>IF('Raw Data'!LI2="","",'Raw Data'!LI2)</f>
        <v>1</v>
      </c>
      <c r="LV27" s="15" t="str">
        <f>IF('Raw Data'!LJ2="","",'Raw Data'!LJ2)</f>
        <v>0</v>
      </c>
      <c r="LW27" s="15" t="str">
        <f>IF('Raw Data'!LK2="","",'Raw Data'!LK2)</f>
        <v>0</v>
      </c>
      <c r="LX27" s="15" t="str">
        <f>IF('Raw Data'!LL2="","",'Raw Data'!LL2)</f>
        <v>0</v>
      </c>
      <c r="LY27" s="15" t="str">
        <f>IF('Raw Data'!LM2="","",'Raw Data'!LM2)</f>
        <v>0</v>
      </c>
      <c r="LZ27" s="15" t="str">
        <f>IF('Raw Data'!LN2="","",'Raw Data'!LN2)</f>
        <v/>
      </c>
      <c r="MA27" s="15" t="str">
        <f>IF('Raw Data'!LO2="","",'Raw Data'!LO2)</f>
        <v>non</v>
      </c>
      <c r="MB27" s="15" t="str">
        <f>IF('Raw Data'!LP2="","",'Raw Data'!LP2)</f>
        <v>oui</v>
      </c>
      <c r="MC27" s="15" t="str">
        <f>IF('Raw Data'!LQ2="","",'Raw Data'!LQ2)</f>
        <v/>
      </c>
      <c r="MD27" s="15" t="str">
        <f>IF('Raw Data'!LR2="","",'Raw Data'!LR2)</f>
        <v>Manque d eau et surtout manque de vivres alimentaire</v>
      </c>
      <c r="ME27" s="15">
        <f>IF('Raw Data'!LS2="","",'Raw Data'!LS2)</f>
        <v>168983534</v>
      </c>
      <c r="MF27" s="15" t="str">
        <f>IF('Raw Data'!LT2="","",'Raw Data'!LT2)</f>
        <v>5a69afca-39c4-42b3-adf8-6b7e98c35f20</v>
      </c>
      <c r="MG27" s="15" t="str">
        <f>IF('Raw Data'!LU2="","",'Raw Data'!LU2)</f>
        <v>2021-03-31T21:00:27</v>
      </c>
      <c r="MH27" s="15" t="str">
        <f>IF('Raw Data'!LV2="","",'Raw Data'!LV2)</f>
        <v/>
      </c>
      <c r="MI27" s="15" t="str">
        <f>IF('Raw Data'!LW2="","",'Raw Data'!LW2)</f>
        <v>[]</v>
      </c>
      <c r="MJ27" s="15" t="str">
        <f>IF('Raw Data'!LX2="","",'Raw Data'!LX2)</f>
        <v>submitted_via_web</v>
      </c>
      <c r="MK27" s="15" t="str">
        <f>IF('Raw Data'!LY2="","",'Raw Data'!LY2)</f>
        <v>reach_niger</v>
      </c>
      <c r="ML27" s="15" t="str">
        <f>IF('Raw Data'!LZ2="","",'Raw Data'!LZ2)</f>
        <v/>
      </c>
      <c r="MM27" s="15">
        <f>IF('Raw Data'!MA2="","",'Raw Data'!MA2)</f>
        <v>1</v>
      </c>
    </row>
    <row r="28" spans="1:351" x14ac:dyDescent="0.3">
      <c r="A28" s="26" t="str">
        <f t="shared" si="0"/>
        <v>59f44817-3708-4968-9688-e9c008862d84</v>
      </c>
      <c r="B28" s="26" t="str">
        <f t="shared" si="1"/>
        <v>ayerou</v>
      </c>
      <c r="C28" s="26" t="str">
        <f t="shared" si="2"/>
        <v>F</v>
      </c>
      <c r="D28" s="14" t="str">
        <f>IF('Raw Data'!A64="","",'Raw Data'!A64)</f>
        <v>2021-04-16T10:50:10.170+01:00</v>
      </c>
      <c r="E28" s="14" t="str">
        <f>IF('Raw Data'!B64="","",'Raw Data'!B64)</f>
        <v>2021-04-16T11:16:23.863+01:00</v>
      </c>
      <c r="F28" s="30">
        <v>44302.451504629629</v>
      </c>
      <c r="G28" s="30">
        <v>44302.469710648147</v>
      </c>
      <c r="H28" s="29">
        <f>VLOOKUP(A28,Audit[#All],2,FALSE)</f>
        <v>26.23</v>
      </c>
      <c r="I28" s="29">
        <f>VLOOKUP(A28,Audit[#All],3,FALSE)</f>
        <v>26.18</v>
      </c>
      <c r="J28" s="29">
        <f>VLOOKUP(A28,Audit[#All],4,FALSE)</f>
        <v>25.75</v>
      </c>
      <c r="K28" s="29">
        <f>VLOOKUP(A28,nb_questions[#All],2,FALSE)</f>
        <v>57</v>
      </c>
      <c r="L28" s="29">
        <f t="shared" si="3"/>
        <v>270</v>
      </c>
      <c r="M28" s="14" t="str">
        <f>IF('Raw Data'!C64="","",'Raw Data'!C64)</f>
        <v>2021-04-16</v>
      </c>
      <c r="N28" s="14" t="str">
        <f>IF('Raw Data'!D64="","",'Raw Data'!D64)</f>
        <v/>
      </c>
      <c r="O28" s="14" t="str">
        <f>IF('Raw Data'!E64="","",'Raw Data'!E64)</f>
        <v/>
      </c>
      <c r="P28" s="29" t="str">
        <f>VLOOKUP(A28,code_enqueteurs[#All],3,FALSE)</f>
        <v>F</v>
      </c>
      <c r="Q28" s="29" t="s">
        <v>1651</v>
      </c>
      <c r="R28" s="14" t="str">
        <f>IF('Raw Data'!F64="","",'Raw Data'!F64)</f>
        <v>Homme</v>
      </c>
      <c r="S28" s="15" t="str">
        <f>IF('Raw Data'!G64="","",'Raw Data'!G64)</f>
        <v>ayerou</v>
      </c>
      <c r="T28" s="15" t="str">
        <f>IF('Raw Data'!H64="","",'Raw Data'!H64)</f>
        <v>ayerou</v>
      </c>
      <c r="U28" s="15" t="str">
        <f>IF('Raw Data'!I64="","",'Raw Data'!I64)</f>
        <v>ayarou_pdi</v>
      </c>
      <c r="V28" s="15" t="str">
        <f>IF('Raw Data'!J64="","",'Raw Data'!J64)</f>
        <v/>
      </c>
      <c r="W28" s="15" t="str">
        <f>IF('Raw Data'!K64="","",'Raw Data'!K64)</f>
        <v/>
      </c>
      <c r="X28" s="15" t="str">
        <f>IF('Raw Data'!L64="","",'Raw Data'!L64)</f>
        <v/>
      </c>
      <c r="Y28" s="15" t="str">
        <f>IF('Raw Data'!M64="","",'Raw Data'!M64)</f>
        <v/>
      </c>
      <c r="Z28" s="15" t="str">
        <f>IF('Raw Data'!N64="","",'Raw Data'!N64)</f>
        <v/>
      </c>
      <c r="AA28" s="15" t="str">
        <f>IF('Raw Data'!O64="","",'Raw Data'!O64)</f>
        <v/>
      </c>
      <c r="AB28" s="15" t="str">
        <f>IF('Raw Data'!P64="","",'Raw Data'!P64)</f>
        <v/>
      </c>
      <c r="AC28" s="15" t="str">
        <f>IF('Raw Data'!Q64="","",'Raw Data'!Q64)</f>
        <v/>
      </c>
      <c r="AD28" s="15" t="str">
        <f>IF('Raw Data'!R64="","",'Raw Data'!R64)</f>
        <v>Femme</v>
      </c>
      <c r="AE28" s="15" t="str">
        <f>IF('Raw Data'!S64="","",'Raw Data'!S64)</f>
        <v>21</v>
      </c>
      <c r="AF28" s="15" t="str">
        <f>IF('Raw Data'!T64="","",'Raw Data'!T64)</f>
        <v>deplace_interne</v>
      </c>
      <c r="AG28" s="15" t="str">
        <f>IF('Raw Data'!U64="","",'Raw Data'!U64)</f>
        <v/>
      </c>
      <c r="AH28" s="15" t="str">
        <f>IF('Raw Data'!V64="","",'Raw Data'!V64)</f>
        <v/>
      </c>
      <c r="AI28" s="15" t="str">
        <f>IF('Raw Data'!W64="","",'Raw Data'!W64)</f>
        <v/>
      </c>
      <c r="AJ28" s="15" t="str">
        <f>IF('Raw Data'!X64="","",'Raw Data'!X64)</f>
        <v/>
      </c>
      <c r="AK28" s="15" t="str">
        <f>IF('Raw Data'!Y64="","",'Raw Data'!Y64)</f>
        <v/>
      </c>
      <c r="AL28" s="15" t="str">
        <f>IF('Raw Data'!Z64="","",'Raw Data'!Z64)</f>
        <v>niger</v>
      </c>
      <c r="AM28" s="15" t="str">
        <f>IF('Raw Data'!AA64="","",'Raw Data'!AA64)</f>
        <v>tillaberi</v>
      </c>
      <c r="AN28" s="15" t="str">
        <f>IF('Raw Data'!AB64="","",'Raw Data'!AB64)</f>
        <v>ayerou</v>
      </c>
      <c r="AO28" s="15" t="str">
        <f>IF('Raw Data'!AC64="","",'Raw Data'!AC64)</f>
        <v/>
      </c>
      <c r="AP28" s="15" t="str">
        <f>IF('Raw Data'!AD64="","",'Raw Data'!AD64)</f>
        <v/>
      </c>
      <c r="AQ28" s="15" t="str">
        <f>IF('Raw Data'!AE64="","",'Raw Data'!AE64)</f>
        <v/>
      </c>
      <c r="AR28" s="15" t="str">
        <f>IF('Raw Data'!AF64="","",'Raw Data'!AF64)</f>
        <v/>
      </c>
      <c r="AS28" s="15" t="str">
        <f>IF('Raw Data'!AG64="","",'Raw Data'!AG64)</f>
        <v>non</v>
      </c>
      <c r="AT28" s="15" t="str">
        <f>IF('Raw Data'!AH64="","",'Raw Data'!AH64)</f>
        <v/>
      </c>
      <c r="AU28" s="15" t="str">
        <f>IF('Raw Data'!AI64="","",'Raw Data'!AI64)</f>
        <v/>
      </c>
      <c r="AV28" s="15" t="str">
        <f>IF('Raw Data'!AJ64="","",'Raw Data'!AJ64)</f>
        <v/>
      </c>
      <c r="AW28" s="15" t="str">
        <f>IF('Raw Data'!AK64="","",'Raw Data'!AK64)</f>
        <v/>
      </c>
      <c r="AX28" s="15" t="str">
        <f>IF('Raw Data'!AL64="","",'Raw Data'!AL64)</f>
        <v/>
      </c>
      <c r="AY28" s="15" t="str">
        <f>IF('Raw Data'!AM64="","",'Raw Data'!AM64)</f>
        <v/>
      </c>
      <c r="AZ28" s="15" t="str">
        <f>IF('Raw Data'!AN64="","",'Raw Data'!AN64)</f>
        <v/>
      </c>
      <c r="BA28" s="15" t="str">
        <f>IF('Raw Data'!AO64="","",'Raw Data'!AO64)</f>
        <v/>
      </c>
      <c r="BB28" s="15" t="str">
        <f>IF('Raw Data'!AP64="","",'Raw Data'!AP64)</f>
        <v/>
      </c>
      <c r="BC28" s="15" t="str">
        <f>IF('Raw Data'!AQ64="","",'Raw Data'!AQ64)</f>
        <v/>
      </c>
      <c r="BD28" s="15" t="str">
        <f>IF('Raw Data'!AR64="","",'Raw Data'!AR64)</f>
        <v/>
      </c>
      <c r="BE28" s="15" t="str">
        <f>IF('Raw Data'!AS64="","",'Raw Data'!AS64)</f>
        <v/>
      </c>
      <c r="BF28" s="15" t="str">
        <f>IF('Raw Data'!AT64="","",'Raw Data'!AT64)</f>
        <v/>
      </c>
      <c r="BG28" s="15" t="str">
        <f>IF('Raw Data'!AU64="","",'Raw Data'!AU64)</f>
        <v/>
      </c>
      <c r="BH28" s="15" t="str">
        <f>IF('Raw Data'!AV64="","",'Raw Data'!AV64)</f>
        <v/>
      </c>
      <c r="BI28" s="15" t="str">
        <f>IF('Raw Data'!AW64="","",'Raw Data'!AW64)</f>
        <v/>
      </c>
      <c r="BJ28" s="15" t="str">
        <f>IF('Raw Data'!AX64="","",'Raw Data'!AX64)</f>
        <v/>
      </c>
      <c r="BK28" s="15" t="str">
        <f>IF('Raw Data'!AY64="","",'Raw Data'!AY64)</f>
        <v/>
      </c>
      <c r="BL28" s="15" t="str">
        <f>IF('Raw Data'!AZ64="","",'Raw Data'!AZ64)</f>
        <v/>
      </c>
      <c r="BM28" s="15" t="str">
        <f>IF('Raw Data'!BA64="","",'Raw Data'!BA64)</f>
        <v/>
      </c>
      <c r="BN28" s="15" t="str">
        <f>IF('Raw Data'!BB64="","",'Raw Data'!BB64)</f>
        <v/>
      </c>
      <c r="BO28" s="15" t="str">
        <f>IF('Raw Data'!BC64="","",'Raw Data'!BC64)</f>
        <v/>
      </c>
      <c r="BP28" s="15" t="str">
        <f>IF('Raw Data'!BD64="","",'Raw Data'!BD64)</f>
        <v/>
      </c>
      <c r="BQ28" s="15" t="str">
        <f>IF('Raw Data'!BE64="","",'Raw Data'!BE64)</f>
        <v/>
      </c>
      <c r="BR28" s="15" t="str">
        <f>IF('Raw Data'!BF64="","",'Raw Data'!BF64)</f>
        <v/>
      </c>
      <c r="BS28" s="15" t="str">
        <f>IF('Raw Data'!BG64="","",'Raw Data'!BG64)</f>
        <v/>
      </c>
      <c r="BT28" s="15" t="str">
        <f>IF('Raw Data'!BH64="","",'Raw Data'!BH64)</f>
        <v/>
      </c>
      <c r="BU28" s="15" t="str">
        <f>IF('Raw Data'!BI64="","",'Raw Data'!BI64)</f>
        <v/>
      </c>
      <c r="BV28" s="15" t="str">
        <f>IF('Raw Data'!BJ64="","",'Raw Data'!BJ64)</f>
        <v/>
      </c>
      <c r="BW28" s="15" t="str">
        <f>IF('Raw Data'!BK64="","",'Raw Data'!BK64)</f>
        <v/>
      </c>
      <c r="BX28" s="15" t="str">
        <f>IF('Raw Data'!BL64="","",'Raw Data'!BL64)</f>
        <v/>
      </c>
      <c r="BY28" s="15" t="str">
        <f>IF('Raw Data'!BM64="","",'Raw Data'!BM64)</f>
        <v/>
      </c>
      <c r="BZ28" s="15" t="str">
        <f>IF('Raw Data'!BN64="","",'Raw Data'!BN64)</f>
        <v/>
      </c>
      <c r="CA28" s="15" t="str">
        <f>IF('Raw Data'!BO64="","",'Raw Data'!BO64)</f>
        <v/>
      </c>
      <c r="CB28" s="15" t="str">
        <f>IF('Raw Data'!BP64="","",'Raw Data'!BP64)</f>
        <v/>
      </c>
      <c r="CC28" s="15" t="str">
        <f>IF('Raw Data'!BQ64="","",'Raw Data'!BQ64)</f>
        <v>non</v>
      </c>
      <c r="CD28" s="15" t="str">
        <f>IF('Raw Data'!BR64="","",'Raw Data'!BR64)</f>
        <v/>
      </c>
      <c r="CE28" s="15" t="str">
        <f>IF('Raw Data'!BS64="","",'Raw Data'!BS64)</f>
        <v/>
      </c>
      <c r="CF28" s="15" t="str">
        <f>IF('Raw Data'!BT64="","",'Raw Data'!BT64)</f>
        <v/>
      </c>
      <c r="CG28" s="15" t="str">
        <f>IF('Raw Data'!BU64="","",'Raw Data'!BU64)</f>
        <v/>
      </c>
      <c r="CH28" s="15" t="str">
        <f>IF('Raw Data'!BV64="","",'Raw Data'!BV64)</f>
        <v/>
      </c>
      <c r="CI28" s="15" t="str">
        <f>IF('Raw Data'!BW64="","",'Raw Data'!BW64)</f>
        <v/>
      </c>
      <c r="CJ28" s="15" t="str">
        <f>IF('Raw Data'!BX64="","",'Raw Data'!BX64)</f>
        <v/>
      </c>
      <c r="CK28" s="15" t="str">
        <f>IF('Raw Data'!BY64="","",'Raw Data'!BY64)</f>
        <v/>
      </c>
      <c r="CL28" s="15" t="str">
        <f>IF('Raw Data'!BZ64="","",'Raw Data'!BZ64)</f>
        <v/>
      </c>
      <c r="CM28" s="15" t="str">
        <f>IF('Raw Data'!CA64="","",'Raw Data'!CA64)</f>
        <v/>
      </c>
      <c r="CN28" s="15" t="str">
        <f>IF('Raw Data'!CB64="","",'Raw Data'!CB64)</f>
        <v/>
      </c>
      <c r="CO28" s="15" t="str">
        <f>IF('Raw Data'!CC64="","",'Raw Data'!CC64)</f>
        <v/>
      </c>
      <c r="CP28" s="15" t="str">
        <f>IF('Raw Data'!CD64="","",'Raw Data'!CD64)</f>
        <v/>
      </c>
      <c r="CQ28" s="15" t="str">
        <f>IF('Raw Data'!CE64="","",'Raw Data'!CE64)</f>
        <v/>
      </c>
      <c r="CR28" s="15" t="str">
        <f>IF('Raw Data'!CF64="","",'Raw Data'!CF64)</f>
        <v/>
      </c>
      <c r="CS28" s="15" t="str">
        <f>IF('Raw Data'!CG64="","",'Raw Data'!CG64)</f>
        <v/>
      </c>
      <c r="CT28" s="15" t="str">
        <f>IF('Raw Data'!CH64="","",'Raw Data'!CH64)</f>
        <v/>
      </c>
      <c r="CU28" s="15" t="str">
        <f>IF('Raw Data'!CI64="","",'Raw Data'!CI64)</f>
        <v/>
      </c>
      <c r="CV28" s="15" t="str">
        <f>IF('Raw Data'!CJ64="","",'Raw Data'!CJ64)</f>
        <v/>
      </c>
      <c r="CW28" s="15" t="str">
        <f>IF('Raw Data'!CK64="","",'Raw Data'!CK64)</f>
        <v/>
      </c>
      <c r="CX28" s="15" t="str">
        <f>IF('Raw Data'!CL64="","",'Raw Data'!CL64)</f>
        <v/>
      </c>
      <c r="CY28" s="15" t="str">
        <f>IF('Raw Data'!CM64="","",'Raw Data'!CM64)</f>
        <v/>
      </c>
      <c r="CZ28" s="15" t="str">
        <f>IF('Raw Data'!CN64="","",'Raw Data'!CN64)</f>
        <v/>
      </c>
      <c r="DA28" s="15" t="str">
        <f>IF('Raw Data'!CO64="","",'Raw Data'!CO64)</f>
        <v/>
      </c>
      <c r="DB28" s="15" t="str">
        <f>IF('Raw Data'!CP64="","",'Raw Data'!CP64)</f>
        <v/>
      </c>
      <c r="DC28" s="15" t="str">
        <f>IF('Raw Data'!CQ64="","",'Raw Data'!CQ64)</f>
        <v/>
      </c>
      <c r="DD28" s="15" t="str">
        <f>IF('Raw Data'!CR64="","",'Raw Data'!CR64)</f>
        <v/>
      </c>
      <c r="DE28" s="15" t="str">
        <f>IF('Raw Data'!CS64="","",'Raw Data'!CS64)</f>
        <v/>
      </c>
      <c r="DF28" s="15" t="str">
        <f>IF('Raw Data'!CT64="","",'Raw Data'!CT64)</f>
        <v/>
      </c>
      <c r="DG28" s="15" t="str">
        <f>IF('Raw Data'!CU64="","",'Raw Data'!CU64)</f>
        <v/>
      </c>
      <c r="DH28" s="15" t="str">
        <f>IF('Raw Data'!CV64="","",'Raw Data'!CV64)</f>
        <v/>
      </c>
      <c r="DI28" s="15" t="str">
        <f>IF('Raw Data'!CW64="","",'Raw Data'!CW64)</f>
        <v/>
      </c>
      <c r="DJ28" s="15" t="str">
        <f>IF('Raw Data'!CX64="","",'Raw Data'!CX64)</f>
        <v/>
      </c>
      <c r="DK28" s="15" t="str">
        <f>IF('Raw Data'!CY64="","",'Raw Data'!CY64)</f>
        <v/>
      </c>
      <c r="DL28" s="15" t="str">
        <f>IF('Raw Data'!CZ64="","",'Raw Data'!CZ64)</f>
        <v/>
      </c>
      <c r="DM28" s="15" t="str">
        <f>IF('Raw Data'!DA64="","",'Raw Data'!DA64)</f>
        <v/>
      </c>
      <c r="DN28" s="15" t="str">
        <f>IF('Raw Data'!DB64="","",'Raw Data'!DB64)</f>
        <v/>
      </c>
      <c r="DO28" s="15" t="str">
        <f>IF('Raw Data'!DC64="","",'Raw Data'!DC64)</f>
        <v/>
      </c>
      <c r="DP28" s="15" t="str">
        <f>IF('Raw Data'!DD64="","",'Raw Data'!DD64)</f>
        <v/>
      </c>
      <c r="DQ28" s="15" t="str">
        <f>IF('Raw Data'!DE64="","",'Raw Data'!DE64)</f>
        <v/>
      </c>
      <c r="DR28" s="15" t="str">
        <f>IF('Raw Data'!DF64="","",'Raw Data'!DF64)</f>
        <v/>
      </c>
      <c r="DS28" s="15" t="str">
        <f>IF('Raw Data'!DG64="","",'Raw Data'!DG64)</f>
        <v/>
      </c>
      <c r="DT28" s="15" t="str">
        <f>IF('Raw Data'!DH64="","",'Raw Data'!DH64)</f>
        <v/>
      </c>
      <c r="DU28" s="15" t="str">
        <f>IF('Raw Data'!DI64="","",'Raw Data'!DI64)</f>
        <v/>
      </c>
      <c r="DV28" s="15" t="str">
        <f>IF('Raw Data'!DJ64="","",'Raw Data'!DJ64)</f>
        <v/>
      </c>
      <c r="DW28" s="15" t="str">
        <f>IF('Raw Data'!DK64="","",'Raw Data'!DK64)</f>
        <v/>
      </c>
      <c r="DX28" s="15" t="str">
        <f>IF('Raw Data'!DL64="","",'Raw Data'!DL64)</f>
        <v/>
      </c>
      <c r="DY28" s="15" t="str">
        <f>IF('Raw Data'!DM64="","",'Raw Data'!DM64)</f>
        <v/>
      </c>
      <c r="DZ28" s="15" t="str">
        <f>IF('Raw Data'!DN64="","",'Raw Data'!DN64)</f>
        <v/>
      </c>
      <c r="EA28" s="15" t="str">
        <f>IF('Raw Data'!DO64="","",'Raw Data'!DO64)</f>
        <v/>
      </c>
      <c r="EB28" s="15" t="str">
        <f>IF('Raw Data'!DP64="","",'Raw Data'!DP64)</f>
        <v/>
      </c>
      <c r="EC28" s="15" t="str">
        <f>IF('Raw Data'!DQ64="","",'Raw Data'!DQ64)</f>
        <v/>
      </c>
      <c r="ED28" s="15" t="str">
        <f>IF('Raw Data'!DR64="","",'Raw Data'!DR64)</f>
        <v/>
      </c>
      <c r="EE28" s="15" t="str">
        <f>IF('Raw Data'!DS64="","",'Raw Data'!DS64)</f>
        <v/>
      </c>
      <c r="EF28" s="15" t="str">
        <f>IF('Raw Data'!DT64="","",'Raw Data'!DT64)</f>
        <v/>
      </c>
      <c r="EG28" s="15" t="str">
        <f>IF('Raw Data'!DU64="","",'Raw Data'!DU64)</f>
        <v/>
      </c>
      <c r="EH28" s="15" t="str">
        <f>IF('Raw Data'!DV64="","",'Raw Data'!DV64)</f>
        <v/>
      </c>
      <c r="EI28" s="15" t="str">
        <f>IF('Raw Data'!DW64="","",'Raw Data'!DW64)</f>
        <v/>
      </c>
      <c r="EJ28" s="15" t="str">
        <f>IF('Raw Data'!DX64="","",'Raw Data'!DX64)</f>
        <v/>
      </c>
      <c r="EK28" s="15" t="str">
        <f>IF('Raw Data'!DY64="","",'Raw Data'!DY64)</f>
        <v/>
      </c>
      <c r="EL28" s="15" t="str">
        <f>IF('Raw Data'!DZ64="","",'Raw Data'!DZ64)</f>
        <v>Soutien_famille_amis</v>
      </c>
      <c r="EM28" s="15" t="str">
        <f>IF('Raw Data'!EA64="","",'Raw Data'!EA64)</f>
        <v>0</v>
      </c>
      <c r="EN28" s="15" t="str">
        <f>IF('Raw Data'!EB64="","",'Raw Data'!EB64)</f>
        <v>0</v>
      </c>
      <c r="EO28" s="15" t="str">
        <f>IF('Raw Data'!EC64="","",'Raw Data'!EC64)</f>
        <v>1</v>
      </c>
      <c r="EP28" s="15" t="str">
        <f>IF('Raw Data'!ED64="","",'Raw Data'!ED64)</f>
        <v>0</v>
      </c>
      <c r="EQ28" s="15" t="str">
        <f>IF('Raw Data'!EE64="","",'Raw Data'!EE64)</f>
        <v>0</v>
      </c>
      <c r="ER28" s="15" t="str">
        <f>IF('Raw Data'!EF64="","",'Raw Data'!EF64)</f>
        <v>0</v>
      </c>
      <c r="ES28" s="15" t="str">
        <f>IF('Raw Data'!EG64="","",'Raw Data'!EG64)</f>
        <v>0</v>
      </c>
      <c r="ET28" s="15" t="str">
        <f>IF('Raw Data'!EH64="","",'Raw Data'!EH64)</f>
        <v>0</v>
      </c>
      <c r="EU28" s="15" t="str">
        <f>IF('Raw Data'!EI64="","",'Raw Data'!EI64)</f>
        <v>0</v>
      </c>
      <c r="EV28" s="15" t="str">
        <f>IF('Raw Data'!EJ64="","",'Raw Data'!EJ64)</f>
        <v/>
      </c>
      <c r="EW28" s="15" t="str">
        <f>IF('Raw Data'!EK64="","",'Raw Data'!EK64)</f>
        <v/>
      </c>
      <c r="EX28" s="15" t="str">
        <f>IF('Raw Data'!EL64="","",'Raw Data'!EL64)</f>
        <v>Ne_sait_pas</v>
      </c>
      <c r="EY28" s="15" t="str">
        <f>IF('Raw Data'!EM64="","",'Raw Data'!EM64)</f>
        <v>0</v>
      </c>
      <c r="EZ28" s="15" t="str">
        <f>IF('Raw Data'!EN64="","",'Raw Data'!EN64)</f>
        <v>0</v>
      </c>
      <c r="FA28" s="15" t="str">
        <f>IF('Raw Data'!EO64="","",'Raw Data'!EO64)</f>
        <v>0</v>
      </c>
      <c r="FB28" s="15" t="str">
        <f>IF('Raw Data'!EP64="","",'Raw Data'!EP64)</f>
        <v>0</v>
      </c>
      <c r="FC28" s="15" t="str">
        <f>IF('Raw Data'!EQ64="","",'Raw Data'!EQ64)</f>
        <v>0</v>
      </c>
      <c r="FD28" s="15" t="str">
        <f>IF('Raw Data'!ER64="","",'Raw Data'!ER64)</f>
        <v>0</v>
      </c>
      <c r="FE28" s="15" t="str">
        <f>IF('Raw Data'!ES64="","",'Raw Data'!ES64)</f>
        <v>0</v>
      </c>
      <c r="FF28" s="15" t="str">
        <f>IF('Raw Data'!ET64="","",'Raw Data'!ET64)</f>
        <v>0</v>
      </c>
      <c r="FG28" s="15" t="str">
        <f>IF('Raw Data'!EU64="","",'Raw Data'!EU64)</f>
        <v>1</v>
      </c>
      <c r="FH28" s="15" t="str">
        <f>IF('Raw Data'!EV64="","",'Raw Data'!EV64)</f>
        <v>0</v>
      </c>
      <c r="FI28" s="15" t="str">
        <f>IF('Raw Data'!EW64="","",'Raw Data'!EW64)</f>
        <v/>
      </c>
      <c r="FJ28" s="15" t="str">
        <f>IF('Raw Data'!EX64="","",'Raw Data'!EX64)</f>
        <v>non</v>
      </c>
      <c r="FK28" s="15" t="str">
        <f>IF('Raw Data'!EY64="","",'Raw Data'!EY64)</f>
        <v/>
      </c>
      <c r="FL28" s="15" t="str">
        <f>IF('Raw Data'!EZ64="","",'Raw Data'!EZ64)</f>
        <v/>
      </c>
      <c r="FM28" s="15" t="str">
        <f>IF('Raw Data'!FA64="","",'Raw Data'!FA64)</f>
        <v/>
      </c>
      <c r="FN28" s="15" t="str">
        <f>IF('Raw Data'!FB64="","",'Raw Data'!FB64)</f>
        <v/>
      </c>
      <c r="FO28" s="15" t="str">
        <f>IF('Raw Data'!FC64="","",'Raw Data'!FC64)</f>
        <v/>
      </c>
      <c r="FP28" s="15" t="str">
        <f>IF('Raw Data'!FD64="","",'Raw Data'!FD64)</f>
        <v/>
      </c>
      <c r="FQ28" s="15" t="str">
        <f>IF('Raw Data'!FE64="","",'Raw Data'!FE64)</f>
        <v/>
      </c>
      <c r="FR28" s="15" t="str">
        <f>IF('Raw Data'!FF64="","",'Raw Data'!FF64)</f>
        <v/>
      </c>
      <c r="FS28" s="15" t="str">
        <f>IF('Raw Data'!FG64="","",'Raw Data'!FG64)</f>
        <v/>
      </c>
      <c r="FT28" s="15" t="str">
        <f>IF('Raw Data'!FH64="","",'Raw Data'!FH64)</f>
        <v/>
      </c>
      <c r="FU28" s="15" t="str">
        <f>IF('Raw Data'!FI64="","",'Raw Data'!FI64)</f>
        <v/>
      </c>
      <c r="FV28" s="15" t="str">
        <f>IF('Raw Data'!FJ64="","",'Raw Data'!FJ64)</f>
        <v/>
      </c>
      <c r="FW28" s="15" t="str">
        <f>IF('Raw Data'!FK64="","",'Raw Data'!FK64)</f>
        <v/>
      </c>
      <c r="FX28" s="15" t="str">
        <f>IF('Raw Data'!FL64="","",'Raw Data'!FL64)</f>
        <v/>
      </c>
      <c r="FY28" s="15" t="str">
        <f>IF('Raw Data'!FM64="","",'Raw Data'!FM64)</f>
        <v/>
      </c>
      <c r="FZ28" s="15" t="str">
        <f>IF('Raw Data'!FN64="","",'Raw Data'!FN64)</f>
        <v/>
      </c>
      <c r="GA28" s="15" t="str">
        <f>IF('Raw Data'!FO64="","",'Raw Data'!FO64)</f>
        <v/>
      </c>
      <c r="GB28" s="15" t="str">
        <f>IF('Raw Data'!FP64="","",'Raw Data'!FP64)</f>
        <v/>
      </c>
      <c r="GC28" s="15" t="str">
        <f>IF('Raw Data'!FQ64="","",'Raw Data'!FQ64)</f>
        <v/>
      </c>
      <c r="GD28" s="15" t="str">
        <f>IF('Raw Data'!FR64="","",'Raw Data'!FR64)</f>
        <v/>
      </c>
      <c r="GE28" s="15" t="str">
        <f>IF('Raw Data'!FS64="","",'Raw Data'!FS64)</f>
        <v/>
      </c>
      <c r="GF28" s="15" t="str">
        <f>IF('Raw Data'!FT64="","",'Raw Data'!FT64)</f>
        <v/>
      </c>
      <c r="GG28" s="15" t="str">
        <f>IF('Raw Data'!FU64="","",'Raw Data'!FU64)</f>
        <v/>
      </c>
      <c r="GH28" s="15" t="str">
        <f>IF('Raw Data'!FV64="","",'Raw Data'!FV64)</f>
        <v/>
      </c>
      <c r="GI28" s="15" t="str">
        <f>IF('Raw Data'!FW64="","",'Raw Data'!FW64)</f>
        <v/>
      </c>
      <c r="GJ28" s="15" t="str">
        <f>IF('Raw Data'!FX64="","",'Raw Data'!FX64)</f>
        <v/>
      </c>
      <c r="GK28" s="15" t="str">
        <f>IF('Raw Data'!FY64="","",'Raw Data'!FY64)</f>
        <v/>
      </c>
      <c r="GL28" s="15" t="str">
        <f>IF('Raw Data'!FZ64="","",'Raw Data'!FZ64)</f>
        <v/>
      </c>
      <c r="GM28" s="15" t="str">
        <f>IF('Raw Data'!GA64="","",'Raw Data'!GA64)</f>
        <v/>
      </c>
      <c r="GN28" s="15" t="str">
        <f>IF('Raw Data'!GB64="","",'Raw Data'!GB64)</f>
        <v/>
      </c>
      <c r="GO28" s="15" t="str">
        <f>IF('Raw Data'!GC64="","",'Raw Data'!GC64)</f>
        <v/>
      </c>
      <c r="GP28" s="15" t="str">
        <f>IF('Raw Data'!GD64="","",'Raw Data'!GD64)</f>
        <v/>
      </c>
      <c r="GQ28" s="15" t="str">
        <f>IF('Raw Data'!GE64="","",'Raw Data'!GE64)</f>
        <v/>
      </c>
      <c r="GR28" s="15" t="str">
        <f>IF('Raw Data'!GF64="","",'Raw Data'!GF64)</f>
        <v/>
      </c>
      <c r="GS28" s="15" t="str">
        <f>IF('Raw Data'!GG64="","",'Raw Data'!GG64)</f>
        <v/>
      </c>
      <c r="GT28" s="15" t="str">
        <f>IF('Raw Data'!GH64="","",'Raw Data'!GH64)</f>
        <v/>
      </c>
      <c r="GU28" s="15" t="str">
        <f>IF('Raw Data'!GI64="","",'Raw Data'!GI64)</f>
        <v/>
      </c>
      <c r="GV28" s="15" t="str">
        <f>IF('Raw Data'!GJ64="","",'Raw Data'!GJ64)</f>
        <v/>
      </c>
      <c r="GW28" s="15" t="str">
        <f>IF('Raw Data'!GK64="","",'Raw Data'!GK64)</f>
        <v/>
      </c>
      <c r="GX28" s="15" t="str">
        <f>IF('Raw Data'!GL64="","",'Raw Data'!GL64)</f>
        <v/>
      </c>
      <c r="GY28" s="15" t="str">
        <f>IF('Raw Data'!GM64="","",'Raw Data'!GM64)</f>
        <v/>
      </c>
      <c r="GZ28" s="31"/>
      <c r="HA28" s="31"/>
      <c r="HB28" s="15" t="str">
        <f>IF('Raw Data'!GP64="","",'Raw Data'!GP64)</f>
        <v/>
      </c>
      <c r="HC28" s="15" t="str">
        <f>IF('Raw Data'!GQ64="","",'Raw Data'!GQ64)</f>
        <v/>
      </c>
      <c r="HD28" s="15" t="str">
        <f>IF('Raw Data'!GR64="","",'Raw Data'!GR64)</f>
        <v/>
      </c>
      <c r="HE28" s="15" t="str">
        <f>IF('Raw Data'!GS64="","",'Raw Data'!GS64)</f>
        <v/>
      </c>
      <c r="HF28" s="15" t="str">
        <f>IF('Raw Data'!GT64="","",'Raw Data'!GT64)</f>
        <v/>
      </c>
      <c r="HG28" s="15" t="str">
        <f>IF('Raw Data'!GU64="","",'Raw Data'!GU64)</f>
        <v/>
      </c>
      <c r="HH28" s="15" t="str">
        <f>IF('Raw Data'!GV64="","",'Raw Data'!GV64)</f>
        <v/>
      </c>
      <c r="HI28" s="15" t="str">
        <f>IF('Raw Data'!GW64="","",'Raw Data'!GW64)</f>
        <v/>
      </c>
      <c r="HJ28" s="15" t="str">
        <f>IF('Raw Data'!GX64="","",'Raw Data'!GX64)</f>
        <v/>
      </c>
      <c r="HK28" s="15" t="str">
        <f>IF('Raw Data'!GY64="","",'Raw Data'!GY64)</f>
        <v/>
      </c>
      <c r="HL28" s="15" t="str">
        <f>IF('Raw Data'!GZ64="","",'Raw Data'!GZ64)</f>
        <v/>
      </c>
      <c r="HM28" s="15" t="str">
        <f>IF('Raw Data'!HA64="","",'Raw Data'!HA64)</f>
        <v/>
      </c>
      <c r="HN28" s="15" t="str">
        <f>IF('Raw Data'!HB64="","",'Raw Data'!HB64)</f>
        <v/>
      </c>
      <c r="HO28" s="15" t="str">
        <f>IF('Raw Data'!HC64="","",'Raw Data'!HC64)</f>
        <v/>
      </c>
      <c r="HP28" s="15" t="str">
        <f>IF('Raw Data'!HD64="","",'Raw Data'!HD64)</f>
        <v/>
      </c>
      <c r="HQ28" s="15" t="str">
        <f>IF('Raw Data'!HE64="","",'Raw Data'!HE64)</f>
        <v/>
      </c>
      <c r="HR28" s="15" t="str">
        <f>IF('Raw Data'!HF64="","",'Raw Data'!HF64)</f>
        <v/>
      </c>
      <c r="HS28" s="15" t="str">
        <f>IF('Raw Data'!HG64="","",'Raw Data'!HG64)</f>
        <v/>
      </c>
      <c r="HT28" s="15" t="str">
        <f>IF('Raw Data'!HH64="","",'Raw Data'!HH64)</f>
        <v/>
      </c>
      <c r="HU28" s="15" t="str">
        <f>IF('Raw Data'!HI64="","",'Raw Data'!HI64)</f>
        <v>non</v>
      </c>
      <c r="HV28" s="15" t="str">
        <f>IF('Raw Data'!HJ64="","",'Raw Data'!HJ64)</f>
        <v/>
      </c>
      <c r="HW28" s="15" t="str">
        <f>IF('Raw Data'!HK64="","",'Raw Data'!HK64)</f>
        <v/>
      </c>
      <c r="HX28" s="15" t="str">
        <f>IF('Raw Data'!HL64="","",'Raw Data'!HL64)</f>
        <v/>
      </c>
      <c r="HY28" s="15" t="str">
        <f>IF('Raw Data'!HM64="","",'Raw Data'!HM64)</f>
        <v/>
      </c>
      <c r="HZ28" s="15" t="str">
        <f>IF('Raw Data'!HN64="","",'Raw Data'!HN64)</f>
        <v/>
      </c>
      <c r="IA28" s="15" t="str">
        <f>IF('Raw Data'!HO64="","",'Raw Data'!HO64)</f>
        <v/>
      </c>
      <c r="IB28" s="15" t="str">
        <f>IF('Raw Data'!HP64="","",'Raw Data'!HP64)</f>
        <v/>
      </c>
      <c r="IC28" s="15" t="str">
        <f>IF('Raw Data'!HQ64="","",'Raw Data'!HQ64)</f>
        <v/>
      </c>
      <c r="ID28" s="15" t="str">
        <f>IF('Raw Data'!HR64="","",'Raw Data'!HR64)</f>
        <v/>
      </c>
      <c r="IE28" s="15" t="str">
        <f>IF('Raw Data'!HS64="","",'Raw Data'!HS64)</f>
        <v/>
      </c>
      <c r="IF28" s="15" t="str">
        <f>IF('Raw Data'!HT64="","",'Raw Data'!HT64)</f>
        <v/>
      </c>
      <c r="IG28" s="15" t="str">
        <f>IF('Raw Data'!HU64="","",'Raw Data'!HU64)</f>
        <v/>
      </c>
      <c r="IH28" s="15" t="str">
        <f>IF('Raw Data'!HV64="","",'Raw Data'!HV64)</f>
        <v>oui</v>
      </c>
      <c r="II28" s="15" t="str">
        <f>IF('Raw Data'!HW64="","",'Raw Data'!HW64)</f>
        <v/>
      </c>
      <c r="IJ28" s="15" t="str">
        <f>IF('Raw Data'!HX64="","",'Raw Data'!HX64)</f>
        <v/>
      </c>
      <c r="IK28" s="15" t="str">
        <f>IF('Raw Data'!HY64="","",'Raw Data'!HY64)</f>
        <v/>
      </c>
      <c r="IL28" s="15" t="str">
        <f>IF('Raw Data'!HZ64="","",'Raw Data'!HZ64)</f>
        <v/>
      </c>
      <c r="IM28" s="15" t="str">
        <f>IF('Raw Data'!IA64="","",'Raw Data'!IA64)</f>
        <v/>
      </c>
      <c r="IN28" s="15" t="str">
        <f>IF('Raw Data'!IB64="","",'Raw Data'!IB64)</f>
        <v/>
      </c>
      <c r="IO28" s="15" t="str">
        <f>IF('Raw Data'!IC64="","",'Raw Data'!IC64)</f>
        <v/>
      </c>
      <c r="IP28" s="15" t="str">
        <f>IF('Raw Data'!ID64="","",'Raw Data'!ID64)</f>
        <v/>
      </c>
      <c r="IQ28" s="15" t="str">
        <f>IF('Raw Data'!IE64="","",'Raw Data'!IE64)</f>
        <v/>
      </c>
      <c r="IR28" s="15" t="str">
        <f>IF('Raw Data'!IF64="","",'Raw Data'!IF64)</f>
        <v/>
      </c>
      <c r="IS28" s="15" t="str">
        <f>IF('Raw Data'!IG64="","",'Raw Data'!IG64)</f>
        <v/>
      </c>
      <c r="IT28" s="15" t="str">
        <f>IF('Raw Data'!IH64="","",'Raw Data'!IH64)</f>
        <v/>
      </c>
      <c r="IU28" s="15" t="str">
        <f>IF('Raw Data'!II64="","",'Raw Data'!II64)</f>
        <v/>
      </c>
      <c r="IV28" s="15" t="str">
        <f>IF('Raw Data'!IJ64="","",'Raw Data'!IJ64)</f>
        <v/>
      </c>
      <c r="IW28" s="15" t="str">
        <f>IF('Raw Data'!IK64="","",'Raw Data'!IK64)</f>
        <v/>
      </c>
      <c r="IX28" s="15" t="str">
        <f>IF('Raw Data'!IL64="","",'Raw Data'!IL64)</f>
        <v/>
      </c>
      <c r="IY28" s="15" t="str">
        <f>IF('Raw Data'!IM64="","",'Raw Data'!IM64)</f>
        <v/>
      </c>
      <c r="IZ28" s="31"/>
      <c r="JA28" s="15" t="str">
        <f>IF('Raw Data'!IO64="","",'Raw Data'!IO64)</f>
        <v/>
      </c>
      <c r="JB28" s="15" t="str">
        <f>IF('Raw Data'!IP64="","",'Raw Data'!IP64)</f>
        <v/>
      </c>
      <c r="JC28" s="15" t="str">
        <f>IF('Raw Data'!IQ64="","",'Raw Data'!IQ64)</f>
        <v/>
      </c>
      <c r="JD28" s="15" t="str">
        <f>IF('Raw Data'!IR64="","",'Raw Data'!IR64)</f>
        <v/>
      </c>
      <c r="JE28" s="15" t="str">
        <f>IF('Raw Data'!IS64="","",'Raw Data'!IS64)</f>
        <v/>
      </c>
      <c r="JF28" s="15" t="str">
        <f>IF('Raw Data'!IT64="","",'Raw Data'!IT64)</f>
        <v/>
      </c>
      <c r="JG28" s="15" t="str">
        <f>IF('Raw Data'!IU64="","",'Raw Data'!IU64)</f>
        <v/>
      </c>
      <c r="JH28" s="15" t="str">
        <f>IF('Raw Data'!IV64="","",'Raw Data'!IV64)</f>
        <v/>
      </c>
      <c r="JI28" s="15" t="str">
        <f>IF('Raw Data'!IW64="","",'Raw Data'!IW64)</f>
        <v/>
      </c>
      <c r="JJ28" s="15" t="str">
        <f>IF('Raw Data'!IX64="","",'Raw Data'!IX64)</f>
        <v/>
      </c>
      <c r="JK28" s="15" t="str">
        <f>IF('Raw Data'!IY64="","",'Raw Data'!IY64)</f>
        <v/>
      </c>
      <c r="JL28" s="15" t="str">
        <f>IF('Raw Data'!IZ64="","",'Raw Data'!IZ64)</f>
        <v/>
      </c>
      <c r="JM28" s="31"/>
      <c r="JN28" s="31"/>
      <c r="JO28" s="31"/>
      <c r="JP28" s="31"/>
      <c r="JQ28" s="31"/>
      <c r="JR28" s="31"/>
      <c r="JS28" s="31"/>
      <c r="JT28" s="15" t="str">
        <f>IF('Raw Data'!JH64="","",'Raw Data'!JH64)</f>
        <v/>
      </c>
      <c r="JU28" s="15" t="str">
        <f>IF('Raw Data'!JI64="","",'Raw Data'!JI64)</f>
        <v/>
      </c>
      <c r="JV28" s="15" t="str">
        <f>IF('Raw Data'!JJ64="","",'Raw Data'!JJ64)</f>
        <v/>
      </c>
      <c r="JW28" s="15" t="str">
        <f>IF('Raw Data'!JK64="","",'Raw Data'!JK64)</f>
        <v/>
      </c>
      <c r="JX28" s="15" t="str">
        <f>IF('Raw Data'!JL64="","",'Raw Data'!JL64)</f>
        <v/>
      </c>
      <c r="JY28" s="15" t="str">
        <f>IF('Raw Data'!JM64="","",'Raw Data'!JM64)</f>
        <v/>
      </c>
      <c r="JZ28" s="15" t="str">
        <f>IF('Raw Data'!JN64="","",'Raw Data'!JN64)</f>
        <v/>
      </c>
      <c r="KA28" s="15" t="str">
        <f>IF('Raw Data'!JO64="","",'Raw Data'!JO64)</f>
        <v/>
      </c>
      <c r="KB28" s="15" t="str">
        <f>IF('Raw Data'!JP64="","",'Raw Data'!JP64)</f>
        <v/>
      </c>
      <c r="KC28" s="15" t="str">
        <f>IF('Raw Data'!JQ64="","",'Raw Data'!JQ64)</f>
        <v/>
      </c>
      <c r="KD28" s="15" t="str">
        <f>IF('Raw Data'!JR64="","",'Raw Data'!JR64)</f>
        <v/>
      </c>
      <c r="KE28" s="15" t="str">
        <f>IF('Raw Data'!JS64="","",'Raw Data'!JS64)</f>
        <v/>
      </c>
      <c r="KF28" s="31"/>
      <c r="KG28" s="31"/>
      <c r="KH28" s="31"/>
      <c r="KI28" s="31"/>
      <c r="KJ28" s="31"/>
      <c r="KK28" s="31"/>
      <c r="KL28" s="31"/>
      <c r="KM28" s="31"/>
      <c r="KN28" s="31"/>
      <c r="KO28" s="31"/>
      <c r="KP28" s="15" t="str">
        <f>IF('Raw Data'!KD64="","",'Raw Data'!KD64)</f>
        <v/>
      </c>
      <c r="KQ28" s="15" t="str">
        <f>IF('Raw Data'!KE64="","",'Raw Data'!KE64)</f>
        <v/>
      </c>
      <c r="KR28" s="31"/>
      <c r="KS28" s="15" t="str">
        <f>IF('Raw Data'!KG64="","",'Raw Data'!KG64)</f>
        <v/>
      </c>
      <c r="KT28" s="15" t="str">
        <f>IF('Raw Data'!KH64="","",'Raw Data'!KH64)</f>
        <v/>
      </c>
      <c r="KU28" s="15" t="str">
        <f>IF('Raw Data'!KI64="","",'Raw Data'!KI64)</f>
        <v/>
      </c>
      <c r="KV28" s="15" t="str">
        <f>IF('Raw Data'!KJ64="","",'Raw Data'!KJ64)</f>
        <v/>
      </c>
      <c r="KW28" s="15" t="str">
        <f>IF('Raw Data'!KK64="","",'Raw Data'!KK64)</f>
        <v/>
      </c>
      <c r="KX28" s="15" t="str">
        <f>IF('Raw Data'!KL64="","",'Raw Data'!KL64)</f>
        <v/>
      </c>
      <c r="KY28" s="15" t="str">
        <f>IF('Raw Data'!KM64="","",'Raw Data'!KM64)</f>
        <v/>
      </c>
      <c r="KZ28" s="15" t="str">
        <f>IF('Raw Data'!KN64="","",'Raw Data'!KN64)</f>
        <v/>
      </c>
      <c r="LA28" s="15" t="str">
        <f>IF('Raw Data'!KO64="","",'Raw Data'!KO64)</f>
        <v/>
      </c>
      <c r="LB28" s="15" t="str">
        <f>IF('Raw Data'!KP64="","",'Raw Data'!KP64)</f>
        <v/>
      </c>
      <c r="LC28" s="15" t="str">
        <f>IF('Raw Data'!KQ64="","",'Raw Data'!KQ64)</f>
        <v/>
      </c>
      <c r="LD28" s="15" t="str">
        <f>IF('Raw Data'!KR64="","",'Raw Data'!KR64)</f>
        <v/>
      </c>
      <c r="LE28" s="15" t="str">
        <f>IF('Raw Data'!KS64="","",'Raw Data'!KS64)</f>
        <v/>
      </c>
      <c r="LF28" s="15" t="str">
        <f>IF('Raw Data'!KT64="","",'Raw Data'!KT64)</f>
        <v/>
      </c>
      <c r="LG28" s="15" t="str">
        <f>IF('Raw Data'!KU64="","",'Raw Data'!KU64)</f>
        <v/>
      </c>
      <c r="LH28" s="15" t="str">
        <f>IF('Raw Data'!KV64="","",'Raw Data'!KV64)</f>
        <v/>
      </c>
      <c r="LI28" s="15" t="str">
        <f>IF('Raw Data'!KW64="","",'Raw Data'!KW64)</f>
        <v/>
      </c>
      <c r="LJ28" s="15" t="str">
        <f>IF('Raw Data'!KX64="","",'Raw Data'!KX64)</f>
        <v/>
      </c>
      <c r="LK28" s="15" t="str">
        <f>IF('Raw Data'!KY64="","",'Raw Data'!KY64)</f>
        <v/>
      </c>
      <c r="LL28" s="15" t="str">
        <f>IF('Raw Data'!KZ64="","",'Raw Data'!KZ64)</f>
        <v/>
      </c>
      <c r="LM28" s="15" t="str">
        <f>IF('Raw Data'!LA64="","",'Raw Data'!LA64)</f>
        <v/>
      </c>
      <c r="LN28" s="31"/>
      <c r="LO28" s="15" t="str">
        <f>IF('Raw Data'!LC64="","",'Raw Data'!LC64)</f>
        <v/>
      </c>
      <c r="LP28" s="15" t="str">
        <f>IF('Raw Data'!LD64="","",'Raw Data'!LD64)</f>
        <v/>
      </c>
      <c r="LQ28" s="15" t="str">
        <f>IF('Raw Data'!LE64="","",'Raw Data'!LE64)</f>
        <v/>
      </c>
      <c r="LR28" s="15" t="str">
        <f>IF('Raw Data'!LF64="","",'Raw Data'!LF64)</f>
        <v/>
      </c>
      <c r="LS28" s="15" t="str">
        <f>IF('Raw Data'!LG64="","",'Raw Data'!LG64)</f>
        <v/>
      </c>
      <c r="LT28" s="15" t="str">
        <f>IF('Raw Data'!LH64="","",'Raw Data'!LH64)</f>
        <v/>
      </c>
      <c r="LU28" s="15" t="str">
        <f>IF('Raw Data'!LI64="","",'Raw Data'!LI64)</f>
        <v/>
      </c>
      <c r="LV28" s="15" t="str">
        <f>IF('Raw Data'!LJ64="","",'Raw Data'!LJ64)</f>
        <v/>
      </c>
      <c r="LW28" s="15" t="str">
        <f>IF('Raw Data'!LK64="","",'Raw Data'!LK64)</f>
        <v/>
      </c>
      <c r="LX28" s="15" t="str">
        <f>IF('Raw Data'!LL64="","",'Raw Data'!LL64)</f>
        <v/>
      </c>
      <c r="LY28" s="15" t="str">
        <f>IF('Raw Data'!LM64="","",'Raw Data'!LM64)</f>
        <v/>
      </c>
      <c r="LZ28" s="15" t="str">
        <f>IF('Raw Data'!LN64="","",'Raw Data'!LN64)</f>
        <v/>
      </c>
      <c r="MA28" s="15" t="str">
        <f>IF('Raw Data'!LO64="","",'Raw Data'!LO64)</f>
        <v/>
      </c>
      <c r="MB28" s="15" t="str">
        <f>IF('Raw Data'!LP64="","",'Raw Data'!LP64)</f>
        <v>oui</v>
      </c>
      <c r="MC28" s="15" t="str">
        <f>IF('Raw Data'!LQ64="","",'Raw Data'!LQ64)</f>
        <v/>
      </c>
      <c r="MD28" s="15" t="str">
        <f>IF('Raw Data'!LR64="","",'Raw Data'!LR64)</f>
        <v>Pas de problèmes  majeurs liés à la sécurité</v>
      </c>
      <c r="ME28" s="15">
        <f>IF('Raw Data'!LS64="","",'Raw Data'!LS64)</f>
        <v>171960792</v>
      </c>
      <c r="MF28" s="15" t="str">
        <f>IF('Raw Data'!LT64="","",'Raw Data'!LT64)</f>
        <v>59f44817-3708-4968-9688-e9c008862d84</v>
      </c>
      <c r="MG28" s="15" t="str">
        <f>IF('Raw Data'!LU64="","",'Raw Data'!LU64)</f>
        <v>2021-04-16T11:53:01</v>
      </c>
      <c r="MH28" s="15" t="str">
        <f>IF('Raw Data'!LV64="","",'Raw Data'!LV64)</f>
        <v/>
      </c>
      <c r="MI28" s="15" t="str">
        <f>IF('Raw Data'!LW64="","",'Raw Data'!LW64)</f>
        <v>[]</v>
      </c>
      <c r="MJ28" s="15" t="str">
        <f>IF('Raw Data'!LX64="","",'Raw Data'!LX64)</f>
        <v>submitted_via_web</v>
      </c>
      <c r="MK28" s="15" t="str">
        <f>IF('Raw Data'!LY64="","",'Raw Data'!LY64)</f>
        <v>reach_niger</v>
      </c>
      <c r="ML28" s="15" t="str">
        <f>IF('Raw Data'!LZ64="","",'Raw Data'!LZ64)</f>
        <v/>
      </c>
      <c r="MM28" s="15">
        <f>IF('Raw Data'!MA64="","",'Raw Data'!MA64)</f>
        <v>69</v>
      </c>
    </row>
    <row r="29" spans="1:351" x14ac:dyDescent="0.3">
      <c r="A29" s="26" t="str">
        <f t="shared" si="0"/>
        <v>cb862c3a-2f65-4012-a589-4822ae7d753b</v>
      </c>
      <c r="B29" s="26" t="str">
        <f t="shared" si="1"/>
        <v>ayerou</v>
      </c>
      <c r="C29" s="26" t="str">
        <f t="shared" si="2"/>
        <v>F</v>
      </c>
      <c r="D29" s="14" t="str">
        <f>IF('Raw Data'!A63="","",'Raw Data'!A63)</f>
        <v>2021-04-16T09:18:49.356+01:00</v>
      </c>
      <c r="E29" s="14" t="str">
        <f>IF('Raw Data'!B63="","",'Raw Data'!B63)</f>
        <v>2021-04-16T10:40:20.601+01:00</v>
      </c>
      <c r="F29" s="30">
        <v>44302.388067129628</v>
      </c>
      <c r="G29" s="30">
        <v>44302.444675925923</v>
      </c>
      <c r="H29" s="29">
        <f>VLOOKUP(A29,Audit[#All],2,FALSE)</f>
        <v>81.52</v>
      </c>
      <c r="I29" s="29">
        <f>VLOOKUP(A29,Audit[#All],3,FALSE)</f>
        <v>81.47</v>
      </c>
      <c r="J29" s="29">
        <f>VLOOKUP(A29,Audit[#All],4,FALSE)</f>
        <v>81</v>
      </c>
      <c r="K29" s="29">
        <f>VLOOKUP(A29,nb_questions[#All],2,FALSE)</f>
        <v>74</v>
      </c>
      <c r="L29" s="29">
        <f t="shared" si="3"/>
        <v>169</v>
      </c>
      <c r="M29" s="14" t="str">
        <f>IF('Raw Data'!C63="","",'Raw Data'!C63)</f>
        <v>2021-04-16</v>
      </c>
      <c r="N29" s="14" t="str">
        <f>IF('Raw Data'!D63="","",'Raw Data'!D63)</f>
        <v/>
      </c>
      <c r="O29" s="14" t="str">
        <f>IF('Raw Data'!E63="","",'Raw Data'!E63)</f>
        <v/>
      </c>
      <c r="P29" s="29" t="str">
        <f>VLOOKUP(A29,code_enqueteurs[#All],3,FALSE)</f>
        <v>F</v>
      </c>
      <c r="Q29" s="29" t="s">
        <v>1651</v>
      </c>
      <c r="R29" s="14" t="str">
        <f>IF('Raw Data'!F63="","",'Raw Data'!F63)</f>
        <v>Homme</v>
      </c>
      <c r="S29" s="15" t="str">
        <f>IF('Raw Data'!G63="","",'Raw Data'!G63)</f>
        <v>ayerou</v>
      </c>
      <c r="T29" s="15" t="str">
        <f>IF('Raw Data'!H63="","",'Raw Data'!H63)</f>
        <v>ayerou</v>
      </c>
      <c r="U29" s="15" t="str">
        <f>IF('Raw Data'!I63="","",'Raw Data'!I63)</f>
        <v>ayarou_pdi</v>
      </c>
      <c r="V29" s="15" t="str">
        <f>IF('Raw Data'!J63="","",'Raw Data'!J63)</f>
        <v/>
      </c>
      <c r="W29" s="15" t="str">
        <f>IF('Raw Data'!K63="","",'Raw Data'!K63)</f>
        <v/>
      </c>
      <c r="X29" s="15" t="str">
        <f>IF('Raw Data'!L63="","",'Raw Data'!L63)</f>
        <v/>
      </c>
      <c r="Y29" s="15" t="str">
        <f>IF('Raw Data'!M63="","",'Raw Data'!M63)</f>
        <v/>
      </c>
      <c r="Z29" s="15" t="str">
        <f>IF('Raw Data'!N63="","",'Raw Data'!N63)</f>
        <v/>
      </c>
      <c r="AA29" s="15" t="str">
        <f>IF('Raw Data'!O63="","",'Raw Data'!O63)</f>
        <v/>
      </c>
      <c r="AB29" s="15" t="str">
        <f>IF('Raw Data'!P63="","",'Raw Data'!P63)</f>
        <v/>
      </c>
      <c r="AC29" s="15" t="str">
        <f>IF('Raw Data'!Q63="","",'Raw Data'!Q63)</f>
        <v/>
      </c>
      <c r="AD29" s="15" t="str">
        <f>IF('Raw Data'!R63="","",'Raw Data'!R63)</f>
        <v>Homme</v>
      </c>
      <c r="AE29" s="15" t="str">
        <f>IF('Raw Data'!S63="","",'Raw Data'!S63)</f>
        <v>54</v>
      </c>
      <c r="AF29" s="15" t="str">
        <f>IF('Raw Data'!T63="","",'Raw Data'!T63)</f>
        <v>deplace_interne</v>
      </c>
      <c r="AG29" s="15" t="str">
        <f>IF('Raw Data'!U63="","",'Raw Data'!U63)</f>
        <v/>
      </c>
      <c r="AH29" s="15" t="str">
        <f>IF('Raw Data'!V63="","",'Raw Data'!V63)</f>
        <v/>
      </c>
      <c r="AI29" s="15" t="str">
        <f>IF('Raw Data'!W63="","",'Raw Data'!W63)</f>
        <v/>
      </c>
      <c r="AJ29" s="15" t="str">
        <f>IF('Raw Data'!X63="","",'Raw Data'!X63)</f>
        <v/>
      </c>
      <c r="AK29" s="15" t="str">
        <f>IF('Raw Data'!Y63="","",'Raw Data'!Y63)</f>
        <v/>
      </c>
      <c r="AL29" s="15" t="str">
        <f>IF('Raw Data'!Z63="","",'Raw Data'!Z63)</f>
        <v>niger</v>
      </c>
      <c r="AM29" s="15" t="str">
        <f>IF('Raw Data'!AA63="","",'Raw Data'!AA63)</f>
        <v>tillaberi</v>
      </c>
      <c r="AN29" s="15" t="str">
        <f>IF('Raw Data'!AB63="","",'Raw Data'!AB63)</f>
        <v>ayerou</v>
      </c>
      <c r="AO29" s="15" t="str">
        <f>IF('Raw Data'!AC63="","",'Raw Data'!AC63)</f>
        <v/>
      </c>
      <c r="AP29" s="15" t="str">
        <f>IF('Raw Data'!AD63="","",'Raw Data'!AD63)</f>
        <v/>
      </c>
      <c r="AQ29" s="15" t="str">
        <f>IF('Raw Data'!AE63="","",'Raw Data'!AE63)</f>
        <v/>
      </c>
      <c r="AR29" s="15" t="str">
        <f>IF('Raw Data'!AF63="","",'Raw Data'!AF63)</f>
        <v/>
      </c>
      <c r="AS29" s="15" t="str">
        <f>IF('Raw Data'!AG63="","",'Raw Data'!AG63)</f>
        <v>non</v>
      </c>
      <c r="AT29" s="15" t="str">
        <f>IF('Raw Data'!AH63="","",'Raw Data'!AH63)</f>
        <v/>
      </c>
      <c r="AU29" s="15" t="str">
        <f>IF('Raw Data'!AI63="","",'Raw Data'!AI63)</f>
        <v/>
      </c>
      <c r="AV29" s="15" t="str">
        <f>IF('Raw Data'!AJ63="","",'Raw Data'!AJ63)</f>
        <v/>
      </c>
      <c r="AW29" s="15" t="str">
        <f>IF('Raw Data'!AK63="","",'Raw Data'!AK63)</f>
        <v/>
      </c>
      <c r="AX29" s="15" t="str">
        <f>IF('Raw Data'!AL63="","",'Raw Data'!AL63)</f>
        <v/>
      </c>
      <c r="AY29" s="15" t="str">
        <f>IF('Raw Data'!AM63="","",'Raw Data'!AM63)</f>
        <v/>
      </c>
      <c r="AZ29" s="15" t="str">
        <f>IF('Raw Data'!AN63="","",'Raw Data'!AN63)</f>
        <v/>
      </c>
      <c r="BA29" s="15" t="str">
        <f>IF('Raw Data'!AO63="","",'Raw Data'!AO63)</f>
        <v/>
      </c>
      <c r="BB29" s="15" t="str">
        <f>IF('Raw Data'!AP63="","",'Raw Data'!AP63)</f>
        <v/>
      </c>
      <c r="BC29" s="15" t="str">
        <f>IF('Raw Data'!AQ63="","",'Raw Data'!AQ63)</f>
        <v/>
      </c>
      <c r="BD29" s="15" t="str">
        <f>IF('Raw Data'!AR63="","",'Raw Data'!AR63)</f>
        <v/>
      </c>
      <c r="BE29" s="15" t="str">
        <f>IF('Raw Data'!AS63="","",'Raw Data'!AS63)</f>
        <v/>
      </c>
      <c r="BF29" s="15" t="str">
        <f>IF('Raw Data'!AT63="","",'Raw Data'!AT63)</f>
        <v/>
      </c>
      <c r="BG29" s="15" t="str">
        <f>IF('Raw Data'!AU63="","",'Raw Data'!AU63)</f>
        <v/>
      </c>
      <c r="BH29" s="15" t="str">
        <f>IF('Raw Data'!AV63="","",'Raw Data'!AV63)</f>
        <v/>
      </c>
      <c r="BI29" s="15" t="str">
        <f>IF('Raw Data'!AW63="","",'Raw Data'!AW63)</f>
        <v/>
      </c>
      <c r="BJ29" s="15" t="str">
        <f>IF('Raw Data'!AX63="","",'Raw Data'!AX63)</f>
        <v/>
      </c>
      <c r="BK29" s="15" t="str">
        <f>IF('Raw Data'!AY63="","",'Raw Data'!AY63)</f>
        <v/>
      </c>
      <c r="BL29" s="15" t="str">
        <f>IF('Raw Data'!AZ63="","",'Raw Data'!AZ63)</f>
        <v/>
      </c>
      <c r="BM29" s="15" t="str">
        <f>IF('Raw Data'!BA63="","",'Raw Data'!BA63)</f>
        <v/>
      </c>
      <c r="BN29" s="15" t="str">
        <f>IF('Raw Data'!BB63="","",'Raw Data'!BB63)</f>
        <v/>
      </c>
      <c r="BO29" s="15" t="str">
        <f>IF('Raw Data'!BC63="","",'Raw Data'!BC63)</f>
        <v/>
      </c>
      <c r="BP29" s="15" t="str">
        <f>IF('Raw Data'!BD63="","",'Raw Data'!BD63)</f>
        <v/>
      </c>
      <c r="BQ29" s="15" t="str">
        <f>IF('Raw Data'!BE63="","",'Raw Data'!BE63)</f>
        <v/>
      </c>
      <c r="BR29" s="15" t="str">
        <f>IF('Raw Data'!BF63="","",'Raw Data'!BF63)</f>
        <v/>
      </c>
      <c r="BS29" s="15" t="str">
        <f>IF('Raw Data'!BG63="","",'Raw Data'!BG63)</f>
        <v/>
      </c>
      <c r="BT29" s="15" t="str">
        <f>IF('Raw Data'!BH63="","",'Raw Data'!BH63)</f>
        <v/>
      </c>
      <c r="BU29" s="15" t="str">
        <f>IF('Raw Data'!BI63="","",'Raw Data'!BI63)</f>
        <v/>
      </c>
      <c r="BV29" s="15" t="str">
        <f>IF('Raw Data'!BJ63="","",'Raw Data'!BJ63)</f>
        <v/>
      </c>
      <c r="BW29" s="15" t="str">
        <f>IF('Raw Data'!BK63="","",'Raw Data'!BK63)</f>
        <v/>
      </c>
      <c r="BX29" s="15" t="str">
        <f>IF('Raw Data'!BL63="","",'Raw Data'!BL63)</f>
        <v/>
      </c>
      <c r="BY29" s="15" t="str">
        <f>IF('Raw Data'!BM63="","",'Raw Data'!BM63)</f>
        <v/>
      </c>
      <c r="BZ29" s="15" t="str">
        <f>IF('Raw Data'!BN63="","",'Raw Data'!BN63)</f>
        <v/>
      </c>
      <c r="CA29" s="15" t="str">
        <f>IF('Raw Data'!BO63="","",'Raw Data'!BO63)</f>
        <v/>
      </c>
      <c r="CB29" s="15" t="str">
        <f>IF('Raw Data'!BP63="","",'Raw Data'!BP63)</f>
        <v/>
      </c>
      <c r="CC29" s="15" t="str">
        <f>IF('Raw Data'!BQ63="","",'Raw Data'!BQ63)</f>
        <v>oui</v>
      </c>
      <c r="CD29" s="15" t="str">
        <f>IF('Raw Data'!BR63="","",'Raw Data'!BR63)</f>
        <v>viol</v>
      </c>
      <c r="CE29" s="15" t="str">
        <f>IF('Raw Data'!BS63="","",'Raw Data'!BS63)</f>
        <v>1</v>
      </c>
      <c r="CF29" s="15" t="str">
        <f>IF('Raw Data'!BT63="","",'Raw Data'!BT63)</f>
        <v>0</v>
      </c>
      <c r="CG29" s="15" t="str">
        <f>IF('Raw Data'!BU63="","",'Raw Data'!BU63)</f>
        <v>0</v>
      </c>
      <c r="CH29" s="15" t="str">
        <f>IF('Raw Data'!BV63="","",'Raw Data'!BV63)</f>
        <v>0</v>
      </c>
      <c r="CI29" s="15" t="str">
        <f>IF('Raw Data'!BW63="","",'Raw Data'!BW63)</f>
        <v>0</v>
      </c>
      <c r="CJ29" s="15" t="str">
        <f>IF('Raw Data'!BX63="","",'Raw Data'!BX63)</f>
        <v>0</v>
      </c>
      <c r="CK29" s="15" t="str">
        <f>IF('Raw Data'!BY63="","",'Raw Data'!BY63)</f>
        <v>0</v>
      </c>
      <c r="CL29" s="15" t="str">
        <f>IF('Raw Data'!BZ63="","",'Raw Data'!BZ63)</f>
        <v>0</v>
      </c>
      <c r="CM29" s="15" t="str">
        <f>IF('Raw Data'!CA63="","",'Raw Data'!CA63)</f>
        <v>0</v>
      </c>
      <c r="CN29" s="15" t="str">
        <f>IF('Raw Data'!CB63="","",'Raw Data'!CB63)</f>
        <v>0</v>
      </c>
      <c r="CO29" s="15" t="str">
        <f>IF('Raw Data'!CC63="","",'Raw Data'!CC63)</f>
        <v>0</v>
      </c>
      <c r="CP29" s="15" t="str">
        <f>IF('Raw Data'!CD63="","",'Raw Data'!CD63)</f>
        <v>0</v>
      </c>
      <c r="CQ29" s="15" t="str">
        <f>IF('Raw Data'!CE63="","",'Raw Data'!CE63)</f>
        <v>0</v>
      </c>
      <c r="CR29" s="15" t="str">
        <f>IF('Raw Data'!CF63="","",'Raw Data'!CF63)</f>
        <v>0</v>
      </c>
      <c r="CS29" s="15" t="str">
        <f>IF('Raw Data'!CG63="","",'Raw Data'!CG63)</f>
        <v>0</v>
      </c>
      <c r="CT29" s="15" t="str">
        <f>IF('Raw Data'!CH63="","",'Raw Data'!CH63)</f>
        <v/>
      </c>
      <c r="CU29" s="15" t="str">
        <f>IF('Raw Data'!CI63="","",'Raw Data'!CI63)</f>
        <v>Femmes Filles</v>
      </c>
      <c r="CV29" s="15" t="str">
        <f>IF('Raw Data'!CJ63="","",'Raw Data'!CJ63)</f>
        <v>0</v>
      </c>
      <c r="CW29" s="15" t="str">
        <f>IF('Raw Data'!CK63="","",'Raw Data'!CK63)</f>
        <v>0</v>
      </c>
      <c r="CX29" s="15" t="str">
        <f>IF('Raw Data'!CL63="","",'Raw Data'!CL63)</f>
        <v>1</v>
      </c>
      <c r="CY29" s="15" t="str">
        <f>IF('Raw Data'!CM63="","",'Raw Data'!CM63)</f>
        <v>0</v>
      </c>
      <c r="CZ29" s="15" t="str">
        <f>IF('Raw Data'!CN63="","",'Raw Data'!CN63)</f>
        <v>1</v>
      </c>
      <c r="DA29" s="15" t="str">
        <f>IF('Raw Data'!CO63="","",'Raw Data'!CO63)</f>
        <v>0</v>
      </c>
      <c r="DB29" s="15" t="str">
        <f>IF('Raw Data'!CP63="","",'Raw Data'!CP63)</f>
        <v>0</v>
      </c>
      <c r="DC29" s="15" t="str">
        <f>IF('Raw Data'!CQ63="","",'Raw Data'!CQ63)</f>
        <v>0</v>
      </c>
      <c r="DD29" s="15" t="str">
        <f>IF('Raw Data'!CR63="","",'Raw Data'!CR63)</f>
        <v>0</v>
      </c>
      <c r="DE29" s="15" t="str">
        <f>IF('Raw Data'!CS63="","",'Raw Data'!CS63)</f>
        <v>0</v>
      </c>
      <c r="DF29" s="15" t="str">
        <f>IF('Raw Data'!CT63="","",'Raw Data'!CT63)</f>
        <v>0</v>
      </c>
      <c r="DG29" s="15" t="str">
        <f>IF('Raw Data'!CU63="","",'Raw Data'!CU63)</f>
        <v>0</v>
      </c>
      <c r="DH29" s="15" t="str">
        <f>IF('Raw Data'!CV63="","",'Raw Data'!CV63)</f>
        <v>0</v>
      </c>
      <c r="DI29" s="15" t="str">
        <f>IF('Raw Data'!CW63="","",'Raw Data'!CW63)</f>
        <v>0</v>
      </c>
      <c r="DJ29" s="15" t="str">
        <f>IF('Raw Data'!CX63="","",'Raw Data'!CX63)</f>
        <v/>
      </c>
      <c r="DK29" s="15" t="str">
        <f>IF('Raw Data'!CY63="","",'Raw Data'!CY63)</f>
        <v>1</v>
      </c>
      <c r="DL29" s="15" t="str">
        <f>IF('Raw Data'!CZ63="","",'Raw Data'!CZ63)</f>
        <v>stable</v>
      </c>
      <c r="DM29" s="15" t="str">
        <f>IF('Raw Data'!DA63="","",'Raw Data'!DA63)</f>
        <v/>
      </c>
      <c r="DN29" s="15" t="str">
        <f>IF('Raw Data'!DB63="","",'Raw Data'!DB63)</f>
        <v/>
      </c>
      <c r="DO29" s="15" t="str">
        <f>IF('Raw Data'!DC63="","",'Raw Data'!DC63)</f>
        <v/>
      </c>
      <c r="DP29" s="15" t="str">
        <f>IF('Raw Data'!DD63="","",'Raw Data'!DD63)</f>
        <v/>
      </c>
      <c r="DQ29" s="15" t="str">
        <f>IF('Raw Data'!DE63="","",'Raw Data'!DE63)</f>
        <v/>
      </c>
      <c r="DR29" s="15" t="str">
        <f>IF('Raw Data'!DF63="","",'Raw Data'!DF63)</f>
        <v/>
      </c>
      <c r="DS29" s="15" t="str">
        <f>IF('Raw Data'!DG63="","",'Raw Data'!DG63)</f>
        <v/>
      </c>
      <c r="DT29" s="15" t="str">
        <f>IF('Raw Data'!DH63="","",'Raw Data'!DH63)</f>
        <v/>
      </c>
      <c r="DU29" s="15" t="str">
        <f>IF('Raw Data'!DI63="","",'Raw Data'!DI63)</f>
        <v/>
      </c>
      <c r="DV29" s="15" t="str">
        <f>IF('Raw Data'!DJ63="","",'Raw Data'!DJ63)</f>
        <v/>
      </c>
      <c r="DW29" s="15" t="str">
        <f>IF('Raw Data'!DK63="","",'Raw Data'!DK63)</f>
        <v/>
      </c>
      <c r="DX29" s="15" t="str">
        <f>IF('Raw Data'!DL63="","",'Raw Data'!DL63)</f>
        <v/>
      </c>
      <c r="DY29" s="15" t="str">
        <f>IF('Raw Data'!DM63="","",'Raw Data'!DM63)</f>
        <v/>
      </c>
      <c r="DZ29" s="15" t="str">
        <f>IF('Raw Data'!DN63="","",'Raw Data'!DN63)</f>
        <v/>
      </c>
      <c r="EA29" s="15" t="str">
        <f>IF('Raw Data'!DO63="","",'Raw Data'!DO63)</f>
        <v/>
      </c>
      <c r="EB29" s="15" t="str">
        <f>IF('Raw Data'!DP63="","",'Raw Data'!DP63)</f>
        <v/>
      </c>
      <c r="EC29" s="15" t="str">
        <f>IF('Raw Data'!DQ63="","",'Raw Data'!DQ63)</f>
        <v/>
      </c>
      <c r="ED29" s="15" t="str">
        <f>IF('Raw Data'!DR63="","",'Raw Data'!DR63)</f>
        <v/>
      </c>
      <c r="EE29" s="15" t="str">
        <f>IF('Raw Data'!DS63="","",'Raw Data'!DS63)</f>
        <v/>
      </c>
      <c r="EF29" s="15" t="str">
        <f>IF('Raw Data'!DT63="","",'Raw Data'!DT63)</f>
        <v/>
      </c>
      <c r="EG29" s="15" t="str">
        <f>IF('Raw Data'!DU63="","",'Raw Data'!DU63)</f>
        <v/>
      </c>
      <c r="EH29" s="15" t="str">
        <f>IF('Raw Data'!DV63="","",'Raw Data'!DV63)</f>
        <v/>
      </c>
      <c r="EI29" s="15" t="str">
        <f>IF('Raw Data'!DW63="","",'Raw Data'!DW63)</f>
        <v/>
      </c>
      <c r="EJ29" s="15" t="str">
        <f>IF('Raw Data'!DX63="","",'Raw Data'!DX63)</f>
        <v/>
      </c>
      <c r="EK29" s="15" t="str">
        <f>IF('Raw Data'!DY63="","",'Raw Data'!DY63)</f>
        <v/>
      </c>
      <c r="EL29" s="15" t="str">
        <f>IF('Raw Data'!DZ63="","",'Raw Data'!DZ63)</f>
        <v>Soutien_chef_village</v>
      </c>
      <c r="EM29" s="15" t="str">
        <f>IF('Raw Data'!EA63="","",'Raw Data'!EA63)</f>
        <v>0</v>
      </c>
      <c r="EN29" s="15" t="str">
        <f>IF('Raw Data'!EB63="","",'Raw Data'!EB63)</f>
        <v>0</v>
      </c>
      <c r="EO29" s="15" t="str">
        <f>IF('Raw Data'!EC63="","",'Raw Data'!EC63)</f>
        <v>0</v>
      </c>
      <c r="EP29" s="15" t="str">
        <f>IF('Raw Data'!ED63="","",'Raw Data'!ED63)</f>
        <v>1</v>
      </c>
      <c r="EQ29" s="15" t="str">
        <f>IF('Raw Data'!EE63="","",'Raw Data'!EE63)</f>
        <v>0</v>
      </c>
      <c r="ER29" s="15" t="str">
        <f>IF('Raw Data'!EF63="","",'Raw Data'!EF63)</f>
        <v>0</v>
      </c>
      <c r="ES29" s="15" t="str">
        <f>IF('Raw Data'!EG63="","",'Raw Data'!EG63)</f>
        <v>0</v>
      </c>
      <c r="ET29" s="15" t="str">
        <f>IF('Raw Data'!EH63="","",'Raw Data'!EH63)</f>
        <v>0</v>
      </c>
      <c r="EU29" s="15" t="str">
        <f>IF('Raw Data'!EI63="","",'Raw Data'!EI63)</f>
        <v>0</v>
      </c>
      <c r="EV29" s="15" t="str">
        <f>IF('Raw Data'!EJ63="","",'Raw Data'!EJ63)</f>
        <v/>
      </c>
      <c r="EW29" s="15" t="str">
        <f>IF('Raw Data'!EK63="","",'Raw Data'!EK63)</f>
        <v/>
      </c>
      <c r="EX29" s="15" t="str">
        <f>IF('Raw Data'!EL63="","",'Raw Data'!EL63)</f>
        <v>Ne_sait_pas</v>
      </c>
      <c r="EY29" s="15" t="str">
        <f>IF('Raw Data'!EM63="","",'Raw Data'!EM63)</f>
        <v>0</v>
      </c>
      <c r="EZ29" s="15" t="str">
        <f>IF('Raw Data'!EN63="","",'Raw Data'!EN63)</f>
        <v>0</v>
      </c>
      <c r="FA29" s="15" t="str">
        <f>IF('Raw Data'!EO63="","",'Raw Data'!EO63)</f>
        <v>0</v>
      </c>
      <c r="FB29" s="15" t="str">
        <f>IF('Raw Data'!EP63="","",'Raw Data'!EP63)</f>
        <v>0</v>
      </c>
      <c r="FC29" s="15" t="str">
        <f>IF('Raw Data'!EQ63="","",'Raw Data'!EQ63)</f>
        <v>0</v>
      </c>
      <c r="FD29" s="15" t="str">
        <f>IF('Raw Data'!ER63="","",'Raw Data'!ER63)</f>
        <v>0</v>
      </c>
      <c r="FE29" s="15" t="str">
        <f>IF('Raw Data'!ES63="","",'Raw Data'!ES63)</f>
        <v>0</v>
      </c>
      <c r="FF29" s="15" t="str">
        <f>IF('Raw Data'!ET63="","",'Raw Data'!ET63)</f>
        <v>0</v>
      </c>
      <c r="FG29" s="15" t="str">
        <f>IF('Raw Data'!EU63="","",'Raw Data'!EU63)</f>
        <v>1</v>
      </c>
      <c r="FH29" s="15" t="str">
        <f>IF('Raw Data'!EV63="","",'Raw Data'!EV63)</f>
        <v>0</v>
      </c>
      <c r="FI29" s="15" t="str">
        <f>IF('Raw Data'!EW63="","",'Raw Data'!EW63)</f>
        <v/>
      </c>
      <c r="FJ29" s="15" t="str">
        <f>IF('Raw Data'!EX63="","",'Raw Data'!EX63)</f>
        <v>non</v>
      </c>
      <c r="FK29" s="15" t="str">
        <f>IF('Raw Data'!EY63="","",'Raw Data'!EY63)</f>
        <v/>
      </c>
      <c r="FL29" s="15" t="str">
        <f>IF('Raw Data'!EZ63="","",'Raw Data'!EZ63)</f>
        <v/>
      </c>
      <c r="FM29" s="15" t="str">
        <f>IF('Raw Data'!FA63="","",'Raw Data'!FA63)</f>
        <v/>
      </c>
      <c r="FN29" s="15" t="str">
        <f>IF('Raw Data'!FB63="","",'Raw Data'!FB63)</f>
        <v/>
      </c>
      <c r="FO29" s="15" t="str">
        <f>IF('Raw Data'!FC63="","",'Raw Data'!FC63)</f>
        <v/>
      </c>
      <c r="FP29" s="15" t="str">
        <f>IF('Raw Data'!FD63="","",'Raw Data'!FD63)</f>
        <v/>
      </c>
      <c r="FQ29" s="15" t="str">
        <f>IF('Raw Data'!FE63="","",'Raw Data'!FE63)</f>
        <v/>
      </c>
      <c r="FR29" s="15" t="str">
        <f>IF('Raw Data'!FF63="","",'Raw Data'!FF63)</f>
        <v/>
      </c>
      <c r="FS29" s="15" t="str">
        <f>IF('Raw Data'!FG63="","",'Raw Data'!FG63)</f>
        <v/>
      </c>
      <c r="FT29" s="15" t="str">
        <f>IF('Raw Data'!FH63="","",'Raw Data'!FH63)</f>
        <v/>
      </c>
      <c r="FU29" s="15" t="str">
        <f>IF('Raw Data'!FI63="","",'Raw Data'!FI63)</f>
        <v/>
      </c>
      <c r="FV29" s="15" t="str">
        <f>IF('Raw Data'!FJ63="","",'Raw Data'!FJ63)</f>
        <v/>
      </c>
      <c r="FW29" s="15" t="str">
        <f>IF('Raw Data'!FK63="","",'Raw Data'!FK63)</f>
        <v/>
      </c>
      <c r="FX29" s="15" t="str">
        <f>IF('Raw Data'!FL63="","",'Raw Data'!FL63)</f>
        <v/>
      </c>
      <c r="FY29" s="15" t="str">
        <f>IF('Raw Data'!FM63="","",'Raw Data'!FM63)</f>
        <v/>
      </c>
      <c r="FZ29" s="15" t="str">
        <f>IF('Raw Data'!FN63="","",'Raw Data'!FN63)</f>
        <v/>
      </c>
      <c r="GA29" s="15" t="str">
        <f>IF('Raw Data'!FO63="","",'Raw Data'!FO63)</f>
        <v/>
      </c>
      <c r="GB29" s="15" t="str">
        <f>IF('Raw Data'!FP63="","",'Raw Data'!FP63)</f>
        <v/>
      </c>
      <c r="GC29" s="15" t="str">
        <f>IF('Raw Data'!FQ63="","",'Raw Data'!FQ63)</f>
        <v/>
      </c>
      <c r="GD29" s="15" t="str">
        <f>IF('Raw Data'!FR63="","",'Raw Data'!FR63)</f>
        <v/>
      </c>
      <c r="GE29" s="15" t="str">
        <f>IF('Raw Data'!FS63="","",'Raw Data'!FS63)</f>
        <v/>
      </c>
      <c r="GF29" s="15" t="str">
        <f>IF('Raw Data'!FT63="","",'Raw Data'!FT63)</f>
        <v/>
      </c>
      <c r="GG29" s="15" t="str">
        <f>IF('Raw Data'!FU63="","",'Raw Data'!FU63)</f>
        <v/>
      </c>
      <c r="GH29" s="15" t="str">
        <f>IF('Raw Data'!FV63="","",'Raw Data'!FV63)</f>
        <v/>
      </c>
      <c r="GI29" s="15" t="str">
        <f>IF('Raw Data'!FW63="","",'Raw Data'!FW63)</f>
        <v/>
      </c>
      <c r="GJ29" s="15" t="str">
        <f>IF('Raw Data'!FX63="","",'Raw Data'!FX63)</f>
        <v/>
      </c>
      <c r="GK29" s="15" t="str">
        <f>IF('Raw Data'!FY63="","",'Raw Data'!FY63)</f>
        <v/>
      </c>
      <c r="GL29" s="15" t="str">
        <f>IF('Raw Data'!FZ63="","",'Raw Data'!FZ63)</f>
        <v/>
      </c>
      <c r="GM29" s="15" t="str">
        <f>IF('Raw Data'!GA63="","",'Raw Data'!GA63)</f>
        <v/>
      </c>
      <c r="GN29" s="15" t="str">
        <f>IF('Raw Data'!GB63="","",'Raw Data'!GB63)</f>
        <v/>
      </c>
      <c r="GO29" s="15" t="str">
        <f>IF('Raw Data'!GC63="","",'Raw Data'!GC63)</f>
        <v/>
      </c>
      <c r="GP29" s="15" t="str">
        <f>IF('Raw Data'!GD63="","",'Raw Data'!GD63)</f>
        <v/>
      </c>
      <c r="GQ29" s="15" t="str">
        <f>IF('Raw Data'!GE63="","",'Raw Data'!GE63)</f>
        <v/>
      </c>
      <c r="GR29" s="15" t="str">
        <f>IF('Raw Data'!GF63="","",'Raw Data'!GF63)</f>
        <v/>
      </c>
      <c r="GS29" s="15" t="str">
        <f>IF('Raw Data'!GG63="","",'Raw Data'!GG63)</f>
        <v/>
      </c>
      <c r="GT29" s="15" t="str">
        <f>IF('Raw Data'!GH63="","",'Raw Data'!GH63)</f>
        <v/>
      </c>
      <c r="GU29" s="15" t="str">
        <f>IF('Raw Data'!GI63="","",'Raw Data'!GI63)</f>
        <v/>
      </c>
      <c r="GV29" s="15" t="str">
        <f>IF('Raw Data'!GJ63="","",'Raw Data'!GJ63)</f>
        <v/>
      </c>
      <c r="GW29" s="15" t="str">
        <f>IF('Raw Data'!GK63="","",'Raw Data'!GK63)</f>
        <v/>
      </c>
      <c r="GX29" s="15" t="str">
        <f>IF('Raw Data'!GL63="","",'Raw Data'!GL63)</f>
        <v/>
      </c>
      <c r="GY29" s="15" t="str">
        <f>IF('Raw Data'!GM63="","",'Raw Data'!GM63)</f>
        <v/>
      </c>
      <c r="GZ29" s="31"/>
      <c r="HA29" s="31"/>
      <c r="HB29" s="15" t="str">
        <f>IF('Raw Data'!GP63="","",'Raw Data'!GP63)</f>
        <v/>
      </c>
      <c r="HC29" s="15" t="str">
        <f>IF('Raw Data'!GQ63="","",'Raw Data'!GQ63)</f>
        <v/>
      </c>
      <c r="HD29" s="15" t="str">
        <f>IF('Raw Data'!GR63="","",'Raw Data'!GR63)</f>
        <v/>
      </c>
      <c r="HE29" s="15" t="str">
        <f>IF('Raw Data'!GS63="","",'Raw Data'!GS63)</f>
        <v/>
      </c>
      <c r="HF29" s="15" t="str">
        <f>IF('Raw Data'!GT63="","",'Raw Data'!GT63)</f>
        <v/>
      </c>
      <c r="HG29" s="15" t="str">
        <f>IF('Raw Data'!GU63="","",'Raw Data'!GU63)</f>
        <v/>
      </c>
      <c r="HH29" s="15" t="str">
        <f>IF('Raw Data'!GV63="","",'Raw Data'!GV63)</f>
        <v/>
      </c>
      <c r="HI29" s="15" t="str">
        <f>IF('Raw Data'!GW63="","",'Raw Data'!GW63)</f>
        <v/>
      </c>
      <c r="HJ29" s="15" t="str">
        <f>IF('Raw Data'!GX63="","",'Raw Data'!GX63)</f>
        <v/>
      </c>
      <c r="HK29" s="15" t="str">
        <f>IF('Raw Data'!GY63="","",'Raw Data'!GY63)</f>
        <v/>
      </c>
      <c r="HL29" s="15" t="str">
        <f>IF('Raw Data'!GZ63="","",'Raw Data'!GZ63)</f>
        <v/>
      </c>
      <c r="HM29" s="15" t="str">
        <f>IF('Raw Data'!HA63="","",'Raw Data'!HA63)</f>
        <v/>
      </c>
      <c r="HN29" s="15" t="str">
        <f>IF('Raw Data'!HB63="","",'Raw Data'!HB63)</f>
        <v/>
      </c>
      <c r="HO29" s="15" t="str">
        <f>IF('Raw Data'!HC63="","",'Raw Data'!HC63)</f>
        <v/>
      </c>
      <c r="HP29" s="15" t="str">
        <f>IF('Raw Data'!HD63="","",'Raw Data'!HD63)</f>
        <v/>
      </c>
      <c r="HQ29" s="15" t="str">
        <f>IF('Raw Data'!HE63="","",'Raw Data'!HE63)</f>
        <v/>
      </c>
      <c r="HR29" s="15" t="str">
        <f>IF('Raw Data'!HF63="","",'Raw Data'!HF63)</f>
        <v/>
      </c>
      <c r="HS29" s="15" t="str">
        <f>IF('Raw Data'!HG63="","",'Raw Data'!HG63)</f>
        <v/>
      </c>
      <c r="HT29" s="15" t="str">
        <f>IF('Raw Data'!HH63="","",'Raw Data'!HH63)</f>
        <v/>
      </c>
      <c r="HU29" s="15" t="str">
        <f>IF('Raw Data'!HI63="","",'Raw Data'!HI63)</f>
        <v>oui_ensemble</v>
      </c>
      <c r="HV29" s="15" t="str">
        <f>IF('Raw Data'!HJ63="","",'Raw Data'!HJ63)</f>
        <v>ingo</v>
      </c>
      <c r="HW29" s="15" t="str">
        <f>IF('Raw Data'!HK63="","",'Raw Data'!HK63)</f>
        <v>0</v>
      </c>
      <c r="HX29" s="15" t="str">
        <f>IF('Raw Data'!HL63="","",'Raw Data'!HL63)</f>
        <v>0</v>
      </c>
      <c r="HY29" s="15" t="str">
        <f>IF('Raw Data'!HM63="","",'Raw Data'!HM63)</f>
        <v>0</v>
      </c>
      <c r="HZ29" s="15" t="str">
        <f>IF('Raw Data'!HN63="","",'Raw Data'!HN63)</f>
        <v>0</v>
      </c>
      <c r="IA29" s="15" t="str">
        <f>IF('Raw Data'!HO63="","",'Raw Data'!HO63)</f>
        <v>1</v>
      </c>
      <c r="IB29" s="15" t="str">
        <f>IF('Raw Data'!HP63="","",'Raw Data'!HP63)</f>
        <v>0</v>
      </c>
      <c r="IC29" s="15" t="str">
        <f>IF('Raw Data'!HQ63="","",'Raw Data'!HQ63)</f>
        <v>0</v>
      </c>
      <c r="ID29" s="15" t="str">
        <f>IF('Raw Data'!HR63="","",'Raw Data'!HR63)</f>
        <v>0</v>
      </c>
      <c r="IE29" s="15" t="str">
        <f>IF('Raw Data'!HS63="","",'Raw Data'!HS63)</f>
        <v>0</v>
      </c>
      <c r="IF29" s="15" t="str">
        <f>IF('Raw Data'!HT63="","",'Raw Data'!HT63)</f>
        <v>0</v>
      </c>
      <c r="IG29" s="15" t="str">
        <f>IF('Raw Data'!HU63="","",'Raw Data'!HU63)</f>
        <v/>
      </c>
      <c r="IH29" s="15" t="str">
        <f>IF('Raw Data'!HV63="","",'Raw Data'!HV63)</f>
        <v/>
      </c>
      <c r="II29" s="15" t="str">
        <f>IF('Raw Data'!HW63="","",'Raw Data'!HW63)</f>
        <v/>
      </c>
      <c r="IJ29" s="15" t="str">
        <f>IF('Raw Data'!HX63="","",'Raw Data'!HX63)</f>
        <v>Ne_sait_pas</v>
      </c>
      <c r="IK29" s="15" t="str">
        <f>IF('Raw Data'!HY63="","",'Raw Data'!HY63)</f>
        <v>0</v>
      </c>
      <c r="IL29" s="15" t="str">
        <f>IF('Raw Data'!HZ63="","",'Raw Data'!HZ63)</f>
        <v>0</v>
      </c>
      <c r="IM29" s="15" t="str">
        <f>IF('Raw Data'!IA63="","",'Raw Data'!IA63)</f>
        <v>0</v>
      </c>
      <c r="IN29" s="15" t="str">
        <f>IF('Raw Data'!IB63="","",'Raw Data'!IB63)</f>
        <v>0</v>
      </c>
      <c r="IO29" s="15" t="str">
        <f>IF('Raw Data'!IC63="","",'Raw Data'!IC63)</f>
        <v>0</v>
      </c>
      <c r="IP29" s="15" t="str">
        <f>IF('Raw Data'!ID63="","",'Raw Data'!ID63)</f>
        <v>0</v>
      </c>
      <c r="IQ29" s="15" t="str">
        <f>IF('Raw Data'!IE63="","",'Raw Data'!IE63)</f>
        <v>0</v>
      </c>
      <c r="IR29" s="15" t="str">
        <f>IF('Raw Data'!IF63="","",'Raw Data'!IF63)</f>
        <v>0</v>
      </c>
      <c r="IS29" s="15" t="str">
        <f>IF('Raw Data'!IG63="","",'Raw Data'!IG63)</f>
        <v>0</v>
      </c>
      <c r="IT29" s="15" t="str">
        <f>IF('Raw Data'!IH63="","",'Raw Data'!IH63)</f>
        <v>0</v>
      </c>
      <c r="IU29" s="15" t="str">
        <f>IF('Raw Data'!II63="","",'Raw Data'!II63)</f>
        <v>0</v>
      </c>
      <c r="IV29" s="15" t="str">
        <f>IF('Raw Data'!IJ63="","",'Raw Data'!IJ63)</f>
        <v>1</v>
      </c>
      <c r="IW29" s="15" t="str">
        <f>IF('Raw Data'!IK63="","",'Raw Data'!IK63)</f>
        <v>0</v>
      </c>
      <c r="IX29" s="15" t="str">
        <f>IF('Raw Data'!IL63="","",'Raw Data'!IL63)</f>
        <v>0</v>
      </c>
      <c r="IY29" s="15" t="str">
        <f>IF('Raw Data'!IM63="","",'Raw Data'!IM63)</f>
        <v/>
      </c>
      <c r="IZ29" s="15" t="str">
        <f>IF('Raw Data'!IN63="","",'Raw Data'!IN63)</f>
        <v>1</v>
      </c>
      <c r="JA29" s="31" t="s">
        <v>1627</v>
      </c>
      <c r="JB29" s="31" t="s">
        <v>1627</v>
      </c>
      <c r="JC29" s="31" t="s">
        <v>1627</v>
      </c>
      <c r="JD29" s="31" t="s">
        <v>1627</v>
      </c>
      <c r="JE29" s="31" t="s">
        <v>1627</v>
      </c>
      <c r="JF29" s="31" t="s">
        <v>1627</v>
      </c>
      <c r="JG29" s="31" t="s">
        <v>1627</v>
      </c>
      <c r="JH29" s="31" t="s">
        <v>1627</v>
      </c>
      <c r="JI29" s="31" t="s">
        <v>1627</v>
      </c>
      <c r="JJ29" s="31" t="s">
        <v>1627</v>
      </c>
      <c r="JK29" s="31" t="s">
        <v>1627</v>
      </c>
      <c r="JL29" s="15" t="str">
        <f>IF('Raw Data'!IZ63="","",'Raw Data'!IZ63)</f>
        <v/>
      </c>
      <c r="JM29" s="15" t="str">
        <f>IF('Raw Data'!JA63="","",'Raw Data'!JA63)</f>
        <v>reorientation</v>
      </c>
      <c r="JN29" s="15" t="str">
        <f>IF('Raw Data'!JB63="","",'Raw Data'!JB63)</f>
        <v>0</v>
      </c>
      <c r="JO29" s="15" t="str">
        <f>IF('Raw Data'!JC63="","",'Raw Data'!JC63)</f>
        <v>1</v>
      </c>
      <c r="JP29" s="15" t="str">
        <f>IF('Raw Data'!JD63="","",'Raw Data'!JD63)</f>
        <v>0</v>
      </c>
      <c r="JQ29" s="15" t="str">
        <f>IF('Raw Data'!JE63="","",'Raw Data'!JE63)</f>
        <v>0</v>
      </c>
      <c r="JR29" s="15" t="str">
        <f>IF('Raw Data'!JF63="","",'Raw Data'!JF63)</f>
        <v>0</v>
      </c>
      <c r="JS29" s="15" t="str">
        <f>IF('Raw Data'!JG63="","",'Raw Data'!JG63)</f>
        <v>0</v>
      </c>
      <c r="JT29" s="15" t="str">
        <f>IF('Raw Data'!JH63="","",'Raw Data'!JH63)</f>
        <v/>
      </c>
      <c r="JU29" s="15" t="str">
        <f>IF('Raw Data'!JI63="","",'Raw Data'!JI63)</f>
        <v/>
      </c>
      <c r="JV29" s="15" t="str">
        <f>IF('Raw Data'!JJ63="","",'Raw Data'!JJ63)</f>
        <v/>
      </c>
      <c r="JW29" s="15" t="str">
        <f>IF('Raw Data'!JK63="","",'Raw Data'!JK63)</f>
        <v/>
      </c>
      <c r="JX29" s="15" t="str">
        <f>IF('Raw Data'!JL63="","",'Raw Data'!JL63)</f>
        <v/>
      </c>
      <c r="JY29" s="15" t="str">
        <f>IF('Raw Data'!JM63="","",'Raw Data'!JM63)</f>
        <v/>
      </c>
      <c r="JZ29" s="15" t="str">
        <f>IF('Raw Data'!JN63="","",'Raw Data'!JN63)</f>
        <v/>
      </c>
      <c r="KA29" s="15" t="str">
        <f>IF('Raw Data'!JO63="","",'Raw Data'!JO63)</f>
        <v/>
      </c>
      <c r="KB29" s="15" t="str">
        <f>IF('Raw Data'!JP63="","",'Raw Data'!JP63)</f>
        <v/>
      </c>
      <c r="KC29" s="15" t="str">
        <f>IF('Raw Data'!JQ63="","",'Raw Data'!JQ63)</f>
        <v/>
      </c>
      <c r="KD29" s="15" t="str">
        <f>IF('Raw Data'!JR63="","",'Raw Data'!JR63)</f>
        <v/>
      </c>
      <c r="KE29" s="15" t="str">
        <f>IF('Raw Data'!JS63="","",'Raw Data'!JS63)</f>
        <v/>
      </c>
      <c r="KF29" s="15" t="str">
        <f>IF('Raw Data'!JT63="","",'Raw Data'!JT63)</f>
        <v>juridique surete</v>
      </c>
      <c r="KG29" s="15" t="str">
        <f>IF('Raw Data'!JU63="","",'Raw Data'!JU63)</f>
        <v>0</v>
      </c>
      <c r="KH29" s="15" t="str">
        <f>IF('Raw Data'!JV63="","",'Raw Data'!JV63)</f>
        <v>0</v>
      </c>
      <c r="KI29" s="15" t="str">
        <f>IF('Raw Data'!JW63="","",'Raw Data'!JW63)</f>
        <v>0</v>
      </c>
      <c r="KJ29" s="15" t="str">
        <f>IF('Raw Data'!JX63="","",'Raw Data'!JX63)</f>
        <v>1</v>
      </c>
      <c r="KK29" s="15" t="str">
        <f>IF('Raw Data'!JY63="","",'Raw Data'!JY63)</f>
        <v>1</v>
      </c>
      <c r="KL29" s="15" t="str">
        <f>IF('Raw Data'!JZ63="","",'Raw Data'!JZ63)</f>
        <v>0</v>
      </c>
      <c r="KM29" s="15" t="str">
        <f>IF('Raw Data'!KA63="","",'Raw Data'!KA63)</f>
        <v>0</v>
      </c>
      <c r="KN29" s="15" t="str">
        <f>IF('Raw Data'!KB63="","",'Raw Data'!KB63)</f>
        <v>0</v>
      </c>
      <c r="KO29" s="15" t="str">
        <f>IF('Raw Data'!KC63="","",'Raw Data'!KC63)</f>
        <v>0</v>
      </c>
      <c r="KP29" s="15" t="str">
        <f>IF('Raw Data'!KD63="","",'Raw Data'!KD63)</f>
        <v/>
      </c>
      <c r="KQ29" s="15" t="str">
        <f>IF('Raw Data'!KE63="","",'Raw Data'!KE63)</f>
        <v/>
      </c>
      <c r="KR29" s="15" t="str">
        <f>IF('Raw Data'!KF63="","",'Raw Data'!KF63)</f>
        <v>non</v>
      </c>
      <c r="KS29" s="15" t="str">
        <f>IF('Raw Data'!KG63="","",'Raw Data'!KG63)</f>
        <v/>
      </c>
      <c r="KT29" s="15" t="str">
        <f>IF('Raw Data'!KH63="","",'Raw Data'!KH63)</f>
        <v/>
      </c>
      <c r="KU29" s="15" t="str">
        <f>IF('Raw Data'!KI63="","",'Raw Data'!KI63)</f>
        <v/>
      </c>
      <c r="KV29" s="15" t="str">
        <f>IF('Raw Data'!KJ63="","",'Raw Data'!KJ63)</f>
        <v/>
      </c>
      <c r="KW29" s="15" t="str">
        <f>IF('Raw Data'!KK63="","",'Raw Data'!KK63)</f>
        <v/>
      </c>
      <c r="KX29" s="15" t="str">
        <f>IF('Raw Data'!KL63="","",'Raw Data'!KL63)</f>
        <v/>
      </c>
      <c r="KY29" s="15" t="str">
        <f>IF('Raw Data'!KM63="","",'Raw Data'!KM63)</f>
        <v/>
      </c>
      <c r="KZ29" s="15" t="str">
        <f>IF('Raw Data'!KN63="","",'Raw Data'!KN63)</f>
        <v/>
      </c>
      <c r="LA29" s="15" t="str">
        <f>IF('Raw Data'!KO63="","",'Raw Data'!KO63)</f>
        <v/>
      </c>
      <c r="LB29" s="15" t="str">
        <f>IF('Raw Data'!KP63="","",'Raw Data'!KP63)</f>
        <v/>
      </c>
      <c r="LC29" s="15" t="str">
        <f>IF('Raw Data'!KQ63="","",'Raw Data'!KQ63)</f>
        <v/>
      </c>
      <c r="LD29" s="15" t="str">
        <f>IF('Raw Data'!KR63="","",'Raw Data'!KR63)</f>
        <v/>
      </c>
      <c r="LE29" s="15" t="str">
        <f>IF('Raw Data'!KS63="","",'Raw Data'!KS63)</f>
        <v/>
      </c>
      <c r="LF29" s="15" t="str">
        <f>IF('Raw Data'!KT63="","",'Raw Data'!KT63)</f>
        <v/>
      </c>
      <c r="LG29" s="15" t="str">
        <f>IF('Raw Data'!KU63="","",'Raw Data'!KU63)</f>
        <v/>
      </c>
      <c r="LH29" s="15" t="str">
        <f>IF('Raw Data'!KV63="","",'Raw Data'!KV63)</f>
        <v/>
      </c>
      <c r="LI29" s="15" t="str">
        <f>IF('Raw Data'!KW63="","",'Raw Data'!KW63)</f>
        <v/>
      </c>
      <c r="LJ29" s="15" t="str">
        <f>IF('Raw Data'!KX63="","",'Raw Data'!KX63)</f>
        <v/>
      </c>
      <c r="LK29" s="15" t="str">
        <f>IF('Raw Data'!KY63="","",'Raw Data'!KY63)</f>
        <v/>
      </c>
      <c r="LL29" s="15" t="str">
        <f>IF('Raw Data'!KZ63="","",'Raw Data'!KZ63)</f>
        <v/>
      </c>
      <c r="LM29" s="15" t="str">
        <f>IF('Raw Data'!LA63="","",'Raw Data'!LA63)</f>
        <v/>
      </c>
      <c r="LN29" s="15" t="str">
        <f>IF('Raw Data'!LB63="","",'Raw Data'!LB63)</f>
        <v>oui</v>
      </c>
      <c r="LO29" s="15" t="str">
        <f>IF('Raw Data'!LC63="","",'Raw Data'!LC63)</f>
        <v>menace_entourage menace_enlevement violence_physique</v>
      </c>
      <c r="LP29" s="15" t="str">
        <f>IF('Raw Data'!LD63="","",'Raw Data'!LD63)</f>
        <v>1</v>
      </c>
      <c r="LQ29" s="15" t="str">
        <f>IF('Raw Data'!LE63="","",'Raw Data'!LE63)</f>
        <v>0</v>
      </c>
      <c r="LR29" s="15" t="str">
        <f>IF('Raw Data'!LF63="","",'Raw Data'!LF63)</f>
        <v>0</v>
      </c>
      <c r="LS29" s="15" t="str">
        <f>IF('Raw Data'!LG63="","",'Raw Data'!LG63)</f>
        <v>1</v>
      </c>
      <c r="LT29" s="15" t="str">
        <f>IF('Raw Data'!LH63="","",'Raw Data'!LH63)</f>
        <v>0</v>
      </c>
      <c r="LU29" s="15" t="str">
        <f>IF('Raw Data'!LI63="","",'Raw Data'!LI63)</f>
        <v>1</v>
      </c>
      <c r="LV29" s="15" t="str">
        <f>IF('Raw Data'!LJ63="","",'Raw Data'!LJ63)</f>
        <v>0</v>
      </c>
      <c r="LW29" s="15" t="str">
        <f>IF('Raw Data'!LK63="","",'Raw Data'!LK63)</f>
        <v>0</v>
      </c>
      <c r="LX29" s="15" t="str">
        <f>IF('Raw Data'!LL63="","",'Raw Data'!LL63)</f>
        <v>0</v>
      </c>
      <c r="LY29" s="15" t="str">
        <f>IF('Raw Data'!LM63="","",'Raw Data'!LM63)</f>
        <v>0</v>
      </c>
      <c r="LZ29" s="15" t="str">
        <f>IF('Raw Data'!LN63="","",'Raw Data'!LN63)</f>
        <v/>
      </c>
      <c r="MA29" s="15" t="str">
        <f>IF('Raw Data'!LO63="","",'Raw Data'!LO63)</f>
        <v>non</v>
      </c>
      <c r="MB29" s="15" t="str">
        <f>IF('Raw Data'!LP63="","",'Raw Data'!LP63)</f>
        <v>oui</v>
      </c>
      <c r="MC29" s="15" t="str">
        <f>IF('Raw Data'!LQ63="","",'Raw Data'!LQ63)</f>
        <v/>
      </c>
      <c r="MD29" s="15" t="str">
        <f>IF('Raw Data'!LR63="","",'Raw Data'!LR63)</f>
        <v>Sensibilisation sur l'accès aux services de protection par les femmes et sur la consommation de drogues et autres stupéfiants par les jeunes sur le site</v>
      </c>
      <c r="ME29" s="15">
        <f>IF('Raw Data'!LS63="","",'Raw Data'!LS63)</f>
        <v>171960783</v>
      </c>
      <c r="MF29" s="15" t="str">
        <f>IF('Raw Data'!LT63="","",'Raw Data'!LT63)</f>
        <v>cb862c3a-2f65-4012-a589-4822ae7d753b</v>
      </c>
      <c r="MG29" s="15" t="str">
        <f>IF('Raw Data'!LU63="","",'Raw Data'!LU63)</f>
        <v>2021-04-16T11:53:00</v>
      </c>
      <c r="MH29" s="15" t="str">
        <f>IF('Raw Data'!LV63="","",'Raw Data'!LV63)</f>
        <v/>
      </c>
      <c r="MI29" s="15" t="str">
        <f>IF('Raw Data'!LW63="","",'Raw Data'!LW63)</f>
        <v>[]</v>
      </c>
      <c r="MJ29" s="15" t="str">
        <f>IF('Raw Data'!LX63="","",'Raw Data'!LX63)</f>
        <v>submitted_via_web</v>
      </c>
      <c r="MK29" s="15" t="str">
        <f>IF('Raw Data'!LY63="","",'Raw Data'!LY63)</f>
        <v>reach_niger</v>
      </c>
      <c r="ML29" s="15" t="str">
        <f>IF('Raw Data'!LZ63="","",'Raw Data'!LZ63)</f>
        <v/>
      </c>
      <c r="MM29" s="15">
        <f>IF('Raw Data'!MA63="","",'Raw Data'!MA63)</f>
        <v>68</v>
      </c>
    </row>
    <row r="30" spans="1:351" x14ac:dyDescent="0.3">
      <c r="A30" s="26" t="str">
        <f t="shared" si="0"/>
        <v>f7fb0afa-f30b-4d64-80bc-b8350cfd417a</v>
      </c>
      <c r="B30" s="26" t="str">
        <f t="shared" si="1"/>
        <v>ayerou</v>
      </c>
      <c r="C30" s="26" t="str">
        <f t="shared" si="2"/>
        <v>G</v>
      </c>
      <c r="D30" s="14" t="str">
        <f>IF('Raw Data'!A67="","",'Raw Data'!A67)</f>
        <v>2021-04-16T08:50:58.366+01:00</v>
      </c>
      <c r="E30" s="14" t="str">
        <f>IF('Raw Data'!B67="","",'Raw Data'!B67)</f>
        <v>2021-04-16T09:35:42.063+01:00</v>
      </c>
      <c r="F30" s="30">
        <v>44302.368726851855</v>
      </c>
      <c r="G30" s="30">
        <v>44302.399791666663</v>
      </c>
      <c r="H30" s="29">
        <f>VLOOKUP(A30,Audit[#All],2,FALSE)</f>
        <v>44.73</v>
      </c>
      <c r="I30" s="29">
        <f>VLOOKUP(A30,Audit[#All],3,FALSE)</f>
        <v>43.42</v>
      </c>
      <c r="J30" s="29">
        <f>VLOOKUP(A30,Audit[#All],4,FALSE)</f>
        <v>42.55</v>
      </c>
      <c r="K30" s="29">
        <f>VLOOKUP(A30,nb_questions[#All],2,FALSE)</f>
        <v>217</v>
      </c>
      <c r="L30" s="29">
        <f t="shared" si="3"/>
        <v>172</v>
      </c>
      <c r="M30" s="14" t="str">
        <f>IF('Raw Data'!C67="","",'Raw Data'!C67)</f>
        <v>2021-04-16</v>
      </c>
      <c r="N30" s="14" t="str">
        <f>IF('Raw Data'!D67="","",'Raw Data'!D67)</f>
        <v/>
      </c>
      <c r="O30" s="14" t="str">
        <f>IF('Raw Data'!E67="","",'Raw Data'!E67)</f>
        <v/>
      </c>
      <c r="P30" s="29" t="str">
        <f>VLOOKUP(A30,code_enqueteurs[#All],3,FALSE)</f>
        <v>G</v>
      </c>
      <c r="Q30" s="29" t="s">
        <v>1646</v>
      </c>
      <c r="R30" s="14" t="str">
        <f>IF('Raw Data'!F67="","",'Raw Data'!F67)</f>
        <v>Homme</v>
      </c>
      <c r="S30" s="15" t="str">
        <f>IF('Raw Data'!G67="","",'Raw Data'!G67)</f>
        <v>ayerou</v>
      </c>
      <c r="T30" s="15" t="str">
        <f>IF('Raw Data'!H67="","",'Raw Data'!H67)</f>
        <v>ayerou</v>
      </c>
      <c r="U30" s="31" t="s">
        <v>1158</v>
      </c>
      <c r="V30" s="31"/>
      <c r="W30" s="15" t="str">
        <f>IF('Raw Data'!K67="","",'Raw Data'!K67)</f>
        <v/>
      </c>
      <c r="X30" s="15" t="str">
        <f>IF('Raw Data'!L67="","",'Raw Data'!L67)</f>
        <v/>
      </c>
      <c r="Y30" s="15" t="str">
        <f>IF('Raw Data'!M67="","",'Raw Data'!M67)</f>
        <v/>
      </c>
      <c r="Z30" s="15" t="str">
        <f>IF('Raw Data'!N67="","",'Raw Data'!N67)</f>
        <v/>
      </c>
      <c r="AA30" s="15" t="str">
        <f>IF('Raw Data'!O67="","",'Raw Data'!O67)</f>
        <v/>
      </c>
      <c r="AB30" s="15" t="str">
        <f>IF('Raw Data'!P67="","",'Raw Data'!P67)</f>
        <v/>
      </c>
      <c r="AC30" s="15" t="str">
        <f>IF('Raw Data'!Q67="","",'Raw Data'!Q67)</f>
        <v/>
      </c>
      <c r="AD30" s="15" t="str">
        <f>IF('Raw Data'!R67="","",'Raw Data'!R67)</f>
        <v>Homme</v>
      </c>
      <c r="AE30" s="15" t="str">
        <f>IF('Raw Data'!S67="","",'Raw Data'!S67)</f>
        <v>50</v>
      </c>
      <c r="AF30" s="15" t="str">
        <f>IF('Raw Data'!T67="","",'Raw Data'!T67)</f>
        <v>deplace_interne</v>
      </c>
      <c r="AG30" s="15" t="str">
        <f>IF('Raw Data'!U67="","",'Raw Data'!U67)</f>
        <v/>
      </c>
      <c r="AH30" s="15" t="str">
        <f>IF('Raw Data'!V67="","",'Raw Data'!V67)</f>
        <v/>
      </c>
      <c r="AI30" s="15" t="str">
        <f>IF('Raw Data'!W67="","",'Raw Data'!W67)</f>
        <v/>
      </c>
      <c r="AJ30" s="15" t="str">
        <f>IF('Raw Data'!X67="","",'Raw Data'!X67)</f>
        <v/>
      </c>
      <c r="AK30" s="15" t="str">
        <f>IF('Raw Data'!Y67="","",'Raw Data'!Y67)</f>
        <v/>
      </c>
      <c r="AL30" s="15" t="str">
        <f>IF('Raw Data'!Z67="","",'Raw Data'!Z67)</f>
        <v>niger</v>
      </c>
      <c r="AM30" s="15" t="str">
        <f>IF('Raw Data'!AA67="","",'Raw Data'!AA67)</f>
        <v>tillaberi</v>
      </c>
      <c r="AN30" s="15" t="str">
        <f>IF('Raw Data'!AB67="","",'Raw Data'!AB67)</f>
        <v>ayerou</v>
      </c>
      <c r="AO30" s="15" t="str">
        <f>IF('Raw Data'!AC67="","",'Raw Data'!AC67)</f>
        <v/>
      </c>
      <c r="AP30" s="15" t="str">
        <f>IF('Raw Data'!AD67="","",'Raw Data'!AD67)</f>
        <v/>
      </c>
      <c r="AQ30" s="15" t="str">
        <f>IF('Raw Data'!AE67="","",'Raw Data'!AE67)</f>
        <v/>
      </c>
      <c r="AR30" s="15" t="str">
        <f>IF('Raw Data'!AF67="","",'Raw Data'!AF67)</f>
        <v/>
      </c>
      <c r="AS30" s="15" t="str">
        <f>IF('Raw Data'!AG67="","",'Raw Data'!AG67)</f>
        <v>non</v>
      </c>
      <c r="AT30" s="15" t="str">
        <f>IF('Raw Data'!AH67="","",'Raw Data'!AH67)</f>
        <v/>
      </c>
      <c r="AU30" s="15" t="str">
        <f>IF('Raw Data'!AI67="","",'Raw Data'!AI67)</f>
        <v/>
      </c>
      <c r="AV30" s="15" t="str">
        <f>IF('Raw Data'!AJ67="","",'Raw Data'!AJ67)</f>
        <v/>
      </c>
      <c r="AW30" s="15" t="str">
        <f>IF('Raw Data'!AK67="","",'Raw Data'!AK67)</f>
        <v/>
      </c>
      <c r="AX30" s="15" t="str">
        <f>IF('Raw Data'!AL67="","",'Raw Data'!AL67)</f>
        <v/>
      </c>
      <c r="AY30" s="15" t="str">
        <f>IF('Raw Data'!AM67="","",'Raw Data'!AM67)</f>
        <v/>
      </c>
      <c r="AZ30" s="15" t="str">
        <f>IF('Raw Data'!AN67="","",'Raw Data'!AN67)</f>
        <v/>
      </c>
      <c r="BA30" s="15" t="str">
        <f>IF('Raw Data'!AO67="","",'Raw Data'!AO67)</f>
        <v/>
      </c>
      <c r="BB30" s="15" t="str">
        <f>IF('Raw Data'!AP67="","",'Raw Data'!AP67)</f>
        <v/>
      </c>
      <c r="BC30" s="15" t="str">
        <f>IF('Raw Data'!AQ67="","",'Raw Data'!AQ67)</f>
        <v/>
      </c>
      <c r="BD30" s="15" t="str">
        <f>IF('Raw Data'!AR67="","",'Raw Data'!AR67)</f>
        <v/>
      </c>
      <c r="BE30" s="15" t="str">
        <f>IF('Raw Data'!AS67="","",'Raw Data'!AS67)</f>
        <v/>
      </c>
      <c r="BF30" s="15" t="str">
        <f>IF('Raw Data'!AT67="","",'Raw Data'!AT67)</f>
        <v/>
      </c>
      <c r="BG30" s="15" t="str">
        <f>IF('Raw Data'!AU67="","",'Raw Data'!AU67)</f>
        <v/>
      </c>
      <c r="BH30" s="15" t="str">
        <f>IF('Raw Data'!AV67="","",'Raw Data'!AV67)</f>
        <v/>
      </c>
      <c r="BI30" s="15" t="str">
        <f>IF('Raw Data'!AW67="","",'Raw Data'!AW67)</f>
        <v/>
      </c>
      <c r="BJ30" s="15" t="str">
        <f>IF('Raw Data'!AX67="","",'Raw Data'!AX67)</f>
        <v/>
      </c>
      <c r="BK30" s="15" t="str">
        <f>IF('Raw Data'!AY67="","",'Raw Data'!AY67)</f>
        <v/>
      </c>
      <c r="BL30" s="15" t="str">
        <f>IF('Raw Data'!AZ67="","",'Raw Data'!AZ67)</f>
        <v/>
      </c>
      <c r="BM30" s="15" t="str">
        <f>IF('Raw Data'!BA67="","",'Raw Data'!BA67)</f>
        <v/>
      </c>
      <c r="BN30" s="15" t="str">
        <f>IF('Raw Data'!BB67="","",'Raw Data'!BB67)</f>
        <v/>
      </c>
      <c r="BO30" s="15" t="str">
        <f>IF('Raw Data'!BC67="","",'Raw Data'!BC67)</f>
        <v/>
      </c>
      <c r="BP30" s="15" t="str">
        <f>IF('Raw Data'!BD67="","",'Raw Data'!BD67)</f>
        <v/>
      </c>
      <c r="BQ30" s="15" t="str">
        <f>IF('Raw Data'!BE67="","",'Raw Data'!BE67)</f>
        <v/>
      </c>
      <c r="BR30" s="15" t="str">
        <f>IF('Raw Data'!BF67="","",'Raw Data'!BF67)</f>
        <v/>
      </c>
      <c r="BS30" s="15" t="str">
        <f>IF('Raw Data'!BG67="","",'Raw Data'!BG67)</f>
        <v/>
      </c>
      <c r="BT30" s="15" t="str">
        <f>IF('Raw Data'!BH67="","",'Raw Data'!BH67)</f>
        <v/>
      </c>
      <c r="BU30" s="15" t="str">
        <f>IF('Raw Data'!BI67="","",'Raw Data'!BI67)</f>
        <v/>
      </c>
      <c r="BV30" s="15" t="str">
        <f>IF('Raw Data'!BJ67="","",'Raw Data'!BJ67)</f>
        <v/>
      </c>
      <c r="BW30" s="15" t="str">
        <f>IF('Raw Data'!BK67="","",'Raw Data'!BK67)</f>
        <v/>
      </c>
      <c r="BX30" s="15" t="str">
        <f>IF('Raw Data'!BL67="","",'Raw Data'!BL67)</f>
        <v/>
      </c>
      <c r="BY30" s="15" t="str">
        <f>IF('Raw Data'!BM67="","",'Raw Data'!BM67)</f>
        <v/>
      </c>
      <c r="BZ30" s="15" t="str">
        <f>IF('Raw Data'!BN67="","",'Raw Data'!BN67)</f>
        <v/>
      </c>
      <c r="CA30" s="15" t="str">
        <f>IF('Raw Data'!BO67="","",'Raw Data'!BO67)</f>
        <v/>
      </c>
      <c r="CB30" s="15" t="str">
        <f>IF('Raw Data'!BP67="","",'Raw Data'!BP67)</f>
        <v/>
      </c>
      <c r="CC30" s="15" t="str">
        <f>IF('Raw Data'!BQ67="","",'Raw Data'!BQ67)</f>
        <v>non</v>
      </c>
      <c r="CD30" s="15" t="str">
        <f>IF('Raw Data'!BR67="","",'Raw Data'!BR67)</f>
        <v/>
      </c>
      <c r="CE30" s="15" t="str">
        <f>IF('Raw Data'!BS67="","",'Raw Data'!BS67)</f>
        <v/>
      </c>
      <c r="CF30" s="15" t="str">
        <f>IF('Raw Data'!BT67="","",'Raw Data'!BT67)</f>
        <v/>
      </c>
      <c r="CG30" s="15" t="str">
        <f>IF('Raw Data'!BU67="","",'Raw Data'!BU67)</f>
        <v/>
      </c>
      <c r="CH30" s="15" t="str">
        <f>IF('Raw Data'!BV67="","",'Raw Data'!BV67)</f>
        <v/>
      </c>
      <c r="CI30" s="15" t="str">
        <f>IF('Raw Data'!BW67="","",'Raw Data'!BW67)</f>
        <v/>
      </c>
      <c r="CJ30" s="15" t="str">
        <f>IF('Raw Data'!BX67="","",'Raw Data'!BX67)</f>
        <v/>
      </c>
      <c r="CK30" s="15" t="str">
        <f>IF('Raw Data'!BY67="","",'Raw Data'!BY67)</f>
        <v/>
      </c>
      <c r="CL30" s="15" t="str">
        <f>IF('Raw Data'!BZ67="","",'Raw Data'!BZ67)</f>
        <v/>
      </c>
      <c r="CM30" s="15" t="str">
        <f>IF('Raw Data'!CA67="","",'Raw Data'!CA67)</f>
        <v/>
      </c>
      <c r="CN30" s="15" t="str">
        <f>IF('Raw Data'!CB67="","",'Raw Data'!CB67)</f>
        <v/>
      </c>
      <c r="CO30" s="15" t="str">
        <f>IF('Raw Data'!CC67="","",'Raw Data'!CC67)</f>
        <v/>
      </c>
      <c r="CP30" s="15" t="str">
        <f>IF('Raw Data'!CD67="","",'Raw Data'!CD67)</f>
        <v/>
      </c>
      <c r="CQ30" s="15" t="str">
        <f>IF('Raw Data'!CE67="","",'Raw Data'!CE67)</f>
        <v/>
      </c>
      <c r="CR30" s="15" t="str">
        <f>IF('Raw Data'!CF67="","",'Raw Data'!CF67)</f>
        <v/>
      </c>
      <c r="CS30" s="15" t="str">
        <f>IF('Raw Data'!CG67="","",'Raw Data'!CG67)</f>
        <v/>
      </c>
      <c r="CT30" s="15" t="str">
        <f>IF('Raw Data'!CH67="","",'Raw Data'!CH67)</f>
        <v/>
      </c>
      <c r="CU30" s="15" t="str">
        <f>IF('Raw Data'!CI67="","",'Raw Data'!CI67)</f>
        <v/>
      </c>
      <c r="CV30" s="15" t="str">
        <f>IF('Raw Data'!CJ67="","",'Raw Data'!CJ67)</f>
        <v/>
      </c>
      <c r="CW30" s="15" t="str">
        <f>IF('Raw Data'!CK67="","",'Raw Data'!CK67)</f>
        <v/>
      </c>
      <c r="CX30" s="15" t="str">
        <f>IF('Raw Data'!CL67="","",'Raw Data'!CL67)</f>
        <v/>
      </c>
      <c r="CY30" s="15" t="str">
        <f>IF('Raw Data'!CM67="","",'Raw Data'!CM67)</f>
        <v/>
      </c>
      <c r="CZ30" s="15" t="str">
        <f>IF('Raw Data'!CN67="","",'Raw Data'!CN67)</f>
        <v/>
      </c>
      <c r="DA30" s="15" t="str">
        <f>IF('Raw Data'!CO67="","",'Raw Data'!CO67)</f>
        <v/>
      </c>
      <c r="DB30" s="15" t="str">
        <f>IF('Raw Data'!CP67="","",'Raw Data'!CP67)</f>
        <v/>
      </c>
      <c r="DC30" s="15" t="str">
        <f>IF('Raw Data'!CQ67="","",'Raw Data'!CQ67)</f>
        <v/>
      </c>
      <c r="DD30" s="15" t="str">
        <f>IF('Raw Data'!CR67="","",'Raw Data'!CR67)</f>
        <v/>
      </c>
      <c r="DE30" s="15" t="str">
        <f>IF('Raw Data'!CS67="","",'Raw Data'!CS67)</f>
        <v/>
      </c>
      <c r="DF30" s="15" t="str">
        <f>IF('Raw Data'!CT67="","",'Raw Data'!CT67)</f>
        <v/>
      </c>
      <c r="DG30" s="15" t="str">
        <f>IF('Raw Data'!CU67="","",'Raw Data'!CU67)</f>
        <v/>
      </c>
      <c r="DH30" s="15" t="str">
        <f>IF('Raw Data'!CV67="","",'Raw Data'!CV67)</f>
        <v/>
      </c>
      <c r="DI30" s="15" t="str">
        <f>IF('Raw Data'!CW67="","",'Raw Data'!CW67)</f>
        <v/>
      </c>
      <c r="DJ30" s="15" t="str">
        <f>IF('Raw Data'!CX67="","",'Raw Data'!CX67)</f>
        <v/>
      </c>
      <c r="DK30" s="15" t="str">
        <f>IF('Raw Data'!CY67="","",'Raw Data'!CY67)</f>
        <v/>
      </c>
      <c r="DL30" s="15" t="str">
        <f>IF('Raw Data'!CZ67="","",'Raw Data'!CZ67)</f>
        <v/>
      </c>
      <c r="DM30" s="15" t="str">
        <f>IF('Raw Data'!DA67="","",'Raw Data'!DA67)</f>
        <v/>
      </c>
      <c r="DN30" s="15" t="str">
        <f>IF('Raw Data'!DB67="","",'Raw Data'!DB67)</f>
        <v/>
      </c>
      <c r="DO30" s="15" t="str">
        <f>IF('Raw Data'!DC67="","",'Raw Data'!DC67)</f>
        <v/>
      </c>
      <c r="DP30" s="15" t="str">
        <f>IF('Raw Data'!DD67="","",'Raw Data'!DD67)</f>
        <v/>
      </c>
      <c r="DQ30" s="15" t="str">
        <f>IF('Raw Data'!DE67="","",'Raw Data'!DE67)</f>
        <v/>
      </c>
      <c r="DR30" s="15" t="str">
        <f>IF('Raw Data'!DF67="","",'Raw Data'!DF67)</f>
        <v/>
      </c>
      <c r="DS30" s="15" t="str">
        <f>IF('Raw Data'!DG67="","",'Raw Data'!DG67)</f>
        <v/>
      </c>
      <c r="DT30" s="15" t="str">
        <f>IF('Raw Data'!DH67="","",'Raw Data'!DH67)</f>
        <v/>
      </c>
      <c r="DU30" s="15" t="str">
        <f>IF('Raw Data'!DI67="","",'Raw Data'!DI67)</f>
        <v/>
      </c>
      <c r="DV30" s="15" t="str">
        <f>IF('Raw Data'!DJ67="","",'Raw Data'!DJ67)</f>
        <v/>
      </c>
      <c r="DW30" s="15" t="str">
        <f>IF('Raw Data'!DK67="","",'Raw Data'!DK67)</f>
        <v/>
      </c>
      <c r="DX30" s="15" t="str">
        <f>IF('Raw Data'!DL67="","",'Raw Data'!DL67)</f>
        <v/>
      </c>
      <c r="DY30" s="15" t="str">
        <f>IF('Raw Data'!DM67="","",'Raw Data'!DM67)</f>
        <v/>
      </c>
      <c r="DZ30" s="15" t="str">
        <f>IF('Raw Data'!DN67="","",'Raw Data'!DN67)</f>
        <v/>
      </c>
      <c r="EA30" s="15" t="str">
        <f>IF('Raw Data'!DO67="","",'Raw Data'!DO67)</f>
        <v/>
      </c>
      <c r="EB30" s="15" t="str">
        <f>IF('Raw Data'!DP67="","",'Raw Data'!DP67)</f>
        <v/>
      </c>
      <c r="EC30" s="15" t="str">
        <f>IF('Raw Data'!DQ67="","",'Raw Data'!DQ67)</f>
        <v/>
      </c>
      <c r="ED30" s="15" t="str">
        <f>IF('Raw Data'!DR67="","",'Raw Data'!DR67)</f>
        <v/>
      </c>
      <c r="EE30" s="15" t="str">
        <f>IF('Raw Data'!DS67="","",'Raw Data'!DS67)</f>
        <v/>
      </c>
      <c r="EF30" s="15" t="str">
        <f>IF('Raw Data'!DT67="","",'Raw Data'!DT67)</f>
        <v/>
      </c>
      <c r="EG30" s="15" t="str">
        <f>IF('Raw Data'!DU67="","",'Raw Data'!DU67)</f>
        <v/>
      </c>
      <c r="EH30" s="15" t="str">
        <f>IF('Raw Data'!DV67="","",'Raw Data'!DV67)</f>
        <v/>
      </c>
      <c r="EI30" s="15" t="str">
        <f>IF('Raw Data'!DW67="","",'Raw Data'!DW67)</f>
        <v/>
      </c>
      <c r="EJ30" s="15" t="str">
        <f>IF('Raw Data'!DX67="","",'Raw Data'!DX67)</f>
        <v/>
      </c>
      <c r="EK30" s="15" t="str">
        <f>IF('Raw Data'!DY67="","",'Raw Data'!DY67)</f>
        <v/>
      </c>
      <c r="EL30" s="15" t="str">
        <f>IF('Raw Data'!DZ67="","",'Raw Data'!DZ67)</f>
        <v>Integration_com_hote Soutien_chef_village</v>
      </c>
      <c r="EM30" s="15" t="str">
        <f>IF('Raw Data'!EA67="","",'Raw Data'!EA67)</f>
        <v>0</v>
      </c>
      <c r="EN30" s="15" t="str">
        <f>IF('Raw Data'!EB67="","",'Raw Data'!EB67)</f>
        <v>1</v>
      </c>
      <c r="EO30" s="15" t="str">
        <f>IF('Raw Data'!EC67="","",'Raw Data'!EC67)</f>
        <v>0</v>
      </c>
      <c r="EP30" s="15" t="str">
        <f>IF('Raw Data'!ED67="","",'Raw Data'!ED67)</f>
        <v>1</v>
      </c>
      <c r="EQ30" s="15" t="str">
        <f>IF('Raw Data'!EE67="","",'Raw Data'!EE67)</f>
        <v>0</v>
      </c>
      <c r="ER30" s="15" t="str">
        <f>IF('Raw Data'!EF67="","",'Raw Data'!EF67)</f>
        <v>0</v>
      </c>
      <c r="ES30" s="15" t="str">
        <f>IF('Raw Data'!EG67="","",'Raw Data'!EG67)</f>
        <v>0</v>
      </c>
      <c r="ET30" s="15" t="str">
        <f>IF('Raw Data'!EH67="","",'Raw Data'!EH67)</f>
        <v>0</v>
      </c>
      <c r="EU30" s="15" t="str">
        <f>IF('Raw Data'!EI67="","",'Raw Data'!EI67)</f>
        <v>0</v>
      </c>
      <c r="EV30" s="15" t="str">
        <f>IF('Raw Data'!EJ67="","",'Raw Data'!EJ67)</f>
        <v/>
      </c>
      <c r="EW30" s="15" t="str">
        <f>IF('Raw Data'!EK67="","",'Raw Data'!EK67)</f>
        <v/>
      </c>
      <c r="EX30" s="15" t="str">
        <f>IF('Raw Data'!EL67="","",'Raw Data'!EL67)</f>
        <v>comite_protection comite_gestion_conflits</v>
      </c>
      <c r="EY30" s="15" t="str">
        <f>IF('Raw Data'!EM67="","",'Raw Data'!EM67)</f>
        <v>0</v>
      </c>
      <c r="EZ30" s="15" t="str">
        <f>IF('Raw Data'!EN67="","",'Raw Data'!EN67)</f>
        <v>1</v>
      </c>
      <c r="FA30" s="15" t="str">
        <f>IF('Raw Data'!EO67="","",'Raw Data'!EO67)</f>
        <v>0</v>
      </c>
      <c r="FB30" s="15" t="str">
        <f>IF('Raw Data'!EP67="","",'Raw Data'!EP67)</f>
        <v>0</v>
      </c>
      <c r="FC30" s="15" t="str">
        <f>IF('Raw Data'!EQ67="","",'Raw Data'!EQ67)</f>
        <v>0</v>
      </c>
      <c r="FD30" s="15" t="str">
        <f>IF('Raw Data'!ER67="","",'Raw Data'!ER67)</f>
        <v>1</v>
      </c>
      <c r="FE30" s="15" t="str">
        <f>IF('Raw Data'!ES67="","",'Raw Data'!ES67)</f>
        <v>0</v>
      </c>
      <c r="FF30" s="15" t="str">
        <f>IF('Raw Data'!ET67="","",'Raw Data'!ET67)</f>
        <v>0</v>
      </c>
      <c r="FG30" s="15" t="str">
        <f>IF('Raw Data'!EU67="","",'Raw Data'!EU67)</f>
        <v>0</v>
      </c>
      <c r="FH30" s="15" t="str">
        <f>IF('Raw Data'!EV67="","",'Raw Data'!EV67)</f>
        <v>0</v>
      </c>
      <c r="FI30" s="15" t="str">
        <f>IF('Raw Data'!EW67="","",'Raw Data'!EW67)</f>
        <v/>
      </c>
      <c r="FJ30" s="15" t="str">
        <f>IF('Raw Data'!EX67="","",'Raw Data'!EX67)</f>
        <v>oui</v>
      </c>
      <c r="FK30" s="15" t="str">
        <f>IF('Raw Data'!EY67="","",'Raw Data'!EY67)</f>
        <v>Radio_television Internet Differents_comites_villageois Chef_village</v>
      </c>
      <c r="FL30" s="15" t="str">
        <f>IF('Raw Data'!EZ67="","",'Raw Data'!EZ67)</f>
        <v>1</v>
      </c>
      <c r="FM30" s="15" t="str">
        <f>IF('Raw Data'!FA67="","",'Raw Data'!FA67)</f>
        <v>0</v>
      </c>
      <c r="FN30" s="15" t="str">
        <f>IF('Raw Data'!FB67="","",'Raw Data'!FB67)</f>
        <v>1</v>
      </c>
      <c r="FO30" s="15" t="str">
        <f>IF('Raw Data'!FC67="","",'Raw Data'!FC67)</f>
        <v>0</v>
      </c>
      <c r="FP30" s="15" t="str">
        <f>IF('Raw Data'!FD67="","",'Raw Data'!FD67)</f>
        <v>1</v>
      </c>
      <c r="FQ30" s="15" t="str">
        <f>IF('Raw Data'!FE67="","",'Raw Data'!FE67)</f>
        <v>0</v>
      </c>
      <c r="FR30" s="15" t="str">
        <f>IF('Raw Data'!FF67="","",'Raw Data'!FF67)</f>
        <v>0</v>
      </c>
      <c r="FS30" s="15" t="str">
        <f>IF('Raw Data'!FG67="","",'Raw Data'!FG67)</f>
        <v>0</v>
      </c>
      <c r="FT30" s="15" t="str">
        <f>IF('Raw Data'!FH67="","",'Raw Data'!FH67)</f>
        <v>1</v>
      </c>
      <c r="FU30" s="15" t="str">
        <f>IF('Raw Data'!FI67="","",'Raw Data'!FI67)</f>
        <v>0</v>
      </c>
      <c r="FV30" s="15" t="str">
        <f>IF('Raw Data'!FJ67="","",'Raw Data'!FJ67)</f>
        <v>0</v>
      </c>
      <c r="FW30" s="15" t="str">
        <f>IF('Raw Data'!FK67="","",'Raw Data'!FK67)</f>
        <v>0</v>
      </c>
      <c r="FX30" s="15" t="str">
        <f>IF('Raw Data'!FL67="","",'Raw Data'!FL67)</f>
        <v>0</v>
      </c>
      <c r="FY30" s="15" t="str">
        <f>IF('Raw Data'!FM67="","",'Raw Data'!FM67)</f>
        <v>0</v>
      </c>
      <c r="FZ30" s="15" t="str">
        <f>IF('Raw Data'!FN67="","",'Raw Data'!FN67)</f>
        <v/>
      </c>
      <c r="GA30" s="15" t="str">
        <f>IF('Raw Data'!FO67="","",'Raw Data'!FO67)</f>
        <v>oui_majorite</v>
      </c>
      <c r="GB30" s="15" t="str">
        <f>IF('Raw Data'!FP67="","",'Raw Data'!FP67)</f>
        <v>oui_ensemble</v>
      </c>
      <c r="GC30" s="15" t="str">
        <f>IF('Raw Data'!FQ67="","",'Raw Data'!FQ67)</f>
        <v/>
      </c>
      <c r="GD30" s="15" t="str">
        <f>IF('Raw Data'!FR67="","",'Raw Data'!FR67)</f>
        <v/>
      </c>
      <c r="GE30" s="15" t="str">
        <f>IF('Raw Data'!FS67="","",'Raw Data'!FS67)</f>
        <v/>
      </c>
      <c r="GF30" s="15" t="str">
        <f>IF('Raw Data'!FT67="","",'Raw Data'!FT67)</f>
        <v/>
      </c>
      <c r="GG30" s="15" t="str">
        <f>IF('Raw Data'!FU67="","",'Raw Data'!FU67)</f>
        <v/>
      </c>
      <c r="GH30" s="15" t="str">
        <f>IF('Raw Data'!FV67="","",'Raw Data'!FV67)</f>
        <v/>
      </c>
      <c r="GI30" s="15" t="str">
        <f>IF('Raw Data'!FW67="","",'Raw Data'!FW67)</f>
        <v/>
      </c>
      <c r="GJ30" s="15" t="str">
        <f>IF('Raw Data'!FX67="","",'Raw Data'!FX67)</f>
        <v/>
      </c>
      <c r="GK30" s="15" t="str">
        <f>IF('Raw Data'!FY67="","",'Raw Data'!FY67)</f>
        <v/>
      </c>
      <c r="GL30" s="15" t="str">
        <f>IF('Raw Data'!FZ67="","",'Raw Data'!FZ67)</f>
        <v/>
      </c>
      <c r="GM30" s="15" t="str">
        <f>IF('Raw Data'!GA67="","",'Raw Data'!GA67)</f>
        <v>moitie</v>
      </c>
      <c r="GN30" s="15" t="str">
        <f>IF('Raw Data'!GB67="","",'Raw Data'!GB67)</f>
        <v>ensemble</v>
      </c>
      <c r="GO30" s="15" t="str">
        <f>IF('Raw Data'!GC67="","",'Raw Data'!GC67)</f>
        <v>Education Services_de_sante Acces_aux_doc Suivi_judiciaire</v>
      </c>
      <c r="GP30" s="15" t="str">
        <f>IF('Raw Data'!GD67="","",'Raw Data'!GD67)</f>
        <v>0</v>
      </c>
      <c r="GQ30" s="15" t="str">
        <f>IF('Raw Data'!GE67="","",'Raw Data'!GE67)</f>
        <v>1</v>
      </c>
      <c r="GR30" s="15" t="str">
        <f>IF('Raw Data'!GF67="","",'Raw Data'!GF67)</f>
        <v>0</v>
      </c>
      <c r="GS30" s="15" t="str">
        <f>IF('Raw Data'!GG67="","",'Raw Data'!GG67)</f>
        <v>1</v>
      </c>
      <c r="GT30" s="15" t="str">
        <f>IF('Raw Data'!GH67="","",'Raw Data'!GH67)</f>
        <v>1</v>
      </c>
      <c r="GU30" s="15" t="str">
        <f>IF('Raw Data'!GI67="","",'Raw Data'!GI67)</f>
        <v>1</v>
      </c>
      <c r="GV30" s="15" t="str">
        <f>IF('Raw Data'!GJ67="","",'Raw Data'!GJ67)</f>
        <v>0</v>
      </c>
      <c r="GW30" s="15" t="str">
        <f>IF('Raw Data'!GK67="","",'Raw Data'!GK67)</f>
        <v>0</v>
      </c>
      <c r="GX30" s="15" t="str">
        <f>IF('Raw Data'!GL67="","",'Raw Data'!GL67)</f>
        <v>0</v>
      </c>
      <c r="GY30" s="15" t="str">
        <f>IF('Raw Data'!GM67="","",'Raw Data'!GM67)</f>
        <v/>
      </c>
      <c r="GZ30" s="15" t="str">
        <f>IF('Raw Data'!GN67="","",'Raw Data'!GN67)</f>
        <v>oui_majorite</v>
      </c>
      <c r="HA30" s="15" t="str">
        <f>IF('Raw Data'!GO67="","",'Raw Data'!GO67)</f>
        <v>oui_ensemble</v>
      </c>
      <c r="HB30" s="15" t="str">
        <f>IF('Raw Data'!GP67="","",'Raw Data'!GP67)</f>
        <v>repond_besoins_pop diminution_tensions amelioration_futur</v>
      </c>
      <c r="HC30" s="15" t="str">
        <f>IF('Raw Data'!GQ67="","",'Raw Data'!GQ67)</f>
        <v>1</v>
      </c>
      <c r="HD30" s="15" t="str">
        <f>IF('Raw Data'!GR67="","",'Raw Data'!GR67)</f>
        <v>1</v>
      </c>
      <c r="HE30" s="15" t="str">
        <f>IF('Raw Data'!GS67="","",'Raw Data'!GS67)</f>
        <v>0</v>
      </c>
      <c r="HF30" s="15" t="str">
        <f>IF('Raw Data'!GT67="","",'Raw Data'!GT67)</f>
        <v>0</v>
      </c>
      <c r="HG30" s="15" t="str">
        <f>IF('Raw Data'!GU67="","",'Raw Data'!GU67)</f>
        <v>0</v>
      </c>
      <c r="HH30" s="15" t="str">
        <f>IF('Raw Data'!GV67="","",'Raw Data'!GV67)</f>
        <v>1</v>
      </c>
      <c r="HI30" s="15" t="str">
        <f>IF('Raw Data'!GW67="","",'Raw Data'!GW67)</f>
        <v>0</v>
      </c>
      <c r="HJ30" s="15" t="str">
        <f>IF('Raw Data'!GX67="","",'Raw Data'!GX67)</f>
        <v>0</v>
      </c>
      <c r="HK30" s="15" t="str">
        <f>IF('Raw Data'!GY67="","",'Raw Data'!GY67)</f>
        <v/>
      </c>
      <c r="HL30" s="15" t="str">
        <f>IF('Raw Data'!GZ67="","",'Raw Data'!GZ67)</f>
        <v>non_obtention_info ne_contribue_pas</v>
      </c>
      <c r="HM30" s="15" t="str">
        <f>IF('Raw Data'!HA67="","",'Raw Data'!HA67)</f>
        <v>1</v>
      </c>
      <c r="HN30" s="15" t="str">
        <f>IF('Raw Data'!HB67="","",'Raw Data'!HB67)</f>
        <v>0</v>
      </c>
      <c r="HO30" s="15" t="str">
        <f>IF('Raw Data'!HC67="","",'Raw Data'!HC67)</f>
        <v>1</v>
      </c>
      <c r="HP30" s="15" t="str">
        <f>IF('Raw Data'!HD67="","",'Raw Data'!HD67)</f>
        <v>0</v>
      </c>
      <c r="HQ30" s="15" t="str">
        <f>IF('Raw Data'!HE67="","",'Raw Data'!HE67)</f>
        <v>0</v>
      </c>
      <c r="HR30" s="15" t="str">
        <f>IF('Raw Data'!HF67="","",'Raw Data'!HF67)</f>
        <v>0</v>
      </c>
      <c r="HS30" s="15" t="str">
        <f>IF('Raw Data'!HG67="","",'Raw Data'!HG67)</f>
        <v/>
      </c>
      <c r="HT30" s="15" t="str">
        <f>IF('Raw Data'!HH67="","",'Raw Data'!HH67)</f>
        <v/>
      </c>
      <c r="HU30" s="15" t="str">
        <f>IF('Raw Data'!HI67="","",'Raw Data'!HI67)</f>
        <v>oui_minorite</v>
      </c>
      <c r="HV30" s="15" t="str">
        <f>IF('Raw Data'!HJ67="","",'Raw Data'!HJ67)</f>
        <v>ingo</v>
      </c>
      <c r="HW30" s="15" t="str">
        <f>IF('Raw Data'!HK67="","",'Raw Data'!HK67)</f>
        <v>0</v>
      </c>
      <c r="HX30" s="15" t="str">
        <f>IF('Raw Data'!HL67="","",'Raw Data'!HL67)</f>
        <v>0</v>
      </c>
      <c r="HY30" s="15" t="str">
        <f>IF('Raw Data'!HM67="","",'Raw Data'!HM67)</f>
        <v>0</v>
      </c>
      <c r="HZ30" s="15" t="str">
        <f>IF('Raw Data'!HN67="","",'Raw Data'!HN67)</f>
        <v>0</v>
      </c>
      <c r="IA30" s="15" t="str">
        <f>IF('Raw Data'!HO67="","",'Raw Data'!HO67)</f>
        <v>1</v>
      </c>
      <c r="IB30" s="15" t="str">
        <f>IF('Raw Data'!HP67="","",'Raw Data'!HP67)</f>
        <v>0</v>
      </c>
      <c r="IC30" s="15" t="str">
        <f>IF('Raw Data'!HQ67="","",'Raw Data'!HQ67)</f>
        <v>0</v>
      </c>
      <c r="ID30" s="15" t="str">
        <f>IF('Raw Data'!HR67="","",'Raw Data'!HR67)</f>
        <v>0</v>
      </c>
      <c r="IE30" s="15" t="str">
        <f>IF('Raw Data'!HS67="","",'Raw Data'!HS67)</f>
        <v>0</v>
      </c>
      <c r="IF30" s="15" t="str">
        <f>IF('Raw Data'!HT67="","",'Raw Data'!HT67)</f>
        <v>0</v>
      </c>
      <c r="IG30" s="15" t="str">
        <f>IF('Raw Data'!HU67="","",'Raw Data'!HU67)</f>
        <v/>
      </c>
      <c r="IH30" s="15" t="str">
        <f>IF('Raw Data'!HV67="","",'Raw Data'!HV67)</f>
        <v>oui</v>
      </c>
      <c r="II30" s="15" t="str">
        <f>IF('Raw Data'!HW67="","",'Raw Data'!HW67)</f>
        <v/>
      </c>
      <c r="IJ30" s="15" t="str">
        <f>IF('Raw Data'!HX67="","",'Raw Data'!HX67)</f>
        <v/>
      </c>
      <c r="IK30" s="15" t="str">
        <f>IF('Raw Data'!HY67="","",'Raw Data'!HY67)</f>
        <v/>
      </c>
      <c r="IL30" s="15" t="str">
        <f>IF('Raw Data'!HZ67="","",'Raw Data'!HZ67)</f>
        <v/>
      </c>
      <c r="IM30" s="15" t="str">
        <f>IF('Raw Data'!IA67="","",'Raw Data'!IA67)</f>
        <v/>
      </c>
      <c r="IN30" s="15" t="str">
        <f>IF('Raw Data'!IB67="","",'Raw Data'!IB67)</f>
        <v/>
      </c>
      <c r="IO30" s="15" t="str">
        <f>IF('Raw Data'!IC67="","",'Raw Data'!IC67)</f>
        <v/>
      </c>
      <c r="IP30" s="15" t="str">
        <f>IF('Raw Data'!ID67="","",'Raw Data'!ID67)</f>
        <v/>
      </c>
      <c r="IQ30" s="15" t="str">
        <f>IF('Raw Data'!IE67="","",'Raw Data'!IE67)</f>
        <v/>
      </c>
      <c r="IR30" s="15" t="str">
        <f>IF('Raw Data'!IF67="","",'Raw Data'!IF67)</f>
        <v/>
      </c>
      <c r="IS30" s="15" t="str">
        <f>IF('Raw Data'!IG67="","",'Raw Data'!IG67)</f>
        <v/>
      </c>
      <c r="IT30" s="15" t="str">
        <f>IF('Raw Data'!IH67="","",'Raw Data'!IH67)</f>
        <v/>
      </c>
      <c r="IU30" s="15" t="str">
        <f>IF('Raw Data'!II67="","",'Raw Data'!II67)</f>
        <v/>
      </c>
      <c r="IV30" s="15" t="str">
        <f>IF('Raw Data'!IJ67="","",'Raw Data'!IJ67)</f>
        <v/>
      </c>
      <c r="IW30" s="15" t="str">
        <f>IF('Raw Data'!IK67="","",'Raw Data'!IK67)</f>
        <v/>
      </c>
      <c r="IX30" s="15" t="str">
        <f>IF('Raw Data'!IL67="","",'Raw Data'!IL67)</f>
        <v/>
      </c>
      <c r="IY30" s="15" t="str">
        <f>IF('Raw Data'!IM67="","",'Raw Data'!IM67)</f>
        <v/>
      </c>
      <c r="IZ30" s="15" t="str">
        <f>IF('Raw Data'!IN67="","",'Raw Data'!IN67)</f>
        <v>5</v>
      </c>
      <c r="JA30" s="15" t="str">
        <f>IF('Raw Data'!IO67="","",'Raw Data'!IO67)</f>
        <v>Services_medicaux acces_docs service_judiciaire points_ecoute</v>
      </c>
      <c r="JB30" s="15" t="str">
        <f>IF('Raw Data'!IP67="","",'Raw Data'!IP67)</f>
        <v>0</v>
      </c>
      <c r="JC30" s="15" t="str">
        <f>IF('Raw Data'!IQ67="","",'Raw Data'!IQ67)</f>
        <v>1</v>
      </c>
      <c r="JD30" s="15" t="str">
        <f>IF('Raw Data'!IR67="","",'Raw Data'!IR67)</f>
        <v>0</v>
      </c>
      <c r="JE30" s="15" t="str">
        <f>IF('Raw Data'!IS67="","",'Raw Data'!IS67)</f>
        <v>0</v>
      </c>
      <c r="JF30" s="15" t="str">
        <f>IF('Raw Data'!IT67="","",'Raw Data'!IT67)</f>
        <v>1</v>
      </c>
      <c r="JG30" s="15" t="str">
        <f>IF('Raw Data'!IU67="","",'Raw Data'!IU67)</f>
        <v>1</v>
      </c>
      <c r="JH30" s="15" t="str">
        <f>IF('Raw Data'!IV67="","",'Raw Data'!IV67)</f>
        <v>0</v>
      </c>
      <c r="JI30" s="15" t="str">
        <f>IF('Raw Data'!IW67="","",'Raw Data'!IW67)</f>
        <v>1</v>
      </c>
      <c r="JJ30" s="15" t="str">
        <f>IF('Raw Data'!IX67="","",'Raw Data'!IX67)</f>
        <v>0</v>
      </c>
      <c r="JK30" s="15" t="str">
        <f>IF('Raw Data'!IY67="","",'Raw Data'!IY67)</f>
        <v>0</v>
      </c>
      <c r="JL30" s="15" t="str">
        <f>IF('Raw Data'!IZ67="","",'Raw Data'!IZ67)</f>
        <v/>
      </c>
      <c r="JM30" s="15" t="str">
        <f>IF('Raw Data'!JA67="","",'Raw Data'!JA67)</f>
        <v>signalement reorientation prise_enchage</v>
      </c>
      <c r="JN30" s="15" t="str">
        <f>IF('Raw Data'!JB67="","",'Raw Data'!JB67)</f>
        <v>1</v>
      </c>
      <c r="JO30" s="15" t="str">
        <f>IF('Raw Data'!JC67="","",'Raw Data'!JC67)</f>
        <v>1</v>
      </c>
      <c r="JP30" s="15" t="str">
        <f>IF('Raw Data'!JD67="","",'Raw Data'!JD67)</f>
        <v>1</v>
      </c>
      <c r="JQ30" s="15" t="str">
        <f>IF('Raw Data'!JE67="","",'Raw Data'!JE67)</f>
        <v>0</v>
      </c>
      <c r="JR30" s="15" t="str">
        <f>IF('Raw Data'!JF67="","",'Raw Data'!JF67)</f>
        <v>0</v>
      </c>
      <c r="JS30" s="15" t="str">
        <f>IF('Raw Data'!JG67="","",'Raw Data'!JG67)</f>
        <v>0</v>
      </c>
      <c r="JT30" s="15" t="str">
        <f>IF('Raw Data'!JH67="","",'Raw Data'!JH67)</f>
        <v/>
      </c>
      <c r="JU30" s="15" t="str">
        <f>IF('Raw Data'!JI67="","",'Raw Data'!JI67)</f>
        <v>point_ecoute medical</v>
      </c>
      <c r="JV30" s="15" t="str">
        <f>IF('Raw Data'!JJ67="","",'Raw Data'!JJ67)</f>
        <v>1</v>
      </c>
      <c r="JW30" s="15" t="str">
        <f>IF('Raw Data'!JK67="","",'Raw Data'!JK67)</f>
        <v>0</v>
      </c>
      <c r="JX30" s="15" t="str">
        <f>IF('Raw Data'!JL67="","",'Raw Data'!JL67)</f>
        <v>1</v>
      </c>
      <c r="JY30" s="15" t="str">
        <f>IF('Raw Data'!JM67="","",'Raw Data'!JM67)</f>
        <v>0</v>
      </c>
      <c r="JZ30" s="15" t="str">
        <f>IF('Raw Data'!JN67="","",'Raw Data'!JN67)</f>
        <v>0</v>
      </c>
      <c r="KA30" s="15" t="str">
        <f>IF('Raw Data'!JO67="","",'Raw Data'!JO67)</f>
        <v>0</v>
      </c>
      <c r="KB30" s="15" t="str">
        <f>IF('Raw Data'!JP67="","",'Raw Data'!JP67)</f>
        <v>0</v>
      </c>
      <c r="KC30" s="15" t="str">
        <f>IF('Raw Data'!JQ67="","",'Raw Data'!JQ67)</f>
        <v>0</v>
      </c>
      <c r="KD30" s="15" t="str">
        <f>IF('Raw Data'!JR67="","",'Raw Data'!JR67)</f>
        <v>0</v>
      </c>
      <c r="KE30" s="15" t="str">
        <f>IF('Raw Data'!JS67="","",'Raw Data'!JS67)</f>
        <v/>
      </c>
      <c r="KF30" s="15" t="str">
        <f>IF('Raw Data'!JT67="","",'Raw Data'!JT67)</f>
        <v>medical juridique surete</v>
      </c>
      <c r="KG30" s="15" t="str">
        <f>IF('Raw Data'!JU67="","",'Raw Data'!JU67)</f>
        <v>1</v>
      </c>
      <c r="KH30" s="15" t="str">
        <f>IF('Raw Data'!JV67="","",'Raw Data'!JV67)</f>
        <v>0</v>
      </c>
      <c r="KI30" s="15" t="str">
        <f>IF('Raw Data'!JW67="","",'Raw Data'!JW67)</f>
        <v>0</v>
      </c>
      <c r="KJ30" s="15" t="str">
        <f>IF('Raw Data'!JX67="","",'Raw Data'!JX67)</f>
        <v>1</v>
      </c>
      <c r="KK30" s="15" t="str">
        <f>IF('Raw Data'!JY67="","",'Raw Data'!JY67)</f>
        <v>1</v>
      </c>
      <c r="KL30" s="15" t="str">
        <f>IF('Raw Data'!JZ67="","",'Raw Data'!JZ67)</f>
        <v>0</v>
      </c>
      <c r="KM30" s="15" t="str">
        <f>IF('Raw Data'!KA67="","",'Raw Data'!KA67)</f>
        <v>0</v>
      </c>
      <c r="KN30" s="15" t="str">
        <f>IF('Raw Data'!KB67="","",'Raw Data'!KB67)</f>
        <v>0</v>
      </c>
      <c r="KO30" s="15" t="str">
        <f>IF('Raw Data'!KC67="","",'Raw Data'!KC67)</f>
        <v>0</v>
      </c>
      <c r="KP30" s="15" t="str">
        <f>IF('Raw Data'!KD67="","",'Raw Data'!KD67)</f>
        <v/>
      </c>
      <c r="KQ30" s="15" t="str">
        <f>IF('Raw Data'!KE67="","",'Raw Data'!KE67)</f>
        <v/>
      </c>
      <c r="KR30" s="15" t="str">
        <f>IF('Raw Data'!KF67="","",'Raw Data'!KF67)</f>
        <v>non</v>
      </c>
      <c r="KS30" s="15" t="str">
        <f>IF('Raw Data'!KG67="","",'Raw Data'!KG67)</f>
        <v/>
      </c>
      <c r="KT30" s="15" t="str">
        <f>IF('Raw Data'!KH67="","",'Raw Data'!KH67)</f>
        <v/>
      </c>
      <c r="KU30" s="15" t="str">
        <f>IF('Raw Data'!KI67="","",'Raw Data'!KI67)</f>
        <v/>
      </c>
      <c r="KV30" s="15" t="str">
        <f>IF('Raw Data'!KJ67="","",'Raw Data'!KJ67)</f>
        <v/>
      </c>
      <c r="KW30" s="15" t="str">
        <f>IF('Raw Data'!KK67="","",'Raw Data'!KK67)</f>
        <v/>
      </c>
      <c r="KX30" s="15" t="str">
        <f>IF('Raw Data'!KL67="","",'Raw Data'!KL67)</f>
        <v/>
      </c>
      <c r="KY30" s="15" t="str">
        <f>IF('Raw Data'!KM67="","",'Raw Data'!KM67)</f>
        <v/>
      </c>
      <c r="KZ30" s="15" t="str">
        <f>IF('Raw Data'!KN67="","",'Raw Data'!KN67)</f>
        <v/>
      </c>
      <c r="LA30" s="15" t="str">
        <f>IF('Raw Data'!KO67="","",'Raw Data'!KO67)</f>
        <v/>
      </c>
      <c r="LB30" s="15" t="str">
        <f>IF('Raw Data'!KP67="","",'Raw Data'!KP67)</f>
        <v/>
      </c>
      <c r="LC30" s="15" t="str">
        <f>IF('Raw Data'!KQ67="","",'Raw Data'!KQ67)</f>
        <v/>
      </c>
      <c r="LD30" s="15" t="str">
        <f>IF('Raw Data'!KR67="","",'Raw Data'!KR67)</f>
        <v/>
      </c>
      <c r="LE30" s="15" t="str">
        <f>IF('Raw Data'!KS67="","",'Raw Data'!KS67)</f>
        <v/>
      </c>
      <c r="LF30" s="15" t="str">
        <f>IF('Raw Data'!KT67="","",'Raw Data'!KT67)</f>
        <v/>
      </c>
      <c r="LG30" s="15" t="str">
        <f>IF('Raw Data'!KU67="","",'Raw Data'!KU67)</f>
        <v/>
      </c>
      <c r="LH30" s="15" t="str">
        <f>IF('Raw Data'!KV67="","",'Raw Data'!KV67)</f>
        <v/>
      </c>
      <c r="LI30" s="15" t="str">
        <f>IF('Raw Data'!KW67="","",'Raw Data'!KW67)</f>
        <v/>
      </c>
      <c r="LJ30" s="15" t="str">
        <f>IF('Raw Data'!KX67="","",'Raw Data'!KX67)</f>
        <v/>
      </c>
      <c r="LK30" s="15" t="str">
        <f>IF('Raw Data'!KY67="","",'Raw Data'!KY67)</f>
        <v/>
      </c>
      <c r="LL30" s="15" t="str">
        <f>IF('Raw Data'!KZ67="","",'Raw Data'!KZ67)</f>
        <v/>
      </c>
      <c r="LM30" s="15" t="str">
        <f>IF('Raw Data'!LA67="","",'Raw Data'!LA67)</f>
        <v/>
      </c>
      <c r="LN30" s="15" t="str">
        <f>IF('Raw Data'!LB67="","",'Raw Data'!LB67)</f>
        <v>non</v>
      </c>
      <c r="LO30" s="15" t="str">
        <f>IF('Raw Data'!LC67="","",'Raw Data'!LC67)</f>
        <v/>
      </c>
      <c r="LP30" s="15" t="str">
        <f>IF('Raw Data'!LD67="","",'Raw Data'!LD67)</f>
        <v/>
      </c>
      <c r="LQ30" s="15" t="str">
        <f>IF('Raw Data'!LE67="","",'Raw Data'!LE67)</f>
        <v/>
      </c>
      <c r="LR30" s="15" t="str">
        <f>IF('Raw Data'!LF67="","",'Raw Data'!LF67)</f>
        <v/>
      </c>
      <c r="LS30" s="15" t="str">
        <f>IF('Raw Data'!LG67="","",'Raw Data'!LG67)</f>
        <v/>
      </c>
      <c r="LT30" s="15" t="str">
        <f>IF('Raw Data'!LH67="","",'Raw Data'!LH67)</f>
        <v/>
      </c>
      <c r="LU30" s="15" t="str">
        <f>IF('Raw Data'!LI67="","",'Raw Data'!LI67)</f>
        <v/>
      </c>
      <c r="LV30" s="15" t="str">
        <f>IF('Raw Data'!LJ67="","",'Raw Data'!LJ67)</f>
        <v/>
      </c>
      <c r="LW30" s="15" t="str">
        <f>IF('Raw Data'!LK67="","",'Raw Data'!LK67)</f>
        <v/>
      </c>
      <c r="LX30" s="15" t="str">
        <f>IF('Raw Data'!LL67="","",'Raw Data'!LL67)</f>
        <v/>
      </c>
      <c r="LY30" s="15" t="str">
        <f>IF('Raw Data'!LM67="","",'Raw Data'!LM67)</f>
        <v/>
      </c>
      <c r="LZ30" s="15" t="str">
        <f>IF('Raw Data'!LN67="","",'Raw Data'!LN67)</f>
        <v/>
      </c>
      <c r="MA30" s="15" t="str">
        <f>IF('Raw Data'!LO67="","",'Raw Data'!LO67)</f>
        <v/>
      </c>
      <c r="MB30" s="15" t="str">
        <f>IF('Raw Data'!LP67="","",'Raw Data'!LP67)</f>
        <v>oui</v>
      </c>
      <c r="MC30" s="15" t="str">
        <f>IF('Raw Data'!LQ67="","",'Raw Data'!LQ67)</f>
        <v/>
      </c>
      <c r="MD30" s="15" t="str">
        <f>IF('Raw Data'!LR67="","",'Raw Data'!LR67)</f>
        <v/>
      </c>
      <c r="ME30" s="15">
        <f>IF('Raw Data'!LS67="","",'Raw Data'!LS67)</f>
        <v>172011402</v>
      </c>
      <c r="MF30" s="15" t="str">
        <f>IF('Raw Data'!LT67="","",'Raw Data'!LT67)</f>
        <v>f7fb0afa-f30b-4d64-80bc-b8350cfd417a</v>
      </c>
      <c r="MG30" s="15" t="str">
        <f>IF('Raw Data'!LU67="","",'Raw Data'!LU67)</f>
        <v>2021-04-16T16:12:05</v>
      </c>
      <c r="MH30" s="15" t="str">
        <f>IF('Raw Data'!LV67="","",'Raw Data'!LV67)</f>
        <v/>
      </c>
      <c r="MI30" s="15" t="str">
        <f>IF('Raw Data'!LW67="","",'Raw Data'!LW67)</f>
        <v>[]</v>
      </c>
      <c r="MJ30" s="15" t="str">
        <f>IF('Raw Data'!LX67="","",'Raw Data'!LX67)</f>
        <v>submitted_via_web</v>
      </c>
      <c r="MK30" s="15" t="str">
        <f>IF('Raw Data'!LY67="","",'Raw Data'!LY67)</f>
        <v>reach_niger</v>
      </c>
      <c r="ML30" s="15" t="str">
        <f>IF('Raw Data'!LZ67="","",'Raw Data'!LZ67)</f>
        <v/>
      </c>
      <c r="MM30" s="15">
        <f>IF('Raw Data'!MA67="","",'Raw Data'!MA67)</f>
        <v>72</v>
      </c>
    </row>
    <row r="31" spans="1:351" x14ac:dyDescent="0.3">
      <c r="A31" s="26" t="str">
        <f t="shared" si="0"/>
        <v>784c850a-6d0f-48e6-8cf0-97fc2af13ad5</v>
      </c>
      <c r="B31" s="26" t="str">
        <f t="shared" si="1"/>
        <v>tera</v>
      </c>
      <c r="C31" s="26" t="str">
        <f t="shared" si="2"/>
        <v>G</v>
      </c>
      <c r="D31" s="14" t="str">
        <f>IF('Raw Data'!A68="","",'Raw Data'!A68)</f>
        <v>2021-04-16T12:19:40.239+01:00</v>
      </c>
      <c r="E31" s="14" t="str">
        <f>IF('Raw Data'!B68="","",'Raw Data'!B68)</f>
        <v>2021-04-16T13:00:54.109+01:00</v>
      </c>
      <c r="F31" s="30">
        <v>44302.513657407406</v>
      </c>
      <c r="G31" s="30">
        <v>44302.542291666665</v>
      </c>
      <c r="H31" s="29">
        <f>VLOOKUP(A31,Audit[#All],2,FALSE)</f>
        <v>41.23</v>
      </c>
      <c r="I31" s="29">
        <f>VLOOKUP(A31,Audit[#All],3,FALSE)</f>
        <v>40.9</v>
      </c>
      <c r="J31" s="29">
        <f>VLOOKUP(A31,Audit[#All],4,FALSE)</f>
        <v>40.4</v>
      </c>
      <c r="K31" s="29">
        <f>VLOOKUP(A31,nb_questions[#All],2,FALSE)</f>
        <v>109</v>
      </c>
      <c r="L31" s="29">
        <f t="shared" si="3"/>
        <v>172</v>
      </c>
      <c r="M31" s="14" t="str">
        <f>IF('Raw Data'!C68="","",'Raw Data'!C68)</f>
        <v>2021-04-16</v>
      </c>
      <c r="N31" s="14" t="str">
        <f>IF('Raw Data'!D68="","",'Raw Data'!D68)</f>
        <v/>
      </c>
      <c r="O31" s="14" t="str">
        <f>IF('Raw Data'!E68="","",'Raw Data'!E68)</f>
        <v/>
      </c>
      <c r="P31" s="29" t="str">
        <f>VLOOKUP(A31,code_enqueteurs[#All],3,FALSE)</f>
        <v>G</v>
      </c>
      <c r="Q31" s="29" t="s">
        <v>1646</v>
      </c>
      <c r="R31" s="14" t="str">
        <f>IF('Raw Data'!F68="","",'Raw Data'!F68)</f>
        <v>Homme</v>
      </c>
      <c r="S31" s="15" t="str">
        <f>IF('Raw Data'!G68="","",'Raw Data'!G68)</f>
        <v>tera</v>
      </c>
      <c r="T31" s="15" t="str">
        <f>IF('Raw Data'!H68="","",'Raw Data'!H68)</f>
        <v>tera</v>
      </c>
      <c r="U31" s="31" t="s">
        <v>934</v>
      </c>
      <c r="V31" s="15" t="str">
        <f>IF('Raw Data'!J68="","",'Raw Data'!J68)</f>
        <v/>
      </c>
      <c r="W31" s="15" t="str">
        <f>IF('Raw Data'!K68="","",'Raw Data'!K68)</f>
        <v/>
      </c>
      <c r="X31" s="15" t="str">
        <f>IF('Raw Data'!L68="","",'Raw Data'!L68)</f>
        <v/>
      </c>
      <c r="Y31" s="15" t="str">
        <f>IF('Raw Data'!M68="","",'Raw Data'!M68)</f>
        <v/>
      </c>
      <c r="Z31" s="15" t="str">
        <f>IF('Raw Data'!N68="","",'Raw Data'!N68)</f>
        <v/>
      </c>
      <c r="AA31" s="15" t="str">
        <f>IF('Raw Data'!O68="","",'Raw Data'!O68)</f>
        <v/>
      </c>
      <c r="AB31" s="15" t="str">
        <f>IF('Raw Data'!P68="","",'Raw Data'!P68)</f>
        <v/>
      </c>
      <c r="AC31" s="15" t="str">
        <f>IF('Raw Data'!Q68="","",'Raw Data'!Q68)</f>
        <v/>
      </c>
      <c r="AD31" s="15" t="str">
        <f>IF('Raw Data'!R68="","",'Raw Data'!R68)</f>
        <v>Homme</v>
      </c>
      <c r="AE31" s="15" t="str">
        <f>IF('Raw Data'!S68="","",'Raw Data'!S68)</f>
        <v>62</v>
      </c>
      <c r="AF31" s="15" t="str">
        <f>IF('Raw Data'!T68="","",'Raw Data'!T68)</f>
        <v>deplace_interne</v>
      </c>
      <c r="AG31" s="15" t="str">
        <f>IF('Raw Data'!U68="","",'Raw Data'!U68)</f>
        <v/>
      </c>
      <c r="AH31" s="15" t="str">
        <f>IF('Raw Data'!V68="","",'Raw Data'!V68)</f>
        <v/>
      </c>
      <c r="AI31" s="15" t="str">
        <f>IF('Raw Data'!W68="","",'Raw Data'!W68)</f>
        <v/>
      </c>
      <c r="AJ31" s="15" t="str">
        <f>IF('Raw Data'!X68="","",'Raw Data'!X68)</f>
        <v/>
      </c>
      <c r="AK31" s="15" t="str">
        <f>IF('Raw Data'!Y68="","",'Raw Data'!Y68)</f>
        <v/>
      </c>
      <c r="AL31" s="15" t="str">
        <f>IF('Raw Data'!Z68="","",'Raw Data'!Z68)</f>
        <v>niger</v>
      </c>
      <c r="AM31" s="15" t="str">
        <f>IF('Raw Data'!AA68="","",'Raw Data'!AA68)</f>
        <v>tillaberi</v>
      </c>
      <c r="AN31" s="15" t="str">
        <f>IF('Raw Data'!AB68="","",'Raw Data'!AB68)</f>
        <v>tera</v>
      </c>
      <c r="AO31" s="15" t="str">
        <f>IF('Raw Data'!AC68="","",'Raw Data'!AC68)</f>
        <v/>
      </c>
      <c r="AP31" s="15" t="str">
        <f>IF('Raw Data'!AD68="","",'Raw Data'!AD68)</f>
        <v/>
      </c>
      <c r="AQ31" s="15" t="str">
        <f>IF('Raw Data'!AE68="","",'Raw Data'!AE68)</f>
        <v/>
      </c>
      <c r="AR31" s="15" t="str">
        <f>IF('Raw Data'!AF68="","",'Raw Data'!AF68)</f>
        <v/>
      </c>
      <c r="AS31" s="15" t="str">
        <f>IF('Raw Data'!AG68="","",'Raw Data'!AG68)</f>
        <v>non</v>
      </c>
      <c r="AT31" s="15" t="str">
        <f>IF('Raw Data'!AH68="","",'Raw Data'!AH68)</f>
        <v/>
      </c>
      <c r="AU31" s="15" t="str">
        <f>IF('Raw Data'!AI68="","",'Raw Data'!AI68)</f>
        <v/>
      </c>
      <c r="AV31" s="15" t="str">
        <f>IF('Raw Data'!AJ68="","",'Raw Data'!AJ68)</f>
        <v/>
      </c>
      <c r="AW31" s="15" t="str">
        <f>IF('Raw Data'!AK68="","",'Raw Data'!AK68)</f>
        <v/>
      </c>
      <c r="AX31" s="15" t="str">
        <f>IF('Raw Data'!AL68="","",'Raw Data'!AL68)</f>
        <v/>
      </c>
      <c r="AY31" s="15" t="str">
        <f>IF('Raw Data'!AM68="","",'Raw Data'!AM68)</f>
        <v/>
      </c>
      <c r="AZ31" s="15" t="str">
        <f>IF('Raw Data'!AN68="","",'Raw Data'!AN68)</f>
        <v/>
      </c>
      <c r="BA31" s="15" t="str">
        <f>IF('Raw Data'!AO68="","",'Raw Data'!AO68)</f>
        <v/>
      </c>
      <c r="BB31" s="15" t="str">
        <f>IF('Raw Data'!AP68="","",'Raw Data'!AP68)</f>
        <v/>
      </c>
      <c r="BC31" s="15" t="str">
        <f>IF('Raw Data'!AQ68="","",'Raw Data'!AQ68)</f>
        <v/>
      </c>
      <c r="BD31" s="15" t="str">
        <f>IF('Raw Data'!AR68="","",'Raw Data'!AR68)</f>
        <v/>
      </c>
      <c r="BE31" s="15" t="str">
        <f>IF('Raw Data'!AS68="","",'Raw Data'!AS68)</f>
        <v/>
      </c>
      <c r="BF31" s="15" t="str">
        <f>IF('Raw Data'!AT68="","",'Raw Data'!AT68)</f>
        <v/>
      </c>
      <c r="BG31" s="15" t="str">
        <f>IF('Raw Data'!AU68="","",'Raw Data'!AU68)</f>
        <v/>
      </c>
      <c r="BH31" s="15" t="str">
        <f>IF('Raw Data'!AV68="","",'Raw Data'!AV68)</f>
        <v/>
      </c>
      <c r="BI31" s="15" t="str">
        <f>IF('Raw Data'!AW68="","",'Raw Data'!AW68)</f>
        <v/>
      </c>
      <c r="BJ31" s="15" t="str">
        <f>IF('Raw Data'!AX68="","",'Raw Data'!AX68)</f>
        <v/>
      </c>
      <c r="BK31" s="15" t="str">
        <f>IF('Raw Data'!AY68="","",'Raw Data'!AY68)</f>
        <v/>
      </c>
      <c r="BL31" s="15" t="str">
        <f>IF('Raw Data'!AZ68="","",'Raw Data'!AZ68)</f>
        <v/>
      </c>
      <c r="BM31" s="15" t="str">
        <f>IF('Raw Data'!BA68="","",'Raw Data'!BA68)</f>
        <v/>
      </c>
      <c r="BN31" s="15" t="str">
        <f>IF('Raw Data'!BB68="","",'Raw Data'!BB68)</f>
        <v/>
      </c>
      <c r="BO31" s="15" t="str">
        <f>IF('Raw Data'!BC68="","",'Raw Data'!BC68)</f>
        <v/>
      </c>
      <c r="BP31" s="15" t="str">
        <f>IF('Raw Data'!BD68="","",'Raw Data'!BD68)</f>
        <v/>
      </c>
      <c r="BQ31" s="15" t="str">
        <f>IF('Raw Data'!BE68="","",'Raw Data'!BE68)</f>
        <v/>
      </c>
      <c r="BR31" s="15" t="str">
        <f>IF('Raw Data'!BF68="","",'Raw Data'!BF68)</f>
        <v/>
      </c>
      <c r="BS31" s="15" t="str">
        <f>IF('Raw Data'!BG68="","",'Raw Data'!BG68)</f>
        <v/>
      </c>
      <c r="BT31" s="15" t="str">
        <f>IF('Raw Data'!BH68="","",'Raw Data'!BH68)</f>
        <v/>
      </c>
      <c r="BU31" s="15" t="str">
        <f>IF('Raw Data'!BI68="","",'Raw Data'!BI68)</f>
        <v/>
      </c>
      <c r="BV31" s="15" t="str">
        <f>IF('Raw Data'!BJ68="","",'Raw Data'!BJ68)</f>
        <v/>
      </c>
      <c r="BW31" s="15" t="str">
        <f>IF('Raw Data'!BK68="","",'Raw Data'!BK68)</f>
        <v/>
      </c>
      <c r="BX31" s="15" t="str">
        <f>IF('Raw Data'!BL68="","",'Raw Data'!BL68)</f>
        <v/>
      </c>
      <c r="BY31" s="15" t="str">
        <f>IF('Raw Data'!BM68="","",'Raw Data'!BM68)</f>
        <v/>
      </c>
      <c r="BZ31" s="15" t="str">
        <f>IF('Raw Data'!BN68="","",'Raw Data'!BN68)</f>
        <v/>
      </c>
      <c r="CA31" s="15" t="str">
        <f>IF('Raw Data'!BO68="","",'Raw Data'!BO68)</f>
        <v/>
      </c>
      <c r="CB31" s="15" t="str">
        <f>IF('Raw Data'!BP68="","",'Raw Data'!BP68)</f>
        <v/>
      </c>
      <c r="CC31" s="15" t="str">
        <f>IF('Raw Data'!BQ68="","",'Raw Data'!BQ68)</f>
        <v>non</v>
      </c>
      <c r="CD31" s="15" t="str">
        <f>IF('Raw Data'!BR68="","",'Raw Data'!BR68)</f>
        <v/>
      </c>
      <c r="CE31" s="15" t="str">
        <f>IF('Raw Data'!BS68="","",'Raw Data'!BS68)</f>
        <v/>
      </c>
      <c r="CF31" s="15" t="str">
        <f>IF('Raw Data'!BT68="","",'Raw Data'!BT68)</f>
        <v/>
      </c>
      <c r="CG31" s="15" t="str">
        <f>IF('Raw Data'!BU68="","",'Raw Data'!BU68)</f>
        <v/>
      </c>
      <c r="CH31" s="15" t="str">
        <f>IF('Raw Data'!BV68="","",'Raw Data'!BV68)</f>
        <v/>
      </c>
      <c r="CI31" s="15" t="str">
        <f>IF('Raw Data'!BW68="","",'Raw Data'!BW68)</f>
        <v/>
      </c>
      <c r="CJ31" s="15" t="str">
        <f>IF('Raw Data'!BX68="","",'Raw Data'!BX68)</f>
        <v/>
      </c>
      <c r="CK31" s="15" t="str">
        <f>IF('Raw Data'!BY68="","",'Raw Data'!BY68)</f>
        <v/>
      </c>
      <c r="CL31" s="15" t="str">
        <f>IF('Raw Data'!BZ68="","",'Raw Data'!BZ68)</f>
        <v/>
      </c>
      <c r="CM31" s="15" t="str">
        <f>IF('Raw Data'!CA68="","",'Raw Data'!CA68)</f>
        <v/>
      </c>
      <c r="CN31" s="15" t="str">
        <f>IF('Raw Data'!CB68="","",'Raw Data'!CB68)</f>
        <v/>
      </c>
      <c r="CO31" s="15" t="str">
        <f>IF('Raw Data'!CC68="","",'Raw Data'!CC68)</f>
        <v/>
      </c>
      <c r="CP31" s="15" t="str">
        <f>IF('Raw Data'!CD68="","",'Raw Data'!CD68)</f>
        <v/>
      </c>
      <c r="CQ31" s="15" t="str">
        <f>IF('Raw Data'!CE68="","",'Raw Data'!CE68)</f>
        <v/>
      </c>
      <c r="CR31" s="15" t="str">
        <f>IF('Raw Data'!CF68="","",'Raw Data'!CF68)</f>
        <v/>
      </c>
      <c r="CS31" s="15" t="str">
        <f>IF('Raw Data'!CG68="","",'Raw Data'!CG68)</f>
        <v/>
      </c>
      <c r="CT31" s="15" t="str">
        <f>IF('Raw Data'!CH68="","",'Raw Data'!CH68)</f>
        <v/>
      </c>
      <c r="CU31" s="15" t="str">
        <f>IF('Raw Data'!CI68="","",'Raw Data'!CI68)</f>
        <v/>
      </c>
      <c r="CV31" s="15" t="str">
        <f>IF('Raw Data'!CJ68="","",'Raw Data'!CJ68)</f>
        <v/>
      </c>
      <c r="CW31" s="15" t="str">
        <f>IF('Raw Data'!CK68="","",'Raw Data'!CK68)</f>
        <v/>
      </c>
      <c r="CX31" s="15" t="str">
        <f>IF('Raw Data'!CL68="","",'Raw Data'!CL68)</f>
        <v/>
      </c>
      <c r="CY31" s="15" t="str">
        <f>IF('Raw Data'!CM68="","",'Raw Data'!CM68)</f>
        <v/>
      </c>
      <c r="CZ31" s="15" t="str">
        <f>IF('Raw Data'!CN68="","",'Raw Data'!CN68)</f>
        <v/>
      </c>
      <c r="DA31" s="15" t="str">
        <f>IF('Raw Data'!CO68="","",'Raw Data'!CO68)</f>
        <v/>
      </c>
      <c r="DB31" s="15" t="str">
        <f>IF('Raw Data'!CP68="","",'Raw Data'!CP68)</f>
        <v/>
      </c>
      <c r="DC31" s="15" t="str">
        <f>IF('Raw Data'!CQ68="","",'Raw Data'!CQ68)</f>
        <v/>
      </c>
      <c r="DD31" s="15" t="str">
        <f>IF('Raw Data'!CR68="","",'Raw Data'!CR68)</f>
        <v/>
      </c>
      <c r="DE31" s="15" t="str">
        <f>IF('Raw Data'!CS68="","",'Raw Data'!CS68)</f>
        <v/>
      </c>
      <c r="DF31" s="15" t="str">
        <f>IF('Raw Data'!CT68="","",'Raw Data'!CT68)</f>
        <v/>
      </c>
      <c r="DG31" s="15" t="str">
        <f>IF('Raw Data'!CU68="","",'Raw Data'!CU68)</f>
        <v/>
      </c>
      <c r="DH31" s="15" t="str">
        <f>IF('Raw Data'!CV68="","",'Raw Data'!CV68)</f>
        <v/>
      </c>
      <c r="DI31" s="15" t="str">
        <f>IF('Raw Data'!CW68="","",'Raw Data'!CW68)</f>
        <v/>
      </c>
      <c r="DJ31" s="15" t="str">
        <f>IF('Raw Data'!CX68="","",'Raw Data'!CX68)</f>
        <v/>
      </c>
      <c r="DK31" s="15" t="str">
        <f>IF('Raw Data'!CY68="","",'Raw Data'!CY68)</f>
        <v/>
      </c>
      <c r="DL31" s="15" t="str">
        <f>IF('Raw Data'!CZ68="","",'Raw Data'!CZ68)</f>
        <v/>
      </c>
      <c r="DM31" s="15" t="str">
        <f>IF('Raw Data'!DA68="","",'Raw Data'!DA68)</f>
        <v/>
      </c>
      <c r="DN31" s="15" t="str">
        <f>IF('Raw Data'!DB68="","",'Raw Data'!DB68)</f>
        <v/>
      </c>
      <c r="DO31" s="15" t="str">
        <f>IF('Raw Data'!DC68="","",'Raw Data'!DC68)</f>
        <v/>
      </c>
      <c r="DP31" s="15" t="str">
        <f>IF('Raw Data'!DD68="","",'Raw Data'!DD68)</f>
        <v/>
      </c>
      <c r="DQ31" s="15" t="str">
        <f>IF('Raw Data'!DE68="","",'Raw Data'!DE68)</f>
        <v/>
      </c>
      <c r="DR31" s="15" t="str">
        <f>IF('Raw Data'!DF68="","",'Raw Data'!DF68)</f>
        <v/>
      </c>
      <c r="DS31" s="15" t="str">
        <f>IF('Raw Data'!DG68="","",'Raw Data'!DG68)</f>
        <v/>
      </c>
      <c r="DT31" s="15" t="str">
        <f>IF('Raw Data'!DH68="","",'Raw Data'!DH68)</f>
        <v/>
      </c>
      <c r="DU31" s="15" t="str">
        <f>IF('Raw Data'!DI68="","",'Raw Data'!DI68)</f>
        <v/>
      </c>
      <c r="DV31" s="15" t="str">
        <f>IF('Raw Data'!DJ68="","",'Raw Data'!DJ68)</f>
        <v/>
      </c>
      <c r="DW31" s="15" t="str">
        <f>IF('Raw Data'!DK68="","",'Raw Data'!DK68)</f>
        <v/>
      </c>
      <c r="DX31" s="15" t="str">
        <f>IF('Raw Data'!DL68="","",'Raw Data'!DL68)</f>
        <v/>
      </c>
      <c r="DY31" s="15" t="str">
        <f>IF('Raw Data'!DM68="","",'Raw Data'!DM68)</f>
        <v/>
      </c>
      <c r="DZ31" s="15" t="str">
        <f>IF('Raw Data'!DN68="","",'Raw Data'!DN68)</f>
        <v/>
      </c>
      <c r="EA31" s="15" t="str">
        <f>IF('Raw Data'!DO68="","",'Raw Data'!DO68)</f>
        <v/>
      </c>
      <c r="EB31" s="15" t="str">
        <f>IF('Raw Data'!DP68="","",'Raw Data'!DP68)</f>
        <v/>
      </c>
      <c r="EC31" s="15" t="str">
        <f>IF('Raw Data'!DQ68="","",'Raw Data'!DQ68)</f>
        <v/>
      </c>
      <c r="ED31" s="15" t="str">
        <f>IF('Raw Data'!DR68="","",'Raw Data'!DR68)</f>
        <v/>
      </c>
      <c r="EE31" s="15" t="str">
        <f>IF('Raw Data'!DS68="","",'Raw Data'!DS68)</f>
        <v/>
      </c>
      <c r="EF31" s="15" t="str">
        <f>IF('Raw Data'!DT68="","",'Raw Data'!DT68)</f>
        <v/>
      </c>
      <c r="EG31" s="15" t="str">
        <f>IF('Raw Data'!DU68="","",'Raw Data'!DU68)</f>
        <v/>
      </c>
      <c r="EH31" s="15" t="str">
        <f>IF('Raw Data'!DV68="","",'Raw Data'!DV68)</f>
        <v/>
      </c>
      <c r="EI31" s="15" t="str">
        <f>IF('Raw Data'!DW68="","",'Raw Data'!DW68)</f>
        <v/>
      </c>
      <c r="EJ31" s="15" t="str">
        <f>IF('Raw Data'!DX68="","",'Raw Data'!DX68)</f>
        <v/>
      </c>
      <c r="EK31" s="15" t="str">
        <f>IF('Raw Data'!DY68="","",'Raw Data'!DY68)</f>
        <v/>
      </c>
      <c r="EL31" s="15" t="str">
        <f>IF('Raw Data'!DZ68="","",'Raw Data'!DZ68)</f>
        <v>Integration_com_hote Soutien_chef_village Soutien_famille_amis</v>
      </c>
      <c r="EM31" s="15" t="str">
        <f>IF('Raw Data'!EA68="","",'Raw Data'!EA68)</f>
        <v>0</v>
      </c>
      <c r="EN31" s="15" t="str">
        <f>IF('Raw Data'!EB68="","",'Raw Data'!EB68)</f>
        <v>1</v>
      </c>
      <c r="EO31" s="15" t="str">
        <f>IF('Raw Data'!EC68="","",'Raw Data'!EC68)</f>
        <v>1</v>
      </c>
      <c r="EP31" s="15" t="str">
        <f>IF('Raw Data'!ED68="","",'Raw Data'!ED68)</f>
        <v>1</v>
      </c>
      <c r="EQ31" s="15" t="str">
        <f>IF('Raw Data'!EE68="","",'Raw Data'!EE68)</f>
        <v>0</v>
      </c>
      <c r="ER31" s="15" t="str">
        <f>IF('Raw Data'!EF68="","",'Raw Data'!EF68)</f>
        <v>0</v>
      </c>
      <c r="ES31" s="15" t="str">
        <f>IF('Raw Data'!EG68="","",'Raw Data'!EG68)</f>
        <v>0</v>
      </c>
      <c r="ET31" s="15" t="str">
        <f>IF('Raw Data'!EH68="","",'Raw Data'!EH68)</f>
        <v>0</v>
      </c>
      <c r="EU31" s="15" t="str">
        <f>IF('Raw Data'!EI68="","",'Raw Data'!EI68)</f>
        <v>0</v>
      </c>
      <c r="EV31" s="15" t="str">
        <f>IF('Raw Data'!EJ68="","",'Raw Data'!EJ68)</f>
        <v/>
      </c>
      <c r="EW31" s="15" t="str">
        <f>IF('Raw Data'!EK68="","",'Raw Data'!EK68)</f>
        <v/>
      </c>
      <c r="EX31" s="15" t="str">
        <f>IF('Raw Data'!EL68="","",'Raw Data'!EL68)</f>
        <v>comite_protection comite_gestion_conflits famille_accueil</v>
      </c>
      <c r="EY31" s="15" t="str">
        <f>IF('Raw Data'!EM68="","",'Raw Data'!EM68)</f>
        <v>0</v>
      </c>
      <c r="EZ31" s="15" t="str">
        <f>IF('Raw Data'!EN68="","",'Raw Data'!EN68)</f>
        <v>1</v>
      </c>
      <c r="FA31" s="15" t="str">
        <f>IF('Raw Data'!EO68="","",'Raw Data'!EO68)</f>
        <v>1</v>
      </c>
      <c r="FB31" s="15" t="str">
        <f>IF('Raw Data'!EP68="","",'Raw Data'!EP68)</f>
        <v>0</v>
      </c>
      <c r="FC31" s="15" t="str">
        <f>IF('Raw Data'!EQ68="","",'Raw Data'!EQ68)</f>
        <v>0</v>
      </c>
      <c r="FD31" s="15" t="str">
        <f>IF('Raw Data'!ER68="","",'Raw Data'!ER68)</f>
        <v>1</v>
      </c>
      <c r="FE31" s="15" t="str">
        <f>IF('Raw Data'!ES68="","",'Raw Data'!ES68)</f>
        <v>0</v>
      </c>
      <c r="FF31" s="15" t="str">
        <f>IF('Raw Data'!ET68="","",'Raw Data'!ET68)</f>
        <v>0</v>
      </c>
      <c r="FG31" s="15" t="str">
        <f>IF('Raw Data'!EU68="","",'Raw Data'!EU68)</f>
        <v>0</v>
      </c>
      <c r="FH31" s="15" t="str">
        <f>IF('Raw Data'!EV68="","",'Raw Data'!EV68)</f>
        <v>0</v>
      </c>
      <c r="FI31" s="15" t="str">
        <f>IF('Raw Data'!EW68="","",'Raw Data'!EW68)</f>
        <v/>
      </c>
      <c r="FJ31" s="15" t="str">
        <f>IF('Raw Data'!EX68="","",'Raw Data'!EX68)</f>
        <v>oui</v>
      </c>
      <c r="FK31" s="15" t="str">
        <f>IF('Raw Data'!EY68="","",'Raw Data'!EY68)</f>
        <v>Internet Chef_village Differents_comites_villageois</v>
      </c>
      <c r="FL31" s="15" t="str">
        <f>IF('Raw Data'!EZ68="","",'Raw Data'!EZ68)</f>
        <v>0</v>
      </c>
      <c r="FM31" s="15" t="str">
        <f>IF('Raw Data'!FA68="","",'Raw Data'!FA68)</f>
        <v>0</v>
      </c>
      <c r="FN31" s="15" t="str">
        <f>IF('Raw Data'!FB68="","",'Raw Data'!FB68)</f>
        <v>1</v>
      </c>
      <c r="FO31" s="15" t="str">
        <f>IF('Raw Data'!FC68="","",'Raw Data'!FC68)</f>
        <v>0</v>
      </c>
      <c r="FP31" s="15" t="str">
        <f>IF('Raw Data'!FD68="","",'Raw Data'!FD68)</f>
        <v>1</v>
      </c>
      <c r="FQ31" s="15" t="str">
        <f>IF('Raw Data'!FE68="","",'Raw Data'!FE68)</f>
        <v>0</v>
      </c>
      <c r="FR31" s="15" t="str">
        <f>IF('Raw Data'!FF68="","",'Raw Data'!FF68)</f>
        <v>0</v>
      </c>
      <c r="FS31" s="15" t="str">
        <f>IF('Raw Data'!FG68="","",'Raw Data'!FG68)</f>
        <v>0</v>
      </c>
      <c r="FT31" s="15" t="str">
        <f>IF('Raw Data'!FH68="","",'Raw Data'!FH68)</f>
        <v>1</v>
      </c>
      <c r="FU31" s="15" t="str">
        <f>IF('Raw Data'!FI68="","",'Raw Data'!FI68)</f>
        <v>0</v>
      </c>
      <c r="FV31" s="15" t="str">
        <f>IF('Raw Data'!FJ68="","",'Raw Data'!FJ68)</f>
        <v>0</v>
      </c>
      <c r="FW31" s="15" t="str">
        <f>IF('Raw Data'!FK68="","",'Raw Data'!FK68)</f>
        <v>0</v>
      </c>
      <c r="FX31" s="15" t="str">
        <f>IF('Raw Data'!FL68="","",'Raw Data'!FL68)</f>
        <v>0</v>
      </c>
      <c r="FY31" s="15" t="str">
        <f>IF('Raw Data'!FM68="","",'Raw Data'!FM68)</f>
        <v>0</v>
      </c>
      <c r="FZ31" s="15" t="str">
        <f>IF('Raw Data'!FN68="","",'Raw Data'!FN68)</f>
        <v/>
      </c>
      <c r="GA31" s="15" t="str">
        <f>IF('Raw Data'!FO68="","",'Raw Data'!FO68)</f>
        <v>oui_ensemble</v>
      </c>
      <c r="GB31" s="15" t="str">
        <f>IF('Raw Data'!FP68="","",'Raw Data'!FP68)</f>
        <v>oui_ensemble</v>
      </c>
      <c r="GC31" s="15" t="str">
        <f>IF('Raw Data'!FQ68="","",'Raw Data'!FQ68)</f>
        <v/>
      </c>
      <c r="GD31" s="15" t="str">
        <f>IF('Raw Data'!FR68="","",'Raw Data'!FR68)</f>
        <v/>
      </c>
      <c r="GE31" s="15" t="str">
        <f>IF('Raw Data'!FS68="","",'Raw Data'!FS68)</f>
        <v/>
      </c>
      <c r="GF31" s="15" t="str">
        <f>IF('Raw Data'!FT68="","",'Raw Data'!FT68)</f>
        <v/>
      </c>
      <c r="GG31" s="15" t="str">
        <f>IF('Raw Data'!FU68="","",'Raw Data'!FU68)</f>
        <v/>
      </c>
      <c r="GH31" s="15" t="str">
        <f>IF('Raw Data'!FV68="","",'Raw Data'!FV68)</f>
        <v/>
      </c>
      <c r="GI31" s="15" t="str">
        <f>IF('Raw Data'!FW68="","",'Raw Data'!FW68)</f>
        <v/>
      </c>
      <c r="GJ31" s="15" t="str">
        <f>IF('Raw Data'!FX68="","",'Raw Data'!FX68)</f>
        <v/>
      </c>
      <c r="GK31" s="15" t="str">
        <f>IF('Raw Data'!FY68="","",'Raw Data'!FY68)</f>
        <v/>
      </c>
      <c r="GL31" s="15" t="str">
        <f>IF('Raw Data'!FZ68="","",'Raw Data'!FZ68)</f>
        <v/>
      </c>
      <c r="GM31" s="15" t="str">
        <f>IF('Raw Data'!GA68="","",'Raw Data'!GA68)</f>
        <v>ensemble</v>
      </c>
      <c r="GN31" s="15" t="str">
        <f>IF('Raw Data'!GB68="","",'Raw Data'!GB68)</f>
        <v>ensemble</v>
      </c>
      <c r="GO31" s="15" t="str">
        <f>IF('Raw Data'!GC68="","",'Raw Data'!GC68)</f>
        <v>Services_de_sante Acces_aux_doc</v>
      </c>
      <c r="GP31" s="15" t="str">
        <f>IF('Raw Data'!GD68="","",'Raw Data'!GD68)</f>
        <v>0</v>
      </c>
      <c r="GQ31" s="15" t="str">
        <f>IF('Raw Data'!GE68="","",'Raw Data'!GE68)</f>
        <v>0</v>
      </c>
      <c r="GR31" s="15" t="str">
        <f>IF('Raw Data'!GF68="","",'Raw Data'!GF68)</f>
        <v>0</v>
      </c>
      <c r="GS31" s="15" t="str">
        <f>IF('Raw Data'!GG68="","",'Raw Data'!GG68)</f>
        <v>1</v>
      </c>
      <c r="GT31" s="15" t="str">
        <f>IF('Raw Data'!GH68="","",'Raw Data'!GH68)</f>
        <v>1</v>
      </c>
      <c r="GU31" s="15" t="str">
        <f>IF('Raw Data'!GI68="","",'Raw Data'!GI68)</f>
        <v>0</v>
      </c>
      <c r="GV31" s="15" t="str">
        <f>IF('Raw Data'!GJ68="","",'Raw Data'!GJ68)</f>
        <v>0</v>
      </c>
      <c r="GW31" s="15" t="str">
        <f>IF('Raw Data'!GK68="","",'Raw Data'!GK68)</f>
        <v>0</v>
      </c>
      <c r="GX31" s="15" t="str">
        <f>IF('Raw Data'!GL68="","",'Raw Data'!GL68)</f>
        <v>0</v>
      </c>
      <c r="GY31" s="15" t="str">
        <f>IF('Raw Data'!GM68="","",'Raw Data'!GM68)</f>
        <v/>
      </c>
      <c r="GZ31" s="15" t="str">
        <f>IF('Raw Data'!GN68="","",'Raw Data'!GN68)</f>
        <v>oui_majorite</v>
      </c>
      <c r="HA31" s="15" t="str">
        <f>IF('Raw Data'!GO68="","",'Raw Data'!GO68)</f>
        <v>oui_ensemble</v>
      </c>
      <c r="HB31" s="15" t="str">
        <f>IF('Raw Data'!GP68="","",'Raw Data'!GP68)</f>
        <v>repond_besoins_pop diminution_tensions amelioration_futur</v>
      </c>
      <c r="HC31" s="15" t="str">
        <f>IF('Raw Data'!GQ68="","",'Raw Data'!GQ68)</f>
        <v>1</v>
      </c>
      <c r="HD31" s="15" t="str">
        <f>IF('Raw Data'!GR68="","",'Raw Data'!GR68)</f>
        <v>1</v>
      </c>
      <c r="HE31" s="15" t="str">
        <f>IF('Raw Data'!GS68="","",'Raw Data'!GS68)</f>
        <v>0</v>
      </c>
      <c r="HF31" s="15" t="str">
        <f>IF('Raw Data'!GT68="","",'Raw Data'!GT68)</f>
        <v>0</v>
      </c>
      <c r="HG31" s="15" t="str">
        <f>IF('Raw Data'!GU68="","",'Raw Data'!GU68)</f>
        <v>0</v>
      </c>
      <c r="HH31" s="15" t="str">
        <f>IF('Raw Data'!GV68="","",'Raw Data'!GV68)</f>
        <v>1</v>
      </c>
      <c r="HI31" s="15" t="str">
        <f>IF('Raw Data'!GW68="","",'Raw Data'!GW68)</f>
        <v>0</v>
      </c>
      <c r="HJ31" s="15" t="str">
        <f>IF('Raw Data'!GX68="","",'Raw Data'!GX68)</f>
        <v>0</v>
      </c>
      <c r="HK31" s="15" t="str">
        <f>IF('Raw Data'!GY68="","",'Raw Data'!GY68)</f>
        <v/>
      </c>
      <c r="HL31" s="15" t="str">
        <f>IF('Raw Data'!GZ68="","",'Raw Data'!GZ68)</f>
        <v>ne_contribue_pas non_diminition_tension ne_repond_pas</v>
      </c>
      <c r="HM31" s="15" t="str">
        <f>IF('Raw Data'!HA68="","",'Raw Data'!HA68)</f>
        <v>1</v>
      </c>
      <c r="HN31" s="15" t="str">
        <f>IF('Raw Data'!HB68="","",'Raw Data'!HB68)</f>
        <v>1</v>
      </c>
      <c r="HO31" s="15" t="str">
        <f>IF('Raw Data'!HC68="","",'Raw Data'!HC68)</f>
        <v>0</v>
      </c>
      <c r="HP31" s="15" t="str">
        <f>IF('Raw Data'!HD68="","",'Raw Data'!HD68)</f>
        <v>1</v>
      </c>
      <c r="HQ31" s="15" t="str">
        <f>IF('Raw Data'!HE68="","",'Raw Data'!HE68)</f>
        <v>0</v>
      </c>
      <c r="HR31" s="15" t="str">
        <f>IF('Raw Data'!HF68="","",'Raw Data'!HF68)</f>
        <v>0</v>
      </c>
      <c r="HS31" s="15" t="str">
        <f>IF('Raw Data'!HG68="","",'Raw Data'!HG68)</f>
        <v/>
      </c>
      <c r="HT31" s="15" t="str">
        <f>IF('Raw Data'!HH68="","",'Raw Data'!HH68)</f>
        <v/>
      </c>
      <c r="HU31" s="15" t="str">
        <f>IF('Raw Data'!HI68="","",'Raw Data'!HI68)</f>
        <v>oui_minorite</v>
      </c>
      <c r="HV31" s="15" t="str">
        <f>IF('Raw Data'!HJ68="","",'Raw Data'!HJ68)</f>
        <v>ingo</v>
      </c>
      <c r="HW31" s="15" t="str">
        <f>IF('Raw Data'!HK68="","",'Raw Data'!HK68)</f>
        <v>0</v>
      </c>
      <c r="HX31" s="15" t="str">
        <f>IF('Raw Data'!HL68="","",'Raw Data'!HL68)</f>
        <v>0</v>
      </c>
      <c r="HY31" s="15" t="str">
        <f>IF('Raw Data'!HM68="","",'Raw Data'!HM68)</f>
        <v>0</v>
      </c>
      <c r="HZ31" s="15" t="str">
        <f>IF('Raw Data'!HN68="","",'Raw Data'!HN68)</f>
        <v>0</v>
      </c>
      <c r="IA31" s="15" t="str">
        <f>IF('Raw Data'!HO68="","",'Raw Data'!HO68)</f>
        <v>1</v>
      </c>
      <c r="IB31" s="15" t="str">
        <f>IF('Raw Data'!HP68="","",'Raw Data'!HP68)</f>
        <v>0</v>
      </c>
      <c r="IC31" s="15" t="str">
        <f>IF('Raw Data'!HQ68="","",'Raw Data'!HQ68)</f>
        <v>0</v>
      </c>
      <c r="ID31" s="15" t="str">
        <f>IF('Raw Data'!HR68="","",'Raw Data'!HR68)</f>
        <v>0</v>
      </c>
      <c r="IE31" s="15" t="str">
        <f>IF('Raw Data'!HS68="","",'Raw Data'!HS68)</f>
        <v>0</v>
      </c>
      <c r="IF31" s="15" t="str">
        <f>IF('Raw Data'!HT68="","",'Raw Data'!HT68)</f>
        <v>0</v>
      </c>
      <c r="IG31" s="15" t="str">
        <f>IF('Raw Data'!HU68="","",'Raw Data'!HU68)</f>
        <v/>
      </c>
      <c r="IH31" s="15" t="str">
        <f>IF('Raw Data'!HV68="","",'Raw Data'!HV68)</f>
        <v>oui</v>
      </c>
      <c r="II31" s="15" t="str">
        <f>IF('Raw Data'!HW68="","",'Raw Data'!HW68)</f>
        <v/>
      </c>
      <c r="IJ31" s="15" t="str">
        <f>IF('Raw Data'!HX68="","",'Raw Data'!HX68)</f>
        <v/>
      </c>
      <c r="IK31" s="15" t="str">
        <f>IF('Raw Data'!HY68="","",'Raw Data'!HY68)</f>
        <v/>
      </c>
      <c r="IL31" s="15" t="str">
        <f>IF('Raw Data'!HZ68="","",'Raw Data'!HZ68)</f>
        <v/>
      </c>
      <c r="IM31" s="15" t="str">
        <f>IF('Raw Data'!IA68="","",'Raw Data'!IA68)</f>
        <v/>
      </c>
      <c r="IN31" s="15" t="str">
        <f>IF('Raw Data'!IB68="","",'Raw Data'!IB68)</f>
        <v/>
      </c>
      <c r="IO31" s="15" t="str">
        <f>IF('Raw Data'!IC68="","",'Raw Data'!IC68)</f>
        <v/>
      </c>
      <c r="IP31" s="15" t="str">
        <f>IF('Raw Data'!ID68="","",'Raw Data'!ID68)</f>
        <v/>
      </c>
      <c r="IQ31" s="15" t="str">
        <f>IF('Raw Data'!IE68="","",'Raw Data'!IE68)</f>
        <v/>
      </c>
      <c r="IR31" s="15" t="str">
        <f>IF('Raw Data'!IF68="","",'Raw Data'!IF68)</f>
        <v/>
      </c>
      <c r="IS31" s="15" t="str">
        <f>IF('Raw Data'!IG68="","",'Raw Data'!IG68)</f>
        <v/>
      </c>
      <c r="IT31" s="15" t="str">
        <f>IF('Raw Data'!IH68="","",'Raw Data'!IH68)</f>
        <v/>
      </c>
      <c r="IU31" s="15" t="str">
        <f>IF('Raw Data'!II68="","",'Raw Data'!II68)</f>
        <v/>
      </c>
      <c r="IV31" s="15" t="str">
        <f>IF('Raw Data'!IJ68="","",'Raw Data'!IJ68)</f>
        <v/>
      </c>
      <c r="IW31" s="15" t="str">
        <f>IF('Raw Data'!IK68="","",'Raw Data'!IK68)</f>
        <v/>
      </c>
      <c r="IX31" s="15" t="str">
        <f>IF('Raw Data'!IL68="","",'Raw Data'!IL68)</f>
        <v/>
      </c>
      <c r="IY31" s="15" t="str">
        <f>IF('Raw Data'!IM68="","",'Raw Data'!IM68)</f>
        <v/>
      </c>
      <c r="IZ31" s="15" t="str">
        <f>IF('Raw Data'!IN68="","",'Raw Data'!IN68)</f>
        <v>6</v>
      </c>
      <c r="JA31" s="15" t="str">
        <f>IF('Raw Data'!IO68="","",'Raw Data'!IO68)</f>
        <v>Services_medicaux Services_educatifs acces_docs points_ecoute service_judiciaire</v>
      </c>
      <c r="JB31" s="15" t="str">
        <f>IF('Raw Data'!IP68="","",'Raw Data'!IP68)</f>
        <v>0</v>
      </c>
      <c r="JC31" s="15" t="str">
        <f>IF('Raw Data'!IQ68="","",'Raw Data'!IQ68)</f>
        <v>1</v>
      </c>
      <c r="JD31" s="15" t="str">
        <f>IF('Raw Data'!IR68="","",'Raw Data'!IR68)</f>
        <v>1</v>
      </c>
      <c r="JE31" s="15" t="str">
        <f>IF('Raw Data'!IS68="","",'Raw Data'!IS68)</f>
        <v>0</v>
      </c>
      <c r="JF31" s="15" t="str">
        <f>IF('Raw Data'!IT68="","",'Raw Data'!IT68)</f>
        <v>1</v>
      </c>
      <c r="JG31" s="15" t="str">
        <f>IF('Raw Data'!IU68="","",'Raw Data'!IU68)</f>
        <v>1</v>
      </c>
      <c r="JH31" s="15" t="str">
        <f>IF('Raw Data'!IV68="","",'Raw Data'!IV68)</f>
        <v>0</v>
      </c>
      <c r="JI31" s="15" t="str">
        <f>IF('Raw Data'!IW68="","",'Raw Data'!IW68)</f>
        <v>1</v>
      </c>
      <c r="JJ31" s="15" t="str">
        <f>IF('Raw Data'!IX68="","",'Raw Data'!IX68)</f>
        <v>0</v>
      </c>
      <c r="JK31" s="15" t="str">
        <f>IF('Raw Data'!IY68="","",'Raw Data'!IY68)</f>
        <v>0</v>
      </c>
      <c r="JL31" s="15" t="str">
        <f>IF('Raw Data'!IZ68="","",'Raw Data'!IZ68)</f>
        <v/>
      </c>
      <c r="JM31" s="15" t="str">
        <f>IF('Raw Data'!JA68="","",'Raw Data'!JA68)</f>
        <v>signalement prise_enchage reorientation</v>
      </c>
      <c r="JN31" s="15" t="str">
        <f>IF('Raw Data'!JB68="","",'Raw Data'!JB68)</f>
        <v>1</v>
      </c>
      <c r="JO31" s="15" t="str">
        <f>IF('Raw Data'!JC68="","",'Raw Data'!JC68)</f>
        <v>1</v>
      </c>
      <c r="JP31" s="15" t="str">
        <f>IF('Raw Data'!JD68="","",'Raw Data'!JD68)</f>
        <v>1</v>
      </c>
      <c r="JQ31" s="15" t="str">
        <f>IF('Raw Data'!JE68="","",'Raw Data'!JE68)</f>
        <v>0</v>
      </c>
      <c r="JR31" s="15" t="str">
        <f>IF('Raw Data'!JF68="","",'Raw Data'!JF68)</f>
        <v>0</v>
      </c>
      <c r="JS31" s="15" t="str">
        <f>IF('Raw Data'!JG68="","",'Raw Data'!JG68)</f>
        <v>0</v>
      </c>
      <c r="JT31" s="15" t="str">
        <f>IF('Raw Data'!JH68="","",'Raw Data'!JH68)</f>
        <v/>
      </c>
      <c r="JU31" s="15" t="str">
        <f>IF('Raw Data'!JI68="","",'Raw Data'!JI68)</f>
        <v>point_ecoute surete</v>
      </c>
      <c r="JV31" s="15" t="str">
        <f>IF('Raw Data'!JJ68="","",'Raw Data'!JJ68)</f>
        <v>0</v>
      </c>
      <c r="JW31" s="15" t="str">
        <f>IF('Raw Data'!JK68="","",'Raw Data'!JK68)</f>
        <v>0</v>
      </c>
      <c r="JX31" s="15" t="str">
        <f>IF('Raw Data'!JL68="","",'Raw Data'!JL68)</f>
        <v>1</v>
      </c>
      <c r="JY31" s="15" t="str">
        <f>IF('Raw Data'!JM68="","",'Raw Data'!JM68)</f>
        <v>0</v>
      </c>
      <c r="JZ31" s="15" t="str">
        <f>IF('Raw Data'!JN68="","",'Raw Data'!JN68)</f>
        <v>1</v>
      </c>
      <c r="KA31" s="15" t="str">
        <f>IF('Raw Data'!JO68="","",'Raw Data'!JO68)</f>
        <v>0</v>
      </c>
      <c r="KB31" s="15" t="str">
        <f>IF('Raw Data'!JP68="","",'Raw Data'!JP68)</f>
        <v>0</v>
      </c>
      <c r="KC31" s="15" t="str">
        <f>IF('Raw Data'!JQ68="","",'Raw Data'!JQ68)</f>
        <v>0</v>
      </c>
      <c r="KD31" s="15" t="str">
        <f>IF('Raw Data'!JR68="","",'Raw Data'!JR68)</f>
        <v>0</v>
      </c>
      <c r="KE31" s="15" t="str">
        <f>IF('Raw Data'!JS68="","",'Raw Data'!JS68)</f>
        <v/>
      </c>
      <c r="KF31" s="15" t="str">
        <f>IF('Raw Data'!JT68="","",'Raw Data'!JT68)</f>
        <v>point_ecoute surete</v>
      </c>
      <c r="KG31" s="15" t="str">
        <f>IF('Raw Data'!JU68="","",'Raw Data'!JU68)</f>
        <v>0</v>
      </c>
      <c r="KH31" s="15" t="str">
        <f>IF('Raw Data'!JV68="","",'Raw Data'!JV68)</f>
        <v>0</v>
      </c>
      <c r="KI31" s="15" t="str">
        <f>IF('Raw Data'!JW68="","",'Raw Data'!JW68)</f>
        <v>1</v>
      </c>
      <c r="KJ31" s="15" t="str">
        <f>IF('Raw Data'!JX68="","",'Raw Data'!JX68)</f>
        <v>0</v>
      </c>
      <c r="KK31" s="15" t="str">
        <f>IF('Raw Data'!JY68="","",'Raw Data'!JY68)</f>
        <v>1</v>
      </c>
      <c r="KL31" s="15" t="str">
        <f>IF('Raw Data'!JZ68="","",'Raw Data'!JZ68)</f>
        <v>0</v>
      </c>
      <c r="KM31" s="15" t="str">
        <f>IF('Raw Data'!KA68="","",'Raw Data'!KA68)</f>
        <v>0</v>
      </c>
      <c r="KN31" s="15" t="str">
        <f>IF('Raw Data'!KB68="","",'Raw Data'!KB68)</f>
        <v>0</v>
      </c>
      <c r="KO31" s="15" t="str">
        <f>IF('Raw Data'!KC68="","",'Raw Data'!KC68)</f>
        <v>0</v>
      </c>
      <c r="KP31" s="15" t="str">
        <f>IF('Raw Data'!KD68="","",'Raw Data'!KD68)</f>
        <v/>
      </c>
      <c r="KQ31" s="15" t="str">
        <f>IF('Raw Data'!KE68="","",'Raw Data'!KE68)</f>
        <v/>
      </c>
      <c r="KR31" s="15" t="str">
        <f>IF('Raw Data'!KF68="","",'Raw Data'!KF68)</f>
        <v>non</v>
      </c>
      <c r="KS31" s="15" t="str">
        <f>IF('Raw Data'!KG68="","",'Raw Data'!KG68)</f>
        <v/>
      </c>
      <c r="KT31" s="15" t="str">
        <f>IF('Raw Data'!KH68="","",'Raw Data'!KH68)</f>
        <v/>
      </c>
      <c r="KU31" s="15" t="str">
        <f>IF('Raw Data'!KI68="","",'Raw Data'!KI68)</f>
        <v/>
      </c>
      <c r="KV31" s="15" t="str">
        <f>IF('Raw Data'!KJ68="","",'Raw Data'!KJ68)</f>
        <v/>
      </c>
      <c r="KW31" s="15" t="str">
        <f>IF('Raw Data'!KK68="","",'Raw Data'!KK68)</f>
        <v/>
      </c>
      <c r="KX31" s="15" t="str">
        <f>IF('Raw Data'!KL68="","",'Raw Data'!KL68)</f>
        <v/>
      </c>
      <c r="KY31" s="15" t="str">
        <f>IF('Raw Data'!KM68="","",'Raw Data'!KM68)</f>
        <v/>
      </c>
      <c r="KZ31" s="15" t="str">
        <f>IF('Raw Data'!KN68="","",'Raw Data'!KN68)</f>
        <v/>
      </c>
      <c r="LA31" s="15" t="str">
        <f>IF('Raw Data'!KO68="","",'Raw Data'!KO68)</f>
        <v/>
      </c>
      <c r="LB31" s="15" t="str">
        <f>IF('Raw Data'!KP68="","",'Raw Data'!KP68)</f>
        <v/>
      </c>
      <c r="LC31" s="15" t="str">
        <f>IF('Raw Data'!KQ68="","",'Raw Data'!KQ68)</f>
        <v/>
      </c>
      <c r="LD31" s="15" t="str">
        <f>IF('Raw Data'!KR68="","",'Raw Data'!KR68)</f>
        <v/>
      </c>
      <c r="LE31" s="15" t="str">
        <f>IF('Raw Data'!KS68="","",'Raw Data'!KS68)</f>
        <v/>
      </c>
      <c r="LF31" s="15" t="str">
        <f>IF('Raw Data'!KT68="","",'Raw Data'!KT68)</f>
        <v/>
      </c>
      <c r="LG31" s="15" t="str">
        <f>IF('Raw Data'!KU68="","",'Raw Data'!KU68)</f>
        <v/>
      </c>
      <c r="LH31" s="15" t="str">
        <f>IF('Raw Data'!KV68="","",'Raw Data'!KV68)</f>
        <v/>
      </c>
      <c r="LI31" s="15" t="str">
        <f>IF('Raw Data'!KW68="","",'Raw Data'!KW68)</f>
        <v/>
      </c>
      <c r="LJ31" s="15" t="str">
        <f>IF('Raw Data'!KX68="","",'Raw Data'!KX68)</f>
        <v/>
      </c>
      <c r="LK31" s="15" t="str">
        <f>IF('Raw Data'!KY68="","",'Raw Data'!KY68)</f>
        <v/>
      </c>
      <c r="LL31" s="15" t="str">
        <f>IF('Raw Data'!KZ68="","",'Raw Data'!KZ68)</f>
        <v/>
      </c>
      <c r="LM31" s="15" t="str">
        <f>IF('Raw Data'!LA68="","",'Raw Data'!LA68)</f>
        <v/>
      </c>
      <c r="LN31" s="15" t="str">
        <f>IF('Raw Data'!LB68="","",'Raw Data'!LB68)</f>
        <v>non</v>
      </c>
      <c r="LO31" s="15" t="str">
        <f>IF('Raw Data'!LC68="","",'Raw Data'!LC68)</f>
        <v/>
      </c>
      <c r="LP31" s="15" t="str">
        <f>IF('Raw Data'!LD68="","",'Raw Data'!LD68)</f>
        <v/>
      </c>
      <c r="LQ31" s="15" t="str">
        <f>IF('Raw Data'!LE68="","",'Raw Data'!LE68)</f>
        <v/>
      </c>
      <c r="LR31" s="15" t="str">
        <f>IF('Raw Data'!LF68="","",'Raw Data'!LF68)</f>
        <v/>
      </c>
      <c r="LS31" s="15" t="str">
        <f>IF('Raw Data'!LG68="","",'Raw Data'!LG68)</f>
        <v/>
      </c>
      <c r="LT31" s="15" t="str">
        <f>IF('Raw Data'!LH68="","",'Raw Data'!LH68)</f>
        <v/>
      </c>
      <c r="LU31" s="15" t="str">
        <f>IF('Raw Data'!LI68="","",'Raw Data'!LI68)</f>
        <v/>
      </c>
      <c r="LV31" s="15" t="str">
        <f>IF('Raw Data'!LJ68="","",'Raw Data'!LJ68)</f>
        <v/>
      </c>
      <c r="LW31" s="15" t="str">
        <f>IF('Raw Data'!LK68="","",'Raw Data'!LK68)</f>
        <v/>
      </c>
      <c r="LX31" s="15" t="str">
        <f>IF('Raw Data'!LL68="","",'Raw Data'!LL68)</f>
        <v/>
      </c>
      <c r="LY31" s="15" t="str">
        <f>IF('Raw Data'!LM68="","",'Raw Data'!LM68)</f>
        <v/>
      </c>
      <c r="LZ31" s="15" t="str">
        <f>IF('Raw Data'!LN68="","",'Raw Data'!LN68)</f>
        <v/>
      </c>
      <c r="MA31" s="15" t="str">
        <f>IF('Raw Data'!LO68="","",'Raw Data'!LO68)</f>
        <v/>
      </c>
      <c r="MB31" s="15" t="str">
        <f>IF('Raw Data'!LP68="","",'Raw Data'!LP68)</f>
        <v>oui</v>
      </c>
      <c r="MC31" s="15" t="str">
        <f>IF('Raw Data'!LQ68="","",'Raw Data'!LQ68)</f>
        <v/>
      </c>
      <c r="MD31" s="15" t="str">
        <f>IF('Raw Data'!LR68="","",'Raw Data'!LR68)</f>
        <v/>
      </c>
      <c r="ME31" s="15">
        <f>IF('Raw Data'!LS68="","",'Raw Data'!LS68)</f>
        <v>172011408</v>
      </c>
      <c r="MF31" s="15" t="str">
        <f>IF('Raw Data'!LT68="","",'Raw Data'!LT68)</f>
        <v>784c850a-6d0f-48e6-8cf0-97fc2af13ad5</v>
      </c>
      <c r="MG31" s="15" t="str">
        <f>IF('Raw Data'!LU68="","",'Raw Data'!LU68)</f>
        <v>2021-04-16T16:12:07</v>
      </c>
      <c r="MH31" s="15" t="str">
        <f>IF('Raw Data'!LV68="","",'Raw Data'!LV68)</f>
        <v/>
      </c>
      <c r="MI31" s="15" t="str">
        <f>IF('Raw Data'!LW68="","",'Raw Data'!LW68)</f>
        <v>[]</v>
      </c>
      <c r="MJ31" s="15" t="str">
        <f>IF('Raw Data'!LX68="","",'Raw Data'!LX68)</f>
        <v>submitted_via_web</v>
      </c>
      <c r="MK31" s="15" t="str">
        <f>IF('Raw Data'!LY68="","",'Raw Data'!LY68)</f>
        <v>reach_niger</v>
      </c>
      <c r="ML31" s="15" t="str">
        <f>IF('Raw Data'!LZ68="","",'Raw Data'!LZ68)</f>
        <v/>
      </c>
      <c r="MM31" s="15">
        <f>IF('Raw Data'!MA68="","",'Raw Data'!MA68)</f>
        <v>73</v>
      </c>
    </row>
    <row r="32" spans="1:351" x14ac:dyDescent="0.3">
      <c r="A32" s="26" t="str">
        <f t="shared" si="0"/>
        <v>aae4d7a2-79eb-4ce9-a93b-6a42e2a5b220</v>
      </c>
      <c r="B32" s="26" t="str">
        <f t="shared" si="1"/>
        <v>tera</v>
      </c>
      <c r="C32" s="26" t="str">
        <f t="shared" si="2"/>
        <v>G</v>
      </c>
      <c r="D32" s="14" t="str">
        <f>IF('Raw Data'!A69="","",'Raw Data'!A69)</f>
        <v>2021-04-16T16:04:17.242+01:00</v>
      </c>
      <c r="E32" s="14" t="str">
        <f>IF('Raw Data'!B69="","",'Raw Data'!B69)</f>
        <v>2021-04-16T16:23:40.958+01:00</v>
      </c>
      <c r="F32" s="30">
        <v>44302.669641203705</v>
      </c>
      <c r="G32" s="30">
        <v>44302.68310185185</v>
      </c>
      <c r="H32" s="29">
        <f>VLOOKUP(A32,Audit[#All],2,FALSE)</f>
        <v>19.39</v>
      </c>
      <c r="I32" s="29">
        <f>VLOOKUP(A32,Audit[#All],3,FALSE)</f>
        <v>16.03</v>
      </c>
      <c r="J32" s="29">
        <f>VLOOKUP(A32,Audit[#All],4,FALSE)</f>
        <v>15.39</v>
      </c>
      <c r="K32" s="29">
        <f>VLOOKUP(A32,nb_questions[#All],2,FALSE)</f>
        <v>126</v>
      </c>
      <c r="L32" s="29">
        <f t="shared" si="3"/>
        <v>189</v>
      </c>
      <c r="M32" s="14" t="str">
        <f>IF('Raw Data'!C69="","",'Raw Data'!C69)</f>
        <v>2021-04-16</v>
      </c>
      <c r="N32" s="14" t="str">
        <f>IF('Raw Data'!D69="","",'Raw Data'!D69)</f>
        <v/>
      </c>
      <c r="O32" s="14" t="str">
        <f>IF('Raw Data'!E69="","",'Raw Data'!E69)</f>
        <v/>
      </c>
      <c r="P32" s="29" t="str">
        <f>VLOOKUP(A32,code_enqueteurs[#All],3,FALSE)</f>
        <v>G</v>
      </c>
      <c r="Q32" s="29" t="s">
        <v>1646</v>
      </c>
      <c r="R32" s="14" t="str">
        <f>IF('Raw Data'!F69="","",'Raw Data'!F69)</f>
        <v>Homme</v>
      </c>
      <c r="S32" s="15" t="str">
        <f>IF('Raw Data'!G69="","",'Raw Data'!G69)</f>
        <v>tera</v>
      </c>
      <c r="T32" s="15" t="str">
        <f>IF('Raw Data'!H69="","",'Raw Data'!H69)</f>
        <v>tera</v>
      </c>
      <c r="U32" s="15" t="str">
        <f>IF('Raw Data'!I69="","",'Raw Data'!I69)</f>
        <v>foneko</v>
      </c>
      <c r="V32" s="15" t="str">
        <f>IF('Raw Data'!J69="","",'Raw Data'!J69)</f>
        <v/>
      </c>
      <c r="W32" s="15" t="str">
        <f>IF('Raw Data'!K69="","",'Raw Data'!K69)</f>
        <v/>
      </c>
      <c r="X32" s="15" t="str">
        <f>IF('Raw Data'!L69="","",'Raw Data'!L69)</f>
        <v/>
      </c>
      <c r="Y32" s="15" t="str">
        <f>IF('Raw Data'!M69="","",'Raw Data'!M69)</f>
        <v/>
      </c>
      <c r="Z32" s="15" t="str">
        <f>IF('Raw Data'!N69="","",'Raw Data'!N69)</f>
        <v/>
      </c>
      <c r="AA32" s="15" t="str">
        <f>IF('Raw Data'!O69="","",'Raw Data'!O69)</f>
        <v/>
      </c>
      <c r="AB32" s="15" t="str">
        <f>IF('Raw Data'!P69="","",'Raw Data'!P69)</f>
        <v/>
      </c>
      <c r="AC32" s="15" t="str">
        <f>IF('Raw Data'!Q69="","",'Raw Data'!Q69)</f>
        <v/>
      </c>
      <c r="AD32" s="15" t="str">
        <f>IF('Raw Data'!R69="","",'Raw Data'!R69)</f>
        <v>Femme</v>
      </c>
      <c r="AE32" s="15" t="str">
        <f>IF('Raw Data'!S69="","",'Raw Data'!S69)</f>
        <v>35</v>
      </c>
      <c r="AF32" s="15" t="str">
        <f>IF('Raw Data'!T69="","",'Raw Data'!T69)</f>
        <v>deplace_interne</v>
      </c>
      <c r="AG32" s="15" t="str">
        <f>IF('Raw Data'!U69="","",'Raw Data'!U69)</f>
        <v/>
      </c>
      <c r="AH32" s="15" t="str">
        <f>IF('Raw Data'!V69="","",'Raw Data'!V69)</f>
        <v/>
      </c>
      <c r="AI32" s="15" t="str">
        <f>IF('Raw Data'!W69="","",'Raw Data'!W69)</f>
        <v/>
      </c>
      <c r="AJ32" s="15" t="str">
        <f>IF('Raw Data'!X69="","",'Raw Data'!X69)</f>
        <v/>
      </c>
      <c r="AK32" s="15" t="str">
        <f>IF('Raw Data'!Y69="","",'Raw Data'!Y69)</f>
        <v/>
      </c>
      <c r="AL32" s="15" t="str">
        <f>IF('Raw Data'!Z69="","",'Raw Data'!Z69)</f>
        <v>niger</v>
      </c>
      <c r="AM32" s="15" t="str">
        <f>IF('Raw Data'!AA69="","",'Raw Data'!AA69)</f>
        <v>tillaberi</v>
      </c>
      <c r="AN32" s="15" t="str">
        <f>IF('Raw Data'!AB69="","",'Raw Data'!AB69)</f>
        <v>tera</v>
      </c>
      <c r="AO32" s="15" t="str">
        <f>IF('Raw Data'!AC69="","",'Raw Data'!AC69)</f>
        <v/>
      </c>
      <c r="AP32" s="15" t="str">
        <f>IF('Raw Data'!AD69="","",'Raw Data'!AD69)</f>
        <v/>
      </c>
      <c r="AQ32" s="15" t="str">
        <f>IF('Raw Data'!AE69="","",'Raw Data'!AE69)</f>
        <v/>
      </c>
      <c r="AR32" s="15" t="str">
        <f>IF('Raw Data'!AF69="","",'Raw Data'!AF69)</f>
        <v/>
      </c>
      <c r="AS32" s="15" t="str">
        <f>IF('Raw Data'!AG69="","",'Raw Data'!AG69)</f>
        <v>non</v>
      </c>
      <c r="AT32" s="15" t="str">
        <f>IF('Raw Data'!AH69="","",'Raw Data'!AH69)</f>
        <v/>
      </c>
      <c r="AU32" s="15" t="str">
        <f>IF('Raw Data'!AI69="","",'Raw Data'!AI69)</f>
        <v/>
      </c>
      <c r="AV32" s="15" t="str">
        <f>IF('Raw Data'!AJ69="","",'Raw Data'!AJ69)</f>
        <v/>
      </c>
      <c r="AW32" s="15" t="str">
        <f>IF('Raw Data'!AK69="","",'Raw Data'!AK69)</f>
        <v/>
      </c>
      <c r="AX32" s="15" t="str">
        <f>IF('Raw Data'!AL69="","",'Raw Data'!AL69)</f>
        <v/>
      </c>
      <c r="AY32" s="15" t="str">
        <f>IF('Raw Data'!AM69="","",'Raw Data'!AM69)</f>
        <v/>
      </c>
      <c r="AZ32" s="15" t="str">
        <f>IF('Raw Data'!AN69="","",'Raw Data'!AN69)</f>
        <v/>
      </c>
      <c r="BA32" s="15" t="str">
        <f>IF('Raw Data'!AO69="","",'Raw Data'!AO69)</f>
        <v/>
      </c>
      <c r="BB32" s="15" t="str">
        <f>IF('Raw Data'!AP69="","",'Raw Data'!AP69)</f>
        <v/>
      </c>
      <c r="BC32" s="15" t="str">
        <f>IF('Raw Data'!AQ69="","",'Raw Data'!AQ69)</f>
        <v/>
      </c>
      <c r="BD32" s="15" t="str">
        <f>IF('Raw Data'!AR69="","",'Raw Data'!AR69)</f>
        <v/>
      </c>
      <c r="BE32" s="15" t="str">
        <f>IF('Raw Data'!AS69="","",'Raw Data'!AS69)</f>
        <v/>
      </c>
      <c r="BF32" s="15" t="str">
        <f>IF('Raw Data'!AT69="","",'Raw Data'!AT69)</f>
        <v/>
      </c>
      <c r="BG32" s="15" t="str">
        <f>IF('Raw Data'!AU69="","",'Raw Data'!AU69)</f>
        <v/>
      </c>
      <c r="BH32" s="15" t="str">
        <f>IF('Raw Data'!AV69="","",'Raw Data'!AV69)</f>
        <v/>
      </c>
      <c r="BI32" s="15" t="str">
        <f>IF('Raw Data'!AW69="","",'Raw Data'!AW69)</f>
        <v/>
      </c>
      <c r="BJ32" s="15" t="str">
        <f>IF('Raw Data'!AX69="","",'Raw Data'!AX69)</f>
        <v/>
      </c>
      <c r="BK32" s="15" t="str">
        <f>IF('Raw Data'!AY69="","",'Raw Data'!AY69)</f>
        <v/>
      </c>
      <c r="BL32" s="15" t="str">
        <f>IF('Raw Data'!AZ69="","",'Raw Data'!AZ69)</f>
        <v/>
      </c>
      <c r="BM32" s="15" t="str">
        <f>IF('Raw Data'!BA69="","",'Raw Data'!BA69)</f>
        <v/>
      </c>
      <c r="BN32" s="15" t="str">
        <f>IF('Raw Data'!BB69="","",'Raw Data'!BB69)</f>
        <v/>
      </c>
      <c r="BO32" s="15" t="str">
        <f>IF('Raw Data'!BC69="","",'Raw Data'!BC69)</f>
        <v/>
      </c>
      <c r="BP32" s="15" t="str">
        <f>IF('Raw Data'!BD69="","",'Raw Data'!BD69)</f>
        <v/>
      </c>
      <c r="BQ32" s="15" t="str">
        <f>IF('Raw Data'!BE69="","",'Raw Data'!BE69)</f>
        <v/>
      </c>
      <c r="BR32" s="15" t="str">
        <f>IF('Raw Data'!BF69="","",'Raw Data'!BF69)</f>
        <v/>
      </c>
      <c r="BS32" s="15" t="str">
        <f>IF('Raw Data'!BG69="","",'Raw Data'!BG69)</f>
        <v/>
      </c>
      <c r="BT32" s="15" t="str">
        <f>IF('Raw Data'!BH69="","",'Raw Data'!BH69)</f>
        <v/>
      </c>
      <c r="BU32" s="15" t="str">
        <f>IF('Raw Data'!BI69="","",'Raw Data'!BI69)</f>
        <v/>
      </c>
      <c r="BV32" s="15" t="str">
        <f>IF('Raw Data'!BJ69="","",'Raw Data'!BJ69)</f>
        <v/>
      </c>
      <c r="BW32" s="15" t="str">
        <f>IF('Raw Data'!BK69="","",'Raw Data'!BK69)</f>
        <v/>
      </c>
      <c r="BX32" s="15" t="str">
        <f>IF('Raw Data'!BL69="","",'Raw Data'!BL69)</f>
        <v/>
      </c>
      <c r="BY32" s="15" t="str">
        <f>IF('Raw Data'!BM69="","",'Raw Data'!BM69)</f>
        <v/>
      </c>
      <c r="BZ32" s="15" t="str">
        <f>IF('Raw Data'!BN69="","",'Raw Data'!BN69)</f>
        <v/>
      </c>
      <c r="CA32" s="15" t="str">
        <f>IF('Raw Data'!BO69="","",'Raw Data'!BO69)</f>
        <v/>
      </c>
      <c r="CB32" s="15" t="str">
        <f>IF('Raw Data'!BP69="","",'Raw Data'!BP69)</f>
        <v/>
      </c>
      <c r="CC32" s="15" t="str">
        <f>IF('Raw Data'!BQ69="","",'Raw Data'!BQ69)</f>
        <v>non</v>
      </c>
      <c r="CD32" s="15" t="str">
        <f>IF('Raw Data'!BR69="","",'Raw Data'!BR69)</f>
        <v/>
      </c>
      <c r="CE32" s="15" t="str">
        <f>IF('Raw Data'!BS69="","",'Raw Data'!BS69)</f>
        <v/>
      </c>
      <c r="CF32" s="15" t="str">
        <f>IF('Raw Data'!BT69="","",'Raw Data'!BT69)</f>
        <v/>
      </c>
      <c r="CG32" s="15" t="str">
        <f>IF('Raw Data'!BU69="","",'Raw Data'!BU69)</f>
        <v/>
      </c>
      <c r="CH32" s="15" t="str">
        <f>IF('Raw Data'!BV69="","",'Raw Data'!BV69)</f>
        <v/>
      </c>
      <c r="CI32" s="15" t="str">
        <f>IF('Raw Data'!BW69="","",'Raw Data'!BW69)</f>
        <v/>
      </c>
      <c r="CJ32" s="15" t="str">
        <f>IF('Raw Data'!BX69="","",'Raw Data'!BX69)</f>
        <v/>
      </c>
      <c r="CK32" s="15" t="str">
        <f>IF('Raw Data'!BY69="","",'Raw Data'!BY69)</f>
        <v/>
      </c>
      <c r="CL32" s="15" t="str">
        <f>IF('Raw Data'!BZ69="","",'Raw Data'!BZ69)</f>
        <v/>
      </c>
      <c r="CM32" s="15" t="str">
        <f>IF('Raw Data'!CA69="","",'Raw Data'!CA69)</f>
        <v/>
      </c>
      <c r="CN32" s="15" t="str">
        <f>IF('Raw Data'!CB69="","",'Raw Data'!CB69)</f>
        <v/>
      </c>
      <c r="CO32" s="15" t="str">
        <f>IF('Raw Data'!CC69="","",'Raw Data'!CC69)</f>
        <v/>
      </c>
      <c r="CP32" s="15" t="str">
        <f>IF('Raw Data'!CD69="","",'Raw Data'!CD69)</f>
        <v/>
      </c>
      <c r="CQ32" s="15" t="str">
        <f>IF('Raw Data'!CE69="","",'Raw Data'!CE69)</f>
        <v/>
      </c>
      <c r="CR32" s="15" t="str">
        <f>IF('Raw Data'!CF69="","",'Raw Data'!CF69)</f>
        <v/>
      </c>
      <c r="CS32" s="15" t="str">
        <f>IF('Raw Data'!CG69="","",'Raw Data'!CG69)</f>
        <v/>
      </c>
      <c r="CT32" s="15" t="str">
        <f>IF('Raw Data'!CH69="","",'Raw Data'!CH69)</f>
        <v/>
      </c>
      <c r="CU32" s="15" t="str">
        <f>IF('Raw Data'!CI69="","",'Raw Data'!CI69)</f>
        <v/>
      </c>
      <c r="CV32" s="15" t="str">
        <f>IF('Raw Data'!CJ69="","",'Raw Data'!CJ69)</f>
        <v/>
      </c>
      <c r="CW32" s="15" t="str">
        <f>IF('Raw Data'!CK69="","",'Raw Data'!CK69)</f>
        <v/>
      </c>
      <c r="CX32" s="15" t="str">
        <f>IF('Raw Data'!CL69="","",'Raw Data'!CL69)</f>
        <v/>
      </c>
      <c r="CY32" s="15" t="str">
        <f>IF('Raw Data'!CM69="","",'Raw Data'!CM69)</f>
        <v/>
      </c>
      <c r="CZ32" s="15" t="str">
        <f>IF('Raw Data'!CN69="","",'Raw Data'!CN69)</f>
        <v/>
      </c>
      <c r="DA32" s="15" t="str">
        <f>IF('Raw Data'!CO69="","",'Raw Data'!CO69)</f>
        <v/>
      </c>
      <c r="DB32" s="15" t="str">
        <f>IF('Raw Data'!CP69="","",'Raw Data'!CP69)</f>
        <v/>
      </c>
      <c r="DC32" s="15" t="str">
        <f>IF('Raw Data'!CQ69="","",'Raw Data'!CQ69)</f>
        <v/>
      </c>
      <c r="DD32" s="15" t="str">
        <f>IF('Raw Data'!CR69="","",'Raw Data'!CR69)</f>
        <v/>
      </c>
      <c r="DE32" s="15" t="str">
        <f>IF('Raw Data'!CS69="","",'Raw Data'!CS69)</f>
        <v/>
      </c>
      <c r="DF32" s="15" t="str">
        <f>IF('Raw Data'!CT69="","",'Raw Data'!CT69)</f>
        <v/>
      </c>
      <c r="DG32" s="15" t="str">
        <f>IF('Raw Data'!CU69="","",'Raw Data'!CU69)</f>
        <v/>
      </c>
      <c r="DH32" s="15" t="str">
        <f>IF('Raw Data'!CV69="","",'Raw Data'!CV69)</f>
        <v/>
      </c>
      <c r="DI32" s="15" t="str">
        <f>IF('Raw Data'!CW69="","",'Raw Data'!CW69)</f>
        <v/>
      </c>
      <c r="DJ32" s="15" t="str">
        <f>IF('Raw Data'!CX69="","",'Raw Data'!CX69)</f>
        <v/>
      </c>
      <c r="DK32" s="15" t="str">
        <f>IF('Raw Data'!CY69="","",'Raw Data'!CY69)</f>
        <v/>
      </c>
      <c r="DL32" s="15" t="str">
        <f>IF('Raw Data'!CZ69="","",'Raw Data'!CZ69)</f>
        <v/>
      </c>
      <c r="DM32" s="15" t="str">
        <f>IF('Raw Data'!DA69="","",'Raw Data'!DA69)</f>
        <v/>
      </c>
      <c r="DN32" s="15" t="str">
        <f>IF('Raw Data'!DB69="","",'Raw Data'!DB69)</f>
        <v/>
      </c>
      <c r="DO32" s="15" t="str">
        <f>IF('Raw Data'!DC69="","",'Raw Data'!DC69)</f>
        <v/>
      </c>
      <c r="DP32" s="15" t="str">
        <f>IF('Raw Data'!DD69="","",'Raw Data'!DD69)</f>
        <v/>
      </c>
      <c r="DQ32" s="15" t="str">
        <f>IF('Raw Data'!DE69="","",'Raw Data'!DE69)</f>
        <v/>
      </c>
      <c r="DR32" s="15" t="str">
        <f>IF('Raw Data'!DF69="","",'Raw Data'!DF69)</f>
        <v/>
      </c>
      <c r="DS32" s="15" t="str">
        <f>IF('Raw Data'!DG69="","",'Raw Data'!DG69)</f>
        <v/>
      </c>
      <c r="DT32" s="15" t="str">
        <f>IF('Raw Data'!DH69="","",'Raw Data'!DH69)</f>
        <v/>
      </c>
      <c r="DU32" s="15" t="str">
        <f>IF('Raw Data'!DI69="","",'Raw Data'!DI69)</f>
        <v/>
      </c>
      <c r="DV32" s="15" t="str">
        <f>IF('Raw Data'!DJ69="","",'Raw Data'!DJ69)</f>
        <v/>
      </c>
      <c r="DW32" s="15" t="str">
        <f>IF('Raw Data'!DK69="","",'Raw Data'!DK69)</f>
        <v/>
      </c>
      <c r="DX32" s="15" t="str">
        <f>IF('Raw Data'!DL69="","",'Raw Data'!DL69)</f>
        <v/>
      </c>
      <c r="DY32" s="15" t="str">
        <f>IF('Raw Data'!DM69="","",'Raw Data'!DM69)</f>
        <v/>
      </c>
      <c r="DZ32" s="15" t="str">
        <f>IF('Raw Data'!DN69="","",'Raw Data'!DN69)</f>
        <v/>
      </c>
      <c r="EA32" s="15" t="str">
        <f>IF('Raw Data'!DO69="","",'Raw Data'!DO69)</f>
        <v/>
      </c>
      <c r="EB32" s="15" t="str">
        <f>IF('Raw Data'!DP69="","",'Raw Data'!DP69)</f>
        <v/>
      </c>
      <c r="EC32" s="15" t="str">
        <f>IF('Raw Data'!DQ69="","",'Raw Data'!DQ69)</f>
        <v/>
      </c>
      <c r="ED32" s="15" t="str">
        <f>IF('Raw Data'!DR69="","",'Raw Data'!DR69)</f>
        <v/>
      </c>
      <c r="EE32" s="15" t="str">
        <f>IF('Raw Data'!DS69="","",'Raw Data'!DS69)</f>
        <v/>
      </c>
      <c r="EF32" s="15" t="str">
        <f>IF('Raw Data'!DT69="","",'Raw Data'!DT69)</f>
        <v/>
      </c>
      <c r="EG32" s="15" t="str">
        <f>IF('Raw Data'!DU69="","",'Raw Data'!DU69)</f>
        <v/>
      </c>
      <c r="EH32" s="15" t="str">
        <f>IF('Raw Data'!DV69="","",'Raw Data'!DV69)</f>
        <v/>
      </c>
      <c r="EI32" s="15" t="str">
        <f>IF('Raw Data'!DW69="","",'Raw Data'!DW69)</f>
        <v/>
      </c>
      <c r="EJ32" s="15" t="str">
        <f>IF('Raw Data'!DX69="","",'Raw Data'!DX69)</f>
        <v/>
      </c>
      <c r="EK32" s="15" t="str">
        <f>IF('Raw Data'!DY69="","",'Raw Data'!DY69)</f>
        <v/>
      </c>
      <c r="EL32" s="15" t="str">
        <f>IF('Raw Data'!DZ69="","",'Raw Data'!DZ69)</f>
        <v>Integration_com_hote Soutien_famille_amis Soutien_chef_village</v>
      </c>
      <c r="EM32" s="15" t="str">
        <f>IF('Raw Data'!EA69="","",'Raw Data'!EA69)</f>
        <v>0</v>
      </c>
      <c r="EN32" s="15" t="str">
        <f>IF('Raw Data'!EB69="","",'Raw Data'!EB69)</f>
        <v>1</v>
      </c>
      <c r="EO32" s="15" t="str">
        <f>IF('Raw Data'!EC69="","",'Raw Data'!EC69)</f>
        <v>1</v>
      </c>
      <c r="EP32" s="15" t="str">
        <f>IF('Raw Data'!ED69="","",'Raw Data'!ED69)</f>
        <v>1</v>
      </c>
      <c r="EQ32" s="15" t="str">
        <f>IF('Raw Data'!EE69="","",'Raw Data'!EE69)</f>
        <v>0</v>
      </c>
      <c r="ER32" s="15" t="str">
        <f>IF('Raw Data'!EF69="","",'Raw Data'!EF69)</f>
        <v>0</v>
      </c>
      <c r="ES32" s="15" t="str">
        <f>IF('Raw Data'!EG69="","",'Raw Data'!EG69)</f>
        <v>0</v>
      </c>
      <c r="ET32" s="15" t="str">
        <f>IF('Raw Data'!EH69="","",'Raw Data'!EH69)</f>
        <v>0</v>
      </c>
      <c r="EU32" s="15" t="str">
        <f>IF('Raw Data'!EI69="","",'Raw Data'!EI69)</f>
        <v>0</v>
      </c>
      <c r="EV32" s="15" t="str">
        <f>IF('Raw Data'!EJ69="","",'Raw Data'!EJ69)</f>
        <v/>
      </c>
      <c r="EW32" s="15" t="str">
        <f>IF('Raw Data'!EK69="","",'Raw Data'!EK69)</f>
        <v/>
      </c>
      <c r="EX32" s="15" t="str">
        <f>IF('Raw Data'!EL69="","",'Raw Data'!EL69)</f>
        <v>comite_protection comite_gestion_conflits femmes_elite</v>
      </c>
      <c r="EY32" s="15" t="str">
        <f>IF('Raw Data'!EM69="","",'Raw Data'!EM69)</f>
        <v>1</v>
      </c>
      <c r="EZ32" s="15" t="str">
        <f>IF('Raw Data'!EN69="","",'Raw Data'!EN69)</f>
        <v>1</v>
      </c>
      <c r="FA32" s="15" t="str">
        <f>IF('Raw Data'!EO69="","",'Raw Data'!EO69)</f>
        <v>0</v>
      </c>
      <c r="FB32" s="15" t="str">
        <f>IF('Raw Data'!EP69="","",'Raw Data'!EP69)</f>
        <v>0</v>
      </c>
      <c r="FC32" s="15" t="str">
        <f>IF('Raw Data'!EQ69="","",'Raw Data'!EQ69)</f>
        <v>0</v>
      </c>
      <c r="FD32" s="15" t="str">
        <f>IF('Raw Data'!ER69="","",'Raw Data'!ER69)</f>
        <v>1</v>
      </c>
      <c r="FE32" s="15" t="str">
        <f>IF('Raw Data'!ES69="","",'Raw Data'!ES69)</f>
        <v>0</v>
      </c>
      <c r="FF32" s="15" t="str">
        <f>IF('Raw Data'!ET69="","",'Raw Data'!ET69)</f>
        <v>0</v>
      </c>
      <c r="FG32" s="15" t="str">
        <f>IF('Raw Data'!EU69="","",'Raw Data'!EU69)</f>
        <v>0</v>
      </c>
      <c r="FH32" s="15" t="str">
        <f>IF('Raw Data'!EV69="","",'Raw Data'!EV69)</f>
        <v>0</v>
      </c>
      <c r="FI32" s="15" t="str">
        <f>IF('Raw Data'!EW69="","",'Raw Data'!EW69)</f>
        <v/>
      </c>
      <c r="FJ32" s="15" t="str">
        <f>IF('Raw Data'!EX69="","",'Raw Data'!EX69)</f>
        <v>oui</v>
      </c>
      <c r="FK32" s="15" t="str">
        <f>IF('Raw Data'!EY69="","",'Raw Data'!EY69)</f>
        <v>Internet Radio_television Chef_village</v>
      </c>
      <c r="FL32" s="15" t="str">
        <f>IF('Raw Data'!EZ69="","",'Raw Data'!EZ69)</f>
        <v>1</v>
      </c>
      <c r="FM32" s="15" t="str">
        <f>IF('Raw Data'!FA69="","",'Raw Data'!FA69)</f>
        <v>0</v>
      </c>
      <c r="FN32" s="15" t="str">
        <f>IF('Raw Data'!FB69="","",'Raw Data'!FB69)</f>
        <v>1</v>
      </c>
      <c r="FO32" s="15" t="str">
        <f>IF('Raw Data'!FC69="","",'Raw Data'!FC69)</f>
        <v>0</v>
      </c>
      <c r="FP32" s="15" t="str">
        <f>IF('Raw Data'!FD69="","",'Raw Data'!FD69)</f>
        <v>1</v>
      </c>
      <c r="FQ32" s="15" t="str">
        <f>IF('Raw Data'!FE69="","",'Raw Data'!FE69)</f>
        <v>0</v>
      </c>
      <c r="FR32" s="15" t="str">
        <f>IF('Raw Data'!FF69="","",'Raw Data'!FF69)</f>
        <v>0</v>
      </c>
      <c r="FS32" s="15" t="str">
        <f>IF('Raw Data'!FG69="","",'Raw Data'!FG69)</f>
        <v>0</v>
      </c>
      <c r="FT32" s="15" t="str">
        <f>IF('Raw Data'!FH69="","",'Raw Data'!FH69)</f>
        <v>0</v>
      </c>
      <c r="FU32" s="15" t="str">
        <f>IF('Raw Data'!FI69="","",'Raw Data'!FI69)</f>
        <v>0</v>
      </c>
      <c r="FV32" s="15" t="str">
        <f>IF('Raw Data'!FJ69="","",'Raw Data'!FJ69)</f>
        <v>0</v>
      </c>
      <c r="FW32" s="15" t="str">
        <f>IF('Raw Data'!FK69="","",'Raw Data'!FK69)</f>
        <v>0</v>
      </c>
      <c r="FX32" s="15" t="str">
        <f>IF('Raw Data'!FL69="","",'Raw Data'!FL69)</f>
        <v>0</v>
      </c>
      <c r="FY32" s="15" t="str">
        <f>IF('Raw Data'!FM69="","",'Raw Data'!FM69)</f>
        <v>0</v>
      </c>
      <c r="FZ32" s="15" t="str">
        <f>IF('Raw Data'!FN69="","",'Raw Data'!FN69)</f>
        <v/>
      </c>
      <c r="GA32" s="15" t="str">
        <f>IF('Raw Data'!FO69="","",'Raw Data'!FO69)</f>
        <v>oui_majorite</v>
      </c>
      <c r="GB32" s="15" t="str">
        <f>IF('Raw Data'!FP69="","",'Raw Data'!FP69)</f>
        <v>oui_ensemble</v>
      </c>
      <c r="GC32" s="15" t="str">
        <f>IF('Raw Data'!FQ69="","",'Raw Data'!FQ69)</f>
        <v/>
      </c>
      <c r="GD32" s="15" t="str">
        <f>IF('Raw Data'!FR69="","",'Raw Data'!FR69)</f>
        <v/>
      </c>
      <c r="GE32" s="15" t="str">
        <f>IF('Raw Data'!FS69="","",'Raw Data'!FS69)</f>
        <v/>
      </c>
      <c r="GF32" s="15" t="str">
        <f>IF('Raw Data'!FT69="","",'Raw Data'!FT69)</f>
        <v/>
      </c>
      <c r="GG32" s="15" t="str">
        <f>IF('Raw Data'!FU69="","",'Raw Data'!FU69)</f>
        <v/>
      </c>
      <c r="GH32" s="15" t="str">
        <f>IF('Raw Data'!FV69="","",'Raw Data'!FV69)</f>
        <v/>
      </c>
      <c r="GI32" s="15" t="str">
        <f>IF('Raw Data'!FW69="","",'Raw Data'!FW69)</f>
        <v/>
      </c>
      <c r="GJ32" s="15" t="str">
        <f>IF('Raw Data'!FX69="","",'Raw Data'!FX69)</f>
        <v/>
      </c>
      <c r="GK32" s="15" t="str">
        <f>IF('Raw Data'!FY69="","",'Raw Data'!FY69)</f>
        <v/>
      </c>
      <c r="GL32" s="15" t="str">
        <f>IF('Raw Data'!FZ69="","",'Raw Data'!FZ69)</f>
        <v/>
      </c>
      <c r="GM32" s="15" t="str">
        <f>IF('Raw Data'!GA69="","",'Raw Data'!GA69)</f>
        <v>majorite</v>
      </c>
      <c r="GN32" s="15" t="str">
        <f>IF('Raw Data'!GB69="","",'Raw Data'!GB69)</f>
        <v>ensemble</v>
      </c>
      <c r="GO32" s="15" t="str">
        <f>IF('Raw Data'!GC69="","",'Raw Data'!GC69)</f>
        <v>Services_de_sante Education Acces_aux_doc</v>
      </c>
      <c r="GP32" s="15" t="str">
        <f>IF('Raw Data'!GD69="","",'Raw Data'!GD69)</f>
        <v>0</v>
      </c>
      <c r="GQ32" s="15" t="str">
        <f>IF('Raw Data'!GE69="","",'Raw Data'!GE69)</f>
        <v>1</v>
      </c>
      <c r="GR32" s="15" t="str">
        <f>IF('Raw Data'!GF69="","",'Raw Data'!GF69)</f>
        <v>0</v>
      </c>
      <c r="GS32" s="15" t="str">
        <f>IF('Raw Data'!GG69="","",'Raw Data'!GG69)</f>
        <v>1</v>
      </c>
      <c r="GT32" s="15" t="str">
        <f>IF('Raw Data'!GH69="","",'Raw Data'!GH69)</f>
        <v>1</v>
      </c>
      <c r="GU32" s="15" t="str">
        <f>IF('Raw Data'!GI69="","",'Raw Data'!GI69)</f>
        <v>0</v>
      </c>
      <c r="GV32" s="15" t="str">
        <f>IF('Raw Data'!GJ69="","",'Raw Data'!GJ69)</f>
        <v>0</v>
      </c>
      <c r="GW32" s="15" t="str">
        <f>IF('Raw Data'!GK69="","",'Raw Data'!GK69)</f>
        <v>0</v>
      </c>
      <c r="GX32" s="15" t="str">
        <f>IF('Raw Data'!GL69="","",'Raw Data'!GL69)</f>
        <v>0</v>
      </c>
      <c r="GY32" s="15" t="str">
        <f>IF('Raw Data'!GM69="","",'Raw Data'!GM69)</f>
        <v/>
      </c>
      <c r="GZ32" s="15" t="str">
        <f>IF('Raw Data'!GN69="","",'Raw Data'!GN69)</f>
        <v>oui_ensemble</v>
      </c>
      <c r="HA32" s="15" t="str">
        <f>IF('Raw Data'!GO69="","",'Raw Data'!GO69)</f>
        <v>oui_ensemble</v>
      </c>
      <c r="HB32" s="15" t="str">
        <f>IF('Raw Data'!GP69="","",'Raw Data'!GP69)</f>
        <v>amelioration_futur repond_besoins_pop diminution_tensions</v>
      </c>
      <c r="HC32" s="15" t="str">
        <f>IF('Raw Data'!GQ69="","",'Raw Data'!GQ69)</f>
        <v>1</v>
      </c>
      <c r="HD32" s="15" t="str">
        <f>IF('Raw Data'!GR69="","",'Raw Data'!GR69)</f>
        <v>1</v>
      </c>
      <c r="HE32" s="15" t="str">
        <f>IF('Raw Data'!GS69="","",'Raw Data'!GS69)</f>
        <v>0</v>
      </c>
      <c r="HF32" s="15" t="str">
        <f>IF('Raw Data'!GT69="","",'Raw Data'!GT69)</f>
        <v>0</v>
      </c>
      <c r="HG32" s="15" t="str">
        <f>IF('Raw Data'!GU69="","",'Raw Data'!GU69)</f>
        <v>0</v>
      </c>
      <c r="HH32" s="15" t="str">
        <f>IF('Raw Data'!GV69="","",'Raw Data'!GV69)</f>
        <v>1</v>
      </c>
      <c r="HI32" s="15" t="str">
        <f>IF('Raw Data'!GW69="","",'Raw Data'!GW69)</f>
        <v>0</v>
      </c>
      <c r="HJ32" s="15" t="str">
        <f>IF('Raw Data'!GX69="","",'Raw Data'!GX69)</f>
        <v>0</v>
      </c>
      <c r="HK32" s="15" t="str">
        <f>IF('Raw Data'!GY69="","",'Raw Data'!GY69)</f>
        <v/>
      </c>
      <c r="HL32" s="31"/>
      <c r="HM32" s="31"/>
      <c r="HN32" s="31"/>
      <c r="HO32" s="31"/>
      <c r="HP32" s="31"/>
      <c r="HQ32" s="31"/>
      <c r="HR32" s="31"/>
      <c r="HS32" s="15" t="str">
        <f>IF('Raw Data'!HG69="","",'Raw Data'!HG69)</f>
        <v/>
      </c>
      <c r="HT32" s="15" t="str">
        <f>IF('Raw Data'!HH69="","",'Raw Data'!HH69)</f>
        <v/>
      </c>
      <c r="HU32" s="15" t="str">
        <f>IF('Raw Data'!HI69="","",'Raw Data'!HI69)</f>
        <v>oui_moitie</v>
      </c>
      <c r="HV32" s="15" t="str">
        <f>IF('Raw Data'!HJ69="","",'Raw Data'!HJ69)</f>
        <v>ingo</v>
      </c>
      <c r="HW32" s="15" t="str">
        <f>IF('Raw Data'!HK69="","",'Raw Data'!HK69)</f>
        <v>0</v>
      </c>
      <c r="HX32" s="15" t="str">
        <f>IF('Raw Data'!HL69="","",'Raw Data'!HL69)</f>
        <v>0</v>
      </c>
      <c r="HY32" s="15" t="str">
        <f>IF('Raw Data'!HM69="","",'Raw Data'!HM69)</f>
        <v>0</v>
      </c>
      <c r="HZ32" s="15" t="str">
        <f>IF('Raw Data'!HN69="","",'Raw Data'!HN69)</f>
        <v>0</v>
      </c>
      <c r="IA32" s="15" t="str">
        <f>IF('Raw Data'!HO69="","",'Raw Data'!HO69)</f>
        <v>1</v>
      </c>
      <c r="IB32" s="15" t="str">
        <f>IF('Raw Data'!HP69="","",'Raw Data'!HP69)</f>
        <v>0</v>
      </c>
      <c r="IC32" s="15" t="str">
        <f>IF('Raw Data'!HQ69="","",'Raw Data'!HQ69)</f>
        <v>0</v>
      </c>
      <c r="ID32" s="15" t="str">
        <f>IF('Raw Data'!HR69="","",'Raw Data'!HR69)</f>
        <v>0</v>
      </c>
      <c r="IE32" s="15" t="str">
        <f>IF('Raw Data'!HS69="","",'Raw Data'!HS69)</f>
        <v>0</v>
      </c>
      <c r="IF32" s="15" t="str">
        <f>IF('Raw Data'!HT69="","",'Raw Data'!HT69)</f>
        <v>0</v>
      </c>
      <c r="IG32" s="15" t="str">
        <f>IF('Raw Data'!HU69="","",'Raw Data'!HU69)</f>
        <v/>
      </c>
      <c r="IH32" s="15" t="str">
        <f>IF('Raw Data'!HV69="","",'Raw Data'!HV69)</f>
        <v>oui</v>
      </c>
      <c r="II32" s="15" t="str">
        <f>IF('Raw Data'!HW69="","",'Raw Data'!HW69)</f>
        <v/>
      </c>
      <c r="IJ32" s="15" t="str">
        <f>IF('Raw Data'!HX69="","",'Raw Data'!HX69)</f>
        <v/>
      </c>
      <c r="IK32" s="15" t="str">
        <f>IF('Raw Data'!HY69="","",'Raw Data'!HY69)</f>
        <v/>
      </c>
      <c r="IL32" s="15" t="str">
        <f>IF('Raw Data'!HZ69="","",'Raw Data'!HZ69)</f>
        <v/>
      </c>
      <c r="IM32" s="15" t="str">
        <f>IF('Raw Data'!IA69="","",'Raw Data'!IA69)</f>
        <v/>
      </c>
      <c r="IN32" s="15" t="str">
        <f>IF('Raw Data'!IB69="","",'Raw Data'!IB69)</f>
        <v/>
      </c>
      <c r="IO32" s="15" t="str">
        <f>IF('Raw Data'!IC69="","",'Raw Data'!IC69)</f>
        <v/>
      </c>
      <c r="IP32" s="15" t="str">
        <f>IF('Raw Data'!ID69="","",'Raw Data'!ID69)</f>
        <v/>
      </c>
      <c r="IQ32" s="15" t="str">
        <f>IF('Raw Data'!IE69="","",'Raw Data'!IE69)</f>
        <v/>
      </c>
      <c r="IR32" s="15" t="str">
        <f>IF('Raw Data'!IF69="","",'Raw Data'!IF69)</f>
        <v/>
      </c>
      <c r="IS32" s="15" t="str">
        <f>IF('Raw Data'!IG69="","",'Raw Data'!IG69)</f>
        <v/>
      </c>
      <c r="IT32" s="15" t="str">
        <f>IF('Raw Data'!IH69="","",'Raw Data'!IH69)</f>
        <v/>
      </c>
      <c r="IU32" s="15" t="str">
        <f>IF('Raw Data'!II69="","",'Raw Data'!II69)</f>
        <v/>
      </c>
      <c r="IV32" s="15" t="str">
        <f>IF('Raw Data'!IJ69="","",'Raw Data'!IJ69)</f>
        <v/>
      </c>
      <c r="IW32" s="15" t="str">
        <f>IF('Raw Data'!IK69="","",'Raw Data'!IK69)</f>
        <v/>
      </c>
      <c r="IX32" s="15" t="str">
        <f>IF('Raw Data'!IL69="","",'Raw Data'!IL69)</f>
        <v/>
      </c>
      <c r="IY32" s="15" t="str">
        <f>IF('Raw Data'!IM69="","",'Raw Data'!IM69)</f>
        <v/>
      </c>
      <c r="IZ32" s="15" t="str">
        <f>IF('Raw Data'!IN69="","",'Raw Data'!IN69)</f>
        <v>60</v>
      </c>
      <c r="JA32" s="15" t="str">
        <f>IF('Raw Data'!IO69="","",'Raw Data'!IO69)</f>
        <v>Services_conseil points_ecoute</v>
      </c>
      <c r="JB32" s="15" t="str">
        <f>IF('Raw Data'!IP69="","",'Raw Data'!IP69)</f>
        <v>0</v>
      </c>
      <c r="JC32" s="15" t="str">
        <f>IF('Raw Data'!IQ69="","",'Raw Data'!IQ69)</f>
        <v>0</v>
      </c>
      <c r="JD32" s="15" t="str">
        <f>IF('Raw Data'!IR69="","",'Raw Data'!IR69)</f>
        <v>0</v>
      </c>
      <c r="JE32" s="15" t="str">
        <f>IF('Raw Data'!IS69="","",'Raw Data'!IS69)</f>
        <v>1</v>
      </c>
      <c r="JF32" s="15" t="str">
        <f>IF('Raw Data'!IT69="","",'Raw Data'!IT69)</f>
        <v>0</v>
      </c>
      <c r="JG32" s="15" t="str">
        <f>IF('Raw Data'!IU69="","",'Raw Data'!IU69)</f>
        <v>0</v>
      </c>
      <c r="JH32" s="15" t="str">
        <f>IF('Raw Data'!IV69="","",'Raw Data'!IV69)</f>
        <v>0</v>
      </c>
      <c r="JI32" s="15" t="str">
        <f>IF('Raw Data'!IW69="","",'Raw Data'!IW69)</f>
        <v>1</v>
      </c>
      <c r="JJ32" s="15" t="str">
        <f>IF('Raw Data'!IX69="","",'Raw Data'!IX69)</f>
        <v>0</v>
      </c>
      <c r="JK32" s="15" t="str">
        <f>IF('Raw Data'!IY69="","",'Raw Data'!IY69)</f>
        <v>0</v>
      </c>
      <c r="JL32" s="15" t="str">
        <f>IF('Raw Data'!IZ69="","",'Raw Data'!IZ69)</f>
        <v/>
      </c>
      <c r="JM32" s="15" t="str">
        <f>IF('Raw Data'!JA69="","",'Raw Data'!JA69)</f>
        <v>signalement reorientation</v>
      </c>
      <c r="JN32" s="15" t="str">
        <f>IF('Raw Data'!JB69="","",'Raw Data'!JB69)</f>
        <v>0</v>
      </c>
      <c r="JO32" s="15" t="str">
        <f>IF('Raw Data'!JC69="","",'Raw Data'!JC69)</f>
        <v>1</v>
      </c>
      <c r="JP32" s="15" t="str">
        <f>IF('Raw Data'!JD69="","",'Raw Data'!JD69)</f>
        <v>1</v>
      </c>
      <c r="JQ32" s="15" t="str">
        <f>IF('Raw Data'!JE69="","",'Raw Data'!JE69)</f>
        <v>0</v>
      </c>
      <c r="JR32" s="15" t="str">
        <f>IF('Raw Data'!JF69="","",'Raw Data'!JF69)</f>
        <v>0</v>
      </c>
      <c r="JS32" s="15" t="str">
        <f>IF('Raw Data'!JG69="","",'Raw Data'!JG69)</f>
        <v>0</v>
      </c>
      <c r="JT32" s="15" t="str">
        <f>IF('Raw Data'!JH69="","",'Raw Data'!JH69)</f>
        <v/>
      </c>
      <c r="JU32" s="15" t="str">
        <f>IF('Raw Data'!JI69="","",'Raw Data'!JI69)</f>
        <v/>
      </c>
      <c r="JV32" s="15" t="str">
        <f>IF('Raw Data'!JJ69="","",'Raw Data'!JJ69)</f>
        <v/>
      </c>
      <c r="JW32" s="15" t="str">
        <f>IF('Raw Data'!JK69="","",'Raw Data'!JK69)</f>
        <v/>
      </c>
      <c r="JX32" s="15" t="str">
        <f>IF('Raw Data'!JL69="","",'Raw Data'!JL69)</f>
        <v/>
      </c>
      <c r="JY32" s="15" t="str">
        <f>IF('Raw Data'!JM69="","",'Raw Data'!JM69)</f>
        <v/>
      </c>
      <c r="JZ32" s="15" t="str">
        <f>IF('Raw Data'!JN69="","",'Raw Data'!JN69)</f>
        <v/>
      </c>
      <c r="KA32" s="15" t="str">
        <f>IF('Raw Data'!JO69="","",'Raw Data'!JO69)</f>
        <v/>
      </c>
      <c r="KB32" s="15" t="str">
        <f>IF('Raw Data'!JP69="","",'Raw Data'!JP69)</f>
        <v/>
      </c>
      <c r="KC32" s="15" t="str">
        <f>IF('Raw Data'!JQ69="","",'Raw Data'!JQ69)</f>
        <v/>
      </c>
      <c r="KD32" s="15" t="str">
        <f>IF('Raw Data'!JR69="","",'Raw Data'!JR69)</f>
        <v/>
      </c>
      <c r="KE32" s="15" t="str">
        <f>IF('Raw Data'!JS69="","",'Raw Data'!JS69)</f>
        <v/>
      </c>
      <c r="KF32" s="15" t="str">
        <f>IF('Raw Data'!JT69="","",'Raw Data'!JT69)</f>
        <v>medical point_ecoute surete</v>
      </c>
      <c r="KG32" s="15" t="str">
        <f>IF('Raw Data'!JU69="","",'Raw Data'!JU69)</f>
        <v>1</v>
      </c>
      <c r="KH32" s="15" t="str">
        <f>IF('Raw Data'!JV69="","",'Raw Data'!JV69)</f>
        <v>0</v>
      </c>
      <c r="KI32" s="15" t="str">
        <f>IF('Raw Data'!JW69="","",'Raw Data'!JW69)</f>
        <v>1</v>
      </c>
      <c r="KJ32" s="15" t="str">
        <f>IF('Raw Data'!JX69="","",'Raw Data'!JX69)</f>
        <v>0</v>
      </c>
      <c r="KK32" s="15" t="str">
        <f>IF('Raw Data'!JY69="","",'Raw Data'!JY69)</f>
        <v>1</v>
      </c>
      <c r="KL32" s="15" t="str">
        <f>IF('Raw Data'!JZ69="","",'Raw Data'!JZ69)</f>
        <v>0</v>
      </c>
      <c r="KM32" s="15" t="str">
        <f>IF('Raw Data'!KA69="","",'Raw Data'!KA69)</f>
        <v>0</v>
      </c>
      <c r="KN32" s="15" t="str">
        <f>IF('Raw Data'!KB69="","",'Raw Data'!KB69)</f>
        <v>0</v>
      </c>
      <c r="KO32" s="15" t="str">
        <f>IF('Raw Data'!KC69="","",'Raw Data'!KC69)</f>
        <v>0</v>
      </c>
      <c r="KP32" s="15" t="str">
        <f>IF('Raw Data'!KD69="","",'Raw Data'!KD69)</f>
        <v/>
      </c>
      <c r="KQ32" s="15" t="str">
        <f>IF('Raw Data'!KE69="","",'Raw Data'!KE69)</f>
        <v/>
      </c>
      <c r="KR32" s="15" t="str">
        <f>IF('Raw Data'!KF69="","",'Raw Data'!KF69)</f>
        <v>non</v>
      </c>
      <c r="KS32" s="15" t="str">
        <f>IF('Raw Data'!KG69="","",'Raw Data'!KG69)</f>
        <v/>
      </c>
      <c r="KT32" s="15" t="str">
        <f>IF('Raw Data'!KH69="","",'Raw Data'!KH69)</f>
        <v/>
      </c>
      <c r="KU32" s="15" t="str">
        <f>IF('Raw Data'!KI69="","",'Raw Data'!KI69)</f>
        <v/>
      </c>
      <c r="KV32" s="15" t="str">
        <f>IF('Raw Data'!KJ69="","",'Raw Data'!KJ69)</f>
        <v/>
      </c>
      <c r="KW32" s="15" t="str">
        <f>IF('Raw Data'!KK69="","",'Raw Data'!KK69)</f>
        <v/>
      </c>
      <c r="KX32" s="15" t="str">
        <f>IF('Raw Data'!KL69="","",'Raw Data'!KL69)</f>
        <v/>
      </c>
      <c r="KY32" s="15" t="str">
        <f>IF('Raw Data'!KM69="","",'Raw Data'!KM69)</f>
        <v/>
      </c>
      <c r="KZ32" s="15" t="str">
        <f>IF('Raw Data'!KN69="","",'Raw Data'!KN69)</f>
        <v/>
      </c>
      <c r="LA32" s="15" t="str">
        <f>IF('Raw Data'!KO69="","",'Raw Data'!KO69)</f>
        <v/>
      </c>
      <c r="LB32" s="15" t="str">
        <f>IF('Raw Data'!KP69="","",'Raw Data'!KP69)</f>
        <v/>
      </c>
      <c r="LC32" s="15" t="str">
        <f>IF('Raw Data'!KQ69="","",'Raw Data'!KQ69)</f>
        <v/>
      </c>
      <c r="LD32" s="15" t="str">
        <f>IF('Raw Data'!KR69="","",'Raw Data'!KR69)</f>
        <v/>
      </c>
      <c r="LE32" s="15" t="str">
        <f>IF('Raw Data'!KS69="","",'Raw Data'!KS69)</f>
        <v/>
      </c>
      <c r="LF32" s="15" t="str">
        <f>IF('Raw Data'!KT69="","",'Raw Data'!KT69)</f>
        <v/>
      </c>
      <c r="LG32" s="15" t="str">
        <f>IF('Raw Data'!KU69="","",'Raw Data'!KU69)</f>
        <v/>
      </c>
      <c r="LH32" s="15" t="str">
        <f>IF('Raw Data'!KV69="","",'Raw Data'!KV69)</f>
        <v/>
      </c>
      <c r="LI32" s="15" t="str">
        <f>IF('Raw Data'!KW69="","",'Raw Data'!KW69)</f>
        <v/>
      </c>
      <c r="LJ32" s="15" t="str">
        <f>IF('Raw Data'!KX69="","",'Raw Data'!KX69)</f>
        <v/>
      </c>
      <c r="LK32" s="15" t="str">
        <f>IF('Raw Data'!KY69="","",'Raw Data'!KY69)</f>
        <v/>
      </c>
      <c r="LL32" s="15" t="str">
        <f>IF('Raw Data'!KZ69="","",'Raw Data'!KZ69)</f>
        <v/>
      </c>
      <c r="LM32" s="15" t="str">
        <f>IF('Raw Data'!LA69="","",'Raw Data'!LA69)</f>
        <v/>
      </c>
      <c r="LN32" s="15" t="str">
        <f>IF('Raw Data'!LB69="","",'Raw Data'!LB69)</f>
        <v>non</v>
      </c>
      <c r="LO32" s="15" t="str">
        <f>IF('Raw Data'!LC69="","",'Raw Data'!LC69)</f>
        <v/>
      </c>
      <c r="LP32" s="15" t="str">
        <f>IF('Raw Data'!LD69="","",'Raw Data'!LD69)</f>
        <v/>
      </c>
      <c r="LQ32" s="15" t="str">
        <f>IF('Raw Data'!LE69="","",'Raw Data'!LE69)</f>
        <v/>
      </c>
      <c r="LR32" s="15" t="str">
        <f>IF('Raw Data'!LF69="","",'Raw Data'!LF69)</f>
        <v/>
      </c>
      <c r="LS32" s="15" t="str">
        <f>IF('Raw Data'!LG69="","",'Raw Data'!LG69)</f>
        <v/>
      </c>
      <c r="LT32" s="15" t="str">
        <f>IF('Raw Data'!LH69="","",'Raw Data'!LH69)</f>
        <v/>
      </c>
      <c r="LU32" s="15" t="str">
        <f>IF('Raw Data'!LI69="","",'Raw Data'!LI69)</f>
        <v/>
      </c>
      <c r="LV32" s="15" t="str">
        <f>IF('Raw Data'!LJ69="","",'Raw Data'!LJ69)</f>
        <v/>
      </c>
      <c r="LW32" s="15" t="str">
        <f>IF('Raw Data'!LK69="","",'Raw Data'!LK69)</f>
        <v/>
      </c>
      <c r="LX32" s="15" t="str">
        <f>IF('Raw Data'!LL69="","",'Raw Data'!LL69)</f>
        <v/>
      </c>
      <c r="LY32" s="15" t="str">
        <f>IF('Raw Data'!LM69="","",'Raw Data'!LM69)</f>
        <v/>
      </c>
      <c r="LZ32" s="15" t="str">
        <f>IF('Raw Data'!LN69="","",'Raw Data'!LN69)</f>
        <v/>
      </c>
      <c r="MA32" s="15" t="str">
        <f>IF('Raw Data'!LO69="","",'Raw Data'!LO69)</f>
        <v/>
      </c>
      <c r="MB32" s="15" t="str">
        <f>IF('Raw Data'!LP69="","",'Raw Data'!LP69)</f>
        <v>oui</v>
      </c>
      <c r="MC32" s="15" t="str">
        <f>IF('Raw Data'!LQ69="","",'Raw Data'!LQ69)</f>
        <v/>
      </c>
      <c r="MD32" s="15" t="str">
        <f>IF('Raw Data'!LR69="","",'Raw Data'!LR69)</f>
        <v/>
      </c>
      <c r="ME32" s="15">
        <f>IF('Raw Data'!LS69="","",'Raw Data'!LS69)</f>
        <v>172011410</v>
      </c>
      <c r="MF32" s="15" t="str">
        <f>IF('Raw Data'!LT69="","",'Raw Data'!LT69)</f>
        <v>aae4d7a2-79eb-4ce9-a93b-6a42e2a5b220</v>
      </c>
      <c r="MG32" s="15" t="str">
        <f>IF('Raw Data'!LU69="","",'Raw Data'!LU69)</f>
        <v>2021-04-16T16:12:08</v>
      </c>
      <c r="MH32" s="15" t="str">
        <f>IF('Raw Data'!LV69="","",'Raw Data'!LV69)</f>
        <v/>
      </c>
      <c r="MI32" s="15" t="str">
        <f>IF('Raw Data'!LW69="","",'Raw Data'!LW69)</f>
        <v>[]</v>
      </c>
      <c r="MJ32" s="15" t="str">
        <f>IF('Raw Data'!LX69="","",'Raw Data'!LX69)</f>
        <v>submitted_via_web</v>
      </c>
      <c r="MK32" s="15" t="str">
        <f>IF('Raw Data'!LY69="","",'Raw Data'!LY69)</f>
        <v>reach_niger</v>
      </c>
      <c r="ML32" s="15" t="str">
        <f>IF('Raw Data'!LZ69="","",'Raw Data'!LZ69)</f>
        <v/>
      </c>
      <c r="MM32" s="15">
        <f>IF('Raw Data'!MA69="","",'Raw Data'!MA69)</f>
        <v>74</v>
      </c>
    </row>
    <row r="33" spans="1:351" x14ac:dyDescent="0.3">
      <c r="A33" s="26" t="str">
        <f t="shared" si="0"/>
        <v>f3de914f-450a-4b12-8fe5-8d968cc0c934</v>
      </c>
      <c r="B33" s="26" t="str">
        <f t="shared" si="1"/>
        <v>ouallam</v>
      </c>
      <c r="C33" s="26" t="str">
        <f t="shared" si="2"/>
        <v>H</v>
      </c>
      <c r="D33" s="14" t="str">
        <f>IF('Raw Data'!A54="","",'Raw Data'!A54)</f>
        <v>2021-04-08T16:08:54.852+01:00</v>
      </c>
      <c r="E33" s="14" t="str">
        <f>IF('Raw Data'!B54="","",'Raw Data'!B54)</f>
        <v>2021-04-08T16:50:30.144+01:00</v>
      </c>
      <c r="F33" s="30">
        <v>44294.672847222224</v>
      </c>
      <c r="G33" s="30">
        <v>44294.701736111114</v>
      </c>
      <c r="H33" s="29">
        <f>VLOOKUP(A33,Audit[#All],2,FALSE)</f>
        <v>41.59</v>
      </c>
      <c r="I33" s="29">
        <f>VLOOKUP(A33,Audit[#All],3,FALSE)</f>
        <v>41</v>
      </c>
      <c r="J33" s="29">
        <f>VLOOKUP(A33,Audit[#All],4,FALSE)</f>
        <v>24.29</v>
      </c>
      <c r="K33" s="29">
        <f>VLOOKUP(A33,nb_questions[#All],2,FALSE)</f>
        <v>62</v>
      </c>
      <c r="L33" s="29">
        <f t="shared" si="3"/>
        <v>235</v>
      </c>
      <c r="M33" s="14" t="str">
        <f>IF('Raw Data'!C54="","",'Raw Data'!C54)</f>
        <v>2021-04-08</v>
      </c>
      <c r="N33" s="14" t="str">
        <f>IF('Raw Data'!D54="","",'Raw Data'!D54)</f>
        <v/>
      </c>
      <c r="O33" s="14" t="str">
        <f>IF('Raw Data'!E54="","",'Raw Data'!E54)</f>
        <v/>
      </c>
      <c r="P33" s="29" t="str">
        <f>VLOOKUP(A33,code_enqueteurs[#All],3,FALSE)</f>
        <v>H</v>
      </c>
      <c r="Q33" s="29" t="s">
        <v>1652</v>
      </c>
      <c r="R33" s="14" t="str">
        <f>IF('Raw Data'!F54="","",'Raw Data'!F54)</f>
        <v>Homme</v>
      </c>
      <c r="S33" s="15" t="str">
        <f>IF('Raw Data'!G54="","",'Raw Data'!G54)</f>
        <v>ouallam</v>
      </c>
      <c r="T33" s="15" t="str">
        <f>IF('Raw Data'!H54="","",'Raw Data'!H54)</f>
        <v>ouallam</v>
      </c>
      <c r="U33" s="15" t="str">
        <f>IF('Raw Data'!I54="","",'Raw Data'!I54)</f>
        <v>ouallam_ref</v>
      </c>
      <c r="V33" s="15" t="str">
        <f>IF('Raw Data'!J54="","",'Raw Data'!J54)</f>
        <v/>
      </c>
      <c r="W33" s="15" t="str">
        <f>IF('Raw Data'!K54="","",'Raw Data'!K54)</f>
        <v/>
      </c>
      <c r="X33" s="15" t="str">
        <f>IF('Raw Data'!L54="","",'Raw Data'!L54)</f>
        <v/>
      </c>
      <c r="Y33" s="15" t="str">
        <f>IF('Raw Data'!M54="","",'Raw Data'!M54)</f>
        <v/>
      </c>
      <c r="Z33" s="15" t="str">
        <f>IF('Raw Data'!N54="","",'Raw Data'!N54)</f>
        <v/>
      </c>
      <c r="AA33" s="15" t="str">
        <f>IF('Raw Data'!O54="","",'Raw Data'!O54)</f>
        <v/>
      </c>
      <c r="AB33" s="15" t="str">
        <f>IF('Raw Data'!P54="","",'Raw Data'!P54)</f>
        <v/>
      </c>
      <c r="AC33" s="15" t="str">
        <f>IF('Raw Data'!Q54="","",'Raw Data'!Q54)</f>
        <v/>
      </c>
      <c r="AD33" s="15" t="str">
        <f>IF('Raw Data'!R54="","",'Raw Data'!R54)</f>
        <v>Homme</v>
      </c>
      <c r="AE33" s="15" t="str">
        <f>IF('Raw Data'!S54="","",'Raw Data'!S54)</f>
        <v>34</v>
      </c>
      <c r="AF33" s="15" t="str">
        <f>IF('Raw Data'!T54="","",'Raw Data'!T54)</f>
        <v>refugie</v>
      </c>
      <c r="AG33" s="15" t="str">
        <f>IF('Raw Data'!U54="","",'Raw Data'!U54)</f>
        <v/>
      </c>
      <c r="AH33" s="15" t="str">
        <f>IF('Raw Data'!V54="","",'Raw Data'!V54)</f>
        <v/>
      </c>
      <c r="AI33" s="15" t="str">
        <f>IF('Raw Data'!W54="","",'Raw Data'!W54)</f>
        <v/>
      </c>
      <c r="AJ33" s="15" t="str">
        <f>IF('Raw Data'!X54="","",'Raw Data'!X54)</f>
        <v/>
      </c>
      <c r="AK33" s="15" t="str">
        <f>IF('Raw Data'!Y54="","",'Raw Data'!Y54)</f>
        <v/>
      </c>
      <c r="AL33" s="15" t="str">
        <f>IF('Raw Data'!Z54="","",'Raw Data'!Z54)</f>
        <v>mali</v>
      </c>
      <c r="AM33" s="15" t="str">
        <f>IF('Raw Data'!AA54="","",'Raw Data'!AA54)</f>
        <v>menaka</v>
      </c>
      <c r="AN33" s="15" t="str">
        <f>IF('Raw Data'!AB54="","",'Raw Data'!AB54)</f>
        <v>menaka</v>
      </c>
      <c r="AO33" s="15" t="str">
        <f>IF('Raw Data'!AC54="","",'Raw Data'!AC54)</f>
        <v/>
      </c>
      <c r="AP33" s="15" t="str">
        <f>IF('Raw Data'!AD54="","",'Raw Data'!AD54)</f>
        <v/>
      </c>
      <c r="AQ33" s="15" t="str">
        <f>IF('Raw Data'!AE54="","",'Raw Data'!AE54)</f>
        <v/>
      </c>
      <c r="AR33" s="15" t="str">
        <f>IF('Raw Data'!AF54="","",'Raw Data'!AF54)</f>
        <v/>
      </c>
      <c r="AS33" s="15" t="str">
        <f>IF('Raw Data'!AG54="","",'Raw Data'!AG54)</f>
        <v>non</v>
      </c>
      <c r="AT33" s="15" t="str">
        <f>IF('Raw Data'!AH54="","",'Raw Data'!AH54)</f>
        <v/>
      </c>
      <c r="AU33" s="15" t="str">
        <f>IF('Raw Data'!AI54="","",'Raw Data'!AI54)</f>
        <v/>
      </c>
      <c r="AV33" s="15" t="str">
        <f>IF('Raw Data'!AJ54="","",'Raw Data'!AJ54)</f>
        <v/>
      </c>
      <c r="AW33" s="15" t="str">
        <f>IF('Raw Data'!AK54="","",'Raw Data'!AK54)</f>
        <v/>
      </c>
      <c r="AX33" s="15" t="str">
        <f>IF('Raw Data'!AL54="","",'Raw Data'!AL54)</f>
        <v/>
      </c>
      <c r="AY33" s="15" t="str">
        <f>IF('Raw Data'!AM54="","",'Raw Data'!AM54)</f>
        <v/>
      </c>
      <c r="AZ33" s="15" t="str">
        <f>IF('Raw Data'!AN54="","",'Raw Data'!AN54)</f>
        <v/>
      </c>
      <c r="BA33" s="15" t="str">
        <f>IF('Raw Data'!AO54="","",'Raw Data'!AO54)</f>
        <v/>
      </c>
      <c r="BB33" s="15" t="str">
        <f>IF('Raw Data'!AP54="","",'Raw Data'!AP54)</f>
        <v/>
      </c>
      <c r="BC33" s="15" t="str">
        <f>IF('Raw Data'!AQ54="","",'Raw Data'!AQ54)</f>
        <v/>
      </c>
      <c r="BD33" s="15" t="str">
        <f>IF('Raw Data'!AR54="","",'Raw Data'!AR54)</f>
        <v/>
      </c>
      <c r="BE33" s="15" t="str">
        <f>IF('Raw Data'!AS54="","",'Raw Data'!AS54)</f>
        <v/>
      </c>
      <c r="BF33" s="15" t="str">
        <f>IF('Raw Data'!AT54="","",'Raw Data'!AT54)</f>
        <v/>
      </c>
      <c r="BG33" s="15" t="str">
        <f>IF('Raw Data'!AU54="","",'Raw Data'!AU54)</f>
        <v/>
      </c>
      <c r="BH33" s="15" t="str">
        <f>IF('Raw Data'!AV54="","",'Raw Data'!AV54)</f>
        <v/>
      </c>
      <c r="BI33" s="15" t="str">
        <f>IF('Raw Data'!AW54="","",'Raw Data'!AW54)</f>
        <v/>
      </c>
      <c r="BJ33" s="15" t="str">
        <f>IF('Raw Data'!AX54="","",'Raw Data'!AX54)</f>
        <v/>
      </c>
      <c r="BK33" s="15" t="str">
        <f>IF('Raw Data'!AY54="","",'Raw Data'!AY54)</f>
        <v/>
      </c>
      <c r="BL33" s="15" t="str">
        <f>IF('Raw Data'!AZ54="","",'Raw Data'!AZ54)</f>
        <v/>
      </c>
      <c r="BM33" s="15" t="str">
        <f>IF('Raw Data'!BA54="","",'Raw Data'!BA54)</f>
        <v/>
      </c>
      <c r="BN33" s="15" t="str">
        <f>IF('Raw Data'!BB54="","",'Raw Data'!BB54)</f>
        <v/>
      </c>
      <c r="BO33" s="15" t="str">
        <f>IF('Raw Data'!BC54="","",'Raw Data'!BC54)</f>
        <v/>
      </c>
      <c r="BP33" s="15" t="str">
        <f>IF('Raw Data'!BD54="","",'Raw Data'!BD54)</f>
        <v/>
      </c>
      <c r="BQ33" s="15" t="str">
        <f>IF('Raw Data'!BE54="","",'Raw Data'!BE54)</f>
        <v/>
      </c>
      <c r="BR33" s="15" t="str">
        <f>IF('Raw Data'!BF54="","",'Raw Data'!BF54)</f>
        <v/>
      </c>
      <c r="BS33" s="15" t="str">
        <f>IF('Raw Data'!BG54="","",'Raw Data'!BG54)</f>
        <v/>
      </c>
      <c r="BT33" s="15" t="str">
        <f>IF('Raw Data'!BH54="","",'Raw Data'!BH54)</f>
        <v/>
      </c>
      <c r="BU33" s="15" t="str">
        <f>IF('Raw Data'!BI54="","",'Raw Data'!BI54)</f>
        <v/>
      </c>
      <c r="BV33" s="15" t="str">
        <f>IF('Raw Data'!BJ54="","",'Raw Data'!BJ54)</f>
        <v/>
      </c>
      <c r="BW33" s="15" t="str">
        <f>IF('Raw Data'!BK54="","",'Raw Data'!BK54)</f>
        <v/>
      </c>
      <c r="BX33" s="15" t="str">
        <f>IF('Raw Data'!BL54="","",'Raw Data'!BL54)</f>
        <v/>
      </c>
      <c r="BY33" s="15" t="str">
        <f>IF('Raw Data'!BM54="","",'Raw Data'!BM54)</f>
        <v/>
      </c>
      <c r="BZ33" s="15" t="str">
        <f>IF('Raw Data'!BN54="","",'Raw Data'!BN54)</f>
        <v/>
      </c>
      <c r="CA33" s="15" t="str">
        <f>IF('Raw Data'!BO54="","",'Raw Data'!BO54)</f>
        <v/>
      </c>
      <c r="CB33" s="15" t="str">
        <f>IF('Raw Data'!BP54="","",'Raw Data'!BP54)</f>
        <v/>
      </c>
      <c r="CC33" s="15" t="str">
        <f>IF('Raw Data'!BQ54="","",'Raw Data'!BQ54)</f>
        <v>non</v>
      </c>
      <c r="CD33" s="15" t="str">
        <f>IF('Raw Data'!BR54="","",'Raw Data'!BR54)</f>
        <v/>
      </c>
      <c r="CE33" s="15" t="str">
        <f>IF('Raw Data'!BS54="","",'Raw Data'!BS54)</f>
        <v/>
      </c>
      <c r="CF33" s="15" t="str">
        <f>IF('Raw Data'!BT54="","",'Raw Data'!BT54)</f>
        <v/>
      </c>
      <c r="CG33" s="15" t="str">
        <f>IF('Raw Data'!BU54="","",'Raw Data'!BU54)</f>
        <v/>
      </c>
      <c r="CH33" s="15" t="str">
        <f>IF('Raw Data'!BV54="","",'Raw Data'!BV54)</f>
        <v/>
      </c>
      <c r="CI33" s="15" t="str">
        <f>IF('Raw Data'!BW54="","",'Raw Data'!BW54)</f>
        <v/>
      </c>
      <c r="CJ33" s="15" t="str">
        <f>IF('Raw Data'!BX54="","",'Raw Data'!BX54)</f>
        <v/>
      </c>
      <c r="CK33" s="15" t="str">
        <f>IF('Raw Data'!BY54="","",'Raw Data'!BY54)</f>
        <v/>
      </c>
      <c r="CL33" s="15" t="str">
        <f>IF('Raw Data'!BZ54="","",'Raw Data'!BZ54)</f>
        <v/>
      </c>
      <c r="CM33" s="15" t="str">
        <f>IF('Raw Data'!CA54="","",'Raw Data'!CA54)</f>
        <v/>
      </c>
      <c r="CN33" s="15" t="str">
        <f>IF('Raw Data'!CB54="","",'Raw Data'!CB54)</f>
        <v/>
      </c>
      <c r="CO33" s="15" t="str">
        <f>IF('Raw Data'!CC54="","",'Raw Data'!CC54)</f>
        <v/>
      </c>
      <c r="CP33" s="15" t="str">
        <f>IF('Raw Data'!CD54="","",'Raw Data'!CD54)</f>
        <v/>
      </c>
      <c r="CQ33" s="15" t="str">
        <f>IF('Raw Data'!CE54="","",'Raw Data'!CE54)</f>
        <v/>
      </c>
      <c r="CR33" s="15" t="str">
        <f>IF('Raw Data'!CF54="","",'Raw Data'!CF54)</f>
        <v/>
      </c>
      <c r="CS33" s="15" t="str">
        <f>IF('Raw Data'!CG54="","",'Raw Data'!CG54)</f>
        <v/>
      </c>
      <c r="CT33" s="15" t="str">
        <f>IF('Raw Data'!CH54="","",'Raw Data'!CH54)</f>
        <v/>
      </c>
      <c r="CU33" s="15" t="str">
        <f>IF('Raw Data'!CI54="","",'Raw Data'!CI54)</f>
        <v/>
      </c>
      <c r="CV33" s="15" t="str">
        <f>IF('Raw Data'!CJ54="","",'Raw Data'!CJ54)</f>
        <v/>
      </c>
      <c r="CW33" s="15" t="str">
        <f>IF('Raw Data'!CK54="","",'Raw Data'!CK54)</f>
        <v/>
      </c>
      <c r="CX33" s="15" t="str">
        <f>IF('Raw Data'!CL54="","",'Raw Data'!CL54)</f>
        <v/>
      </c>
      <c r="CY33" s="15" t="str">
        <f>IF('Raw Data'!CM54="","",'Raw Data'!CM54)</f>
        <v/>
      </c>
      <c r="CZ33" s="15" t="str">
        <f>IF('Raw Data'!CN54="","",'Raw Data'!CN54)</f>
        <v/>
      </c>
      <c r="DA33" s="15" t="str">
        <f>IF('Raw Data'!CO54="","",'Raw Data'!CO54)</f>
        <v/>
      </c>
      <c r="DB33" s="15" t="str">
        <f>IF('Raw Data'!CP54="","",'Raw Data'!CP54)</f>
        <v/>
      </c>
      <c r="DC33" s="15" t="str">
        <f>IF('Raw Data'!CQ54="","",'Raw Data'!CQ54)</f>
        <v/>
      </c>
      <c r="DD33" s="15" t="str">
        <f>IF('Raw Data'!CR54="","",'Raw Data'!CR54)</f>
        <v/>
      </c>
      <c r="DE33" s="15" t="str">
        <f>IF('Raw Data'!CS54="","",'Raw Data'!CS54)</f>
        <v/>
      </c>
      <c r="DF33" s="15" t="str">
        <f>IF('Raw Data'!CT54="","",'Raw Data'!CT54)</f>
        <v/>
      </c>
      <c r="DG33" s="15" t="str">
        <f>IF('Raw Data'!CU54="","",'Raw Data'!CU54)</f>
        <v/>
      </c>
      <c r="DH33" s="15" t="str">
        <f>IF('Raw Data'!CV54="","",'Raw Data'!CV54)</f>
        <v/>
      </c>
      <c r="DI33" s="15" t="str">
        <f>IF('Raw Data'!CW54="","",'Raw Data'!CW54)</f>
        <v/>
      </c>
      <c r="DJ33" s="15" t="str">
        <f>IF('Raw Data'!CX54="","",'Raw Data'!CX54)</f>
        <v/>
      </c>
      <c r="DK33" s="15" t="str">
        <f>IF('Raw Data'!CY54="","",'Raw Data'!CY54)</f>
        <v/>
      </c>
      <c r="DL33" s="15" t="str">
        <f>IF('Raw Data'!CZ54="","",'Raw Data'!CZ54)</f>
        <v/>
      </c>
      <c r="DM33" s="15" t="str">
        <f>IF('Raw Data'!DA54="","",'Raw Data'!DA54)</f>
        <v/>
      </c>
      <c r="DN33" s="15" t="str">
        <f>IF('Raw Data'!DB54="","",'Raw Data'!DB54)</f>
        <v/>
      </c>
      <c r="DO33" s="15" t="str">
        <f>IF('Raw Data'!DC54="","",'Raw Data'!DC54)</f>
        <v/>
      </c>
      <c r="DP33" s="15" t="str">
        <f>IF('Raw Data'!DD54="","",'Raw Data'!DD54)</f>
        <v/>
      </c>
      <c r="DQ33" s="15" t="str">
        <f>IF('Raw Data'!DE54="","",'Raw Data'!DE54)</f>
        <v/>
      </c>
      <c r="DR33" s="15" t="str">
        <f>IF('Raw Data'!DF54="","",'Raw Data'!DF54)</f>
        <v/>
      </c>
      <c r="DS33" s="15" t="str">
        <f>IF('Raw Data'!DG54="","",'Raw Data'!DG54)</f>
        <v/>
      </c>
      <c r="DT33" s="15" t="str">
        <f>IF('Raw Data'!DH54="","",'Raw Data'!DH54)</f>
        <v/>
      </c>
      <c r="DU33" s="15" t="str">
        <f>IF('Raw Data'!DI54="","",'Raw Data'!DI54)</f>
        <v/>
      </c>
      <c r="DV33" s="15" t="str">
        <f>IF('Raw Data'!DJ54="","",'Raw Data'!DJ54)</f>
        <v/>
      </c>
      <c r="DW33" s="15" t="str">
        <f>IF('Raw Data'!DK54="","",'Raw Data'!DK54)</f>
        <v/>
      </c>
      <c r="DX33" s="15" t="str">
        <f>IF('Raw Data'!DL54="","",'Raw Data'!DL54)</f>
        <v/>
      </c>
      <c r="DY33" s="15" t="str">
        <f>IF('Raw Data'!DM54="","",'Raw Data'!DM54)</f>
        <v/>
      </c>
      <c r="DZ33" s="15" t="str">
        <f>IF('Raw Data'!DN54="","",'Raw Data'!DN54)</f>
        <v/>
      </c>
      <c r="EA33" s="15" t="str">
        <f>IF('Raw Data'!DO54="","",'Raw Data'!DO54)</f>
        <v/>
      </c>
      <c r="EB33" s="15" t="str">
        <f>IF('Raw Data'!DP54="","",'Raw Data'!DP54)</f>
        <v/>
      </c>
      <c r="EC33" s="15" t="str">
        <f>IF('Raw Data'!DQ54="","",'Raw Data'!DQ54)</f>
        <v/>
      </c>
      <c r="ED33" s="15" t="str">
        <f>IF('Raw Data'!DR54="","",'Raw Data'!DR54)</f>
        <v/>
      </c>
      <c r="EE33" s="15" t="str">
        <f>IF('Raw Data'!DS54="","",'Raw Data'!DS54)</f>
        <v/>
      </c>
      <c r="EF33" s="15" t="str">
        <f>IF('Raw Data'!DT54="","",'Raw Data'!DT54)</f>
        <v/>
      </c>
      <c r="EG33" s="15" t="str">
        <f>IF('Raw Data'!DU54="","",'Raw Data'!DU54)</f>
        <v/>
      </c>
      <c r="EH33" s="15" t="str">
        <f>IF('Raw Data'!DV54="","",'Raw Data'!DV54)</f>
        <v/>
      </c>
      <c r="EI33" s="15" t="str">
        <f>IF('Raw Data'!DW54="","",'Raw Data'!DW54)</f>
        <v/>
      </c>
      <c r="EJ33" s="15" t="str">
        <f>IF('Raw Data'!DX54="","",'Raw Data'!DX54)</f>
        <v/>
      </c>
      <c r="EK33" s="15" t="str">
        <f>IF('Raw Data'!DY54="","",'Raw Data'!DY54)</f>
        <v/>
      </c>
      <c r="EL33" s="15" t="str">
        <f>IF('Raw Data'!DZ54="","",'Raw Data'!DZ54)</f>
        <v>dplct_abords_com</v>
      </c>
      <c r="EM33" s="15" t="str">
        <f>IF('Raw Data'!EA54="","",'Raw Data'!EA54)</f>
        <v>1</v>
      </c>
      <c r="EN33" s="15" t="str">
        <f>IF('Raw Data'!EB54="","",'Raw Data'!EB54)</f>
        <v>0</v>
      </c>
      <c r="EO33" s="15" t="str">
        <f>IF('Raw Data'!EC54="","",'Raw Data'!EC54)</f>
        <v>0</v>
      </c>
      <c r="EP33" s="15" t="str">
        <f>IF('Raw Data'!ED54="","",'Raw Data'!ED54)</f>
        <v>0</v>
      </c>
      <c r="EQ33" s="15" t="str">
        <f>IF('Raw Data'!EE54="","",'Raw Data'!EE54)</f>
        <v>0</v>
      </c>
      <c r="ER33" s="15" t="str">
        <f>IF('Raw Data'!EF54="","",'Raw Data'!EF54)</f>
        <v>0</v>
      </c>
      <c r="ES33" s="15" t="str">
        <f>IF('Raw Data'!EG54="","",'Raw Data'!EG54)</f>
        <v>0</v>
      </c>
      <c r="ET33" s="15" t="str">
        <f>IF('Raw Data'!EH54="","",'Raw Data'!EH54)</f>
        <v>0</v>
      </c>
      <c r="EU33" s="15" t="str">
        <f>IF('Raw Data'!EI54="","",'Raw Data'!EI54)</f>
        <v>0</v>
      </c>
      <c r="EV33" s="15" t="str">
        <f>IF('Raw Data'!EJ54="","",'Raw Data'!EJ54)</f>
        <v/>
      </c>
      <c r="EW33" s="15" t="str">
        <f>IF('Raw Data'!EK54="","",'Raw Data'!EK54)</f>
        <v/>
      </c>
      <c r="EX33" s="15" t="str">
        <f>IF('Raw Data'!EL54="","",'Raw Data'!EL54)</f>
        <v>comite_gestion_conflits femmes_elite</v>
      </c>
      <c r="EY33" s="15" t="str">
        <f>IF('Raw Data'!EM54="","",'Raw Data'!EM54)</f>
        <v>1</v>
      </c>
      <c r="EZ33" s="15" t="str">
        <f>IF('Raw Data'!EN54="","",'Raw Data'!EN54)</f>
        <v>0</v>
      </c>
      <c r="FA33" s="15" t="str">
        <f>IF('Raw Data'!EO54="","",'Raw Data'!EO54)</f>
        <v>0</v>
      </c>
      <c r="FB33" s="15" t="str">
        <f>IF('Raw Data'!EP54="","",'Raw Data'!EP54)</f>
        <v>0</v>
      </c>
      <c r="FC33" s="15" t="str">
        <f>IF('Raw Data'!EQ54="","",'Raw Data'!EQ54)</f>
        <v>0</v>
      </c>
      <c r="FD33" s="15" t="str">
        <f>IF('Raw Data'!ER54="","",'Raw Data'!ER54)</f>
        <v>1</v>
      </c>
      <c r="FE33" s="15" t="str">
        <f>IF('Raw Data'!ES54="","",'Raw Data'!ES54)</f>
        <v>0</v>
      </c>
      <c r="FF33" s="15" t="str">
        <f>IF('Raw Data'!ET54="","",'Raw Data'!ET54)</f>
        <v>0</v>
      </c>
      <c r="FG33" s="15" t="str">
        <f>IF('Raw Data'!EU54="","",'Raw Data'!EU54)</f>
        <v>0</v>
      </c>
      <c r="FH33" s="15" t="str">
        <f>IF('Raw Data'!EV54="","",'Raw Data'!EV54)</f>
        <v>0</v>
      </c>
      <c r="FI33" s="15" t="str">
        <f>IF('Raw Data'!EW54="","",'Raw Data'!EW54)</f>
        <v/>
      </c>
      <c r="FJ33" s="15" t="str">
        <f>IF('Raw Data'!EX54="","",'Raw Data'!EX54)</f>
        <v>oui</v>
      </c>
      <c r="FK33" s="31" t="s">
        <v>1069</v>
      </c>
      <c r="FL33" s="15" t="str">
        <f>IF('Raw Data'!EZ54="","",'Raw Data'!EZ54)</f>
        <v>0</v>
      </c>
      <c r="FM33" s="15" t="str">
        <f>IF('Raw Data'!FA54="","",'Raw Data'!FA54)</f>
        <v>0</v>
      </c>
      <c r="FN33" s="15" t="str">
        <f>IF('Raw Data'!FB54="","",'Raw Data'!FB54)</f>
        <v>0</v>
      </c>
      <c r="FO33" s="15" t="str">
        <f>IF('Raw Data'!FC54="","",'Raw Data'!FC54)</f>
        <v>0</v>
      </c>
      <c r="FP33" s="31">
        <v>1</v>
      </c>
      <c r="FQ33" s="15" t="str">
        <f>IF('Raw Data'!FE54="","",'Raw Data'!FE54)</f>
        <v>0</v>
      </c>
      <c r="FR33" s="15" t="str">
        <f>IF('Raw Data'!FF54="","",'Raw Data'!FF54)</f>
        <v>0</v>
      </c>
      <c r="FS33" s="15" t="str">
        <f>IF('Raw Data'!FG54="","",'Raw Data'!FG54)</f>
        <v>0</v>
      </c>
      <c r="FT33" s="15" t="str">
        <f>IF('Raw Data'!FH54="","",'Raw Data'!FH54)</f>
        <v>0</v>
      </c>
      <c r="FU33" s="15" t="str">
        <f>IF('Raw Data'!FI54="","",'Raw Data'!FI54)</f>
        <v>0</v>
      </c>
      <c r="FV33" s="15" t="str">
        <f>IF('Raw Data'!FJ54="","",'Raw Data'!FJ54)</f>
        <v>0</v>
      </c>
      <c r="FW33" s="15" t="str">
        <f>IF('Raw Data'!FK54="","",'Raw Data'!FK54)</f>
        <v>0</v>
      </c>
      <c r="FX33" s="31">
        <v>0</v>
      </c>
      <c r="FY33" s="15" t="str">
        <f>IF('Raw Data'!FM54="","",'Raw Data'!FM54)</f>
        <v>0</v>
      </c>
      <c r="FZ33" s="31"/>
      <c r="GA33" s="15" t="str">
        <f>IF('Raw Data'!FO54="","",'Raw Data'!FO54)</f>
        <v>non</v>
      </c>
      <c r="GB33" s="15" t="str">
        <f>IF('Raw Data'!FP54="","",'Raw Data'!FP54)</f>
        <v/>
      </c>
      <c r="GC33" s="15" t="str">
        <f>IF('Raw Data'!FQ54="","",'Raw Data'!FQ54)</f>
        <v/>
      </c>
      <c r="GD33" s="15" t="str">
        <f>IF('Raw Data'!FR54="","",'Raw Data'!FR54)</f>
        <v/>
      </c>
      <c r="GE33" s="15" t="str">
        <f>IF('Raw Data'!FS54="","",'Raw Data'!FS54)</f>
        <v/>
      </c>
      <c r="GF33" s="15" t="str">
        <f>IF('Raw Data'!FT54="","",'Raw Data'!FT54)</f>
        <v/>
      </c>
      <c r="GG33" s="15" t="str">
        <f>IF('Raw Data'!FU54="","",'Raw Data'!FU54)</f>
        <v/>
      </c>
      <c r="GH33" s="15" t="str">
        <f>IF('Raw Data'!FV54="","",'Raw Data'!FV54)</f>
        <v/>
      </c>
      <c r="GI33" s="15" t="str">
        <f>IF('Raw Data'!FW54="","",'Raw Data'!FW54)</f>
        <v/>
      </c>
      <c r="GJ33" s="15" t="str">
        <f>IF('Raw Data'!FX54="","",'Raw Data'!FX54)</f>
        <v/>
      </c>
      <c r="GK33" s="15" t="str">
        <f>IF('Raw Data'!FY54="","",'Raw Data'!FY54)</f>
        <v/>
      </c>
      <c r="GL33" s="15" t="str">
        <f>IF('Raw Data'!FZ54="","",'Raw Data'!FZ54)</f>
        <v/>
      </c>
      <c r="GM33" s="15" t="str">
        <f>IF('Raw Data'!GA54="","",'Raw Data'!GA54)</f>
        <v/>
      </c>
      <c r="GN33" s="15" t="str">
        <f>IF('Raw Data'!GB54="","",'Raw Data'!GB54)</f>
        <v/>
      </c>
      <c r="GO33" s="15" t="str">
        <f>IF('Raw Data'!GC54="","",'Raw Data'!GC54)</f>
        <v/>
      </c>
      <c r="GP33" s="15" t="str">
        <f>IF('Raw Data'!GD54="","",'Raw Data'!GD54)</f>
        <v/>
      </c>
      <c r="GQ33" s="15" t="str">
        <f>IF('Raw Data'!GE54="","",'Raw Data'!GE54)</f>
        <v/>
      </c>
      <c r="GR33" s="15" t="str">
        <f>IF('Raw Data'!GF54="","",'Raw Data'!GF54)</f>
        <v/>
      </c>
      <c r="GS33" s="15" t="str">
        <f>IF('Raw Data'!GG54="","",'Raw Data'!GG54)</f>
        <v/>
      </c>
      <c r="GT33" s="15" t="str">
        <f>IF('Raw Data'!GH54="","",'Raw Data'!GH54)</f>
        <v/>
      </c>
      <c r="GU33" s="15" t="str">
        <f>IF('Raw Data'!GI54="","",'Raw Data'!GI54)</f>
        <v/>
      </c>
      <c r="GV33" s="15" t="str">
        <f>IF('Raw Data'!GJ54="","",'Raw Data'!GJ54)</f>
        <v/>
      </c>
      <c r="GW33" s="15" t="str">
        <f>IF('Raw Data'!GK54="","",'Raw Data'!GK54)</f>
        <v/>
      </c>
      <c r="GX33" s="15" t="str">
        <f>IF('Raw Data'!GL54="","",'Raw Data'!GL54)</f>
        <v/>
      </c>
      <c r="GY33" s="15" t="str">
        <f>IF('Raw Data'!GM54="","",'Raw Data'!GM54)</f>
        <v/>
      </c>
      <c r="GZ33" s="15" t="str">
        <f>IF('Raw Data'!GN54="","",'Raw Data'!GN54)</f>
        <v>oui_majorite</v>
      </c>
      <c r="HA33" s="15" t="str">
        <f>IF('Raw Data'!GO54="","",'Raw Data'!GO54)</f>
        <v>oui_majorite</v>
      </c>
      <c r="HB33" s="15" t="str">
        <f>IF('Raw Data'!GP54="","",'Raw Data'!GP54)</f>
        <v>amelioration_futur</v>
      </c>
      <c r="HC33" s="15" t="str">
        <f>IF('Raw Data'!GQ54="","",'Raw Data'!GQ54)</f>
        <v>1</v>
      </c>
      <c r="HD33" s="15" t="str">
        <f>IF('Raw Data'!GR54="","",'Raw Data'!GR54)</f>
        <v>0</v>
      </c>
      <c r="HE33" s="15" t="str">
        <f>IF('Raw Data'!GS54="","",'Raw Data'!GS54)</f>
        <v>0</v>
      </c>
      <c r="HF33" s="15" t="str">
        <f>IF('Raw Data'!GT54="","",'Raw Data'!GT54)</f>
        <v>0</v>
      </c>
      <c r="HG33" s="15" t="str">
        <f>IF('Raw Data'!GU54="","",'Raw Data'!GU54)</f>
        <v>0</v>
      </c>
      <c r="HH33" s="15" t="str">
        <f>IF('Raw Data'!GV54="","",'Raw Data'!GV54)</f>
        <v>0</v>
      </c>
      <c r="HI33" s="15" t="str">
        <f>IF('Raw Data'!GW54="","",'Raw Data'!GW54)</f>
        <v>0</v>
      </c>
      <c r="HJ33" s="15" t="str">
        <f>IF('Raw Data'!GX54="","",'Raw Data'!GX54)</f>
        <v>0</v>
      </c>
      <c r="HK33" s="15" t="str">
        <f>IF('Raw Data'!GY54="","",'Raw Data'!GY54)</f>
        <v/>
      </c>
      <c r="HL33" s="15" t="str">
        <f>IF('Raw Data'!GZ54="","",'Raw Data'!GZ54)</f>
        <v>Autre</v>
      </c>
      <c r="HM33" s="15" t="str">
        <f>IF('Raw Data'!HA54="","",'Raw Data'!HA54)</f>
        <v>0</v>
      </c>
      <c r="HN33" s="15" t="str">
        <f>IF('Raw Data'!HB54="","",'Raw Data'!HB54)</f>
        <v>0</v>
      </c>
      <c r="HO33" s="15" t="str">
        <f>IF('Raw Data'!HC54="","",'Raw Data'!HC54)</f>
        <v>0</v>
      </c>
      <c r="HP33" s="15" t="str">
        <f>IF('Raw Data'!HD54="","",'Raw Data'!HD54)</f>
        <v>0</v>
      </c>
      <c r="HQ33" s="15" t="str">
        <f>IF('Raw Data'!HE54="","",'Raw Data'!HE54)</f>
        <v>1</v>
      </c>
      <c r="HR33" s="15" t="str">
        <f>IF('Raw Data'!HF54="","",'Raw Data'!HF54)</f>
        <v>0</v>
      </c>
      <c r="HS33" s="31" t="s">
        <v>1617</v>
      </c>
      <c r="HT33" s="15" t="str">
        <f>IF('Raw Data'!HH54="","",'Raw Data'!HH54)</f>
        <v/>
      </c>
      <c r="HU33" s="15" t="str">
        <f>IF('Raw Data'!HI54="","",'Raw Data'!HI54)</f>
        <v>non</v>
      </c>
      <c r="HV33" s="15" t="str">
        <f>IF('Raw Data'!HJ54="","",'Raw Data'!HJ54)</f>
        <v/>
      </c>
      <c r="HW33" s="15" t="str">
        <f>IF('Raw Data'!HK54="","",'Raw Data'!HK54)</f>
        <v/>
      </c>
      <c r="HX33" s="15" t="str">
        <f>IF('Raw Data'!HL54="","",'Raw Data'!HL54)</f>
        <v/>
      </c>
      <c r="HY33" s="15" t="str">
        <f>IF('Raw Data'!HM54="","",'Raw Data'!HM54)</f>
        <v/>
      </c>
      <c r="HZ33" s="15" t="str">
        <f>IF('Raw Data'!HN54="","",'Raw Data'!HN54)</f>
        <v/>
      </c>
      <c r="IA33" s="15" t="str">
        <f>IF('Raw Data'!HO54="","",'Raw Data'!HO54)</f>
        <v/>
      </c>
      <c r="IB33" s="15" t="str">
        <f>IF('Raw Data'!HP54="","",'Raw Data'!HP54)</f>
        <v/>
      </c>
      <c r="IC33" s="15" t="str">
        <f>IF('Raw Data'!HQ54="","",'Raw Data'!HQ54)</f>
        <v/>
      </c>
      <c r="ID33" s="15" t="str">
        <f>IF('Raw Data'!HR54="","",'Raw Data'!HR54)</f>
        <v/>
      </c>
      <c r="IE33" s="15" t="str">
        <f>IF('Raw Data'!HS54="","",'Raw Data'!HS54)</f>
        <v/>
      </c>
      <c r="IF33" s="15" t="str">
        <f>IF('Raw Data'!HT54="","",'Raw Data'!HT54)</f>
        <v/>
      </c>
      <c r="IG33" s="15" t="str">
        <f>IF('Raw Data'!HU54="","",'Raw Data'!HU54)</f>
        <v/>
      </c>
      <c r="IH33" s="15" t="str">
        <f>IF('Raw Data'!HV54="","",'Raw Data'!HV54)</f>
        <v>oui</v>
      </c>
      <c r="II33" s="15" t="str">
        <f>IF('Raw Data'!HW54="","",'Raw Data'!HW54)</f>
        <v/>
      </c>
      <c r="IJ33" s="15" t="str">
        <f>IF('Raw Data'!HX54="","",'Raw Data'!HX54)</f>
        <v/>
      </c>
      <c r="IK33" s="15" t="str">
        <f>IF('Raw Data'!HY54="","",'Raw Data'!HY54)</f>
        <v/>
      </c>
      <c r="IL33" s="15" t="str">
        <f>IF('Raw Data'!HZ54="","",'Raw Data'!HZ54)</f>
        <v/>
      </c>
      <c r="IM33" s="15" t="str">
        <f>IF('Raw Data'!IA54="","",'Raw Data'!IA54)</f>
        <v/>
      </c>
      <c r="IN33" s="15" t="str">
        <f>IF('Raw Data'!IB54="","",'Raw Data'!IB54)</f>
        <v/>
      </c>
      <c r="IO33" s="15" t="str">
        <f>IF('Raw Data'!IC54="","",'Raw Data'!IC54)</f>
        <v/>
      </c>
      <c r="IP33" s="15" t="str">
        <f>IF('Raw Data'!ID54="","",'Raw Data'!ID54)</f>
        <v/>
      </c>
      <c r="IQ33" s="15" t="str">
        <f>IF('Raw Data'!IE54="","",'Raw Data'!IE54)</f>
        <v/>
      </c>
      <c r="IR33" s="15" t="str">
        <f>IF('Raw Data'!IF54="","",'Raw Data'!IF54)</f>
        <v/>
      </c>
      <c r="IS33" s="15" t="str">
        <f>IF('Raw Data'!IG54="","",'Raw Data'!IG54)</f>
        <v/>
      </c>
      <c r="IT33" s="15" t="str">
        <f>IF('Raw Data'!IH54="","",'Raw Data'!IH54)</f>
        <v/>
      </c>
      <c r="IU33" s="15" t="str">
        <f>IF('Raw Data'!II54="","",'Raw Data'!II54)</f>
        <v/>
      </c>
      <c r="IV33" s="15" t="str">
        <f>IF('Raw Data'!IJ54="","",'Raw Data'!IJ54)</f>
        <v/>
      </c>
      <c r="IW33" s="15" t="str">
        <f>IF('Raw Data'!IK54="","",'Raw Data'!IK54)</f>
        <v/>
      </c>
      <c r="IX33" s="15" t="str">
        <f>IF('Raw Data'!IL54="","",'Raw Data'!IL54)</f>
        <v/>
      </c>
      <c r="IY33" s="15" t="str">
        <f>IF('Raw Data'!IM54="","",'Raw Data'!IM54)</f>
        <v/>
      </c>
      <c r="IZ33" s="31"/>
      <c r="JA33" s="31"/>
      <c r="JB33" s="31"/>
      <c r="JC33" s="31"/>
      <c r="JD33" s="31"/>
      <c r="JE33" s="31"/>
      <c r="JF33" s="31"/>
      <c r="JG33" s="31"/>
      <c r="JH33" s="31"/>
      <c r="JI33" s="31"/>
      <c r="JJ33" s="31"/>
      <c r="JK33" s="31"/>
      <c r="JL33" s="15" t="str">
        <f>IF('Raw Data'!IZ54="","",'Raw Data'!IZ54)</f>
        <v/>
      </c>
      <c r="JM33" s="31"/>
      <c r="JN33" s="31"/>
      <c r="JO33" s="31"/>
      <c r="JP33" s="31"/>
      <c r="JQ33" s="31"/>
      <c r="JR33" s="31"/>
      <c r="JS33" s="31"/>
      <c r="JT33" s="15" t="str">
        <f>IF('Raw Data'!JH54="","",'Raw Data'!JH54)</f>
        <v/>
      </c>
      <c r="JU33" s="15" t="str">
        <f>IF('Raw Data'!JI54="","",'Raw Data'!JI54)</f>
        <v/>
      </c>
      <c r="JV33" s="15" t="str">
        <f>IF('Raw Data'!JJ54="","",'Raw Data'!JJ54)</f>
        <v/>
      </c>
      <c r="JW33" s="15" t="str">
        <f>IF('Raw Data'!JK54="","",'Raw Data'!JK54)</f>
        <v/>
      </c>
      <c r="JX33" s="15" t="str">
        <f>IF('Raw Data'!JL54="","",'Raw Data'!JL54)</f>
        <v/>
      </c>
      <c r="JY33" s="15" t="str">
        <f>IF('Raw Data'!JM54="","",'Raw Data'!JM54)</f>
        <v/>
      </c>
      <c r="JZ33" s="15" t="str">
        <f>IF('Raw Data'!JN54="","",'Raw Data'!JN54)</f>
        <v/>
      </c>
      <c r="KA33" s="15" t="str">
        <f>IF('Raw Data'!JO54="","",'Raw Data'!JO54)</f>
        <v/>
      </c>
      <c r="KB33" s="15" t="str">
        <f>IF('Raw Data'!JP54="","",'Raw Data'!JP54)</f>
        <v/>
      </c>
      <c r="KC33" s="15" t="str">
        <f>IF('Raw Data'!JQ54="","",'Raw Data'!JQ54)</f>
        <v/>
      </c>
      <c r="KD33" s="15" t="str">
        <f>IF('Raw Data'!JR54="","",'Raw Data'!JR54)</f>
        <v/>
      </c>
      <c r="KE33" s="15" t="str">
        <f>IF('Raw Data'!JS54="","",'Raw Data'!JS54)</f>
        <v/>
      </c>
      <c r="KF33" s="31"/>
      <c r="KG33" s="31"/>
      <c r="KH33" s="31"/>
      <c r="KI33" s="31"/>
      <c r="KJ33" s="31"/>
      <c r="KK33" s="31"/>
      <c r="KL33" s="31"/>
      <c r="KM33" s="31"/>
      <c r="KN33" s="31"/>
      <c r="KO33" s="31"/>
      <c r="KP33" s="31"/>
      <c r="KQ33" s="15" t="str">
        <f>IF('Raw Data'!KE54="","",'Raw Data'!KE54)</f>
        <v/>
      </c>
      <c r="KR33" s="31"/>
      <c r="KS33" s="15" t="str">
        <f>IF('Raw Data'!KG54="","",'Raw Data'!KG54)</f>
        <v/>
      </c>
      <c r="KT33" s="15" t="str">
        <f>IF('Raw Data'!KH54="","",'Raw Data'!KH54)</f>
        <v/>
      </c>
      <c r="KU33" s="15" t="str">
        <f>IF('Raw Data'!KI54="","",'Raw Data'!KI54)</f>
        <v/>
      </c>
      <c r="KV33" s="15" t="str">
        <f>IF('Raw Data'!KJ54="","",'Raw Data'!KJ54)</f>
        <v/>
      </c>
      <c r="KW33" s="15" t="str">
        <f>IF('Raw Data'!KK54="","",'Raw Data'!KK54)</f>
        <v/>
      </c>
      <c r="KX33" s="15" t="str">
        <f>IF('Raw Data'!KL54="","",'Raw Data'!KL54)</f>
        <v/>
      </c>
      <c r="KY33" s="15" t="str">
        <f>IF('Raw Data'!KM54="","",'Raw Data'!KM54)</f>
        <v/>
      </c>
      <c r="KZ33" s="15" t="str">
        <f>IF('Raw Data'!KN54="","",'Raw Data'!KN54)</f>
        <v/>
      </c>
      <c r="LA33" s="15" t="str">
        <f>IF('Raw Data'!KO54="","",'Raw Data'!KO54)</f>
        <v/>
      </c>
      <c r="LB33" s="15" t="str">
        <f>IF('Raw Data'!KP54="","",'Raw Data'!KP54)</f>
        <v/>
      </c>
      <c r="LC33" s="15" t="str">
        <f>IF('Raw Data'!KQ54="","",'Raw Data'!KQ54)</f>
        <v/>
      </c>
      <c r="LD33" s="15" t="str">
        <f>IF('Raw Data'!KR54="","",'Raw Data'!KR54)</f>
        <v/>
      </c>
      <c r="LE33" s="15" t="str">
        <f>IF('Raw Data'!KS54="","",'Raw Data'!KS54)</f>
        <v/>
      </c>
      <c r="LF33" s="15" t="str">
        <f>IF('Raw Data'!KT54="","",'Raw Data'!KT54)</f>
        <v/>
      </c>
      <c r="LG33" s="15" t="str">
        <f>IF('Raw Data'!KU54="","",'Raw Data'!KU54)</f>
        <v/>
      </c>
      <c r="LH33" s="15" t="str">
        <f>IF('Raw Data'!KV54="","",'Raw Data'!KV54)</f>
        <v/>
      </c>
      <c r="LI33" s="15" t="str">
        <f>IF('Raw Data'!KW54="","",'Raw Data'!KW54)</f>
        <v/>
      </c>
      <c r="LJ33" s="15" t="str">
        <f>IF('Raw Data'!KX54="","",'Raw Data'!KX54)</f>
        <v/>
      </c>
      <c r="LK33" s="15" t="str">
        <f>IF('Raw Data'!KY54="","",'Raw Data'!KY54)</f>
        <v/>
      </c>
      <c r="LL33" s="15" t="str">
        <f>IF('Raw Data'!KZ54="","",'Raw Data'!KZ54)</f>
        <v/>
      </c>
      <c r="LM33" s="15" t="str">
        <f>IF('Raw Data'!LA54="","",'Raw Data'!LA54)</f>
        <v/>
      </c>
      <c r="LN33" s="31"/>
      <c r="LO33" s="15" t="str">
        <f>IF('Raw Data'!LC54="","",'Raw Data'!LC54)</f>
        <v/>
      </c>
      <c r="LP33" s="15" t="str">
        <f>IF('Raw Data'!LD54="","",'Raw Data'!LD54)</f>
        <v/>
      </c>
      <c r="LQ33" s="15" t="str">
        <f>IF('Raw Data'!LE54="","",'Raw Data'!LE54)</f>
        <v/>
      </c>
      <c r="LR33" s="15" t="str">
        <f>IF('Raw Data'!LF54="","",'Raw Data'!LF54)</f>
        <v/>
      </c>
      <c r="LS33" s="15" t="str">
        <f>IF('Raw Data'!LG54="","",'Raw Data'!LG54)</f>
        <v/>
      </c>
      <c r="LT33" s="15" t="str">
        <f>IF('Raw Data'!LH54="","",'Raw Data'!LH54)</f>
        <v/>
      </c>
      <c r="LU33" s="15" t="str">
        <f>IF('Raw Data'!LI54="","",'Raw Data'!LI54)</f>
        <v/>
      </c>
      <c r="LV33" s="15" t="str">
        <f>IF('Raw Data'!LJ54="","",'Raw Data'!LJ54)</f>
        <v/>
      </c>
      <c r="LW33" s="15" t="str">
        <f>IF('Raw Data'!LK54="","",'Raw Data'!LK54)</f>
        <v/>
      </c>
      <c r="LX33" s="15" t="str">
        <f>IF('Raw Data'!LL54="","",'Raw Data'!LL54)</f>
        <v/>
      </c>
      <c r="LY33" s="15" t="str">
        <f>IF('Raw Data'!LM54="","",'Raw Data'!LM54)</f>
        <v/>
      </c>
      <c r="LZ33" s="15" t="str">
        <f>IF('Raw Data'!LN54="","",'Raw Data'!LN54)</f>
        <v/>
      </c>
      <c r="MA33" s="15" t="str">
        <f>IF('Raw Data'!LO54="","",'Raw Data'!LO54)</f>
        <v/>
      </c>
      <c r="MB33" s="15" t="str">
        <f>IF('Raw Data'!LP54="","",'Raw Data'!LP54)</f>
        <v>oui</v>
      </c>
      <c r="MC33" s="15" t="str">
        <f>IF('Raw Data'!LQ54="","",'Raw Data'!LQ54)</f>
        <v/>
      </c>
      <c r="MD33" s="15" t="str">
        <f>IF('Raw Data'!LR54="","",'Raw Data'!LR54)</f>
        <v xml:space="preserve">On veux que nôtre situation s'améliore,en ayant un système de santé et que la paix continue régner dans nos vies </v>
      </c>
      <c r="ME33" s="15">
        <f>IF('Raw Data'!LS54="","",'Raw Data'!LS54)</f>
        <v>170484797</v>
      </c>
      <c r="MF33" s="15" t="str">
        <f>IF('Raw Data'!LT54="","",'Raw Data'!LT54)</f>
        <v>f3de914f-450a-4b12-8fe5-8d968cc0c934</v>
      </c>
      <c r="MG33" s="15" t="str">
        <f>IF('Raw Data'!LU54="","",'Raw Data'!LU54)</f>
        <v>2021-04-08T15:57:32</v>
      </c>
      <c r="MH33" s="15" t="str">
        <f>IF('Raw Data'!LV54="","",'Raw Data'!LV54)</f>
        <v/>
      </c>
      <c r="MI33" s="15" t="str">
        <f>IF('Raw Data'!LW54="","",'Raw Data'!LW54)</f>
        <v>[]</v>
      </c>
      <c r="MJ33" s="15" t="str">
        <f>IF('Raw Data'!LX54="","",'Raw Data'!LX54)</f>
        <v>submitted_via_web</v>
      </c>
      <c r="MK33" s="15" t="str">
        <f>IF('Raw Data'!LY54="","",'Raw Data'!LY54)</f>
        <v>reach_niger</v>
      </c>
      <c r="ML33" s="15" t="str">
        <f>IF('Raw Data'!LZ54="","",'Raw Data'!LZ54)</f>
        <v/>
      </c>
      <c r="MM33" s="15">
        <f>IF('Raw Data'!MA54="","",'Raw Data'!MA54)</f>
        <v>58</v>
      </c>
    </row>
    <row r="34" spans="1:351" x14ac:dyDescent="0.3">
      <c r="A34" s="26" t="str">
        <f t="shared" ref="A34:A69" si="4">MF34</f>
        <v>fdc5f96a-5e0e-457b-aac1-055744328877</v>
      </c>
      <c r="B34" s="26" t="str">
        <f t="shared" ref="B34:B69" si="5">T34</f>
        <v>ouallam</v>
      </c>
      <c r="C34" s="26" t="str">
        <f t="shared" ref="C34:C69" si="6">Q34</f>
        <v>H</v>
      </c>
      <c r="D34" s="14" t="str">
        <f>IF('Raw Data'!A46="","",'Raw Data'!A46)</f>
        <v>2021-04-06T16:09:06.284+01:00</v>
      </c>
      <c r="E34" s="14" t="str">
        <f>IF('Raw Data'!B46="","",'Raw Data'!B46)</f>
        <v>2021-04-06T16:56:56.347+01:00</v>
      </c>
      <c r="F34" s="30">
        <v>44292.672986111109</v>
      </c>
      <c r="G34" s="30">
        <v>44292.706203703703</v>
      </c>
      <c r="H34" s="29">
        <f>VLOOKUP(A34,Audit[#All],2,FALSE)</f>
        <v>47.84</v>
      </c>
      <c r="I34" s="29">
        <f>VLOOKUP(A34,Audit[#All],3,FALSE)</f>
        <v>47.76</v>
      </c>
      <c r="J34" s="29">
        <f>VLOOKUP(A34,Audit[#All],4,FALSE)</f>
        <v>45.57</v>
      </c>
      <c r="K34" s="29">
        <f>VLOOKUP(A34,nb_questions[#All],2,FALSE)</f>
        <v>82</v>
      </c>
      <c r="L34" s="29">
        <f t="shared" ref="L34:L69" si="7">COUNTBLANK(AS34:MD34)</f>
        <v>179</v>
      </c>
      <c r="M34" s="14" t="str">
        <f>IF('Raw Data'!C46="","",'Raw Data'!C46)</f>
        <v>2021-04-06</v>
      </c>
      <c r="N34" s="14" t="str">
        <f>IF('Raw Data'!D46="","",'Raw Data'!D46)</f>
        <v/>
      </c>
      <c r="O34" s="14" t="str">
        <f>IF('Raw Data'!E46="","",'Raw Data'!E46)</f>
        <v/>
      </c>
      <c r="P34" s="29" t="str">
        <f>VLOOKUP(A34,code_enqueteurs[#All],3,FALSE)</f>
        <v>H</v>
      </c>
      <c r="Q34" s="29" t="s">
        <v>1652</v>
      </c>
      <c r="R34" s="14" t="str">
        <f>IF('Raw Data'!F46="","",'Raw Data'!F46)</f>
        <v>Homme</v>
      </c>
      <c r="S34" s="15" t="str">
        <f>IF('Raw Data'!G46="","",'Raw Data'!G46)</f>
        <v>ouallam</v>
      </c>
      <c r="T34" s="15" t="str">
        <f>IF('Raw Data'!H46="","",'Raw Data'!H46)</f>
        <v>ouallam</v>
      </c>
      <c r="U34" s="15" t="str">
        <f>IF('Raw Data'!I46="","",'Raw Data'!I46)</f>
        <v>ouallam_ref</v>
      </c>
      <c r="V34" s="15" t="str">
        <f>IF('Raw Data'!J46="","",'Raw Data'!J46)</f>
        <v/>
      </c>
      <c r="W34" s="15" t="str">
        <f>IF('Raw Data'!K46="","",'Raw Data'!K46)</f>
        <v/>
      </c>
      <c r="X34" s="15" t="str">
        <f>IF('Raw Data'!L46="","",'Raw Data'!L46)</f>
        <v/>
      </c>
      <c r="Y34" s="15" t="str">
        <f>IF('Raw Data'!M46="","",'Raw Data'!M46)</f>
        <v/>
      </c>
      <c r="Z34" s="15" t="str">
        <f>IF('Raw Data'!N46="","",'Raw Data'!N46)</f>
        <v/>
      </c>
      <c r="AA34" s="15" t="str">
        <f>IF('Raw Data'!O46="","",'Raw Data'!O46)</f>
        <v/>
      </c>
      <c r="AB34" s="15" t="str">
        <f>IF('Raw Data'!P46="","",'Raw Data'!P46)</f>
        <v/>
      </c>
      <c r="AC34" s="15" t="str">
        <f>IF('Raw Data'!Q46="","",'Raw Data'!Q46)</f>
        <v/>
      </c>
      <c r="AD34" s="15" t="str">
        <f>IF('Raw Data'!R46="","",'Raw Data'!R46)</f>
        <v>Homme</v>
      </c>
      <c r="AE34" s="15" t="str">
        <f>IF('Raw Data'!S46="","",'Raw Data'!S46)</f>
        <v>51</v>
      </c>
      <c r="AF34" s="15" t="str">
        <f>IF('Raw Data'!T46="","",'Raw Data'!T46)</f>
        <v>refugie</v>
      </c>
      <c r="AG34" s="15" t="str">
        <f>IF('Raw Data'!U46="","",'Raw Data'!U46)</f>
        <v/>
      </c>
      <c r="AH34" s="15" t="str">
        <f>IF('Raw Data'!V46="","",'Raw Data'!V46)</f>
        <v/>
      </c>
      <c r="AI34" s="15" t="str">
        <f>IF('Raw Data'!W46="","",'Raw Data'!W46)</f>
        <v/>
      </c>
      <c r="AJ34" s="15" t="str">
        <f>IF('Raw Data'!X46="","",'Raw Data'!X46)</f>
        <v/>
      </c>
      <c r="AK34" s="15" t="str">
        <f>IF('Raw Data'!Y46="","",'Raw Data'!Y46)</f>
        <v/>
      </c>
      <c r="AL34" s="15" t="str">
        <f>IF('Raw Data'!Z46="","",'Raw Data'!Z46)</f>
        <v>mali</v>
      </c>
      <c r="AM34" s="15" t="str">
        <f>IF('Raw Data'!AA46="","",'Raw Data'!AA46)</f>
        <v>menaka</v>
      </c>
      <c r="AN34" s="15" t="str">
        <f>IF('Raw Data'!AB46="","",'Raw Data'!AB46)</f>
        <v>menaka</v>
      </c>
      <c r="AO34" s="15" t="str">
        <f>IF('Raw Data'!AC46="","",'Raw Data'!AC46)</f>
        <v/>
      </c>
      <c r="AP34" s="15" t="str">
        <f>IF('Raw Data'!AD46="","",'Raw Data'!AD46)</f>
        <v/>
      </c>
      <c r="AQ34" s="15" t="str">
        <f>IF('Raw Data'!AE46="","",'Raw Data'!AE46)</f>
        <v/>
      </c>
      <c r="AR34" s="15" t="str">
        <f>IF('Raw Data'!AF46="","",'Raw Data'!AF46)</f>
        <v/>
      </c>
      <c r="AS34" s="15" t="str">
        <f>IF('Raw Data'!AG46="","",'Raw Data'!AG46)</f>
        <v>non</v>
      </c>
      <c r="AT34" s="15" t="str">
        <f>IF('Raw Data'!AH46="","",'Raw Data'!AH46)</f>
        <v/>
      </c>
      <c r="AU34" s="15" t="str">
        <f>IF('Raw Data'!AI46="","",'Raw Data'!AI46)</f>
        <v/>
      </c>
      <c r="AV34" s="15" t="str">
        <f>IF('Raw Data'!AJ46="","",'Raw Data'!AJ46)</f>
        <v/>
      </c>
      <c r="AW34" s="15" t="str">
        <f>IF('Raw Data'!AK46="","",'Raw Data'!AK46)</f>
        <v/>
      </c>
      <c r="AX34" s="15" t="str">
        <f>IF('Raw Data'!AL46="","",'Raw Data'!AL46)</f>
        <v/>
      </c>
      <c r="AY34" s="15" t="str">
        <f>IF('Raw Data'!AM46="","",'Raw Data'!AM46)</f>
        <v/>
      </c>
      <c r="AZ34" s="15" t="str">
        <f>IF('Raw Data'!AN46="","",'Raw Data'!AN46)</f>
        <v/>
      </c>
      <c r="BA34" s="15" t="str">
        <f>IF('Raw Data'!AO46="","",'Raw Data'!AO46)</f>
        <v/>
      </c>
      <c r="BB34" s="15" t="str">
        <f>IF('Raw Data'!AP46="","",'Raw Data'!AP46)</f>
        <v/>
      </c>
      <c r="BC34" s="15" t="str">
        <f>IF('Raw Data'!AQ46="","",'Raw Data'!AQ46)</f>
        <v/>
      </c>
      <c r="BD34" s="15" t="str">
        <f>IF('Raw Data'!AR46="","",'Raw Data'!AR46)</f>
        <v/>
      </c>
      <c r="BE34" s="15" t="str">
        <f>IF('Raw Data'!AS46="","",'Raw Data'!AS46)</f>
        <v/>
      </c>
      <c r="BF34" s="15" t="str">
        <f>IF('Raw Data'!AT46="","",'Raw Data'!AT46)</f>
        <v/>
      </c>
      <c r="BG34" s="15" t="str">
        <f>IF('Raw Data'!AU46="","",'Raw Data'!AU46)</f>
        <v/>
      </c>
      <c r="BH34" s="15" t="str">
        <f>IF('Raw Data'!AV46="","",'Raw Data'!AV46)</f>
        <v/>
      </c>
      <c r="BI34" s="15" t="str">
        <f>IF('Raw Data'!AW46="","",'Raw Data'!AW46)</f>
        <v/>
      </c>
      <c r="BJ34" s="15" t="str">
        <f>IF('Raw Data'!AX46="","",'Raw Data'!AX46)</f>
        <v/>
      </c>
      <c r="BK34" s="15" t="str">
        <f>IF('Raw Data'!AY46="","",'Raw Data'!AY46)</f>
        <v/>
      </c>
      <c r="BL34" s="15" t="str">
        <f>IF('Raw Data'!AZ46="","",'Raw Data'!AZ46)</f>
        <v/>
      </c>
      <c r="BM34" s="15" t="str">
        <f>IF('Raw Data'!BA46="","",'Raw Data'!BA46)</f>
        <v/>
      </c>
      <c r="BN34" s="15" t="str">
        <f>IF('Raw Data'!BB46="","",'Raw Data'!BB46)</f>
        <v/>
      </c>
      <c r="BO34" s="15" t="str">
        <f>IF('Raw Data'!BC46="","",'Raw Data'!BC46)</f>
        <v/>
      </c>
      <c r="BP34" s="15" t="str">
        <f>IF('Raw Data'!BD46="","",'Raw Data'!BD46)</f>
        <v/>
      </c>
      <c r="BQ34" s="15" t="str">
        <f>IF('Raw Data'!BE46="","",'Raw Data'!BE46)</f>
        <v/>
      </c>
      <c r="BR34" s="15" t="str">
        <f>IF('Raw Data'!BF46="","",'Raw Data'!BF46)</f>
        <v/>
      </c>
      <c r="BS34" s="15" t="str">
        <f>IF('Raw Data'!BG46="","",'Raw Data'!BG46)</f>
        <v/>
      </c>
      <c r="BT34" s="15" t="str">
        <f>IF('Raw Data'!BH46="","",'Raw Data'!BH46)</f>
        <v/>
      </c>
      <c r="BU34" s="15" t="str">
        <f>IF('Raw Data'!BI46="","",'Raw Data'!BI46)</f>
        <v/>
      </c>
      <c r="BV34" s="15" t="str">
        <f>IF('Raw Data'!BJ46="","",'Raw Data'!BJ46)</f>
        <v/>
      </c>
      <c r="BW34" s="15" t="str">
        <f>IF('Raw Data'!BK46="","",'Raw Data'!BK46)</f>
        <v/>
      </c>
      <c r="BX34" s="15" t="str">
        <f>IF('Raw Data'!BL46="","",'Raw Data'!BL46)</f>
        <v/>
      </c>
      <c r="BY34" s="15" t="str">
        <f>IF('Raw Data'!BM46="","",'Raw Data'!BM46)</f>
        <v/>
      </c>
      <c r="BZ34" s="15" t="str">
        <f>IF('Raw Data'!BN46="","",'Raw Data'!BN46)</f>
        <v/>
      </c>
      <c r="CA34" s="15" t="str">
        <f>IF('Raw Data'!BO46="","",'Raw Data'!BO46)</f>
        <v/>
      </c>
      <c r="CB34" s="15" t="str">
        <f>IF('Raw Data'!BP46="","",'Raw Data'!BP46)</f>
        <v/>
      </c>
      <c r="CC34" s="15" t="str">
        <f>IF('Raw Data'!BQ46="","",'Raw Data'!BQ46)</f>
        <v>non</v>
      </c>
      <c r="CD34" s="15" t="str">
        <f>IF('Raw Data'!BR46="","",'Raw Data'!BR46)</f>
        <v/>
      </c>
      <c r="CE34" s="15" t="str">
        <f>IF('Raw Data'!BS46="","",'Raw Data'!BS46)</f>
        <v/>
      </c>
      <c r="CF34" s="15" t="str">
        <f>IF('Raw Data'!BT46="","",'Raw Data'!BT46)</f>
        <v/>
      </c>
      <c r="CG34" s="15" t="str">
        <f>IF('Raw Data'!BU46="","",'Raw Data'!BU46)</f>
        <v/>
      </c>
      <c r="CH34" s="15" t="str">
        <f>IF('Raw Data'!BV46="","",'Raw Data'!BV46)</f>
        <v/>
      </c>
      <c r="CI34" s="15" t="str">
        <f>IF('Raw Data'!BW46="","",'Raw Data'!BW46)</f>
        <v/>
      </c>
      <c r="CJ34" s="15" t="str">
        <f>IF('Raw Data'!BX46="","",'Raw Data'!BX46)</f>
        <v/>
      </c>
      <c r="CK34" s="15" t="str">
        <f>IF('Raw Data'!BY46="","",'Raw Data'!BY46)</f>
        <v/>
      </c>
      <c r="CL34" s="15" t="str">
        <f>IF('Raw Data'!BZ46="","",'Raw Data'!BZ46)</f>
        <v/>
      </c>
      <c r="CM34" s="15" t="str">
        <f>IF('Raw Data'!CA46="","",'Raw Data'!CA46)</f>
        <v/>
      </c>
      <c r="CN34" s="15" t="str">
        <f>IF('Raw Data'!CB46="","",'Raw Data'!CB46)</f>
        <v/>
      </c>
      <c r="CO34" s="15" t="str">
        <f>IF('Raw Data'!CC46="","",'Raw Data'!CC46)</f>
        <v/>
      </c>
      <c r="CP34" s="15" t="str">
        <f>IF('Raw Data'!CD46="","",'Raw Data'!CD46)</f>
        <v/>
      </c>
      <c r="CQ34" s="15" t="str">
        <f>IF('Raw Data'!CE46="","",'Raw Data'!CE46)</f>
        <v/>
      </c>
      <c r="CR34" s="15" t="str">
        <f>IF('Raw Data'!CF46="","",'Raw Data'!CF46)</f>
        <v/>
      </c>
      <c r="CS34" s="15" t="str">
        <f>IF('Raw Data'!CG46="","",'Raw Data'!CG46)</f>
        <v/>
      </c>
      <c r="CT34" s="15" t="str">
        <f>IF('Raw Data'!CH46="","",'Raw Data'!CH46)</f>
        <v/>
      </c>
      <c r="CU34" s="15" t="str">
        <f>IF('Raw Data'!CI46="","",'Raw Data'!CI46)</f>
        <v/>
      </c>
      <c r="CV34" s="15" t="str">
        <f>IF('Raw Data'!CJ46="","",'Raw Data'!CJ46)</f>
        <v/>
      </c>
      <c r="CW34" s="15" t="str">
        <f>IF('Raw Data'!CK46="","",'Raw Data'!CK46)</f>
        <v/>
      </c>
      <c r="CX34" s="15" t="str">
        <f>IF('Raw Data'!CL46="","",'Raw Data'!CL46)</f>
        <v/>
      </c>
      <c r="CY34" s="15" t="str">
        <f>IF('Raw Data'!CM46="","",'Raw Data'!CM46)</f>
        <v/>
      </c>
      <c r="CZ34" s="15" t="str">
        <f>IF('Raw Data'!CN46="","",'Raw Data'!CN46)</f>
        <v/>
      </c>
      <c r="DA34" s="15" t="str">
        <f>IF('Raw Data'!CO46="","",'Raw Data'!CO46)</f>
        <v/>
      </c>
      <c r="DB34" s="15" t="str">
        <f>IF('Raw Data'!CP46="","",'Raw Data'!CP46)</f>
        <v/>
      </c>
      <c r="DC34" s="15" t="str">
        <f>IF('Raw Data'!CQ46="","",'Raw Data'!CQ46)</f>
        <v/>
      </c>
      <c r="DD34" s="15" t="str">
        <f>IF('Raw Data'!CR46="","",'Raw Data'!CR46)</f>
        <v/>
      </c>
      <c r="DE34" s="15" t="str">
        <f>IF('Raw Data'!CS46="","",'Raw Data'!CS46)</f>
        <v/>
      </c>
      <c r="DF34" s="15" t="str">
        <f>IF('Raw Data'!CT46="","",'Raw Data'!CT46)</f>
        <v/>
      </c>
      <c r="DG34" s="15" t="str">
        <f>IF('Raw Data'!CU46="","",'Raw Data'!CU46)</f>
        <v/>
      </c>
      <c r="DH34" s="15" t="str">
        <f>IF('Raw Data'!CV46="","",'Raw Data'!CV46)</f>
        <v/>
      </c>
      <c r="DI34" s="15" t="str">
        <f>IF('Raw Data'!CW46="","",'Raw Data'!CW46)</f>
        <v/>
      </c>
      <c r="DJ34" s="15" t="str">
        <f>IF('Raw Data'!CX46="","",'Raw Data'!CX46)</f>
        <v/>
      </c>
      <c r="DK34" s="15" t="str">
        <f>IF('Raw Data'!CY46="","",'Raw Data'!CY46)</f>
        <v/>
      </c>
      <c r="DL34" s="15" t="str">
        <f>IF('Raw Data'!CZ46="","",'Raw Data'!CZ46)</f>
        <v/>
      </c>
      <c r="DM34" s="15" t="str">
        <f>IF('Raw Data'!DA46="","",'Raw Data'!DA46)</f>
        <v/>
      </c>
      <c r="DN34" s="15" t="str">
        <f>IF('Raw Data'!DB46="","",'Raw Data'!DB46)</f>
        <v/>
      </c>
      <c r="DO34" s="15" t="str">
        <f>IF('Raw Data'!DC46="","",'Raw Data'!DC46)</f>
        <v/>
      </c>
      <c r="DP34" s="15" t="str">
        <f>IF('Raw Data'!DD46="","",'Raw Data'!DD46)</f>
        <v/>
      </c>
      <c r="DQ34" s="15" t="str">
        <f>IF('Raw Data'!DE46="","",'Raw Data'!DE46)</f>
        <v/>
      </c>
      <c r="DR34" s="15" t="str">
        <f>IF('Raw Data'!DF46="","",'Raw Data'!DF46)</f>
        <v/>
      </c>
      <c r="DS34" s="15" t="str">
        <f>IF('Raw Data'!DG46="","",'Raw Data'!DG46)</f>
        <v/>
      </c>
      <c r="DT34" s="15" t="str">
        <f>IF('Raw Data'!DH46="","",'Raw Data'!DH46)</f>
        <v/>
      </c>
      <c r="DU34" s="15" t="str">
        <f>IF('Raw Data'!DI46="","",'Raw Data'!DI46)</f>
        <v/>
      </c>
      <c r="DV34" s="15" t="str">
        <f>IF('Raw Data'!DJ46="","",'Raw Data'!DJ46)</f>
        <v/>
      </c>
      <c r="DW34" s="15" t="str">
        <f>IF('Raw Data'!DK46="","",'Raw Data'!DK46)</f>
        <v/>
      </c>
      <c r="DX34" s="15" t="str">
        <f>IF('Raw Data'!DL46="","",'Raw Data'!DL46)</f>
        <v/>
      </c>
      <c r="DY34" s="15" t="str">
        <f>IF('Raw Data'!DM46="","",'Raw Data'!DM46)</f>
        <v/>
      </c>
      <c r="DZ34" s="15" t="str">
        <f>IF('Raw Data'!DN46="","",'Raw Data'!DN46)</f>
        <v/>
      </c>
      <c r="EA34" s="15" t="str">
        <f>IF('Raw Data'!DO46="","",'Raw Data'!DO46)</f>
        <v/>
      </c>
      <c r="EB34" s="15" t="str">
        <f>IF('Raw Data'!DP46="","",'Raw Data'!DP46)</f>
        <v/>
      </c>
      <c r="EC34" s="15" t="str">
        <f>IF('Raw Data'!DQ46="","",'Raw Data'!DQ46)</f>
        <v/>
      </c>
      <c r="ED34" s="15" t="str">
        <f>IF('Raw Data'!DR46="","",'Raw Data'!DR46)</f>
        <v/>
      </c>
      <c r="EE34" s="15" t="str">
        <f>IF('Raw Data'!DS46="","",'Raw Data'!DS46)</f>
        <v/>
      </c>
      <c r="EF34" s="15" t="str">
        <f>IF('Raw Data'!DT46="","",'Raw Data'!DT46)</f>
        <v/>
      </c>
      <c r="EG34" s="15" t="str">
        <f>IF('Raw Data'!DU46="","",'Raw Data'!DU46)</f>
        <v/>
      </c>
      <c r="EH34" s="15" t="str">
        <f>IF('Raw Data'!DV46="","",'Raw Data'!DV46)</f>
        <v/>
      </c>
      <c r="EI34" s="15" t="str">
        <f>IF('Raw Data'!DW46="","",'Raw Data'!DW46)</f>
        <v/>
      </c>
      <c r="EJ34" s="15" t="str">
        <f>IF('Raw Data'!DX46="","",'Raw Data'!DX46)</f>
        <v/>
      </c>
      <c r="EK34" s="15" t="str">
        <f>IF('Raw Data'!DY46="","",'Raw Data'!DY46)</f>
        <v/>
      </c>
      <c r="EL34" s="15" t="str">
        <f>IF('Raw Data'!DZ46="","",'Raw Data'!DZ46)</f>
        <v>dplct_abords_com</v>
      </c>
      <c r="EM34" s="15" t="str">
        <f>IF('Raw Data'!EA46="","",'Raw Data'!EA46)</f>
        <v>1</v>
      </c>
      <c r="EN34" s="15" t="str">
        <f>IF('Raw Data'!EB46="","",'Raw Data'!EB46)</f>
        <v>0</v>
      </c>
      <c r="EO34" s="15" t="str">
        <f>IF('Raw Data'!EC46="","",'Raw Data'!EC46)</f>
        <v>0</v>
      </c>
      <c r="EP34" s="15" t="str">
        <f>IF('Raw Data'!ED46="","",'Raw Data'!ED46)</f>
        <v>0</v>
      </c>
      <c r="EQ34" s="15" t="str">
        <f>IF('Raw Data'!EE46="","",'Raw Data'!EE46)</f>
        <v>0</v>
      </c>
      <c r="ER34" s="15" t="str">
        <f>IF('Raw Data'!EF46="","",'Raw Data'!EF46)</f>
        <v>0</v>
      </c>
      <c r="ES34" s="15" t="str">
        <f>IF('Raw Data'!EG46="","",'Raw Data'!EG46)</f>
        <v>0</v>
      </c>
      <c r="ET34" s="15" t="str">
        <f>IF('Raw Data'!EH46="","",'Raw Data'!EH46)</f>
        <v>0</v>
      </c>
      <c r="EU34" s="15" t="str">
        <f>IF('Raw Data'!EI46="","",'Raw Data'!EI46)</f>
        <v>0</v>
      </c>
      <c r="EV34" s="15" t="str">
        <f>IF('Raw Data'!EJ46="","",'Raw Data'!EJ46)</f>
        <v/>
      </c>
      <c r="EW34" s="15" t="str">
        <f>IF('Raw Data'!EK46="","",'Raw Data'!EK46)</f>
        <v/>
      </c>
      <c r="EX34" s="15" t="str">
        <f>IF('Raw Data'!EL46="","",'Raw Data'!EL46)</f>
        <v>femmes_elite enfant_pairs comite_gestion_conflits comite_protection</v>
      </c>
      <c r="EY34" s="15" t="str">
        <f>IF('Raw Data'!EM46="","",'Raw Data'!EM46)</f>
        <v>1</v>
      </c>
      <c r="EZ34" s="15" t="str">
        <f>IF('Raw Data'!EN46="","",'Raw Data'!EN46)</f>
        <v>1</v>
      </c>
      <c r="FA34" s="15" t="str">
        <f>IF('Raw Data'!EO46="","",'Raw Data'!EO46)</f>
        <v>0</v>
      </c>
      <c r="FB34" s="15" t="str">
        <f>IF('Raw Data'!EP46="","",'Raw Data'!EP46)</f>
        <v>0</v>
      </c>
      <c r="FC34" s="15" t="str">
        <f>IF('Raw Data'!EQ46="","",'Raw Data'!EQ46)</f>
        <v>0</v>
      </c>
      <c r="FD34" s="15" t="str">
        <f>IF('Raw Data'!ER46="","",'Raw Data'!ER46)</f>
        <v>1</v>
      </c>
      <c r="FE34" s="15" t="str">
        <f>IF('Raw Data'!ES46="","",'Raw Data'!ES46)</f>
        <v>1</v>
      </c>
      <c r="FF34" s="15" t="str">
        <f>IF('Raw Data'!ET46="","",'Raw Data'!ET46)</f>
        <v>0</v>
      </c>
      <c r="FG34" s="15" t="str">
        <f>IF('Raw Data'!EU46="","",'Raw Data'!EU46)</f>
        <v>0</v>
      </c>
      <c r="FH34" s="15" t="str">
        <f>IF('Raw Data'!EV46="","",'Raw Data'!EV46)</f>
        <v>0</v>
      </c>
      <c r="FI34" s="15" t="str">
        <f>IF('Raw Data'!EW46="","",'Raw Data'!EW46)</f>
        <v/>
      </c>
      <c r="FJ34" s="15" t="str">
        <f>IF('Raw Data'!EX46="","",'Raw Data'!EX46)</f>
        <v>oui</v>
      </c>
      <c r="FK34" s="15" t="str">
        <f>IF('Raw Data'!EY46="","",'Raw Data'!EY46)</f>
        <v>Radio_television manif_sociales</v>
      </c>
      <c r="FL34" s="15" t="str">
        <f>IF('Raw Data'!EZ46="","",'Raw Data'!EZ46)</f>
        <v>1</v>
      </c>
      <c r="FM34" s="15" t="str">
        <f>IF('Raw Data'!FA46="","",'Raw Data'!FA46)</f>
        <v>0</v>
      </c>
      <c r="FN34" s="15" t="str">
        <f>IF('Raw Data'!FB46="","",'Raw Data'!FB46)</f>
        <v>0</v>
      </c>
      <c r="FO34" s="15" t="str">
        <f>IF('Raw Data'!FC46="","",'Raw Data'!FC46)</f>
        <v>1</v>
      </c>
      <c r="FP34" s="15" t="str">
        <f>IF('Raw Data'!FD46="","",'Raw Data'!FD46)</f>
        <v>0</v>
      </c>
      <c r="FQ34" s="15" t="str">
        <f>IF('Raw Data'!FE46="","",'Raw Data'!FE46)</f>
        <v>0</v>
      </c>
      <c r="FR34" s="15" t="str">
        <f>IF('Raw Data'!FF46="","",'Raw Data'!FF46)</f>
        <v>0</v>
      </c>
      <c r="FS34" s="15" t="str">
        <f>IF('Raw Data'!FG46="","",'Raw Data'!FG46)</f>
        <v>0</v>
      </c>
      <c r="FT34" s="15" t="str">
        <f>IF('Raw Data'!FH46="","",'Raw Data'!FH46)</f>
        <v>0</v>
      </c>
      <c r="FU34" s="15" t="str">
        <f>IF('Raw Data'!FI46="","",'Raw Data'!FI46)</f>
        <v>0</v>
      </c>
      <c r="FV34" s="15" t="str">
        <f>IF('Raw Data'!FJ46="","",'Raw Data'!FJ46)</f>
        <v>0</v>
      </c>
      <c r="FW34" s="15" t="str">
        <f>IF('Raw Data'!FK46="","",'Raw Data'!FK46)</f>
        <v>0</v>
      </c>
      <c r="FX34" s="15" t="str">
        <f>IF('Raw Data'!FL46="","",'Raw Data'!FL46)</f>
        <v>0</v>
      </c>
      <c r="FY34" s="15" t="str">
        <f>IF('Raw Data'!FM46="","",'Raw Data'!FM46)</f>
        <v>0</v>
      </c>
      <c r="FZ34" s="15" t="str">
        <f>IF('Raw Data'!FN46="","",'Raw Data'!FN46)</f>
        <v/>
      </c>
      <c r="GA34" s="15" t="str">
        <f>IF('Raw Data'!FO46="","",'Raw Data'!FO46)</f>
        <v>oui_ensemble</v>
      </c>
      <c r="GB34" s="15" t="str">
        <f>IF('Raw Data'!FP46="","",'Raw Data'!FP46)</f>
        <v>oui_ensemble</v>
      </c>
      <c r="GC34" s="15" t="str">
        <f>IF('Raw Data'!FQ46="","",'Raw Data'!FQ46)</f>
        <v/>
      </c>
      <c r="GD34" s="15" t="str">
        <f>IF('Raw Data'!FR46="","",'Raw Data'!FR46)</f>
        <v/>
      </c>
      <c r="GE34" s="15" t="str">
        <f>IF('Raw Data'!FS46="","",'Raw Data'!FS46)</f>
        <v/>
      </c>
      <c r="GF34" s="15" t="str">
        <f>IF('Raw Data'!FT46="","",'Raw Data'!FT46)</f>
        <v/>
      </c>
      <c r="GG34" s="15" t="str">
        <f>IF('Raw Data'!FU46="","",'Raw Data'!FU46)</f>
        <v/>
      </c>
      <c r="GH34" s="15" t="str">
        <f>IF('Raw Data'!FV46="","",'Raw Data'!FV46)</f>
        <v/>
      </c>
      <c r="GI34" s="15" t="str">
        <f>IF('Raw Data'!FW46="","",'Raw Data'!FW46)</f>
        <v/>
      </c>
      <c r="GJ34" s="15" t="str">
        <f>IF('Raw Data'!FX46="","",'Raw Data'!FX46)</f>
        <v/>
      </c>
      <c r="GK34" s="15" t="str">
        <f>IF('Raw Data'!FY46="","",'Raw Data'!FY46)</f>
        <v/>
      </c>
      <c r="GL34" s="15" t="str">
        <f>IF('Raw Data'!FZ46="","",'Raw Data'!FZ46)</f>
        <v/>
      </c>
      <c r="GM34" s="15" t="str">
        <f>IF('Raw Data'!GA46="","",'Raw Data'!GA46)</f>
        <v>ensemble</v>
      </c>
      <c r="GN34" s="15" t="str">
        <f>IF('Raw Data'!GB46="","",'Raw Data'!GB46)</f>
        <v>majorite</v>
      </c>
      <c r="GO34" s="15" t="str">
        <f>IF('Raw Data'!GC46="","",'Raw Data'!GC46)</f>
        <v>Services_de_sante Service_de_counseling</v>
      </c>
      <c r="GP34" s="15" t="str">
        <f>IF('Raw Data'!GD46="","",'Raw Data'!GD46)</f>
        <v>0</v>
      </c>
      <c r="GQ34" s="15" t="str">
        <f>IF('Raw Data'!GE46="","",'Raw Data'!GE46)</f>
        <v>0</v>
      </c>
      <c r="GR34" s="15" t="str">
        <f>IF('Raw Data'!GF46="","",'Raw Data'!GF46)</f>
        <v>1</v>
      </c>
      <c r="GS34" s="15" t="str">
        <f>IF('Raw Data'!GG46="","",'Raw Data'!GG46)</f>
        <v>1</v>
      </c>
      <c r="GT34" s="15" t="str">
        <f>IF('Raw Data'!GH46="","",'Raw Data'!GH46)</f>
        <v>0</v>
      </c>
      <c r="GU34" s="15" t="str">
        <f>IF('Raw Data'!GI46="","",'Raw Data'!GI46)</f>
        <v>0</v>
      </c>
      <c r="GV34" s="15" t="str">
        <f>IF('Raw Data'!GJ46="","",'Raw Data'!GJ46)</f>
        <v>0</v>
      </c>
      <c r="GW34" s="15" t="str">
        <f>IF('Raw Data'!GK46="","",'Raw Data'!GK46)</f>
        <v>0</v>
      </c>
      <c r="GX34" s="15" t="str">
        <f>IF('Raw Data'!GL46="","",'Raw Data'!GL46)</f>
        <v>0</v>
      </c>
      <c r="GY34" s="15" t="str">
        <f>IF('Raw Data'!GM46="","",'Raw Data'!GM46)</f>
        <v/>
      </c>
      <c r="GZ34" s="15" t="str">
        <f>IF('Raw Data'!GN46="","",'Raw Data'!GN46)</f>
        <v>oui_majorite</v>
      </c>
      <c r="HA34" s="15" t="str">
        <f>IF('Raw Data'!GO46="","",'Raw Data'!GO46)</f>
        <v>oui_ensemble</v>
      </c>
      <c r="HB34" s="15" t="str">
        <f>IF('Raw Data'!GP46="","",'Raw Data'!GP46)</f>
        <v>amelioration_futur</v>
      </c>
      <c r="HC34" s="15" t="str">
        <f>IF('Raw Data'!GQ46="","",'Raw Data'!GQ46)</f>
        <v>1</v>
      </c>
      <c r="HD34" s="15" t="str">
        <f>IF('Raw Data'!GR46="","",'Raw Data'!GR46)</f>
        <v>0</v>
      </c>
      <c r="HE34" s="15" t="str">
        <f>IF('Raw Data'!GS46="","",'Raw Data'!GS46)</f>
        <v>0</v>
      </c>
      <c r="HF34" s="15" t="str">
        <f>IF('Raw Data'!GT46="","",'Raw Data'!GT46)</f>
        <v>0</v>
      </c>
      <c r="HG34" s="15" t="str">
        <f>IF('Raw Data'!GU46="","",'Raw Data'!GU46)</f>
        <v>0</v>
      </c>
      <c r="HH34" s="15" t="str">
        <f>IF('Raw Data'!GV46="","",'Raw Data'!GV46)</f>
        <v>0</v>
      </c>
      <c r="HI34" s="15" t="str">
        <f>IF('Raw Data'!GW46="","",'Raw Data'!GW46)</f>
        <v>0</v>
      </c>
      <c r="HJ34" s="15" t="str">
        <f>IF('Raw Data'!GX46="","",'Raw Data'!GX46)</f>
        <v>0</v>
      </c>
      <c r="HK34" s="15" t="str">
        <f>IF('Raw Data'!GY46="","",'Raw Data'!GY46)</f>
        <v/>
      </c>
      <c r="HL34" s="15" t="str">
        <f>IF('Raw Data'!GZ46="","",'Raw Data'!GZ46)</f>
        <v>Autre</v>
      </c>
      <c r="HM34" s="15" t="str">
        <f>IF('Raw Data'!HA46="","",'Raw Data'!HA46)</f>
        <v>0</v>
      </c>
      <c r="HN34" s="15" t="str">
        <f>IF('Raw Data'!HB46="","",'Raw Data'!HB46)</f>
        <v>0</v>
      </c>
      <c r="HO34" s="15" t="str">
        <f>IF('Raw Data'!HC46="","",'Raw Data'!HC46)</f>
        <v>0</v>
      </c>
      <c r="HP34" s="15" t="str">
        <f>IF('Raw Data'!HD46="","",'Raw Data'!HD46)</f>
        <v>0</v>
      </c>
      <c r="HQ34" s="15" t="str">
        <f>IF('Raw Data'!HE46="","",'Raw Data'!HE46)</f>
        <v>1</v>
      </c>
      <c r="HR34" s="15" t="str">
        <f>IF('Raw Data'!HF46="","",'Raw Data'!HF46)</f>
        <v>0</v>
      </c>
      <c r="HS34" s="31" t="s">
        <v>1617</v>
      </c>
      <c r="HT34" s="15" t="str">
        <f>IF('Raw Data'!HH46="","",'Raw Data'!HH46)</f>
        <v/>
      </c>
      <c r="HU34" s="15" t="str">
        <f>IF('Raw Data'!HI46="","",'Raw Data'!HI46)</f>
        <v>non</v>
      </c>
      <c r="HV34" s="15" t="str">
        <f>IF('Raw Data'!HJ46="","",'Raw Data'!HJ46)</f>
        <v/>
      </c>
      <c r="HW34" s="15" t="str">
        <f>IF('Raw Data'!HK46="","",'Raw Data'!HK46)</f>
        <v/>
      </c>
      <c r="HX34" s="15" t="str">
        <f>IF('Raw Data'!HL46="","",'Raw Data'!HL46)</f>
        <v/>
      </c>
      <c r="HY34" s="15" t="str">
        <f>IF('Raw Data'!HM46="","",'Raw Data'!HM46)</f>
        <v/>
      </c>
      <c r="HZ34" s="15" t="str">
        <f>IF('Raw Data'!HN46="","",'Raw Data'!HN46)</f>
        <v/>
      </c>
      <c r="IA34" s="15" t="str">
        <f>IF('Raw Data'!HO46="","",'Raw Data'!HO46)</f>
        <v/>
      </c>
      <c r="IB34" s="15" t="str">
        <f>IF('Raw Data'!HP46="","",'Raw Data'!HP46)</f>
        <v/>
      </c>
      <c r="IC34" s="15" t="str">
        <f>IF('Raw Data'!HQ46="","",'Raw Data'!HQ46)</f>
        <v/>
      </c>
      <c r="ID34" s="15" t="str">
        <f>IF('Raw Data'!HR46="","",'Raw Data'!HR46)</f>
        <v/>
      </c>
      <c r="IE34" s="15" t="str">
        <f>IF('Raw Data'!HS46="","",'Raw Data'!HS46)</f>
        <v/>
      </c>
      <c r="IF34" s="15" t="str">
        <f>IF('Raw Data'!HT46="","",'Raw Data'!HT46)</f>
        <v/>
      </c>
      <c r="IG34" s="15" t="str">
        <f>IF('Raw Data'!HU46="","",'Raw Data'!HU46)</f>
        <v/>
      </c>
      <c r="IH34" s="15" t="str">
        <f>IF('Raw Data'!HV46="","",'Raw Data'!HV46)</f>
        <v>oui</v>
      </c>
      <c r="II34" s="15" t="str">
        <f>IF('Raw Data'!HW46="","",'Raw Data'!HW46)</f>
        <v/>
      </c>
      <c r="IJ34" s="15" t="str">
        <f>IF('Raw Data'!HX46="","",'Raw Data'!HX46)</f>
        <v/>
      </c>
      <c r="IK34" s="15" t="str">
        <f>IF('Raw Data'!HY46="","",'Raw Data'!HY46)</f>
        <v/>
      </c>
      <c r="IL34" s="15" t="str">
        <f>IF('Raw Data'!HZ46="","",'Raw Data'!HZ46)</f>
        <v/>
      </c>
      <c r="IM34" s="15" t="str">
        <f>IF('Raw Data'!IA46="","",'Raw Data'!IA46)</f>
        <v/>
      </c>
      <c r="IN34" s="15" t="str">
        <f>IF('Raw Data'!IB46="","",'Raw Data'!IB46)</f>
        <v/>
      </c>
      <c r="IO34" s="15" t="str">
        <f>IF('Raw Data'!IC46="","",'Raw Data'!IC46)</f>
        <v/>
      </c>
      <c r="IP34" s="15" t="str">
        <f>IF('Raw Data'!ID46="","",'Raw Data'!ID46)</f>
        <v/>
      </c>
      <c r="IQ34" s="15" t="str">
        <f>IF('Raw Data'!IE46="","",'Raw Data'!IE46)</f>
        <v/>
      </c>
      <c r="IR34" s="15" t="str">
        <f>IF('Raw Data'!IF46="","",'Raw Data'!IF46)</f>
        <v/>
      </c>
      <c r="IS34" s="15" t="str">
        <f>IF('Raw Data'!IG46="","",'Raw Data'!IG46)</f>
        <v/>
      </c>
      <c r="IT34" s="15" t="str">
        <f>IF('Raw Data'!IH46="","",'Raw Data'!IH46)</f>
        <v/>
      </c>
      <c r="IU34" s="15" t="str">
        <f>IF('Raw Data'!II46="","",'Raw Data'!II46)</f>
        <v/>
      </c>
      <c r="IV34" s="15" t="str">
        <f>IF('Raw Data'!IJ46="","",'Raw Data'!IJ46)</f>
        <v/>
      </c>
      <c r="IW34" s="15" t="str">
        <f>IF('Raw Data'!IK46="","",'Raw Data'!IK46)</f>
        <v/>
      </c>
      <c r="IX34" s="15" t="str">
        <f>IF('Raw Data'!IL46="","",'Raw Data'!IL46)</f>
        <v/>
      </c>
      <c r="IY34" s="15" t="str">
        <f>IF('Raw Data'!IM46="","",'Raw Data'!IM46)</f>
        <v/>
      </c>
      <c r="IZ34" s="15" t="str">
        <f>IF('Raw Data'!IN46="","",'Raw Data'!IN46)</f>
        <v>30</v>
      </c>
      <c r="JA34" s="15" t="str">
        <f>IF('Raw Data'!IO46="","",'Raw Data'!IO46)</f>
        <v>acces_docs Services_conseil Services_educatifs Services_medicaux</v>
      </c>
      <c r="JB34" s="15" t="str">
        <f>IF('Raw Data'!IP46="","",'Raw Data'!IP46)</f>
        <v>0</v>
      </c>
      <c r="JC34" s="15" t="str">
        <f>IF('Raw Data'!IQ46="","",'Raw Data'!IQ46)</f>
        <v>1</v>
      </c>
      <c r="JD34" s="15" t="str">
        <f>IF('Raw Data'!IR46="","",'Raw Data'!IR46)</f>
        <v>1</v>
      </c>
      <c r="JE34" s="15" t="str">
        <f>IF('Raw Data'!IS46="","",'Raw Data'!IS46)</f>
        <v>1</v>
      </c>
      <c r="JF34" s="15" t="str">
        <f>IF('Raw Data'!IT46="","",'Raw Data'!IT46)</f>
        <v>1</v>
      </c>
      <c r="JG34" s="15" t="str">
        <f>IF('Raw Data'!IU46="","",'Raw Data'!IU46)</f>
        <v>0</v>
      </c>
      <c r="JH34" s="15" t="str">
        <f>IF('Raw Data'!IV46="","",'Raw Data'!IV46)</f>
        <v>0</v>
      </c>
      <c r="JI34" s="15" t="str">
        <f>IF('Raw Data'!IW46="","",'Raw Data'!IW46)</f>
        <v>0</v>
      </c>
      <c r="JJ34" s="15" t="str">
        <f>IF('Raw Data'!IX46="","",'Raw Data'!IX46)</f>
        <v>0</v>
      </c>
      <c r="JK34" s="15" t="str">
        <f>IF('Raw Data'!IY46="","",'Raw Data'!IY46)</f>
        <v>0</v>
      </c>
      <c r="JL34" s="15" t="str">
        <f>IF('Raw Data'!IZ46="","",'Raw Data'!IZ46)</f>
        <v/>
      </c>
      <c r="JM34" s="15" t="str">
        <f>IF('Raw Data'!JA46="","",'Raw Data'!JA46)</f>
        <v>reorientation signalement</v>
      </c>
      <c r="JN34" s="15" t="str">
        <f>IF('Raw Data'!JB46="","",'Raw Data'!JB46)</f>
        <v>0</v>
      </c>
      <c r="JO34" s="15" t="str">
        <f>IF('Raw Data'!JC46="","",'Raw Data'!JC46)</f>
        <v>1</v>
      </c>
      <c r="JP34" s="15" t="str">
        <f>IF('Raw Data'!JD46="","",'Raw Data'!JD46)</f>
        <v>1</v>
      </c>
      <c r="JQ34" s="15" t="str">
        <f>IF('Raw Data'!JE46="","",'Raw Data'!JE46)</f>
        <v>0</v>
      </c>
      <c r="JR34" s="15" t="str">
        <f>IF('Raw Data'!JF46="","",'Raw Data'!JF46)</f>
        <v>0</v>
      </c>
      <c r="JS34" s="15" t="str">
        <f>IF('Raw Data'!JG46="","",'Raw Data'!JG46)</f>
        <v>0</v>
      </c>
      <c r="JT34" s="15" t="str">
        <f>IF('Raw Data'!JH46="","",'Raw Data'!JH46)</f>
        <v/>
      </c>
      <c r="JU34" s="15" t="str">
        <f>IF('Raw Data'!JI46="","",'Raw Data'!JI46)</f>
        <v/>
      </c>
      <c r="JV34" s="15" t="str">
        <f>IF('Raw Data'!JJ46="","",'Raw Data'!JJ46)</f>
        <v/>
      </c>
      <c r="JW34" s="15" t="str">
        <f>IF('Raw Data'!JK46="","",'Raw Data'!JK46)</f>
        <v/>
      </c>
      <c r="JX34" s="15" t="str">
        <f>IF('Raw Data'!JL46="","",'Raw Data'!JL46)</f>
        <v/>
      </c>
      <c r="JY34" s="15" t="str">
        <f>IF('Raw Data'!JM46="","",'Raw Data'!JM46)</f>
        <v/>
      </c>
      <c r="JZ34" s="15" t="str">
        <f>IF('Raw Data'!JN46="","",'Raw Data'!JN46)</f>
        <v/>
      </c>
      <c r="KA34" s="15" t="str">
        <f>IF('Raw Data'!JO46="","",'Raw Data'!JO46)</f>
        <v/>
      </c>
      <c r="KB34" s="15" t="str">
        <f>IF('Raw Data'!JP46="","",'Raw Data'!JP46)</f>
        <v/>
      </c>
      <c r="KC34" s="15" t="str">
        <f>IF('Raw Data'!JQ46="","",'Raw Data'!JQ46)</f>
        <v/>
      </c>
      <c r="KD34" s="15" t="str">
        <f>IF('Raw Data'!JR46="","",'Raw Data'!JR46)</f>
        <v/>
      </c>
      <c r="KE34" s="15" t="str">
        <f>IF('Raw Data'!JS46="","",'Raw Data'!JS46)</f>
        <v/>
      </c>
      <c r="KF34" s="15" t="str">
        <f>IF('Raw Data'!JT46="","",'Raw Data'!JT46)</f>
        <v>medical surete</v>
      </c>
      <c r="KG34" s="15" t="str">
        <f>IF('Raw Data'!JU46="","",'Raw Data'!JU46)</f>
        <v>1</v>
      </c>
      <c r="KH34" s="15" t="str">
        <f>IF('Raw Data'!JV46="","",'Raw Data'!JV46)</f>
        <v>0</v>
      </c>
      <c r="KI34" s="15" t="str">
        <f>IF('Raw Data'!JW46="","",'Raw Data'!JW46)</f>
        <v>0</v>
      </c>
      <c r="KJ34" s="15" t="str">
        <f>IF('Raw Data'!JX46="","",'Raw Data'!JX46)</f>
        <v>0</v>
      </c>
      <c r="KK34" s="15" t="str">
        <f>IF('Raw Data'!JY46="","",'Raw Data'!JY46)</f>
        <v>1</v>
      </c>
      <c r="KL34" s="15" t="str">
        <f>IF('Raw Data'!JZ46="","",'Raw Data'!JZ46)</f>
        <v>0</v>
      </c>
      <c r="KM34" s="15" t="str">
        <f>IF('Raw Data'!KA46="","",'Raw Data'!KA46)</f>
        <v>0</v>
      </c>
      <c r="KN34" s="15" t="str">
        <f>IF('Raw Data'!KB46="","",'Raw Data'!KB46)</f>
        <v>0</v>
      </c>
      <c r="KO34" s="15" t="str">
        <f>IF('Raw Data'!KC46="","",'Raw Data'!KC46)</f>
        <v>0</v>
      </c>
      <c r="KP34" s="15" t="str">
        <f>IF('Raw Data'!KD46="","",'Raw Data'!KD46)</f>
        <v/>
      </c>
      <c r="KQ34" s="15" t="str">
        <f>IF('Raw Data'!KE46="","",'Raw Data'!KE46)</f>
        <v/>
      </c>
      <c r="KR34" s="15" t="str">
        <f>IF('Raw Data'!KF46="","",'Raw Data'!KF46)</f>
        <v>oui</v>
      </c>
      <c r="KS34" s="15" t="str">
        <f>IF('Raw Data'!KG46="","",'Raw Data'!KG46)</f>
        <v>manque_definition manque_d'information manque_moyens</v>
      </c>
      <c r="KT34" s="15" t="str">
        <f>IF('Raw Data'!KH46="","",'Raw Data'!KH46)</f>
        <v>1</v>
      </c>
      <c r="KU34" s="15" t="str">
        <f>IF('Raw Data'!KI46="","",'Raw Data'!KI46)</f>
        <v>0</v>
      </c>
      <c r="KV34" s="15" t="str">
        <f>IF('Raw Data'!KJ46="","",'Raw Data'!KJ46)</f>
        <v>1</v>
      </c>
      <c r="KW34" s="15" t="str">
        <f>IF('Raw Data'!KK46="","",'Raw Data'!KK46)</f>
        <v>0</v>
      </c>
      <c r="KX34" s="15" t="str">
        <f>IF('Raw Data'!KL46="","",'Raw Data'!KL46)</f>
        <v>0</v>
      </c>
      <c r="KY34" s="15" t="str">
        <f>IF('Raw Data'!KM46="","",'Raw Data'!KM46)</f>
        <v>0</v>
      </c>
      <c r="KZ34" s="15" t="str">
        <f>IF('Raw Data'!KN46="","",'Raw Data'!KN46)</f>
        <v>0</v>
      </c>
      <c r="LA34" s="15" t="str">
        <f>IF('Raw Data'!KO46="","",'Raw Data'!KO46)</f>
        <v>1</v>
      </c>
      <c r="LB34" s="15" t="str">
        <f>IF('Raw Data'!KP46="","",'Raw Data'!KP46)</f>
        <v>0</v>
      </c>
      <c r="LC34" s="15" t="str">
        <f>IF('Raw Data'!KQ46="","",'Raw Data'!KQ46)</f>
        <v>0</v>
      </c>
      <c r="LD34" s="15" t="str">
        <f>IF('Raw Data'!KR46="","",'Raw Data'!KR46)</f>
        <v>0</v>
      </c>
      <c r="LE34" s="15" t="str">
        <f>IF('Raw Data'!KS46="","",'Raw Data'!KS46)</f>
        <v/>
      </c>
      <c r="LF34" s="15" t="str">
        <f>IF('Raw Data'!KT46="","",'Raw Data'!KT46)</f>
        <v/>
      </c>
      <c r="LG34" s="15" t="str">
        <f>IF('Raw Data'!KU46="","",'Raw Data'!KU46)</f>
        <v/>
      </c>
      <c r="LH34" s="15" t="str">
        <f>IF('Raw Data'!KV46="","",'Raw Data'!KV46)</f>
        <v/>
      </c>
      <c r="LI34" s="15" t="str">
        <f>IF('Raw Data'!KW46="","",'Raw Data'!KW46)</f>
        <v/>
      </c>
      <c r="LJ34" s="15" t="str">
        <f>IF('Raw Data'!KX46="","",'Raw Data'!KX46)</f>
        <v/>
      </c>
      <c r="LK34" s="15" t="str">
        <f>IF('Raw Data'!KY46="","",'Raw Data'!KY46)</f>
        <v/>
      </c>
      <c r="LL34" s="15" t="str">
        <f>IF('Raw Data'!KZ46="","",'Raw Data'!KZ46)</f>
        <v/>
      </c>
      <c r="LM34" s="15" t="str">
        <f>IF('Raw Data'!LA46="","",'Raw Data'!LA46)</f>
        <v/>
      </c>
      <c r="LN34" s="15" t="str">
        <f>IF('Raw Data'!LB46="","",'Raw Data'!LB46)</f>
        <v>non</v>
      </c>
      <c r="LO34" s="15" t="str">
        <f>IF('Raw Data'!LC46="","",'Raw Data'!LC46)</f>
        <v/>
      </c>
      <c r="LP34" s="15" t="str">
        <f>IF('Raw Data'!LD46="","",'Raw Data'!LD46)</f>
        <v/>
      </c>
      <c r="LQ34" s="15" t="str">
        <f>IF('Raw Data'!LE46="","",'Raw Data'!LE46)</f>
        <v/>
      </c>
      <c r="LR34" s="15" t="str">
        <f>IF('Raw Data'!LF46="","",'Raw Data'!LF46)</f>
        <v/>
      </c>
      <c r="LS34" s="15" t="str">
        <f>IF('Raw Data'!LG46="","",'Raw Data'!LG46)</f>
        <v/>
      </c>
      <c r="LT34" s="15" t="str">
        <f>IF('Raw Data'!LH46="","",'Raw Data'!LH46)</f>
        <v/>
      </c>
      <c r="LU34" s="15" t="str">
        <f>IF('Raw Data'!LI46="","",'Raw Data'!LI46)</f>
        <v/>
      </c>
      <c r="LV34" s="15" t="str">
        <f>IF('Raw Data'!LJ46="","",'Raw Data'!LJ46)</f>
        <v/>
      </c>
      <c r="LW34" s="15" t="str">
        <f>IF('Raw Data'!LK46="","",'Raw Data'!LK46)</f>
        <v/>
      </c>
      <c r="LX34" s="15" t="str">
        <f>IF('Raw Data'!LL46="","",'Raw Data'!LL46)</f>
        <v/>
      </c>
      <c r="LY34" s="15" t="str">
        <f>IF('Raw Data'!LM46="","",'Raw Data'!LM46)</f>
        <v/>
      </c>
      <c r="LZ34" s="15" t="str">
        <f>IF('Raw Data'!LN46="","",'Raw Data'!LN46)</f>
        <v/>
      </c>
      <c r="MA34" s="15" t="str">
        <f>IF('Raw Data'!LO46="","",'Raw Data'!LO46)</f>
        <v/>
      </c>
      <c r="MB34" s="15" t="str">
        <f>IF('Raw Data'!LP46="","",'Raw Data'!LP46)</f>
        <v>oui</v>
      </c>
      <c r="MC34" s="15" t="str">
        <f>IF('Raw Data'!LQ46="","",'Raw Data'!LQ46)</f>
        <v/>
      </c>
      <c r="MD34" s="15" t="str">
        <f>IF('Raw Data'!LR46="","",'Raw Data'!LR46)</f>
        <v xml:space="preserve">C'est avoir une vie paisible,genre subvenir aux besoins et avoir la tranquillité </v>
      </c>
      <c r="ME34" s="15">
        <f>IF('Raw Data'!LS46="","",'Raw Data'!LS46)</f>
        <v>170030466</v>
      </c>
      <c r="MF34" s="15" t="str">
        <f>IF('Raw Data'!LT46="","",'Raw Data'!LT46)</f>
        <v>fdc5f96a-5e0e-457b-aac1-055744328877</v>
      </c>
      <c r="MG34" s="15" t="str">
        <f>IF('Raw Data'!LU46="","",'Raw Data'!LU46)</f>
        <v>2021-04-06T18:27:33</v>
      </c>
      <c r="MH34" s="15" t="str">
        <f>IF('Raw Data'!LV46="","",'Raw Data'!LV46)</f>
        <v/>
      </c>
      <c r="MI34" s="15" t="str">
        <f>IF('Raw Data'!LW46="","",'Raw Data'!LW46)</f>
        <v>[]</v>
      </c>
      <c r="MJ34" s="15" t="str">
        <f>IF('Raw Data'!LX46="","",'Raw Data'!LX46)</f>
        <v>submitted_via_web</v>
      </c>
      <c r="MK34" s="15" t="str">
        <f>IF('Raw Data'!LY46="","",'Raw Data'!LY46)</f>
        <v>reach_niger</v>
      </c>
      <c r="ML34" s="15" t="str">
        <f>IF('Raw Data'!LZ46="","",'Raw Data'!LZ46)</f>
        <v/>
      </c>
      <c r="MM34" s="15">
        <f>IF('Raw Data'!MA46="","",'Raw Data'!MA46)</f>
        <v>50</v>
      </c>
    </row>
    <row r="35" spans="1:351" x14ac:dyDescent="0.3">
      <c r="A35" s="26" t="str">
        <f t="shared" si="4"/>
        <v>ab1bf8ee-7d16-420e-b7d2-b0ebaf5203a6</v>
      </c>
      <c r="B35" s="26" t="str">
        <f t="shared" si="5"/>
        <v>ouallam</v>
      </c>
      <c r="C35" s="26" t="str">
        <f t="shared" si="6"/>
        <v>H</v>
      </c>
      <c r="D35" s="14" t="str">
        <f>IF('Raw Data'!A45="","",'Raw Data'!A45)</f>
        <v>2021-04-06T14:53:15.793+01:00</v>
      </c>
      <c r="E35" s="14" t="str">
        <f>IF('Raw Data'!B45="","",'Raw Data'!B45)</f>
        <v>2021-04-06T15:41:08.160+01:00</v>
      </c>
      <c r="F35" s="30">
        <v>44292.620312500003</v>
      </c>
      <c r="G35" s="30">
        <v>44292.653564814813</v>
      </c>
      <c r="H35" s="29">
        <f>VLOOKUP(A35,Audit[#All],2,FALSE)</f>
        <v>47.87</v>
      </c>
      <c r="I35" s="29">
        <f>VLOOKUP(A35,Audit[#All],3,FALSE)</f>
        <v>47.83</v>
      </c>
      <c r="J35" s="29">
        <f>VLOOKUP(A35,Audit[#All],4,FALSE)</f>
        <v>46.12</v>
      </c>
      <c r="K35" s="29">
        <f>VLOOKUP(A35,nb_questions[#All],2,FALSE)</f>
        <v>93</v>
      </c>
      <c r="L35" s="29">
        <f t="shared" si="7"/>
        <v>89</v>
      </c>
      <c r="M35" s="14" t="str">
        <f>IF('Raw Data'!C45="","",'Raw Data'!C45)</f>
        <v>2021-04-06</v>
      </c>
      <c r="N35" s="14" t="str">
        <f>IF('Raw Data'!D45="","",'Raw Data'!D45)</f>
        <v/>
      </c>
      <c r="O35" s="14" t="str">
        <f>IF('Raw Data'!E45="","",'Raw Data'!E45)</f>
        <v/>
      </c>
      <c r="P35" s="29" t="str">
        <f>VLOOKUP(A35,code_enqueteurs[#All],3,FALSE)</f>
        <v>H</v>
      </c>
      <c r="Q35" s="29" t="s">
        <v>1652</v>
      </c>
      <c r="R35" s="14" t="str">
        <f>IF('Raw Data'!F45="","",'Raw Data'!F45)</f>
        <v>Homme</v>
      </c>
      <c r="S35" s="15" t="str">
        <f>IF('Raw Data'!G45="","",'Raw Data'!G45)</f>
        <v>ouallam</v>
      </c>
      <c r="T35" s="15" t="str">
        <f>IF('Raw Data'!H45="","",'Raw Data'!H45)</f>
        <v>ouallam</v>
      </c>
      <c r="U35" s="15" t="str">
        <f>IF('Raw Data'!I45="","",'Raw Data'!I45)</f>
        <v>ouallam_pdi</v>
      </c>
      <c r="V35" s="15" t="str">
        <f>IF('Raw Data'!J45="","",'Raw Data'!J45)</f>
        <v/>
      </c>
      <c r="W35" s="15" t="str">
        <f>IF('Raw Data'!K45="","",'Raw Data'!K45)</f>
        <v/>
      </c>
      <c r="X35" s="15" t="str">
        <f>IF('Raw Data'!L45="","",'Raw Data'!L45)</f>
        <v/>
      </c>
      <c r="Y35" s="15" t="str">
        <f>IF('Raw Data'!M45="","",'Raw Data'!M45)</f>
        <v/>
      </c>
      <c r="Z35" s="15" t="str">
        <f>IF('Raw Data'!N45="","",'Raw Data'!N45)</f>
        <v/>
      </c>
      <c r="AA35" s="15" t="str">
        <f>IF('Raw Data'!O45="","",'Raw Data'!O45)</f>
        <v/>
      </c>
      <c r="AB35" s="15" t="str">
        <f>IF('Raw Data'!P45="","",'Raw Data'!P45)</f>
        <v/>
      </c>
      <c r="AC35" s="15" t="str">
        <f>IF('Raw Data'!Q45="","",'Raw Data'!Q45)</f>
        <v/>
      </c>
      <c r="AD35" s="15" t="str">
        <f>IF('Raw Data'!R45="","",'Raw Data'!R45)</f>
        <v>Homme</v>
      </c>
      <c r="AE35" s="15" t="str">
        <f>IF('Raw Data'!S45="","",'Raw Data'!S45)</f>
        <v>31</v>
      </c>
      <c r="AF35" s="15" t="str">
        <f>IF('Raw Data'!T45="","",'Raw Data'!T45)</f>
        <v>deplace_interne</v>
      </c>
      <c r="AG35" s="15" t="str">
        <f>IF('Raw Data'!U45="","",'Raw Data'!U45)</f>
        <v/>
      </c>
      <c r="AH35" s="15" t="str">
        <f>IF('Raw Data'!V45="","",'Raw Data'!V45)</f>
        <v/>
      </c>
      <c r="AI35" s="31" t="s">
        <v>1459</v>
      </c>
      <c r="AJ35" s="31" t="s">
        <v>635</v>
      </c>
      <c r="AK35" s="15" t="str">
        <f>IF('Raw Data'!Y45="","",'Raw Data'!Y45)</f>
        <v/>
      </c>
      <c r="AL35" s="15" t="str">
        <f>IF('Raw Data'!Z45="","",'Raw Data'!Z45)</f>
        <v>niger</v>
      </c>
      <c r="AM35" s="15" t="str">
        <f>IF('Raw Data'!AA45="","",'Raw Data'!AA45)</f>
        <v>tillaberi</v>
      </c>
      <c r="AN35" s="15" t="str">
        <f>IF('Raw Data'!AB45="","",'Raw Data'!AB45)</f>
        <v>banibangou</v>
      </c>
      <c r="AO35" s="15" t="str">
        <f>IF('Raw Data'!AC45="","",'Raw Data'!AC45)</f>
        <v/>
      </c>
      <c r="AP35" s="15" t="str">
        <f>IF('Raw Data'!AD45="","",'Raw Data'!AD45)</f>
        <v/>
      </c>
      <c r="AQ35" s="15" t="str">
        <f>IF('Raw Data'!AE45="","",'Raw Data'!AE45)</f>
        <v/>
      </c>
      <c r="AR35" s="15" t="str">
        <f>IF('Raw Data'!AF45="","",'Raw Data'!AF45)</f>
        <v/>
      </c>
      <c r="AS35" s="15" t="str">
        <f>IF('Raw Data'!AG45="","",'Raw Data'!AG45)</f>
        <v>oui</v>
      </c>
      <c r="AT35" s="15" t="str">
        <f>IF('Raw Data'!AH45="","",'Raw Data'!AH45)</f>
        <v>Disputes_intercommunataires extorsions Violences_physique_civils attaques_engins_explosifs</v>
      </c>
      <c r="AU35" s="15" t="str">
        <f>IF('Raw Data'!AI45="","",'Raw Data'!AI45)</f>
        <v>0</v>
      </c>
      <c r="AV35" s="15" t="str">
        <f>IF('Raw Data'!AJ45="","",'Raw Data'!AJ45)</f>
        <v>1</v>
      </c>
      <c r="AW35" s="15" t="str">
        <f>IF('Raw Data'!AK45="","",'Raw Data'!AK45)</f>
        <v>0</v>
      </c>
      <c r="AX35" s="15" t="str">
        <f>IF('Raw Data'!AL45="","",'Raw Data'!AL45)</f>
        <v>1</v>
      </c>
      <c r="AY35" s="15" t="str">
        <f>IF('Raw Data'!AM45="","",'Raw Data'!AM45)</f>
        <v>1</v>
      </c>
      <c r="AZ35" s="15" t="str">
        <f>IF('Raw Data'!AN45="","",'Raw Data'!AN45)</f>
        <v>0</v>
      </c>
      <c r="BA35" s="15" t="str">
        <f>IF('Raw Data'!AO45="","",'Raw Data'!AO45)</f>
        <v>0</v>
      </c>
      <c r="BB35" s="15" t="str">
        <f>IF('Raw Data'!AP45="","",'Raw Data'!AP45)</f>
        <v>0</v>
      </c>
      <c r="BC35" s="15" t="str">
        <f>IF('Raw Data'!AQ45="","",'Raw Data'!AQ45)</f>
        <v>0</v>
      </c>
      <c r="BD35" s="15" t="str">
        <f>IF('Raw Data'!AR45="","",'Raw Data'!AR45)</f>
        <v>0</v>
      </c>
      <c r="BE35" s="15" t="str">
        <f>IF('Raw Data'!AS45="","",'Raw Data'!AS45)</f>
        <v>1</v>
      </c>
      <c r="BF35" s="15" t="str">
        <f>IF('Raw Data'!AT45="","",'Raw Data'!AT45)</f>
        <v>0</v>
      </c>
      <c r="BG35" s="15" t="str">
        <f>IF('Raw Data'!AU45="","",'Raw Data'!AU45)</f>
        <v>0</v>
      </c>
      <c r="BH35" s="15" t="str">
        <f>IF('Raw Data'!AV45="","",'Raw Data'!AV45)</f>
        <v>0</v>
      </c>
      <c r="BI35" s="15" t="str">
        <f>IF('Raw Data'!AW45="","",'Raw Data'!AW45)</f>
        <v/>
      </c>
      <c r="BJ35" s="15" t="str">
        <f>IF('Raw Data'!AX45="","",'Raw Data'!AX45)</f>
        <v>Toute_population</v>
      </c>
      <c r="BK35" s="15" t="str">
        <f>IF('Raw Data'!AY45="","",'Raw Data'!AY45)</f>
        <v>0</v>
      </c>
      <c r="BL35" s="15" t="str">
        <f>IF('Raw Data'!AZ45="","",'Raw Data'!AZ45)</f>
        <v>0</v>
      </c>
      <c r="BM35" s="15" t="str">
        <f>IF('Raw Data'!BA45="","",'Raw Data'!BA45)</f>
        <v>0</v>
      </c>
      <c r="BN35" s="15" t="str">
        <f>IF('Raw Data'!BB45="","",'Raw Data'!BB45)</f>
        <v>0</v>
      </c>
      <c r="BO35" s="15" t="str">
        <f>IF('Raw Data'!BC45="","",'Raw Data'!BC45)</f>
        <v>0</v>
      </c>
      <c r="BP35" s="15" t="str">
        <f>IF('Raw Data'!BD45="","",'Raw Data'!BD45)</f>
        <v>0</v>
      </c>
      <c r="BQ35" s="15" t="str">
        <f>IF('Raw Data'!BE45="","",'Raw Data'!BE45)</f>
        <v>0</v>
      </c>
      <c r="BR35" s="15" t="str">
        <f>IF('Raw Data'!BF45="","",'Raw Data'!BF45)</f>
        <v>0</v>
      </c>
      <c r="BS35" s="15" t="str">
        <f>IF('Raw Data'!BG45="","",'Raw Data'!BG45)</f>
        <v>0</v>
      </c>
      <c r="BT35" s="15" t="str">
        <f>IF('Raw Data'!BH45="","",'Raw Data'!BH45)</f>
        <v>0</v>
      </c>
      <c r="BU35" s="15" t="str">
        <f>IF('Raw Data'!BI45="","",'Raw Data'!BI45)</f>
        <v>1</v>
      </c>
      <c r="BV35" s="15" t="str">
        <f>IF('Raw Data'!BJ45="","",'Raw Data'!BJ45)</f>
        <v>0</v>
      </c>
      <c r="BW35" s="15" t="str">
        <f>IF('Raw Data'!BK45="","",'Raw Data'!BK45)</f>
        <v>0</v>
      </c>
      <c r="BX35" s="15" t="str">
        <f>IF('Raw Data'!BL45="","",'Raw Data'!BL45)</f>
        <v>0</v>
      </c>
      <c r="BY35" s="15" t="str">
        <f>IF('Raw Data'!BM45="","",'Raw Data'!BM45)</f>
        <v/>
      </c>
      <c r="BZ35" s="15" t="str">
        <f>IF('Raw Data'!BN45="","",'Raw Data'!BN45)</f>
        <v>plusde5</v>
      </c>
      <c r="CA35" s="15" t="str">
        <f>IF('Raw Data'!BO45="","",'Raw Data'!BO45)</f>
        <v>augmente</v>
      </c>
      <c r="CB35" s="15" t="str">
        <f>IF('Raw Data'!BP45="","",'Raw Data'!BP45)</f>
        <v/>
      </c>
      <c r="CC35" s="15" t="str">
        <f>IF('Raw Data'!BQ45="","",'Raw Data'!BQ45)</f>
        <v>oui</v>
      </c>
      <c r="CD35" s="15" t="str">
        <f>IF('Raw Data'!BR45="","",'Raw Data'!BR45)</f>
        <v>travail_force</v>
      </c>
      <c r="CE35" s="15" t="str">
        <f>IF('Raw Data'!BS45="","",'Raw Data'!BS45)</f>
        <v>0</v>
      </c>
      <c r="CF35" s="15" t="str">
        <f>IF('Raw Data'!BT45="","",'Raw Data'!BT45)</f>
        <v>0</v>
      </c>
      <c r="CG35" s="15" t="str">
        <f>IF('Raw Data'!BU45="","",'Raw Data'!BU45)</f>
        <v>0</v>
      </c>
      <c r="CH35" s="15" t="str">
        <f>IF('Raw Data'!BV45="","",'Raw Data'!BV45)</f>
        <v>0</v>
      </c>
      <c r="CI35" s="15" t="str">
        <f>IF('Raw Data'!BW45="","",'Raw Data'!BW45)</f>
        <v>0</v>
      </c>
      <c r="CJ35" s="15" t="str">
        <f>IF('Raw Data'!BX45="","",'Raw Data'!BX45)</f>
        <v>0</v>
      </c>
      <c r="CK35" s="15" t="str">
        <f>IF('Raw Data'!BY45="","",'Raw Data'!BY45)</f>
        <v>1</v>
      </c>
      <c r="CL35" s="15" t="str">
        <f>IF('Raw Data'!BZ45="","",'Raw Data'!BZ45)</f>
        <v>0</v>
      </c>
      <c r="CM35" s="15" t="str">
        <f>IF('Raw Data'!CA45="","",'Raw Data'!CA45)</f>
        <v>0</v>
      </c>
      <c r="CN35" s="15" t="str">
        <f>IF('Raw Data'!CB45="","",'Raw Data'!CB45)</f>
        <v>0</v>
      </c>
      <c r="CO35" s="15" t="str">
        <f>IF('Raw Data'!CC45="","",'Raw Data'!CC45)</f>
        <v>0</v>
      </c>
      <c r="CP35" s="15" t="str">
        <f>IF('Raw Data'!CD45="","",'Raw Data'!CD45)</f>
        <v>0</v>
      </c>
      <c r="CQ35" s="15" t="str">
        <f>IF('Raw Data'!CE45="","",'Raw Data'!CE45)</f>
        <v>0</v>
      </c>
      <c r="CR35" s="15" t="str">
        <f>IF('Raw Data'!CF45="","",'Raw Data'!CF45)</f>
        <v>0</v>
      </c>
      <c r="CS35" s="15" t="str">
        <f>IF('Raw Data'!CG45="","",'Raw Data'!CG45)</f>
        <v>0</v>
      </c>
      <c r="CT35" s="15" t="str">
        <f>IF('Raw Data'!CH45="","",'Raw Data'!CH45)</f>
        <v/>
      </c>
      <c r="CU35" s="15" t="str">
        <f>IF('Raw Data'!CI45="","",'Raw Data'!CI45)</f>
        <v>Hommes</v>
      </c>
      <c r="CV35" s="15" t="str">
        <f>IF('Raw Data'!CJ45="","",'Raw Data'!CJ45)</f>
        <v>0</v>
      </c>
      <c r="CW35" s="15" t="str">
        <f>IF('Raw Data'!CK45="","",'Raw Data'!CK45)</f>
        <v>0</v>
      </c>
      <c r="CX35" s="15" t="str">
        <f>IF('Raw Data'!CL45="","",'Raw Data'!CL45)</f>
        <v>0</v>
      </c>
      <c r="CY35" s="15" t="str">
        <f>IF('Raw Data'!CM45="","",'Raw Data'!CM45)</f>
        <v>0</v>
      </c>
      <c r="CZ35" s="15" t="str">
        <f>IF('Raw Data'!CN45="","",'Raw Data'!CN45)</f>
        <v>0</v>
      </c>
      <c r="DA35" s="15" t="str">
        <f>IF('Raw Data'!CO45="","",'Raw Data'!CO45)</f>
        <v>1</v>
      </c>
      <c r="DB35" s="15" t="str">
        <f>IF('Raw Data'!CP45="","",'Raw Data'!CP45)</f>
        <v>0</v>
      </c>
      <c r="DC35" s="15" t="str">
        <f>IF('Raw Data'!CQ45="","",'Raw Data'!CQ45)</f>
        <v>0</v>
      </c>
      <c r="DD35" s="15" t="str">
        <f>IF('Raw Data'!CR45="","",'Raw Data'!CR45)</f>
        <v>0</v>
      </c>
      <c r="DE35" s="15" t="str">
        <f>IF('Raw Data'!CS45="","",'Raw Data'!CS45)</f>
        <v>0</v>
      </c>
      <c r="DF35" s="15" t="str">
        <f>IF('Raw Data'!CT45="","",'Raw Data'!CT45)</f>
        <v>0</v>
      </c>
      <c r="DG35" s="15" t="str">
        <f>IF('Raw Data'!CU45="","",'Raw Data'!CU45)</f>
        <v>0</v>
      </c>
      <c r="DH35" s="15" t="str">
        <f>IF('Raw Data'!CV45="","",'Raw Data'!CV45)</f>
        <v>0</v>
      </c>
      <c r="DI35" s="15" t="str">
        <f>IF('Raw Data'!CW45="","",'Raw Data'!CW45)</f>
        <v>0</v>
      </c>
      <c r="DJ35" s="15" t="str">
        <f>IF('Raw Data'!CX45="","",'Raw Data'!CX45)</f>
        <v/>
      </c>
      <c r="DK35" s="15" t="str">
        <f>IF('Raw Data'!CY45="","",'Raw Data'!CY45)</f>
        <v>plusde5</v>
      </c>
      <c r="DL35" s="15" t="str">
        <f>IF('Raw Data'!CZ45="","",'Raw Data'!CZ45)</f>
        <v>augmente</v>
      </c>
      <c r="DM35" s="15" t="str">
        <f>IF('Raw Data'!DA45="","",'Raw Data'!DA45)</f>
        <v/>
      </c>
      <c r="DN35" s="15" t="str">
        <f>IF('Raw Data'!DB45="","",'Raw Data'!DB45)</f>
        <v>deterioration_con_abris hausse_tensions_intercomm hausse_nbr_groupes_armees</v>
      </c>
      <c r="DO35" s="15" t="str">
        <f>IF('Raw Data'!DC45="","",'Raw Data'!DC45)</f>
        <v>0</v>
      </c>
      <c r="DP35" s="15" t="str">
        <f>IF('Raw Data'!DD45="","",'Raw Data'!DD45)</f>
        <v>1</v>
      </c>
      <c r="DQ35" s="15" t="str">
        <f>IF('Raw Data'!DE45="","",'Raw Data'!DE45)</f>
        <v>0</v>
      </c>
      <c r="DR35" s="15" t="str">
        <f>IF('Raw Data'!DF45="","",'Raw Data'!DF45)</f>
        <v>1</v>
      </c>
      <c r="DS35" s="15" t="str">
        <f>IF('Raw Data'!DG45="","",'Raw Data'!DG45)</f>
        <v>1</v>
      </c>
      <c r="DT35" s="15" t="str">
        <f>IF('Raw Data'!DH45="","",'Raw Data'!DH45)</f>
        <v>0</v>
      </c>
      <c r="DU35" s="15" t="str">
        <f>IF('Raw Data'!DI45="","",'Raw Data'!DI45)</f>
        <v>0</v>
      </c>
      <c r="DV35" s="15" t="str">
        <f>IF('Raw Data'!DJ45="","",'Raw Data'!DJ45)</f>
        <v>0</v>
      </c>
      <c r="DW35" s="15" t="str">
        <f>IF('Raw Data'!DK45="","",'Raw Data'!DK45)</f>
        <v>0</v>
      </c>
      <c r="DX35" s="15" t="str">
        <f>IF('Raw Data'!DL45="","",'Raw Data'!DL45)</f>
        <v>0</v>
      </c>
      <c r="DY35" s="15" t="str">
        <f>IF('Raw Data'!DM45="","",'Raw Data'!DM45)</f>
        <v/>
      </c>
      <c r="DZ35" s="15" t="str">
        <f>IF('Raw Data'!DN45="","",'Raw Data'!DN45)</f>
        <v/>
      </c>
      <c r="EA35" s="15" t="str">
        <f>IF('Raw Data'!DO45="","",'Raw Data'!DO45)</f>
        <v/>
      </c>
      <c r="EB35" s="15" t="str">
        <f>IF('Raw Data'!DP45="","",'Raw Data'!DP45)</f>
        <v/>
      </c>
      <c r="EC35" s="15" t="str">
        <f>IF('Raw Data'!DQ45="","",'Raw Data'!DQ45)</f>
        <v/>
      </c>
      <c r="ED35" s="15" t="str">
        <f>IF('Raw Data'!DR45="","",'Raw Data'!DR45)</f>
        <v/>
      </c>
      <c r="EE35" s="15" t="str">
        <f>IF('Raw Data'!DS45="","",'Raw Data'!DS45)</f>
        <v/>
      </c>
      <c r="EF35" s="15" t="str">
        <f>IF('Raw Data'!DT45="","",'Raw Data'!DT45)</f>
        <v/>
      </c>
      <c r="EG35" s="15" t="str">
        <f>IF('Raw Data'!DU45="","",'Raw Data'!DU45)</f>
        <v/>
      </c>
      <c r="EH35" s="15" t="str">
        <f>IF('Raw Data'!DV45="","",'Raw Data'!DV45)</f>
        <v/>
      </c>
      <c r="EI35" s="15" t="str">
        <f>IF('Raw Data'!DW45="","",'Raw Data'!DW45)</f>
        <v/>
      </c>
      <c r="EJ35" s="15" t="str">
        <f>IF('Raw Data'!DX45="","",'Raw Data'!DX45)</f>
        <v/>
      </c>
      <c r="EK35" s="15" t="str">
        <f>IF('Raw Data'!DY45="","",'Raw Data'!DY45)</f>
        <v/>
      </c>
      <c r="EL35" s="15" t="str">
        <f>IF('Raw Data'!DZ45="","",'Raw Data'!DZ45)</f>
        <v>dplct_abords_com Soutien_famille_amis Integration_com_hote</v>
      </c>
      <c r="EM35" s="15" t="str">
        <f>IF('Raw Data'!EA45="","",'Raw Data'!EA45)</f>
        <v>1</v>
      </c>
      <c r="EN35" s="15" t="str">
        <f>IF('Raw Data'!EB45="","",'Raw Data'!EB45)</f>
        <v>1</v>
      </c>
      <c r="EO35" s="15" t="str">
        <f>IF('Raw Data'!EC45="","",'Raw Data'!EC45)</f>
        <v>1</v>
      </c>
      <c r="EP35" s="15" t="str">
        <f>IF('Raw Data'!ED45="","",'Raw Data'!ED45)</f>
        <v>0</v>
      </c>
      <c r="EQ35" s="15" t="str">
        <f>IF('Raw Data'!EE45="","",'Raw Data'!EE45)</f>
        <v>0</v>
      </c>
      <c r="ER35" s="15" t="str">
        <f>IF('Raw Data'!EF45="","",'Raw Data'!EF45)</f>
        <v>0</v>
      </c>
      <c r="ES35" s="15" t="str">
        <f>IF('Raw Data'!EG45="","",'Raw Data'!EG45)</f>
        <v>0</v>
      </c>
      <c r="ET35" s="15" t="str">
        <f>IF('Raw Data'!EH45="","",'Raw Data'!EH45)</f>
        <v>0</v>
      </c>
      <c r="EU35" s="15" t="str">
        <f>IF('Raw Data'!EI45="","",'Raw Data'!EI45)</f>
        <v>0</v>
      </c>
      <c r="EV35" s="15" t="str">
        <f>IF('Raw Data'!EJ45="","",'Raw Data'!EJ45)</f>
        <v/>
      </c>
      <c r="EW35" s="15" t="str">
        <f>IF('Raw Data'!EK45="","",'Raw Data'!EK45)</f>
        <v/>
      </c>
      <c r="EX35" s="15" t="str">
        <f>IF('Raw Data'!EL45="","",'Raw Data'!EL45)</f>
        <v>femmes_elite comite_protection famille_accueil comite_gestion_conflits</v>
      </c>
      <c r="EY35" s="15" t="str">
        <f>IF('Raw Data'!EM45="","",'Raw Data'!EM45)</f>
        <v>1</v>
      </c>
      <c r="EZ35" s="15" t="str">
        <f>IF('Raw Data'!EN45="","",'Raw Data'!EN45)</f>
        <v>1</v>
      </c>
      <c r="FA35" s="15" t="str">
        <f>IF('Raw Data'!EO45="","",'Raw Data'!EO45)</f>
        <v>1</v>
      </c>
      <c r="FB35" s="15" t="str">
        <f>IF('Raw Data'!EP45="","",'Raw Data'!EP45)</f>
        <v>0</v>
      </c>
      <c r="FC35" s="15" t="str">
        <f>IF('Raw Data'!EQ45="","",'Raw Data'!EQ45)</f>
        <v>0</v>
      </c>
      <c r="FD35" s="15" t="str">
        <f>IF('Raw Data'!ER45="","",'Raw Data'!ER45)</f>
        <v>1</v>
      </c>
      <c r="FE35" s="15" t="str">
        <f>IF('Raw Data'!ES45="","",'Raw Data'!ES45)</f>
        <v>0</v>
      </c>
      <c r="FF35" s="15" t="str">
        <f>IF('Raw Data'!ET45="","",'Raw Data'!ET45)</f>
        <v>0</v>
      </c>
      <c r="FG35" s="15" t="str">
        <f>IF('Raw Data'!EU45="","",'Raw Data'!EU45)</f>
        <v>0</v>
      </c>
      <c r="FH35" s="15" t="str">
        <f>IF('Raw Data'!EV45="","",'Raw Data'!EV45)</f>
        <v>0</v>
      </c>
      <c r="FI35" s="15" t="str">
        <f>IF('Raw Data'!EW45="","",'Raw Data'!EW45)</f>
        <v/>
      </c>
      <c r="FJ35" s="15" t="str">
        <f>IF('Raw Data'!EX45="","",'Raw Data'!EX45)</f>
        <v>oui</v>
      </c>
      <c r="FK35" s="15" t="str">
        <f>IF('Raw Data'!EY45="","",'Raw Data'!EY45)</f>
        <v>Radio_television Internet Chef_village Differents_comites_villageois Groupement_femmes</v>
      </c>
      <c r="FL35" s="15" t="str">
        <f>IF('Raw Data'!EZ45="","",'Raw Data'!EZ45)</f>
        <v>1</v>
      </c>
      <c r="FM35" s="15" t="str">
        <f>IF('Raw Data'!FA45="","",'Raw Data'!FA45)</f>
        <v>0</v>
      </c>
      <c r="FN35" s="15" t="str">
        <f>IF('Raw Data'!FB45="","",'Raw Data'!FB45)</f>
        <v>1</v>
      </c>
      <c r="FO35" s="15" t="str">
        <f>IF('Raw Data'!FC45="","",'Raw Data'!FC45)</f>
        <v>0</v>
      </c>
      <c r="FP35" s="15" t="str">
        <f>IF('Raw Data'!FD45="","",'Raw Data'!FD45)</f>
        <v>1</v>
      </c>
      <c r="FQ35" s="15" t="str">
        <f>IF('Raw Data'!FE45="","",'Raw Data'!FE45)</f>
        <v>0</v>
      </c>
      <c r="FR35" s="15" t="str">
        <f>IF('Raw Data'!FF45="","",'Raw Data'!FF45)</f>
        <v>0</v>
      </c>
      <c r="FS35" s="15" t="str">
        <f>IF('Raw Data'!FG45="","",'Raw Data'!FG45)</f>
        <v>1</v>
      </c>
      <c r="FT35" s="15" t="str">
        <f>IF('Raw Data'!FH45="","",'Raw Data'!FH45)</f>
        <v>1</v>
      </c>
      <c r="FU35" s="15" t="str">
        <f>IF('Raw Data'!FI45="","",'Raw Data'!FI45)</f>
        <v>0</v>
      </c>
      <c r="FV35" s="15" t="str">
        <f>IF('Raw Data'!FJ45="","",'Raw Data'!FJ45)</f>
        <v>0</v>
      </c>
      <c r="FW35" s="15" t="str">
        <f>IF('Raw Data'!FK45="","",'Raw Data'!FK45)</f>
        <v>0</v>
      </c>
      <c r="FX35" s="15" t="str">
        <f>IF('Raw Data'!FL45="","",'Raw Data'!FL45)</f>
        <v>0</v>
      </c>
      <c r="FY35" s="15" t="str">
        <f>IF('Raw Data'!FM45="","",'Raw Data'!FM45)</f>
        <v>0</v>
      </c>
      <c r="FZ35" s="15" t="str">
        <f>IF('Raw Data'!FN45="","",'Raw Data'!FN45)</f>
        <v/>
      </c>
      <c r="GA35" s="15" t="str">
        <f>IF('Raw Data'!FO45="","",'Raw Data'!FO45)</f>
        <v>oui_majorite</v>
      </c>
      <c r="GB35" s="15" t="str">
        <f>IF('Raw Data'!FP45="","",'Raw Data'!FP45)</f>
        <v>oui_majorite</v>
      </c>
      <c r="GC35" s="15" t="str">
        <f>IF('Raw Data'!FQ45="","",'Raw Data'!FQ45)</f>
        <v>non_fonctionnelle</v>
      </c>
      <c r="GD35" s="15" t="str">
        <f>IF('Raw Data'!FR45="","",'Raw Data'!FR45)</f>
        <v>1</v>
      </c>
      <c r="GE35" s="15" t="str">
        <f>IF('Raw Data'!FS45="","",'Raw Data'!FS45)</f>
        <v>0</v>
      </c>
      <c r="GF35" s="15" t="str">
        <f>IF('Raw Data'!FT45="","",'Raw Data'!FT45)</f>
        <v>0</v>
      </c>
      <c r="GG35" s="15" t="str">
        <f>IF('Raw Data'!FU45="","",'Raw Data'!FU45)</f>
        <v>0</v>
      </c>
      <c r="GH35" s="15" t="str">
        <f>IF('Raw Data'!FV45="","",'Raw Data'!FV45)</f>
        <v>0</v>
      </c>
      <c r="GI35" s="15" t="str">
        <f>IF('Raw Data'!FW45="","",'Raw Data'!FW45)</f>
        <v>0</v>
      </c>
      <c r="GJ35" s="15" t="str">
        <f>IF('Raw Data'!FX45="","",'Raw Data'!FX45)</f>
        <v>0</v>
      </c>
      <c r="GK35" s="15" t="str">
        <f>IF('Raw Data'!FY45="","",'Raw Data'!FY45)</f>
        <v>0</v>
      </c>
      <c r="GL35" s="15" t="str">
        <f>IF('Raw Data'!FZ45="","",'Raw Data'!FZ45)</f>
        <v/>
      </c>
      <c r="GM35" s="15" t="str">
        <f>IF('Raw Data'!GA45="","",'Raw Data'!GA45)</f>
        <v>majorite</v>
      </c>
      <c r="GN35" s="15" t="str">
        <f>IF('Raw Data'!GB45="","",'Raw Data'!GB45)</f>
        <v>majorite</v>
      </c>
      <c r="GO35" s="15" t="str">
        <f>IF('Raw Data'!GC45="","",'Raw Data'!GC45)</f>
        <v>Education Service_de_counseling Services_de_sante Acces_aux_doc</v>
      </c>
      <c r="GP35" s="15" t="str">
        <f>IF('Raw Data'!GD45="","",'Raw Data'!GD45)</f>
        <v>0</v>
      </c>
      <c r="GQ35" s="15" t="str">
        <f>IF('Raw Data'!GE45="","",'Raw Data'!GE45)</f>
        <v>1</v>
      </c>
      <c r="GR35" s="15" t="str">
        <f>IF('Raw Data'!GF45="","",'Raw Data'!GF45)</f>
        <v>1</v>
      </c>
      <c r="GS35" s="15" t="str">
        <f>IF('Raw Data'!GG45="","",'Raw Data'!GG45)</f>
        <v>1</v>
      </c>
      <c r="GT35" s="15" t="str">
        <f>IF('Raw Data'!GH45="","",'Raw Data'!GH45)</f>
        <v>1</v>
      </c>
      <c r="GU35" s="15" t="str">
        <f>IF('Raw Data'!GI45="","",'Raw Data'!GI45)</f>
        <v>0</v>
      </c>
      <c r="GV35" s="15" t="str">
        <f>IF('Raw Data'!GJ45="","",'Raw Data'!GJ45)</f>
        <v>0</v>
      </c>
      <c r="GW35" s="15" t="str">
        <f>IF('Raw Data'!GK45="","",'Raw Data'!GK45)</f>
        <v>0</v>
      </c>
      <c r="GX35" s="15" t="str">
        <f>IF('Raw Data'!GL45="","",'Raw Data'!GL45)</f>
        <v>0</v>
      </c>
      <c r="GY35" s="15" t="str">
        <f>IF('Raw Data'!GM45="","",'Raw Data'!GM45)</f>
        <v/>
      </c>
      <c r="GZ35" s="15" t="str">
        <f>IF('Raw Data'!GN45="","",'Raw Data'!GN45)</f>
        <v>oui_ensemble</v>
      </c>
      <c r="HA35" s="15" t="str">
        <f>IF('Raw Data'!GO45="","",'Raw Data'!GO45)</f>
        <v>oui_ensemble</v>
      </c>
      <c r="HB35" s="15" t="str">
        <f>IF('Raw Data'!GP45="","",'Raw Data'!GP45)</f>
        <v>repond_besoins_pop amelioration_futur permet_eviter_conflits</v>
      </c>
      <c r="HC35" s="15" t="str">
        <f>IF('Raw Data'!GQ45="","",'Raw Data'!GQ45)</f>
        <v>1</v>
      </c>
      <c r="HD35" s="15" t="str">
        <f>IF('Raw Data'!GR45="","",'Raw Data'!GR45)</f>
        <v>1</v>
      </c>
      <c r="HE35" s="15" t="str">
        <f>IF('Raw Data'!GS45="","",'Raw Data'!GS45)</f>
        <v>0</v>
      </c>
      <c r="HF35" s="15" t="str">
        <f>IF('Raw Data'!GT45="","",'Raw Data'!GT45)</f>
        <v>1</v>
      </c>
      <c r="HG35" s="15" t="str">
        <f>IF('Raw Data'!GU45="","",'Raw Data'!GU45)</f>
        <v>0</v>
      </c>
      <c r="HH35" s="15" t="str">
        <f>IF('Raw Data'!GV45="","",'Raw Data'!GV45)</f>
        <v>0</v>
      </c>
      <c r="HI35" s="15" t="str">
        <f>IF('Raw Data'!GW45="","",'Raw Data'!GW45)</f>
        <v>0</v>
      </c>
      <c r="HJ35" s="15" t="str">
        <f>IF('Raw Data'!GX45="","",'Raw Data'!GX45)</f>
        <v>0</v>
      </c>
      <c r="HK35" s="15" t="str">
        <f>IF('Raw Data'!GY45="","",'Raw Data'!GY45)</f>
        <v/>
      </c>
      <c r="HL35" s="31"/>
      <c r="HM35" s="31"/>
      <c r="HN35" s="31"/>
      <c r="HO35" s="31"/>
      <c r="HP35" s="31"/>
      <c r="HQ35" s="31"/>
      <c r="HR35" s="31"/>
      <c r="HS35" s="31"/>
      <c r="HT35" s="15" t="str">
        <f>IF('Raw Data'!HH45="","",'Raw Data'!HH45)</f>
        <v/>
      </c>
      <c r="HU35" s="15" t="str">
        <f>IF('Raw Data'!HI45="","",'Raw Data'!HI45)</f>
        <v>oui_ensemble</v>
      </c>
      <c r="HV35" s="15" t="str">
        <f>IF('Raw Data'!HJ45="","",'Raw Data'!HJ45)</f>
        <v>ingo</v>
      </c>
      <c r="HW35" s="15" t="str">
        <f>IF('Raw Data'!HK45="","",'Raw Data'!HK45)</f>
        <v>0</v>
      </c>
      <c r="HX35" s="15" t="str">
        <f>IF('Raw Data'!HL45="","",'Raw Data'!HL45)</f>
        <v>0</v>
      </c>
      <c r="HY35" s="15" t="str">
        <f>IF('Raw Data'!HM45="","",'Raw Data'!HM45)</f>
        <v>0</v>
      </c>
      <c r="HZ35" s="15" t="str">
        <f>IF('Raw Data'!HN45="","",'Raw Data'!HN45)</f>
        <v>0</v>
      </c>
      <c r="IA35" s="15" t="str">
        <f>IF('Raw Data'!HO45="","",'Raw Data'!HO45)</f>
        <v>1</v>
      </c>
      <c r="IB35" s="15" t="str">
        <f>IF('Raw Data'!HP45="","",'Raw Data'!HP45)</f>
        <v>0</v>
      </c>
      <c r="IC35" s="15" t="str">
        <f>IF('Raw Data'!HQ45="","",'Raw Data'!HQ45)</f>
        <v>0</v>
      </c>
      <c r="ID35" s="15" t="str">
        <f>IF('Raw Data'!HR45="","",'Raw Data'!HR45)</f>
        <v>0</v>
      </c>
      <c r="IE35" s="15" t="str">
        <f>IF('Raw Data'!HS45="","",'Raw Data'!HS45)</f>
        <v>0</v>
      </c>
      <c r="IF35" s="15" t="str">
        <f>IF('Raw Data'!HT45="","",'Raw Data'!HT45)</f>
        <v>0</v>
      </c>
      <c r="IG35" s="15" t="str">
        <f>IF('Raw Data'!HU45="","",'Raw Data'!HU45)</f>
        <v/>
      </c>
      <c r="IH35" s="15" t="str">
        <f>IF('Raw Data'!HV45="","",'Raw Data'!HV45)</f>
        <v/>
      </c>
      <c r="II35" s="15" t="str">
        <f>IF('Raw Data'!HW45="","",'Raw Data'!HW45)</f>
        <v/>
      </c>
      <c r="IJ35" s="15" t="str">
        <f>IF('Raw Data'!HX45="","",'Raw Data'!HX45)</f>
        <v>Toute_population</v>
      </c>
      <c r="IK35" s="15" t="str">
        <f>IF('Raw Data'!HY45="","",'Raw Data'!HY45)</f>
        <v>0</v>
      </c>
      <c r="IL35" s="15" t="str">
        <f>IF('Raw Data'!HZ45="","",'Raw Data'!HZ45)</f>
        <v>0</v>
      </c>
      <c r="IM35" s="15" t="str">
        <f>IF('Raw Data'!IA45="","",'Raw Data'!IA45)</f>
        <v>0</v>
      </c>
      <c r="IN35" s="15" t="str">
        <f>IF('Raw Data'!IB45="","",'Raw Data'!IB45)</f>
        <v>0</v>
      </c>
      <c r="IO35" s="15" t="str">
        <f>IF('Raw Data'!IC45="","",'Raw Data'!IC45)</f>
        <v>0</v>
      </c>
      <c r="IP35" s="15" t="str">
        <f>IF('Raw Data'!ID45="","",'Raw Data'!ID45)</f>
        <v>0</v>
      </c>
      <c r="IQ35" s="15" t="str">
        <f>IF('Raw Data'!IE45="","",'Raw Data'!IE45)</f>
        <v>0</v>
      </c>
      <c r="IR35" s="15" t="str">
        <f>IF('Raw Data'!IF45="","",'Raw Data'!IF45)</f>
        <v>0</v>
      </c>
      <c r="IS35" s="15" t="str">
        <f>IF('Raw Data'!IG45="","",'Raw Data'!IG45)</f>
        <v>0</v>
      </c>
      <c r="IT35" s="15" t="str">
        <f>IF('Raw Data'!IH45="","",'Raw Data'!IH45)</f>
        <v>0</v>
      </c>
      <c r="IU35" s="15" t="str">
        <f>IF('Raw Data'!II45="","",'Raw Data'!II45)</f>
        <v>1</v>
      </c>
      <c r="IV35" s="15" t="str">
        <f>IF('Raw Data'!IJ45="","",'Raw Data'!IJ45)</f>
        <v>0</v>
      </c>
      <c r="IW35" s="15" t="str">
        <f>IF('Raw Data'!IK45="","",'Raw Data'!IK45)</f>
        <v>0</v>
      </c>
      <c r="IX35" s="15" t="str">
        <f>IF('Raw Data'!IL45="","",'Raw Data'!IL45)</f>
        <v>0</v>
      </c>
      <c r="IY35" s="15" t="str">
        <f>IF('Raw Data'!IM45="","",'Raw Data'!IM45)</f>
        <v/>
      </c>
      <c r="IZ35" s="15" t="str">
        <f>IF('Raw Data'!IN45="","",'Raw Data'!IN45)</f>
        <v>15</v>
      </c>
      <c r="JA35" s="15" t="str">
        <f>IF('Raw Data'!IO45="","",'Raw Data'!IO45)</f>
        <v>Services_medicaux Services_educatifs Appui_psychosocial</v>
      </c>
      <c r="JB35" s="15" t="str">
        <f>IF('Raw Data'!IP45="","",'Raw Data'!IP45)</f>
        <v>1</v>
      </c>
      <c r="JC35" s="15" t="str">
        <f>IF('Raw Data'!IQ45="","",'Raw Data'!IQ45)</f>
        <v>1</v>
      </c>
      <c r="JD35" s="15" t="str">
        <f>IF('Raw Data'!IR45="","",'Raw Data'!IR45)</f>
        <v>1</v>
      </c>
      <c r="JE35" s="15" t="str">
        <f>IF('Raw Data'!IS45="","",'Raw Data'!IS45)</f>
        <v>0</v>
      </c>
      <c r="JF35" s="15" t="str">
        <f>IF('Raw Data'!IT45="","",'Raw Data'!IT45)</f>
        <v>0</v>
      </c>
      <c r="JG35" s="15" t="str">
        <f>IF('Raw Data'!IU45="","",'Raw Data'!IU45)</f>
        <v>0</v>
      </c>
      <c r="JH35" s="15" t="str">
        <f>IF('Raw Data'!IV45="","",'Raw Data'!IV45)</f>
        <v>0</v>
      </c>
      <c r="JI35" s="15" t="str">
        <f>IF('Raw Data'!IW45="","",'Raw Data'!IW45)</f>
        <v>0</v>
      </c>
      <c r="JJ35" s="15" t="str">
        <f>IF('Raw Data'!IX45="","",'Raw Data'!IX45)</f>
        <v>0</v>
      </c>
      <c r="JK35" s="15" t="str">
        <f>IF('Raw Data'!IY45="","",'Raw Data'!IY45)</f>
        <v>0</v>
      </c>
      <c r="JL35" s="15" t="str">
        <f>IF('Raw Data'!IZ45="","",'Raw Data'!IZ45)</f>
        <v/>
      </c>
      <c r="JM35" s="15" t="str">
        <f>IF('Raw Data'!JA45="","",'Raw Data'!JA45)</f>
        <v>signalement reorientation</v>
      </c>
      <c r="JN35" s="15" t="str">
        <f>IF('Raw Data'!JB45="","",'Raw Data'!JB45)</f>
        <v>0</v>
      </c>
      <c r="JO35" s="15" t="str">
        <f>IF('Raw Data'!JC45="","",'Raw Data'!JC45)</f>
        <v>1</v>
      </c>
      <c r="JP35" s="15" t="str">
        <f>IF('Raw Data'!JD45="","",'Raw Data'!JD45)</f>
        <v>1</v>
      </c>
      <c r="JQ35" s="15" t="str">
        <f>IF('Raw Data'!JE45="","",'Raw Data'!JE45)</f>
        <v>0</v>
      </c>
      <c r="JR35" s="15" t="str">
        <f>IF('Raw Data'!JF45="","",'Raw Data'!JF45)</f>
        <v>0</v>
      </c>
      <c r="JS35" s="15" t="str">
        <f>IF('Raw Data'!JG45="","",'Raw Data'!JG45)</f>
        <v>0</v>
      </c>
      <c r="JT35" s="15" t="str">
        <f>IF('Raw Data'!JH45="","",'Raw Data'!JH45)</f>
        <v/>
      </c>
      <c r="JU35" s="15" t="str">
        <f>IF('Raw Data'!JI45="","",'Raw Data'!JI45)</f>
        <v/>
      </c>
      <c r="JV35" s="15" t="str">
        <f>IF('Raw Data'!JJ45="","",'Raw Data'!JJ45)</f>
        <v/>
      </c>
      <c r="JW35" s="15" t="str">
        <f>IF('Raw Data'!JK45="","",'Raw Data'!JK45)</f>
        <v/>
      </c>
      <c r="JX35" s="15" t="str">
        <f>IF('Raw Data'!JL45="","",'Raw Data'!JL45)</f>
        <v/>
      </c>
      <c r="JY35" s="15" t="str">
        <f>IF('Raw Data'!JM45="","",'Raw Data'!JM45)</f>
        <v/>
      </c>
      <c r="JZ35" s="15" t="str">
        <f>IF('Raw Data'!JN45="","",'Raw Data'!JN45)</f>
        <v/>
      </c>
      <c r="KA35" s="15" t="str">
        <f>IF('Raw Data'!JO45="","",'Raw Data'!JO45)</f>
        <v/>
      </c>
      <c r="KB35" s="15" t="str">
        <f>IF('Raw Data'!JP45="","",'Raw Data'!JP45)</f>
        <v/>
      </c>
      <c r="KC35" s="15" t="str">
        <f>IF('Raw Data'!JQ45="","",'Raw Data'!JQ45)</f>
        <v/>
      </c>
      <c r="KD35" s="15" t="str">
        <f>IF('Raw Data'!JR45="","",'Raw Data'!JR45)</f>
        <v/>
      </c>
      <c r="KE35" s="15" t="str">
        <f>IF('Raw Data'!JS45="","",'Raw Data'!JS45)</f>
        <v/>
      </c>
      <c r="KF35" s="15" t="str">
        <f>IF('Raw Data'!JT45="","",'Raw Data'!JT45)</f>
        <v>medical surete</v>
      </c>
      <c r="KG35" s="15" t="str">
        <f>IF('Raw Data'!JU45="","",'Raw Data'!JU45)</f>
        <v>1</v>
      </c>
      <c r="KH35" s="15" t="str">
        <f>IF('Raw Data'!JV45="","",'Raw Data'!JV45)</f>
        <v>0</v>
      </c>
      <c r="KI35" s="15" t="str">
        <f>IF('Raw Data'!JW45="","",'Raw Data'!JW45)</f>
        <v>0</v>
      </c>
      <c r="KJ35" s="15" t="str">
        <f>IF('Raw Data'!JX45="","",'Raw Data'!JX45)</f>
        <v>0</v>
      </c>
      <c r="KK35" s="15" t="str">
        <f>IF('Raw Data'!JY45="","",'Raw Data'!JY45)</f>
        <v>1</v>
      </c>
      <c r="KL35" s="15" t="str">
        <f>IF('Raw Data'!JZ45="","",'Raw Data'!JZ45)</f>
        <v>0</v>
      </c>
      <c r="KM35" s="15" t="str">
        <f>IF('Raw Data'!KA45="","",'Raw Data'!KA45)</f>
        <v>0</v>
      </c>
      <c r="KN35" s="15" t="str">
        <f>IF('Raw Data'!KB45="","",'Raw Data'!KB45)</f>
        <v>0</v>
      </c>
      <c r="KO35" s="15" t="str">
        <f>IF('Raw Data'!KC45="","",'Raw Data'!KC45)</f>
        <v>0</v>
      </c>
      <c r="KP35" s="15" t="str">
        <f>IF('Raw Data'!KD45="","",'Raw Data'!KD45)</f>
        <v/>
      </c>
      <c r="KQ35" s="15" t="str">
        <f>IF('Raw Data'!KE45="","",'Raw Data'!KE45)</f>
        <v/>
      </c>
      <c r="KR35" s="15" t="str">
        <f>IF('Raw Data'!KF45="","",'Raw Data'!KF45)</f>
        <v>non</v>
      </c>
      <c r="KS35" s="15" t="str">
        <f>IF('Raw Data'!KG45="","",'Raw Data'!KG45)</f>
        <v/>
      </c>
      <c r="KT35" s="15" t="str">
        <f>IF('Raw Data'!KH45="","",'Raw Data'!KH45)</f>
        <v/>
      </c>
      <c r="KU35" s="15" t="str">
        <f>IF('Raw Data'!KI45="","",'Raw Data'!KI45)</f>
        <v/>
      </c>
      <c r="KV35" s="15" t="str">
        <f>IF('Raw Data'!KJ45="","",'Raw Data'!KJ45)</f>
        <v/>
      </c>
      <c r="KW35" s="15" t="str">
        <f>IF('Raw Data'!KK45="","",'Raw Data'!KK45)</f>
        <v/>
      </c>
      <c r="KX35" s="15" t="str">
        <f>IF('Raw Data'!KL45="","",'Raw Data'!KL45)</f>
        <v/>
      </c>
      <c r="KY35" s="15" t="str">
        <f>IF('Raw Data'!KM45="","",'Raw Data'!KM45)</f>
        <v/>
      </c>
      <c r="KZ35" s="15" t="str">
        <f>IF('Raw Data'!KN45="","",'Raw Data'!KN45)</f>
        <v/>
      </c>
      <c r="LA35" s="15" t="str">
        <f>IF('Raw Data'!KO45="","",'Raw Data'!KO45)</f>
        <v/>
      </c>
      <c r="LB35" s="15" t="str">
        <f>IF('Raw Data'!KP45="","",'Raw Data'!KP45)</f>
        <v/>
      </c>
      <c r="LC35" s="15" t="str">
        <f>IF('Raw Data'!KQ45="","",'Raw Data'!KQ45)</f>
        <v/>
      </c>
      <c r="LD35" s="15" t="str">
        <f>IF('Raw Data'!KR45="","",'Raw Data'!KR45)</f>
        <v/>
      </c>
      <c r="LE35" s="15" t="str">
        <f>IF('Raw Data'!KS45="","",'Raw Data'!KS45)</f>
        <v/>
      </c>
      <c r="LF35" s="15" t="str">
        <f>IF('Raw Data'!KT45="","",'Raw Data'!KT45)</f>
        <v/>
      </c>
      <c r="LG35" s="15" t="str">
        <f>IF('Raw Data'!KU45="","",'Raw Data'!KU45)</f>
        <v/>
      </c>
      <c r="LH35" s="15" t="str">
        <f>IF('Raw Data'!KV45="","",'Raw Data'!KV45)</f>
        <v/>
      </c>
      <c r="LI35" s="15" t="str">
        <f>IF('Raw Data'!KW45="","",'Raw Data'!KW45)</f>
        <v/>
      </c>
      <c r="LJ35" s="15" t="str">
        <f>IF('Raw Data'!KX45="","",'Raw Data'!KX45)</f>
        <v/>
      </c>
      <c r="LK35" s="15" t="str">
        <f>IF('Raw Data'!KY45="","",'Raw Data'!KY45)</f>
        <v/>
      </c>
      <c r="LL35" s="15" t="str">
        <f>IF('Raw Data'!KZ45="","",'Raw Data'!KZ45)</f>
        <v/>
      </c>
      <c r="LM35" s="15" t="str">
        <f>IF('Raw Data'!LA45="","",'Raw Data'!LA45)</f>
        <v/>
      </c>
      <c r="LN35" s="15" t="str">
        <f>IF('Raw Data'!LB45="","",'Raw Data'!LB45)</f>
        <v>non</v>
      </c>
      <c r="LO35" s="15" t="str">
        <f>IF('Raw Data'!LC45="","",'Raw Data'!LC45)</f>
        <v/>
      </c>
      <c r="LP35" s="15" t="str">
        <f>IF('Raw Data'!LD45="","",'Raw Data'!LD45)</f>
        <v/>
      </c>
      <c r="LQ35" s="15" t="str">
        <f>IF('Raw Data'!LE45="","",'Raw Data'!LE45)</f>
        <v/>
      </c>
      <c r="LR35" s="15" t="str">
        <f>IF('Raw Data'!LF45="","",'Raw Data'!LF45)</f>
        <v/>
      </c>
      <c r="LS35" s="15" t="str">
        <f>IF('Raw Data'!LG45="","",'Raw Data'!LG45)</f>
        <v/>
      </c>
      <c r="LT35" s="15" t="str">
        <f>IF('Raw Data'!LH45="","",'Raw Data'!LH45)</f>
        <v/>
      </c>
      <c r="LU35" s="15" t="str">
        <f>IF('Raw Data'!LI45="","",'Raw Data'!LI45)</f>
        <v/>
      </c>
      <c r="LV35" s="15" t="str">
        <f>IF('Raw Data'!LJ45="","",'Raw Data'!LJ45)</f>
        <v/>
      </c>
      <c r="LW35" s="15" t="str">
        <f>IF('Raw Data'!LK45="","",'Raw Data'!LK45)</f>
        <v/>
      </c>
      <c r="LX35" s="15" t="str">
        <f>IF('Raw Data'!LL45="","",'Raw Data'!LL45)</f>
        <v/>
      </c>
      <c r="LY35" s="15" t="str">
        <f>IF('Raw Data'!LM45="","",'Raw Data'!LM45)</f>
        <v/>
      </c>
      <c r="LZ35" s="15" t="str">
        <f>IF('Raw Data'!LN45="","",'Raw Data'!LN45)</f>
        <v/>
      </c>
      <c r="MA35" s="15" t="str">
        <f>IF('Raw Data'!LO45="","",'Raw Data'!LO45)</f>
        <v/>
      </c>
      <c r="MB35" s="15" t="str">
        <f>IF('Raw Data'!LP45="","",'Raw Data'!LP45)</f>
        <v>oui</v>
      </c>
      <c r="MC35" s="15" t="str">
        <f>IF('Raw Data'!LQ45="","",'Raw Data'!LQ45)</f>
        <v/>
      </c>
      <c r="MD35" s="15" t="str">
        <f>IF('Raw Data'!LR45="","",'Raw Data'!LR45)</f>
        <v xml:space="preserve">Nous aider a pouvoir nous retrouver dans la vie,en nous apprenant des activité </v>
      </c>
      <c r="ME35" s="15">
        <f>IF('Raw Data'!LS45="","",'Raw Data'!LS45)</f>
        <v>170030462</v>
      </c>
      <c r="MF35" s="15" t="str">
        <f>IF('Raw Data'!LT45="","",'Raw Data'!LT45)</f>
        <v>ab1bf8ee-7d16-420e-b7d2-b0ebaf5203a6</v>
      </c>
      <c r="MG35" s="15" t="str">
        <f>IF('Raw Data'!LU45="","",'Raw Data'!LU45)</f>
        <v>2021-04-06T18:27:33</v>
      </c>
      <c r="MH35" s="15" t="str">
        <f>IF('Raw Data'!LV45="","",'Raw Data'!LV45)</f>
        <v/>
      </c>
      <c r="MI35" s="15" t="str">
        <f>IF('Raw Data'!LW45="","",'Raw Data'!LW45)</f>
        <v>[]</v>
      </c>
      <c r="MJ35" s="15" t="str">
        <f>IF('Raw Data'!LX45="","",'Raw Data'!LX45)</f>
        <v>submitted_via_web</v>
      </c>
      <c r="MK35" s="15" t="str">
        <f>IF('Raw Data'!LY45="","",'Raw Data'!LY45)</f>
        <v>reach_niger</v>
      </c>
      <c r="ML35" s="15" t="str">
        <f>IF('Raw Data'!LZ45="","",'Raw Data'!LZ45)</f>
        <v/>
      </c>
      <c r="MM35" s="15">
        <f>IF('Raw Data'!MA45="","",'Raw Data'!MA45)</f>
        <v>49</v>
      </c>
    </row>
    <row r="36" spans="1:351" x14ac:dyDescent="0.3">
      <c r="A36" s="26" t="str">
        <f t="shared" si="4"/>
        <v>48550592-086b-465a-a4f3-e2b981c04fdb</v>
      </c>
      <c r="B36" s="26" t="str">
        <f t="shared" si="5"/>
        <v>ouallam</v>
      </c>
      <c r="C36" s="26" t="str">
        <f t="shared" si="6"/>
        <v>H</v>
      </c>
      <c r="D36" s="14" t="str">
        <f>IF('Raw Data'!A44="","",'Raw Data'!A44)</f>
        <v>2021-04-06T13:32:35.307+01:00</v>
      </c>
      <c r="E36" s="14" t="str">
        <f>IF('Raw Data'!B44="","",'Raw Data'!B44)</f>
        <v>2021-04-06T14:53:03.581+01:00</v>
      </c>
      <c r="F36" s="30">
        <v>44292.564293981479</v>
      </c>
      <c r="G36" s="30">
        <v>44292.620173611111</v>
      </c>
      <c r="H36" s="29">
        <f>VLOOKUP(A36,Audit[#All],2,FALSE)</f>
        <v>221.97</v>
      </c>
      <c r="I36" s="29">
        <f>VLOOKUP(A36,Audit[#All],3,FALSE)</f>
        <v>80.27</v>
      </c>
      <c r="J36" s="29">
        <f>VLOOKUP(A36,Audit[#All],4,FALSE)</f>
        <v>71.989999999999995</v>
      </c>
      <c r="K36" s="29">
        <f>VLOOKUP(A36,nb_questions[#All],2,FALSE)</f>
        <v>120</v>
      </c>
      <c r="L36" s="29">
        <f t="shared" si="7"/>
        <v>68</v>
      </c>
      <c r="M36" s="14" t="str">
        <f>IF('Raw Data'!C44="","",'Raw Data'!C44)</f>
        <v>2021-04-06</v>
      </c>
      <c r="N36" s="14" t="str">
        <f>IF('Raw Data'!D44="","",'Raw Data'!D44)</f>
        <v/>
      </c>
      <c r="O36" s="14" t="str">
        <f>IF('Raw Data'!E44="","",'Raw Data'!E44)</f>
        <v/>
      </c>
      <c r="P36" s="29" t="str">
        <f>VLOOKUP(A36,code_enqueteurs[#All],3,FALSE)</f>
        <v>H</v>
      </c>
      <c r="Q36" s="29" t="s">
        <v>1652</v>
      </c>
      <c r="R36" s="14" t="str">
        <f>IF('Raw Data'!F44="","",'Raw Data'!F44)</f>
        <v>Homme</v>
      </c>
      <c r="S36" s="15" t="str">
        <f>IF('Raw Data'!G44="","",'Raw Data'!G44)</f>
        <v>ouallam</v>
      </c>
      <c r="T36" s="15" t="str">
        <f>IF('Raw Data'!H44="","",'Raw Data'!H44)</f>
        <v>ouallam</v>
      </c>
      <c r="U36" s="15" t="str">
        <f>IF('Raw Data'!I44="","",'Raw Data'!I44)</f>
        <v>ouallam_pdi</v>
      </c>
      <c r="V36" s="15" t="str">
        <f>IF('Raw Data'!J44="","",'Raw Data'!J44)</f>
        <v/>
      </c>
      <c r="W36" s="15" t="str">
        <f>IF('Raw Data'!K44="","",'Raw Data'!K44)</f>
        <v/>
      </c>
      <c r="X36" s="15" t="str">
        <f>IF('Raw Data'!L44="","",'Raw Data'!L44)</f>
        <v/>
      </c>
      <c r="Y36" s="15" t="str">
        <f>IF('Raw Data'!M44="","",'Raw Data'!M44)</f>
        <v/>
      </c>
      <c r="Z36" s="15" t="str">
        <f>IF('Raw Data'!N44="","",'Raw Data'!N44)</f>
        <v/>
      </c>
      <c r="AA36" s="15" t="str">
        <f>IF('Raw Data'!O44="","",'Raw Data'!O44)</f>
        <v/>
      </c>
      <c r="AB36" s="15" t="str">
        <f>IF('Raw Data'!P44="","",'Raw Data'!P44)</f>
        <v/>
      </c>
      <c r="AC36" s="15" t="str">
        <f>IF('Raw Data'!Q44="","",'Raw Data'!Q44)</f>
        <v/>
      </c>
      <c r="AD36" s="15" t="str">
        <f>IF('Raw Data'!R44="","",'Raw Data'!R44)</f>
        <v>Homme</v>
      </c>
      <c r="AE36" s="15" t="str">
        <f>IF('Raw Data'!S44="","",'Raw Data'!S44)</f>
        <v>31</v>
      </c>
      <c r="AF36" s="15" t="str">
        <f>IF('Raw Data'!T44="","",'Raw Data'!T44)</f>
        <v>deplace_interne</v>
      </c>
      <c r="AG36" s="15" t="str">
        <f>IF('Raw Data'!U44="","",'Raw Data'!U44)</f>
        <v/>
      </c>
      <c r="AH36" s="15" t="str">
        <f>IF('Raw Data'!V44="","",'Raw Data'!V44)</f>
        <v/>
      </c>
      <c r="AI36" s="15" t="str">
        <f>IF('Raw Data'!W44="","",'Raw Data'!W44)</f>
        <v/>
      </c>
      <c r="AJ36" s="15" t="str">
        <f>IF('Raw Data'!X44="","",'Raw Data'!X44)</f>
        <v/>
      </c>
      <c r="AK36" s="15" t="str">
        <f>IF('Raw Data'!Y44="","",'Raw Data'!Y44)</f>
        <v/>
      </c>
      <c r="AL36" s="15" t="str">
        <f>IF('Raw Data'!Z44="","",'Raw Data'!Z44)</f>
        <v>niger</v>
      </c>
      <c r="AM36" s="15" t="str">
        <f>IF('Raw Data'!AA44="","",'Raw Data'!AA44)</f>
        <v>tillaberi</v>
      </c>
      <c r="AN36" s="15" t="str">
        <f>IF('Raw Data'!AB44="","",'Raw Data'!AB44)</f>
        <v>banibangou</v>
      </c>
      <c r="AO36" s="15" t="str">
        <f>IF('Raw Data'!AC44="","",'Raw Data'!AC44)</f>
        <v/>
      </c>
      <c r="AP36" s="15" t="str">
        <f>IF('Raw Data'!AD44="","",'Raw Data'!AD44)</f>
        <v/>
      </c>
      <c r="AQ36" s="15" t="str">
        <f>IF('Raw Data'!AE44="","",'Raw Data'!AE44)</f>
        <v/>
      </c>
      <c r="AR36" s="15" t="str">
        <f>IF('Raw Data'!AF44="","",'Raw Data'!AF44)</f>
        <v/>
      </c>
      <c r="AS36" s="15" t="str">
        <f>IF('Raw Data'!AG44="","",'Raw Data'!AG44)</f>
        <v>oui</v>
      </c>
      <c r="AT36" s="15" t="str">
        <f>IF('Raw Data'!AH44="","",'Raw Data'!AH44)</f>
        <v>Disputes_intercommunataires extorsions Violences_physique_civils</v>
      </c>
      <c r="AU36" s="15" t="str">
        <f>IF('Raw Data'!AI44="","",'Raw Data'!AI44)</f>
        <v>0</v>
      </c>
      <c r="AV36" s="15" t="str">
        <f>IF('Raw Data'!AJ44="","",'Raw Data'!AJ44)</f>
        <v>1</v>
      </c>
      <c r="AW36" s="15" t="str">
        <f>IF('Raw Data'!AK44="","",'Raw Data'!AK44)</f>
        <v>0</v>
      </c>
      <c r="AX36" s="15" t="str">
        <f>IF('Raw Data'!AL44="","",'Raw Data'!AL44)</f>
        <v>1</v>
      </c>
      <c r="AY36" s="15" t="str">
        <f>IF('Raw Data'!AM44="","",'Raw Data'!AM44)</f>
        <v>1</v>
      </c>
      <c r="AZ36" s="15" t="str">
        <f>IF('Raw Data'!AN44="","",'Raw Data'!AN44)</f>
        <v>0</v>
      </c>
      <c r="BA36" s="15" t="str">
        <f>IF('Raw Data'!AO44="","",'Raw Data'!AO44)</f>
        <v>0</v>
      </c>
      <c r="BB36" s="15" t="str">
        <f>IF('Raw Data'!AP44="","",'Raw Data'!AP44)</f>
        <v>0</v>
      </c>
      <c r="BC36" s="15" t="str">
        <f>IF('Raw Data'!AQ44="","",'Raw Data'!AQ44)</f>
        <v>0</v>
      </c>
      <c r="BD36" s="15" t="str">
        <f>IF('Raw Data'!AR44="","",'Raw Data'!AR44)</f>
        <v>0</v>
      </c>
      <c r="BE36" s="15" t="str">
        <f>IF('Raw Data'!AS44="","",'Raw Data'!AS44)</f>
        <v>0</v>
      </c>
      <c r="BF36" s="15" t="str">
        <f>IF('Raw Data'!AT44="","",'Raw Data'!AT44)</f>
        <v>0</v>
      </c>
      <c r="BG36" s="15" t="str">
        <f>IF('Raw Data'!AU44="","",'Raw Data'!AU44)</f>
        <v>0</v>
      </c>
      <c r="BH36" s="15" t="str">
        <f>IF('Raw Data'!AV44="","",'Raw Data'!AV44)</f>
        <v>0</v>
      </c>
      <c r="BI36" s="15" t="str">
        <f>IF('Raw Data'!AW44="","",'Raw Data'!AW44)</f>
        <v/>
      </c>
      <c r="BJ36" s="15" t="str">
        <f>IF('Raw Data'!AX44="","",'Raw Data'!AX44)</f>
        <v>Toute_population</v>
      </c>
      <c r="BK36" s="15" t="str">
        <f>IF('Raw Data'!AY44="","",'Raw Data'!AY44)</f>
        <v>0</v>
      </c>
      <c r="BL36" s="15" t="str">
        <f>IF('Raw Data'!AZ44="","",'Raw Data'!AZ44)</f>
        <v>0</v>
      </c>
      <c r="BM36" s="15" t="str">
        <f>IF('Raw Data'!BA44="","",'Raw Data'!BA44)</f>
        <v>0</v>
      </c>
      <c r="BN36" s="15" t="str">
        <f>IF('Raw Data'!BB44="","",'Raw Data'!BB44)</f>
        <v>0</v>
      </c>
      <c r="BO36" s="15" t="str">
        <f>IF('Raw Data'!BC44="","",'Raw Data'!BC44)</f>
        <v>0</v>
      </c>
      <c r="BP36" s="15" t="str">
        <f>IF('Raw Data'!BD44="","",'Raw Data'!BD44)</f>
        <v>0</v>
      </c>
      <c r="BQ36" s="15" t="str">
        <f>IF('Raw Data'!BE44="","",'Raw Data'!BE44)</f>
        <v>0</v>
      </c>
      <c r="BR36" s="15" t="str">
        <f>IF('Raw Data'!BF44="","",'Raw Data'!BF44)</f>
        <v>0</v>
      </c>
      <c r="BS36" s="15" t="str">
        <f>IF('Raw Data'!BG44="","",'Raw Data'!BG44)</f>
        <v>0</v>
      </c>
      <c r="BT36" s="15" t="str">
        <f>IF('Raw Data'!BH44="","",'Raw Data'!BH44)</f>
        <v>0</v>
      </c>
      <c r="BU36" s="15" t="str">
        <f>IF('Raw Data'!BI44="","",'Raw Data'!BI44)</f>
        <v>1</v>
      </c>
      <c r="BV36" s="15" t="str">
        <f>IF('Raw Data'!BJ44="","",'Raw Data'!BJ44)</f>
        <v>0</v>
      </c>
      <c r="BW36" s="15" t="str">
        <f>IF('Raw Data'!BK44="","",'Raw Data'!BK44)</f>
        <v>0</v>
      </c>
      <c r="BX36" s="15" t="str">
        <f>IF('Raw Data'!BL44="","",'Raw Data'!BL44)</f>
        <v>0</v>
      </c>
      <c r="BY36" s="15" t="str">
        <f>IF('Raw Data'!BM44="","",'Raw Data'!BM44)</f>
        <v/>
      </c>
      <c r="BZ36" s="15" t="str">
        <f>IF('Raw Data'!BN44="","",'Raw Data'!BN44)</f>
        <v>plusde5</v>
      </c>
      <c r="CA36" s="15" t="str">
        <f>IF('Raw Data'!BO44="","",'Raw Data'!BO44)</f>
        <v>augmente</v>
      </c>
      <c r="CB36" s="15" t="str">
        <f>IF('Raw Data'!BP44="","",'Raw Data'!BP44)</f>
        <v/>
      </c>
      <c r="CC36" s="15" t="str">
        <f>IF('Raw Data'!BQ44="","",'Raw Data'!BQ44)</f>
        <v>oui</v>
      </c>
      <c r="CD36" s="15" t="str">
        <f>IF('Raw Data'!BR44="","",'Raw Data'!BR44)</f>
        <v>travail_force agression_physique</v>
      </c>
      <c r="CE36" s="15" t="str">
        <f>IF('Raw Data'!BS44="","",'Raw Data'!BS44)</f>
        <v>0</v>
      </c>
      <c r="CF36" s="15" t="str">
        <f>IF('Raw Data'!BT44="","",'Raw Data'!BT44)</f>
        <v>0</v>
      </c>
      <c r="CG36" s="15" t="str">
        <f>IF('Raw Data'!BU44="","",'Raw Data'!BU44)</f>
        <v>1</v>
      </c>
      <c r="CH36" s="15" t="str">
        <f>IF('Raw Data'!BV44="","",'Raw Data'!BV44)</f>
        <v>0</v>
      </c>
      <c r="CI36" s="15" t="str">
        <f>IF('Raw Data'!BW44="","",'Raw Data'!BW44)</f>
        <v>0</v>
      </c>
      <c r="CJ36" s="15" t="str">
        <f>IF('Raw Data'!BX44="","",'Raw Data'!BX44)</f>
        <v>0</v>
      </c>
      <c r="CK36" s="15" t="str">
        <f>IF('Raw Data'!BY44="","",'Raw Data'!BY44)</f>
        <v>1</v>
      </c>
      <c r="CL36" s="15" t="str">
        <f>IF('Raw Data'!BZ44="","",'Raw Data'!BZ44)</f>
        <v>0</v>
      </c>
      <c r="CM36" s="15" t="str">
        <f>IF('Raw Data'!CA44="","",'Raw Data'!CA44)</f>
        <v>0</v>
      </c>
      <c r="CN36" s="15" t="str">
        <f>IF('Raw Data'!CB44="","",'Raw Data'!CB44)</f>
        <v>0</v>
      </c>
      <c r="CO36" s="15" t="str">
        <f>IF('Raw Data'!CC44="","",'Raw Data'!CC44)</f>
        <v>0</v>
      </c>
      <c r="CP36" s="15" t="str">
        <f>IF('Raw Data'!CD44="","",'Raw Data'!CD44)</f>
        <v>0</v>
      </c>
      <c r="CQ36" s="15" t="str">
        <f>IF('Raw Data'!CE44="","",'Raw Data'!CE44)</f>
        <v>0</v>
      </c>
      <c r="CR36" s="15" t="str">
        <f>IF('Raw Data'!CF44="","",'Raw Data'!CF44)</f>
        <v>0</v>
      </c>
      <c r="CS36" s="15" t="str">
        <f>IF('Raw Data'!CG44="","",'Raw Data'!CG44)</f>
        <v>0</v>
      </c>
      <c r="CT36" s="15" t="str">
        <f>IF('Raw Data'!CH44="","",'Raw Data'!CH44)</f>
        <v/>
      </c>
      <c r="CU36" s="15" t="str">
        <f>IF('Raw Data'!CI44="","",'Raw Data'!CI44)</f>
        <v>Hommes Hommes_ages</v>
      </c>
      <c r="CV36" s="15" t="str">
        <f>IF('Raw Data'!CJ44="","",'Raw Data'!CJ44)</f>
        <v>0</v>
      </c>
      <c r="CW36" s="15" t="str">
        <f>IF('Raw Data'!CK44="","",'Raw Data'!CK44)</f>
        <v>0</v>
      </c>
      <c r="CX36" s="15" t="str">
        <f>IF('Raw Data'!CL44="","",'Raw Data'!CL44)</f>
        <v>0</v>
      </c>
      <c r="CY36" s="15" t="str">
        <f>IF('Raw Data'!CM44="","",'Raw Data'!CM44)</f>
        <v>0</v>
      </c>
      <c r="CZ36" s="15" t="str">
        <f>IF('Raw Data'!CN44="","",'Raw Data'!CN44)</f>
        <v>0</v>
      </c>
      <c r="DA36" s="15" t="str">
        <f>IF('Raw Data'!CO44="","",'Raw Data'!CO44)</f>
        <v>1</v>
      </c>
      <c r="DB36" s="15" t="str">
        <f>IF('Raw Data'!CP44="","",'Raw Data'!CP44)</f>
        <v>0</v>
      </c>
      <c r="DC36" s="15" t="str">
        <f>IF('Raw Data'!CQ44="","",'Raw Data'!CQ44)</f>
        <v>1</v>
      </c>
      <c r="DD36" s="15" t="str">
        <f>IF('Raw Data'!CR44="","",'Raw Data'!CR44)</f>
        <v>0</v>
      </c>
      <c r="DE36" s="15" t="str">
        <f>IF('Raw Data'!CS44="","",'Raw Data'!CS44)</f>
        <v>0</v>
      </c>
      <c r="DF36" s="15" t="str">
        <f>IF('Raw Data'!CT44="","",'Raw Data'!CT44)</f>
        <v>0</v>
      </c>
      <c r="DG36" s="15" t="str">
        <f>IF('Raw Data'!CU44="","",'Raw Data'!CU44)</f>
        <v>0</v>
      </c>
      <c r="DH36" s="15" t="str">
        <f>IF('Raw Data'!CV44="","",'Raw Data'!CV44)</f>
        <v>0</v>
      </c>
      <c r="DI36" s="15" t="str">
        <f>IF('Raw Data'!CW44="","",'Raw Data'!CW44)</f>
        <v>0</v>
      </c>
      <c r="DJ36" s="15" t="str">
        <f>IF('Raw Data'!CX44="","",'Raw Data'!CX44)</f>
        <v/>
      </c>
      <c r="DK36" s="15" t="str">
        <f>IF('Raw Data'!CY44="","",'Raw Data'!CY44)</f>
        <v>plusde5</v>
      </c>
      <c r="DL36" s="15" t="str">
        <f>IF('Raw Data'!CZ44="","",'Raw Data'!CZ44)</f>
        <v>augmente</v>
      </c>
      <c r="DM36" s="15" t="str">
        <f>IF('Raw Data'!DA44="","",'Raw Data'!DA44)</f>
        <v/>
      </c>
      <c r="DN36" s="15" t="str">
        <f>IF('Raw Data'!DB44="","",'Raw Data'!DB44)</f>
        <v>autre</v>
      </c>
      <c r="DO36" s="15" t="str">
        <f>IF('Raw Data'!DC44="","",'Raw Data'!DC44)</f>
        <v>0</v>
      </c>
      <c r="DP36" s="15" t="str">
        <f>IF('Raw Data'!DD44="","",'Raw Data'!DD44)</f>
        <v>0</v>
      </c>
      <c r="DQ36" s="15" t="str">
        <f>IF('Raw Data'!DE44="","",'Raw Data'!DE44)</f>
        <v>0</v>
      </c>
      <c r="DR36" s="15" t="str">
        <f>IF('Raw Data'!DF44="","",'Raw Data'!DF44)</f>
        <v>0</v>
      </c>
      <c r="DS36" s="15" t="str">
        <f>IF('Raw Data'!DG44="","",'Raw Data'!DG44)</f>
        <v>0</v>
      </c>
      <c r="DT36" s="15" t="str">
        <f>IF('Raw Data'!DH44="","",'Raw Data'!DH44)</f>
        <v>0</v>
      </c>
      <c r="DU36" s="15" t="str">
        <f>IF('Raw Data'!DI44="","",'Raw Data'!DI44)</f>
        <v>0</v>
      </c>
      <c r="DV36" s="15" t="str">
        <f>IF('Raw Data'!DJ44="","",'Raw Data'!DJ44)</f>
        <v>1</v>
      </c>
      <c r="DW36" s="15" t="str">
        <f>IF('Raw Data'!DK44="","",'Raw Data'!DK44)</f>
        <v>0</v>
      </c>
      <c r="DX36" s="15" t="str">
        <f>IF('Raw Data'!DL44="","",'Raw Data'!DL44)</f>
        <v>0</v>
      </c>
      <c r="DY36" s="15" t="str">
        <f>IF('Raw Data'!DM44="","",'Raw Data'!DM44)</f>
        <v>Aucune riposte contre eux</v>
      </c>
      <c r="DZ36" s="15" t="str">
        <f>IF('Raw Data'!DN44="","",'Raw Data'!DN44)</f>
        <v/>
      </c>
      <c r="EA36" s="15" t="str">
        <f>IF('Raw Data'!DO44="","",'Raw Data'!DO44)</f>
        <v/>
      </c>
      <c r="EB36" s="15" t="str">
        <f>IF('Raw Data'!DP44="","",'Raw Data'!DP44)</f>
        <v/>
      </c>
      <c r="EC36" s="15" t="str">
        <f>IF('Raw Data'!DQ44="","",'Raw Data'!DQ44)</f>
        <v/>
      </c>
      <c r="ED36" s="15" t="str">
        <f>IF('Raw Data'!DR44="","",'Raw Data'!DR44)</f>
        <v/>
      </c>
      <c r="EE36" s="15" t="str">
        <f>IF('Raw Data'!DS44="","",'Raw Data'!DS44)</f>
        <v/>
      </c>
      <c r="EF36" s="15" t="str">
        <f>IF('Raw Data'!DT44="","",'Raw Data'!DT44)</f>
        <v/>
      </c>
      <c r="EG36" s="15" t="str">
        <f>IF('Raw Data'!DU44="","",'Raw Data'!DU44)</f>
        <v/>
      </c>
      <c r="EH36" s="15" t="str">
        <f>IF('Raw Data'!DV44="","",'Raw Data'!DV44)</f>
        <v/>
      </c>
      <c r="EI36" s="15" t="str">
        <f>IF('Raw Data'!DW44="","",'Raw Data'!DW44)</f>
        <v/>
      </c>
      <c r="EJ36" s="15" t="str">
        <f>IF('Raw Data'!DX44="","",'Raw Data'!DX44)</f>
        <v/>
      </c>
      <c r="EK36" s="15" t="str">
        <f>IF('Raw Data'!DY44="","",'Raw Data'!DY44)</f>
        <v/>
      </c>
      <c r="EL36" s="15" t="str">
        <f>IF('Raw Data'!DZ44="","",'Raw Data'!DZ44)</f>
        <v>dplct_abords_com</v>
      </c>
      <c r="EM36" s="15" t="str">
        <f>IF('Raw Data'!EA44="","",'Raw Data'!EA44)</f>
        <v>1</v>
      </c>
      <c r="EN36" s="15" t="str">
        <f>IF('Raw Data'!EB44="","",'Raw Data'!EB44)</f>
        <v>0</v>
      </c>
      <c r="EO36" s="15" t="str">
        <f>IF('Raw Data'!EC44="","",'Raw Data'!EC44)</f>
        <v>0</v>
      </c>
      <c r="EP36" s="15" t="str">
        <f>IF('Raw Data'!ED44="","",'Raw Data'!ED44)</f>
        <v>0</v>
      </c>
      <c r="EQ36" s="15" t="str">
        <f>IF('Raw Data'!EE44="","",'Raw Data'!EE44)</f>
        <v>0</v>
      </c>
      <c r="ER36" s="15" t="str">
        <f>IF('Raw Data'!EF44="","",'Raw Data'!EF44)</f>
        <v>0</v>
      </c>
      <c r="ES36" s="15" t="str">
        <f>IF('Raw Data'!EG44="","",'Raw Data'!EG44)</f>
        <v>0</v>
      </c>
      <c r="ET36" s="15" t="str">
        <f>IF('Raw Data'!EH44="","",'Raw Data'!EH44)</f>
        <v>0</v>
      </c>
      <c r="EU36" s="15" t="str">
        <f>IF('Raw Data'!EI44="","",'Raw Data'!EI44)</f>
        <v>0</v>
      </c>
      <c r="EV36" s="15" t="str">
        <f>IF('Raw Data'!EJ44="","",'Raw Data'!EJ44)</f>
        <v/>
      </c>
      <c r="EW36" s="15" t="str">
        <f>IF('Raw Data'!EK44="","",'Raw Data'!EK44)</f>
        <v/>
      </c>
      <c r="EX36" s="15" t="str">
        <f>IF('Raw Data'!EL44="","",'Raw Data'!EL44)</f>
        <v>femmes_elite comite_protection comite_gestion_conflits comite_alerte</v>
      </c>
      <c r="EY36" s="15" t="str">
        <f>IF('Raw Data'!EM44="","",'Raw Data'!EM44)</f>
        <v>1</v>
      </c>
      <c r="EZ36" s="15" t="str">
        <f>IF('Raw Data'!EN44="","",'Raw Data'!EN44)</f>
        <v>1</v>
      </c>
      <c r="FA36" s="15" t="str">
        <f>IF('Raw Data'!EO44="","",'Raw Data'!EO44)</f>
        <v>0</v>
      </c>
      <c r="FB36" s="15" t="str">
        <f>IF('Raw Data'!EP44="","",'Raw Data'!EP44)</f>
        <v>1</v>
      </c>
      <c r="FC36" s="15" t="str">
        <f>IF('Raw Data'!EQ44="","",'Raw Data'!EQ44)</f>
        <v>0</v>
      </c>
      <c r="FD36" s="15" t="str">
        <f>IF('Raw Data'!ER44="","",'Raw Data'!ER44)</f>
        <v>1</v>
      </c>
      <c r="FE36" s="15" t="str">
        <f>IF('Raw Data'!ES44="","",'Raw Data'!ES44)</f>
        <v>0</v>
      </c>
      <c r="FF36" s="15" t="str">
        <f>IF('Raw Data'!ET44="","",'Raw Data'!ET44)</f>
        <v>0</v>
      </c>
      <c r="FG36" s="15" t="str">
        <f>IF('Raw Data'!EU44="","",'Raw Data'!EU44)</f>
        <v>0</v>
      </c>
      <c r="FH36" s="15" t="str">
        <f>IF('Raw Data'!EV44="","",'Raw Data'!EV44)</f>
        <v>0</v>
      </c>
      <c r="FI36" s="15" t="str">
        <f>IF('Raw Data'!EW44="","",'Raw Data'!EW44)</f>
        <v/>
      </c>
      <c r="FJ36" s="15" t="str">
        <f>IF('Raw Data'!EX44="","",'Raw Data'!EX44)</f>
        <v>oui</v>
      </c>
      <c r="FK36" s="15" t="str">
        <f>IF('Raw Data'!EY44="","",'Raw Data'!EY44)</f>
        <v>Ecole Internet Radio_television Travailleurs_sociaux/hum Differents_comites_villageois</v>
      </c>
      <c r="FL36" s="15" t="str">
        <f>IF('Raw Data'!EZ44="","",'Raw Data'!EZ44)</f>
        <v>1</v>
      </c>
      <c r="FM36" s="15" t="str">
        <f>IF('Raw Data'!FA44="","",'Raw Data'!FA44)</f>
        <v>0</v>
      </c>
      <c r="FN36" s="15" t="str">
        <f>IF('Raw Data'!FB44="","",'Raw Data'!FB44)</f>
        <v>1</v>
      </c>
      <c r="FO36" s="15" t="str">
        <f>IF('Raw Data'!FC44="","",'Raw Data'!FC44)</f>
        <v>0</v>
      </c>
      <c r="FP36" s="15" t="str">
        <f>IF('Raw Data'!FD44="","",'Raw Data'!FD44)</f>
        <v>0</v>
      </c>
      <c r="FQ36" s="15" t="str">
        <f>IF('Raw Data'!FE44="","",'Raw Data'!FE44)</f>
        <v>0</v>
      </c>
      <c r="FR36" s="15" t="str">
        <f>IF('Raw Data'!FF44="","",'Raw Data'!FF44)</f>
        <v>0</v>
      </c>
      <c r="FS36" s="15" t="str">
        <f>IF('Raw Data'!FG44="","",'Raw Data'!FG44)</f>
        <v>0</v>
      </c>
      <c r="FT36" s="15" t="str">
        <f>IF('Raw Data'!FH44="","",'Raw Data'!FH44)</f>
        <v>1</v>
      </c>
      <c r="FU36" s="15" t="str">
        <f>IF('Raw Data'!FI44="","",'Raw Data'!FI44)</f>
        <v>0</v>
      </c>
      <c r="FV36" s="15" t="str">
        <f>IF('Raw Data'!FJ44="","",'Raw Data'!FJ44)</f>
        <v>1</v>
      </c>
      <c r="FW36" s="15" t="str">
        <f>IF('Raw Data'!FK44="","",'Raw Data'!FK44)</f>
        <v>1</v>
      </c>
      <c r="FX36" s="15" t="str">
        <f>IF('Raw Data'!FL44="","",'Raw Data'!FL44)</f>
        <v>0</v>
      </c>
      <c r="FY36" s="15" t="str">
        <f>IF('Raw Data'!FM44="","",'Raw Data'!FM44)</f>
        <v>0</v>
      </c>
      <c r="FZ36" s="15" t="str">
        <f>IF('Raw Data'!FN44="","",'Raw Data'!FN44)</f>
        <v/>
      </c>
      <c r="GA36" s="15" t="str">
        <f>IF('Raw Data'!FO44="","",'Raw Data'!FO44)</f>
        <v>oui_majorite</v>
      </c>
      <c r="GB36" s="15" t="str">
        <f>IF('Raw Data'!FP44="","",'Raw Data'!FP44)</f>
        <v>oui_majorite</v>
      </c>
      <c r="GC36" s="15" t="str">
        <f>IF('Raw Data'!FQ44="","",'Raw Data'!FQ44)</f>
        <v>insecurite</v>
      </c>
      <c r="GD36" s="15" t="str">
        <f>IF('Raw Data'!FR44="","",'Raw Data'!FR44)</f>
        <v>0</v>
      </c>
      <c r="GE36" s="15" t="str">
        <f>IF('Raw Data'!FS44="","",'Raw Data'!FS44)</f>
        <v>0</v>
      </c>
      <c r="GF36" s="15" t="str">
        <f>IF('Raw Data'!FT44="","",'Raw Data'!FT44)</f>
        <v>0</v>
      </c>
      <c r="GG36" s="15" t="str">
        <f>IF('Raw Data'!FU44="","",'Raw Data'!FU44)</f>
        <v>0</v>
      </c>
      <c r="GH36" s="15" t="str">
        <f>IF('Raw Data'!FV44="","",'Raw Data'!FV44)</f>
        <v>0</v>
      </c>
      <c r="GI36" s="15" t="str">
        <f>IF('Raw Data'!FW44="","",'Raw Data'!FW44)</f>
        <v>1</v>
      </c>
      <c r="GJ36" s="15" t="str">
        <f>IF('Raw Data'!FX44="","",'Raw Data'!FX44)</f>
        <v>0</v>
      </c>
      <c r="GK36" s="15" t="str">
        <f>IF('Raw Data'!FY44="","",'Raw Data'!FY44)</f>
        <v>0</v>
      </c>
      <c r="GL36" s="15" t="str">
        <f>IF('Raw Data'!FZ44="","",'Raw Data'!FZ44)</f>
        <v/>
      </c>
      <c r="GM36" s="15" t="str">
        <f>IF('Raw Data'!GA44="","",'Raw Data'!GA44)</f>
        <v>majorite</v>
      </c>
      <c r="GN36" s="15" t="str">
        <f>IF('Raw Data'!GB44="","",'Raw Data'!GB44)</f>
        <v>majorite</v>
      </c>
      <c r="GO36" s="15" t="str">
        <f>IF('Raw Data'!GC44="","",'Raw Data'!GC44)</f>
        <v>Education Services_de_sante Acces_aux_doc</v>
      </c>
      <c r="GP36" s="15" t="str">
        <f>IF('Raw Data'!GD44="","",'Raw Data'!GD44)</f>
        <v>0</v>
      </c>
      <c r="GQ36" s="15" t="str">
        <f>IF('Raw Data'!GE44="","",'Raw Data'!GE44)</f>
        <v>1</v>
      </c>
      <c r="GR36" s="15" t="str">
        <f>IF('Raw Data'!GF44="","",'Raw Data'!GF44)</f>
        <v>0</v>
      </c>
      <c r="GS36" s="15" t="str">
        <f>IF('Raw Data'!GG44="","",'Raw Data'!GG44)</f>
        <v>1</v>
      </c>
      <c r="GT36" s="15" t="str">
        <f>IF('Raw Data'!GH44="","",'Raw Data'!GH44)</f>
        <v>1</v>
      </c>
      <c r="GU36" s="15" t="str">
        <f>IF('Raw Data'!GI44="","",'Raw Data'!GI44)</f>
        <v>0</v>
      </c>
      <c r="GV36" s="15" t="str">
        <f>IF('Raw Data'!GJ44="","",'Raw Data'!GJ44)</f>
        <v>0</v>
      </c>
      <c r="GW36" s="15" t="str">
        <f>IF('Raw Data'!GK44="","",'Raw Data'!GK44)</f>
        <v>0</v>
      </c>
      <c r="GX36" s="15" t="str">
        <f>IF('Raw Data'!GL44="","",'Raw Data'!GL44)</f>
        <v>0</v>
      </c>
      <c r="GY36" s="15" t="str">
        <f>IF('Raw Data'!GM44="","",'Raw Data'!GM44)</f>
        <v/>
      </c>
      <c r="GZ36" s="15" t="str">
        <f>IF('Raw Data'!GN44="","",'Raw Data'!GN44)</f>
        <v>oui_majorite</v>
      </c>
      <c r="HA36" s="15" t="str">
        <f>IF('Raw Data'!GO44="","",'Raw Data'!GO44)</f>
        <v>oui_majorite</v>
      </c>
      <c r="HB36" s="15" t="str">
        <f>IF('Raw Data'!GP44="","",'Raw Data'!GP44)</f>
        <v>repond_besoins_pop permet_eviter_conflits diminution_tensions</v>
      </c>
      <c r="HC36" s="15" t="str">
        <f>IF('Raw Data'!GQ44="","",'Raw Data'!GQ44)</f>
        <v>0</v>
      </c>
      <c r="HD36" s="15" t="str">
        <f>IF('Raw Data'!GR44="","",'Raw Data'!GR44)</f>
        <v>1</v>
      </c>
      <c r="HE36" s="15" t="str">
        <f>IF('Raw Data'!GS44="","",'Raw Data'!GS44)</f>
        <v>0</v>
      </c>
      <c r="HF36" s="15" t="str">
        <f>IF('Raw Data'!GT44="","",'Raw Data'!GT44)</f>
        <v>1</v>
      </c>
      <c r="HG36" s="15" t="str">
        <f>IF('Raw Data'!GU44="","",'Raw Data'!GU44)</f>
        <v>0</v>
      </c>
      <c r="HH36" s="15" t="str">
        <f>IF('Raw Data'!GV44="","",'Raw Data'!GV44)</f>
        <v>1</v>
      </c>
      <c r="HI36" s="15" t="str">
        <f>IF('Raw Data'!GW44="","",'Raw Data'!GW44)</f>
        <v>0</v>
      </c>
      <c r="HJ36" s="15" t="str">
        <f>IF('Raw Data'!GX44="","",'Raw Data'!GX44)</f>
        <v>0</v>
      </c>
      <c r="HK36" s="15" t="str">
        <f>IF('Raw Data'!GY44="","",'Raw Data'!GY44)</f>
        <v/>
      </c>
      <c r="HL36" s="15" t="str">
        <f>IF('Raw Data'!GZ44="","",'Raw Data'!GZ44)</f>
        <v>ne_contribue_pas</v>
      </c>
      <c r="HM36" s="15" t="str">
        <f>IF('Raw Data'!HA44="","",'Raw Data'!HA44)</f>
        <v>1</v>
      </c>
      <c r="HN36" s="15" t="str">
        <f>IF('Raw Data'!HB44="","",'Raw Data'!HB44)</f>
        <v>0</v>
      </c>
      <c r="HO36" s="15" t="str">
        <f>IF('Raw Data'!HC44="","",'Raw Data'!HC44)</f>
        <v>0</v>
      </c>
      <c r="HP36" s="15" t="str">
        <f>IF('Raw Data'!HD44="","",'Raw Data'!HD44)</f>
        <v>0</v>
      </c>
      <c r="HQ36" s="15" t="str">
        <f>IF('Raw Data'!HE44="","",'Raw Data'!HE44)</f>
        <v>0</v>
      </c>
      <c r="HR36" s="15" t="str">
        <f>IF('Raw Data'!HF44="","",'Raw Data'!HF44)</f>
        <v>0</v>
      </c>
      <c r="HS36" s="15" t="str">
        <f>IF('Raw Data'!HG44="","",'Raw Data'!HG44)</f>
        <v/>
      </c>
      <c r="HT36" s="15" t="str">
        <f>IF('Raw Data'!HH44="","",'Raw Data'!HH44)</f>
        <v/>
      </c>
      <c r="HU36" s="15" t="str">
        <f>IF('Raw Data'!HI44="","",'Raw Data'!HI44)</f>
        <v>oui_majorite</v>
      </c>
      <c r="HV36" s="15" t="str">
        <f>IF('Raw Data'!HJ44="","",'Raw Data'!HJ44)</f>
        <v>ingo</v>
      </c>
      <c r="HW36" s="15" t="str">
        <f>IF('Raw Data'!HK44="","",'Raw Data'!HK44)</f>
        <v>0</v>
      </c>
      <c r="HX36" s="15" t="str">
        <f>IF('Raw Data'!HL44="","",'Raw Data'!HL44)</f>
        <v>0</v>
      </c>
      <c r="HY36" s="15" t="str">
        <f>IF('Raw Data'!HM44="","",'Raw Data'!HM44)</f>
        <v>0</v>
      </c>
      <c r="HZ36" s="15" t="str">
        <f>IF('Raw Data'!HN44="","",'Raw Data'!HN44)</f>
        <v>0</v>
      </c>
      <c r="IA36" s="15" t="str">
        <f>IF('Raw Data'!HO44="","",'Raw Data'!HO44)</f>
        <v>1</v>
      </c>
      <c r="IB36" s="15" t="str">
        <f>IF('Raw Data'!HP44="","",'Raw Data'!HP44)</f>
        <v>0</v>
      </c>
      <c r="IC36" s="15" t="str">
        <f>IF('Raw Data'!HQ44="","",'Raw Data'!HQ44)</f>
        <v>0</v>
      </c>
      <c r="ID36" s="15" t="str">
        <f>IF('Raw Data'!HR44="","",'Raw Data'!HR44)</f>
        <v>0</v>
      </c>
      <c r="IE36" s="15" t="str">
        <f>IF('Raw Data'!HS44="","",'Raw Data'!HS44)</f>
        <v>0</v>
      </c>
      <c r="IF36" s="15" t="str">
        <f>IF('Raw Data'!HT44="","",'Raw Data'!HT44)</f>
        <v>0</v>
      </c>
      <c r="IG36" s="15" t="str">
        <f>IF('Raw Data'!HU44="","",'Raw Data'!HU44)</f>
        <v/>
      </c>
      <c r="IH36" s="15" t="str">
        <f>IF('Raw Data'!HV44="","",'Raw Data'!HV44)</f>
        <v>oui</v>
      </c>
      <c r="II36" s="15" t="str">
        <f>IF('Raw Data'!HW44="","",'Raw Data'!HW44)</f>
        <v/>
      </c>
      <c r="IJ36" s="15" t="str">
        <f>IF('Raw Data'!HX44="","",'Raw Data'!HX44)</f>
        <v>Femmes Hommes Femmes_agees Hommes_ages</v>
      </c>
      <c r="IK36" s="15" t="str">
        <f>IF('Raw Data'!HY44="","",'Raw Data'!HY44)</f>
        <v>0</v>
      </c>
      <c r="IL36" s="15" t="str">
        <f>IF('Raw Data'!HZ44="","",'Raw Data'!HZ44)</f>
        <v>0</v>
      </c>
      <c r="IM36" s="15" t="str">
        <f>IF('Raw Data'!IA44="","",'Raw Data'!IA44)</f>
        <v>0</v>
      </c>
      <c r="IN36" s="15" t="str">
        <f>IF('Raw Data'!IB44="","",'Raw Data'!IB44)</f>
        <v>0</v>
      </c>
      <c r="IO36" s="15" t="str">
        <f>IF('Raw Data'!IC44="","",'Raw Data'!IC44)</f>
        <v>1</v>
      </c>
      <c r="IP36" s="15" t="str">
        <f>IF('Raw Data'!ID44="","",'Raw Data'!ID44)</f>
        <v>1</v>
      </c>
      <c r="IQ36" s="15" t="str">
        <f>IF('Raw Data'!IE44="","",'Raw Data'!IE44)</f>
        <v>1</v>
      </c>
      <c r="IR36" s="15" t="str">
        <f>IF('Raw Data'!IF44="","",'Raw Data'!IF44)</f>
        <v>1</v>
      </c>
      <c r="IS36" s="15" t="str">
        <f>IF('Raw Data'!IG44="","",'Raw Data'!IG44)</f>
        <v>0</v>
      </c>
      <c r="IT36" s="15" t="str">
        <f>IF('Raw Data'!IH44="","",'Raw Data'!IH44)</f>
        <v>0</v>
      </c>
      <c r="IU36" s="15" t="str">
        <f>IF('Raw Data'!II44="","",'Raw Data'!II44)</f>
        <v>0</v>
      </c>
      <c r="IV36" s="15" t="str">
        <f>IF('Raw Data'!IJ44="","",'Raw Data'!IJ44)</f>
        <v>0</v>
      </c>
      <c r="IW36" s="15" t="str">
        <f>IF('Raw Data'!IK44="","",'Raw Data'!IK44)</f>
        <v>0</v>
      </c>
      <c r="IX36" s="15" t="str">
        <f>IF('Raw Data'!IL44="","",'Raw Data'!IL44)</f>
        <v>0</v>
      </c>
      <c r="IY36" s="15" t="str">
        <f>IF('Raw Data'!IM44="","",'Raw Data'!IM44)</f>
        <v/>
      </c>
      <c r="IZ36" s="15" t="str">
        <f>IF('Raw Data'!IN44="","",'Raw Data'!IN44)</f>
        <v>20</v>
      </c>
      <c r="JA36" s="15" t="str">
        <f>IF('Raw Data'!IO44="","",'Raw Data'!IO44)</f>
        <v>Services_medicaux Services_educatifs Services_conseil acces_docs</v>
      </c>
      <c r="JB36" s="15" t="str">
        <f>IF('Raw Data'!IP44="","",'Raw Data'!IP44)</f>
        <v>0</v>
      </c>
      <c r="JC36" s="15" t="str">
        <f>IF('Raw Data'!IQ44="","",'Raw Data'!IQ44)</f>
        <v>1</v>
      </c>
      <c r="JD36" s="15" t="str">
        <f>IF('Raw Data'!IR44="","",'Raw Data'!IR44)</f>
        <v>1</v>
      </c>
      <c r="JE36" s="15" t="str">
        <f>IF('Raw Data'!IS44="","",'Raw Data'!IS44)</f>
        <v>1</v>
      </c>
      <c r="JF36" s="15" t="str">
        <f>IF('Raw Data'!IT44="","",'Raw Data'!IT44)</f>
        <v>1</v>
      </c>
      <c r="JG36" s="15" t="str">
        <f>IF('Raw Data'!IU44="","",'Raw Data'!IU44)</f>
        <v>0</v>
      </c>
      <c r="JH36" s="15" t="str">
        <f>IF('Raw Data'!IV44="","",'Raw Data'!IV44)</f>
        <v>0</v>
      </c>
      <c r="JI36" s="15" t="str">
        <f>IF('Raw Data'!IW44="","",'Raw Data'!IW44)</f>
        <v>0</v>
      </c>
      <c r="JJ36" s="15" t="str">
        <f>IF('Raw Data'!IX44="","",'Raw Data'!IX44)</f>
        <v>0</v>
      </c>
      <c r="JK36" s="15" t="str">
        <f>IF('Raw Data'!IY44="","",'Raw Data'!IY44)</f>
        <v>0</v>
      </c>
      <c r="JL36" s="15" t="str">
        <f>IF('Raw Data'!IZ44="","",'Raw Data'!IZ44)</f>
        <v/>
      </c>
      <c r="JM36" s="15" t="str">
        <f>IF('Raw Data'!JA44="","",'Raw Data'!JA44)</f>
        <v>reorientation signalement</v>
      </c>
      <c r="JN36" s="15" t="str">
        <f>IF('Raw Data'!JB44="","",'Raw Data'!JB44)</f>
        <v>0</v>
      </c>
      <c r="JO36" s="15" t="str">
        <f>IF('Raw Data'!JC44="","",'Raw Data'!JC44)</f>
        <v>1</v>
      </c>
      <c r="JP36" s="15" t="str">
        <f>IF('Raw Data'!JD44="","",'Raw Data'!JD44)</f>
        <v>1</v>
      </c>
      <c r="JQ36" s="15" t="str">
        <f>IF('Raw Data'!JE44="","",'Raw Data'!JE44)</f>
        <v>0</v>
      </c>
      <c r="JR36" s="15" t="str">
        <f>IF('Raw Data'!JF44="","",'Raw Data'!JF44)</f>
        <v>0</v>
      </c>
      <c r="JS36" s="15" t="str">
        <f>IF('Raw Data'!JG44="","",'Raw Data'!JG44)</f>
        <v>0</v>
      </c>
      <c r="JT36" s="15" t="str">
        <f>IF('Raw Data'!JH44="","",'Raw Data'!JH44)</f>
        <v/>
      </c>
      <c r="JU36" s="15" t="str">
        <f>IF('Raw Data'!JI44="","",'Raw Data'!JI44)</f>
        <v/>
      </c>
      <c r="JV36" s="15" t="str">
        <f>IF('Raw Data'!JJ44="","",'Raw Data'!JJ44)</f>
        <v/>
      </c>
      <c r="JW36" s="15" t="str">
        <f>IF('Raw Data'!JK44="","",'Raw Data'!JK44)</f>
        <v/>
      </c>
      <c r="JX36" s="15" t="str">
        <f>IF('Raw Data'!JL44="","",'Raw Data'!JL44)</f>
        <v/>
      </c>
      <c r="JY36" s="15" t="str">
        <f>IF('Raw Data'!JM44="","",'Raw Data'!JM44)</f>
        <v/>
      </c>
      <c r="JZ36" s="15" t="str">
        <f>IF('Raw Data'!JN44="","",'Raw Data'!JN44)</f>
        <v/>
      </c>
      <c r="KA36" s="15" t="str">
        <f>IF('Raw Data'!JO44="","",'Raw Data'!JO44)</f>
        <v/>
      </c>
      <c r="KB36" s="15" t="str">
        <f>IF('Raw Data'!JP44="","",'Raw Data'!JP44)</f>
        <v/>
      </c>
      <c r="KC36" s="15" t="str">
        <f>IF('Raw Data'!JQ44="","",'Raw Data'!JQ44)</f>
        <v/>
      </c>
      <c r="KD36" s="15" t="str">
        <f>IF('Raw Data'!JR44="","",'Raw Data'!JR44)</f>
        <v/>
      </c>
      <c r="KE36" s="15" t="str">
        <f>IF('Raw Data'!JS44="","",'Raw Data'!JS44)</f>
        <v/>
      </c>
      <c r="KF36" s="15" t="str">
        <f>IF('Raw Data'!JT44="","",'Raw Data'!JT44)</f>
        <v>medical surete Psychosocia</v>
      </c>
      <c r="KG36" s="15" t="str">
        <f>IF('Raw Data'!JU44="","",'Raw Data'!JU44)</f>
        <v>1</v>
      </c>
      <c r="KH36" s="15" t="str">
        <f>IF('Raw Data'!JV44="","",'Raw Data'!JV44)</f>
        <v>1</v>
      </c>
      <c r="KI36" s="15" t="str">
        <f>IF('Raw Data'!JW44="","",'Raw Data'!JW44)</f>
        <v>0</v>
      </c>
      <c r="KJ36" s="15" t="str">
        <f>IF('Raw Data'!JX44="","",'Raw Data'!JX44)</f>
        <v>0</v>
      </c>
      <c r="KK36" s="15" t="str">
        <f>IF('Raw Data'!JY44="","",'Raw Data'!JY44)</f>
        <v>1</v>
      </c>
      <c r="KL36" s="15" t="str">
        <f>IF('Raw Data'!JZ44="","",'Raw Data'!JZ44)</f>
        <v>0</v>
      </c>
      <c r="KM36" s="15" t="str">
        <f>IF('Raw Data'!KA44="","",'Raw Data'!KA44)</f>
        <v>0</v>
      </c>
      <c r="KN36" s="15" t="str">
        <f>IF('Raw Data'!KB44="","",'Raw Data'!KB44)</f>
        <v>0</v>
      </c>
      <c r="KO36" s="15" t="str">
        <f>IF('Raw Data'!KC44="","",'Raw Data'!KC44)</f>
        <v>0</v>
      </c>
      <c r="KP36" s="15" t="str">
        <f>IF('Raw Data'!KD44="","",'Raw Data'!KD44)</f>
        <v/>
      </c>
      <c r="KQ36" s="15" t="str">
        <f>IF('Raw Data'!KE44="","",'Raw Data'!KE44)</f>
        <v/>
      </c>
      <c r="KR36" s="15" t="str">
        <f>IF('Raw Data'!KF44="","",'Raw Data'!KF44)</f>
        <v>oui</v>
      </c>
      <c r="KS36" s="15" t="str">
        <f>IF('Raw Data'!KG44="","",'Raw Data'!KG44)</f>
        <v>insecurite_zone manque_moyens</v>
      </c>
      <c r="KT36" s="15" t="str">
        <f>IF('Raw Data'!KH44="","",'Raw Data'!KH44)</f>
        <v>1</v>
      </c>
      <c r="KU36" s="15" t="str">
        <f>IF('Raw Data'!KI44="","",'Raw Data'!KI44)</f>
        <v>0</v>
      </c>
      <c r="KV36" s="15" t="str">
        <f>IF('Raw Data'!KJ44="","",'Raw Data'!KJ44)</f>
        <v>0</v>
      </c>
      <c r="KW36" s="15" t="str">
        <f>IF('Raw Data'!KK44="","",'Raw Data'!KK44)</f>
        <v>0</v>
      </c>
      <c r="KX36" s="15" t="str">
        <f>IF('Raw Data'!KL44="","",'Raw Data'!KL44)</f>
        <v>1</v>
      </c>
      <c r="KY36" s="15" t="str">
        <f>IF('Raw Data'!KM44="","",'Raw Data'!KM44)</f>
        <v>0</v>
      </c>
      <c r="KZ36" s="15" t="str">
        <f>IF('Raw Data'!KN44="","",'Raw Data'!KN44)</f>
        <v>0</v>
      </c>
      <c r="LA36" s="15" t="str">
        <f>IF('Raw Data'!KO44="","",'Raw Data'!KO44)</f>
        <v>0</v>
      </c>
      <c r="LB36" s="15" t="str">
        <f>IF('Raw Data'!KP44="","",'Raw Data'!KP44)</f>
        <v>0</v>
      </c>
      <c r="LC36" s="15" t="str">
        <f>IF('Raw Data'!KQ44="","",'Raw Data'!KQ44)</f>
        <v>0</v>
      </c>
      <c r="LD36" s="15" t="str">
        <f>IF('Raw Data'!KR44="","",'Raw Data'!KR44)</f>
        <v>0</v>
      </c>
      <c r="LE36" s="15" t="str">
        <f>IF('Raw Data'!KS44="","",'Raw Data'!KS44)</f>
        <v/>
      </c>
      <c r="LF36" s="15" t="str">
        <f>IF('Raw Data'!KT44="","",'Raw Data'!KT44)</f>
        <v/>
      </c>
      <c r="LG36" s="15" t="str">
        <f>IF('Raw Data'!KU44="","",'Raw Data'!KU44)</f>
        <v/>
      </c>
      <c r="LH36" s="15" t="str">
        <f>IF('Raw Data'!KV44="","",'Raw Data'!KV44)</f>
        <v/>
      </c>
      <c r="LI36" s="15" t="str">
        <f>IF('Raw Data'!KW44="","",'Raw Data'!KW44)</f>
        <v/>
      </c>
      <c r="LJ36" s="15" t="str">
        <f>IF('Raw Data'!KX44="","",'Raw Data'!KX44)</f>
        <v/>
      </c>
      <c r="LK36" s="15" t="str">
        <f>IF('Raw Data'!KY44="","",'Raw Data'!KY44)</f>
        <v/>
      </c>
      <c r="LL36" s="15" t="str">
        <f>IF('Raw Data'!KZ44="","",'Raw Data'!KZ44)</f>
        <v/>
      </c>
      <c r="LM36" s="15" t="str">
        <f>IF('Raw Data'!LA44="","",'Raw Data'!LA44)</f>
        <v/>
      </c>
      <c r="LN36" s="15" t="str">
        <f>IF('Raw Data'!LB44="","",'Raw Data'!LB44)</f>
        <v>non</v>
      </c>
      <c r="LO36" s="15" t="str">
        <f>IF('Raw Data'!LC44="","",'Raw Data'!LC44)</f>
        <v/>
      </c>
      <c r="LP36" s="15" t="str">
        <f>IF('Raw Data'!LD44="","",'Raw Data'!LD44)</f>
        <v/>
      </c>
      <c r="LQ36" s="15" t="str">
        <f>IF('Raw Data'!LE44="","",'Raw Data'!LE44)</f>
        <v/>
      </c>
      <c r="LR36" s="15" t="str">
        <f>IF('Raw Data'!LF44="","",'Raw Data'!LF44)</f>
        <v/>
      </c>
      <c r="LS36" s="15" t="str">
        <f>IF('Raw Data'!LG44="","",'Raw Data'!LG44)</f>
        <v/>
      </c>
      <c r="LT36" s="15" t="str">
        <f>IF('Raw Data'!LH44="","",'Raw Data'!LH44)</f>
        <v/>
      </c>
      <c r="LU36" s="15" t="str">
        <f>IF('Raw Data'!LI44="","",'Raw Data'!LI44)</f>
        <v/>
      </c>
      <c r="LV36" s="15" t="str">
        <f>IF('Raw Data'!LJ44="","",'Raw Data'!LJ44)</f>
        <v/>
      </c>
      <c r="LW36" s="15" t="str">
        <f>IF('Raw Data'!LK44="","",'Raw Data'!LK44)</f>
        <v/>
      </c>
      <c r="LX36" s="15" t="str">
        <f>IF('Raw Data'!LL44="","",'Raw Data'!LL44)</f>
        <v/>
      </c>
      <c r="LY36" s="15" t="str">
        <f>IF('Raw Data'!LM44="","",'Raw Data'!LM44)</f>
        <v/>
      </c>
      <c r="LZ36" s="15" t="str">
        <f>IF('Raw Data'!LN44="","",'Raw Data'!LN44)</f>
        <v/>
      </c>
      <c r="MA36" s="15" t="str">
        <f>IF('Raw Data'!LO44="","",'Raw Data'!LO44)</f>
        <v/>
      </c>
      <c r="MB36" s="15" t="str">
        <f>IF('Raw Data'!LP44="","",'Raw Data'!LP44)</f>
        <v>oui</v>
      </c>
      <c r="MC36" s="15" t="str">
        <f>IF('Raw Data'!LQ44="","",'Raw Data'!LQ44)</f>
        <v/>
      </c>
      <c r="MD36" s="15" t="str">
        <f>IF('Raw Data'!LR44="","",'Raw Data'!LR44)</f>
        <v xml:space="preserve">Avoir une activité pour subvenir a nos besoin et avoir la paix dans notre village pour y retourner </v>
      </c>
      <c r="ME36" s="15">
        <f>IF('Raw Data'!LS44="","",'Raw Data'!LS44)</f>
        <v>170030458</v>
      </c>
      <c r="MF36" s="15" t="str">
        <f>IF('Raw Data'!LT44="","",'Raw Data'!LT44)</f>
        <v>48550592-086b-465a-a4f3-e2b981c04fdb</v>
      </c>
      <c r="MG36" s="15" t="str">
        <f>IF('Raw Data'!LU44="","",'Raw Data'!LU44)</f>
        <v>2021-04-06T18:27:32</v>
      </c>
      <c r="MH36" s="15" t="str">
        <f>IF('Raw Data'!LV44="","",'Raw Data'!LV44)</f>
        <v/>
      </c>
      <c r="MI36" s="15" t="str">
        <f>IF('Raw Data'!LW44="","",'Raw Data'!LW44)</f>
        <v>[]</v>
      </c>
      <c r="MJ36" s="15" t="str">
        <f>IF('Raw Data'!LX44="","",'Raw Data'!LX44)</f>
        <v>submitted_via_web</v>
      </c>
      <c r="MK36" s="15" t="str">
        <f>IF('Raw Data'!LY44="","",'Raw Data'!LY44)</f>
        <v>reach_niger</v>
      </c>
      <c r="ML36" s="15" t="str">
        <f>IF('Raw Data'!LZ44="","",'Raw Data'!LZ44)</f>
        <v/>
      </c>
      <c r="MM36" s="15">
        <f>IF('Raw Data'!MA44="","",'Raw Data'!MA44)</f>
        <v>48</v>
      </c>
    </row>
    <row r="37" spans="1:351" x14ac:dyDescent="0.3">
      <c r="A37" s="26" t="str">
        <f t="shared" si="4"/>
        <v>9bfe184b-e147-4dae-af55-d51117065e18</v>
      </c>
      <c r="B37" s="26" t="str">
        <f t="shared" si="5"/>
        <v>tagazar</v>
      </c>
      <c r="C37" s="26" t="str">
        <f t="shared" si="6"/>
        <v>H</v>
      </c>
      <c r="D37" s="14" t="str">
        <f>IF('Raw Data'!A17="","",'Raw Data'!A17)</f>
        <v>2021-04-01T14:51:45.991+01:00</v>
      </c>
      <c r="E37" s="14" t="str">
        <f>IF('Raw Data'!B17="","",'Raw Data'!B17)</f>
        <v>2021-04-01T17:02:12.211+01:00</v>
      </c>
      <c r="F37" s="30">
        <v>44287.619270833333</v>
      </c>
      <c r="G37" s="30">
        <v>44287.709861111114</v>
      </c>
      <c r="H37" s="29">
        <f>VLOOKUP(A37,Audit[#All],2,FALSE)</f>
        <v>130.44</v>
      </c>
      <c r="I37" s="29">
        <f>VLOOKUP(A37,Audit[#All],3,FALSE)</f>
        <v>119.72</v>
      </c>
      <c r="J37" s="29">
        <f>VLOOKUP(A37,Audit[#All],4,FALSE)</f>
        <v>80.78</v>
      </c>
      <c r="K37" s="29">
        <f>VLOOKUP(A37,nb_questions[#All],2,FALSE)</f>
        <v>181</v>
      </c>
      <c r="L37" s="29">
        <f t="shared" si="7"/>
        <v>171</v>
      </c>
      <c r="M37" s="14" t="str">
        <f>IF('Raw Data'!C17="","",'Raw Data'!C17)</f>
        <v>2021-04-01</v>
      </c>
      <c r="N37" s="14" t="str">
        <f>IF('Raw Data'!D17="","",'Raw Data'!D17)</f>
        <v/>
      </c>
      <c r="O37" s="14" t="str">
        <f>IF('Raw Data'!E17="","",'Raw Data'!E17)</f>
        <v/>
      </c>
      <c r="P37" s="29" t="str">
        <f>VLOOKUP(A37,code_enqueteurs[#All],3,FALSE)</f>
        <v>H</v>
      </c>
      <c r="Q37" s="29" t="s">
        <v>1652</v>
      </c>
      <c r="R37" s="14" t="str">
        <f>IF('Raw Data'!F17="","",'Raw Data'!F17)</f>
        <v>Homme</v>
      </c>
      <c r="S37" s="15" t="str">
        <f>IF('Raw Data'!G17="","",'Raw Data'!G17)</f>
        <v>balleyara</v>
      </c>
      <c r="T37" s="15" t="str">
        <f>IF('Raw Data'!H17="","",'Raw Data'!H17)</f>
        <v>tagazar</v>
      </c>
      <c r="U37" s="15" t="str">
        <f>IF('Raw Data'!I17="","",'Raw Data'!I17)</f>
        <v>zongo</v>
      </c>
      <c r="V37" s="15" t="str">
        <f>IF('Raw Data'!J17="","",'Raw Data'!J17)</f>
        <v/>
      </c>
      <c r="W37" s="15" t="str">
        <f>IF('Raw Data'!K17="","",'Raw Data'!K17)</f>
        <v/>
      </c>
      <c r="X37" s="15" t="str">
        <f>IF('Raw Data'!L17="","",'Raw Data'!L17)</f>
        <v/>
      </c>
      <c r="Y37" s="15" t="str">
        <f>IF('Raw Data'!M17="","",'Raw Data'!M17)</f>
        <v/>
      </c>
      <c r="Z37" s="15" t="str">
        <f>IF('Raw Data'!N17="","",'Raw Data'!N17)</f>
        <v/>
      </c>
      <c r="AA37" s="15" t="str">
        <f>IF('Raw Data'!O17="","",'Raw Data'!O17)</f>
        <v/>
      </c>
      <c r="AB37" s="15" t="str">
        <f>IF('Raw Data'!P17="","",'Raw Data'!P17)</f>
        <v/>
      </c>
      <c r="AC37" s="15" t="str">
        <f>IF('Raw Data'!Q17="","",'Raw Data'!Q17)</f>
        <v/>
      </c>
      <c r="AD37" s="15" t="str">
        <f>IF('Raw Data'!R17="","",'Raw Data'!R17)</f>
        <v>Homme</v>
      </c>
      <c r="AE37" s="15" t="str">
        <f>IF('Raw Data'!S17="","",'Raw Data'!S17)</f>
        <v>51</v>
      </c>
      <c r="AF37" s="15" t="str">
        <f>IF('Raw Data'!T17="","",'Raw Data'!T17)</f>
        <v>deplace_interne</v>
      </c>
      <c r="AG37" s="15" t="str">
        <f>IF('Raw Data'!U17="","",'Raw Data'!U17)</f>
        <v/>
      </c>
      <c r="AH37" s="15" t="str">
        <f>IF('Raw Data'!V17="","",'Raw Data'!V17)</f>
        <v/>
      </c>
      <c r="AI37" s="15" t="str">
        <f>IF('Raw Data'!W17="","",'Raw Data'!W17)</f>
        <v/>
      </c>
      <c r="AJ37" s="15" t="str">
        <f>IF('Raw Data'!X17="","",'Raw Data'!X17)</f>
        <v/>
      </c>
      <c r="AK37" s="15" t="str">
        <f>IF('Raw Data'!Y17="","",'Raw Data'!Y17)</f>
        <v/>
      </c>
      <c r="AL37" s="15" t="str">
        <f>IF('Raw Data'!Z17="","",'Raw Data'!Z17)</f>
        <v>niger</v>
      </c>
      <c r="AM37" s="15" t="str">
        <f>IF('Raw Data'!AA17="","",'Raw Data'!AA17)</f>
        <v>tillaberi</v>
      </c>
      <c r="AN37" s="15" t="str">
        <f>IF('Raw Data'!AB17="","",'Raw Data'!AB17)</f>
        <v>banibangou</v>
      </c>
      <c r="AO37" s="15" t="str">
        <f>IF('Raw Data'!AC17="","",'Raw Data'!AC17)</f>
        <v/>
      </c>
      <c r="AP37" s="15" t="str">
        <f>IF('Raw Data'!AD17="","",'Raw Data'!AD17)</f>
        <v/>
      </c>
      <c r="AQ37" s="15" t="str">
        <f>IF('Raw Data'!AE17="","",'Raw Data'!AE17)</f>
        <v/>
      </c>
      <c r="AR37" s="15" t="str">
        <f>IF('Raw Data'!AF17="","",'Raw Data'!AF17)</f>
        <v/>
      </c>
      <c r="AS37" s="15" t="str">
        <f>IF('Raw Data'!AG17="","",'Raw Data'!AG17)</f>
        <v>oui</v>
      </c>
      <c r="AT37" s="15" t="str">
        <f>IF('Raw Data'!AH17="","",'Raw Data'!AH17)</f>
        <v>extorsions Violences_physique_civils Disputes_intercommunataires</v>
      </c>
      <c r="AU37" s="15" t="str">
        <f>IF('Raw Data'!AI17="","",'Raw Data'!AI17)</f>
        <v>0</v>
      </c>
      <c r="AV37" s="15" t="str">
        <f>IF('Raw Data'!AJ17="","",'Raw Data'!AJ17)</f>
        <v>1</v>
      </c>
      <c r="AW37" s="15" t="str">
        <f>IF('Raw Data'!AK17="","",'Raw Data'!AK17)</f>
        <v>0</v>
      </c>
      <c r="AX37" s="15" t="str">
        <f>IF('Raw Data'!AL17="","",'Raw Data'!AL17)</f>
        <v>1</v>
      </c>
      <c r="AY37" s="15" t="str">
        <f>IF('Raw Data'!AM17="","",'Raw Data'!AM17)</f>
        <v>1</v>
      </c>
      <c r="AZ37" s="15" t="str">
        <f>IF('Raw Data'!AN17="","",'Raw Data'!AN17)</f>
        <v>0</v>
      </c>
      <c r="BA37" s="15" t="str">
        <f>IF('Raw Data'!AO17="","",'Raw Data'!AO17)</f>
        <v>0</v>
      </c>
      <c r="BB37" s="15" t="str">
        <f>IF('Raw Data'!AP17="","",'Raw Data'!AP17)</f>
        <v>0</v>
      </c>
      <c r="BC37" s="15" t="str">
        <f>IF('Raw Data'!AQ17="","",'Raw Data'!AQ17)</f>
        <v>0</v>
      </c>
      <c r="BD37" s="15" t="str">
        <f>IF('Raw Data'!AR17="","",'Raw Data'!AR17)</f>
        <v>0</v>
      </c>
      <c r="BE37" s="15" t="str">
        <f>IF('Raw Data'!AS17="","",'Raw Data'!AS17)</f>
        <v>0</v>
      </c>
      <c r="BF37" s="15" t="str">
        <f>IF('Raw Data'!AT17="","",'Raw Data'!AT17)</f>
        <v>0</v>
      </c>
      <c r="BG37" s="15" t="str">
        <f>IF('Raw Data'!AU17="","",'Raw Data'!AU17)</f>
        <v>0</v>
      </c>
      <c r="BH37" s="15" t="str">
        <f>IF('Raw Data'!AV17="","",'Raw Data'!AV17)</f>
        <v>0</v>
      </c>
      <c r="BI37" s="15" t="str">
        <f>IF('Raw Data'!AW17="","",'Raw Data'!AW17)</f>
        <v/>
      </c>
      <c r="BJ37" s="15" t="str">
        <f>IF('Raw Data'!AX17="","",'Raw Data'!AX17)</f>
        <v>Toute_population</v>
      </c>
      <c r="BK37" s="15" t="str">
        <f>IF('Raw Data'!AY17="","",'Raw Data'!AY17)</f>
        <v>0</v>
      </c>
      <c r="BL37" s="15" t="str">
        <f>IF('Raw Data'!AZ17="","",'Raw Data'!AZ17)</f>
        <v>0</v>
      </c>
      <c r="BM37" s="15" t="str">
        <f>IF('Raw Data'!BA17="","",'Raw Data'!BA17)</f>
        <v>0</v>
      </c>
      <c r="BN37" s="15" t="str">
        <f>IF('Raw Data'!BB17="","",'Raw Data'!BB17)</f>
        <v>0</v>
      </c>
      <c r="BO37" s="15" t="str">
        <f>IF('Raw Data'!BC17="","",'Raw Data'!BC17)</f>
        <v>0</v>
      </c>
      <c r="BP37" s="15" t="str">
        <f>IF('Raw Data'!BD17="","",'Raw Data'!BD17)</f>
        <v>0</v>
      </c>
      <c r="BQ37" s="15" t="str">
        <f>IF('Raw Data'!BE17="","",'Raw Data'!BE17)</f>
        <v>0</v>
      </c>
      <c r="BR37" s="15" t="str">
        <f>IF('Raw Data'!BF17="","",'Raw Data'!BF17)</f>
        <v>0</v>
      </c>
      <c r="BS37" s="15" t="str">
        <f>IF('Raw Data'!BG17="","",'Raw Data'!BG17)</f>
        <v>0</v>
      </c>
      <c r="BT37" s="15" t="str">
        <f>IF('Raw Data'!BH17="","",'Raw Data'!BH17)</f>
        <v>0</v>
      </c>
      <c r="BU37" s="15" t="str">
        <f>IF('Raw Data'!BI17="","",'Raw Data'!BI17)</f>
        <v>1</v>
      </c>
      <c r="BV37" s="15" t="str">
        <f>IF('Raw Data'!BJ17="","",'Raw Data'!BJ17)</f>
        <v>0</v>
      </c>
      <c r="BW37" s="15" t="str">
        <f>IF('Raw Data'!BK17="","",'Raw Data'!BK17)</f>
        <v>0</v>
      </c>
      <c r="BX37" s="15" t="str">
        <f>IF('Raw Data'!BL17="","",'Raw Data'!BL17)</f>
        <v>0</v>
      </c>
      <c r="BY37" s="15" t="str">
        <f>IF('Raw Data'!BM17="","",'Raw Data'!BM17)</f>
        <v/>
      </c>
      <c r="BZ37" s="15" t="str">
        <f>IF('Raw Data'!BN17="","",'Raw Data'!BN17)</f>
        <v>plusde5</v>
      </c>
      <c r="CA37" s="15" t="str">
        <f>IF('Raw Data'!BO17="","",'Raw Data'!BO17)</f>
        <v>augmente</v>
      </c>
      <c r="CB37" s="15" t="str">
        <f>IF('Raw Data'!BP17="","",'Raw Data'!BP17)</f>
        <v/>
      </c>
      <c r="CC37" s="15" t="str">
        <f>IF('Raw Data'!BQ17="","",'Raw Data'!BQ17)</f>
        <v>non</v>
      </c>
      <c r="CD37" s="15" t="str">
        <f>IF('Raw Data'!BR17="","",'Raw Data'!BR17)</f>
        <v/>
      </c>
      <c r="CE37" s="15" t="str">
        <f>IF('Raw Data'!BS17="","",'Raw Data'!BS17)</f>
        <v/>
      </c>
      <c r="CF37" s="15" t="str">
        <f>IF('Raw Data'!BT17="","",'Raw Data'!BT17)</f>
        <v/>
      </c>
      <c r="CG37" s="15" t="str">
        <f>IF('Raw Data'!BU17="","",'Raw Data'!BU17)</f>
        <v/>
      </c>
      <c r="CH37" s="15" t="str">
        <f>IF('Raw Data'!BV17="","",'Raw Data'!BV17)</f>
        <v/>
      </c>
      <c r="CI37" s="15" t="str">
        <f>IF('Raw Data'!BW17="","",'Raw Data'!BW17)</f>
        <v/>
      </c>
      <c r="CJ37" s="15" t="str">
        <f>IF('Raw Data'!BX17="","",'Raw Data'!BX17)</f>
        <v/>
      </c>
      <c r="CK37" s="15" t="str">
        <f>IF('Raw Data'!BY17="","",'Raw Data'!BY17)</f>
        <v/>
      </c>
      <c r="CL37" s="15" t="str">
        <f>IF('Raw Data'!BZ17="","",'Raw Data'!BZ17)</f>
        <v/>
      </c>
      <c r="CM37" s="15" t="str">
        <f>IF('Raw Data'!CA17="","",'Raw Data'!CA17)</f>
        <v/>
      </c>
      <c r="CN37" s="15" t="str">
        <f>IF('Raw Data'!CB17="","",'Raw Data'!CB17)</f>
        <v/>
      </c>
      <c r="CO37" s="15" t="str">
        <f>IF('Raw Data'!CC17="","",'Raw Data'!CC17)</f>
        <v/>
      </c>
      <c r="CP37" s="15" t="str">
        <f>IF('Raw Data'!CD17="","",'Raw Data'!CD17)</f>
        <v/>
      </c>
      <c r="CQ37" s="15" t="str">
        <f>IF('Raw Data'!CE17="","",'Raw Data'!CE17)</f>
        <v/>
      </c>
      <c r="CR37" s="15" t="str">
        <f>IF('Raw Data'!CF17="","",'Raw Data'!CF17)</f>
        <v/>
      </c>
      <c r="CS37" s="15" t="str">
        <f>IF('Raw Data'!CG17="","",'Raw Data'!CG17)</f>
        <v/>
      </c>
      <c r="CT37" s="15" t="str">
        <f>IF('Raw Data'!CH17="","",'Raw Data'!CH17)</f>
        <v/>
      </c>
      <c r="CU37" s="15" t="str">
        <f>IF('Raw Data'!CI17="","",'Raw Data'!CI17)</f>
        <v/>
      </c>
      <c r="CV37" s="15" t="str">
        <f>IF('Raw Data'!CJ17="","",'Raw Data'!CJ17)</f>
        <v/>
      </c>
      <c r="CW37" s="15" t="str">
        <f>IF('Raw Data'!CK17="","",'Raw Data'!CK17)</f>
        <v/>
      </c>
      <c r="CX37" s="15" t="str">
        <f>IF('Raw Data'!CL17="","",'Raw Data'!CL17)</f>
        <v/>
      </c>
      <c r="CY37" s="15" t="str">
        <f>IF('Raw Data'!CM17="","",'Raw Data'!CM17)</f>
        <v/>
      </c>
      <c r="CZ37" s="15" t="str">
        <f>IF('Raw Data'!CN17="","",'Raw Data'!CN17)</f>
        <v/>
      </c>
      <c r="DA37" s="15" t="str">
        <f>IF('Raw Data'!CO17="","",'Raw Data'!CO17)</f>
        <v/>
      </c>
      <c r="DB37" s="15" t="str">
        <f>IF('Raw Data'!CP17="","",'Raw Data'!CP17)</f>
        <v/>
      </c>
      <c r="DC37" s="15" t="str">
        <f>IF('Raw Data'!CQ17="","",'Raw Data'!CQ17)</f>
        <v/>
      </c>
      <c r="DD37" s="15" t="str">
        <f>IF('Raw Data'!CR17="","",'Raw Data'!CR17)</f>
        <v/>
      </c>
      <c r="DE37" s="15" t="str">
        <f>IF('Raw Data'!CS17="","",'Raw Data'!CS17)</f>
        <v/>
      </c>
      <c r="DF37" s="15" t="str">
        <f>IF('Raw Data'!CT17="","",'Raw Data'!CT17)</f>
        <v/>
      </c>
      <c r="DG37" s="15" t="str">
        <f>IF('Raw Data'!CU17="","",'Raw Data'!CU17)</f>
        <v/>
      </c>
      <c r="DH37" s="15" t="str">
        <f>IF('Raw Data'!CV17="","",'Raw Data'!CV17)</f>
        <v/>
      </c>
      <c r="DI37" s="15" t="str">
        <f>IF('Raw Data'!CW17="","",'Raw Data'!CW17)</f>
        <v/>
      </c>
      <c r="DJ37" s="15" t="str">
        <f>IF('Raw Data'!CX17="","",'Raw Data'!CX17)</f>
        <v/>
      </c>
      <c r="DK37" s="15" t="str">
        <f>IF('Raw Data'!CY17="","",'Raw Data'!CY17)</f>
        <v/>
      </c>
      <c r="DL37" s="15" t="str">
        <f>IF('Raw Data'!CZ17="","",'Raw Data'!CZ17)</f>
        <v/>
      </c>
      <c r="DM37" s="15" t="str">
        <f>IF('Raw Data'!DA17="","",'Raw Data'!DA17)</f>
        <v/>
      </c>
      <c r="DN37" s="15" t="str">
        <f>IF('Raw Data'!DB17="","",'Raw Data'!DB17)</f>
        <v>diminution_moyens_existence hausse_tensions_intercomm</v>
      </c>
      <c r="DO37" s="15" t="str">
        <f>IF('Raw Data'!DC17="","",'Raw Data'!DC17)</f>
        <v>1</v>
      </c>
      <c r="DP37" s="15" t="str">
        <f>IF('Raw Data'!DD17="","",'Raw Data'!DD17)</f>
        <v>0</v>
      </c>
      <c r="DQ37" s="15" t="str">
        <f>IF('Raw Data'!DE17="","",'Raw Data'!DE17)</f>
        <v>0</v>
      </c>
      <c r="DR37" s="15" t="str">
        <f>IF('Raw Data'!DF17="","",'Raw Data'!DF17)</f>
        <v>1</v>
      </c>
      <c r="DS37" s="15" t="str">
        <f>IF('Raw Data'!DG17="","",'Raw Data'!DG17)</f>
        <v>0</v>
      </c>
      <c r="DT37" s="15" t="str">
        <f>IF('Raw Data'!DH17="","",'Raw Data'!DH17)</f>
        <v>0</v>
      </c>
      <c r="DU37" s="15" t="str">
        <f>IF('Raw Data'!DI17="","",'Raw Data'!DI17)</f>
        <v>0</v>
      </c>
      <c r="DV37" s="15" t="str">
        <f>IF('Raw Data'!DJ17="","",'Raw Data'!DJ17)</f>
        <v>0</v>
      </c>
      <c r="DW37" s="15" t="str">
        <f>IF('Raw Data'!DK17="","",'Raw Data'!DK17)</f>
        <v>0</v>
      </c>
      <c r="DX37" s="15" t="str">
        <f>IF('Raw Data'!DL17="","",'Raw Data'!DL17)</f>
        <v>0</v>
      </c>
      <c r="DY37" s="15" t="str">
        <f>IF('Raw Data'!DM17="","",'Raw Data'!DM17)</f>
        <v/>
      </c>
      <c r="DZ37" s="15" t="str">
        <f>IF('Raw Data'!DN17="","",'Raw Data'!DN17)</f>
        <v/>
      </c>
      <c r="EA37" s="15" t="str">
        <f>IF('Raw Data'!DO17="","",'Raw Data'!DO17)</f>
        <v/>
      </c>
      <c r="EB37" s="15" t="str">
        <f>IF('Raw Data'!DP17="","",'Raw Data'!DP17)</f>
        <v/>
      </c>
      <c r="EC37" s="15" t="str">
        <f>IF('Raw Data'!DQ17="","",'Raw Data'!DQ17)</f>
        <v/>
      </c>
      <c r="ED37" s="15" t="str">
        <f>IF('Raw Data'!DR17="","",'Raw Data'!DR17)</f>
        <v/>
      </c>
      <c r="EE37" s="15" t="str">
        <f>IF('Raw Data'!DS17="","",'Raw Data'!DS17)</f>
        <v/>
      </c>
      <c r="EF37" s="15" t="str">
        <f>IF('Raw Data'!DT17="","",'Raw Data'!DT17)</f>
        <v/>
      </c>
      <c r="EG37" s="15" t="str">
        <f>IF('Raw Data'!DU17="","",'Raw Data'!DU17)</f>
        <v/>
      </c>
      <c r="EH37" s="15" t="str">
        <f>IF('Raw Data'!DV17="","",'Raw Data'!DV17)</f>
        <v/>
      </c>
      <c r="EI37" s="15" t="str">
        <f>IF('Raw Data'!DW17="","",'Raw Data'!DW17)</f>
        <v/>
      </c>
      <c r="EJ37" s="15" t="str">
        <f>IF('Raw Data'!DX17="","",'Raw Data'!DX17)</f>
        <v/>
      </c>
      <c r="EK37" s="15" t="str">
        <f>IF('Raw Data'!DY17="","",'Raw Data'!DY17)</f>
        <v/>
      </c>
      <c r="EL37" s="15" t="str">
        <f>IF('Raw Data'!DZ17="","",'Raw Data'!DZ17)</f>
        <v>Soutien_chef_village</v>
      </c>
      <c r="EM37" s="15" t="str">
        <f>IF('Raw Data'!EA17="","",'Raw Data'!EA17)</f>
        <v>0</v>
      </c>
      <c r="EN37" s="15" t="str">
        <f>IF('Raw Data'!EB17="","",'Raw Data'!EB17)</f>
        <v>0</v>
      </c>
      <c r="EO37" s="15" t="str">
        <f>IF('Raw Data'!EC17="","",'Raw Data'!EC17)</f>
        <v>0</v>
      </c>
      <c r="EP37" s="15" t="str">
        <f>IF('Raw Data'!ED17="","",'Raw Data'!ED17)</f>
        <v>1</v>
      </c>
      <c r="EQ37" s="15" t="str">
        <f>IF('Raw Data'!EE17="","",'Raw Data'!EE17)</f>
        <v>0</v>
      </c>
      <c r="ER37" s="15" t="str">
        <f>IF('Raw Data'!EF17="","",'Raw Data'!EF17)</f>
        <v>0</v>
      </c>
      <c r="ES37" s="15" t="str">
        <f>IF('Raw Data'!EG17="","",'Raw Data'!EG17)</f>
        <v>0</v>
      </c>
      <c r="ET37" s="15" t="str">
        <f>IF('Raw Data'!EH17="","",'Raw Data'!EH17)</f>
        <v>0</v>
      </c>
      <c r="EU37" s="15" t="str">
        <f>IF('Raw Data'!EI17="","",'Raw Data'!EI17)</f>
        <v>0</v>
      </c>
      <c r="EV37" s="15" t="str">
        <f>IF('Raw Data'!EJ17="","",'Raw Data'!EJ17)</f>
        <v/>
      </c>
      <c r="EW37" s="15" t="str">
        <f>IF('Raw Data'!EK17="","",'Raw Data'!EK17)</f>
        <v/>
      </c>
      <c r="EX37" s="15" t="str">
        <f>IF('Raw Data'!EL17="","",'Raw Data'!EL17)</f>
        <v>comite_gestion_conflits femmes_elite famille_accueil</v>
      </c>
      <c r="EY37" s="15" t="str">
        <f>IF('Raw Data'!EM17="","",'Raw Data'!EM17)</f>
        <v>1</v>
      </c>
      <c r="EZ37" s="15" t="str">
        <f>IF('Raw Data'!EN17="","",'Raw Data'!EN17)</f>
        <v>0</v>
      </c>
      <c r="FA37" s="15" t="str">
        <f>IF('Raw Data'!EO17="","",'Raw Data'!EO17)</f>
        <v>1</v>
      </c>
      <c r="FB37" s="15" t="str">
        <f>IF('Raw Data'!EP17="","",'Raw Data'!EP17)</f>
        <v>0</v>
      </c>
      <c r="FC37" s="15" t="str">
        <f>IF('Raw Data'!EQ17="","",'Raw Data'!EQ17)</f>
        <v>0</v>
      </c>
      <c r="FD37" s="15" t="str">
        <f>IF('Raw Data'!ER17="","",'Raw Data'!ER17)</f>
        <v>1</v>
      </c>
      <c r="FE37" s="15" t="str">
        <f>IF('Raw Data'!ES17="","",'Raw Data'!ES17)</f>
        <v>0</v>
      </c>
      <c r="FF37" s="15" t="str">
        <f>IF('Raw Data'!ET17="","",'Raw Data'!ET17)</f>
        <v>0</v>
      </c>
      <c r="FG37" s="15" t="str">
        <f>IF('Raw Data'!EU17="","",'Raw Data'!EU17)</f>
        <v>0</v>
      </c>
      <c r="FH37" s="15" t="str">
        <f>IF('Raw Data'!EV17="","",'Raw Data'!EV17)</f>
        <v>0</v>
      </c>
      <c r="FI37" s="15" t="str">
        <f>IF('Raw Data'!EW17="","",'Raw Data'!EW17)</f>
        <v/>
      </c>
      <c r="FJ37" s="15" t="str">
        <f>IF('Raw Data'!EX17="","",'Raw Data'!EX17)</f>
        <v>oui</v>
      </c>
      <c r="FK37" s="15" t="str">
        <f>IF('Raw Data'!EY17="","",'Raw Data'!EY17)</f>
        <v>Autre</v>
      </c>
      <c r="FL37" s="15" t="str">
        <f>IF('Raw Data'!EZ17="","",'Raw Data'!EZ17)</f>
        <v>0</v>
      </c>
      <c r="FM37" s="15" t="str">
        <f>IF('Raw Data'!FA17="","",'Raw Data'!FA17)</f>
        <v>0</v>
      </c>
      <c r="FN37" s="15" t="str">
        <f>IF('Raw Data'!FB17="","",'Raw Data'!FB17)</f>
        <v>0</v>
      </c>
      <c r="FO37" s="15" t="str">
        <f>IF('Raw Data'!FC17="","",'Raw Data'!FC17)</f>
        <v>0</v>
      </c>
      <c r="FP37" s="15" t="str">
        <f>IF('Raw Data'!FD17="","",'Raw Data'!FD17)</f>
        <v>0</v>
      </c>
      <c r="FQ37" s="31">
        <v>1</v>
      </c>
      <c r="FR37" s="15" t="str">
        <f>IF('Raw Data'!FF17="","",'Raw Data'!FF17)</f>
        <v>0</v>
      </c>
      <c r="FS37" s="15" t="str">
        <f>IF('Raw Data'!FG17="","",'Raw Data'!FG17)</f>
        <v>0</v>
      </c>
      <c r="FT37" s="15" t="str">
        <f>IF('Raw Data'!FH17="","",'Raw Data'!FH17)</f>
        <v>0</v>
      </c>
      <c r="FU37" s="15" t="str">
        <f>IF('Raw Data'!FI17="","",'Raw Data'!FI17)</f>
        <v>0</v>
      </c>
      <c r="FV37" s="15" t="str">
        <f>IF('Raw Data'!FJ17="","",'Raw Data'!FJ17)</f>
        <v>0</v>
      </c>
      <c r="FW37" s="15" t="str">
        <f>IF('Raw Data'!FK17="","",'Raw Data'!FK17)</f>
        <v>0</v>
      </c>
      <c r="FX37" s="31">
        <v>0</v>
      </c>
      <c r="FY37" s="15" t="str">
        <f>IF('Raw Data'!FM17="","",'Raw Data'!FM17)</f>
        <v>0</v>
      </c>
      <c r="FZ37" s="31"/>
      <c r="GA37" s="15" t="str">
        <f>IF('Raw Data'!FO17="","",'Raw Data'!FO17)</f>
        <v>oui_ensemble</v>
      </c>
      <c r="GB37" s="15" t="str">
        <f>IF('Raw Data'!FP17="","",'Raw Data'!FP17)</f>
        <v>oui_moitie</v>
      </c>
      <c r="GC37" s="15" t="str">
        <f>IF('Raw Data'!FQ17="","",'Raw Data'!FQ17)</f>
        <v>non_fonctionnelle</v>
      </c>
      <c r="GD37" s="15" t="str">
        <f>IF('Raw Data'!FR17="","",'Raw Data'!FR17)</f>
        <v>1</v>
      </c>
      <c r="GE37" s="15" t="str">
        <f>IF('Raw Data'!FS17="","",'Raw Data'!FS17)</f>
        <v>0</v>
      </c>
      <c r="GF37" s="15" t="str">
        <f>IF('Raw Data'!FT17="","",'Raw Data'!FT17)</f>
        <v>0</v>
      </c>
      <c r="GG37" s="15" t="str">
        <f>IF('Raw Data'!FU17="","",'Raw Data'!FU17)</f>
        <v>0</v>
      </c>
      <c r="GH37" s="15" t="str">
        <f>IF('Raw Data'!FV17="","",'Raw Data'!FV17)</f>
        <v>0</v>
      </c>
      <c r="GI37" s="15" t="str">
        <f>IF('Raw Data'!FW17="","",'Raw Data'!FW17)</f>
        <v>0</v>
      </c>
      <c r="GJ37" s="15" t="str">
        <f>IF('Raw Data'!FX17="","",'Raw Data'!FX17)</f>
        <v>0</v>
      </c>
      <c r="GK37" s="15" t="str">
        <f>IF('Raw Data'!FY17="","",'Raw Data'!FY17)</f>
        <v>0</v>
      </c>
      <c r="GL37" s="15" t="str">
        <f>IF('Raw Data'!FZ17="","",'Raw Data'!FZ17)</f>
        <v/>
      </c>
      <c r="GM37" s="15" t="str">
        <f>IF('Raw Data'!GA17="","",'Raw Data'!GA17)</f>
        <v>majorite</v>
      </c>
      <c r="GN37" s="15" t="str">
        <f>IF('Raw Data'!GB17="","",'Raw Data'!GB17)</f>
        <v>majorite</v>
      </c>
      <c r="GO37" s="15" t="str">
        <f>IF('Raw Data'!GC17="","",'Raw Data'!GC17)</f>
        <v>Services_de_sante</v>
      </c>
      <c r="GP37" s="15" t="str">
        <f>IF('Raw Data'!GD17="","",'Raw Data'!GD17)</f>
        <v>0</v>
      </c>
      <c r="GQ37" s="15" t="str">
        <f>IF('Raw Data'!GE17="","",'Raw Data'!GE17)</f>
        <v>0</v>
      </c>
      <c r="GR37" s="15" t="str">
        <f>IF('Raw Data'!GF17="","",'Raw Data'!GF17)</f>
        <v>0</v>
      </c>
      <c r="GS37" s="15" t="str">
        <f>IF('Raw Data'!GG17="","",'Raw Data'!GG17)</f>
        <v>1</v>
      </c>
      <c r="GT37" s="15" t="str">
        <f>IF('Raw Data'!GH17="","",'Raw Data'!GH17)</f>
        <v>0</v>
      </c>
      <c r="GU37" s="15" t="str">
        <f>IF('Raw Data'!GI17="","",'Raw Data'!GI17)</f>
        <v>0</v>
      </c>
      <c r="GV37" s="15" t="str">
        <f>IF('Raw Data'!GJ17="","",'Raw Data'!GJ17)</f>
        <v>0</v>
      </c>
      <c r="GW37" s="15" t="str">
        <f>IF('Raw Data'!GK17="","",'Raw Data'!GK17)</f>
        <v>0</v>
      </c>
      <c r="GX37" s="15" t="str">
        <f>IF('Raw Data'!GL17="","",'Raw Data'!GL17)</f>
        <v>0</v>
      </c>
      <c r="GY37" s="15" t="str">
        <f>IF('Raw Data'!GM17="","",'Raw Data'!GM17)</f>
        <v/>
      </c>
      <c r="GZ37" s="15" t="str">
        <f>IF('Raw Data'!GN17="","",'Raw Data'!GN17)</f>
        <v>oui_majorite</v>
      </c>
      <c r="HA37" s="15" t="str">
        <f>IF('Raw Data'!GO17="","",'Raw Data'!GO17)</f>
        <v>oui_majorite</v>
      </c>
      <c r="HB37" s="15" t="str">
        <f>IF('Raw Data'!GP17="","",'Raw Data'!GP17)</f>
        <v>amelioration_futur diminution_tensions</v>
      </c>
      <c r="HC37" s="15" t="str">
        <f>IF('Raw Data'!GQ17="","",'Raw Data'!GQ17)</f>
        <v>1</v>
      </c>
      <c r="HD37" s="15" t="str">
        <f>IF('Raw Data'!GR17="","",'Raw Data'!GR17)</f>
        <v>0</v>
      </c>
      <c r="HE37" s="15" t="str">
        <f>IF('Raw Data'!GS17="","",'Raw Data'!GS17)</f>
        <v>0</v>
      </c>
      <c r="HF37" s="15" t="str">
        <f>IF('Raw Data'!GT17="","",'Raw Data'!GT17)</f>
        <v>0</v>
      </c>
      <c r="HG37" s="15" t="str">
        <f>IF('Raw Data'!GU17="","",'Raw Data'!GU17)</f>
        <v>0</v>
      </c>
      <c r="HH37" s="15" t="str">
        <f>IF('Raw Data'!GV17="","",'Raw Data'!GV17)</f>
        <v>1</v>
      </c>
      <c r="HI37" s="15" t="str">
        <f>IF('Raw Data'!GW17="","",'Raw Data'!GW17)</f>
        <v>0</v>
      </c>
      <c r="HJ37" s="15" t="str">
        <f>IF('Raw Data'!GX17="","",'Raw Data'!GX17)</f>
        <v>0</v>
      </c>
      <c r="HK37" s="15" t="str">
        <f>IF('Raw Data'!GY17="","",'Raw Data'!GY17)</f>
        <v/>
      </c>
      <c r="HL37" s="15" t="str">
        <f>IF('Raw Data'!GZ17="","",'Raw Data'!GZ17)</f>
        <v>ne_contribue_pas ne_repond_pas</v>
      </c>
      <c r="HM37" s="15" t="str">
        <f>IF('Raw Data'!HA17="","",'Raw Data'!HA17)</f>
        <v>1</v>
      </c>
      <c r="HN37" s="15" t="str">
        <f>IF('Raw Data'!HB17="","",'Raw Data'!HB17)</f>
        <v>1</v>
      </c>
      <c r="HO37" s="15" t="str">
        <f>IF('Raw Data'!HC17="","",'Raw Data'!HC17)</f>
        <v>0</v>
      </c>
      <c r="HP37" s="15" t="str">
        <f>IF('Raw Data'!HD17="","",'Raw Data'!HD17)</f>
        <v>0</v>
      </c>
      <c r="HQ37" s="15" t="str">
        <f>IF('Raw Data'!HE17="","",'Raw Data'!HE17)</f>
        <v>0</v>
      </c>
      <c r="HR37" s="15" t="str">
        <f>IF('Raw Data'!HF17="","",'Raw Data'!HF17)</f>
        <v>0</v>
      </c>
      <c r="HS37" s="15" t="str">
        <f>IF('Raw Data'!HG17="","",'Raw Data'!HG17)</f>
        <v/>
      </c>
      <c r="HT37" s="15" t="str">
        <f>IF('Raw Data'!HH17="","",'Raw Data'!HH17)</f>
        <v/>
      </c>
      <c r="HU37" s="15" t="str">
        <f>IF('Raw Data'!HI17="","",'Raw Data'!HI17)</f>
        <v>non</v>
      </c>
      <c r="HV37" s="15" t="str">
        <f>IF('Raw Data'!HJ17="","",'Raw Data'!HJ17)</f>
        <v/>
      </c>
      <c r="HW37" s="15" t="str">
        <f>IF('Raw Data'!HK17="","",'Raw Data'!HK17)</f>
        <v/>
      </c>
      <c r="HX37" s="15" t="str">
        <f>IF('Raw Data'!HL17="","",'Raw Data'!HL17)</f>
        <v/>
      </c>
      <c r="HY37" s="15" t="str">
        <f>IF('Raw Data'!HM17="","",'Raw Data'!HM17)</f>
        <v/>
      </c>
      <c r="HZ37" s="15" t="str">
        <f>IF('Raw Data'!HN17="","",'Raw Data'!HN17)</f>
        <v/>
      </c>
      <c r="IA37" s="15" t="str">
        <f>IF('Raw Data'!HO17="","",'Raw Data'!HO17)</f>
        <v/>
      </c>
      <c r="IB37" s="15" t="str">
        <f>IF('Raw Data'!HP17="","",'Raw Data'!HP17)</f>
        <v/>
      </c>
      <c r="IC37" s="15" t="str">
        <f>IF('Raw Data'!HQ17="","",'Raw Data'!HQ17)</f>
        <v/>
      </c>
      <c r="ID37" s="15" t="str">
        <f>IF('Raw Data'!HR17="","",'Raw Data'!HR17)</f>
        <v/>
      </c>
      <c r="IE37" s="15" t="str">
        <f>IF('Raw Data'!HS17="","",'Raw Data'!HS17)</f>
        <v/>
      </c>
      <c r="IF37" s="15" t="str">
        <f>IF('Raw Data'!HT17="","",'Raw Data'!HT17)</f>
        <v/>
      </c>
      <c r="IG37" s="15" t="str">
        <f>IF('Raw Data'!HU17="","",'Raw Data'!HU17)</f>
        <v/>
      </c>
      <c r="IH37" s="15" t="str">
        <f>IF('Raw Data'!HV17="","",'Raw Data'!HV17)</f>
        <v>oui</v>
      </c>
      <c r="II37" s="15" t="str">
        <f>IF('Raw Data'!HW17="","",'Raw Data'!HW17)</f>
        <v/>
      </c>
      <c r="IJ37" s="31"/>
      <c r="IK37" s="31"/>
      <c r="IL37" s="31"/>
      <c r="IM37" s="31"/>
      <c r="IN37" s="31"/>
      <c r="IO37" s="31"/>
      <c r="IP37" s="31"/>
      <c r="IQ37" s="31"/>
      <c r="IR37" s="31"/>
      <c r="IS37" s="31"/>
      <c r="IT37" s="31"/>
      <c r="IU37" s="31"/>
      <c r="IV37" s="31"/>
      <c r="IW37" s="31"/>
      <c r="IX37" s="31"/>
      <c r="IY37" s="15" t="str">
        <f>IF('Raw Data'!IM17="","",'Raw Data'!IM17)</f>
        <v/>
      </c>
      <c r="IZ37" s="31"/>
      <c r="JA37" s="31"/>
      <c r="JB37" s="31"/>
      <c r="JC37" s="31"/>
      <c r="JD37" s="31"/>
      <c r="JE37" s="31"/>
      <c r="JF37" s="31"/>
      <c r="JG37" s="31"/>
      <c r="JH37" s="31"/>
      <c r="JI37" s="31"/>
      <c r="JJ37" s="31"/>
      <c r="JK37" s="31"/>
      <c r="JL37" s="15" t="str">
        <f>IF('Raw Data'!IZ17="","",'Raw Data'!IZ17)</f>
        <v/>
      </c>
      <c r="JM37" s="31"/>
      <c r="JN37" s="31"/>
      <c r="JO37" s="31"/>
      <c r="JP37" s="31"/>
      <c r="JQ37" s="31"/>
      <c r="JR37" s="31"/>
      <c r="JS37" s="31"/>
      <c r="JT37" s="15" t="str">
        <f>IF('Raw Data'!JH17="","",'Raw Data'!JH17)</f>
        <v/>
      </c>
      <c r="JU37" s="31"/>
      <c r="JV37" s="31"/>
      <c r="JW37" s="31"/>
      <c r="JX37" s="31"/>
      <c r="JY37" s="31"/>
      <c r="JZ37" s="31"/>
      <c r="KA37" s="31"/>
      <c r="KB37" s="31"/>
      <c r="KC37" s="31"/>
      <c r="KD37" s="31"/>
      <c r="KE37" s="15" t="str">
        <f>IF('Raw Data'!JS17="","",'Raw Data'!JS17)</f>
        <v/>
      </c>
      <c r="KF37" s="31"/>
      <c r="KG37" s="31"/>
      <c r="KH37" s="31"/>
      <c r="KI37" s="31"/>
      <c r="KJ37" s="31"/>
      <c r="KK37" s="31"/>
      <c r="KL37" s="31"/>
      <c r="KM37" s="31"/>
      <c r="KN37" s="31"/>
      <c r="KO37" s="31"/>
      <c r="KP37" s="15" t="str">
        <f>IF('Raw Data'!KD17="","",'Raw Data'!KD17)</f>
        <v/>
      </c>
      <c r="KQ37" s="15" t="str">
        <f>IF('Raw Data'!KE17="","",'Raw Data'!KE17)</f>
        <v/>
      </c>
      <c r="KR37" s="31"/>
      <c r="KS37" s="15" t="str">
        <f>IF('Raw Data'!KG17="","",'Raw Data'!KG17)</f>
        <v/>
      </c>
      <c r="KT37" s="15" t="str">
        <f>IF('Raw Data'!KH17="","",'Raw Data'!KH17)</f>
        <v/>
      </c>
      <c r="KU37" s="15" t="str">
        <f>IF('Raw Data'!KI17="","",'Raw Data'!KI17)</f>
        <v/>
      </c>
      <c r="KV37" s="15" t="str">
        <f>IF('Raw Data'!KJ17="","",'Raw Data'!KJ17)</f>
        <v/>
      </c>
      <c r="KW37" s="15" t="str">
        <f>IF('Raw Data'!KK17="","",'Raw Data'!KK17)</f>
        <v/>
      </c>
      <c r="KX37" s="15" t="str">
        <f>IF('Raw Data'!KL17="","",'Raw Data'!KL17)</f>
        <v/>
      </c>
      <c r="KY37" s="15" t="str">
        <f>IF('Raw Data'!KM17="","",'Raw Data'!KM17)</f>
        <v/>
      </c>
      <c r="KZ37" s="15" t="str">
        <f>IF('Raw Data'!KN17="","",'Raw Data'!KN17)</f>
        <v/>
      </c>
      <c r="LA37" s="15" t="str">
        <f>IF('Raw Data'!KO17="","",'Raw Data'!KO17)</f>
        <v/>
      </c>
      <c r="LB37" s="15" t="str">
        <f>IF('Raw Data'!KP17="","",'Raw Data'!KP17)</f>
        <v/>
      </c>
      <c r="LC37" s="15" t="str">
        <f>IF('Raw Data'!KQ17="","",'Raw Data'!KQ17)</f>
        <v/>
      </c>
      <c r="LD37" s="15" t="str">
        <f>IF('Raw Data'!KR17="","",'Raw Data'!KR17)</f>
        <v/>
      </c>
      <c r="LE37" s="15" t="str">
        <f>IF('Raw Data'!KS17="","",'Raw Data'!KS17)</f>
        <v/>
      </c>
      <c r="LF37" s="15" t="str">
        <f>IF('Raw Data'!KT17="","",'Raw Data'!KT17)</f>
        <v/>
      </c>
      <c r="LG37" s="15" t="str">
        <f>IF('Raw Data'!KU17="","",'Raw Data'!KU17)</f>
        <v/>
      </c>
      <c r="LH37" s="15" t="str">
        <f>IF('Raw Data'!KV17="","",'Raw Data'!KV17)</f>
        <v/>
      </c>
      <c r="LI37" s="15" t="str">
        <f>IF('Raw Data'!KW17="","",'Raw Data'!KW17)</f>
        <v/>
      </c>
      <c r="LJ37" s="15" t="str">
        <f>IF('Raw Data'!KX17="","",'Raw Data'!KX17)</f>
        <v/>
      </c>
      <c r="LK37" s="15" t="str">
        <f>IF('Raw Data'!KY17="","",'Raw Data'!KY17)</f>
        <v/>
      </c>
      <c r="LL37" s="15" t="str">
        <f>IF('Raw Data'!KZ17="","",'Raw Data'!KZ17)</f>
        <v/>
      </c>
      <c r="LM37" s="15" t="str">
        <f>IF('Raw Data'!LA17="","",'Raw Data'!LA17)</f>
        <v/>
      </c>
      <c r="LN37" s="31"/>
      <c r="LO37" s="15" t="str">
        <f>IF('Raw Data'!LC17="","",'Raw Data'!LC17)</f>
        <v/>
      </c>
      <c r="LP37" s="15" t="str">
        <f>IF('Raw Data'!LD17="","",'Raw Data'!LD17)</f>
        <v/>
      </c>
      <c r="LQ37" s="15" t="str">
        <f>IF('Raw Data'!LE17="","",'Raw Data'!LE17)</f>
        <v/>
      </c>
      <c r="LR37" s="15" t="str">
        <f>IF('Raw Data'!LF17="","",'Raw Data'!LF17)</f>
        <v/>
      </c>
      <c r="LS37" s="15" t="str">
        <f>IF('Raw Data'!LG17="","",'Raw Data'!LG17)</f>
        <v/>
      </c>
      <c r="LT37" s="15" t="str">
        <f>IF('Raw Data'!LH17="","",'Raw Data'!LH17)</f>
        <v/>
      </c>
      <c r="LU37" s="15" t="str">
        <f>IF('Raw Data'!LI17="","",'Raw Data'!LI17)</f>
        <v/>
      </c>
      <c r="LV37" s="15" t="str">
        <f>IF('Raw Data'!LJ17="","",'Raw Data'!LJ17)</f>
        <v/>
      </c>
      <c r="LW37" s="15" t="str">
        <f>IF('Raw Data'!LK17="","",'Raw Data'!LK17)</f>
        <v/>
      </c>
      <c r="LX37" s="15" t="str">
        <f>IF('Raw Data'!LL17="","",'Raw Data'!LL17)</f>
        <v/>
      </c>
      <c r="LY37" s="15" t="str">
        <f>IF('Raw Data'!LM17="","",'Raw Data'!LM17)</f>
        <v/>
      </c>
      <c r="LZ37" s="15" t="str">
        <f>IF('Raw Data'!LN17="","",'Raw Data'!LN17)</f>
        <v/>
      </c>
      <c r="MA37" s="15" t="str">
        <f>IF('Raw Data'!LO17="","",'Raw Data'!LO17)</f>
        <v/>
      </c>
      <c r="MB37" s="15" t="str">
        <f>IF('Raw Data'!LP17="","",'Raw Data'!LP17)</f>
        <v>oui</v>
      </c>
      <c r="MC37" s="15" t="str">
        <f>IF('Raw Data'!LQ17="","",'Raw Data'!LQ17)</f>
        <v/>
      </c>
      <c r="MD37" s="15" t="str">
        <f>IF('Raw Data'!LR17="","",'Raw Data'!LR17)</f>
        <v>Nous on veux avoir seulement la paix dans notre pays pour qu'on puisse nous préoccupe a nos occupations</v>
      </c>
      <c r="ME37" s="15">
        <f>IF('Raw Data'!LS17="","",'Raw Data'!LS17)</f>
        <v>169217130</v>
      </c>
      <c r="MF37" s="15" t="str">
        <f>IF('Raw Data'!LT17="","",'Raw Data'!LT17)</f>
        <v>9bfe184b-e147-4dae-af55-d51117065e18</v>
      </c>
      <c r="MG37" s="15" t="str">
        <f>IF('Raw Data'!LU17="","",'Raw Data'!LU17)</f>
        <v>2021-04-01T19:25:56</v>
      </c>
      <c r="MH37" s="15" t="str">
        <f>IF('Raw Data'!LV17="","",'Raw Data'!LV17)</f>
        <v/>
      </c>
      <c r="MI37" s="15" t="str">
        <f>IF('Raw Data'!LW17="","",'Raw Data'!LW17)</f>
        <v>[]</v>
      </c>
      <c r="MJ37" s="15" t="str">
        <f>IF('Raw Data'!LX17="","",'Raw Data'!LX17)</f>
        <v>submitted_via_web</v>
      </c>
      <c r="MK37" s="15" t="str">
        <f>IF('Raw Data'!LY17="","",'Raw Data'!LY17)</f>
        <v>reach_niger</v>
      </c>
      <c r="ML37" s="15" t="str">
        <f>IF('Raw Data'!LZ17="","",'Raw Data'!LZ17)</f>
        <v/>
      </c>
      <c r="MM37" s="15">
        <f>IF('Raw Data'!MA17="","",'Raw Data'!MA17)</f>
        <v>16</v>
      </c>
    </row>
    <row r="38" spans="1:351" x14ac:dyDescent="0.3">
      <c r="A38" s="26" t="str">
        <f t="shared" si="4"/>
        <v>d5ba87a2-015b-4a2f-95ff-e2f732a967d8</v>
      </c>
      <c r="B38" s="26" t="str">
        <f t="shared" si="5"/>
        <v>tondikiwindi</v>
      </c>
      <c r="C38" s="26" t="str">
        <f t="shared" si="6"/>
        <v>H</v>
      </c>
      <c r="D38" s="14" t="str">
        <f>IF('Raw Data'!A49="","",'Raw Data'!A49)</f>
        <v>2021-04-07T13:42:06.836+01:00</v>
      </c>
      <c r="E38" s="14" t="str">
        <f>IF('Raw Data'!B49="","",'Raw Data'!B49)</f>
        <v>2021-04-07T14:05:56.183+01:00</v>
      </c>
      <c r="F38" s="30">
        <v>44293.570902777778</v>
      </c>
      <c r="G38" s="30">
        <v>44293.587453703702</v>
      </c>
      <c r="H38" s="29">
        <f>VLOOKUP(A38,Audit[#All],2,FALSE)</f>
        <v>23.82</v>
      </c>
      <c r="I38" s="29">
        <f>VLOOKUP(A38,Audit[#All],3,FALSE)</f>
        <v>23.79</v>
      </c>
      <c r="J38" s="29">
        <f>VLOOKUP(A38,Audit[#All],4,FALSE)</f>
        <v>19.559999999999999</v>
      </c>
      <c r="K38" s="29">
        <f>VLOOKUP(A38,nb_questions[#All],2,FALSE)</f>
        <v>59</v>
      </c>
      <c r="L38" s="29">
        <f t="shared" si="7"/>
        <v>269</v>
      </c>
      <c r="M38" s="14" t="str">
        <f>IF('Raw Data'!C49="","",'Raw Data'!C49)</f>
        <v>2021-04-07</v>
      </c>
      <c r="N38" s="14" t="str">
        <f>IF('Raw Data'!D49="","",'Raw Data'!D49)</f>
        <v/>
      </c>
      <c r="O38" s="14" t="str">
        <f>IF('Raw Data'!E49="","",'Raw Data'!E49)</f>
        <v/>
      </c>
      <c r="P38" s="29" t="str">
        <f>VLOOKUP(A38,code_enqueteurs[#All],3,FALSE)</f>
        <v>H</v>
      </c>
      <c r="Q38" s="29" t="s">
        <v>1652</v>
      </c>
      <c r="R38" s="14" t="str">
        <f>IF('Raw Data'!F49="","",'Raw Data'!F49)</f>
        <v>Homme</v>
      </c>
      <c r="S38" s="15" t="str">
        <f>IF('Raw Data'!G49="","",'Raw Data'!G49)</f>
        <v>ouallam</v>
      </c>
      <c r="T38" s="15" t="str">
        <f>IF('Raw Data'!H49="","",'Raw Data'!H49)</f>
        <v>tondikiwindi</v>
      </c>
      <c r="U38" s="15" t="str">
        <f>IF('Raw Data'!I49="","",'Raw Data'!I49)</f>
        <v>mangaize</v>
      </c>
      <c r="V38" s="15" t="str">
        <f>IF('Raw Data'!J49="","",'Raw Data'!J49)</f>
        <v/>
      </c>
      <c r="W38" s="15" t="str">
        <f>IF('Raw Data'!K49="","",'Raw Data'!K49)</f>
        <v/>
      </c>
      <c r="X38" s="15" t="str">
        <f>IF('Raw Data'!L49="","",'Raw Data'!L49)</f>
        <v/>
      </c>
      <c r="Y38" s="15" t="str">
        <f>IF('Raw Data'!M49="","",'Raw Data'!M49)</f>
        <v/>
      </c>
      <c r="Z38" s="15" t="str">
        <f>IF('Raw Data'!N49="","",'Raw Data'!N49)</f>
        <v/>
      </c>
      <c r="AA38" s="15" t="str">
        <f>IF('Raw Data'!O49="","",'Raw Data'!O49)</f>
        <v/>
      </c>
      <c r="AB38" s="15" t="str">
        <f>IF('Raw Data'!P49="","",'Raw Data'!P49)</f>
        <v/>
      </c>
      <c r="AC38" s="15" t="str">
        <f>IF('Raw Data'!Q49="","",'Raw Data'!Q49)</f>
        <v/>
      </c>
      <c r="AD38" s="15" t="str">
        <f>IF('Raw Data'!R49="","",'Raw Data'!R49)</f>
        <v>Homme</v>
      </c>
      <c r="AE38" s="15" t="str">
        <f>IF('Raw Data'!S49="","",'Raw Data'!S49)</f>
        <v>30</v>
      </c>
      <c r="AF38" s="15" t="str">
        <f>IF('Raw Data'!T49="","",'Raw Data'!T49)</f>
        <v>deplace_interne</v>
      </c>
      <c r="AG38" s="15" t="str">
        <f>IF('Raw Data'!U49="","",'Raw Data'!U49)</f>
        <v/>
      </c>
      <c r="AH38" s="15" t="str">
        <f>IF('Raw Data'!V49="","",'Raw Data'!V49)</f>
        <v/>
      </c>
      <c r="AI38" s="15" t="str">
        <f>IF('Raw Data'!W49="","",'Raw Data'!W49)</f>
        <v/>
      </c>
      <c r="AJ38" s="15" t="str">
        <f>IF('Raw Data'!X49="","",'Raw Data'!X49)</f>
        <v/>
      </c>
      <c r="AK38" s="15" t="str">
        <f>IF('Raw Data'!Y49="","",'Raw Data'!Y49)</f>
        <v/>
      </c>
      <c r="AL38" s="15" t="str">
        <f>IF('Raw Data'!Z49="","",'Raw Data'!Z49)</f>
        <v>niger</v>
      </c>
      <c r="AM38" s="15" t="str">
        <f>IF('Raw Data'!AA49="","",'Raw Data'!AA49)</f>
        <v>tillaberi</v>
      </c>
      <c r="AN38" s="15" t="str">
        <f>IF('Raw Data'!AB49="","",'Raw Data'!AB49)</f>
        <v>ouallam</v>
      </c>
      <c r="AO38" s="15" t="str">
        <f>IF('Raw Data'!AC49="","",'Raw Data'!AC49)</f>
        <v/>
      </c>
      <c r="AP38" s="15" t="str">
        <f>IF('Raw Data'!AD49="","",'Raw Data'!AD49)</f>
        <v/>
      </c>
      <c r="AQ38" s="15" t="str">
        <f>IF('Raw Data'!AE49="","",'Raw Data'!AE49)</f>
        <v/>
      </c>
      <c r="AR38" s="15" t="str">
        <f>IF('Raw Data'!AF49="","",'Raw Data'!AF49)</f>
        <v/>
      </c>
      <c r="AS38" s="15" t="str">
        <f>IF('Raw Data'!AG49="","",'Raw Data'!AG49)</f>
        <v>non</v>
      </c>
      <c r="AT38" s="15" t="str">
        <f>IF('Raw Data'!AH49="","",'Raw Data'!AH49)</f>
        <v/>
      </c>
      <c r="AU38" s="15" t="str">
        <f>IF('Raw Data'!AI49="","",'Raw Data'!AI49)</f>
        <v/>
      </c>
      <c r="AV38" s="15" t="str">
        <f>IF('Raw Data'!AJ49="","",'Raw Data'!AJ49)</f>
        <v/>
      </c>
      <c r="AW38" s="15" t="str">
        <f>IF('Raw Data'!AK49="","",'Raw Data'!AK49)</f>
        <v/>
      </c>
      <c r="AX38" s="15" t="str">
        <f>IF('Raw Data'!AL49="","",'Raw Data'!AL49)</f>
        <v/>
      </c>
      <c r="AY38" s="15" t="str">
        <f>IF('Raw Data'!AM49="","",'Raw Data'!AM49)</f>
        <v/>
      </c>
      <c r="AZ38" s="15" t="str">
        <f>IF('Raw Data'!AN49="","",'Raw Data'!AN49)</f>
        <v/>
      </c>
      <c r="BA38" s="15" t="str">
        <f>IF('Raw Data'!AO49="","",'Raw Data'!AO49)</f>
        <v/>
      </c>
      <c r="BB38" s="15" t="str">
        <f>IF('Raw Data'!AP49="","",'Raw Data'!AP49)</f>
        <v/>
      </c>
      <c r="BC38" s="15" t="str">
        <f>IF('Raw Data'!AQ49="","",'Raw Data'!AQ49)</f>
        <v/>
      </c>
      <c r="BD38" s="15" t="str">
        <f>IF('Raw Data'!AR49="","",'Raw Data'!AR49)</f>
        <v/>
      </c>
      <c r="BE38" s="15" t="str">
        <f>IF('Raw Data'!AS49="","",'Raw Data'!AS49)</f>
        <v/>
      </c>
      <c r="BF38" s="15" t="str">
        <f>IF('Raw Data'!AT49="","",'Raw Data'!AT49)</f>
        <v/>
      </c>
      <c r="BG38" s="15" t="str">
        <f>IF('Raw Data'!AU49="","",'Raw Data'!AU49)</f>
        <v/>
      </c>
      <c r="BH38" s="15" t="str">
        <f>IF('Raw Data'!AV49="","",'Raw Data'!AV49)</f>
        <v/>
      </c>
      <c r="BI38" s="15" t="str">
        <f>IF('Raw Data'!AW49="","",'Raw Data'!AW49)</f>
        <v/>
      </c>
      <c r="BJ38" s="15" t="str">
        <f>IF('Raw Data'!AX49="","",'Raw Data'!AX49)</f>
        <v/>
      </c>
      <c r="BK38" s="15" t="str">
        <f>IF('Raw Data'!AY49="","",'Raw Data'!AY49)</f>
        <v/>
      </c>
      <c r="BL38" s="15" t="str">
        <f>IF('Raw Data'!AZ49="","",'Raw Data'!AZ49)</f>
        <v/>
      </c>
      <c r="BM38" s="15" t="str">
        <f>IF('Raw Data'!BA49="","",'Raw Data'!BA49)</f>
        <v/>
      </c>
      <c r="BN38" s="15" t="str">
        <f>IF('Raw Data'!BB49="","",'Raw Data'!BB49)</f>
        <v/>
      </c>
      <c r="BO38" s="15" t="str">
        <f>IF('Raw Data'!BC49="","",'Raw Data'!BC49)</f>
        <v/>
      </c>
      <c r="BP38" s="15" t="str">
        <f>IF('Raw Data'!BD49="","",'Raw Data'!BD49)</f>
        <v/>
      </c>
      <c r="BQ38" s="15" t="str">
        <f>IF('Raw Data'!BE49="","",'Raw Data'!BE49)</f>
        <v/>
      </c>
      <c r="BR38" s="15" t="str">
        <f>IF('Raw Data'!BF49="","",'Raw Data'!BF49)</f>
        <v/>
      </c>
      <c r="BS38" s="15" t="str">
        <f>IF('Raw Data'!BG49="","",'Raw Data'!BG49)</f>
        <v/>
      </c>
      <c r="BT38" s="15" t="str">
        <f>IF('Raw Data'!BH49="","",'Raw Data'!BH49)</f>
        <v/>
      </c>
      <c r="BU38" s="15" t="str">
        <f>IF('Raw Data'!BI49="","",'Raw Data'!BI49)</f>
        <v/>
      </c>
      <c r="BV38" s="15" t="str">
        <f>IF('Raw Data'!BJ49="","",'Raw Data'!BJ49)</f>
        <v/>
      </c>
      <c r="BW38" s="15" t="str">
        <f>IF('Raw Data'!BK49="","",'Raw Data'!BK49)</f>
        <v/>
      </c>
      <c r="BX38" s="15" t="str">
        <f>IF('Raw Data'!BL49="","",'Raw Data'!BL49)</f>
        <v/>
      </c>
      <c r="BY38" s="15" t="str">
        <f>IF('Raw Data'!BM49="","",'Raw Data'!BM49)</f>
        <v/>
      </c>
      <c r="BZ38" s="15" t="str">
        <f>IF('Raw Data'!BN49="","",'Raw Data'!BN49)</f>
        <v/>
      </c>
      <c r="CA38" s="15" t="str">
        <f>IF('Raw Data'!BO49="","",'Raw Data'!BO49)</f>
        <v/>
      </c>
      <c r="CB38" s="15" t="str">
        <f>IF('Raw Data'!BP49="","",'Raw Data'!BP49)</f>
        <v/>
      </c>
      <c r="CC38" s="15" t="str">
        <f>IF('Raw Data'!BQ49="","",'Raw Data'!BQ49)</f>
        <v>non</v>
      </c>
      <c r="CD38" s="15" t="str">
        <f>IF('Raw Data'!BR49="","",'Raw Data'!BR49)</f>
        <v/>
      </c>
      <c r="CE38" s="15" t="str">
        <f>IF('Raw Data'!BS49="","",'Raw Data'!BS49)</f>
        <v/>
      </c>
      <c r="CF38" s="15" t="str">
        <f>IF('Raw Data'!BT49="","",'Raw Data'!BT49)</f>
        <v/>
      </c>
      <c r="CG38" s="15" t="str">
        <f>IF('Raw Data'!BU49="","",'Raw Data'!BU49)</f>
        <v/>
      </c>
      <c r="CH38" s="15" t="str">
        <f>IF('Raw Data'!BV49="","",'Raw Data'!BV49)</f>
        <v/>
      </c>
      <c r="CI38" s="15" t="str">
        <f>IF('Raw Data'!BW49="","",'Raw Data'!BW49)</f>
        <v/>
      </c>
      <c r="CJ38" s="15" t="str">
        <f>IF('Raw Data'!BX49="","",'Raw Data'!BX49)</f>
        <v/>
      </c>
      <c r="CK38" s="15" t="str">
        <f>IF('Raw Data'!BY49="","",'Raw Data'!BY49)</f>
        <v/>
      </c>
      <c r="CL38" s="15" t="str">
        <f>IF('Raw Data'!BZ49="","",'Raw Data'!BZ49)</f>
        <v/>
      </c>
      <c r="CM38" s="15" t="str">
        <f>IF('Raw Data'!CA49="","",'Raw Data'!CA49)</f>
        <v/>
      </c>
      <c r="CN38" s="15" t="str">
        <f>IF('Raw Data'!CB49="","",'Raw Data'!CB49)</f>
        <v/>
      </c>
      <c r="CO38" s="15" t="str">
        <f>IF('Raw Data'!CC49="","",'Raw Data'!CC49)</f>
        <v/>
      </c>
      <c r="CP38" s="15" t="str">
        <f>IF('Raw Data'!CD49="","",'Raw Data'!CD49)</f>
        <v/>
      </c>
      <c r="CQ38" s="15" t="str">
        <f>IF('Raw Data'!CE49="","",'Raw Data'!CE49)</f>
        <v/>
      </c>
      <c r="CR38" s="15" t="str">
        <f>IF('Raw Data'!CF49="","",'Raw Data'!CF49)</f>
        <v/>
      </c>
      <c r="CS38" s="15" t="str">
        <f>IF('Raw Data'!CG49="","",'Raw Data'!CG49)</f>
        <v/>
      </c>
      <c r="CT38" s="15" t="str">
        <f>IF('Raw Data'!CH49="","",'Raw Data'!CH49)</f>
        <v/>
      </c>
      <c r="CU38" s="15" t="str">
        <f>IF('Raw Data'!CI49="","",'Raw Data'!CI49)</f>
        <v/>
      </c>
      <c r="CV38" s="15" t="str">
        <f>IF('Raw Data'!CJ49="","",'Raw Data'!CJ49)</f>
        <v/>
      </c>
      <c r="CW38" s="15" t="str">
        <f>IF('Raw Data'!CK49="","",'Raw Data'!CK49)</f>
        <v/>
      </c>
      <c r="CX38" s="15" t="str">
        <f>IF('Raw Data'!CL49="","",'Raw Data'!CL49)</f>
        <v/>
      </c>
      <c r="CY38" s="15" t="str">
        <f>IF('Raw Data'!CM49="","",'Raw Data'!CM49)</f>
        <v/>
      </c>
      <c r="CZ38" s="15" t="str">
        <f>IF('Raw Data'!CN49="","",'Raw Data'!CN49)</f>
        <v/>
      </c>
      <c r="DA38" s="15" t="str">
        <f>IF('Raw Data'!CO49="","",'Raw Data'!CO49)</f>
        <v/>
      </c>
      <c r="DB38" s="15" t="str">
        <f>IF('Raw Data'!CP49="","",'Raw Data'!CP49)</f>
        <v/>
      </c>
      <c r="DC38" s="15" t="str">
        <f>IF('Raw Data'!CQ49="","",'Raw Data'!CQ49)</f>
        <v/>
      </c>
      <c r="DD38" s="15" t="str">
        <f>IF('Raw Data'!CR49="","",'Raw Data'!CR49)</f>
        <v/>
      </c>
      <c r="DE38" s="15" t="str">
        <f>IF('Raw Data'!CS49="","",'Raw Data'!CS49)</f>
        <v/>
      </c>
      <c r="DF38" s="15" t="str">
        <f>IF('Raw Data'!CT49="","",'Raw Data'!CT49)</f>
        <v/>
      </c>
      <c r="DG38" s="15" t="str">
        <f>IF('Raw Data'!CU49="","",'Raw Data'!CU49)</f>
        <v/>
      </c>
      <c r="DH38" s="15" t="str">
        <f>IF('Raw Data'!CV49="","",'Raw Data'!CV49)</f>
        <v/>
      </c>
      <c r="DI38" s="15" t="str">
        <f>IF('Raw Data'!CW49="","",'Raw Data'!CW49)</f>
        <v/>
      </c>
      <c r="DJ38" s="15" t="str">
        <f>IF('Raw Data'!CX49="","",'Raw Data'!CX49)</f>
        <v/>
      </c>
      <c r="DK38" s="15" t="str">
        <f>IF('Raw Data'!CY49="","",'Raw Data'!CY49)</f>
        <v/>
      </c>
      <c r="DL38" s="15" t="str">
        <f>IF('Raw Data'!CZ49="","",'Raw Data'!CZ49)</f>
        <v/>
      </c>
      <c r="DM38" s="15" t="str">
        <f>IF('Raw Data'!DA49="","",'Raw Data'!DA49)</f>
        <v/>
      </c>
      <c r="DN38" s="15" t="str">
        <f>IF('Raw Data'!DB49="","",'Raw Data'!DB49)</f>
        <v/>
      </c>
      <c r="DO38" s="15" t="str">
        <f>IF('Raw Data'!DC49="","",'Raw Data'!DC49)</f>
        <v/>
      </c>
      <c r="DP38" s="15" t="str">
        <f>IF('Raw Data'!DD49="","",'Raw Data'!DD49)</f>
        <v/>
      </c>
      <c r="DQ38" s="15" t="str">
        <f>IF('Raw Data'!DE49="","",'Raw Data'!DE49)</f>
        <v/>
      </c>
      <c r="DR38" s="15" t="str">
        <f>IF('Raw Data'!DF49="","",'Raw Data'!DF49)</f>
        <v/>
      </c>
      <c r="DS38" s="15" t="str">
        <f>IF('Raw Data'!DG49="","",'Raw Data'!DG49)</f>
        <v/>
      </c>
      <c r="DT38" s="15" t="str">
        <f>IF('Raw Data'!DH49="","",'Raw Data'!DH49)</f>
        <v/>
      </c>
      <c r="DU38" s="15" t="str">
        <f>IF('Raw Data'!DI49="","",'Raw Data'!DI49)</f>
        <v/>
      </c>
      <c r="DV38" s="15" t="str">
        <f>IF('Raw Data'!DJ49="","",'Raw Data'!DJ49)</f>
        <v/>
      </c>
      <c r="DW38" s="15" t="str">
        <f>IF('Raw Data'!DK49="","",'Raw Data'!DK49)</f>
        <v/>
      </c>
      <c r="DX38" s="15" t="str">
        <f>IF('Raw Data'!DL49="","",'Raw Data'!DL49)</f>
        <v/>
      </c>
      <c r="DY38" s="15" t="str">
        <f>IF('Raw Data'!DM49="","",'Raw Data'!DM49)</f>
        <v/>
      </c>
      <c r="DZ38" s="15" t="str">
        <f>IF('Raw Data'!DN49="","",'Raw Data'!DN49)</f>
        <v/>
      </c>
      <c r="EA38" s="15" t="str">
        <f>IF('Raw Data'!DO49="","",'Raw Data'!DO49)</f>
        <v/>
      </c>
      <c r="EB38" s="15" t="str">
        <f>IF('Raw Data'!DP49="","",'Raw Data'!DP49)</f>
        <v/>
      </c>
      <c r="EC38" s="15" t="str">
        <f>IF('Raw Data'!DQ49="","",'Raw Data'!DQ49)</f>
        <v/>
      </c>
      <c r="ED38" s="15" t="str">
        <f>IF('Raw Data'!DR49="","",'Raw Data'!DR49)</f>
        <v/>
      </c>
      <c r="EE38" s="15" t="str">
        <f>IF('Raw Data'!DS49="","",'Raw Data'!DS49)</f>
        <v/>
      </c>
      <c r="EF38" s="15" t="str">
        <f>IF('Raw Data'!DT49="","",'Raw Data'!DT49)</f>
        <v/>
      </c>
      <c r="EG38" s="15" t="str">
        <f>IF('Raw Data'!DU49="","",'Raw Data'!DU49)</f>
        <v/>
      </c>
      <c r="EH38" s="15" t="str">
        <f>IF('Raw Data'!DV49="","",'Raw Data'!DV49)</f>
        <v/>
      </c>
      <c r="EI38" s="15" t="str">
        <f>IF('Raw Data'!DW49="","",'Raw Data'!DW49)</f>
        <v/>
      </c>
      <c r="EJ38" s="15" t="str">
        <f>IF('Raw Data'!DX49="","",'Raw Data'!DX49)</f>
        <v/>
      </c>
      <c r="EK38" s="15" t="str">
        <f>IF('Raw Data'!DY49="","",'Raw Data'!DY49)</f>
        <v/>
      </c>
      <c r="EL38" s="15" t="str">
        <f>IF('Raw Data'!DZ49="","",'Raw Data'!DZ49)</f>
        <v>dplct_abords_com</v>
      </c>
      <c r="EM38" s="15" t="str">
        <f>IF('Raw Data'!EA49="","",'Raw Data'!EA49)</f>
        <v>1</v>
      </c>
      <c r="EN38" s="15" t="str">
        <f>IF('Raw Data'!EB49="","",'Raw Data'!EB49)</f>
        <v>0</v>
      </c>
      <c r="EO38" s="15" t="str">
        <f>IF('Raw Data'!EC49="","",'Raw Data'!EC49)</f>
        <v>0</v>
      </c>
      <c r="EP38" s="15" t="str">
        <f>IF('Raw Data'!ED49="","",'Raw Data'!ED49)</f>
        <v>0</v>
      </c>
      <c r="EQ38" s="15" t="str">
        <f>IF('Raw Data'!EE49="","",'Raw Data'!EE49)</f>
        <v>0</v>
      </c>
      <c r="ER38" s="15" t="str">
        <f>IF('Raw Data'!EF49="","",'Raw Data'!EF49)</f>
        <v>0</v>
      </c>
      <c r="ES38" s="15" t="str">
        <f>IF('Raw Data'!EG49="","",'Raw Data'!EG49)</f>
        <v>0</v>
      </c>
      <c r="ET38" s="15" t="str">
        <f>IF('Raw Data'!EH49="","",'Raw Data'!EH49)</f>
        <v>0</v>
      </c>
      <c r="EU38" s="15" t="str">
        <f>IF('Raw Data'!EI49="","",'Raw Data'!EI49)</f>
        <v>0</v>
      </c>
      <c r="EV38" s="15" t="str">
        <f>IF('Raw Data'!EJ49="","",'Raw Data'!EJ49)</f>
        <v/>
      </c>
      <c r="EW38" s="15" t="str">
        <f>IF('Raw Data'!EK49="","",'Raw Data'!EK49)</f>
        <v/>
      </c>
      <c r="EX38" s="15" t="str">
        <f>IF('Raw Data'!EL49="","",'Raw Data'!EL49)</f>
        <v>Autre</v>
      </c>
      <c r="EY38" s="15" t="str">
        <f>IF('Raw Data'!EM49="","",'Raw Data'!EM49)</f>
        <v>0</v>
      </c>
      <c r="EZ38" s="15" t="str">
        <f>IF('Raw Data'!EN49="","",'Raw Data'!EN49)</f>
        <v>0</v>
      </c>
      <c r="FA38" s="15" t="str">
        <f>IF('Raw Data'!EO49="","",'Raw Data'!EO49)</f>
        <v>0</v>
      </c>
      <c r="FB38" s="15" t="str">
        <f>IF('Raw Data'!EP49="","",'Raw Data'!EP49)</f>
        <v>0</v>
      </c>
      <c r="FC38" s="15" t="str">
        <f>IF('Raw Data'!EQ49="","",'Raw Data'!EQ49)</f>
        <v>0</v>
      </c>
      <c r="FD38" s="15" t="str">
        <f>IF('Raw Data'!ER49="","",'Raw Data'!ER49)</f>
        <v>0</v>
      </c>
      <c r="FE38" s="15" t="str">
        <f>IF('Raw Data'!ES49="","",'Raw Data'!ES49)</f>
        <v>0</v>
      </c>
      <c r="FF38" s="15" t="str">
        <f>IF('Raw Data'!ET49="","",'Raw Data'!ET49)</f>
        <v>1</v>
      </c>
      <c r="FG38" s="15" t="str">
        <f>IF('Raw Data'!EU49="","",'Raw Data'!EU49)</f>
        <v>0</v>
      </c>
      <c r="FH38" s="15" t="str">
        <f>IF('Raw Data'!EV49="","",'Raw Data'!EV49)</f>
        <v>0</v>
      </c>
      <c r="FI38" s="15" t="str">
        <f>IF('Raw Data'!EW49="","",'Raw Data'!EW49)</f>
        <v xml:space="preserve">Chef de village </v>
      </c>
      <c r="FJ38" s="15" t="str">
        <f>IF('Raw Data'!EX49="","",'Raw Data'!EX49)</f>
        <v>ne_sait_pas</v>
      </c>
      <c r="FK38" s="15" t="str">
        <f>IF('Raw Data'!EY49="","",'Raw Data'!EY49)</f>
        <v/>
      </c>
      <c r="FL38" s="15" t="str">
        <f>IF('Raw Data'!EZ49="","",'Raw Data'!EZ49)</f>
        <v/>
      </c>
      <c r="FM38" s="15" t="str">
        <f>IF('Raw Data'!FA49="","",'Raw Data'!FA49)</f>
        <v/>
      </c>
      <c r="FN38" s="15" t="str">
        <f>IF('Raw Data'!FB49="","",'Raw Data'!FB49)</f>
        <v/>
      </c>
      <c r="FO38" s="15" t="str">
        <f>IF('Raw Data'!FC49="","",'Raw Data'!FC49)</f>
        <v/>
      </c>
      <c r="FP38" s="15" t="str">
        <f>IF('Raw Data'!FD49="","",'Raw Data'!FD49)</f>
        <v/>
      </c>
      <c r="FQ38" s="15" t="str">
        <f>IF('Raw Data'!FE49="","",'Raw Data'!FE49)</f>
        <v/>
      </c>
      <c r="FR38" s="15" t="str">
        <f>IF('Raw Data'!FF49="","",'Raw Data'!FF49)</f>
        <v/>
      </c>
      <c r="FS38" s="15" t="str">
        <f>IF('Raw Data'!FG49="","",'Raw Data'!FG49)</f>
        <v/>
      </c>
      <c r="FT38" s="15" t="str">
        <f>IF('Raw Data'!FH49="","",'Raw Data'!FH49)</f>
        <v/>
      </c>
      <c r="FU38" s="15" t="str">
        <f>IF('Raw Data'!FI49="","",'Raw Data'!FI49)</f>
        <v/>
      </c>
      <c r="FV38" s="15" t="str">
        <f>IF('Raw Data'!FJ49="","",'Raw Data'!FJ49)</f>
        <v/>
      </c>
      <c r="FW38" s="15" t="str">
        <f>IF('Raw Data'!FK49="","",'Raw Data'!FK49)</f>
        <v/>
      </c>
      <c r="FX38" s="15" t="str">
        <f>IF('Raw Data'!FL49="","",'Raw Data'!FL49)</f>
        <v/>
      </c>
      <c r="FY38" s="15" t="str">
        <f>IF('Raw Data'!FM49="","",'Raw Data'!FM49)</f>
        <v/>
      </c>
      <c r="FZ38" s="15" t="str">
        <f>IF('Raw Data'!FN49="","",'Raw Data'!FN49)</f>
        <v/>
      </c>
      <c r="GA38" s="15" t="str">
        <f>IF('Raw Data'!FO49="","",'Raw Data'!FO49)</f>
        <v/>
      </c>
      <c r="GB38" s="15" t="str">
        <f>IF('Raw Data'!FP49="","",'Raw Data'!FP49)</f>
        <v/>
      </c>
      <c r="GC38" s="15" t="str">
        <f>IF('Raw Data'!FQ49="","",'Raw Data'!FQ49)</f>
        <v/>
      </c>
      <c r="GD38" s="15" t="str">
        <f>IF('Raw Data'!FR49="","",'Raw Data'!FR49)</f>
        <v/>
      </c>
      <c r="GE38" s="15" t="str">
        <f>IF('Raw Data'!FS49="","",'Raw Data'!FS49)</f>
        <v/>
      </c>
      <c r="GF38" s="15" t="str">
        <f>IF('Raw Data'!FT49="","",'Raw Data'!FT49)</f>
        <v/>
      </c>
      <c r="GG38" s="15" t="str">
        <f>IF('Raw Data'!FU49="","",'Raw Data'!FU49)</f>
        <v/>
      </c>
      <c r="GH38" s="15" t="str">
        <f>IF('Raw Data'!FV49="","",'Raw Data'!FV49)</f>
        <v/>
      </c>
      <c r="GI38" s="15" t="str">
        <f>IF('Raw Data'!FW49="","",'Raw Data'!FW49)</f>
        <v/>
      </c>
      <c r="GJ38" s="15" t="str">
        <f>IF('Raw Data'!FX49="","",'Raw Data'!FX49)</f>
        <v/>
      </c>
      <c r="GK38" s="15" t="str">
        <f>IF('Raw Data'!FY49="","",'Raw Data'!FY49)</f>
        <v/>
      </c>
      <c r="GL38" s="15" t="str">
        <f>IF('Raw Data'!FZ49="","",'Raw Data'!FZ49)</f>
        <v/>
      </c>
      <c r="GM38" s="15" t="str">
        <f>IF('Raw Data'!GA49="","",'Raw Data'!GA49)</f>
        <v/>
      </c>
      <c r="GN38" s="15" t="str">
        <f>IF('Raw Data'!GB49="","",'Raw Data'!GB49)</f>
        <v/>
      </c>
      <c r="GO38" s="15" t="str">
        <f>IF('Raw Data'!GC49="","",'Raw Data'!GC49)</f>
        <v/>
      </c>
      <c r="GP38" s="15" t="str">
        <f>IF('Raw Data'!GD49="","",'Raw Data'!GD49)</f>
        <v/>
      </c>
      <c r="GQ38" s="15" t="str">
        <f>IF('Raw Data'!GE49="","",'Raw Data'!GE49)</f>
        <v/>
      </c>
      <c r="GR38" s="15" t="str">
        <f>IF('Raw Data'!GF49="","",'Raw Data'!GF49)</f>
        <v/>
      </c>
      <c r="GS38" s="15" t="str">
        <f>IF('Raw Data'!GG49="","",'Raw Data'!GG49)</f>
        <v/>
      </c>
      <c r="GT38" s="15" t="str">
        <f>IF('Raw Data'!GH49="","",'Raw Data'!GH49)</f>
        <v/>
      </c>
      <c r="GU38" s="15" t="str">
        <f>IF('Raw Data'!GI49="","",'Raw Data'!GI49)</f>
        <v/>
      </c>
      <c r="GV38" s="15" t="str">
        <f>IF('Raw Data'!GJ49="","",'Raw Data'!GJ49)</f>
        <v/>
      </c>
      <c r="GW38" s="15" t="str">
        <f>IF('Raw Data'!GK49="","",'Raw Data'!GK49)</f>
        <v/>
      </c>
      <c r="GX38" s="15" t="str">
        <f>IF('Raw Data'!GL49="","",'Raw Data'!GL49)</f>
        <v/>
      </c>
      <c r="GY38" s="15" t="str">
        <f>IF('Raw Data'!GM49="","",'Raw Data'!GM49)</f>
        <v/>
      </c>
      <c r="GZ38" s="31"/>
      <c r="HA38" s="31"/>
      <c r="HB38" s="15" t="str">
        <f>IF('Raw Data'!GP49="","",'Raw Data'!GP49)</f>
        <v/>
      </c>
      <c r="HC38" s="15" t="str">
        <f>IF('Raw Data'!GQ49="","",'Raw Data'!GQ49)</f>
        <v/>
      </c>
      <c r="HD38" s="15" t="str">
        <f>IF('Raw Data'!GR49="","",'Raw Data'!GR49)</f>
        <v/>
      </c>
      <c r="HE38" s="15" t="str">
        <f>IF('Raw Data'!GS49="","",'Raw Data'!GS49)</f>
        <v/>
      </c>
      <c r="HF38" s="15" t="str">
        <f>IF('Raw Data'!GT49="","",'Raw Data'!GT49)</f>
        <v/>
      </c>
      <c r="HG38" s="15" t="str">
        <f>IF('Raw Data'!GU49="","",'Raw Data'!GU49)</f>
        <v/>
      </c>
      <c r="HH38" s="15" t="str">
        <f>IF('Raw Data'!GV49="","",'Raw Data'!GV49)</f>
        <v/>
      </c>
      <c r="HI38" s="15" t="str">
        <f>IF('Raw Data'!GW49="","",'Raw Data'!GW49)</f>
        <v/>
      </c>
      <c r="HJ38" s="15" t="str">
        <f>IF('Raw Data'!GX49="","",'Raw Data'!GX49)</f>
        <v/>
      </c>
      <c r="HK38" s="15" t="str">
        <f>IF('Raw Data'!GY49="","",'Raw Data'!GY49)</f>
        <v/>
      </c>
      <c r="HL38" s="15" t="str">
        <f>IF('Raw Data'!GZ49="","",'Raw Data'!GZ49)</f>
        <v/>
      </c>
      <c r="HM38" s="15" t="str">
        <f>IF('Raw Data'!HA49="","",'Raw Data'!HA49)</f>
        <v/>
      </c>
      <c r="HN38" s="15" t="str">
        <f>IF('Raw Data'!HB49="","",'Raw Data'!HB49)</f>
        <v/>
      </c>
      <c r="HO38" s="15" t="str">
        <f>IF('Raw Data'!HC49="","",'Raw Data'!HC49)</f>
        <v/>
      </c>
      <c r="HP38" s="15" t="str">
        <f>IF('Raw Data'!HD49="","",'Raw Data'!HD49)</f>
        <v/>
      </c>
      <c r="HQ38" s="15" t="str">
        <f>IF('Raw Data'!HE49="","",'Raw Data'!HE49)</f>
        <v/>
      </c>
      <c r="HR38" s="15" t="str">
        <f>IF('Raw Data'!HF49="","",'Raw Data'!HF49)</f>
        <v/>
      </c>
      <c r="HS38" s="15" t="str">
        <f>IF('Raw Data'!HG49="","",'Raw Data'!HG49)</f>
        <v/>
      </c>
      <c r="HT38" s="15" t="str">
        <f>IF('Raw Data'!HH49="","",'Raw Data'!HH49)</f>
        <v/>
      </c>
      <c r="HU38" s="15" t="str">
        <f>IF('Raw Data'!HI49="","",'Raw Data'!HI49)</f>
        <v>non</v>
      </c>
      <c r="HV38" s="15" t="str">
        <f>IF('Raw Data'!HJ49="","",'Raw Data'!HJ49)</f>
        <v/>
      </c>
      <c r="HW38" s="15" t="str">
        <f>IF('Raw Data'!HK49="","",'Raw Data'!HK49)</f>
        <v/>
      </c>
      <c r="HX38" s="15" t="str">
        <f>IF('Raw Data'!HL49="","",'Raw Data'!HL49)</f>
        <v/>
      </c>
      <c r="HY38" s="15" t="str">
        <f>IF('Raw Data'!HM49="","",'Raw Data'!HM49)</f>
        <v/>
      </c>
      <c r="HZ38" s="15" t="str">
        <f>IF('Raw Data'!HN49="","",'Raw Data'!HN49)</f>
        <v/>
      </c>
      <c r="IA38" s="15" t="str">
        <f>IF('Raw Data'!HO49="","",'Raw Data'!HO49)</f>
        <v/>
      </c>
      <c r="IB38" s="15" t="str">
        <f>IF('Raw Data'!HP49="","",'Raw Data'!HP49)</f>
        <v/>
      </c>
      <c r="IC38" s="15" t="str">
        <f>IF('Raw Data'!HQ49="","",'Raw Data'!HQ49)</f>
        <v/>
      </c>
      <c r="ID38" s="15" t="str">
        <f>IF('Raw Data'!HR49="","",'Raw Data'!HR49)</f>
        <v/>
      </c>
      <c r="IE38" s="15" t="str">
        <f>IF('Raw Data'!HS49="","",'Raw Data'!HS49)</f>
        <v/>
      </c>
      <c r="IF38" s="15" t="str">
        <f>IF('Raw Data'!HT49="","",'Raw Data'!HT49)</f>
        <v/>
      </c>
      <c r="IG38" s="15" t="str">
        <f>IF('Raw Data'!HU49="","",'Raw Data'!HU49)</f>
        <v/>
      </c>
      <c r="IH38" s="15" t="str">
        <f>IF('Raw Data'!HV49="","",'Raw Data'!HV49)</f>
        <v>oui</v>
      </c>
      <c r="II38" s="15" t="str">
        <f>IF('Raw Data'!HW49="","",'Raw Data'!HW49)</f>
        <v/>
      </c>
      <c r="IJ38" s="15" t="str">
        <f>IF('Raw Data'!HX49="","",'Raw Data'!HX49)</f>
        <v/>
      </c>
      <c r="IK38" s="15" t="str">
        <f>IF('Raw Data'!HY49="","",'Raw Data'!HY49)</f>
        <v/>
      </c>
      <c r="IL38" s="15" t="str">
        <f>IF('Raw Data'!HZ49="","",'Raw Data'!HZ49)</f>
        <v/>
      </c>
      <c r="IM38" s="15" t="str">
        <f>IF('Raw Data'!IA49="","",'Raw Data'!IA49)</f>
        <v/>
      </c>
      <c r="IN38" s="15" t="str">
        <f>IF('Raw Data'!IB49="","",'Raw Data'!IB49)</f>
        <v/>
      </c>
      <c r="IO38" s="15" t="str">
        <f>IF('Raw Data'!IC49="","",'Raw Data'!IC49)</f>
        <v/>
      </c>
      <c r="IP38" s="15" t="str">
        <f>IF('Raw Data'!ID49="","",'Raw Data'!ID49)</f>
        <v/>
      </c>
      <c r="IQ38" s="15" t="str">
        <f>IF('Raw Data'!IE49="","",'Raw Data'!IE49)</f>
        <v/>
      </c>
      <c r="IR38" s="15" t="str">
        <f>IF('Raw Data'!IF49="","",'Raw Data'!IF49)</f>
        <v/>
      </c>
      <c r="IS38" s="15" t="str">
        <f>IF('Raw Data'!IG49="","",'Raw Data'!IG49)</f>
        <v/>
      </c>
      <c r="IT38" s="15" t="str">
        <f>IF('Raw Data'!IH49="","",'Raw Data'!IH49)</f>
        <v/>
      </c>
      <c r="IU38" s="15" t="str">
        <f>IF('Raw Data'!II49="","",'Raw Data'!II49)</f>
        <v/>
      </c>
      <c r="IV38" s="15" t="str">
        <f>IF('Raw Data'!IJ49="","",'Raw Data'!IJ49)</f>
        <v/>
      </c>
      <c r="IW38" s="15" t="str">
        <f>IF('Raw Data'!IK49="","",'Raw Data'!IK49)</f>
        <v/>
      </c>
      <c r="IX38" s="15" t="str">
        <f>IF('Raw Data'!IL49="","",'Raw Data'!IL49)</f>
        <v/>
      </c>
      <c r="IY38" s="15" t="str">
        <f>IF('Raw Data'!IM49="","",'Raw Data'!IM49)</f>
        <v/>
      </c>
      <c r="IZ38" s="31"/>
      <c r="JA38" s="15" t="str">
        <f>IF('Raw Data'!IO49="","",'Raw Data'!IO49)</f>
        <v/>
      </c>
      <c r="JB38" s="15" t="str">
        <f>IF('Raw Data'!IP49="","",'Raw Data'!IP49)</f>
        <v/>
      </c>
      <c r="JC38" s="15" t="str">
        <f>IF('Raw Data'!IQ49="","",'Raw Data'!IQ49)</f>
        <v/>
      </c>
      <c r="JD38" s="15" t="str">
        <f>IF('Raw Data'!IR49="","",'Raw Data'!IR49)</f>
        <v/>
      </c>
      <c r="JE38" s="15" t="str">
        <f>IF('Raw Data'!IS49="","",'Raw Data'!IS49)</f>
        <v/>
      </c>
      <c r="JF38" s="15" t="str">
        <f>IF('Raw Data'!IT49="","",'Raw Data'!IT49)</f>
        <v/>
      </c>
      <c r="JG38" s="15" t="str">
        <f>IF('Raw Data'!IU49="","",'Raw Data'!IU49)</f>
        <v/>
      </c>
      <c r="JH38" s="15" t="str">
        <f>IF('Raw Data'!IV49="","",'Raw Data'!IV49)</f>
        <v/>
      </c>
      <c r="JI38" s="15" t="str">
        <f>IF('Raw Data'!IW49="","",'Raw Data'!IW49)</f>
        <v/>
      </c>
      <c r="JJ38" s="15" t="str">
        <f>IF('Raw Data'!IX49="","",'Raw Data'!IX49)</f>
        <v/>
      </c>
      <c r="JK38" s="15" t="str">
        <f>IF('Raw Data'!IY49="","",'Raw Data'!IY49)</f>
        <v/>
      </c>
      <c r="JL38" s="15" t="str">
        <f>IF('Raw Data'!IZ49="","",'Raw Data'!IZ49)</f>
        <v/>
      </c>
      <c r="JM38" s="31"/>
      <c r="JN38" s="31"/>
      <c r="JO38" s="31"/>
      <c r="JP38" s="31"/>
      <c r="JQ38" s="31"/>
      <c r="JR38" s="31"/>
      <c r="JS38" s="31"/>
      <c r="JT38" s="15" t="str">
        <f>IF('Raw Data'!JH49="","",'Raw Data'!JH49)</f>
        <v/>
      </c>
      <c r="JU38" s="15" t="str">
        <f>IF('Raw Data'!JI49="","",'Raw Data'!JI49)</f>
        <v/>
      </c>
      <c r="JV38" s="15" t="str">
        <f>IF('Raw Data'!JJ49="","",'Raw Data'!JJ49)</f>
        <v/>
      </c>
      <c r="JW38" s="15" t="str">
        <f>IF('Raw Data'!JK49="","",'Raw Data'!JK49)</f>
        <v/>
      </c>
      <c r="JX38" s="15" t="str">
        <f>IF('Raw Data'!JL49="","",'Raw Data'!JL49)</f>
        <v/>
      </c>
      <c r="JY38" s="15" t="str">
        <f>IF('Raw Data'!JM49="","",'Raw Data'!JM49)</f>
        <v/>
      </c>
      <c r="JZ38" s="15" t="str">
        <f>IF('Raw Data'!JN49="","",'Raw Data'!JN49)</f>
        <v/>
      </c>
      <c r="KA38" s="15" t="str">
        <f>IF('Raw Data'!JO49="","",'Raw Data'!JO49)</f>
        <v/>
      </c>
      <c r="KB38" s="15" t="str">
        <f>IF('Raw Data'!JP49="","",'Raw Data'!JP49)</f>
        <v/>
      </c>
      <c r="KC38" s="15" t="str">
        <f>IF('Raw Data'!JQ49="","",'Raw Data'!JQ49)</f>
        <v/>
      </c>
      <c r="KD38" s="15" t="str">
        <f>IF('Raw Data'!JR49="","",'Raw Data'!JR49)</f>
        <v/>
      </c>
      <c r="KE38" s="15" t="str">
        <f>IF('Raw Data'!JS49="","",'Raw Data'!JS49)</f>
        <v/>
      </c>
      <c r="KF38" s="31"/>
      <c r="KG38" s="31"/>
      <c r="KH38" s="31"/>
      <c r="KI38" s="31"/>
      <c r="KJ38" s="31"/>
      <c r="KK38" s="31"/>
      <c r="KL38" s="31"/>
      <c r="KM38" s="31"/>
      <c r="KN38" s="31"/>
      <c r="KO38" s="31"/>
      <c r="KP38" s="15" t="str">
        <f>IF('Raw Data'!KD49="","",'Raw Data'!KD49)</f>
        <v/>
      </c>
      <c r="KQ38" s="15" t="str">
        <f>IF('Raw Data'!KE49="","",'Raw Data'!KE49)</f>
        <v/>
      </c>
      <c r="KR38" s="31"/>
      <c r="KS38" s="15" t="str">
        <f>IF('Raw Data'!KG49="","",'Raw Data'!KG49)</f>
        <v/>
      </c>
      <c r="KT38" s="15" t="str">
        <f>IF('Raw Data'!KH49="","",'Raw Data'!KH49)</f>
        <v/>
      </c>
      <c r="KU38" s="15" t="str">
        <f>IF('Raw Data'!KI49="","",'Raw Data'!KI49)</f>
        <v/>
      </c>
      <c r="KV38" s="15" t="str">
        <f>IF('Raw Data'!KJ49="","",'Raw Data'!KJ49)</f>
        <v/>
      </c>
      <c r="KW38" s="15" t="str">
        <f>IF('Raw Data'!KK49="","",'Raw Data'!KK49)</f>
        <v/>
      </c>
      <c r="KX38" s="15" t="str">
        <f>IF('Raw Data'!KL49="","",'Raw Data'!KL49)</f>
        <v/>
      </c>
      <c r="KY38" s="15" t="str">
        <f>IF('Raw Data'!KM49="","",'Raw Data'!KM49)</f>
        <v/>
      </c>
      <c r="KZ38" s="15" t="str">
        <f>IF('Raw Data'!KN49="","",'Raw Data'!KN49)</f>
        <v/>
      </c>
      <c r="LA38" s="15" t="str">
        <f>IF('Raw Data'!KO49="","",'Raw Data'!KO49)</f>
        <v/>
      </c>
      <c r="LB38" s="15" t="str">
        <f>IF('Raw Data'!KP49="","",'Raw Data'!KP49)</f>
        <v/>
      </c>
      <c r="LC38" s="15" t="str">
        <f>IF('Raw Data'!KQ49="","",'Raw Data'!KQ49)</f>
        <v/>
      </c>
      <c r="LD38" s="15" t="str">
        <f>IF('Raw Data'!KR49="","",'Raw Data'!KR49)</f>
        <v/>
      </c>
      <c r="LE38" s="15" t="str">
        <f>IF('Raw Data'!KS49="","",'Raw Data'!KS49)</f>
        <v/>
      </c>
      <c r="LF38" s="15" t="str">
        <f>IF('Raw Data'!KT49="","",'Raw Data'!KT49)</f>
        <v/>
      </c>
      <c r="LG38" s="15" t="str">
        <f>IF('Raw Data'!KU49="","",'Raw Data'!KU49)</f>
        <v/>
      </c>
      <c r="LH38" s="15" t="str">
        <f>IF('Raw Data'!KV49="","",'Raw Data'!KV49)</f>
        <v/>
      </c>
      <c r="LI38" s="15" t="str">
        <f>IF('Raw Data'!KW49="","",'Raw Data'!KW49)</f>
        <v/>
      </c>
      <c r="LJ38" s="15" t="str">
        <f>IF('Raw Data'!KX49="","",'Raw Data'!KX49)</f>
        <v/>
      </c>
      <c r="LK38" s="15" t="str">
        <f>IF('Raw Data'!KY49="","",'Raw Data'!KY49)</f>
        <v/>
      </c>
      <c r="LL38" s="15" t="str">
        <f>IF('Raw Data'!KZ49="","",'Raw Data'!KZ49)</f>
        <v/>
      </c>
      <c r="LM38" s="15" t="str">
        <f>IF('Raw Data'!LA49="","",'Raw Data'!LA49)</f>
        <v/>
      </c>
      <c r="LN38" s="31"/>
      <c r="LO38" s="15" t="str">
        <f>IF('Raw Data'!LC49="","",'Raw Data'!LC49)</f>
        <v/>
      </c>
      <c r="LP38" s="15" t="str">
        <f>IF('Raw Data'!LD49="","",'Raw Data'!LD49)</f>
        <v/>
      </c>
      <c r="LQ38" s="15" t="str">
        <f>IF('Raw Data'!LE49="","",'Raw Data'!LE49)</f>
        <v/>
      </c>
      <c r="LR38" s="15" t="str">
        <f>IF('Raw Data'!LF49="","",'Raw Data'!LF49)</f>
        <v/>
      </c>
      <c r="LS38" s="15" t="str">
        <f>IF('Raw Data'!LG49="","",'Raw Data'!LG49)</f>
        <v/>
      </c>
      <c r="LT38" s="15" t="str">
        <f>IF('Raw Data'!LH49="","",'Raw Data'!LH49)</f>
        <v/>
      </c>
      <c r="LU38" s="15" t="str">
        <f>IF('Raw Data'!LI49="","",'Raw Data'!LI49)</f>
        <v/>
      </c>
      <c r="LV38" s="15" t="str">
        <f>IF('Raw Data'!LJ49="","",'Raw Data'!LJ49)</f>
        <v/>
      </c>
      <c r="LW38" s="15" t="str">
        <f>IF('Raw Data'!LK49="","",'Raw Data'!LK49)</f>
        <v/>
      </c>
      <c r="LX38" s="15" t="str">
        <f>IF('Raw Data'!LL49="","",'Raw Data'!LL49)</f>
        <v/>
      </c>
      <c r="LY38" s="15" t="str">
        <f>IF('Raw Data'!LM49="","",'Raw Data'!LM49)</f>
        <v/>
      </c>
      <c r="LZ38" s="15" t="str">
        <f>IF('Raw Data'!LN49="","",'Raw Data'!LN49)</f>
        <v/>
      </c>
      <c r="MA38" s="15" t="str">
        <f>IF('Raw Data'!LO49="","",'Raw Data'!LO49)</f>
        <v/>
      </c>
      <c r="MB38" s="15" t="str">
        <f>IF('Raw Data'!LP49="","",'Raw Data'!LP49)</f>
        <v>oui</v>
      </c>
      <c r="MC38" s="15" t="str">
        <f>IF('Raw Data'!LQ49="","",'Raw Data'!LQ49)</f>
        <v/>
      </c>
      <c r="MD38" s="15" t="str">
        <f>IF('Raw Data'!LR49="","",'Raw Data'!LR49)</f>
        <v xml:space="preserve">Paix,sécurité et le reste va venir tels que l'alimentation </v>
      </c>
      <c r="ME38" s="15">
        <f>IF('Raw Data'!LS49="","",'Raw Data'!LS49)</f>
        <v>170268445</v>
      </c>
      <c r="MF38" s="15" t="str">
        <f>IF('Raw Data'!LT49="","",'Raw Data'!LT49)</f>
        <v>d5ba87a2-015b-4a2f-95ff-e2f732a967d8</v>
      </c>
      <c r="MG38" s="15" t="str">
        <f>IF('Raw Data'!LU49="","",'Raw Data'!LU49)</f>
        <v>2021-04-07T17:50:17</v>
      </c>
      <c r="MH38" s="15" t="str">
        <f>IF('Raw Data'!LV49="","",'Raw Data'!LV49)</f>
        <v/>
      </c>
      <c r="MI38" s="15" t="str">
        <f>IF('Raw Data'!LW49="","",'Raw Data'!LW49)</f>
        <v>[]</v>
      </c>
      <c r="MJ38" s="15" t="str">
        <f>IF('Raw Data'!LX49="","",'Raw Data'!LX49)</f>
        <v>submitted_via_web</v>
      </c>
      <c r="MK38" s="15" t="str">
        <f>IF('Raw Data'!LY49="","",'Raw Data'!LY49)</f>
        <v>reach_niger</v>
      </c>
      <c r="ML38" s="15" t="str">
        <f>IF('Raw Data'!LZ49="","",'Raw Data'!LZ49)</f>
        <v/>
      </c>
      <c r="MM38" s="15">
        <f>IF('Raw Data'!MA49="","",'Raw Data'!MA49)</f>
        <v>53</v>
      </c>
    </row>
    <row r="39" spans="1:351" x14ac:dyDescent="0.3">
      <c r="A39" s="26" t="str">
        <f t="shared" si="4"/>
        <v>5f657c67-54a6-4b6c-acf6-9e0d817daced</v>
      </c>
      <c r="B39" s="26" t="str">
        <f t="shared" si="5"/>
        <v>tondikiwindi</v>
      </c>
      <c r="C39" s="26" t="str">
        <f t="shared" si="6"/>
        <v>H</v>
      </c>
      <c r="D39" s="14" t="str">
        <f>IF('Raw Data'!A57="","",'Raw Data'!A57)</f>
        <v>2021-04-08T14:33:28.425+01:00</v>
      </c>
      <c r="E39" s="14" t="str">
        <f>IF('Raw Data'!B57="","",'Raw Data'!B57)</f>
        <v>2021-04-08T15:07:08.603+01:00</v>
      </c>
      <c r="F39" s="30">
        <v>44294.606574074074</v>
      </c>
      <c r="G39" s="30">
        <v>44294.629953703705</v>
      </c>
      <c r="H39" s="29">
        <f>VLOOKUP(A39,Audit[#All],2,FALSE)</f>
        <v>33.67</v>
      </c>
      <c r="I39" s="29">
        <f>VLOOKUP(A39,Audit[#All],3,FALSE)</f>
        <v>29.83</v>
      </c>
      <c r="J39" s="29">
        <f>VLOOKUP(A39,Audit[#All],4,FALSE)</f>
        <v>28.01</v>
      </c>
      <c r="K39" s="29">
        <f>VLOOKUP(A39,nb_questions[#All],2,FALSE)</f>
        <v>66</v>
      </c>
      <c r="L39" s="29">
        <f t="shared" si="7"/>
        <v>222</v>
      </c>
      <c r="M39" s="14" t="str">
        <f>IF('Raw Data'!C57="","",'Raw Data'!C57)</f>
        <v>2021-04-08</v>
      </c>
      <c r="N39" s="14" t="str">
        <f>IF('Raw Data'!D57="","",'Raw Data'!D57)</f>
        <v/>
      </c>
      <c r="O39" s="14" t="str">
        <f>IF('Raw Data'!E57="","",'Raw Data'!E57)</f>
        <v/>
      </c>
      <c r="P39" s="29" t="str">
        <f>VLOOKUP(A39,code_enqueteurs[#All],3,FALSE)</f>
        <v>H</v>
      </c>
      <c r="Q39" s="29" t="s">
        <v>1652</v>
      </c>
      <c r="R39" s="14" t="str">
        <f>IF('Raw Data'!F57="","",'Raw Data'!F57)</f>
        <v>Femme</v>
      </c>
      <c r="S39" s="15" t="str">
        <f>IF('Raw Data'!G57="","",'Raw Data'!G57)</f>
        <v>ouallam</v>
      </c>
      <c r="T39" s="15" t="str">
        <f>IF('Raw Data'!H57="","",'Raw Data'!H57)</f>
        <v>tondikiwindi</v>
      </c>
      <c r="U39" s="15" t="str">
        <f>IF('Raw Data'!I57="","",'Raw Data'!I57)</f>
        <v>tondikiwindi</v>
      </c>
      <c r="V39" s="15" t="str">
        <f>IF('Raw Data'!J57="","",'Raw Data'!J57)</f>
        <v/>
      </c>
      <c r="W39" s="15" t="str">
        <f>IF('Raw Data'!K57="","",'Raw Data'!K57)</f>
        <v/>
      </c>
      <c r="X39" s="15" t="str">
        <f>IF('Raw Data'!L57="","",'Raw Data'!L57)</f>
        <v/>
      </c>
      <c r="Y39" s="15" t="str">
        <f>IF('Raw Data'!M57="","",'Raw Data'!M57)</f>
        <v/>
      </c>
      <c r="Z39" s="15" t="str">
        <f>IF('Raw Data'!N57="","",'Raw Data'!N57)</f>
        <v/>
      </c>
      <c r="AA39" s="15" t="str">
        <f>IF('Raw Data'!O57="","",'Raw Data'!O57)</f>
        <v/>
      </c>
      <c r="AB39" s="15" t="str">
        <f>IF('Raw Data'!P57="","",'Raw Data'!P57)</f>
        <v/>
      </c>
      <c r="AC39" s="15" t="str">
        <f>IF('Raw Data'!Q57="","",'Raw Data'!Q57)</f>
        <v/>
      </c>
      <c r="AD39" s="15" t="str">
        <f>IF('Raw Data'!R57="","",'Raw Data'!R57)</f>
        <v>Femme</v>
      </c>
      <c r="AE39" s="15" t="str">
        <f>IF('Raw Data'!S57="","",'Raw Data'!S57)</f>
        <v>18</v>
      </c>
      <c r="AF39" s="15" t="str">
        <f>IF('Raw Data'!T57="","",'Raw Data'!T57)</f>
        <v>deplace_interne</v>
      </c>
      <c r="AG39" s="15" t="str">
        <f>IF('Raw Data'!U57="","",'Raw Data'!U57)</f>
        <v/>
      </c>
      <c r="AH39" s="15" t="str">
        <f>IF('Raw Data'!V57="","",'Raw Data'!V57)</f>
        <v/>
      </c>
      <c r="AI39" s="15" t="str">
        <f>IF('Raw Data'!W57="","",'Raw Data'!W57)</f>
        <v/>
      </c>
      <c r="AJ39" s="15" t="str">
        <f>IF('Raw Data'!X57="","",'Raw Data'!X57)</f>
        <v/>
      </c>
      <c r="AK39" s="15" t="str">
        <f>IF('Raw Data'!Y57="","",'Raw Data'!Y57)</f>
        <v/>
      </c>
      <c r="AL39" s="15" t="str">
        <f>IF('Raw Data'!Z57="","",'Raw Data'!Z57)</f>
        <v>niger</v>
      </c>
      <c r="AM39" s="15" t="str">
        <f>IF('Raw Data'!AA57="","",'Raw Data'!AA57)</f>
        <v>tillaberi</v>
      </c>
      <c r="AN39" s="15" t="str">
        <f>IF('Raw Data'!AB57="","",'Raw Data'!AB57)</f>
        <v>ouallam</v>
      </c>
      <c r="AO39" s="15" t="str">
        <f>IF('Raw Data'!AC57="","",'Raw Data'!AC57)</f>
        <v/>
      </c>
      <c r="AP39" s="15" t="str">
        <f>IF('Raw Data'!AD57="","",'Raw Data'!AD57)</f>
        <v/>
      </c>
      <c r="AQ39" s="15" t="str">
        <f>IF('Raw Data'!AE57="","",'Raw Data'!AE57)</f>
        <v/>
      </c>
      <c r="AR39" s="15" t="str">
        <f>IF('Raw Data'!AF57="","",'Raw Data'!AF57)</f>
        <v/>
      </c>
      <c r="AS39" s="15" t="str">
        <f>IF('Raw Data'!AG57="","",'Raw Data'!AG57)</f>
        <v>non</v>
      </c>
      <c r="AT39" s="15" t="str">
        <f>IF('Raw Data'!AH57="","",'Raw Data'!AH57)</f>
        <v/>
      </c>
      <c r="AU39" s="15" t="str">
        <f>IF('Raw Data'!AI57="","",'Raw Data'!AI57)</f>
        <v/>
      </c>
      <c r="AV39" s="15" t="str">
        <f>IF('Raw Data'!AJ57="","",'Raw Data'!AJ57)</f>
        <v/>
      </c>
      <c r="AW39" s="15" t="str">
        <f>IF('Raw Data'!AK57="","",'Raw Data'!AK57)</f>
        <v/>
      </c>
      <c r="AX39" s="15" t="str">
        <f>IF('Raw Data'!AL57="","",'Raw Data'!AL57)</f>
        <v/>
      </c>
      <c r="AY39" s="15" t="str">
        <f>IF('Raw Data'!AM57="","",'Raw Data'!AM57)</f>
        <v/>
      </c>
      <c r="AZ39" s="15" t="str">
        <f>IF('Raw Data'!AN57="","",'Raw Data'!AN57)</f>
        <v/>
      </c>
      <c r="BA39" s="15" t="str">
        <f>IF('Raw Data'!AO57="","",'Raw Data'!AO57)</f>
        <v/>
      </c>
      <c r="BB39" s="15" t="str">
        <f>IF('Raw Data'!AP57="","",'Raw Data'!AP57)</f>
        <v/>
      </c>
      <c r="BC39" s="15" t="str">
        <f>IF('Raw Data'!AQ57="","",'Raw Data'!AQ57)</f>
        <v/>
      </c>
      <c r="BD39" s="15" t="str">
        <f>IF('Raw Data'!AR57="","",'Raw Data'!AR57)</f>
        <v/>
      </c>
      <c r="BE39" s="15" t="str">
        <f>IF('Raw Data'!AS57="","",'Raw Data'!AS57)</f>
        <v/>
      </c>
      <c r="BF39" s="15" t="str">
        <f>IF('Raw Data'!AT57="","",'Raw Data'!AT57)</f>
        <v/>
      </c>
      <c r="BG39" s="15" t="str">
        <f>IF('Raw Data'!AU57="","",'Raw Data'!AU57)</f>
        <v/>
      </c>
      <c r="BH39" s="15" t="str">
        <f>IF('Raw Data'!AV57="","",'Raw Data'!AV57)</f>
        <v/>
      </c>
      <c r="BI39" s="15" t="str">
        <f>IF('Raw Data'!AW57="","",'Raw Data'!AW57)</f>
        <v/>
      </c>
      <c r="BJ39" s="15" t="str">
        <f>IF('Raw Data'!AX57="","",'Raw Data'!AX57)</f>
        <v/>
      </c>
      <c r="BK39" s="15" t="str">
        <f>IF('Raw Data'!AY57="","",'Raw Data'!AY57)</f>
        <v/>
      </c>
      <c r="BL39" s="15" t="str">
        <f>IF('Raw Data'!AZ57="","",'Raw Data'!AZ57)</f>
        <v/>
      </c>
      <c r="BM39" s="15" t="str">
        <f>IF('Raw Data'!BA57="","",'Raw Data'!BA57)</f>
        <v/>
      </c>
      <c r="BN39" s="15" t="str">
        <f>IF('Raw Data'!BB57="","",'Raw Data'!BB57)</f>
        <v/>
      </c>
      <c r="BO39" s="15" t="str">
        <f>IF('Raw Data'!BC57="","",'Raw Data'!BC57)</f>
        <v/>
      </c>
      <c r="BP39" s="15" t="str">
        <f>IF('Raw Data'!BD57="","",'Raw Data'!BD57)</f>
        <v/>
      </c>
      <c r="BQ39" s="15" t="str">
        <f>IF('Raw Data'!BE57="","",'Raw Data'!BE57)</f>
        <v/>
      </c>
      <c r="BR39" s="15" t="str">
        <f>IF('Raw Data'!BF57="","",'Raw Data'!BF57)</f>
        <v/>
      </c>
      <c r="BS39" s="15" t="str">
        <f>IF('Raw Data'!BG57="","",'Raw Data'!BG57)</f>
        <v/>
      </c>
      <c r="BT39" s="15" t="str">
        <f>IF('Raw Data'!BH57="","",'Raw Data'!BH57)</f>
        <v/>
      </c>
      <c r="BU39" s="15" t="str">
        <f>IF('Raw Data'!BI57="","",'Raw Data'!BI57)</f>
        <v/>
      </c>
      <c r="BV39" s="15" t="str">
        <f>IF('Raw Data'!BJ57="","",'Raw Data'!BJ57)</f>
        <v/>
      </c>
      <c r="BW39" s="15" t="str">
        <f>IF('Raw Data'!BK57="","",'Raw Data'!BK57)</f>
        <v/>
      </c>
      <c r="BX39" s="15" t="str">
        <f>IF('Raw Data'!BL57="","",'Raw Data'!BL57)</f>
        <v/>
      </c>
      <c r="BY39" s="15" t="str">
        <f>IF('Raw Data'!BM57="","",'Raw Data'!BM57)</f>
        <v/>
      </c>
      <c r="BZ39" s="15" t="str">
        <f>IF('Raw Data'!BN57="","",'Raw Data'!BN57)</f>
        <v/>
      </c>
      <c r="CA39" s="15" t="str">
        <f>IF('Raw Data'!BO57="","",'Raw Data'!BO57)</f>
        <v/>
      </c>
      <c r="CB39" s="15" t="str">
        <f>IF('Raw Data'!BP57="","",'Raw Data'!BP57)</f>
        <v/>
      </c>
      <c r="CC39" s="15" t="str">
        <f>IF('Raw Data'!BQ57="","",'Raw Data'!BQ57)</f>
        <v>non</v>
      </c>
      <c r="CD39" s="15" t="str">
        <f>IF('Raw Data'!BR57="","",'Raw Data'!BR57)</f>
        <v/>
      </c>
      <c r="CE39" s="15" t="str">
        <f>IF('Raw Data'!BS57="","",'Raw Data'!BS57)</f>
        <v/>
      </c>
      <c r="CF39" s="15" t="str">
        <f>IF('Raw Data'!BT57="","",'Raw Data'!BT57)</f>
        <v/>
      </c>
      <c r="CG39" s="15" t="str">
        <f>IF('Raw Data'!BU57="","",'Raw Data'!BU57)</f>
        <v/>
      </c>
      <c r="CH39" s="15" t="str">
        <f>IF('Raw Data'!BV57="","",'Raw Data'!BV57)</f>
        <v/>
      </c>
      <c r="CI39" s="15" t="str">
        <f>IF('Raw Data'!BW57="","",'Raw Data'!BW57)</f>
        <v/>
      </c>
      <c r="CJ39" s="15" t="str">
        <f>IF('Raw Data'!BX57="","",'Raw Data'!BX57)</f>
        <v/>
      </c>
      <c r="CK39" s="15" t="str">
        <f>IF('Raw Data'!BY57="","",'Raw Data'!BY57)</f>
        <v/>
      </c>
      <c r="CL39" s="15" t="str">
        <f>IF('Raw Data'!BZ57="","",'Raw Data'!BZ57)</f>
        <v/>
      </c>
      <c r="CM39" s="15" t="str">
        <f>IF('Raw Data'!CA57="","",'Raw Data'!CA57)</f>
        <v/>
      </c>
      <c r="CN39" s="15" t="str">
        <f>IF('Raw Data'!CB57="","",'Raw Data'!CB57)</f>
        <v/>
      </c>
      <c r="CO39" s="15" t="str">
        <f>IF('Raw Data'!CC57="","",'Raw Data'!CC57)</f>
        <v/>
      </c>
      <c r="CP39" s="15" t="str">
        <f>IF('Raw Data'!CD57="","",'Raw Data'!CD57)</f>
        <v/>
      </c>
      <c r="CQ39" s="15" t="str">
        <f>IF('Raw Data'!CE57="","",'Raw Data'!CE57)</f>
        <v/>
      </c>
      <c r="CR39" s="15" t="str">
        <f>IF('Raw Data'!CF57="","",'Raw Data'!CF57)</f>
        <v/>
      </c>
      <c r="CS39" s="15" t="str">
        <f>IF('Raw Data'!CG57="","",'Raw Data'!CG57)</f>
        <v/>
      </c>
      <c r="CT39" s="15" t="str">
        <f>IF('Raw Data'!CH57="","",'Raw Data'!CH57)</f>
        <v/>
      </c>
      <c r="CU39" s="15" t="str">
        <f>IF('Raw Data'!CI57="","",'Raw Data'!CI57)</f>
        <v/>
      </c>
      <c r="CV39" s="15" t="str">
        <f>IF('Raw Data'!CJ57="","",'Raw Data'!CJ57)</f>
        <v/>
      </c>
      <c r="CW39" s="15" t="str">
        <f>IF('Raw Data'!CK57="","",'Raw Data'!CK57)</f>
        <v/>
      </c>
      <c r="CX39" s="15" t="str">
        <f>IF('Raw Data'!CL57="","",'Raw Data'!CL57)</f>
        <v/>
      </c>
      <c r="CY39" s="15" t="str">
        <f>IF('Raw Data'!CM57="","",'Raw Data'!CM57)</f>
        <v/>
      </c>
      <c r="CZ39" s="15" t="str">
        <f>IF('Raw Data'!CN57="","",'Raw Data'!CN57)</f>
        <v/>
      </c>
      <c r="DA39" s="15" t="str">
        <f>IF('Raw Data'!CO57="","",'Raw Data'!CO57)</f>
        <v/>
      </c>
      <c r="DB39" s="15" t="str">
        <f>IF('Raw Data'!CP57="","",'Raw Data'!CP57)</f>
        <v/>
      </c>
      <c r="DC39" s="15" t="str">
        <f>IF('Raw Data'!CQ57="","",'Raw Data'!CQ57)</f>
        <v/>
      </c>
      <c r="DD39" s="15" t="str">
        <f>IF('Raw Data'!CR57="","",'Raw Data'!CR57)</f>
        <v/>
      </c>
      <c r="DE39" s="15" t="str">
        <f>IF('Raw Data'!CS57="","",'Raw Data'!CS57)</f>
        <v/>
      </c>
      <c r="DF39" s="15" t="str">
        <f>IF('Raw Data'!CT57="","",'Raw Data'!CT57)</f>
        <v/>
      </c>
      <c r="DG39" s="15" t="str">
        <f>IF('Raw Data'!CU57="","",'Raw Data'!CU57)</f>
        <v/>
      </c>
      <c r="DH39" s="15" t="str">
        <f>IF('Raw Data'!CV57="","",'Raw Data'!CV57)</f>
        <v/>
      </c>
      <c r="DI39" s="15" t="str">
        <f>IF('Raw Data'!CW57="","",'Raw Data'!CW57)</f>
        <v/>
      </c>
      <c r="DJ39" s="15" t="str">
        <f>IF('Raw Data'!CX57="","",'Raw Data'!CX57)</f>
        <v/>
      </c>
      <c r="DK39" s="15" t="str">
        <f>IF('Raw Data'!CY57="","",'Raw Data'!CY57)</f>
        <v/>
      </c>
      <c r="DL39" s="15" t="str">
        <f>IF('Raw Data'!CZ57="","",'Raw Data'!CZ57)</f>
        <v/>
      </c>
      <c r="DM39" s="15" t="str">
        <f>IF('Raw Data'!DA57="","",'Raw Data'!DA57)</f>
        <v/>
      </c>
      <c r="DN39" s="15" t="str">
        <f>IF('Raw Data'!DB57="","",'Raw Data'!DB57)</f>
        <v/>
      </c>
      <c r="DO39" s="15" t="str">
        <f>IF('Raw Data'!DC57="","",'Raw Data'!DC57)</f>
        <v/>
      </c>
      <c r="DP39" s="15" t="str">
        <f>IF('Raw Data'!DD57="","",'Raw Data'!DD57)</f>
        <v/>
      </c>
      <c r="DQ39" s="15" t="str">
        <f>IF('Raw Data'!DE57="","",'Raw Data'!DE57)</f>
        <v/>
      </c>
      <c r="DR39" s="15" t="str">
        <f>IF('Raw Data'!DF57="","",'Raw Data'!DF57)</f>
        <v/>
      </c>
      <c r="DS39" s="15" t="str">
        <f>IF('Raw Data'!DG57="","",'Raw Data'!DG57)</f>
        <v/>
      </c>
      <c r="DT39" s="15" t="str">
        <f>IF('Raw Data'!DH57="","",'Raw Data'!DH57)</f>
        <v/>
      </c>
      <c r="DU39" s="15" t="str">
        <f>IF('Raw Data'!DI57="","",'Raw Data'!DI57)</f>
        <v/>
      </c>
      <c r="DV39" s="15" t="str">
        <f>IF('Raw Data'!DJ57="","",'Raw Data'!DJ57)</f>
        <v/>
      </c>
      <c r="DW39" s="15" t="str">
        <f>IF('Raw Data'!DK57="","",'Raw Data'!DK57)</f>
        <v/>
      </c>
      <c r="DX39" s="15" t="str">
        <f>IF('Raw Data'!DL57="","",'Raw Data'!DL57)</f>
        <v/>
      </c>
      <c r="DY39" s="15" t="str">
        <f>IF('Raw Data'!DM57="","",'Raw Data'!DM57)</f>
        <v/>
      </c>
      <c r="DZ39" s="15" t="str">
        <f>IF('Raw Data'!DN57="","",'Raw Data'!DN57)</f>
        <v/>
      </c>
      <c r="EA39" s="15" t="str">
        <f>IF('Raw Data'!DO57="","",'Raw Data'!DO57)</f>
        <v/>
      </c>
      <c r="EB39" s="15" t="str">
        <f>IF('Raw Data'!DP57="","",'Raw Data'!DP57)</f>
        <v/>
      </c>
      <c r="EC39" s="15" t="str">
        <f>IF('Raw Data'!DQ57="","",'Raw Data'!DQ57)</f>
        <v/>
      </c>
      <c r="ED39" s="15" t="str">
        <f>IF('Raw Data'!DR57="","",'Raw Data'!DR57)</f>
        <v/>
      </c>
      <c r="EE39" s="15" t="str">
        <f>IF('Raw Data'!DS57="","",'Raw Data'!DS57)</f>
        <v/>
      </c>
      <c r="EF39" s="15" t="str">
        <f>IF('Raw Data'!DT57="","",'Raw Data'!DT57)</f>
        <v/>
      </c>
      <c r="EG39" s="15" t="str">
        <f>IF('Raw Data'!DU57="","",'Raw Data'!DU57)</f>
        <v/>
      </c>
      <c r="EH39" s="15" t="str">
        <f>IF('Raw Data'!DV57="","",'Raw Data'!DV57)</f>
        <v/>
      </c>
      <c r="EI39" s="15" t="str">
        <f>IF('Raw Data'!DW57="","",'Raw Data'!DW57)</f>
        <v/>
      </c>
      <c r="EJ39" s="15" t="str">
        <f>IF('Raw Data'!DX57="","",'Raw Data'!DX57)</f>
        <v/>
      </c>
      <c r="EK39" s="15" t="str">
        <f>IF('Raw Data'!DY57="","",'Raw Data'!DY57)</f>
        <v/>
      </c>
      <c r="EL39" s="15" t="str">
        <f>IF('Raw Data'!DZ57="","",'Raw Data'!DZ57)</f>
        <v>dplct_abords_com</v>
      </c>
      <c r="EM39" s="15" t="str">
        <f>IF('Raw Data'!EA57="","",'Raw Data'!EA57)</f>
        <v>1</v>
      </c>
      <c r="EN39" s="15" t="str">
        <f>IF('Raw Data'!EB57="","",'Raw Data'!EB57)</f>
        <v>0</v>
      </c>
      <c r="EO39" s="15" t="str">
        <f>IF('Raw Data'!EC57="","",'Raw Data'!EC57)</f>
        <v>0</v>
      </c>
      <c r="EP39" s="15" t="str">
        <f>IF('Raw Data'!ED57="","",'Raw Data'!ED57)</f>
        <v>0</v>
      </c>
      <c r="EQ39" s="15" t="str">
        <f>IF('Raw Data'!EE57="","",'Raw Data'!EE57)</f>
        <v>0</v>
      </c>
      <c r="ER39" s="15" t="str">
        <f>IF('Raw Data'!EF57="","",'Raw Data'!EF57)</f>
        <v>0</v>
      </c>
      <c r="ES39" s="15" t="str">
        <f>IF('Raw Data'!EG57="","",'Raw Data'!EG57)</f>
        <v>0</v>
      </c>
      <c r="ET39" s="15" t="str">
        <f>IF('Raw Data'!EH57="","",'Raw Data'!EH57)</f>
        <v>0</v>
      </c>
      <c r="EU39" s="15" t="str">
        <f>IF('Raw Data'!EI57="","",'Raw Data'!EI57)</f>
        <v>0</v>
      </c>
      <c r="EV39" s="15" t="str">
        <f>IF('Raw Data'!EJ57="","",'Raw Data'!EJ57)</f>
        <v/>
      </c>
      <c r="EW39" s="15" t="str">
        <f>IF('Raw Data'!EK57="","",'Raw Data'!EK57)</f>
        <v/>
      </c>
      <c r="EX39" s="15" t="str">
        <f>IF('Raw Data'!EL57="","",'Raw Data'!EL57)</f>
        <v>Ne_sait_pas</v>
      </c>
      <c r="EY39" s="15" t="str">
        <f>IF('Raw Data'!EM57="","",'Raw Data'!EM57)</f>
        <v>0</v>
      </c>
      <c r="EZ39" s="15" t="str">
        <f>IF('Raw Data'!EN57="","",'Raw Data'!EN57)</f>
        <v>0</v>
      </c>
      <c r="FA39" s="15" t="str">
        <f>IF('Raw Data'!EO57="","",'Raw Data'!EO57)</f>
        <v>0</v>
      </c>
      <c r="FB39" s="15" t="str">
        <f>IF('Raw Data'!EP57="","",'Raw Data'!EP57)</f>
        <v>0</v>
      </c>
      <c r="FC39" s="15" t="str">
        <f>IF('Raw Data'!EQ57="","",'Raw Data'!EQ57)</f>
        <v>0</v>
      </c>
      <c r="FD39" s="15" t="str">
        <f>IF('Raw Data'!ER57="","",'Raw Data'!ER57)</f>
        <v>0</v>
      </c>
      <c r="FE39" s="15" t="str">
        <f>IF('Raw Data'!ES57="","",'Raw Data'!ES57)</f>
        <v>0</v>
      </c>
      <c r="FF39" s="15" t="str">
        <f>IF('Raw Data'!ET57="","",'Raw Data'!ET57)</f>
        <v>0</v>
      </c>
      <c r="FG39" s="15" t="str">
        <f>IF('Raw Data'!EU57="","",'Raw Data'!EU57)</f>
        <v>1</v>
      </c>
      <c r="FH39" s="15" t="str">
        <f>IF('Raw Data'!EV57="","",'Raw Data'!EV57)</f>
        <v>0</v>
      </c>
      <c r="FI39" s="15" t="str">
        <f>IF('Raw Data'!EW57="","",'Raw Data'!EW57)</f>
        <v/>
      </c>
      <c r="FJ39" s="15" t="str">
        <f>IF('Raw Data'!EX57="","",'Raw Data'!EX57)</f>
        <v>oui</v>
      </c>
      <c r="FK39" s="15" t="str">
        <f>IF('Raw Data'!EY57="","",'Raw Data'!EY57)</f>
        <v>Radio_television Chef_village</v>
      </c>
      <c r="FL39" s="15" t="str">
        <f>IF('Raw Data'!EZ57="","",'Raw Data'!EZ57)</f>
        <v>1</v>
      </c>
      <c r="FM39" s="15" t="str">
        <f>IF('Raw Data'!FA57="","",'Raw Data'!FA57)</f>
        <v>0</v>
      </c>
      <c r="FN39" s="15" t="str">
        <f>IF('Raw Data'!FB57="","",'Raw Data'!FB57)</f>
        <v>0</v>
      </c>
      <c r="FO39" s="15" t="str">
        <f>IF('Raw Data'!FC57="","",'Raw Data'!FC57)</f>
        <v>0</v>
      </c>
      <c r="FP39" s="15" t="str">
        <f>IF('Raw Data'!FD57="","",'Raw Data'!FD57)</f>
        <v>1</v>
      </c>
      <c r="FQ39" s="15" t="str">
        <f>IF('Raw Data'!FE57="","",'Raw Data'!FE57)</f>
        <v>0</v>
      </c>
      <c r="FR39" s="15" t="str">
        <f>IF('Raw Data'!FF57="","",'Raw Data'!FF57)</f>
        <v>0</v>
      </c>
      <c r="FS39" s="15" t="str">
        <f>IF('Raw Data'!FG57="","",'Raw Data'!FG57)</f>
        <v>0</v>
      </c>
      <c r="FT39" s="15" t="str">
        <f>IF('Raw Data'!FH57="","",'Raw Data'!FH57)</f>
        <v>0</v>
      </c>
      <c r="FU39" s="15" t="str">
        <f>IF('Raw Data'!FI57="","",'Raw Data'!FI57)</f>
        <v>0</v>
      </c>
      <c r="FV39" s="15" t="str">
        <f>IF('Raw Data'!FJ57="","",'Raw Data'!FJ57)</f>
        <v>0</v>
      </c>
      <c r="FW39" s="15" t="str">
        <f>IF('Raw Data'!FK57="","",'Raw Data'!FK57)</f>
        <v>0</v>
      </c>
      <c r="FX39" s="15" t="str">
        <f>IF('Raw Data'!FL57="","",'Raw Data'!FL57)</f>
        <v>0</v>
      </c>
      <c r="FY39" s="15" t="str">
        <f>IF('Raw Data'!FM57="","",'Raw Data'!FM57)</f>
        <v>0</v>
      </c>
      <c r="FZ39" s="15" t="str">
        <f>IF('Raw Data'!FN57="","",'Raw Data'!FN57)</f>
        <v/>
      </c>
      <c r="GA39" s="15" t="str">
        <f>IF('Raw Data'!FO57="","",'Raw Data'!FO57)</f>
        <v>oui_minorite</v>
      </c>
      <c r="GB39" s="15" t="str">
        <f>IF('Raw Data'!FP57="","",'Raw Data'!FP57)</f>
        <v>oui_ensemble</v>
      </c>
      <c r="GC39" s="15" t="str">
        <f>IF('Raw Data'!FQ57="","",'Raw Data'!FQ57)</f>
        <v/>
      </c>
      <c r="GD39" s="15" t="str">
        <f>IF('Raw Data'!FR57="","",'Raw Data'!FR57)</f>
        <v/>
      </c>
      <c r="GE39" s="15" t="str">
        <f>IF('Raw Data'!FS57="","",'Raw Data'!FS57)</f>
        <v/>
      </c>
      <c r="GF39" s="15" t="str">
        <f>IF('Raw Data'!FT57="","",'Raw Data'!FT57)</f>
        <v/>
      </c>
      <c r="GG39" s="15" t="str">
        <f>IF('Raw Data'!FU57="","",'Raw Data'!FU57)</f>
        <v/>
      </c>
      <c r="GH39" s="15" t="str">
        <f>IF('Raw Data'!FV57="","",'Raw Data'!FV57)</f>
        <v/>
      </c>
      <c r="GI39" s="15" t="str">
        <f>IF('Raw Data'!FW57="","",'Raw Data'!FW57)</f>
        <v/>
      </c>
      <c r="GJ39" s="15" t="str">
        <f>IF('Raw Data'!FX57="","",'Raw Data'!FX57)</f>
        <v/>
      </c>
      <c r="GK39" s="15" t="str">
        <f>IF('Raw Data'!FY57="","",'Raw Data'!FY57)</f>
        <v/>
      </c>
      <c r="GL39" s="15" t="str">
        <f>IF('Raw Data'!FZ57="","",'Raw Data'!FZ57)</f>
        <v/>
      </c>
      <c r="GM39" s="15" t="str">
        <f>IF('Raw Data'!GA57="","",'Raw Data'!GA57)</f>
        <v>moitie</v>
      </c>
      <c r="GN39" s="15" t="str">
        <f>IF('Raw Data'!GB57="","",'Raw Data'!GB57)</f>
        <v>majorite</v>
      </c>
      <c r="GO39" s="15" t="str">
        <f>IF('Raw Data'!GC57="","",'Raw Data'!GC57)</f>
        <v>Autre</v>
      </c>
      <c r="GP39" s="15" t="str">
        <f>IF('Raw Data'!GD57="","",'Raw Data'!GD57)</f>
        <v>0</v>
      </c>
      <c r="GQ39" s="15" t="str">
        <f>IF('Raw Data'!GE57="","",'Raw Data'!GE57)</f>
        <v>0</v>
      </c>
      <c r="GR39" s="15" t="str">
        <f>IF('Raw Data'!GF57="","",'Raw Data'!GF57)</f>
        <v>0</v>
      </c>
      <c r="GS39" s="15" t="str">
        <f>IF('Raw Data'!GG57="","",'Raw Data'!GG57)</f>
        <v>0</v>
      </c>
      <c r="GT39" s="15" t="str">
        <f>IF('Raw Data'!GH57="","",'Raw Data'!GH57)</f>
        <v>0</v>
      </c>
      <c r="GU39" s="15" t="str">
        <f>IF('Raw Data'!GI57="","",'Raw Data'!GI57)</f>
        <v>0</v>
      </c>
      <c r="GV39" s="15" t="str">
        <f>IF('Raw Data'!GJ57="","",'Raw Data'!GJ57)</f>
        <v>0</v>
      </c>
      <c r="GW39" s="15" t="str">
        <f>IF('Raw Data'!GK57="","",'Raw Data'!GK57)</f>
        <v>1</v>
      </c>
      <c r="GX39" s="15" t="str">
        <f>IF('Raw Data'!GL57="","",'Raw Data'!GL57)</f>
        <v>0</v>
      </c>
      <c r="GY39" s="15" t="str">
        <f>IF('Raw Data'!GM57="","",'Raw Data'!GM57)</f>
        <v xml:space="preserve">Chef de village </v>
      </c>
      <c r="GZ39" s="15" t="str">
        <f>IF('Raw Data'!GN57="","",'Raw Data'!GN57)</f>
        <v>oui_majorite</v>
      </c>
      <c r="HA39" s="15" t="str">
        <f>IF('Raw Data'!GO57="","",'Raw Data'!GO57)</f>
        <v>oui_majorite</v>
      </c>
      <c r="HB39" s="15" t="str">
        <f>IF('Raw Data'!GP57="","",'Raw Data'!GP57)</f>
        <v>amelioration_futur</v>
      </c>
      <c r="HC39" s="15" t="str">
        <f>IF('Raw Data'!GQ57="","",'Raw Data'!GQ57)</f>
        <v>1</v>
      </c>
      <c r="HD39" s="15" t="str">
        <f>IF('Raw Data'!GR57="","",'Raw Data'!GR57)</f>
        <v>0</v>
      </c>
      <c r="HE39" s="15" t="str">
        <f>IF('Raw Data'!GS57="","",'Raw Data'!GS57)</f>
        <v>0</v>
      </c>
      <c r="HF39" s="15" t="str">
        <f>IF('Raw Data'!GT57="","",'Raw Data'!GT57)</f>
        <v>0</v>
      </c>
      <c r="HG39" s="15" t="str">
        <f>IF('Raw Data'!GU57="","",'Raw Data'!GU57)</f>
        <v>0</v>
      </c>
      <c r="HH39" s="15" t="str">
        <f>IF('Raw Data'!GV57="","",'Raw Data'!GV57)</f>
        <v>0</v>
      </c>
      <c r="HI39" s="15" t="str">
        <f>IF('Raw Data'!GW57="","",'Raw Data'!GW57)</f>
        <v>0</v>
      </c>
      <c r="HJ39" s="15" t="str">
        <f>IF('Raw Data'!GX57="","",'Raw Data'!GX57)</f>
        <v>0</v>
      </c>
      <c r="HK39" s="15" t="str">
        <f>IF('Raw Data'!GY57="","",'Raw Data'!GY57)</f>
        <v/>
      </c>
      <c r="HL39" s="15" t="str">
        <f>IF('Raw Data'!GZ57="","",'Raw Data'!GZ57)</f>
        <v>ne_contribue_pas</v>
      </c>
      <c r="HM39" s="15" t="str">
        <f>IF('Raw Data'!HA57="","",'Raw Data'!HA57)</f>
        <v>1</v>
      </c>
      <c r="HN39" s="15" t="str">
        <f>IF('Raw Data'!HB57="","",'Raw Data'!HB57)</f>
        <v>0</v>
      </c>
      <c r="HO39" s="15" t="str">
        <f>IF('Raw Data'!HC57="","",'Raw Data'!HC57)</f>
        <v>0</v>
      </c>
      <c r="HP39" s="15" t="str">
        <f>IF('Raw Data'!HD57="","",'Raw Data'!HD57)</f>
        <v>0</v>
      </c>
      <c r="HQ39" s="15" t="str">
        <f>IF('Raw Data'!HE57="","",'Raw Data'!HE57)</f>
        <v>0</v>
      </c>
      <c r="HR39" s="15" t="str">
        <f>IF('Raw Data'!HF57="","",'Raw Data'!HF57)</f>
        <v>0</v>
      </c>
      <c r="HS39" s="15" t="str">
        <f>IF('Raw Data'!HG57="","",'Raw Data'!HG57)</f>
        <v/>
      </c>
      <c r="HT39" s="15" t="str">
        <f>IF('Raw Data'!HH57="","",'Raw Data'!HH57)</f>
        <v/>
      </c>
      <c r="HU39" s="15" t="str">
        <f>IF('Raw Data'!HI57="","",'Raw Data'!HI57)</f>
        <v>non</v>
      </c>
      <c r="HV39" s="15" t="str">
        <f>IF('Raw Data'!HJ57="","",'Raw Data'!HJ57)</f>
        <v/>
      </c>
      <c r="HW39" s="15" t="str">
        <f>IF('Raw Data'!HK57="","",'Raw Data'!HK57)</f>
        <v/>
      </c>
      <c r="HX39" s="15" t="str">
        <f>IF('Raw Data'!HL57="","",'Raw Data'!HL57)</f>
        <v/>
      </c>
      <c r="HY39" s="15" t="str">
        <f>IF('Raw Data'!HM57="","",'Raw Data'!HM57)</f>
        <v/>
      </c>
      <c r="HZ39" s="15" t="str">
        <f>IF('Raw Data'!HN57="","",'Raw Data'!HN57)</f>
        <v/>
      </c>
      <c r="IA39" s="15" t="str">
        <f>IF('Raw Data'!HO57="","",'Raw Data'!HO57)</f>
        <v/>
      </c>
      <c r="IB39" s="15" t="str">
        <f>IF('Raw Data'!HP57="","",'Raw Data'!HP57)</f>
        <v/>
      </c>
      <c r="IC39" s="15" t="str">
        <f>IF('Raw Data'!HQ57="","",'Raw Data'!HQ57)</f>
        <v/>
      </c>
      <c r="ID39" s="15" t="str">
        <f>IF('Raw Data'!HR57="","",'Raw Data'!HR57)</f>
        <v/>
      </c>
      <c r="IE39" s="15" t="str">
        <f>IF('Raw Data'!HS57="","",'Raw Data'!HS57)</f>
        <v/>
      </c>
      <c r="IF39" s="15" t="str">
        <f>IF('Raw Data'!HT57="","",'Raw Data'!HT57)</f>
        <v/>
      </c>
      <c r="IG39" s="15" t="str">
        <f>IF('Raw Data'!HU57="","",'Raw Data'!HU57)</f>
        <v/>
      </c>
      <c r="IH39" s="15" t="str">
        <f>IF('Raw Data'!HV57="","",'Raw Data'!HV57)</f>
        <v>oui</v>
      </c>
      <c r="II39" s="15" t="str">
        <f>IF('Raw Data'!HW57="","",'Raw Data'!HW57)</f>
        <v/>
      </c>
      <c r="IJ39" s="15" t="str">
        <f>IF('Raw Data'!HX57="","",'Raw Data'!HX57)</f>
        <v/>
      </c>
      <c r="IK39" s="15" t="str">
        <f>IF('Raw Data'!HY57="","",'Raw Data'!HY57)</f>
        <v/>
      </c>
      <c r="IL39" s="15" t="str">
        <f>IF('Raw Data'!HZ57="","",'Raw Data'!HZ57)</f>
        <v/>
      </c>
      <c r="IM39" s="15" t="str">
        <f>IF('Raw Data'!IA57="","",'Raw Data'!IA57)</f>
        <v/>
      </c>
      <c r="IN39" s="15" t="str">
        <f>IF('Raw Data'!IB57="","",'Raw Data'!IB57)</f>
        <v/>
      </c>
      <c r="IO39" s="15" t="str">
        <f>IF('Raw Data'!IC57="","",'Raw Data'!IC57)</f>
        <v/>
      </c>
      <c r="IP39" s="15" t="str">
        <f>IF('Raw Data'!ID57="","",'Raw Data'!ID57)</f>
        <v/>
      </c>
      <c r="IQ39" s="15" t="str">
        <f>IF('Raw Data'!IE57="","",'Raw Data'!IE57)</f>
        <v/>
      </c>
      <c r="IR39" s="15" t="str">
        <f>IF('Raw Data'!IF57="","",'Raw Data'!IF57)</f>
        <v/>
      </c>
      <c r="IS39" s="15" t="str">
        <f>IF('Raw Data'!IG57="","",'Raw Data'!IG57)</f>
        <v/>
      </c>
      <c r="IT39" s="15" t="str">
        <f>IF('Raw Data'!IH57="","",'Raw Data'!IH57)</f>
        <v/>
      </c>
      <c r="IU39" s="15" t="str">
        <f>IF('Raw Data'!II57="","",'Raw Data'!II57)</f>
        <v/>
      </c>
      <c r="IV39" s="15" t="str">
        <f>IF('Raw Data'!IJ57="","",'Raw Data'!IJ57)</f>
        <v/>
      </c>
      <c r="IW39" s="15" t="str">
        <f>IF('Raw Data'!IK57="","",'Raw Data'!IK57)</f>
        <v/>
      </c>
      <c r="IX39" s="15" t="str">
        <f>IF('Raw Data'!IL57="","",'Raw Data'!IL57)</f>
        <v/>
      </c>
      <c r="IY39" s="15" t="str">
        <f>IF('Raw Data'!IM57="","",'Raw Data'!IM57)</f>
        <v/>
      </c>
      <c r="IZ39" s="31"/>
      <c r="JA39" s="31"/>
      <c r="JB39" s="31"/>
      <c r="JC39" s="31"/>
      <c r="JD39" s="31"/>
      <c r="JE39" s="31"/>
      <c r="JF39" s="31"/>
      <c r="JG39" s="31"/>
      <c r="JH39" s="31"/>
      <c r="JI39" s="31"/>
      <c r="JJ39" s="31"/>
      <c r="JK39" s="31"/>
      <c r="JL39" s="15" t="str">
        <f>IF('Raw Data'!IZ57="","",'Raw Data'!IZ57)</f>
        <v/>
      </c>
      <c r="JM39" s="31"/>
      <c r="JN39" s="31"/>
      <c r="JO39" s="31"/>
      <c r="JP39" s="31"/>
      <c r="JQ39" s="31"/>
      <c r="JR39" s="31"/>
      <c r="JS39" s="31"/>
      <c r="JT39" s="15" t="str">
        <f>IF('Raw Data'!JH57="","",'Raw Data'!JH57)</f>
        <v/>
      </c>
      <c r="JU39" s="15" t="str">
        <f>IF('Raw Data'!JI57="","",'Raw Data'!JI57)</f>
        <v/>
      </c>
      <c r="JV39" s="15" t="str">
        <f>IF('Raw Data'!JJ57="","",'Raw Data'!JJ57)</f>
        <v/>
      </c>
      <c r="JW39" s="15" t="str">
        <f>IF('Raw Data'!JK57="","",'Raw Data'!JK57)</f>
        <v/>
      </c>
      <c r="JX39" s="15" t="str">
        <f>IF('Raw Data'!JL57="","",'Raw Data'!JL57)</f>
        <v/>
      </c>
      <c r="JY39" s="15" t="str">
        <f>IF('Raw Data'!JM57="","",'Raw Data'!JM57)</f>
        <v/>
      </c>
      <c r="JZ39" s="15" t="str">
        <f>IF('Raw Data'!JN57="","",'Raw Data'!JN57)</f>
        <v/>
      </c>
      <c r="KA39" s="15" t="str">
        <f>IF('Raw Data'!JO57="","",'Raw Data'!JO57)</f>
        <v/>
      </c>
      <c r="KB39" s="15" t="str">
        <f>IF('Raw Data'!JP57="","",'Raw Data'!JP57)</f>
        <v/>
      </c>
      <c r="KC39" s="15" t="str">
        <f>IF('Raw Data'!JQ57="","",'Raw Data'!JQ57)</f>
        <v/>
      </c>
      <c r="KD39" s="15" t="str">
        <f>IF('Raw Data'!JR57="","",'Raw Data'!JR57)</f>
        <v/>
      </c>
      <c r="KE39" s="15" t="str">
        <f>IF('Raw Data'!JS57="","",'Raw Data'!JS57)</f>
        <v/>
      </c>
      <c r="KF39" s="31"/>
      <c r="KG39" s="31"/>
      <c r="KH39" s="31"/>
      <c r="KI39" s="31"/>
      <c r="KJ39" s="31"/>
      <c r="KK39" s="31"/>
      <c r="KL39" s="31"/>
      <c r="KM39" s="31"/>
      <c r="KN39" s="31"/>
      <c r="KO39" s="31"/>
      <c r="KP39" s="15" t="str">
        <f>IF('Raw Data'!KD57="","",'Raw Data'!KD57)</f>
        <v/>
      </c>
      <c r="KQ39" s="15" t="str">
        <f>IF('Raw Data'!KE57="","",'Raw Data'!KE57)</f>
        <v/>
      </c>
      <c r="KR39" s="31"/>
      <c r="KS39" s="15" t="str">
        <f>IF('Raw Data'!KG57="","",'Raw Data'!KG57)</f>
        <v/>
      </c>
      <c r="KT39" s="15" t="str">
        <f>IF('Raw Data'!KH57="","",'Raw Data'!KH57)</f>
        <v/>
      </c>
      <c r="KU39" s="15" t="str">
        <f>IF('Raw Data'!KI57="","",'Raw Data'!KI57)</f>
        <v/>
      </c>
      <c r="KV39" s="15" t="str">
        <f>IF('Raw Data'!KJ57="","",'Raw Data'!KJ57)</f>
        <v/>
      </c>
      <c r="KW39" s="15" t="str">
        <f>IF('Raw Data'!KK57="","",'Raw Data'!KK57)</f>
        <v/>
      </c>
      <c r="KX39" s="15" t="str">
        <f>IF('Raw Data'!KL57="","",'Raw Data'!KL57)</f>
        <v/>
      </c>
      <c r="KY39" s="15" t="str">
        <f>IF('Raw Data'!KM57="","",'Raw Data'!KM57)</f>
        <v/>
      </c>
      <c r="KZ39" s="15" t="str">
        <f>IF('Raw Data'!KN57="","",'Raw Data'!KN57)</f>
        <v/>
      </c>
      <c r="LA39" s="15" t="str">
        <f>IF('Raw Data'!KO57="","",'Raw Data'!KO57)</f>
        <v/>
      </c>
      <c r="LB39" s="15" t="str">
        <f>IF('Raw Data'!KP57="","",'Raw Data'!KP57)</f>
        <v/>
      </c>
      <c r="LC39" s="15" t="str">
        <f>IF('Raw Data'!KQ57="","",'Raw Data'!KQ57)</f>
        <v/>
      </c>
      <c r="LD39" s="15" t="str">
        <f>IF('Raw Data'!KR57="","",'Raw Data'!KR57)</f>
        <v/>
      </c>
      <c r="LE39" s="15" t="str">
        <f>IF('Raw Data'!KS57="","",'Raw Data'!KS57)</f>
        <v/>
      </c>
      <c r="LF39" s="15" t="str">
        <f>IF('Raw Data'!KT57="","",'Raw Data'!KT57)</f>
        <v/>
      </c>
      <c r="LG39" s="15" t="str">
        <f>IF('Raw Data'!KU57="","",'Raw Data'!KU57)</f>
        <v/>
      </c>
      <c r="LH39" s="15" t="str">
        <f>IF('Raw Data'!KV57="","",'Raw Data'!KV57)</f>
        <v/>
      </c>
      <c r="LI39" s="15" t="str">
        <f>IF('Raw Data'!KW57="","",'Raw Data'!KW57)</f>
        <v/>
      </c>
      <c r="LJ39" s="15" t="str">
        <f>IF('Raw Data'!KX57="","",'Raw Data'!KX57)</f>
        <v/>
      </c>
      <c r="LK39" s="15" t="str">
        <f>IF('Raw Data'!KY57="","",'Raw Data'!KY57)</f>
        <v/>
      </c>
      <c r="LL39" s="15" t="str">
        <f>IF('Raw Data'!KZ57="","",'Raw Data'!KZ57)</f>
        <v/>
      </c>
      <c r="LM39" s="15" t="str">
        <f>IF('Raw Data'!LA57="","",'Raw Data'!LA57)</f>
        <v/>
      </c>
      <c r="LN39" s="31"/>
      <c r="LO39" s="15" t="str">
        <f>IF('Raw Data'!LC57="","",'Raw Data'!LC57)</f>
        <v/>
      </c>
      <c r="LP39" s="15" t="str">
        <f>IF('Raw Data'!LD57="","",'Raw Data'!LD57)</f>
        <v/>
      </c>
      <c r="LQ39" s="15" t="str">
        <f>IF('Raw Data'!LE57="","",'Raw Data'!LE57)</f>
        <v/>
      </c>
      <c r="LR39" s="15" t="str">
        <f>IF('Raw Data'!LF57="","",'Raw Data'!LF57)</f>
        <v/>
      </c>
      <c r="LS39" s="15" t="str">
        <f>IF('Raw Data'!LG57="","",'Raw Data'!LG57)</f>
        <v/>
      </c>
      <c r="LT39" s="15" t="str">
        <f>IF('Raw Data'!LH57="","",'Raw Data'!LH57)</f>
        <v/>
      </c>
      <c r="LU39" s="15" t="str">
        <f>IF('Raw Data'!LI57="","",'Raw Data'!LI57)</f>
        <v/>
      </c>
      <c r="LV39" s="15" t="str">
        <f>IF('Raw Data'!LJ57="","",'Raw Data'!LJ57)</f>
        <v/>
      </c>
      <c r="LW39" s="15" t="str">
        <f>IF('Raw Data'!LK57="","",'Raw Data'!LK57)</f>
        <v/>
      </c>
      <c r="LX39" s="15" t="str">
        <f>IF('Raw Data'!LL57="","",'Raw Data'!LL57)</f>
        <v/>
      </c>
      <c r="LY39" s="15" t="str">
        <f>IF('Raw Data'!LM57="","",'Raw Data'!LM57)</f>
        <v/>
      </c>
      <c r="LZ39" s="15" t="str">
        <f>IF('Raw Data'!LN57="","",'Raw Data'!LN57)</f>
        <v/>
      </c>
      <c r="MA39" s="15" t="str">
        <f>IF('Raw Data'!LO57="","",'Raw Data'!LO57)</f>
        <v/>
      </c>
      <c r="MB39" s="15" t="str">
        <f>IF('Raw Data'!LP57="","",'Raw Data'!LP57)</f>
        <v>oui</v>
      </c>
      <c r="MC39" s="15" t="str">
        <f>IF('Raw Data'!LQ57="","",'Raw Data'!LQ57)</f>
        <v/>
      </c>
      <c r="MD39" s="15" t="str">
        <f>IF('Raw Data'!LR57="","",'Raw Data'!LR57)</f>
        <v>Avoir vraiment la paix et retourner chez nous,c'est ca nôtre plus grand souhait</v>
      </c>
      <c r="ME39" s="15">
        <f>IF('Raw Data'!LS57="","",'Raw Data'!LS57)</f>
        <v>170583892</v>
      </c>
      <c r="MF39" s="15" t="str">
        <f>IF('Raw Data'!LT57="","",'Raw Data'!LT57)</f>
        <v>5f657c67-54a6-4b6c-acf6-9e0d817daced</v>
      </c>
      <c r="MG39" s="15" t="str">
        <f>IF('Raw Data'!LU57="","",'Raw Data'!LU57)</f>
        <v>2021-04-09T08:43:01</v>
      </c>
      <c r="MH39" s="15" t="str">
        <f>IF('Raw Data'!LV57="","",'Raw Data'!LV57)</f>
        <v/>
      </c>
      <c r="MI39" s="15" t="str">
        <f>IF('Raw Data'!LW57="","",'Raw Data'!LW57)</f>
        <v>[]</v>
      </c>
      <c r="MJ39" s="15" t="str">
        <f>IF('Raw Data'!LX57="","",'Raw Data'!LX57)</f>
        <v>submitted_via_web</v>
      </c>
      <c r="MK39" s="15" t="str">
        <f>IF('Raw Data'!LY57="","",'Raw Data'!LY57)</f>
        <v>reach_niger</v>
      </c>
      <c r="ML39" s="15" t="str">
        <f>IF('Raw Data'!LZ57="","",'Raw Data'!LZ57)</f>
        <v/>
      </c>
      <c r="MM39" s="15">
        <f>IF('Raw Data'!MA57="","",'Raw Data'!MA57)</f>
        <v>61</v>
      </c>
    </row>
    <row r="40" spans="1:351" x14ac:dyDescent="0.3">
      <c r="A40" s="26" t="str">
        <f t="shared" si="4"/>
        <v>cd124284-5b82-4317-b34e-7c1f127b64ca</v>
      </c>
      <c r="B40" s="26" t="str">
        <f t="shared" si="5"/>
        <v>tondikiwindi</v>
      </c>
      <c r="C40" s="26" t="str">
        <f t="shared" si="6"/>
        <v>H</v>
      </c>
      <c r="D40" s="14" t="str">
        <f>IF('Raw Data'!A55="","",'Raw Data'!A55)</f>
        <v>2021-04-08T12:24:26.599+01:00</v>
      </c>
      <c r="E40" s="14" t="str">
        <f>IF('Raw Data'!B55="","",'Raw Data'!B55)</f>
        <v>2021-04-08T12:56:01.524+01:00</v>
      </c>
      <c r="F40" s="30">
        <v>44294.516967592594</v>
      </c>
      <c r="G40" s="30">
        <v>44294.538900462961</v>
      </c>
      <c r="H40" s="29">
        <f>VLOOKUP(A40,Audit[#All],2,FALSE)</f>
        <v>31.58</v>
      </c>
      <c r="I40" s="29">
        <f>VLOOKUP(A40,Audit[#All],3,FALSE)</f>
        <v>31.41</v>
      </c>
      <c r="J40" s="29">
        <f>VLOOKUP(A40,Audit[#All],4,FALSE)</f>
        <v>29.66</v>
      </c>
      <c r="K40" s="29">
        <f>VLOOKUP(A40,nb_questions[#All],2,FALSE)</f>
        <v>84</v>
      </c>
      <c r="L40" s="29">
        <f t="shared" si="7"/>
        <v>220</v>
      </c>
      <c r="M40" s="14" t="str">
        <f>IF('Raw Data'!C55="","",'Raw Data'!C55)</f>
        <v>2021-04-08</v>
      </c>
      <c r="N40" s="14" t="str">
        <f>IF('Raw Data'!D55="","",'Raw Data'!D55)</f>
        <v/>
      </c>
      <c r="O40" s="14" t="str">
        <f>IF('Raw Data'!E55="","",'Raw Data'!E55)</f>
        <v/>
      </c>
      <c r="P40" s="29" t="str">
        <f>VLOOKUP(A40,code_enqueteurs[#All],3,FALSE)</f>
        <v>H</v>
      </c>
      <c r="Q40" s="29" t="s">
        <v>1652</v>
      </c>
      <c r="R40" s="14" t="str">
        <f>IF('Raw Data'!F55="","",'Raw Data'!F55)</f>
        <v>Homme</v>
      </c>
      <c r="S40" s="15" t="str">
        <f>IF('Raw Data'!G55="","",'Raw Data'!G55)</f>
        <v>ouallam</v>
      </c>
      <c r="T40" s="15" t="str">
        <f>IF('Raw Data'!H55="","",'Raw Data'!H55)</f>
        <v>tondikiwindi</v>
      </c>
      <c r="U40" s="15" t="str">
        <f>IF('Raw Data'!I55="","",'Raw Data'!I55)</f>
        <v>diney_baba_kouara</v>
      </c>
      <c r="V40" s="15" t="str">
        <f>IF('Raw Data'!J55="","",'Raw Data'!J55)</f>
        <v/>
      </c>
      <c r="W40" s="15" t="str">
        <f>IF('Raw Data'!K55="","",'Raw Data'!K55)</f>
        <v/>
      </c>
      <c r="X40" s="15" t="str">
        <f>IF('Raw Data'!L55="","",'Raw Data'!L55)</f>
        <v/>
      </c>
      <c r="Y40" s="15" t="str">
        <f>IF('Raw Data'!M55="","",'Raw Data'!M55)</f>
        <v/>
      </c>
      <c r="Z40" s="15" t="str">
        <f>IF('Raw Data'!N55="","",'Raw Data'!N55)</f>
        <v/>
      </c>
      <c r="AA40" s="15" t="str">
        <f>IF('Raw Data'!O55="","",'Raw Data'!O55)</f>
        <v/>
      </c>
      <c r="AB40" s="15" t="str">
        <f>IF('Raw Data'!P55="","",'Raw Data'!P55)</f>
        <v/>
      </c>
      <c r="AC40" s="15" t="str">
        <f>IF('Raw Data'!Q55="","",'Raw Data'!Q55)</f>
        <v/>
      </c>
      <c r="AD40" s="15" t="str">
        <f>IF('Raw Data'!R55="","",'Raw Data'!R55)</f>
        <v>Homme</v>
      </c>
      <c r="AE40" s="15" t="str">
        <f>IF('Raw Data'!S55="","",'Raw Data'!S55)</f>
        <v>26</v>
      </c>
      <c r="AF40" s="15" t="str">
        <f>IF('Raw Data'!T55="","",'Raw Data'!T55)</f>
        <v>deplace_interne</v>
      </c>
      <c r="AG40" s="15" t="str">
        <f>IF('Raw Data'!U55="","",'Raw Data'!U55)</f>
        <v/>
      </c>
      <c r="AH40" s="15" t="str">
        <f>IF('Raw Data'!V55="","",'Raw Data'!V55)</f>
        <v/>
      </c>
      <c r="AI40" s="15" t="str">
        <f>IF('Raw Data'!W55="","",'Raw Data'!W55)</f>
        <v/>
      </c>
      <c r="AJ40" s="15" t="str">
        <f>IF('Raw Data'!X55="","",'Raw Data'!X55)</f>
        <v/>
      </c>
      <c r="AK40" s="15" t="str">
        <f>IF('Raw Data'!Y55="","",'Raw Data'!Y55)</f>
        <v/>
      </c>
      <c r="AL40" s="15" t="str">
        <f>IF('Raw Data'!Z55="","",'Raw Data'!Z55)</f>
        <v>niger</v>
      </c>
      <c r="AM40" s="15" t="str">
        <f>IF('Raw Data'!AA55="","",'Raw Data'!AA55)</f>
        <v>tillaberi</v>
      </c>
      <c r="AN40" s="15" t="str">
        <f>IF('Raw Data'!AB55="","",'Raw Data'!AB55)</f>
        <v>ouallam</v>
      </c>
      <c r="AO40" s="15" t="str">
        <f>IF('Raw Data'!AC55="","",'Raw Data'!AC55)</f>
        <v/>
      </c>
      <c r="AP40" s="15" t="str">
        <f>IF('Raw Data'!AD55="","",'Raw Data'!AD55)</f>
        <v/>
      </c>
      <c r="AQ40" s="15" t="str">
        <f>IF('Raw Data'!AE55="","",'Raw Data'!AE55)</f>
        <v/>
      </c>
      <c r="AR40" s="15" t="str">
        <f>IF('Raw Data'!AF55="","",'Raw Data'!AF55)</f>
        <v/>
      </c>
      <c r="AS40" s="15" t="str">
        <f>IF('Raw Data'!AG55="","",'Raw Data'!AG55)</f>
        <v>non</v>
      </c>
      <c r="AT40" s="15" t="str">
        <f>IF('Raw Data'!AH55="","",'Raw Data'!AH55)</f>
        <v/>
      </c>
      <c r="AU40" s="15" t="str">
        <f>IF('Raw Data'!AI55="","",'Raw Data'!AI55)</f>
        <v/>
      </c>
      <c r="AV40" s="15" t="str">
        <f>IF('Raw Data'!AJ55="","",'Raw Data'!AJ55)</f>
        <v/>
      </c>
      <c r="AW40" s="15" t="str">
        <f>IF('Raw Data'!AK55="","",'Raw Data'!AK55)</f>
        <v/>
      </c>
      <c r="AX40" s="15" t="str">
        <f>IF('Raw Data'!AL55="","",'Raw Data'!AL55)</f>
        <v/>
      </c>
      <c r="AY40" s="15" t="str">
        <f>IF('Raw Data'!AM55="","",'Raw Data'!AM55)</f>
        <v/>
      </c>
      <c r="AZ40" s="15" t="str">
        <f>IF('Raw Data'!AN55="","",'Raw Data'!AN55)</f>
        <v/>
      </c>
      <c r="BA40" s="15" t="str">
        <f>IF('Raw Data'!AO55="","",'Raw Data'!AO55)</f>
        <v/>
      </c>
      <c r="BB40" s="15" t="str">
        <f>IF('Raw Data'!AP55="","",'Raw Data'!AP55)</f>
        <v/>
      </c>
      <c r="BC40" s="15" t="str">
        <f>IF('Raw Data'!AQ55="","",'Raw Data'!AQ55)</f>
        <v/>
      </c>
      <c r="BD40" s="15" t="str">
        <f>IF('Raw Data'!AR55="","",'Raw Data'!AR55)</f>
        <v/>
      </c>
      <c r="BE40" s="15" t="str">
        <f>IF('Raw Data'!AS55="","",'Raw Data'!AS55)</f>
        <v/>
      </c>
      <c r="BF40" s="15" t="str">
        <f>IF('Raw Data'!AT55="","",'Raw Data'!AT55)</f>
        <v/>
      </c>
      <c r="BG40" s="15" t="str">
        <f>IF('Raw Data'!AU55="","",'Raw Data'!AU55)</f>
        <v/>
      </c>
      <c r="BH40" s="15" t="str">
        <f>IF('Raw Data'!AV55="","",'Raw Data'!AV55)</f>
        <v/>
      </c>
      <c r="BI40" s="15" t="str">
        <f>IF('Raw Data'!AW55="","",'Raw Data'!AW55)</f>
        <v/>
      </c>
      <c r="BJ40" s="15" t="str">
        <f>IF('Raw Data'!AX55="","",'Raw Data'!AX55)</f>
        <v/>
      </c>
      <c r="BK40" s="15" t="str">
        <f>IF('Raw Data'!AY55="","",'Raw Data'!AY55)</f>
        <v/>
      </c>
      <c r="BL40" s="15" t="str">
        <f>IF('Raw Data'!AZ55="","",'Raw Data'!AZ55)</f>
        <v/>
      </c>
      <c r="BM40" s="15" t="str">
        <f>IF('Raw Data'!BA55="","",'Raw Data'!BA55)</f>
        <v/>
      </c>
      <c r="BN40" s="15" t="str">
        <f>IF('Raw Data'!BB55="","",'Raw Data'!BB55)</f>
        <v/>
      </c>
      <c r="BO40" s="15" t="str">
        <f>IF('Raw Data'!BC55="","",'Raw Data'!BC55)</f>
        <v/>
      </c>
      <c r="BP40" s="15" t="str">
        <f>IF('Raw Data'!BD55="","",'Raw Data'!BD55)</f>
        <v/>
      </c>
      <c r="BQ40" s="15" t="str">
        <f>IF('Raw Data'!BE55="","",'Raw Data'!BE55)</f>
        <v/>
      </c>
      <c r="BR40" s="15" t="str">
        <f>IF('Raw Data'!BF55="","",'Raw Data'!BF55)</f>
        <v/>
      </c>
      <c r="BS40" s="15" t="str">
        <f>IF('Raw Data'!BG55="","",'Raw Data'!BG55)</f>
        <v/>
      </c>
      <c r="BT40" s="15" t="str">
        <f>IF('Raw Data'!BH55="","",'Raw Data'!BH55)</f>
        <v/>
      </c>
      <c r="BU40" s="15" t="str">
        <f>IF('Raw Data'!BI55="","",'Raw Data'!BI55)</f>
        <v/>
      </c>
      <c r="BV40" s="15" t="str">
        <f>IF('Raw Data'!BJ55="","",'Raw Data'!BJ55)</f>
        <v/>
      </c>
      <c r="BW40" s="15" t="str">
        <f>IF('Raw Data'!BK55="","",'Raw Data'!BK55)</f>
        <v/>
      </c>
      <c r="BX40" s="15" t="str">
        <f>IF('Raw Data'!BL55="","",'Raw Data'!BL55)</f>
        <v/>
      </c>
      <c r="BY40" s="15" t="str">
        <f>IF('Raw Data'!BM55="","",'Raw Data'!BM55)</f>
        <v/>
      </c>
      <c r="BZ40" s="15" t="str">
        <f>IF('Raw Data'!BN55="","",'Raw Data'!BN55)</f>
        <v/>
      </c>
      <c r="CA40" s="15" t="str">
        <f>IF('Raw Data'!BO55="","",'Raw Data'!BO55)</f>
        <v/>
      </c>
      <c r="CB40" s="15" t="str">
        <f>IF('Raw Data'!BP55="","",'Raw Data'!BP55)</f>
        <v/>
      </c>
      <c r="CC40" s="15" t="str">
        <f>IF('Raw Data'!BQ55="","",'Raw Data'!BQ55)</f>
        <v>non</v>
      </c>
      <c r="CD40" s="15" t="str">
        <f>IF('Raw Data'!BR55="","",'Raw Data'!BR55)</f>
        <v/>
      </c>
      <c r="CE40" s="15" t="str">
        <f>IF('Raw Data'!BS55="","",'Raw Data'!BS55)</f>
        <v/>
      </c>
      <c r="CF40" s="15" t="str">
        <f>IF('Raw Data'!BT55="","",'Raw Data'!BT55)</f>
        <v/>
      </c>
      <c r="CG40" s="15" t="str">
        <f>IF('Raw Data'!BU55="","",'Raw Data'!BU55)</f>
        <v/>
      </c>
      <c r="CH40" s="15" t="str">
        <f>IF('Raw Data'!BV55="","",'Raw Data'!BV55)</f>
        <v/>
      </c>
      <c r="CI40" s="15" t="str">
        <f>IF('Raw Data'!BW55="","",'Raw Data'!BW55)</f>
        <v/>
      </c>
      <c r="CJ40" s="15" t="str">
        <f>IF('Raw Data'!BX55="","",'Raw Data'!BX55)</f>
        <v/>
      </c>
      <c r="CK40" s="15" t="str">
        <f>IF('Raw Data'!BY55="","",'Raw Data'!BY55)</f>
        <v/>
      </c>
      <c r="CL40" s="15" t="str">
        <f>IF('Raw Data'!BZ55="","",'Raw Data'!BZ55)</f>
        <v/>
      </c>
      <c r="CM40" s="15" t="str">
        <f>IF('Raw Data'!CA55="","",'Raw Data'!CA55)</f>
        <v/>
      </c>
      <c r="CN40" s="15" t="str">
        <f>IF('Raw Data'!CB55="","",'Raw Data'!CB55)</f>
        <v/>
      </c>
      <c r="CO40" s="15" t="str">
        <f>IF('Raw Data'!CC55="","",'Raw Data'!CC55)</f>
        <v/>
      </c>
      <c r="CP40" s="15" t="str">
        <f>IF('Raw Data'!CD55="","",'Raw Data'!CD55)</f>
        <v/>
      </c>
      <c r="CQ40" s="15" t="str">
        <f>IF('Raw Data'!CE55="","",'Raw Data'!CE55)</f>
        <v/>
      </c>
      <c r="CR40" s="15" t="str">
        <f>IF('Raw Data'!CF55="","",'Raw Data'!CF55)</f>
        <v/>
      </c>
      <c r="CS40" s="15" t="str">
        <f>IF('Raw Data'!CG55="","",'Raw Data'!CG55)</f>
        <v/>
      </c>
      <c r="CT40" s="15" t="str">
        <f>IF('Raw Data'!CH55="","",'Raw Data'!CH55)</f>
        <v/>
      </c>
      <c r="CU40" s="15" t="str">
        <f>IF('Raw Data'!CI55="","",'Raw Data'!CI55)</f>
        <v/>
      </c>
      <c r="CV40" s="15" t="str">
        <f>IF('Raw Data'!CJ55="","",'Raw Data'!CJ55)</f>
        <v/>
      </c>
      <c r="CW40" s="15" t="str">
        <f>IF('Raw Data'!CK55="","",'Raw Data'!CK55)</f>
        <v/>
      </c>
      <c r="CX40" s="15" t="str">
        <f>IF('Raw Data'!CL55="","",'Raw Data'!CL55)</f>
        <v/>
      </c>
      <c r="CY40" s="15" t="str">
        <f>IF('Raw Data'!CM55="","",'Raw Data'!CM55)</f>
        <v/>
      </c>
      <c r="CZ40" s="15" t="str">
        <f>IF('Raw Data'!CN55="","",'Raw Data'!CN55)</f>
        <v/>
      </c>
      <c r="DA40" s="15" t="str">
        <f>IF('Raw Data'!CO55="","",'Raw Data'!CO55)</f>
        <v/>
      </c>
      <c r="DB40" s="15" t="str">
        <f>IF('Raw Data'!CP55="","",'Raw Data'!CP55)</f>
        <v/>
      </c>
      <c r="DC40" s="15" t="str">
        <f>IF('Raw Data'!CQ55="","",'Raw Data'!CQ55)</f>
        <v/>
      </c>
      <c r="DD40" s="15" t="str">
        <f>IF('Raw Data'!CR55="","",'Raw Data'!CR55)</f>
        <v/>
      </c>
      <c r="DE40" s="15" t="str">
        <f>IF('Raw Data'!CS55="","",'Raw Data'!CS55)</f>
        <v/>
      </c>
      <c r="DF40" s="15" t="str">
        <f>IF('Raw Data'!CT55="","",'Raw Data'!CT55)</f>
        <v/>
      </c>
      <c r="DG40" s="15" t="str">
        <f>IF('Raw Data'!CU55="","",'Raw Data'!CU55)</f>
        <v/>
      </c>
      <c r="DH40" s="15" t="str">
        <f>IF('Raw Data'!CV55="","",'Raw Data'!CV55)</f>
        <v/>
      </c>
      <c r="DI40" s="15" t="str">
        <f>IF('Raw Data'!CW55="","",'Raw Data'!CW55)</f>
        <v/>
      </c>
      <c r="DJ40" s="15" t="str">
        <f>IF('Raw Data'!CX55="","",'Raw Data'!CX55)</f>
        <v/>
      </c>
      <c r="DK40" s="15" t="str">
        <f>IF('Raw Data'!CY55="","",'Raw Data'!CY55)</f>
        <v/>
      </c>
      <c r="DL40" s="15" t="str">
        <f>IF('Raw Data'!CZ55="","",'Raw Data'!CZ55)</f>
        <v/>
      </c>
      <c r="DM40" s="15" t="str">
        <f>IF('Raw Data'!DA55="","",'Raw Data'!DA55)</f>
        <v/>
      </c>
      <c r="DN40" s="15" t="str">
        <f>IF('Raw Data'!DB55="","",'Raw Data'!DB55)</f>
        <v/>
      </c>
      <c r="DO40" s="15" t="str">
        <f>IF('Raw Data'!DC55="","",'Raw Data'!DC55)</f>
        <v/>
      </c>
      <c r="DP40" s="15" t="str">
        <f>IF('Raw Data'!DD55="","",'Raw Data'!DD55)</f>
        <v/>
      </c>
      <c r="DQ40" s="15" t="str">
        <f>IF('Raw Data'!DE55="","",'Raw Data'!DE55)</f>
        <v/>
      </c>
      <c r="DR40" s="15" t="str">
        <f>IF('Raw Data'!DF55="","",'Raw Data'!DF55)</f>
        <v/>
      </c>
      <c r="DS40" s="15" t="str">
        <f>IF('Raw Data'!DG55="","",'Raw Data'!DG55)</f>
        <v/>
      </c>
      <c r="DT40" s="15" t="str">
        <f>IF('Raw Data'!DH55="","",'Raw Data'!DH55)</f>
        <v/>
      </c>
      <c r="DU40" s="15" t="str">
        <f>IF('Raw Data'!DI55="","",'Raw Data'!DI55)</f>
        <v/>
      </c>
      <c r="DV40" s="15" t="str">
        <f>IF('Raw Data'!DJ55="","",'Raw Data'!DJ55)</f>
        <v/>
      </c>
      <c r="DW40" s="15" t="str">
        <f>IF('Raw Data'!DK55="","",'Raw Data'!DK55)</f>
        <v/>
      </c>
      <c r="DX40" s="15" t="str">
        <f>IF('Raw Data'!DL55="","",'Raw Data'!DL55)</f>
        <v/>
      </c>
      <c r="DY40" s="15" t="str">
        <f>IF('Raw Data'!DM55="","",'Raw Data'!DM55)</f>
        <v/>
      </c>
      <c r="DZ40" s="15" t="str">
        <f>IF('Raw Data'!DN55="","",'Raw Data'!DN55)</f>
        <v/>
      </c>
      <c r="EA40" s="15" t="str">
        <f>IF('Raw Data'!DO55="","",'Raw Data'!DO55)</f>
        <v/>
      </c>
      <c r="EB40" s="15" t="str">
        <f>IF('Raw Data'!DP55="","",'Raw Data'!DP55)</f>
        <v/>
      </c>
      <c r="EC40" s="15" t="str">
        <f>IF('Raw Data'!DQ55="","",'Raw Data'!DQ55)</f>
        <v/>
      </c>
      <c r="ED40" s="15" t="str">
        <f>IF('Raw Data'!DR55="","",'Raw Data'!DR55)</f>
        <v/>
      </c>
      <c r="EE40" s="15" t="str">
        <f>IF('Raw Data'!DS55="","",'Raw Data'!DS55)</f>
        <v/>
      </c>
      <c r="EF40" s="15" t="str">
        <f>IF('Raw Data'!DT55="","",'Raw Data'!DT55)</f>
        <v/>
      </c>
      <c r="EG40" s="15" t="str">
        <f>IF('Raw Data'!DU55="","",'Raw Data'!DU55)</f>
        <v/>
      </c>
      <c r="EH40" s="15" t="str">
        <f>IF('Raw Data'!DV55="","",'Raw Data'!DV55)</f>
        <v/>
      </c>
      <c r="EI40" s="15" t="str">
        <f>IF('Raw Data'!DW55="","",'Raw Data'!DW55)</f>
        <v/>
      </c>
      <c r="EJ40" s="15" t="str">
        <f>IF('Raw Data'!DX55="","",'Raw Data'!DX55)</f>
        <v/>
      </c>
      <c r="EK40" s="15" t="str">
        <f>IF('Raw Data'!DY55="","",'Raw Data'!DY55)</f>
        <v/>
      </c>
      <c r="EL40" s="15" t="str">
        <f>IF('Raw Data'!DZ55="","",'Raw Data'!DZ55)</f>
        <v>dplct_abords_com</v>
      </c>
      <c r="EM40" s="15" t="str">
        <f>IF('Raw Data'!EA55="","",'Raw Data'!EA55)</f>
        <v>1</v>
      </c>
      <c r="EN40" s="15" t="str">
        <f>IF('Raw Data'!EB55="","",'Raw Data'!EB55)</f>
        <v>0</v>
      </c>
      <c r="EO40" s="15" t="str">
        <f>IF('Raw Data'!EC55="","",'Raw Data'!EC55)</f>
        <v>0</v>
      </c>
      <c r="EP40" s="15" t="str">
        <f>IF('Raw Data'!ED55="","",'Raw Data'!ED55)</f>
        <v>0</v>
      </c>
      <c r="EQ40" s="15" t="str">
        <f>IF('Raw Data'!EE55="","",'Raw Data'!EE55)</f>
        <v>0</v>
      </c>
      <c r="ER40" s="15" t="str">
        <f>IF('Raw Data'!EF55="","",'Raw Data'!EF55)</f>
        <v>0</v>
      </c>
      <c r="ES40" s="15" t="str">
        <f>IF('Raw Data'!EG55="","",'Raw Data'!EG55)</f>
        <v>0</v>
      </c>
      <c r="ET40" s="15" t="str">
        <f>IF('Raw Data'!EH55="","",'Raw Data'!EH55)</f>
        <v>0</v>
      </c>
      <c r="EU40" s="15" t="str">
        <f>IF('Raw Data'!EI55="","",'Raw Data'!EI55)</f>
        <v>0</v>
      </c>
      <c r="EV40" s="15" t="str">
        <f>IF('Raw Data'!EJ55="","",'Raw Data'!EJ55)</f>
        <v/>
      </c>
      <c r="EW40" s="15" t="str">
        <f>IF('Raw Data'!EK55="","",'Raw Data'!EK55)</f>
        <v/>
      </c>
      <c r="EX40" s="15" t="str">
        <f>IF('Raw Data'!EL55="","",'Raw Data'!EL55)</f>
        <v>Ne_sait_pas</v>
      </c>
      <c r="EY40" s="15" t="str">
        <f>IF('Raw Data'!EM55="","",'Raw Data'!EM55)</f>
        <v>0</v>
      </c>
      <c r="EZ40" s="15" t="str">
        <f>IF('Raw Data'!EN55="","",'Raw Data'!EN55)</f>
        <v>0</v>
      </c>
      <c r="FA40" s="15" t="str">
        <f>IF('Raw Data'!EO55="","",'Raw Data'!EO55)</f>
        <v>0</v>
      </c>
      <c r="FB40" s="15" t="str">
        <f>IF('Raw Data'!EP55="","",'Raw Data'!EP55)</f>
        <v>0</v>
      </c>
      <c r="FC40" s="15" t="str">
        <f>IF('Raw Data'!EQ55="","",'Raw Data'!EQ55)</f>
        <v>0</v>
      </c>
      <c r="FD40" s="15" t="str">
        <f>IF('Raw Data'!ER55="","",'Raw Data'!ER55)</f>
        <v>0</v>
      </c>
      <c r="FE40" s="15" t="str">
        <f>IF('Raw Data'!ES55="","",'Raw Data'!ES55)</f>
        <v>0</v>
      </c>
      <c r="FF40" s="15" t="str">
        <f>IF('Raw Data'!ET55="","",'Raw Data'!ET55)</f>
        <v>0</v>
      </c>
      <c r="FG40" s="15" t="str">
        <f>IF('Raw Data'!EU55="","",'Raw Data'!EU55)</f>
        <v>1</v>
      </c>
      <c r="FH40" s="15" t="str">
        <f>IF('Raw Data'!EV55="","",'Raw Data'!EV55)</f>
        <v>0</v>
      </c>
      <c r="FI40" s="15" t="str">
        <f>IF('Raw Data'!EW55="","",'Raw Data'!EW55)</f>
        <v/>
      </c>
      <c r="FJ40" s="15" t="str">
        <f>IF('Raw Data'!EX55="","",'Raw Data'!EX55)</f>
        <v>oui</v>
      </c>
      <c r="FK40" s="15" t="str">
        <f>IF('Raw Data'!EY55="","",'Raw Data'!EY55)</f>
        <v>Radio_television Chef_village</v>
      </c>
      <c r="FL40" s="15" t="str">
        <f>IF('Raw Data'!EZ55="","",'Raw Data'!EZ55)</f>
        <v>1</v>
      </c>
      <c r="FM40" s="15" t="str">
        <f>IF('Raw Data'!FA55="","",'Raw Data'!FA55)</f>
        <v>0</v>
      </c>
      <c r="FN40" s="15" t="str">
        <f>IF('Raw Data'!FB55="","",'Raw Data'!FB55)</f>
        <v>0</v>
      </c>
      <c r="FO40" s="15" t="str">
        <f>IF('Raw Data'!FC55="","",'Raw Data'!FC55)</f>
        <v>0</v>
      </c>
      <c r="FP40" s="15" t="str">
        <f>IF('Raw Data'!FD55="","",'Raw Data'!FD55)</f>
        <v>1</v>
      </c>
      <c r="FQ40" s="15" t="str">
        <f>IF('Raw Data'!FE55="","",'Raw Data'!FE55)</f>
        <v>0</v>
      </c>
      <c r="FR40" s="15" t="str">
        <f>IF('Raw Data'!FF55="","",'Raw Data'!FF55)</f>
        <v>0</v>
      </c>
      <c r="FS40" s="15" t="str">
        <f>IF('Raw Data'!FG55="","",'Raw Data'!FG55)</f>
        <v>0</v>
      </c>
      <c r="FT40" s="15" t="str">
        <f>IF('Raw Data'!FH55="","",'Raw Data'!FH55)</f>
        <v>0</v>
      </c>
      <c r="FU40" s="15" t="str">
        <f>IF('Raw Data'!FI55="","",'Raw Data'!FI55)</f>
        <v>0</v>
      </c>
      <c r="FV40" s="15" t="str">
        <f>IF('Raw Data'!FJ55="","",'Raw Data'!FJ55)</f>
        <v>0</v>
      </c>
      <c r="FW40" s="15" t="str">
        <f>IF('Raw Data'!FK55="","",'Raw Data'!FK55)</f>
        <v>0</v>
      </c>
      <c r="FX40" s="15" t="str">
        <f>IF('Raw Data'!FL55="","",'Raw Data'!FL55)</f>
        <v>0</v>
      </c>
      <c r="FY40" s="15" t="str">
        <f>IF('Raw Data'!FM55="","",'Raw Data'!FM55)</f>
        <v>0</v>
      </c>
      <c r="FZ40" s="15" t="str">
        <f>IF('Raw Data'!FN55="","",'Raw Data'!FN55)</f>
        <v/>
      </c>
      <c r="GA40" s="15" t="str">
        <f>IF('Raw Data'!FO55="","",'Raw Data'!FO55)</f>
        <v>oui_majorite</v>
      </c>
      <c r="GB40" s="15" t="str">
        <f>IF('Raw Data'!FP55="","",'Raw Data'!FP55)</f>
        <v>oui_majorite</v>
      </c>
      <c r="GC40" s="15" t="str">
        <f>IF('Raw Data'!FQ55="","",'Raw Data'!FQ55)</f>
        <v>manque_info</v>
      </c>
      <c r="GD40" s="15" t="str">
        <f>IF('Raw Data'!FR55="","",'Raw Data'!FR55)</f>
        <v>0</v>
      </c>
      <c r="GE40" s="15" t="str">
        <f>IF('Raw Data'!FS55="","",'Raw Data'!FS55)</f>
        <v>1</v>
      </c>
      <c r="GF40" s="15" t="str">
        <f>IF('Raw Data'!FT55="","",'Raw Data'!FT55)</f>
        <v>0</v>
      </c>
      <c r="GG40" s="15" t="str">
        <f>IF('Raw Data'!FU55="","",'Raw Data'!FU55)</f>
        <v>0</v>
      </c>
      <c r="GH40" s="15" t="str">
        <f>IF('Raw Data'!FV55="","",'Raw Data'!FV55)</f>
        <v>0</v>
      </c>
      <c r="GI40" s="15" t="str">
        <f>IF('Raw Data'!FW55="","",'Raw Data'!FW55)</f>
        <v>0</v>
      </c>
      <c r="GJ40" s="15" t="str">
        <f>IF('Raw Data'!FX55="","",'Raw Data'!FX55)</f>
        <v>0</v>
      </c>
      <c r="GK40" s="15" t="str">
        <f>IF('Raw Data'!FY55="","",'Raw Data'!FY55)</f>
        <v>0</v>
      </c>
      <c r="GL40" s="15" t="str">
        <f>IF('Raw Data'!FZ55="","",'Raw Data'!FZ55)</f>
        <v/>
      </c>
      <c r="GM40" s="15" t="str">
        <f>IF('Raw Data'!GA55="","",'Raw Data'!GA55)</f>
        <v>majorite</v>
      </c>
      <c r="GN40" s="15" t="str">
        <f>IF('Raw Data'!GB55="","",'Raw Data'!GB55)</f>
        <v>majorite</v>
      </c>
      <c r="GO40" s="15" t="str">
        <f>IF('Raw Data'!GC55="","",'Raw Data'!GC55)</f>
        <v>Autre</v>
      </c>
      <c r="GP40" s="15" t="str">
        <f>IF('Raw Data'!GD55="","",'Raw Data'!GD55)</f>
        <v>0</v>
      </c>
      <c r="GQ40" s="15" t="str">
        <f>IF('Raw Data'!GE55="","",'Raw Data'!GE55)</f>
        <v>0</v>
      </c>
      <c r="GR40" s="15" t="str">
        <f>IF('Raw Data'!GF55="","",'Raw Data'!GF55)</f>
        <v>0</v>
      </c>
      <c r="GS40" s="15" t="str">
        <f>IF('Raw Data'!GG55="","",'Raw Data'!GG55)</f>
        <v>0</v>
      </c>
      <c r="GT40" s="15" t="str">
        <f>IF('Raw Data'!GH55="","",'Raw Data'!GH55)</f>
        <v>0</v>
      </c>
      <c r="GU40" s="15" t="str">
        <f>IF('Raw Data'!GI55="","",'Raw Data'!GI55)</f>
        <v>0</v>
      </c>
      <c r="GV40" s="15" t="str">
        <f>IF('Raw Data'!GJ55="","",'Raw Data'!GJ55)</f>
        <v>0</v>
      </c>
      <c r="GW40" s="15" t="str">
        <f>IF('Raw Data'!GK55="","",'Raw Data'!GK55)</f>
        <v>1</v>
      </c>
      <c r="GX40" s="15" t="str">
        <f>IF('Raw Data'!GL55="","",'Raw Data'!GL55)</f>
        <v>0</v>
      </c>
      <c r="GY40" s="15" t="str">
        <f>IF('Raw Data'!GM55="","",'Raw Data'!GM55)</f>
        <v xml:space="preserve">Chef de village </v>
      </c>
      <c r="GZ40" s="15" t="str">
        <f>IF('Raw Data'!GN55="","",'Raw Data'!GN55)</f>
        <v>oui_ensemble</v>
      </c>
      <c r="HA40" s="15" t="str">
        <f>IF('Raw Data'!GO55="","",'Raw Data'!GO55)</f>
        <v>oui_ensemble</v>
      </c>
      <c r="HB40" s="15" t="str">
        <f>IF('Raw Data'!GP55="","",'Raw Data'!GP55)</f>
        <v>amelioration_futur permet_eviter_conflits</v>
      </c>
      <c r="HC40" s="15" t="str">
        <f>IF('Raw Data'!GQ55="","",'Raw Data'!GQ55)</f>
        <v>1</v>
      </c>
      <c r="HD40" s="15" t="str">
        <f>IF('Raw Data'!GR55="","",'Raw Data'!GR55)</f>
        <v>0</v>
      </c>
      <c r="HE40" s="15" t="str">
        <f>IF('Raw Data'!GS55="","",'Raw Data'!GS55)</f>
        <v>0</v>
      </c>
      <c r="HF40" s="15" t="str">
        <f>IF('Raw Data'!GT55="","",'Raw Data'!GT55)</f>
        <v>1</v>
      </c>
      <c r="HG40" s="15" t="str">
        <f>IF('Raw Data'!GU55="","",'Raw Data'!GU55)</f>
        <v>0</v>
      </c>
      <c r="HH40" s="15" t="str">
        <f>IF('Raw Data'!GV55="","",'Raw Data'!GV55)</f>
        <v>0</v>
      </c>
      <c r="HI40" s="15" t="str">
        <f>IF('Raw Data'!GW55="","",'Raw Data'!GW55)</f>
        <v>0</v>
      </c>
      <c r="HJ40" s="15" t="str">
        <f>IF('Raw Data'!GX55="","",'Raw Data'!GX55)</f>
        <v>0</v>
      </c>
      <c r="HK40" s="15" t="str">
        <f>IF('Raw Data'!GY55="","",'Raw Data'!GY55)</f>
        <v/>
      </c>
      <c r="HL40" s="31"/>
      <c r="HM40" s="31"/>
      <c r="HN40" s="31"/>
      <c r="HO40" s="31"/>
      <c r="HP40" s="31"/>
      <c r="HQ40" s="31"/>
      <c r="HR40" s="31"/>
      <c r="HS40" s="31"/>
      <c r="HT40" s="15" t="str">
        <f>IF('Raw Data'!HH55="","",'Raw Data'!HH55)</f>
        <v/>
      </c>
      <c r="HU40" s="15" t="str">
        <f>IF('Raw Data'!HI55="","",'Raw Data'!HI55)</f>
        <v>non</v>
      </c>
      <c r="HV40" s="15" t="str">
        <f>IF('Raw Data'!HJ55="","",'Raw Data'!HJ55)</f>
        <v/>
      </c>
      <c r="HW40" s="15" t="str">
        <f>IF('Raw Data'!HK55="","",'Raw Data'!HK55)</f>
        <v/>
      </c>
      <c r="HX40" s="15" t="str">
        <f>IF('Raw Data'!HL55="","",'Raw Data'!HL55)</f>
        <v/>
      </c>
      <c r="HY40" s="15" t="str">
        <f>IF('Raw Data'!HM55="","",'Raw Data'!HM55)</f>
        <v/>
      </c>
      <c r="HZ40" s="15" t="str">
        <f>IF('Raw Data'!HN55="","",'Raw Data'!HN55)</f>
        <v/>
      </c>
      <c r="IA40" s="15" t="str">
        <f>IF('Raw Data'!HO55="","",'Raw Data'!HO55)</f>
        <v/>
      </c>
      <c r="IB40" s="15" t="str">
        <f>IF('Raw Data'!HP55="","",'Raw Data'!HP55)</f>
        <v/>
      </c>
      <c r="IC40" s="15" t="str">
        <f>IF('Raw Data'!HQ55="","",'Raw Data'!HQ55)</f>
        <v/>
      </c>
      <c r="ID40" s="15" t="str">
        <f>IF('Raw Data'!HR55="","",'Raw Data'!HR55)</f>
        <v/>
      </c>
      <c r="IE40" s="15" t="str">
        <f>IF('Raw Data'!HS55="","",'Raw Data'!HS55)</f>
        <v/>
      </c>
      <c r="IF40" s="15" t="str">
        <f>IF('Raw Data'!HT55="","",'Raw Data'!HT55)</f>
        <v/>
      </c>
      <c r="IG40" s="15" t="str">
        <f>IF('Raw Data'!HU55="","",'Raw Data'!HU55)</f>
        <v/>
      </c>
      <c r="IH40" s="15" t="str">
        <f>IF('Raw Data'!HV55="","",'Raw Data'!HV55)</f>
        <v>oui</v>
      </c>
      <c r="II40" s="15" t="str">
        <f>IF('Raw Data'!HW55="","",'Raw Data'!HW55)</f>
        <v/>
      </c>
      <c r="IJ40" s="15" t="str">
        <f>IF('Raw Data'!HX55="","",'Raw Data'!HX55)</f>
        <v/>
      </c>
      <c r="IK40" s="15" t="str">
        <f>IF('Raw Data'!HY55="","",'Raw Data'!HY55)</f>
        <v/>
      </c>
      <c r="IL40" s="15" t="str">
        <f>IF('Raw Data'!HZ55="","",'Raw Data'!HZ55)</f>
        <v/>
      </c>
      <c r="IM40" s="15" t="str">
        <f>IF('Raw Data'!IA55="","",'Raw Data'!IA55)</f>
        <v/>
      </c>
      <c r="IN40" s="15" t="str">
        <f>IF('Raw Data'!IB55="","",'Raw Data'!IB55)</f>
        <v/>
      </c>
      <c r="IO40" s="15" t="str">
        <f>IF('Raw Data'!IC55="","",'Raw Data'!IC55)</f>
        <v/>
      </c>
      <c r="IP40" s="15" t="str">
        <f>IF('Raw Data'!ID55="","",'Raw Data'!ID55)</f>
        <v/>
      </c>
      <c r="IQ40" s="15" t="str">
        <f>IF('Raw Data'!IE55="","",'Raw Data'!IE55)</f>
        <v/>
      </c>
      <c r="IR40" s="15" t="str">
        <f>IF('Raw Data'!IF55="","",'Raw Data'!IF55)</f>
        <v/>
      </c>
      <c r="IS40" s="15" t="str">
        <f>IF('Raw Data'!IG55="","",'Raw Data'!IG55)</f>
        <v/>
      </c>
      <c r="IT40" s="15" t="str">
        <f>IF('Raw Data'!IH55="","",'Raw Data'!IH55)</f>
        <v/>
      </c>
      <c r="IU40" s="15" t="str">
        <f>IF('Raw Data'!II55="","",'Raw Data'!II55)</f>
        <v/>
      </c>
      <c r="IV40" s="15" t="str">
        <f>IF('Raw Data'!IJ55="","",'Raw Data'!IJ55)</f>
        <v/>
      </c>
      <c r="IW40" s="15" t="str">
        <f>IF('Raw Data'!IK55="","",'Raw Data'!IK55)</f>
        <v/>
      </c>
      <c r="IX40" s="15" t="str">
        <f>IF('Raw Data'!IL55="","",'Raw Data'!IL55)</f>
        <v/>
      </c>
      <c r="IY40" s="15" t="str">
        <f>IF('Raw Data'!IM55="","",'Raw Data'!IM55)</f>
        <v/>
      </c>
      <c r="IZ40" s="31"/>
      <c r="JA40" s="31"/>
      <c r="JB40" s="31"/>
      <c r="JC40" s="31"/>
      <c r="JD40" s="31"/>
      <c r="JE40" s="31"/>
      <c r="JF40" s="31"/>
      <c r="JG40" s="31"/>
      <c r="JH40" s="31"/>
      <c r="JI40" s="31"/>
      <c r="JJ40" s="31"/>
      <c r="JK40" s="31"/>
      <c r="JL40" s="15" t="str">
        <f>IF('Raw Data'!IZ55="","",'Raw Data'!IZ55)</f>
        <v/>
      </c>
      <c r="JM40" s="31"/>
      <c r="JN40" s="31"/>
      <c r="JO40" s="31"/>
      <c r="JP40" s="31"/>
      <c r="JQ40" s="31"/>
      <c r="JR40" s="31"/>
      <c r="JS40" s="31"/>
      <c r="JT40" s="31"/>
      <c r="JU40" s="15" t="str">
        <f>IF('Raw Data'!JI55="","",'Raw Data'!JI55)</f>
        <v/>
      </c>
      <c r="JV40" s="15" t="str">
        <f>IF('Raw Data'!JJ55="","",'Raw Data'!JJ55)</f>
        <v/>
      </c>
      <c r="JW40" s="15" t="str">
        <f>IF('Raw Data'!JK55="","",'Raw Data'!JK55)</f>
        <v/>
      </c>
      <c r="JX40" s="15" t="str">
        <f>IF('Raw Data'!JL55="","",'Raw Data'!JL55)</f>
        <v/>
      </c>
      <c r="JY40" s="15" t="str">
        <f>IF('Raw Data'!JM55="","",'Raw Data'!JM55)</f>
        <v/>
      </c>
      <c r="JZ40" s="15" t="str">
        <f>IF('Raw Data'!JN55="","",'Raw Data'!JN55)</f>
        <v/>
      </c>
      <c r="KA40" s="15" t="str">
        <f>IF('Raw Data'!JO55="","",'Raw Data'!JO55)</f>
        <v/>
      </c>
      <c r="KB40" s="15" t="str">
        <f>IF('Raw Data'!JP55="","",'Raw Data'!JP55)</f>
        <v/>
      </c>
      <c r="KC40" s="15" t="str">
        <f>IF('Raw Data'!JQ55="","",'Raw Data'!JQ55)</f>
        <v/>
      </c>
      <c r="KD40" s="15" t="str">
        <f>IF('Raw Data'!JR55="","",'Raw Data'!JR55)</f>
        <v/>
      </c>
      <c r="KE40" s="15" t="str">
        <f>IF('Raw Data'!JS55="","",'Raw Data'!JS55)</f>
        <v/>
      </c>
      <c r="KF40" s="31"/>
      <c r="KG40" s="31"/>
      <c r="KH40" s="31"/>
      <c r="KI40" s="31"/>
      <c r="KJ40" s="31"/>
      <c r="KK40" s="31"/>
      <c r="KL40" s="31"/>
      <c r="KM40" s="31"/>
      <c r="KN40" s="31"/>
      <c r="KO40" s="31"/>
      <c r="KP40" s="15" t="str">
        <f>IF('Raw Data'!KD55="","",'Raw Data'!KD55)</f>
        <v/>
      </c>
      <c r="KQ40" s="15" t="str">
        <f>IF('Raw Data'!KE55="","",'Raw Data'!KE55)</f>
        <v/>
      </c>
      <c r="KR40" s="31"/>
      <c r="KS40" s="15" t="str">
        <f>IF('Raw Data'!KG55="","",'Raw Data'!KG55)</f>
        <v/>
      </c>
      <c r="KT40" s="15" t="str">
        <f>IF('Raw Data'!KH55="","",'Raw Data'!KH55)</f>
        <v/>
      </c>
      <c r="KU40" s="15" t="str">
        <f>IF('Raw Data'!KI55="","",'Raw Data'!KI55)</f>
        <v/>
      </c>
      <c r="KV40" s="15" t="str">
        <f>IF('Raw Data'!KJ55="","",'Raw Data'!KJ55)</f>
        <v/>
      </c>
      <c r="KW40" s="15" t="str">
        <f>IF('Raw Data'!KK55="","",'Raw Data'!KK55)</f>
        <v/>
      </c>
      <c r="KX40" s="15" t="str">
        <f>IF('Raw Data'!KL55="","",'Raw Data'!KL55)</f>
        <v/>
      </c>
      <c r="KY40" s="15" t="str">
        <f>IF('Raw Data'!KM55="","",'Raw Data'!KM55)</f>
        <v/>
      </c>
      <c r="KZ40" s="15" t="str">
        <f>IF('Raw Data'!KN55="","",'Raw Data'!KN55)</f>
        <v/>
      </c>
      <c r="LA40" s="15" t="str">
        <f>IF('Raw Data'!KO55="","",'Raw Data'!KO55)</f>
        <v/>
      </c>
      <c r="LB40" s="15" t="str">
        <f>IF('Raw Data'!KP55="","",'Raw Data'!KP55)</f>
        <v/>
      </c>
      <c r="LC40" s="15" t="str">
        <f>IF('Raw Data'!KQ55="","",'Raw Data'!KQ55)</f>
        <v/>
      </c>
      <c r="LD40" s="15" t="str">
        <f>IF('Raw Data'!KR55="","",'Raw Data'!KR55)</f>
        <v/>
      </c>
      <c r="LE40" s="15" t="str">
        <f>IF('Raw Data'!KS55="","",'Raw Data'!KS55)</f>
        <v/>
      </c>
      <c r="LF40" s="15" t="str">
        <f>IF('Raw Data'!KT55="","",'Raw Data'!KT55)</f>
        <v/>
      </c>
      <c r="LG40" s="15" t="str">
        <f>IF('Raw Data'!KU55="","",'Raw Data'!KU55)</f>
        <v/>
      </c>
      <c r="LH40" s="15" t="str">
        <f>IF('Raw Data'!KV55="","",'Raw Data'!KV55)</f>
        <v/>
      </c>
      <c r="LI40" s="15" t="str">
        <f>IF('Raw Data'!KW55="","",'Raw Data'!KW55)</f>
        <v/>
      </c>
      <c r="LJ40" s="15" t="str">
        <f>IF('Raw Data'!KX55="","",'Raw Data'!KX55)</f>
        <v/>
      </c>
      <c r="LK40" s="15" t="str">
        <f>IF('Raw Data'!KY55="","",'Raw Data'!KY55)</f>
        <v/>
      </c>
      <c r="LL40" s="15" t="str">
        <f>IF('Raw Data'!KZ55="","",'Raw Data'!KZ55)</f>
        <v/>
      </c>
      <c r="LM40" s="15" t="str">
        <f>IF('Raw Data'!LA55="","",'Raw Data'!LA55)</f>
        <v/>
      </c>
      <c r="LN40" s="31"/>
      <c r="LO40" s="15" t="str">
        <f>IF('Raw Data'!LC55="","",'Raw Data'!LC55)</f>
        <v/>
      </c>
      <c r="LP40" s="15" t="str">
        <f>IF('Raw Data'!LD55="","",'Raw Data'!LD55)</f>
        <v/>
      </c>
      <c r="LQ40" s="15" t="str">
        <f>IF('Raw Data'!LE55="","",'Raw Data'!LE55)</f>
        <v/>
      </c>
      <c r="LR40" s="15" t="str">
        <f>IF('Raw Data'!LF55="","",'Raw Data'!LF55)</f>
        <v/>
      </c>
      <c r="LS40" s="15" t="str">
        <f>IF('Raw Data'!LG55="","",'Raw Data'!LG55)</f>
        <v/>
      </c>
      <c r="LT40" s="15" t="str">
        <f>IF('Raw Data'!LH55="","",'Raw Data'!LH55)</f>
        <v/>
      </c>
      <c r="LU40" s="15" t="str">
        <f>IF('Raw Data'!LI55="","",'Raw Data'!LI55)</f>
        <v/>
      </c>
      <c r="LV40" s="15" t="str">
        <f>IF('Raw Data'!LJ55="","",'Raw Data'!LJ55)</f>
        <v/>
      </c>
      <c r="LW40" s="15" t="str">
        <f>IF('Raw Data'!LK55="","",'Raw Data'!LK55)</f>
        <v/>
      </c>
      <c r="LX40" s="15" t="str">
        <f>IF('Raw Data'!LL55="","",'Raw Data'!LL55)</f>
        <v/>
      </c>
      <c r="LY40" s="15" t="str">
        <f>IF('Raw Data'!LM55="","",'Raw Data'!LM55)</f>
        <v/>
      </c>
      <c r="LZ40" s="15" t="str">
        <f>IF('Raw Data'!LN55="","",'Raw Data'!LN55)</f>
        <v/>
      </c>
      <c r="MA40" s="15" t="str">
        <f>IF('Raw Data'!LO55="","",'Raw Data'!LO55)</f>
        <v/>
      </c>
      <c r="MB40" s="15" t="str">
        <f>IF('Raw Data'!LP55="","",'Raw Data'!LP55)</f>
        <v>oui</v>
      </c>
      <c r="MC40" s="15" t="str">
        <f>IF('Raw Data'!LQ55="","",'Raw Data'!LQ55)</f>
        <v/>
      </c>
      <c r="MD40" s="15" t="str">
        <f>IF('Raw Data'!LR55="","",'Raw Data'!LR55)</f>
        <v>Être heureux,avoir l'accès aux services de base</v>
      </c>
      <c r="ME40" s="15">
        <f>IF('Raw Data'!LS55="","",'Raw Data'!LS55)</f>
        <v>170583875</v>
      </c>
      <c r="MF40" s="15" t="str">
        <f>IF('Raw Data'!LT55="","",'Raw Data'!LT55)</f>
        <v>cd124284-5b82-4317-b34e-7c1f127b64ca</v>
      </c>
      <c r="MG40" s="15" t="str">
        <f>IF('Raw Data'!LU55="","",'Raw Data'!LU55)</f>
        <v>2021-04-09T08:42:55</v>
      </c>
      <c r="MH40" s="15" t="str">
        <f>IF('Raw Data'!LV55="","",'Raw Data'!LV55)</f>
        <v/>
      </c>
      <c r="MI40" s="15" t="str">
        <f>IF('Raw Data'!LW55="","",'Raw Data'!LW55)</f>
        <v>[]</v>
      </c>
      <c r="MJ40" s="15" t="str">
        <f>IF('Raw Data'!LX55="","",'Raw Data'!LX55)</f>
        <v>submitted_via_web</v>
      </c>
      <c r="MK40" s="15" t="str">
        <f>IF('Raw Data'!LY55="","",'Raw Data'!LY55)</f>
        <v>reach_niger</v>
      </c>
      <c r="ML40" s="15" t="str">
        <f>IF('Raw Data'!LZ55="","",'Raw Data'!LZ55)</f>
        <v/>
      </c>
      <c r="MM40" s="15">
        <f>IF('Raw Data'!MA55="","",'Raw Data'!MA55)</f>
        <v>59</v>
      </c>
    </row>
    <row r="41" spans="1:351" x14ac:dyDescent="0.3">
      <c r="A41" s="26" t="str">
        <f t="shared" si="4"/>
        <v>d755a6c7-c370-401e-8246-e0f206b8d833</v>
      </c>
      <c r="B41" s="26" t="str">
        <f t="shared" si="5"/>
        <v>tondikiwindi</v>
      </c>
      <c r="C41" s="26" t="str">
        <f t="shared" si="6"/>
        <v>H</v>
      </c>
      <c r="D41" s="14" t="str">
        <f>IF('Raw Data'!A56="","",'Raw Data'!A56)</f>
        <v>2021-04-08T13:58:51.231+01:00</v>
      </c>
      <c r="E41" s="14" t="str">
        <f>IF('Raw Data'!B56="","",'Raw Data'!B56)</f>
        <v>2021-04-08T14:32:40.075+01:00</v>
      </c>
      <c r="F41" s="30">
        <v>44294.58253472222</v>
      </c>
      <c r="G41" s="30">
        <v>44294.60601851852</v>
      </c>
      <c r="H41" s="29">
        <f>VLOOKUP(A41,Audit[#All],2,FALSE)</f>
        <v>33.82</v>
      </c>
      <c r="I41" s="29">
        <f>VLOOKUP(A41,Audit[#All],3,FALSE)</f>
        <v>33.75</v>
      </c>
      <c r="J41" s="29">
        <f>VLOOKUP(A41,Audit[#All],4,FALSE)</f>
        <v>30.31</v>
      </c>
      <c r="K41" s="29">
        <f>VLOOKUP(A41,nb_questions[#All],2,FALSE)</f>
        <v>84</v>
      </c>
      <c r="L41" s="29">
        <f t="shared" si="7"/>
        <v>192</v>
      </c>
      <c r="M41" s="14" t="str">
        <f>IF('Raw Data'!C56="","",'Raw Data'!C56)</f>
        <v>2021-04-08</v>
      </c>
      <c r="N41" s="14" t="str">
        <f>IF('Raw Data'!D56="","",'Raw Data'!D56)</f>
        <v/>
      </c>
      <c r="O41" s="14" t="str">
        <f>IF('Raw Data'!E56="","",'Raw Data'!E56)</f>
        <v/>
      </c>
      <c r="P41" s="29" t="str">
        <f>VLOOKUP(A41,code_enqueteurs[#All],3,FALSE)</f>
        <v>H</v>
      </c>
      <c r="Q41" s="29" t="s">
        <v>1652</v>
      </c>
      <c r="R41" s="14" t="str">
        <f>IF('Raw Data'!F56="","",'Raw Data'!F56)</f>
        <v>Homme</v>
      </c>
      <c r="S41" s="15" t="str">
        <f>IF('Raw Data'!G56="","",'Raw Data'!G56)</f>
        <v>ouallam</v>
      </c>
      <c r="T41" s="15" t="str">
        <f>IF('Raw Data'!H56="","",'Raw Data'!H56)</f>
        <v>tondikiwindi</v>
      </c>
      <c r="U41" s="15" t="str">
        <f>IF('Raw Data'!I56="","",'Raw Data'!I56)</f>
        <v>tondikiwindi</v>
      </c>
      <c r="V41" s="15" t="str">
        <f>IF('Raw Data'!J56="","",'Raw Data'!J56)</f>
        <v/>
      </c>
      <c r="W41" s="15" t="str">
        <f>IF('Raw Data'!K56="","",'Raw Data'!K56)</f>
        <v/>
      </c>
      <c r="X41" s="15" t="str">
        <f>IF('Raw Data'!L56="","",'Raw Data'!L56)</f>
        <v/>
      </c>
      <c r="Y41" s="15" t="str">
        <f>IF('Raw Data'!M56="","",'Raw Data'!M56)</f>
        <v/>
      </c>
      <c r="Z41" s="15" t="str">
        <f>IF('Raw Data'!N56="","",'Raw Data'!N56)</f>
        <v/>
      </c>
      <c r="AA41" s="15" t="str">
        <f>IF('Raw Data'!O56="","",'Raw Data'!O56)</f>
        <v/>
      </c>
      <c r="AB41" s="15" t="str">
        <f>IF('Raw Data'!P56="","",'Raw Data'!P56)</f>
        <v/>
      </c>
      <c r="AC41" s="15" t="str">
        <f>IF('Raw Data'!Q56="","",'Raw Data'!Q56)</f>
        <v/>
      </c>
      <c r="AD41" s="15" t="str">
        <f>IF('Raw Data'!R56="","",'Raw Data'!R56)</f>
        <v>Femme</v>
      </c>
      <c r="AE41" s="15" t="str">
        <f>IF('Raw Data'!S56="","",'Raw Data'!S56)</f>
        <v>40</v>
      </c>
      <c r="AF41" s="15" t="str">
        <f>IF('Raw Data'!T56="","",'Raw Data'!T56)</f>
        <v>deplace_interne</v>
      </c>
      <c r="AG41" s="15" t="str">
        <f>IF('Raw Data'!U56="","",'Raw Data'!U56)</f>
        <v/>
      </c>
      <c r="AH41" s="15" t="str">
        <f>IF('Raw Data'!V56="","",'Raw Data'!V56)</f>
        <v/>
      </c>
      <c r="AI41" s="15" t="str">
        <f>IF('Raw Data'!W56="","",'Raw Data'!W56)</f>
        <v/>
      </c>
      <c r="AJ41" s="15" t="str">
        <f>IF('Raw Data'!X56="","",'Raw Data'!X56)</f>
        <v/>
      </c>
      <c r="AK41" s="15" t="str">
        <f>IF('Raw Data'!Y56="","",'Raw Data'!Y56)</f>
        <v/>
      </c>
      <c r="AL41" s="15" t="str">
        <f>IF('Raw Data'!Z56="","",'Raw Data'!Z56)</f>
        <v>niger</v>
      </c>
      <c r="AM41" s="15" t="str">
        <f>IF('Raw Data'!AA56="","",'Raw Data'!AA56)</f>
        <v>tillaberi</v>
      </c>
      <c r="AN41" s="15" t="str">
        <f>IF('Raw Data'!AB56="","",'Raw Data'!AB56)</f>
        <v>ouallam</v>
      </c>
      <c r="AO41" s="15" t="str">
        <f>IF('Raw Data'!AC56="","",'Raw Data'!AC56)</f>
        <v/>
      </c>
      <c r="AP41" s="15" t="str">
        <f>IF('Raw Data'!AD56="","",'Raw Data'!AD56)</f>
        <v/>
      </c>
      <c r="AQ41" s="15" t="str">
        <f>IF('Raw Data'!AE56="","",'Raw Data'!AE56)</f>
        <v/>
      </c>
      <c r="AR41" s="15" t="str">
        <f>IF('Raw Data'!AF56="","",'Raw Data'!AF56)</f>
        <v/>
      </c>
      <c r="AS41" s="15" t="str">
        <f>IF('Raw Data'!AG56="","",'Raw Data'!AG56)</f>
        <v>non</v>
      </c>
      <c r="AT41" s="15" t="str">
        <f>IF('Raw Data'!AH56="","",'Raw Data'!AH56)</f>
        <v/>
      </c>
      <c r="AU41" s="15" t="str">
        <f>IF('Raw Data'!AI56="","",'Raw Data'!AI56)</f>
        <v/>
      </c>
      <c r="AV41" s="15" t="str">
        <f>IF('Raw Data'!AJ56="","",'Raw Data'!AJ56)</f>
        <v/>
      </c>
      <c r="AW41" s="15" t="str">
        <f>IF('Raw Data'!AK56="","",'Raw Data'!AK56)</f>
        <v/>
      </c>
      <c r="AX41" s="15" t="str">
        <f>IF('Raw Data'!AL56="","",'Raw Data'!AL56)</f>
        <v/>
      </c>
      <c r="AY41" s="15" t="str">
        <f>IF('Raw Data'!AM56="","",'Raw Data'!AM56)</f>
        <v/>
      </c>
      <c r="AZ41" s="15" t="str">
        <f>IF('Raw Data'!AN56="","",'Raw Data'!AN56)</f>
        <v/>
      </c>
      <c r="BA41" s="15" t="str">
        <f>IF('Raw Data'!AO56="","",'Raw Data'!AO56)</f>
        <v/>
      </c>
      <c r="BB41" s="15" t="str">
        <f>IF('Raw Data'!AP56="","",'Raw Data'!AP56)</f>
        <v/>
      </c>
      <c r="BC41" s="15" t="str">
        <f>IF('Raw Data'!AQ56="","",'Raw Data'!AQ56)</f>
        <v/>
      </c>
      <c r="BD41" s="15" t="str">
        <f>IF('Raw Data'!AR56="","",'Raw Data'!AR56)</f>
        <v/>
      </c>
      <c r="BE41" s="15" t="str">
        <f>IF('Raw Data'!AS56="","",'Raw Data'!AS56)</f>
        <v/>
      </c>
      <c r="BF41" s="15" t="str">
        <f>IF('Raw Data'!AT56="","",'Raw Data'!AT56)</f>
        <v/>
      </c>
      <c r="BG41" s="15" t="str">
        <f>IF('Raw Data'!AU56="","",'Raw Data'!AU56)</f>
        <v/>
      </c>
      <c r="BH41" s="15" t="str">
        <f>IF('Raw Data'!AV56="","",'Raw Data'!AV56)</f>
        <v/>
      </c>
      <c r="BI41" s="15" t="str">
        <f>IF('Raw Data'!AW56="","",'Raw Data'!AW56)</f>
        <v/>
      </c>
      <c r="BJ41" s="15" t="str">
        <f>IF('Raw Data'!AX56="","",'Raw Data'!AX56)</f>
        <v/>
      </c>
      <c r="BK41" s="15" t="str">
        <f>IF('Raw Data'!AY56="","",'Raw Data'!AY56)</f>
        <v/>
      </c>
      <c r="BL41" s="15" t="str">
        <f>IF('Raw Data'!AZ56="","",'Raw Data'!AZ56)</f>
        <v/>
      </c>
      <c r="BM41" s="15" t="str">
        <f>IF('Raw Data'!BA56="","",'Raw Data'!BA56)</f>
        <v/>
      </c>
      <c r="BN41" s="15" t="str">
        <f>IF('Raw Data'!BB56="","",'Raw Data'!BB56)</f>
        <v/>
      </c>
      <c r="BO41" s="15" t="str">
        <f>IF('Raw Data'!BC56="","",'Raw Data'!BC56)</f>
        <v/>
      </c>
      <c r="BP41" s="15" t="str">
        <f>IF('Raw Data'!BD56="","",'Raw Data'!BD56)</f>
        <v/>
      </c>
      <c r="BQ41" s="15" t="str">
        <f>IF('Raw Data'!BE56="","",'Raw Data'!BE56)</f>
        <v/>
      </c>
      <c r="BR41" s="15" t="str">
        <f>IF('Raw Data'!BF56="","",'Raw Data'!BF56)</f>
        <v/>
      </c>
      <c r="BS41" s="15" t="str">
        <f>IF('Raw Data'!BG56="","",'Raw Data'!BG56)</f>
        <v/>
      </c>
      <c r="BT41" s="15" t="str">
        <f>IF('Raw Data'!BH56="","",'Raw Data'!BH56)</f>
        <v/>
      </c>
      <c r="BU41" s="15" t="str">
        <f>IF('Raw Data'!BI56="","",'Raw Data'!BI56)</f>
        <v/>
      </c>
      <c r="BV41" s="15" t="str">
        <f>IF('Raw Data'!BJ56="","",'Raw Data'!BJ56)</f>
        <v/>
      </c>
      <c r="BW41" s="15" t="str">
        <f>IF('Raw Data'!BK56="","",'Raw Data'!BK56)</f>
        <v/>
      </c>
      <c r="BX41" s="15" t="str">
        <f>IF('Raw Data'!BL56="","",'Raw Data'!BL56)</f>
        <v/>
      </c>
      <c r="BY41" s="15" t="str">
        <f>IF('Raw Data'!BM56="","",'Raw Data'!BM56)</f>
        <v/>
      </c>
      <c r="BZ41" s="15" t="str">
        <f>IF('Raw Data'!BN56="","",'Raw Data'!BN56)</f>
        <v/>
      </c>
      <c r="CA41" s="15" t="str">
        <f>IF('Raw Data'!BO56="","",'Raw Data'!BO56)</f>
        <v/>
      </c>
      <c r="CB41" s="15" t="str">
        <f>IF('Raw Data'!BP56="","",'Raw Data'!BP56)</f>
        <v/>
      </c>
      <c r="CC41" s="15" t="str">
        <f>IF('Raw Data'!BQ56="","",'Raw Data'!BQ56)</f>
        <v>non</v>
      </c>
      <c r="CD41" s="15" t="str">
        <f>IF('Raw Data'!BR56="","",'Raw Data'!BR56)</f>
        <v/>
      </c>
      <c r="CE41" s="15" t="str">
        <f>IF('Raw Data'!BS56="","",'Raw Data'!BS56)</f>
        <v/>
      </c>
      <c r="CF41" s="15" t="str">
        <f>IF('Raw Data'!BT56="","",'Raw Data'!BT56)</f>
        <v/>
      </c>
      <c r="CG41" s="15" t="str">
        <f>IF('Raw Data'!BU56="","",'Raw Data'!BU56)</f>
        <v/>
      </c>
      <c r="CH41" s="15" t="str">
        <f>IF('Raw Data'!BV56="","",'Raw Data'!BV56)</f>
        <v/>
      </c>
      <c r="CI41" s="15" t="str">
        <f>IF('Raw Data'!BW56="","",'Raw Data'!BW56)</f>
        <v/>
      </c>
      <c r="CJ41" s="15" t="str">
        <f>IF('Raw Data'!BX56="","",'Raw Data'!BX56)</f>
        <v/>
      </c>
      <c r="CK41" s="15" t="str">
        <f>IF('Raw Data'!BY56="","",'Raw Data'!BY56)</f>
        <v/>
      </c>
      <c r="CL41" s="15" t="str">
        <f>IF('Raw Data'!BZ56="","",'Raw Data'!BZ56)</f>
        <v/>
      </c>
      <c r="CM41" s="15" t="str">
        <f>IF('Raw Data'!CA56="","",'Raw Data'!CA56)</f>
        <v/>
      </c>
      <c r="CN41" s="15" t="str">
        <f>IF('Raw Data'!CB56="","",'Raw Data'!CB56)</f>
        <v/>
      </c>
      <c r="CO41" s="15" t="str">
        <f>IF('Raw Data'!CC56="","",'Raw Data'!CC56)</f>
        <v/>
      </c>
      <c r="CP41" s="15" t="str">
        <f>IF('Raw Data'!CD56="","",'Raw Data'!CD56)</f>
        <v/>
      </c>
      <c r="CQ41" s="15" t="str">
        <f>IF('Raw Data'!CE56="","",'Raw Data'!CE56)</f>
        <v/>
      </c>
      <c r="CR41" s="15" t="str">
        <f>IF('Raw Data'!CF56="","",'Raw Data'!CF56)</f>
        <v/>
      </c>
      <c r="CS41" s="15" t="str">
        <f>IF('Raw Data'!CG56="","",'Raw Data'!CG56)</f>
        <v/>
      </c>
      <c r="CT41" s="15" t="str">
        <f>IF('Raw Data'!CH56="","",'Raw Data'!CH56)</f>
        <v/>
      </c>
      <c r="CU41" s="15" t="str">
        <f>IF('Raw Data'!CI56="","",'Raw Data'!CI56)</f>
        <v/>
      </c>
      <c r="CV41" s="15" t="str">
        <f>IF('Raw Data'!CJ56="","",'Raw Data'!CJ56)</f>
        <v/>
      </c>
      <c r="CW41" s="15" t="str">
        <f>IF('Raw Data'!CK56="","",'Raw Data'!CK56)</f>
        <v/>
      </c>
      <c r="CX41" s="15" t="str">
        <f>IF('Raw Data'!CL56="","",'Raw Data'!CL56)</f>
        <v/>
      </c>
      <c r="CY41" s="15" t="str">
        <f>IF('Raw Data'!CM56="","",'Raw Data'!CM56)</f>
        <v/>
      </c>
      <c r="CZ41" s="15" t="str">
        <f>IF('Raw Data'!CN56="","",'Raw Data'!CN56)</f>
        <v/>
      </c>
      <c r="DA41" s="15" t="str">
        <f>IF('Raw Data'!CO56="","",'Raw Data'!CO56)</f>
        <v/>
      </c>
      <c r="DB41" s="15" t="str">
        <f>IF('Raw Data'!CP56="","",'Raw Data'!CP56)</f>
        <v/>
      </c>
      <c r="DC41" s="15" t="str">
        <f>IF('Raw Data'!CQ56="","",'Raw Data'!CQ56)</f>
        <v/>
      </c>
      <c r="DD41" s="15" t="str">
        <f>IF('Raw Data'!CR56="","",'Raw Data'!CR56)</f>
        <v/>
      </c>
      <c r="DE41" s="15" t="str">
        <f>IF('Raw Data'!CS56="","",'Raw Data'!CS56)</f>
        <v/>
      </c>
      <c r="DF41" s="15" t="str">
        <f>IF('Raw Data'!CT56="","",'Raw Data'!CT56)</f>
        <v/>
      </c>
      <c r="DG41" s="15" t="str">
        <f>IF('Raw Data'!CU56="","",'Raw Data'!CU56)</f>
        <v/>
      </c>
      <c r="DH41" s="15" t="str">
        <f>IF('Raw Data'!CV56="","",'Raw Data'!CV56)</f>
        <v/>
      </c>
      <c r="DI41" s="15" t="str">
        <f>IF('Raw Data'!CW56="","",'Raw Data'!CW56)</f>
        <v/>
      </c>
      <c r="DJ41" s="15" t="str">
        <f>IF('Raw Data'!CX56="","",'Raw Data'!CX56)</f>
        <v/>
      </c>
      <c r="DK41" s="15" t="str">
        <f>IF('Raw Data'!CY56="","",'Raw Data'!CY56)</f>
        <v/>
      </c>
      <c r="DL41" s="15" t="str">
        <f>IF('Raw Data'!CZ56="","",'Raw Data'!CZ56)</f>
        <v/>
      </c>
      <c r="DM41" s="15" t="str">
        <f>IF('Raw Data'!DA56="","",'Raw Data'!DA56)</f>
        <v/>
      </c>
      <c r="DN41" s="15" t="str">
        <f>IF('Raw Data'!DB56="","",'Raw Data'!DB56)</f>
        <v/>
      </c>
      <c r="DO41" s="15" t="str">
        <f>IF('Raw Data'!DC56="","",'Raw Data'!DC56)</f>
        <v/>
      </c>
      <c r="DP41" s="15" t="str">
        <f>IF('Raw Data'!DD56="","",'Raw Data'!DD56)</f>
        <v/>
      </c>
      <c r="DQ41" s="15" t="str">
        <f>IF('Raw Data'!DE56="","",'Raw Data'!DE56)</f>
        <v/>
      </c>
      <c r="DR41" s="15" t="str">
        <f>IF('Raw Data'!DF56="","",'Raw Data'!DF56)</f>
        <v/>
      </c>
      <c r="DS41" s="15" t="str">
        <f>IF('Raw Data'!DG56="","",'Raw Data'!DG56)</f>
        <v/>
      </c>
      <c r="DT41" s="15" t="str">
        <f>IF('Raw Data'!DH56="","",'Raw Data'!DH56)</f>
        <v/>
      </c>
      <c r="DU41" s="15" t="str">
        <f>IF('Raw Data'!DI56="","",'Raw Data'!DI56)</f>
        <v/>
      </c>
      <c r="DV41" s="15" t="str">
        <f>IF('Raw Data'!DJ56="","",'Raw Data'!DJ56)</f>
        <v/>
      </c>
      <c r="DW41" s="15" t="str">
        <f>IF('Raw Data'!DK56="","",'Raw Data'!DK56)</f>
        <v/>
      </c>
      <c r="DX41" s="15" t="str">
        <f>IF('Raw Data'!DL56="","",'Raw Data'!DL56)</f>
        <v/>
      </c>
      <c r="DY41" s="15" t="str">
        <f>IF('Raw Data'!DM56="","",'Raw Data'!DM56)</f>
        <v/>
      </c>
      <c r="DZ41" s="15" t="str">
        <f>IF('Raw Data'!DN56="","",'Raw Data'!DN56)</f>
        <v/>
      </c>
      <c r="EA41" s="15" t="str">
        <f>IF('Raw Data'!DO56="","",'Raw Data'!DO56)</f>
        <v/>
      </c>
      <c r="EB41" s="15" t="str">
        <f>IF('Raw Data'!DP56="","",'Raw Data'!DP56)</f>
        <v/>
      </c>
      <c r="EC41" s="15" t="str">
        <f>IF('Raw Data'!DQ56="","",'Raw Data'!DQ56)</f>
        <v/>
      </c>
      <c r="ED41" s="15" t="str">
        <f>IF('Raw Data'!DR56="","",'Raw Data'!DR56)</f>
        <v/>
      </c>
      <c r="EE41" s="15" t="str">
        <f>IF('Raw Data'!DS56="","",'Raw Data'!DS56)</f>
        <v/>
      </c>
      <c r="EF41" s="15" t="str">
        <f>IF('Raw Data'!DT56="","",'Raw Data'!DT56)</f>
        <v/>
      </c>
      <c r="EG41" s="15" t="str">
        <f>IF('Raw Data'!DU56="","",'Raw Data'!DU56)</f>
        <v/>
      </c>
      <c r="EH41" s="15" t="str">
        <f>IF('Raw Data'!DV56="","",'Raw Data'!DV56)</f>
        <v/>
      </c>
      <c r="EI41" s="15" t="str">
        <f>IF('Raw Data'!DW56="","",'Raw Data'!DW56)</f>
        <v/>
      </c>
      <c r="EJ41" s="15" t="str">
        <f>IF('Raw Data'!DX56="","",'Raw Data'!DX56)</f>
        <v/>
      </c>
      <c r="EK41" s="15" t="str">
        <f>IF('Raw Data'!DY56="","",'Raw Data'!DY56)</f>
        <v/>
      </c>
      <c r="EL41" s="15" t="str">
        <f>IF('Raw Data'!DZ56="","",'Raw Data'!DZ56)</f>
        <v>dplct_abords_com</v>
      </c>
      <c r="EM41" s="15" t="str">
        <f>IF('Raw Data'!EA56="","",'Raw Data'!EA56)</f>
        <v>1</v>
      </c>
      <c r="EN41" s="15" t="str">
        <f>IF('Raw Data'!EB56="","",'Raw Data'!EB56)</f>
        <v>0</v>
      </c>
      <c r="EO41" s="15" t="str">
        <f>IF('Raw Data'!EC56="","",'Raw Data'!EC56)</f>
        <v>0</v>
      </c>
      <c r="EP41" s="15" t="str">
        <f>IF('Raw Data'!ED56="","",'Raw Data'!ED56)</f>
        <v>0</v>
      </c>
      <c r="EQ41" s="15" t="str">
        <f>IF('Raw Data'!EE56="","",'Raw Data'!EE56)</f>
        <v>0</v>
      </c>
      <c r="ER41" s="15" t="str">
        <f>IF('Raw Data'!EF56="","",'Raw Data'!EF56)</f>
        <v>0</v>
      </c>
      <c r="ES41" s="15" t="str">
        <f>IF('Raw Data'!EG56="","",'Raw Data'!EG56)</f>
        <v>0</v>
      </c>
      <c r="ET41" s="15" t="str">
        <f>IF('Raw Data'!EH56="","",'Raw Data'!EH56)</f>
        <v>0</v>
      </c>
      <c r="EU41" s="15" t="str">
        <f>IF('Raw Data'!EI56="","",'Raw Data'!EI56)</f>
        <v>0</v>
      </c>
      <c r="EV41" s="15" t="str">
        <f>IF('Raw Data'!EJ56="","",'Raw Data'!EJ56)</f>
        <v/>
      </c>
      <c r="EW41" s="15" t="str">
        <f>IF('Raw Data'!EK56="","",'Raw Data'!EK56)</f>
        <v/>
      </c>
      <c r="EX41" s="15" t="str">
        <f>IF('Raw Data'!EL56="","",'Raw Data'!EL56)</f>
        <v>Ne_sait_pas</v>
      </c>
      <c r="EY41" s="15" t="str">
        <f>IF('Raw Data'!EM56="","",'Raw Data'!EM56)</f>
        <v>0</v>
      </c>
      <c r="EZ41" s="15" t="str">
        <f>IF('Raw Data'!EN56="","",'Raw Data'!EN56)</f>
        <v>0</v>
      </c>
      <c r="FA41" s="15" t="str">
        <f>IF('Raw Data'!EO56="","",'Raw Data'!EO56)</f>
        <v>0</v>
      </c>
      <c r="FB41" s="15" t="str">
        <f>IF('Raw Data'!EP56="","",'Raw Data'!EP56)</f>
        <v>0</v>
      </c>
      <c r="FC41" s="15" t="str">
        <f>IF('Raw Data'!EQ56="","",'Raw Data'!EQ56)</f>
        <v>0</v>
      </c>
      <c r="FD41" s="15" t="str">
        <f>IF('Raw Data'!ER56="","",'Raw Data'!ER56)</f>
        <v>0</v>
      </c>
      <c r="FE41" s="15" t="str">
        <f>IF('Raw Data'!ES56="","",'Raw Data'!ES56)</f>
        <v>0</v>
      </c>
      <c r="FF41" s="15" t="str">
        <f>IF('Raw Data'!ET56="","",'Raw Data'!ET56)</f>
        <v>0</v>
      </c>
      <c r="FG41" s="15" t="str">
        <f>IF('Raw Data'!EU56="","",'Raw Data'!EU56)</f>
        <v>1</v>
      </c>
      <c r="FH41" s="15" t="str">
        <f>IF('Raw Data'!EV56="","",'Raw Data'!EV56)</f>
        <v>0</v>
      </c>
      <c r="FI41" s="15" t="str">
        <f>IF('Raw Data'!EW56="","",'Raw Data'!EW56)</f>
        <v/>
      </c>
      <c r="FJ41" s="15" t="str">
        <f>IF('Raw Data'!EX56="","",'Raw Data'!EX56)</f>
        <v>oui</v>
      </c>
      <c r="FK41" s="15" t="str">
        <f>IF('Raw Data'!EY56="","",'Raw Data'!EY56)</f>
        <v>Chef_village</v>
      </c>
      <c r="FL41" s="15" t="str">
        <f>IF('Raw Data'!EZ56="","",'Raw Data'!EZ56)</f>
        <v>0</v>
      </c>
      <c r="FM41" s="15" t="str">
        <f>IF('Raw Data'!FA56="","",'Raw Data'!FA56)</f>
        <v>0</v>
      </c>
      <c r="FN41" s="15" t="str">
        <f>IF('Raw Data'!FB56="","",'Raw Data'!FB56)</f>
        <v>0</v>
      </c>
      <c r="FO41" s="15" t="str">
        <f>IF('Raw Data'!FC56="","",'Raw Data'!FC56)</f>
        <v>0</v>
      </c>
      <c r="FP41" s="15" t="str">
        <f>IF('Raw Data'!FD56="","",'Raw Data'!FD56)</f>
        <v>1</v>
      </c>
      <c r="FQ41" s="15" t="str">
        <f>IF('Raw Data'!FE56="","",'Raw Data'!FE56)</f>
        <v>0</v>
      </c>
      <c r="FR41" s="15" t="str">
        <f>IF('Raw Data'!FF56="","",'Raw Data'!FF56)</f>
        <v>0</v>
      </c>
      <c r="FS41" s="15" t="str">
        <f>IF('Raw Data'!FG56="","",'Raw Data'!FG56)</f>
        <v>0</v>
      </c>
      <c r="FT41" s="15" t="str">
        <f>IF('Raw Data'!FH56="","",'Raw Data'!FH56)</f>
        <v>0</v>
      </c>
      <c r="FU41" s="15" t="str">
        <f>IF('Raw Data'!FI56="","",'Raw Data'!FI56)</f>
        <v>0</v>
      </c>
      <c r="FV41" s="15" t="str">
        <f>IF('Raw Data'!FJ56="","",'Raw Data'!FJ56)</f>
        <v>0</v>
      </c>
      <c r="FW41" s="15" t="str">
        <f>IF('Raw Data'!FK56="","",'Raw Data'!FK56)</f>
        <v>0</v>
      </c>
      <c r="FX41" s="15" t="str">
        <f>IF('Raw Data'!FL56="","",'Raw Data'!FL56)</f>
        <v>0</v>
      </c>
      <c r="FY41" s="15" t="str">
        <f>IF('Raw Data'!FM56="","",'Raw Data'!FM56)</f>
        <v>0</v>
      </c>
      <c r="FZ41" s="15" t="str">
        <f>IF('Raw Data'!FN56="","",'Raw Data'!FN56)</f>
        <v/>
      </c>
      <c r="GA41" s="15" t="str">
        <f>IF('Raw Data'!FO56="","",'Raw Data'!FO56)</f>
        <v>oui_minorite</v>
      </c>
      <c r="GB41" s="15" t="str">
        <f>IF('Raw Data'!FP56="","",'Raw Data'!FP56)</f>
        <v>oui_minorite</v>
      </c>
      <c r="GC41" s="15" t="str">
        <f>IF('Raw Data'!FQ56="","",'Raw Data'!FQ56)</f>
        <v>manque_info</v>
      </c>
      <c r="GD41" s="15" t="str">
        <f>IF('Raw Data'!FR56="","",'Raw Data'!FR56)</f>
        <v>0</v>
      </c>
      <c r="GE41" s="15" t="str">
        <f>IF('Raw Data'!FS56="","",'Raw Data'!FS56)</f>
        <v>1</v>
      </c>
      <c r="GF41" s="15" t="str">
        <f>IF('Raw Data'!FT56="","",'Raw Data'!FT56)</f>
        <v>0</v>
      </c>
      <c r="GG41" s="15" t="str">
        <f>IF('Raw Data'!FU56="","",'Raw Data'!FU56)</f>
        <v>0</v>
      </c>
      <c r="GH41" s="15" t="str">
        <f>IF('Raw Data'!FV56="","",'Raw Data'!FV56)</f>
        <v>0</v>
      </c>
      <c r="GI41" s="15" t="str">
        <f>IF('Raw Data'!FW56="","",'Raw Data'!FW56)</f>
        <v>0</v>
      </c>
      <c r="GJ41" s="15" t="str">
        <f>IF('Raw Data'!FX56="","",'Raw Data'!FX56)</f>
        <v>0</v>
      </c>
      <c r="GK41" s="15" t="str">
        <f>IF('Raw Data'!FY56="","",'Raw Data'!FY56)</f>
        <v>0</v>
      </c>
      <c r="GL41" s="15" t="str">
        <f>IF('Raw Data'!FZ56="","",'Raw Data'!FZ56)</f>
        <v/>
      </c>
      <c r="GM41" s="15" t="str">
        <f>IF('Raw Data'!GA56="","",'Raw Data'!GA56)</f>
        <v>aucun</v>
      </c>
      <c r="GN41" s="15" t="str">
        <f>IF('Raw Data'!GB56="","",'Raw Data'!GB56)</f>
        <v>aucun</v>
      </c>
      <c r="GO41" s="15" t="str">
        <f>IF('Raw Data'!GC56="","",'Raw Data'!GC56)</f>
        <v/>
      </c>
      <c r="GP41" s="15" t="str">
        <f>IF('Raw Data'!GD56="","",'Raw Data'!GD56)</f>
        <v/>
      </c>
      <c r="GQ41" s="15" t="str">
        <f>IF('Raw Data'!GE56="","",'Raw Data'!GE56)</f>
        <v/>
      </c>
      <c r="GR41" s="15" t="str">
        <f>IF('Raw Data'!GF56="","",'Raw Data'!GF56)</f>
        <v/>
      </c>
      <c r="GS41" s="15" t="str">
        <f>IF('Raw Data'!GG56="","",'Raw Data'!GG56)</f>
        <v/>
      </c>
      <c r="GT41" s="15" t="str">
        <f>IF('Raw Data'!GH56="","",'Raw Data'!GH56)</f>
        <v/>
      </c>
      <c r="GU41" s="15" t="str">
        <f>IF('Raw Data'!GI56="","",'Raw Data'!GI56)</f>
        <v/>
      </c>
      <c r="GV41" s="15" t="str">
        <f>IF('Raw Data'!GJ56="","",'Raw Data'!GJ56)</f>
        <v/>
      </c>
      <c r="GW41" s="15" t="str">
        <f>IF('Raw Data'!GK56="","",'Raw Data'!GK56)</f>
        <v/>
      </c>
      <c r="GX41" s="15" t="str">
        <f>IF('Raw Data'!GL56="","",'Raw Data'!GL56)</f>
        <v/>
      </c>
      <c r="GY41" s="15" t="str">
        <f>IF('Raw Data'!GM56="","",'Raw Data'!GM56)</f>
        <v/>
      </c>
      <c r="GZ41" s="15" t="str">
        <f>IF('Raw Data'!GN56="","",'Raw Data'!GN56)</f>
        <v>oui_minorite</v>
      </c>
      <c r="HA41" s="15" t="str">
        <f>IF('Raw Data'!GO56="","",'Raw Data'!GO56)</f>
        <v>oui_minorite</v>
      </c>
      <c r="HB41" s="15" t="str">
        <f>IF('Raw Data'!GP56="","",'Raw Data'!GP56)</f>
        <v>amelioration_futur</v>
      </c>
      <c r="HC41" s="15" t="str">
        <f>IF('Raw Data'!GQ56="","",'Raw Data'!GQ56)</f>
        <v>1</v>
      </c>
      <c r="HD41" s="15" t="str">
        <f>IF('Raw Data'!GR56="","",'Raw Data'!GR56)</f>
        <v>0</v>
      </c>
      <c r="HE41" s="15" t="str">
        <f>IF('Raw Data'!GS56="","",'Raw Data'!GS56)</f>
        <v>0</v>
      </c>
      <c r="HF41" s="15" t="str">
        <f>IF('Raw Data'!GT56="","",'Raw Data'!GT56)</f>
        <v>0</v>
      </c>
      <c r="HG41" s="15" t="str">
        <f>IF('Raw Data'!GU56="","",'Raw Data'!GU56)</f>
        <v>0</v>
      </c>
      <c r="HH41" s="15" t="str">
        <f>IF('Raw Data'!GV56="","",'Raw Data'!GV56)</f>
        <v>0</v>
      </c>
      <c r="HI41" s="15" t="str">
        <f>IF('Raw Data'!GW56="","",'Raw Data'!GW56)</f>
        <v>0</v>
      </c>
      <c r="HJ41" s="15" t="str">
        <f>IF('Raw Data'!GX56="","",'Raw Data'!GX56)</f>
        <v>0</v>
      </c>
      <c r="HK41" s="15" t="str">
        <f>IF('Raw Data'!GY56="","",'Raw Data'!GY56)</f>
        <v/>
      </c>
      <c r="HL41" s="15" t="str">
        <f>IF('Raw Data'!GZ56="","",'Raw Data'!GZ56)</f>
        <v>Autre</v>
      </c>
      <c r="HM41" s="15" t="str">
        <f>IF('Raw Data'!HA56="","",'Raw Data'!HA56)</f>
        <v>0</v>
      </c>
      <c r="HN41" s="15" t="str">
        <f>IF('Raw Data'!HB56="","",'Raw Data'!HB56)</f>
        <v>0</v>
      </c>
      <c r="HO41" s="15" t="str">
        <f>IF('Raw Data'!HC56="","",'Raw Data'!HC56)</f>
        <v>0</v>
      </c>
      <c r="HP41" s="15" t="str">
        <f>IF('Raw Data'!HD56="","",'Raw Data'!HD56)</f>
        <v>0</v>
      </c>
      <c r="HQ41" s="15" t="str">
        <f>IF('Raw Data'!HE56="","",'Raw Data'!HE56)</f>
        <v>1</v>
      </c>
      <c r="HR41" s="15" t="str">
        <f>IF('Raw Data'!HF56="","",'Raw Data'!HF56)</f>
        <v>0</v>
      </c>
      <c r="HS41" s="31" t="s">
        <v>1617</v>
      </c>
      <c r="HT41" s="15" t="str">
        <f>IF('Raw Data'!HH56="","",'Raw Data'!HH56)</f>
        <v/>
      </c>
      <c r="HU41" s="15" t="str">
        <f>IF('Raw Data'!HI56="","",'Raw Data'!HI56)</f>
        <v>non</v>
      </c>
      <c r="HV41" s="15" t="str">
        <f>IF('Raw Data'!HJ56="","",'Raw Data'!HJ56)</f>
        <v/>
      </c>
      <c r="HW41" s="15" t="str">
        <f>IF('Raw Data'!HK56="","",'Raw Data'!HK56)</f>
        <v/>
      </c>
      <c r="HX41" s="15" t="str">
        <f>IF('Raw Data'!HL56="","",'Raw Data'!HL56)</f>
        <v/>
      </c>
      <c r="HY41" s="15" t="str">
        <f>IF('Raw Data'!HM56="","",'Raw Data'!HM56)</f>
        <v/>
      </c>
      <c r="HZ41" s="15" t="str">
        <f>IF('Raw Data'!HN56="","",'Raw Data'!HN56)</f>
        <v/>
      </c>
      <c r="IA41" s="15" t="str">
        <f>IF('Raw Data'!HO56="","",'Raw Data'!HO56)</f>
        <v/>
      </c>
      <c r="IB41" s="15" t="str">
        <f>IF('Raw Data'!HP56="","",'Raw Data'!HP56)</f>
        <v/>
      </c>
      <c r="IC41" s="15" t="str">
        <f>IF('Raw Data'!HQ56="","",'Raw Data'!HQ56)</f>
        <v/>
      </c>
      <c r="ID41" s="15" t="str">
        <f>IF('Raw Data'!HR56="","",'Raw Data'!HR56)</f>
        <v/>
      </c>
      <c r="IE41" s="15" t="str">
        <f>IF('Raw Data'!HS56="","",'Raw Data'!HS56)</f>
        <v/>
      </c>
      <c r="IF41" s="15" t="str">
        <f>IF('Raw Data'!HT56="","",'Raw Data'!HT56)</f>
        <v/>
      </c>
      <c r="IG41" s="15" t="str">
        <f>IF('Raw Data'!HU56="","",'Raw Data'!HU56)</f>
        <v/>
      </c>
      <c r="IH41" s="15" t="str">
        <f>IF('Raw Data'!HV56="","",'Raw Data'!HV56)</f>
        <v>oui</v>
      </c>
      <c r="II41" s="15" t="str">
        <f>IF('Raw Data'!HW56="","",'Raw Data'!HW56)</f>
        <v/>
      </c>
      <c r="IJ41" s="15" t="str">
        <f>IF('Raw Data'!HX56="","",'Raw Data'!HX56)</f>
        <v/>
      </c>
      <c r="IK41" s="15" t="str">
        <f>IF('Raw Data'!HY56="","",'Raw Data'!HY56)</f>
        <v/>
      </c>
      <c r="IL41" s="15" t="str">
        <f>IF('Raw Data'!HZ56="","",'Raw Data'!HZ56)</f>
        <v/>
      </c>
      <c r="IM41" s="15" t="str">
        <f>IF('Raw Data'!IA56="","",'Raw Data'!IA56)</f>
        <v/>
      </c>
      <c r="IN41" s="15" t="str">
        <f>IF('Raw Data'!IB56="","",'Raw Data'!IB56)</f>
        <v/>
      </c>
      <c r="IO41" s="15" t="str">
        <f>IF('Raw Data'!IC56="","",'Raw Data'!IC56)</f>
        <v/>
      </c>
      <c r="IP41" s="15" t="str">
        <f>IF('Raw Data'!ID56="","",'Raw Data'!ID56)</f>
        <v/>
      </c>
      <c r="IQ41" s="15" t="str">
        <f>IF('Raw Data'!IE56="","",'Raw Data'!IE56)</f>
        <v/>
      </c>
      <c r="IR41" s="15" t="str">
        <f>IF('Raw Data'!IF56="","",'Raw Data'!IF56)</f>
        <v/>
      </c>
      <c r="IS41" s="15" t="str">
        <f>IF('Raw Data'!IG56="","",'Raw Data'!IG56)</f>
        <v/>
      </c>
      <c r="IT41" s="15" t="str">
        <f>IF('Raw Data'!IH56="","",'Raw Data'!IH56)</f>
        <v/>
      </c>
      <c r="IU41" s="15" t="str">
        <f>IF('Raw Data'!II56="","",'Raw Data'!II56)</f>
        <v/>
      </c>
      <c r="IV41" s="15" t="str">
        <f>IF('Raw Data'!IJ56="","",'Raw Data'!IJ56)</f>
        <v/>
      </c>
      <c r="IW41" s="15" t="str">
        <f>IF('Raw Data'!IK56="","",'Raw Data'!IK56)</f>
        <v/>
      </c>
      <c r="IX41" s="15" t="str">
        <f>IF('Raw Data'!IL56="","",'Raw Data'!IL56)</f>
        <v/>
      </c>
      <c r="IY41" s="15" t="str">
        <f>IF('Raw Data'!IM56="","",'Raw Data'!IM56)</f>
        <v/>
      </c>
      <c r="IZ41" s="15" t="str">
        <f>IF('Raw Data'!IN56="","",'Raw Data'!IN56)</f>
        <v>2</v>
      </c>
      <c r="JA41" s="15" t="str">
        <f>IF('Raw Data'!IO56="","",'Raw Data'!IO56)</f>
        <v>points_ecoute</v>
      </c>
      <c r="JB41" s="15" t="str">
        <f>IF('Raw Data'!IP56="","",'Raw Data'!IP56)</f>
        <v>0</v>
      </c>
      <c r="JC41" s="15" t="str">
        <f>IF('Raw Data'!IQ56="","",'Raw Data'!IQ56)</f>
        <v>0</v>
      </c>
      <c r="JD41" s="15" t="str">
        <f>IF('Raw Data'!IR56="","",'Raw Data'!IR56)</f>
        <v>0</v>
      </c>
      <c r="JE41" s="15" t="str">
        <f>IF('Raw Data'!IS56="","",'Raw Data'!IS56)</f>
        <v>0</v>
      </c>
      <c r="JF41" s="15" t="str">
        <f>IF('Raw Data'!IT56="","",'Raw Data'!IT56)</f>
        <v>0</v>
      </c>
      <c r="JG41" s="15" t="str">
        <f>IF('Raw Data'!IU56="","",'Raw Data'!IU56)</f>
        <v>0</v>
      </c>
      <c r="JH41" s="15" t="str">
        <f>IF('Raw Data'!IV56="","",'Raw Data'!IV56)</f>
        <v>0</v>
      </c>
      <c r="JI41" s="15" t="str">
        <f>IF('Raw Data'!IW56="","",'Raw Data'!IW56)</f>
        <v>1</v>
      </c>
      <c r="JJ41" s="15" t="str">
        <f>IF('Raw Data'!IX56="","",'Raw Data'!IX56)</f>
        <v>0</v>
      </c>
      <c r="JK41" s="15" t="str">
        <f>IF('Raw Data'!IY56="","",'Raw Data'!IY56)</f>
        <v>0</v>
      </c>
      <c r="JL41" s="15" t="str">
        <f>IF('Raw Data'!IZ56="","",'Raw Data'!IZ56)</f>
        <v/>
      </c>
      <c r="JM41" s="15" t="str">
        <f>IF('Raw Data'!JA56="","",'Raw Data'!JA56)</f>
        <v>signalement</v>
      </c>
      <c r="JN41" s="15" t="str">
        <f>IF('Raw Data'!JB56="","",'Raw Data'!JB56)</f>
        <v>0</v>
      </c>
      <c r="JO41" s="15" t="str">
        <f>IF('Raw Data'!JC56="","",'Raw Data'!JC56)</f>
        <v>0</v>
      </c>
      <c r="JP41" s="15" t="str">
        <f>IF('Raw Data'!JD56="","",'Raw Data'!JD56)</f>
        <v>1</v>
      </c>
      <c r="JQ41" s="15" t="str">
        <f>IF('Raw Data'!JE56="","",'Raw Data'!JE56)</f>
        <v>0</v>
      </c>
      <c r="JR41" s="15" t="str">
        <f>IF('Raw Data'!JF56="","",'Raw Data'!JF56)</f>
        <v>0</v>
      </c>
      <c r="JS41" s="15" t="str">
        <f>IF('Raw Data'!JG56="","",'Raw Data'!JG56)</f>
        <v>0</v>
      </c>
      <c r="JT41" s="15" t="str">
        <f>IF('Raw Data'!JH56="","",'Raw Data'!JH56)</f>
        <v/>
      </c>
      <c r="JU41" s="15" t="str">
        <f>IF('Raw Data'!JI56="","",'Raw Data'!JI56)</f>
        <v/>
      </c>
      <c r="JV41" s="15" t="str">
        <f>IF('Raw Data'!JJ56="","",'Raw Data'!JJ56)</f>
        <v/>
      </c>
      <c r="JW41" s="15" t="str">
        <f>IF('Raw Data'!JK56="","",'Raw Data'!JK56)</f>
        <v/>
      </c>
      <c r="JX41" s="15" t="str">
        <f>IF('Raw Data'!JL56="","",'Raw Data'!JL56)</f>
        <v/>
      </c>
      <c r="JY41" s="15" t="str">
        <f>IF('Raw Data'!JM56="","",'Raw Data'!JM56)</f>
        <v/>
      </c>
      <c r="JZ41" s="15" t="str">
        <f>IF('Raw Data'!JN56="","",'Raw Data'!JN56)</f>
        <v/>
      </c>
      <c r="KA41" s="15" t="str">
        <f>IF('Raw Data'!JO56="","",'Raw Data'!JO56)</f>
        <v/>
      </c>
      <c r="KB41" s="15" t="str">
        <f>IF('Raw Data'!JP56="","",'Raw Data'!JP56)</f>
        <v/>
      </c>
      <c r="KC41" s="15" t="str">
        <f>IF('Raw Data'!JQ56="","",'Raw Data'!JQ56)</f>
        <v/>
      </c>
      <c r="KD41" s="15" t="str">
        <f>IF('Raw Data'!JR56="","",'Raw Data'!JR56)</f>
        <v/>
      </c>
      <c r="KE41" s="15" t="str">
        <f>IF('Raw Data'!JS56="","",'Raw Data'!JS56)</f>
        <v/>
      </c>
      <c r="KF41" s="15" t="str">
        <f>IF('Raw Data'!JT56="","",'Raw Data'!JT56)</f>
        <v>surete point_ecoute</v>
      </c>
      <c r="KG41" s="15" t="str">
        <f>IF('Raw Data'!JU56="","",'Raw Data'!JU56)</f>
        <v>0</v>
      </c>
      <c r="KH41" s="15" t="str">
        <f>IF('Raw Data'!JV56="","",'Raw Data'!JV56)</f>
        <v>0</v>
      </c>
      <c r="KI41" s="15" t="str">
        <f>IF('Raw Data'!JW56="","",'Raw Data'!JW56)</f>
        <v>1</v>
      </c>
      <c r="KJ41" s="15" t="str">
        <f>IF('Raw Data'!JX56="","",'Raw Data'!JX56)</f>
        <v>0</v>
      </c>
      <c r="KK41" s="15" t="str">
        <f>IF('Raw Data'!JY56="","",'Raw Data'!JY56)</f>
        <v>1</v>
      </c>
      <c r="KL41" s="15" t="str">
        <f>IF('Raw Data'!JZ56="","",'Raw Data'!JZ56)</f>
        <v>0</v>
      </c>
      <c r="KM41" s="15" t="str">
        <f>IF('Raw Data'!KA56="","",'Raw Data'!KA56)</f>
        <v>0</v>
      </c>
      <c r="KN41" s="15" t="str">
        <f>IF('Raw Data'!KB56="","",'Raw Data'!KB56)</f>
        <v>0</v>
      </c>
      <c r="KO41" s="15" t="str">
        <f>IF('Raw Data'!KC56="","",'Raw Data'!KC56)</f>
        <v>0</v>
      </c>
      <c r="KP41" s="15" t="str">
        <f>IF('Raw Data'!KD56="","",'Raw Data'!KD56)</f>
        <v/>
      </c>
      <c r="KQ41" s="15" t="str">
        <f>IF('Raw Data'!KE56="","",'Raw Data'!KE56)</f>
        <v/>
      </c>
      <c r="KR41" s="15" t="str">
        <f>IF('Raw Data'!KF56="","",'Raw Data'!KF56)</f>
        <v>ne_sait_pas</v>
      </c>
      <c r="KS41" s="15" t="str">
        <f>IF('Raw Data'!KG56="","",'Raw Data'!KG56)</f>
        <v/>
      </c>
      <c r="KT41" s="15" t="str">
        <f>IF('Raw Data'!KH56="","",'Raw Data'!KH56)</f>
        <v/>
      </c>
      <c r="KU41" s="15" t="str">
        <f>IF('Raw Data'!KI56="","",'Raw Data'!KI56)</f>
        <v/>
      </c>
      <c r="KV41" s="15" t="str">
        <f>IF('Raw Data'!KJ56="","",'Raw Data'!KJ56)</f>
        <v/>
      </c>
      <c r="KW41" s="15" t="str">
        <f>IF('Raw Data'!KK56="","",'Raw Data'!KK56)</f>
        <v/>
      </c>
      <c r="KX41" s="15" t="str">
        <f>IF('Raw Data'!KL56="","",'Raw Data'!KL56)</f>
        <v/>
      </c>
      <c r="KY41" s="15" t="str">
        <f>IF('Raw Data'!KM56="","",'Raw Data'!KM56)</f>
        <v/>
      </c>
      <c r="KZ41" s="15" t="str">
        <f>IF('Raw Data'!KN56="","",'Raw Data'!KN56)</f>
        <v/>
      </c>
      <c r="LA41" s="15" t="str">
        <f>IF('Raw Data'!KO56="","",'Raw Data'!KO56)</f>
        <v/>
      </c>
      <c r="LB41" s="15" t="str">
        <f>IF('Raw Data'!KP56="","",'Raw Data'!KP56)</f>
        <v/>
      </c>
      <c r="LC41" s="15" t="str">
        <f>IF('Raw Data'!KQ56="","",'Raw Data'!KQ56)</f>
        <v/>
      </c>
      <c r="LD41" s="15" t="str">
        <f>IF('Raw Data'!KR56="","",'Raw Data'!KR56)</f>
        <v/>
      </c>
      <c r="LE41" s="15" t="str">
        <f>IF('Raw Data'!KS56="","",'Raw Data'!KS56)</f>
        <v/>
      </c>
      <c r="LF41" s="15" t="str">
        <f>IF('Raw Data'!KT56="","",'Raw Data'!KT56)</f>
        <v/>
      </c>
      <c r="LG41" s="15" t="str">
        <f>IF('Raw Data'!KU56="","",'Raw Data'!KU56)</f>
        <v/>
      </c>
      <c r="LH41" s="15" t="str">
        <f>IF('Raw Data'!KV56="","",'Raw Data'!KV56)</f>
        <v/>
      </c>
      <c r="LI41" s="15" t="str">
        <f>IF('Raw Data'!KW56="","",'Raw Data'!KW56)</f>
        <v/>
      </c>
      <c r="LJ41" s="15" t="str">
        <f>IF('Raw Data'!KX56="","",'Raw Data'!KX56)</f>
        <v/>
      </c>
      <c r="LK41" s="15" t="str">
        <f>IF('Raw Data'!KY56="","",'Raw Data'!KY56)</f>
        <v/>
      </c>
      <c r="LL41" s="15" t="str">
        <f>IF('Raw Data'!KZ56="","",'Raw Data'!KZ56)</f>
        <v/>
      </c>
      <c r="LM41" s="15" t="str">
        <f>IF('Raw Data'!LA56="","",'Raw Data'!LA56)</f>
        <v/>
      </c>
      <c r="LN41" s="15" t="str">
        <f>IF('Raw Data'!LB56="","",'Raw Data'!LB56)</f>
        <v>non</v>
      </c>
      <c r="LO41" s="15" t="str">
        <f>IF('Raw Data'!LC56="","",'Raw Data'!LC56)</f>
        <v/>
      </c>
      <c r="LP41" s="15" t="str">
        <f>IF('Raw Data'!LD56="","",'Raw Data'!LD56)</f>
        <v/>
      </c>
      <c r="LQ41" s="15" t="str">
        <f>IF('Raw Data'!LE56="","",'Raw Data'!LE56)</f>
        <v/>
      </c>
      <c r="LR41" s="15" t="str">
        <f>IF('Raw Data'!LF56="","",'Raw Data'!LF56)</f>
        <v/>
      </c>
      <c r="LS41" s="15" t="str">
        <f>IF('Raw Data'!LG56="","",'Raw Data'!LG56)</f>
        <v/>
      </c>
      <c r="LT41" s="15" t="str">
        <f>IF('Raw Data'!LH56="","",'Raw Data'!LH56)</f>
        <v/>
      </c>
      <c r="LU41" s="15" t="str">
        <f>IF('Raw Data'!LI56="","",'Raw Data'!LI56)</f>
        <v/>
      </c>
      <c r="LV41" s="15" t="str">
        <f>IF('Raw Data'!LJ56="","",'Raw Data'!LJ56)</f>
        <v/>
      </c>
      <c r="LW41" s="15" t="str">
        <f>IF('Raw Data'!LK56="","",'Raw Data'!LK56)</f>
        <v/>
      </c>
      <c r="LX41" s="15" t="str">
        <f>IF('Raw Data'!LL56="","",'Raw Data'!LL56)</f>
        <v/>
      </c>
      <c r="LY41" s="15" t="str">
        <f>IF('Raw Data'!LM56="","",'Raw Data'!LM56)</f>
        <v/>
      </c>
      <c r="LZ41" s="15" t="str">
        <f>IF('Raw Data'!LN56="","",'Raw Data'!LN56)</f>
        <v/>
      </c>
      <c r="MA41" s="15" t="str">
        <f>IF('Raw Data'!LO56="","",'Raw Data'!LO56)</f>
        <v/>
      </c>
      <c r="MB41" s="15" t="str">
        <f>IF('Raw Data'!LP56="","",'Raw Data'!LP56)</f>
        <v>oui</v>
      </c>
      <c r="MC41" s="15" t="str">
        <f>IF('Raw Data'!LQ56="","",'Raw Data'!LQ56)</f>
        <v/>
      </c>
      <c r="MD41" s="15" t="str">
        <f>IF('Raw Data'!LR56="","",'Raw Data'!LR56)</f>
        <v xml:space="preserve">Manger a sa faim,la santé,s'habiller et avoir de l'eau </v>
      </c>
      <c r="ME41" s="15">
        <f>IF('Raw Data'!LS56="","",'Raw Data'!LS56)</f>
        <v>170583888</v>
      </c>
      <c r="MF41" s="15" t="str">
        <f>IF('Raw Data'!LT56="","",'Raw Data'!LT56)</f>
        <v>d755a6c7-c370-401e-8246-e0f206b8d833</v>
      </c>
      <c r="MG41" s="15" t="str">
        <f>IF('Raw Data'!LU56="","",'Raw Data'!LU56)</f>
        <v>2021-04-09T08:43:00</v>
      </c>
      <c r="MH41" s="15" t="str">
        <f>IF('Raw Data'!LV56="","",'Raw Data'!LV56)</f>
        <v/>
      </c>
      <c r="MI41" s="15" t="str">
        <f>IF('Raw Data'!LW56="","",'Raw Data'!LW56)</f>
        <v>[]</v>
      </c>
      <c r="MJ41" s="15" t="str">
        <f>IF('Raw Data'!LX56="","",'Raw Data'!LX56)</f>
        <v>submitted_via_web</v>
      </c>
      <c r="MK41" s="15" t="str">
        <f>IF('Raw Data'!LY56="","",'Raw Data'!LY56)</f>
        <v>reach_niger</v>
      </c>
      <c r="ML41" s="15" t="str">
        <f>IF('Raw Data'!LZ56="","",'Raw Data'!LZ56)</f>
        <v/>
      </c>
      <c r="MM41" s="15">
        <f>IF('Raw Data'!MA56="","",'Raw Data'!MA56)</f>
        <v>60</v>
      </c>
    </row>
    <row r="42" spans="1:351" x14ac:dyDescent="0.3">
      <c r="A42" s="26" t="str">
        <f t="shared" si="4"/>
        <v>7e8e3932-526f-4633-8f11-e1ab80d1435f</v>
      </c>
      <c r="B42" s="26" t="str">
        <f t="shared" si="5"/>
        <v>tondikiwindi</v>
      </c>
      <c r="C42" s="26" t="str">
        <f t="shared" si="6"/>
        <v>H</v>
      </c>
      <c r="D42" s="14" t="str">
        <f>IF('Raw Data'!A48="","",'Raw Data'!A48)</f>
        <v>2021-04-07T12:45:52.334+01:00</v>
      </c>
      <c r="E42" s="14" t="str">
        <f>IF('Raw Data'!B48="","",'Raw Data'!B48)</f>
        <v>2021-04-07T13:27:10.327+01:00</v>
      </c>
      <c r="F42" s="30">
        <v>44293.531851851854</v>
      </c>
      <c r="G42" s="30">
        <v>44293.560532407406</v>
      </c>
      <c r="H42" s="29">
        <f>VLOOKUP(A42,Audit[#All],2,FALSE)</f>
        <v>41.73</v>
      </c>
      <c r="I42" s="29">
        <f>VLOOKUP(A42,Audit[#All],3,FALSE)</f>
        <v>41.25</v>
      </c>
      <c r="J42" s="29">
        <f>VLOOKUP(A42,Audit[#All],4,FALSE)</f>
        <v>36.68</v>
      </c>
      <c r="K42" s="29">
        <f>VLOOKUP(A42,nb_questions[#All],2,FALSE)</f>
        <v>77</v>
      </c>
      <c r="L42" s="29">
        <f t="shared" si="7"/>
        <v>180</v>
      </c>
      <c r="M42" s="14" t="str">
        <f>IF('Raw Data'!C48="","",'Raw Data'!C48)</f>
        <v>2021-04-07</v>
      </c>
      <c r="N42" s="14" t="str">
        <f>IF('Raw Data'!D48="","",'Raw Data'!D48)</f>
        <v/>
      </c>
      <c r="O42" s="14" t="str">
        <f>IF('Raw Data'!E48="","",'Raw Data'!E48)</f>
        <v/>
      </c>
      <c r="P42" s="29" t="str">
        <f>VLOOKUP(A42,code_enqueteurs[#All],3,FALSE)</f>
        <v>H</v>
      </c>
      <c r="Q42" s="29" t="s">
        <v>1652</v>
      </c>
      <c r="R42" s="14" t="str">
        <f>IF('Raw Data'!F48="","",'Raw Data'!F48)</f>
        <v>Homme</v>
      </c>
      <c r="S42" s="15" t="str">
        <f>IF('Raw Data'!G48="","",'Raw Data'!G48)</f>
        <v>ouallam</v>
      </c>
      <c r="T42" s="15" t="str">
        <f>IF('Raw Data'!H48="","",'Raw Data'!H48)</f>
        <v>tondikiwindi</v>
      </c>
      <c r="U42" s="15" t="str">
        <f>IF('Raw Data'!I48="","",'Raw Data'!I48)</f>
        <v>mangaize</v>
      </c>
      <c r="V42" s="15" t="str">
        <f>IF('Raw Data'!J48="","",'Raw Data'!J48)</f>
        <v/>
      </c>
      <c r="W42" s="15" t="str">
        <f>IF('Raw Data'!K48="","",'Raw Data'!K48)</f>
        <v/>
      </c>
      <c r="X42" s="15" t="str">
        <f>IF('Raw Data'!L48="","",'Raw Data'!L48)</f>
        <v/>
      </c>
      <c r="Y42" s="15" t="str">
        <f>IF('Raw Data'!M48="","",'Raw Data'!M48)</f>
        <v/>
      </c>
      <c r="Z42" s="15" t="str">
        <f>IF('Raw Data'!N48="","",'Raw Data'!N48)</f>
        <v/>
      </c>
      <c r="AA42" s="15" t="str">
        <f>IF('Raw Data'!O48="","",'Raw Data'!O48)</f>
        <v/>
      </c>
      <c r="AB42" s="15" t="str">
        <f>IF('Raw Data'!P48="","",'Raw Data'!P48)</f>
        <v/>
      </c>
      <c r="AC42" s="15" t="str">
        <f>IF('Raw Data'!Q48="","",'Raw Data'!Q48)</f>
        <v/>
      </c>
      <c r="AD42" s="15" t="str">
        <f>IF('Raw Data'!R48="","",'Raw Data'!R48)</f>
        <v>Homme</v>
      </c>
      <c r="AE42" s="15" t="str">
        <f>IF('Raw Data'!S48="","",'Raw Data'!S48)</f>
        <v>42</v>
      </c>
      <c r="AF42" s="15" t="str">
        <f>IF('Raw Data'!T48="","",'Raw Data'!T48)</f>
        <v>deplace_interne</v>
      </c>
      <c r="AG42" s="15" t="str">
        <f>IF('Raw Data'!U48="","",'Raw Data'!U48)</f>
        <v/>
      </c>
      <c r="AH42" s="15" t="str">
        <f>IF('Raw Data'!V48="","",'Raw Data'!V48)</f>
        <v/>
      </c>
      <c r="AI42" s="15" t="str">
        <f>IF('Raw Data'!W48="","",'Raw Data'!W48)</f>
        <v/>
      </c>
      <c r="AJ42" s="15" t="str">
        <f>IF('Raw Data'!X48="","",'Raw Data'!X48)</f>
        <v/>
      </c>
      <c r="AK42" s="15" t="str">
        <f>IF('Raw Data'!Y48="","",'Raw Data'!Y48)</f>
        <v/>
      </c>
      <c r="AL42" s="15" t="str">
        <f>IF('Raw Data'!Z48="","",'Raw Data'!Z48)</f>
        <v>niger</v>
      </c>
      <c r="AM42" s="15" t="str">
        <f>IF('Raw Data'!AA48="","",'Raw Data'!AA48)</f>
        <v>tillaberi</v>
      </c>
      <c r="AN42" s="15" t="str">
        <f>IF('Raw Data'!AB48="","",'Raw Data'!AB48)</f>
        <v>ouallam</v>
      </c>
      <c r="AO42" s="15" t="str">
        <f>IF('Raw Data'!AC48="","",'Raw Data'!AC48)</f>
        <v/>
      </c>
      <c r="AP42" s="15" t="str">
        <f>IF('Raw Data'!AD48="","",'Raw Data'!AD48)</f>
        <v/>
      </c>
      <c r="AQ42" s="15" t="str">
        <f>IF('Raw Data'!AE48="","",'Raw Data'!AE48)</f>
        <v/>
      </c>
      <c r="AR42" s="15" t="str">
        <f>IF('Raw Data'!AF48="","",'Raw Data'!AF48)</f>
        <v/>
      </c>
      <c r="AS42" s="15" t="str">
        <f>IF('Raw Data'!AG48="","",'Raw Data'!AG48)</f>
        <v>non</v>
      </c>
      <c r="AT42" s="15" t="str">
        <f>IF('Raw Data'!AH48="","",'Raw Data'!AH48)</f>
        <v/>
      </c>
      <c r="AU42" s="15" t="str">
        <f>IF('Raw Data'!AI48="","",'Raw Data'!AI48)</f>
        <v/>
      </c>
      <c r="AV42" s="15" t="str">
        <f>IF('Raw Data'!AJ48="","",'Raw Data'!AJ48)</f>
        <v/>
      </c>
      <c r="AW42" s="15" t="str">
        <f>IF('Raw Data'!AK48="","",'Raw Data'!AK48)</f>
        <v/>
      </c>
      <c r="AX42" s="15" t="str">
        <f>IF('Raw Data'!AL48="","",'Raw Data'!AL48)</f>
        <v/>
      </c>
      <c r="AY42" s="15" t="str">
        <f>IF('Raw Data'!AM48="","",'Raw Data'!AM48)</f>
        <v/>
      </c>
      <c r="AZ42" s="15" t="str">
        <f>IF('Raw Data'!AN48="","",'Raw Data'!AN48)</f>
        <v/>
      </c>
      <c r="BA42" s="15" t="str">
        <f>IF('Raw Data'!AO48="","",'Raw Data'!AO48)</f>
        <v/>
      </c>
      <c r="BB42" s="15" t="str">
        <f>IF('Raw Data'!AP48="","",'Raw Data'!AP48)</f>
        <v/>
      </c>
      <c r="BC42" s="15" t="str">
        <f>IF('Raw Data'!AQ48="","",'Raw Data'!AQ48)</f>
        <v/>
      </c>
      <c r="BD42" s="15" t="str">
        <f>IF('Raw Data'!AR48="","",'Raw Data'!AR48)</f>
        <v/>
      </c>
      <c r="BE42" s="15" t="str">
        <f>IF('Raw Data'!AS48="","",'Raw Data'!AS48)</f>
        <v/>
      </c>
      <c r="BF42" s="15" t="str">
        <f>IF('Raw Data'!AT48="","",'Raw Data'!AT48)</f>
        <v/>
      </c>
      <c r="BG42" s="15" t="str">
        <f>IF('Raw Data'!AU48="","",'Raw Data'!AU48)</f>
        <v/>
      </c>
      <c r="BH42" s="15" t="str">
        <f>IF('Raw Data'!AV48="","",'Raw Data'!AV48)</f>
        <v/>
      </c>
      <c r="BI42" s="15" t="str">
        <f>IF('Raw Data'!AW48="","",'Raw Data'!AW48)</f>
        <v/>
      </c>
      <c r="BJ42" s="15" t="str">
        <f>IF('Raw Data'!AX48="","",'Raw Data'!AX48)</f>
        <v/>
      </c>
      <c r="BK42" s="15" t="str">
        <f>IF('Raw Data'!AY48="","",'Raw Data'!AY48)</f>
        <v/>
      </c>
      <c r="BL42" s="15" t="str">
        <f>IF('Raw Data'!AZ48="","",'Raw Data'!AZ48)</f>
        <v/>
      </c>
      <c r="BM42" s="15" t="str">
        <f>IF('Raw Data'!BA48="","",'Raw Data'!BA48)</f>
        <v/>
      </c>
      <c r="BN42" s="15" t="str">
        <f>IF('Raw Data'!BB48="","",'Raw Data'!BB48)</f>
        <v/>
      </c>
      <c r="BO42" s="15" t="str">
        <f>IF('Raw Data'!BC48="","",'Raw Data'!BC48)</f>
        <v/>
      </c>
      <c r="BP42" s="15" t="str">
        <f>IF('Raw Data'!BD48="","",'Raw Data'!BD48)</f>
        <v/>
      </c>
      <c r="BQ42" s="15" t="str">
        <f>IF('Raw Data'!BE48="","",'Raw Data'!BE48)</f>
        <v/>
      </c>
      <c r="BR42" s="15" t="str">
        <f>IF('Raw Data'!BF48="","",'Raw Data'!BF48)</f>
        <v/>
      </c>
      <c r="BS42" s="15" t="str">
        <f>IF('Raw Data'!BG48="","",'Raw Data'!BG48)</f>
        <v/>
      </c>
      <c r="BT42" s="15" t="str">
        <f>IF('Raw Data'!BH48="","",'Raw Data'!BH48)</f>
        <v/>
      </c>
      <c r="BU42" s="15" t="str">
        <f>IF('Raw Data'!BI48="","",'Raw Data'!BI48)</f>
        <v/>
      </c>
      <c r="BV42" s="15" t="str">
        <f>IF('Raw Data'!BJ48="","",'Raw Data'!BJ48)</f>
        <v/>
      </c>
      <c r="BW42" s="15" t="str">
        <f>IF('Raw Data'!BK48="","",'Raw Data'!BK48)</f>
        <v/>
      </c>
      <c r="BX42" s="15" t="str">
        <f>IF('Raw Data'!BL48="","",'Raw Data'!BL48)</f>
        <v/>
      </c>
      <c r="BY42" s="15" t="str">
        <f>IF('Raw Data'!BM48="","",'Raw Data'!BM48)</f>
        <v/>
      </c>
      <c r="BZ42" s="15" t="str">
        <f>IF('Raw Data'!BN48="","",'Raw Data'!BN48)</f>
        <v/>
      </c>
      <c r="CA42" s="15" t="str">
        <f>IF('Raw Data'!BO48="","",'Raw Data'!BO48)</f>
        <v/>
      </c>
      <c r="CB42" s="15" t="str">
        <f>IF('Raw Data'!BP48="","",'Raw Data'!BP48)</f>
        <v/>
      </c>
      <c r="CC42" s="15" t="str">
        <f>IF('Raw Data'!BQ48="","",'Raw Data'!BQ48)</f>
        <v>non</v>
      </c>
      <c r="CD42" s="15" t="str">
        <f>IF('Raw Data'!BR48="","",'Raw Data'!BR48)</f>
        <v/>
      </c>
      <c r="CE42" s="15" t="str">
        <f>IF('Raw Data'!BS48="","",'Raw Data'!BS48)</f>
        <v/>
      </c>
      <c r="CF42" s="15" t="str">
        <f>IF('Raw Data'!BT48="","",'Raw Data'!BT48)</f>
        <v/>
      </c>
      <c r="CG42" s="15" t="str">
        <f>IF('Raw Data'!BU48="","",'Raw Data'!BU48)</f>
        <v/>
      </c>
      <c r="CH42" s="15" t="str">
        <f>IF('Raw Data'!BV48="","",'Raw Data'!BV48)</f>
        <v/>
      </c>
      <c r="CI42" s="15" t="str">
        <f>IF('Raw Data'!BW48="","",'Raw Data'!BW48)</f>
        <v/>
      </c>
      <c r="CJ42" s="15" t="str">
        <f>IF('Raw Data'!BX48="","",'Raw Data'!BX48)</f>
        <v/>
      </c>
      <c r="CK42" s="15" t="str">
        <f>IF('Raw Data'!BY48="","",'Raw Data'!BY48)</f>
        <v/>
      </c>
      <c r="CL42" s="15" t="str">
        <f>IF('Raw Data'!BZ48="","",'Raw Data'!BZ48)</f>
        <v/>
      </c>
      <c r="CM42" s="15" t="str">
        <f>IF('Raw Data'!CA48="","",'Raw Data'!CA48)</f>
        <v/>
      </c>
      <c r="CN42" s="15" t="str">
        <f>IF('Raw Data'!CB48="","",'Raw Data'!CB48)</f>
        <v/>
      </c>
      <c r="CO42" s="15" t="str">
        <f>IF('Raw Data'!CC48="","",'Raw Data'!CC48)</f>
        <v/>
      </c>
      <c r="CP42" s="15" t="str">
        <f>IF('Raw Data'!CD48="","",'Raw Data'!CD48)</f>
        <v/>
      </c>
      <c r="CQ42" s="15" t="str">
        <f>IF('Raw Data'!CE48="","",'Raw Data'!CE48)</f>
        <v/>
      </c>
      <c r="CR42" s="15" t="str">
        <f>IF('Raw Data'!CF48="","",'Raw Data'!CF48)</f>
        <v/>
      </c>
      <c r="CS42" s="15" t="str">
        <f>IF('Raw Data'!CG48="","",'Raw Data'!CG48)</f>
        <v/>
      </c>
      <c r="CT42" s="15" t="str">
        <f>IF('Raw Data'!CH48="","",'Raw Data'!CH48)</f>
        <v/>
      </c>
      <c r="CU42" s="15" t="str">
        <f>IF('Raw Data'!CI48="","",'Raw Data'!CI48)</f>
        <v/>
      </c>
      <c r="CV42" s="15" t="str">
        <f>IF('Raw Data'!CJ48="","",'Raw Data'!CJ48)</f>
        <v/>
      </c>
      <c r="CW42" s="15" t="str">
        <f>IF('Raw Data'!CK48="","",'Raw Data'!CK48)</f>
        <v/>
      </c>
      <c r="CX42" s="15" t="str">
        <f>IF('Raw Data'!CL48="","",'Raw Data'!CL48)</f>
        <v/>
      </c>
      <c r="CY42" s="15" t="str">
        <f>IF('Raw Data'!CM48="","",'Raw Data'!CM48)</f>
        <v/>
      </c>
      <c r="CZ42" s="15" t="str">
        <f>IF('Raw Data'!CN48="","",'Raw Data'!CN48)</f>
        <v/>
      </c>
      <c r="DA42" s="15" t="str">
        <f>IF('Raw Data'!CO48="","",'Raw Data'!CO48)</f>
        <v/>
      </c>
      <c r="DB42" s="15" t="str">
        <f>IF('Raw Data'!CP48="","",'Raw Data'!CP48)</f>
        <v/>
      </c>
      <c r="DC42" s="15" t="str">
        <f>IF('Raw Data'!CQ48="","",'Raw Data'!CQ48)</f>
        <v/>
      </c>
      <c r="DD42" s="15" t="str">
        <f>IF('Raw Data'!CR48="","",'Raw Data'!CR48)</f>
        <v/>
      </c>
      <c r="DE42" s="15" t="str">
        <f>IF('Raw Data'!CS48="","",'Raw Data'!CS48)</f>
        <v/>
      </c>
      <c r="DF42" s="15" t="str">
        <f>IF('Raw Data'!CT48="","",'Raw Data'!CT48)</f>
        <v/>
      </c>
      <c r="DG42" s="15" t="str">
        <f>IF('Raw Data'!CU48="","",'Raw Data'!CU48)</f>
        <v/>
      </c>
      <c r="DH42" s="15" t="str">
        <f>IF('Raw Data'!CV48="","",'Raw Data'!CV48)</f>
        <v/>
      </c>
      <c r="DI42" s="15" t="str">
        <f>IF('Raw Data'!CW48="","",'Raw Data'!CW48)</f>
        <v/>
      </c>
      <c r="DJ42" s="15" t="str">
        <f>IF('Raw Data'!CX48="","",'Raw Data'!CX48)</f>
        <v/>
      </c>
      <c r="DK42" s="15" t="str">
        <f>IF('Raw Data'!CY48="","",'Raw Data'!CY48)</f>
        <v/>
      </c>
      <c r="DL42" s="15" t="str">
        <f>IF('Raw Data'!CZ48="","",'Raw Data'!CZ48)</f>
        <v/>
      </c>
      <c r="DM42" s="15" t="str">
        <f>IF('Raw Data'!DA48="","",'Raw Data'!DA48)</f>
        <v/>
      </c>
      <c r="DN42" s="15" t="str">
        <f>IF('Raw Data'!DB48="","",'Raw Data'!DB48)</f>
        <v/>
      </c>
      <c r="DO42" s="15" t="str">
        <f>IF('Raw Data'!DC48="","",'Raw Data'!DC48)</f>
        <v/>
      </c>
      <c r="DP42" s="15" t="str">
        <f>IF('Raw Data'!DD48="","",'Raw Data'!DD48)</f>
        <v/>
      </c>
      <c r="DQ42" s="15" t="str">
        <f>IF('Raw Data'!DE48="","",'Raw Data'!DE48)</f>
        <v/>
      </c>
      <c r="DR42" s="15" t="str">
        <f>IF('Raw Data'!DF48="","",'Raw Data'!DF48)</f>
        <v/>
      </c>
      <c r="DS42" s="15" t="str">
        <f>IF('Raw Data'!DG48="","",'Raw Data'!DG48)</f>
        <v/>
      </c>
      <c r="DT42" s="15" t="str">
        <f>IF('Raw Data'!DH48="","",'Raw Data'!DH48)</f>
        <v/>
      </c>
      <c r="DU42" s="15" t="str">
        <f>IF('Raw Data'!DI48="","",'Raw Data'!DI48)</f>
        <v/>
      </c>
      <c r="DV42" s="15" t="str">
        <f>IF('Raw Data'!DJ48="","",'Raw Data'!DJ48)</f>
        <v/>
      </c>
      <c r="DW42" s="15" t="str">
        <f>IF('Raw Data'!DK48="","",'Raw Data'!DK48)</f>
        <v/>
      </c>
      <c r="DX42" s="15" t="str">
        <f>IF('Raw Data'!DL48="","",'Raw Data'!DL48)</f>
        <v/>
      </c>
      <c r="DY42" s="15" t="str">
        <f>IF('Raw Data'!DM48="","",'Raw Data'!DM48)</f>
        <v/>
      </c>
      <c r="DZ42" s="15" t="str">
        <f>IF('Raw Data'!DN48="","",'Raw Data'!DN48)</f>
        <v/>
      </c>
      <c r="EA42" s="15" t="str">
        <f>IF('Raw Data'!DO48="","",'Raw Data'!DO48)</f>
        <v/>
      </c>
      <c r="EB42" s="15" t="str">
        <f>IF('Raw Data'!DP48="","",'Raw Data'!DP48)</f>
        <v/>
      </c>
      <c r="EC42" s="15" t="str">
        <f>IF('Raw Data'!DQ48="","",'Raw Data'!DQ48)</f>
        <v/>
      </c>
      <c r="ED42" s="15" t="str">
        <f>IF('Raw Data'!DR48="","",'Raw Data'!DR48)</f>
        <v/>
      </c>
      <c r="EE42" s="15" t="str">
        <f>IF('Raw Data'!DS48="","",'Raw Data'!DS48)</f>
        <v/>
      </c>
      <c r="EF42" s="15" t="str">
        <f>IF('Raw Data'!DT48="","",'Raw Data'!DT48)</f>
        <v/>
      </c>
      <c r="EG42" s="15" t="str">
        <f>IF('Raw Data'!DU48="","",'Raw Data'!DU48)</f>
        <v/>
      </c>
      <c r="EH42" s="15" t="str">
        <f>IF('Raw Data'!DV48="","",'Raw Data'!DV48)</f>
        <v/>
      </c>
      <c r="EI42" s="15" t="str">
        <f>IF('Raw Data'!DW48="","",'Raw Data'!DW48)</f>
        <v/>
      </c>
      <c r="EJ42" s="15" t="str">
        <f>IF('Raw Data'!DX48="","",'Raw Data'!DX48)</f>
        <v/>
      </c>
      <c r="EK42" s="15" t="str">
        <f>IF('Raw Data'!DY48="","",'Raw Data'!DY48)</f>
        <v/>
      </c>
      <c r="EL42" s="15" t="str">
        <f>IF('Raw Data'!DZ48="","",'Raw Data'!DZ48)</f>
        <v>dplct_abords_com</v>
      </c>
      <c r="EM42" s="15" t="str">
        <f>IF('Raw Data'!EA48="","",'Raw Data'!EA48)</f>
        <v>1</v>
      </c>
      <c r="EN42" s="15" t="str">
        <f>IF('Raw Data'!EB48="","",'Raw Data'!EB48)</f>
        <v>0</v>
      </c>
      <c r="EO42" s="15" t="str">
        <f>IF('Raw Data'!EC48="","",'Raw Data'!EC48)</f>
        <v>0</v>
      </c>
      <c r="EP42" s="15" t="str">
        <f>IF('Raw Data'!ED48="","",'Raw Data'!ED48)</f>
        <v>0</v>
      </c>
      <c r="EQ42" s="15" t="str">
        <f>IF('Raw Data'!EE48="","",'Raw Data'!EE48)</f>
        <v>0</v>
      </c>
      <c r="ER42" s="15" t="str">
        <f>IF('Raw Data'!EF48="","",'Raw Data'!EF48)</f>
        <v>0</v>
      </c>
      <c r="ES42" s="15" t="str">
        <f>IF('Raw Data'!EG48="","",'Raw Data'!EG48)</f>
        <v>0</v>
      </c>
      <c r="ET42" s="15" t="str">
        <f>IF('Raw Data'!EH48="","",'Raw Data'!EH48)</f>
        <v>0</v>
      </c>
      <c r="EU42" s="15" t="str">
        <f>IF('Raw Data'!EI48="","",'Raw Data'!EI48)</f>
        <v>0</v>
      </c>
      <c r="EV42" s="15" t="str">
        <f>IF('Raw Data'!EJ48="","",'Raw Data'!EJ48)</f>
        <v/>
      </c>
      <c r="EW42" s="15" t="str">
        <f>IF('Raw Data'!EK48="","",'Raw Data'!EK48)</f>
        <v/>
      </c>
      <c r="EX42" s="15" t="str">
        <f>IF('Raw Data'!EL48="","",'Raw Data'!EL48)</f>
        <v>Ne_sait_pas</v>
      </c>
      <c r="EY42" s="15" t="str">
        <f>IF('Raw Data'!EM48="","",'Raw Data'!EM48)</f>
        <v>0</v>
      </c>
      <c r="EZ42" s="15" t="str">
        <f>IF('Raw Data'!EN48="","",'Raw Data'!EN48)</f>
        <v>0</v>
      </c>
      <c r="FA42" s="15" t="str">
        <f>IF('Raw Data'!EO48="","",'Raw Data'!EO48)</f>
        <v>0</v>
      </c>
      <c r="FB42" s="15" t="str">
        <f>IF('Raw Data'!EP48="","",'Raw Data'!EP48)</f>
        <v>0</v>
      </c>
      <c r="FC42" s="15" t="str">
        <f>IF('Raw Data'!EQ48="","",'Raw Data'!EQ48)</f>
        <v>0</v>
      </c>
      <c r="FD42" s="15" t="str">
        <f>IF('Raw Data'!ER48="","",'Raw Data'!ER48)</f>
        <v>0</v>
      </c>
      <c r="FE42" s="15" t="str">
        <f>IF('Raw Data'!ES48="","",'Raw Data'!ES48)</f>
        <v>0</v>
      </c>
      <c r="FF42" s="15" t="str">
        <f>IF('Raw Data'!ET48="","",'Raw Data'!ET48)</f>
        <v>0</v>
      </c>
      <c r="FG42" s="15" t="str">
        <f>IF('Raw Data'!EU48="","",'Raw Data'!EU48)</f>
        <v>1</v>
      </c>
      <c r="FH42" s="15" t="str">
        <f>IF('Raw Data'!EV48="","",'Raw Data'!EV48)</f>
        <v>0</v>
      </c>
      <c r="FI42" s="15" t="str">
        <f>IF('Raw Data'!EW48="","",'Raw Data'!EW48)</f>
        <v/>
      </c>
      <c r="FJ42" s="15" t="str">
        <f>IF('Raw Data'!EX48="","",'Raw Data'!EX48)</f>
        <v>oui</v>
      </c>
      <c r="FK42" s="15" t="str">
        <f>IF('Raw Data'!EY48="","",'Raw Data'!EY48)</f>
        <v>Chef_village</v>
      </c>
      <c r="FL42" s="15" t="str">
        <f>IF('Raw Data'!EZ48="","",'Raw Data'!EZ48)</f>
        <v>0</v>
      </c>
      <c r="FM42" s="15" t="str">
        <f>IF('Raw Data'!FA48="","",'Raw Data'!FA48)</f>
        <v>0</v>
      </c>
      <c r="FN42" s="15" t="str">
        <f>IF('Raw Data'!FB48="","",'Raw Data'!FB48)</f>
        <v>0</v>
      </c>
      <c r="FO42" s="15" t="str">
        <f>IF('Raw Data'!FC48="","",'Raw Data'!FC48)</f>
        <v>0</v>
      </c>
      <c r="FP42" s="15" t="str">
        <f>IF('Raw Data'!FD48="","",'Raw Data'!FD48)</f>
        <v>1</v>
      </c>
      <c r="FQ42" s="15" t="str">
        <f>IF('Raw Data'!FE48="","",'Raw Data'!FE48)</f>
        <v>0</v>
      </c>
      <c r="FR42" s="15" t="str">
        <f>IF('Raw Data'!FF48="","",'Raw Data'!FF48)</f>
        <v>0</v>
      </c>
      <c r="FS42" s="15" t="str">
        <f>IF('Raw Data'!FG48="","",'Raw Data'!FG48)</f>
        <v>0</v>
      </c>
      <c r="FT42" s="15" t="str">
        <f>IF('Raw Data'!FH48="","",'Raw Data'!FH48)</f>
        <v>0</v>
      </c>
      <c r="FU42" s="15" t="str">
        <f>IF('Raw Data'!FI48="","",'Raw Data'!FI48)</f>
        <v>0</v>
      </c>
      <c r="FV42" s="15" t="str">
        <f>IF('Raw Data'!FJ48="","",'Raw Data'!FJ48)</f>
        <v>0</v>
      </c>
      <c r="FW42" s="15" t="str">
        <f>IF('Raw Data'!FK48="","",'Raw Data'!FK48)</f>
        <v>0</v>
      </c>
      <c r="FX42" s="15" t="str">
        <f>IF('Raw Data'!FL48="","",'Raw Data'!FL48)</f>
        <v>0</v>
      </c>
      <c r="FY42" s="15" t="str">
        <f>IF('Raw Data'!FM48="","",'Raw Data'!FM48)</f>
        <v>0</v>
      </c>
      <c r="FZ42" s="15" t="str">
        <f>IF('Raw Data'!FN48="","",'Raw Data'!FN48)</f>
        <v/>
      </c>
      <c r="GA42" s="15" t="str">
        <f>IF('Raw Data'!FO48="","",'Raw Data'!FO48)</f>
        <v>oui_moitie</v>
      </c>
      <c r="GB42" s="15" t="str">
        <f>IF('Raw Data'!FP48="","",'Raw Data'!FP48)</f>
        <v>oui_moitie</v>
      </c>
      <c r="GC42" s="15" t="str">
        <f>IF('Raw Data'!FQ48="","",'Raw Data'!FQ48)</f>
        <v>manque_info</v>
      </c>
      <c r="GD42" s="15" t="str">
        <f>IF('Raw Data'!FR48="","",'Raw Data'!FR48)</f>
        <v>0</v>
      </c>
      <c r="GE42" s="15" t="str">
        <f>IF('Raw Data'!FS48="","",'Raw Data'!FS48)</f>
        <v>1</v>
      </c>
      <c r="GF42" s="15" t="str">
        <f>IF('Raw Data'!FT48="","",'Raw Data'!FT48)</f>
        <v>0</v>
      </c>
      <c r="GG42" s="15" t="str">
        <f>IF('Raw Data'!FU48="","",'Raw Data'!FU48)</f>
        <v>0</v>
      </c>
      <c r="GH42" s="15" t="str">
        <f>IF('Raw Data'!FV48="","",'Raw Data'!FV48)</f>
        <v>0</v>
      </c>
      <c r="GI42" s="15" t="str">
        <f>IF('Raw Data'!FW48="","",'Raw Data'!FW48)</f>
        <v>0</v>
      </c>
      <c r="GJ42" s="15" t="str">
        <f>IF('Raw Data'!FX48="","",'Raw Data'!FX48)</f>
        <v>0</v>
      </c>
      <c r="GK42" s="15" t="str">
        <f>IF('Raw Data'!FY48="","",'Raw Data'!FY48)</f>
        <v>0</v>
      </c>
      <c r="GL42" s="15" t="str">
        <f>IF('Raw Data'!FZ48="","",'Raw Data'!FZ48)</f>
        <v/>
      </c>
      <c r="GM42" s="15" t="str">
        <f>IF('Raw Data'!GA48="","",'Raw Data'!GA48)</f>
        <v>minorite</v>
      </c>
      <c r="GN42" s="15" t="str">
        <f>IF('Raw Data'!GB48="","",'Raw Data'!GB48)</f>
        <v>minorite</v>
      </c>
      <c r="GO42" s="15" t="str">
        <f>IF('Raw Data'!GC48="","",'Raw Data'!GC48)</f>
        <v>Autre</v>
      </c>
      <c r="GP42" s="15" t="str">
        <f>IF('Raw Data'!GD48="","",'Raw Data'!GD48)</f>
        <v>0</v>
      </c>
      <c r="GQ42" s="15" t="str">
        <f>IF('Raw Data'!GE48="","",'Raw Data'!GE48)</f>
        <v>0</v>
      </c>
      <c r="GR42" s="15" t="str">
        <f>IF('Raw Data'!GF48="","",'Raw Data'!GF48)</f>
        <v>0</v>
      </c>
      <c r="GS42" s="15" t="str">
        <f>IF('Raw Data'!GG48="","",'Raw Data'!GG48)</f>
        <v>0</v>
      </c>
      <c r="GT42" s="15" t="str">
        <f>IF('Raw Data'!GH48="","",'Raw Data'!GH48)</f>
        <v>0</v>
      </c>
      <c r="GU42" s="15" t="str">
        <f>IF('Raw Data'!GI48="","",'Raw Data'!GI48)</f>
        <v>0</v>
      </c>
      <c r="GV42" s="15" t="str">
        <f>IF('Raw Data'!GJ48="","",'Raw Data'!GJ48)</f>
        <v>0</v>
      </c>
      <c r="GW42" s="15" t="str">
        <f>IF('Raw Data'!GK48="","",'Raw Data'!GK48)</f>
        <v>1</v>
      </c>
      <c r="GX42" s="15" t="str">
        <f>IF('Raw Data'!GL48="","",'Raw Data'!GL48)</f>
        <v>0</v>
      </c>
      <c r="GY42" s="15" t="str">
        <f>IF('Raw Data'!GM48="","",'Raw Data'!GM48)</f>
        <v xml:space="preserve">Chef de village </v>
      </c>
      <c r="GZ42" s="15" t="str">
        <f>IF('Raw Data'!GN48="","",'Raw Data'!GN48)</f>
        <v>oui_moitie</v>
      </c>
      <c r="HA42" s="15" t="str">
        <f>IF('Raw Data'!GO48="","",'Raw Data'!GO48)</f>
        <v>oui_moitie</v>
      </c>
      <c r="HB42" s="15" t="str">
        <f>IF('Raw Data'!GP48="","",'Raw Data'!GP48)</f>
        <v>amelioration_futur</v>
      </c>
      <c r="HC42" s="15" t="str">
        <f>IF('Raw Data'!GQ48="","",'Raw Data'!GQ48)</f>
        <v>1</v>
      </c>
      <c r="HD42" s="15" t="str">
        <f>IF('Raw Data'!GR48="","",'Raw Data'!GR48)</f>
        <v>0</v>
      </c>
      <c r="HE42" s="15" t="str">
        <f>IF('Raw Data'!GS48="","",'Raw Data'!GS48)</f>
        <v>0</v>
      </c>
      <c r="HF42" s="15" t="str">
        <f>IF('Raw Data'!GT48="","",'Raw Data'!GT48)</f>
        <v>0</v>
      </c>
      <c r="HG42" s="15" t="str">
        <f>IF('Raw Data'!GU48="","",'Raw Data'!GU48)</f>
        <v>0</v>
      </c>
      <c r="HH42" s="15" t="str">
        <f>IF('Raw Data'!GV48="","",'Raw Data'!GV48)</f>
        <v>0</v>
      </c>
      <c r="HI42" s="15" t="str">
        <f>IF('Raw Data'!GW48="","",'Raw Data'!GW48)</f>
        <v>0</v>
      </c>
      <c r="HJ42" s="15" t="str">
        <f>IF('Raw Data'!GX48="","",'Raw Data'!GX48)</f>
        <v>0</v>
      </c>
      <c r="HK42" s="15" t="str">
        <f>IF('Raw Data'!GY48="","",'Raw Data'!GY48)</f>
        <v/>
      </c>
      <c r="HL42" s="15" t="str">
        <f>IF('Raw Data'!GZ48="","",'Raw Data'!GZ48)</f>
        <v>Autre</v>
      </c>
      <c r="HM42" s="15" t="str">
        <f>IF('Raw Data'!HA48="","",'Raw Data'!HA48)</f>
        <v>0</v>
      </c>
      <c r="HN42" s="15" t="str">
        <f>IF('Raw Data'!HB48="","",'Raw Data'!HB48)</f>
        <v>0</v>
      </c>
      <c r="HO42" s="15" t="str">
        <f>IF('Raw Data'!HC48="","",'Raw Data'!HC48)</f>
        <v>0</v>
      </c>
      <c r="HP42" s="15" t="str">
        <f>IF('Raw Data'!HD48="","",'Raw Data'!HD48)</f>
        <v>0</v>
      </c>
      <c r="HQ42" s="15" t="str">
        <f>IF('Raw Data'!HE48="","",'Raw Data'!HE48)</f>
        <v>1</v>
      </c>
      <c r="HR42" s="15" t="str">
        <f>IF('Raw Data'!HF48="","",'Raw Data'!HF48)</f>
        <v>0</v>
      </c>
      <c r="HS42" s="31" t="s">
        <v>1617</v>
      </c>
      <c r="HT42" s="15" t="str">
        <f>IF('Raw Data'!HH48="","",'Raw Data'!HH48)</f>
        <v/>
      </c>
      <c r="HU42" s="15" t="str">
        <f>IF('Raw Data'!HI48="","",'Raw Data'!HI48)</f>
        <v>non</v>
      </c>
      <c r="HV42" s="15" t="str">
        <f>IF('Raw Data'!HJ48="","",'Raw Data'!HJ48)</f>
        <v/>
      </c>
      <c r="HW42" s="15" t="str">
        <f>IF('Raw Data'!HK48="","",'Raw Data'!HK48)</f>
        <v/>
      </c>
      <c r="HX42" s="15" t="str">
        <f>IF('Raw Data'!HL48="","",'Raw Data'!HL48)</f>
        <v/>
      </c>
      <c r="HY42" s="15" t="str">
        <f>IF('Raw Data'!HM48="","",'Raw Data'!HM48)</f>
        <v/>
      </c>
      <c r="HZ42" s="15" t="str">
        <f>IF('Raw Data'!HN48="","",'Raw Data'!HN48)</f>
        <v/>
      </c>
      <c r="IA42" s="15" t="str">
        <f>IF('Raw Data'!HO48="","",'Raw Data'!HO48)</f>
        <v/>
      </c>
      <c r="IB42" s="15" t="str">
        <f>IF('Raw Data'!HP48="","",'Raw Data'!HP48)</f>
        <v/>
      </c>
      <c r="IC42" s="15" t="str">
        <f>IF('Raw Data'!HQ48="","",'Raw Data'!HQ48)</f>
        <v/>
      </c>
      <c r="ID42" s="15" t="str">
        <f>IF('Raw Data'!HR48="","",'Raw Data'!HR48)</f>
        <v/>
      </c>
      <c r="IE42" s="15" t="str">
        <f>IF('Raw Data'!HS48="","",'Raw Data'!HS48)</f>
        <v/>
      </c>
      <c r="IF42" s="15" t="str">
        <f>IF('Raw Data'!HT48="","",'Raw Data'!HT48)</f>
        <v/>
      </c>
      <c r="IG42" s="15" t="str">
        <f>IF('Raw Data'!HU48="","",'Raw Data'!HU48)</f>
        <v/>
      </c>
      <c r="IH42" s="15" t="str">
        <f>IF('Raw Data'!HV48="","",'Raw Data'!HV48)</f>
        <v>oui</v>
      </c>
      <c r="II42" s="15" t="str">
        <f>IF('Raw Data'!HW48="","",'Raw Data'!HW48)</f>
        <v/>
      </c>
      <c r="IJ42" s="15" t="str">
        <f>IF('Raw Data'!HX48="","",'Raw Data'!HX48)</f>
        <v/>
      </c>
      <c r="IK42" s="15" t="str">
        <f>IF('Raw Data'!HY48="","",'Raw Data'!HY48)</f>
        <v/>
      </c>
      <c r="IL42" s="15" t="str">
        <f>IF('Raw Data'!HZ48="","",'Raw Data'!HZ48)</f>
        <v/>
      </c>
      <c r="IM42" s="15" t="str">
        <f>IF('Raw Data'!IA48="","",'Raw Data'!IA48)</f>
        <v/>
      </c>
      <c r="IN42" s="15" t="str">
        <f>IF('Raw Data'!IB48="","",'Raw Data'!IB48)</f>
        <v/>
      </c>
      <c r="IO42" s="15" t="str">
        <f>IF('Raw Data'!IC48="","",'Raw Data'!IC48)</f>
        <v/>
      </c>
      <c r="IP42" s="15" t="str">
        <f>IF('Raw Data'!ID48="","",'Raw Data'!ID48)</f>
        <v/>
      </c>
      <c r="IQ42" s="15" t="str">
        <f>IF('Raw Data'!IE48="","",'Raw Data'!IE48)</f>
        <v/>
      </c>
      <c r="IR42" s="15" t="str">
        <f>IF('Raw Data'!IF48="","",'Raw Data'!IF48)</f>
        <v/>
      </c>
      <c r="IS42" s="15" t="str">
        <f>IF('Raw Data'!IG48="","",'Raw Data'!IG48)</f>
        <v/>
      </c>
      <c r="IT42" s="15" t="str">
        <f>IF('Raw Data'!IH48="","",'Raw Data'!IH48)</f>
        <v/>
      </c>
      <c r="IU42" s="15" t="str">
        <f>IF('Raw Data'!II48="","",'Raw Data'!II48)</f>
        <v/>
      </c>
      <c r="IV42" s="15" t="str">
        <f>IF('Raw Data'!IJ48="","",'Raw Data'!IJ48)</f>
        <v/>
      </c>
      <c r="IW42" s="15" t="str">
        <f>IF('Raw Data'!IK48="","",'Raw Data'!IK48)</f>
        <v/>
      </c>
      <c r="IX42" s="15" t="str">
        <f>IF('Raw Data'!IL48="","",'Raw Data'!IL48)</f>
        <v/>
      </c>
      <c r="IY42" s="15" t="str">
        <f>IF('Raw Data'!IM48="","",'Raw Data'!IM48)</f>
        <v/>
      </c>
      <c r="IZ42" s="15" t="str">
        <f>IF('Raw Data'!IN48="","",'Raw Data'!IN48)</f>
        <v>7</v>
      </c>
      <c r="JA42" s="15" t="str">
        <f>IF('Raw Data'!IO48="","",'Raw Data'!IO48)</f>
        <v>Services_conseil acces_docs</v>
      </c>
      <c r="JB42" s="15" t="str">
        <f>IF('Raw Data'!IP48="","",'Raw Data'!IP48)</f>
        <v>0</v>
      </c>
      <c r="JC42" s="15" t="str">
        <f>IF('Raw Data'!IQ48="","",'Raw Data'!IQ48)</f>
        <v>0</v>
      </c>
      <c r="JD42" s="15" t="str">
        <f>IF('Raw Data'!IR48="","",'Raw Data'!IR48)</f>
        <v>0</v>
      </c>
      <c r="JE42" s="15" t="str">
        <f>IF('Raw Data'!IS48="","",'Raw Data'!IS48)</f>
        <v>1</v>
      </c>
      <c r="JF42" s="15" t="str">
        <f>IF('Raw Data'!IT48="","",'Raw Data'!IT48)</f>
        <v>1</v>
      </c>
      <c r="JG42" s="15" t="str">
        <f>IF('Raw Data'!IU48="","",'Raw Data'!IU48)</f>
        <v>0</v>
      </c>
      <c r="JH42" s="15" t="str">
        <f>IF('Raw Data'!IV48="","",'Raw Data'!IV48)</f>
        <v>0</v>
      </c>
      <c r="JI42" s="15" t="str">
        <f>IF('Raw Data'!IW48="","",'Raw Data'!IW48)</f>
        <v>0</v>
      </c>
      <c r="JJ42" s="15" t="str">
        <f>IF('Raw Data'!IX48="","",'Raw Data'!IX48)</f>
        <v>0</v>
      </c>
      <c r="JK42" s="15" t="str">
        <f>IF('Raw Data'!IY48="","",'Raw Data'!IY48)</f>
        <v>0</v>
      </c>
      <c r="JL42" s="15" t="str">
        <f>IF('Raw Data'!IZ48="","",'Raw Data'!IZ48)</f>
        <v/>
      </c>
      <c r="JM42" s="15" t="str">
        <f>IF('Raw Data'!JA48="","",'Raw Data'!JA48)</f>
        <v>signalement reorientation</v>
      </c>
      <c r="JN42" s="15" t="str">
        <f>IF('Raw Data'!JB48="","",'Raw Data'!JB48)</f>
        <v>0</v>
      </c>
      <c r="JO42" s="15" t="str">
        <f>IF('Raw Data'!JC48="","",'Raw Data'!JC48)</f>
        <v>1</v>
      </c>
      <c r="JP42" s="15" t="str">
        <f>IF('Raw Data'!JD48="","",'Raw Data'!JD48)</f>
        <v>1</v>
      </c>
      <c r="JQ42" s="15" t="str">
        <f>IF('Raw Data'!JE48="","",'Raw Data'!JE48)</f>
        <v>0</v>
      </c>
      <c r="JR42" s="15" t="str">
        <f>IF('Raw Data'!JF48="","",'Raw Data'!JF48)</f>
        <v>0</v>
      </c>
      <c r="JS42" s="15" t="str">
        <f>IF('Raw Data'!JG48="","",'Raw Data'!JG48)</f>
        <v>0</v>
      </c>
      <c r="JT42" s="15" t="str">
        <f>IF('Raw Data'!JH48="","",'Raw Data'!JH48)</f>
        <v/>
      </c>
      <c r="JU42" s="15" t="str">
        <f>IF('Raw Data'!JI48="","",'Raw Data'!JI48)</f>
        <v/>
      </c>
      <c r="JV42" s="15" t="str">
        <f>IF('Raw Data'!JJ48="","",'Raw Data'!JJ48)</f>
        <v/>
      </c>
      <c r="JW42" s="15" t="str">
        <f>IF('Raw Data'!JK48="","",'Raw Data'!JK48)</f>
        <v/>
      </c>
      <c r="JX42" s="15" t="str">
        <f>IF('Raw Data'!JL48="","",'Raw Data'!JL48)</f>
        <v/>
      </c>
      <c r="JY42" s="15" t="str">
        <f>IF('Raw Data'!JM48="","",'Raw Data'!JM48)</f>
        <v/>
      </c>
      <c r="JZ42" s="15" t="str">
        <f>IF('Raw Data'!JN48="","",'Raw Data'!JN48)</f>
        <v/>
      </c>
      <c r="KA42" s="15" t="str">
        <f>IF('Raw Data'!JO48="","",'Raw Data'!JO48)</f>
        <v/>
      </c>
      <c r="KB42" s="15" t="str">
        <f>IF('Raw Data'!JP48="","",'Raw Data'!JP48)</f>
        <v/>
      </c>
      <c r="KC42" s="15" t="str">
        <f>IF('Raw Data'!JQ48="","",'Raw Data'!JQ48)</f>
        <v/>
      </c>
      <c r="KD42" s="15" t="str">
        <f>IF('Raw Data'!JR48="","",'Raw Data'!JR48)</f>
        <v/>
      </c>
      <c r="KE42" s="15" t="str">
        <f>IF('Raw Data'!JS48="","",'Raw Data'!JS48)</f>
        <v/>
      </c>
      <c r="KF42" s="15" t="str">
        <f>IF('Raw Data'!JT48="","",'Raw Data'!JT48)</f>
        <v>Autre</v>
      </c>
      <c r="KG42" s="15" t="str">
        <f>IF('Raw Data'!JU48="","",'Raw Data'!JU48)</f>
        <v>0</v>
      </c>
      <c r="KH42" s="15" t="str">
        <f>IF('Raw Data'!JV48="","",'Raw Data'!JV48)</f>
        <v>0</v>
      </c>
      <c r="KI42" s="15" t="str">
        <f>IF('Raw Data'!JW48="","",'Raw Data'!JW48)</f>
        <v>0</v>
      </c>
      <c r="KJ42" s="15" t="str">
        <f>IF('Raw Data'!JX48="","",'Raw Data'!JX48)</f>
        <v>0</v>
      </c>
      <c r="KK42" s="15" t="str">
        <f>IF('Raw Data'!JY48="","",'Raw Data'!JY48)</f>
        <v>0</v>
      </c>
      <c r="KL42" s="15" t="str">
        <f>IF('Raw Data'!JZ48="","",'Raw Data'!JZ48)</f>
        <v>0</v>
      </c>
      <c r="KM42" s="15" t="str">
        <f>IF('Raw Data'!KA48="","",'Raw Data'!KA48)</f>
        <v>0</v>
      </c>
      <c r="KN42" s="15" t="str">
        <f>IF('Raw Data'!KB48="","",'Raw Data'!KB48)</f>
        <v>1</v>
      </c>
      <c r="KO42" s="15" t="str">
        <f>IF('Raw Data'!KC48="","",'Raw Data'!KC48)</f>
        <v>0</v>
      </c>
      <c r="KP42" s="15" t="str">
        <f>IF('Raw Data'!KD48="","",'Raw Data'!KD48)</f>
        <v xml:space="preserve">Chef de village </v>
      </c>
      <c r="KQ42" s="15" t="str">
        <f>IF('Raw Data'!KE48="","",'Raw Data'!KE48)</f>
        <v/>
      </c>
      <c r="KR42" s="15" t="str">
        <f>IF('Raw Data'!KF48="","",'Raw Data'!KF48)</f>
        <v>non</v>
      </c>
      <c r="KS42" s="15" t="str">
        <f>IF('Raw Data'!KG48="","",'Raw Data'!KG48)</f>
        <v/>
      </c>
      <c r="KT42" s="15" t="str">
        <f>IF('Raw Data'!KH48="","",'Raw Data'!KH48)</f>
        <v/>
      </c>
      <c r="KU42" s="15" t="str">
        <f>IF('Raw Data'!KI48="","",'Raw Data'!KI48)</f>
        <v/>
      </c>
      <c r="KV42" s="15" t="str">
        <f>IF('Raw Data'!KJ48="","",'Raw Data'!KJ48)</f>
        <v/>
      </c>
      <c r="KW42" s="15" t="str">
        <f>IF('Raw Data'!KK48="","",'Raw Data'!KK48)</f>
        <v/>
      </c>
      <c r="KX42" s="15" t="str">
        <f>IF('Raw Data'!KL48="","",'Raw Data'!KL48)</f>
        <v/>
      </c>
      <c r="KY42" s="15" t="str">
        <f>IF('Raw Data'!KM48="","",'Raw Data'!KM48)</f>
        <v/>
      </c>
      <c r="KZ42" s="15" t="str">
        <f>IF('Raw Data'!KN48="","",'Raw Data'!KN48)</f>
        <v/>
      </c>
      <c r="LA42" s="15" t="str">
        <f>IF('Raw Data'!KO48="","",'Raw Data'!KO48)</f>
        <v/>
      </c>
      <c r="LB42" s="15" t="str">
        <f>IF('Raw Data'!KP48="","",'Raw Data'!KP48)</f>
        <v/>
      </c>
      <c r="LC42" s="15" t="str">
        <f>IF('Raw Data'!KQ48="","",'Raw Data'!KQ48)</f>
        <v/>
      </c>
      <c r="LD42" s="15" t="str">
        <f>IF('Raw Data'!KR48="","",'Raw Data'!KR48)</f>
        <v/>
      </c>
      <c r="LE42" s="15" t="str">
        <f>IF('Raw Data'!KS48="","",'Raw Data'!KS48)</f>
        <v/>
      </c>
      <c r="LF42" s="15" t="str">
        <f>IF('Raw Data'!KT48="","",'Raw Data'!KT48)</f>
        <v/>
      </c>
      <c r="LG42" s="15" t="str">
        <f>IF('Raw Data'!KU48="","",'Raw Data'!KU48)</f>
        <v/>
      </c>
      <c r="LH42" s="15" t="str">
        <f>IF('Raw Data'!KV48="","",'Raw Data'!KV48)</f>
        <v/>
      </c>
      <c r="LI42" s="15" t="str">
        <f>IF('Raw Data'!KW48="","",'Raw Data'!KW48)</f>
        <v/>
      </c>
      <c r="LJ42" s="15" t="str">
        <f>IF('Raw Data'!KX48="","",'Raw Data'!KX48)</f>
        <v/>
      </c>
      <c r="LK42" s="15" t="str">
        <f>IF('Raw Data'!KY48="","",'Raw Data'!KY48)</f>
        <v/>
      </c>
      <c r="LL42" s="15" t="str">
        <f>IF('Raw Data'!KZ48="","",'Raw Data'!KZ48)</f>
        <v/>
      </c>
      <c r="LM42" s="15" t="str">
        <f>IF('Raw Data'!LA48="","",'Raw Data'!LA48)</f>
        <v/>
      </c>
      <c r="LN42" s="15" t="str">
        <f>IF('Raw Data'!LB48="","",'Raw Data'!LB48)</f>
        <v>non</v>
      </c>
      <c r="LO42" s="15" t="str">
        <f>IF('Raw Data'!LC48="","",'Raw Data'!LC48)</f>
        <v/>
      </c>
      <c r="LP42" s="15" t="str">
        <f>IF('Raw Data'!LD48="","",'Raw Data'!LD48)</f>
        <v/>
      </c>
      <c r="LQ42" s="15" t="str">
        <f>IF('Raw Data'!LE48="","",'Raw Data'!LE48)</f>
        <v/>
      </c>
      <c r="LR42" s="15" t="str">
        <f>IF('Raw Data'!LF48="","",'Raw Data'!LF48)</f>
        <v/>
      </c>
      <c r="LS42" s="15" t="str">
        <f>IF('Raw Data'!LG48="","",'Raw Data'!LG48)</f>
        <v/>
      </c>
      <c r="LT42" s="15" t="str">
        <f>IF('Raw Data'!LH48="","",'Raw Data'!LH48)</f>
        <v/>
      </c>
      <c r="LU42" s="15" t="str">
        <f>IF('Raw Data'!LI48="","",'Raw Data'!LI48)</f>
        <v/>
      </c>
      <c r="LV42" s="15" t="str">
        <f>IF('Raw Data'!LJ48="","",'Raw Data'!LJ48)</f>
        <v/>
      </c>
      <c r="LW42" s="15" t="str">
        <f>IF('Raw Data'!LK48="","",'Raw Data'!LK48)</f>
        <v/>
      </c>
      <c r="LX42" s="15" t="str">
        <f>IF('Raw Data'!LL48="","",'Raw Data'!LL48)</f>
        <v/>
      </c>
      <c r="LY42" s="15" t="str">
        <f>IF('Raw Data'!LM48="","",'Raw Data'!LM48)</f>
        <v/>
      </c>
      <c r="LZ42" s="15" t="str">
        <f>IF('Raw Data'!LN48="","",'Raw Data'!LN48)</f>
        <v/>
      </c>
      <c r="MA42" s="15" t="str">
        <f>IF('Raw Data'!LO48="","",'Raw Data'!LO48)</f>
        <v/>
      </c>
      <c r="MB42" s="15" t="str">
        <f>IF('Raw Data'!LP48="","",'Raw Data'!LP48)</f>
        <v>oui</v>
      </c>
      <c r="MC42" s="15" t="str">
        <f>IF('Raw Data'!LQ48="","",'Raw Data'!LQ48)</f>
        <v/>
      </c>
      <c r="MD42" s="15" t="str">
        <f>IF('Raw Data'!LR48="","",'Raw Data'!LR48)</f>
        <v xml:space="preserve">On veux la paix,manger a sa faim,avoir suffisamment d'eau </v>
      </c>
      <c r="ME42" s="15">
        <f>IF('Raw Data'!LS48="","",'Raw Data'!LS48)</f>
        <v>170268443</v>
      </c>
      <c r="MF42" s="15" t="str">
        <f>IF('Raw Data'!LT48="","",'Raw Data'!LT48)</f>
        <v>7e8e3932-526f-4633-8f11-e1ab80d1435f</v>
      </c>
      <c r="MG42" s="15" t="str">
        <f>IF('Raw Data'!LU48="","",'Raw Data'!LU48)</f>
        <v>2021-04-07T17:50:16</v>
      </c>
      <c r="MH42" s="15" t="str">
        <f>IF('Raw Data'!LV48="","",'Raw Data'!LV48)</f>
        <v/>
      </c>
      <c r="MI42" s="15" t="str">
        <f>IF('Raw Data'!LW48="","",'Raw Data'!LW48)</f>
        <v>[]</v>
      </c>
      <c r="MJ42" s="15" t="str">
        <f>IF('Raw Data'!LX48="","",'Raw Data'!LX48)</f>
        <v>submitted_via_web</v>
      </c>
      <c r="MK42" s="15" t="str">
        <f>IF('Raw Data'!LY48="","",'Raw Data'!LY48)</f>
        <v>reach_niger</v>
      </c>
      <c r="ML42" s="15" t="str">
        <f>IF('Raw Data'!LZ48="","",'Raw Data'!LZ48)</f>
        <v/>
      </c>
      <c r="MM42" s="15">
        <f>IF('Raw Data'!MA48="","",'Raw Data'!MA48)</f>
        <v>52</v>
      </c>
    </row>
    <row r="43" spans="1:351" x14ac:dyDescent="0.3">
      <c r="A43" s="26" t="str">
        <f t="shared" si="4"/>
        <v>0f201dbd-3829-4257-8465-475cfc00abbe</v>
      </c>
      <c r="B43" s="26" t="str">
        <f t="shared" si="5"/>
        <v>tondikiwindi</v>
      </c>
      <c r="C43" s="26" t="str">
        <f t="shared" si="6"/>
        <v>H</v>
      </c>
      <c r="D43" s="14" t="str">
        <f>IF('Raw Data'!A51="","",'Raw Data'!A51)</f>
        <v>2021-04-08T11:38:21.316+01:00</v>
      </c>
      <c r="E43" s="14" t="str">
        <f>IF('Raw Data'!B51="","",'Raw Data'!B51)</f>
        <v>2021-04-08T12:24:14.792+01:00</v>
      </c>
      <c r="F43" s="30">
        <v>44294.484965277778</v>
      </c>
      <c r="G43" s="30">
        <v>44294.516828703701</v>
      </c>
      <c r="H43" s="29">
        <f>VLOOKUP(A43,Audit[#All],2,FALSE)</f>
        <v>45.89</v>
      </c>
      <c r="I43" s="29">
        <f>VLOOKUP(A43,Audit[#All],3,FALSE)</f>
        <v>45.57</v>
      </c>
      <c r="J43" s="29">
        <f>VLOOKUP(A43,Audit[#All],4,FALSE)</f>
        <v>28.63</v>
      </c>
      <c r="K43" s="29">
        <f>VLOOKUP(A43,nb_questions[#All],2,FALSE)</f>
        <v>75</v>
      </c>
      <c r="L43" s="29">
        <f t="shared" si="7"/>
        <v>179</v>
      </c>
      <c r="M43" s="14" t="str">
        <f>IF('Raw Data'!C51="","",'Raw Data'!C51)</f>
        <v>2021-04-08</v>
      </c>
      <c r="N43" s="14" t="str">
        <f>IF('Raw Data'!D51="","",'Raw Data'!D51)</f>
        <v/>
      </c>
      <c r="O43" s="14" t="str">
        <f>IF('Raw Data'!E51="","",'Raw Data'!E51)</f>
        <v/>
      </c>
      <c r="P43" s="29" t="str">
        <f>VLOOKUP(A43,code_enqueteurs[#All],3,FALSE)</f>
        <v>H</v>
      </c>
      <c r="Q43" s="29" t="s">
        <v>1652</v>
      </c>
      <c r="R43" s="14" t="str">
        <f>IF('Raw Data'!F51="","",'Raw Data'!F51)</f>
        <v>Homme</v>
      </c>
      <c r="S43" s="15" t="str">
        <f>IF('Raw Data'!G51="","",'Raw Data'!G51)</f>
        <v>ouallam</v>
      </c>
      <c r="T43" s="15" t="str">
        <f>IF('Raw Data'!H51="","",'Raw Data'!H51)</f>
        <v>tondikiwindi</v>
      </c>
      <c r="U43" s="15" t="str">
        <f>IF('Raw Data'!I51="","",'Raw Data'!I51)</f>
        <v>diney_baba_kouara</v>
      </c>
      <c r="V43" s="15" t="str">
        <f>IF('Raw Data'!J51="","",'Raw Data'!J51)</f>
        <v/>
      </c>
      <c r="W43" s="15" t="str">
        <f>IF('Raw Data'!K51="","",'Raw Data'!K51)</f>
        <v/>
      </c>
      <c r="X43" s="15" t="str">
        <f>IF('Raw Data'!L51="","",'Raw Data'!L51)</f>
        <v/>
      </c>
      <c r="Y43" s="15" t="str">
        <f>IF('Raw Data'!M51="","",'Raw Data'!M51)</f>
        <v/>
      </c>
      <c r="Z43" s="15" t="str">
        <f>IF('Raw Data'!N51="","",'Raw Data'!N51)</f>
        <v/>
      </c>
      <c r="AA43" s="15" t="str">
        <f>IF('Raw Data'!O51="","",'Raw Data'!O51)</f>
        <v/>
      </c>
      <c r="AB43" s="15" t="str">
        <f>IF('Raw Data'!P51="","",'Raw Data'!P51)</f>
        <v/>
      </c>
      <c r="AC43" s="15" t="str">
        <f>IF('Raw Data'!Q51="","",'Raw Data'!Q51)</f>
        <v/>
      </c>
      <c r="AD43" s="15" t="str">
        <f>IF('Raw Data'!R51="","",'Raw Data'!R51)</f>
        <v>Homme</v>
      </c>
      <c r="AE43" s="15" t="str">
        <f>IF('Raw Data'!S51="","",'Raw Data'!S51)</f>
        <v>60</v>
      </c>
      <c r="AF43" s="15" t="str">
        <f>IF('Raw Data'!T51="","",'Raw Data'!T51)</f>
        <v>deplace_interne</v>
      </c>
      <c r="AG43" s="15" t="str">
        <f>IF('Raw Data'!U51="","",'Raw Data'!U51)</f>
        <v/>
      </c>
      <c r="AH43" s="15" t="str">
        <f>IF('Raw Data'!V51="","",'Raw Data'!V51)</f>
        <v/>
      </c>
      <c r="AI43" s="15" t="str">
        <f>IF('Raw Data'!W51="","",'Raw Data'!W51)</f>
        <v/>
      </c>
      <c r="AJ43" s="15" t="str">
        <f>IF('Raw Data'!X51="","",'Raw Data'!X51)</f>
        <v/>
      </c>
      <c r="AK43" s="15" t="str">
        <f>IF('Raw Data'!Y51="","",'Raw Data'!Y51)</f>
        <v/>
      </c>
      <c r="AL43" s="15" t="str">
        <f>IF('Raw Data'!Z51="","",'Raw Data'!Z51)</f>
        <v>niger</v>
      </c>
      <c r="AM43" s="15" t="str">
        <f>IF('Raw Data'!AA51="","",'Raw Data'!AA51)</f>
        <v>tillaberi</v>
      </c>
      <c r="AN43" s="15" t="str">
        <f>IF('Raw Data'!AB51="","",'Raw Data'!AB51)</f>
        <v>ouallam</v>
      </c>
      <c r="AO43" s="15" t="str">
        <f>IF('Raw Data'!AC51="","",'Raw Data'!AC51)</f>
        <v/>
      </c>
      <c r="AP43" s="15" t="str">
        <f>IF('Raw Data'!AD51="","",'Raw Data'!AD51)</f>
        <v/>
      </c>
      <c r="AQ43" s="15" t="str">
        <f>IF('Raw Data'!AE51="","",'Raw Data'!AE51)</f>
        <v/>
      </c>
      <c r="AR43" s="15" t="str">
        <f>IF('Raw Data'!AF51="","",'Raw Data'!AF51)</f>
        <v/>
      </c>
      <c r="AS43" s="15" t="str">
        <f>IF('Raw Data'!AG51="","",'Raw Data'!AG51)</f>
        <v>non</v>
      </c>
      <c r="AT43" s="15" t="str">
        <f>IF('Raw Data'!AH51="","",'Raw Data'!AH51)</f>
        <v/>
      </c>
      <c r="AU43" s="15" t="str">
        <f>IF('Raw Data'!AI51="","",'Raw Data'!AI51)</f>
        <v/>
      </c>
      <c r="AV43" s="15" t="str">
        <f>IF('Raw Data'!AJ51="","",'Raw Data'!AJ51)</f>
        <v/>
      </c>
      <c r="AW43" s="15" t="str">
        <f>IF('Raw Data'!AK51="","",'Raw Data'!AK51)</f>
        <v/>
      </c>
      <c r="AX43" s="15" t="str">
        <f>IF('Raw Data'!AL51="","",'Raw Data'!AL51)</f>
        <v/>
      </c>
      <c r="AY43" s="15" t="str">
        <f>IF('Raw Data'!AM51="","",'Raw Data'!AM51)</f>
        <v/>
      </c>
      <c r="AZ43" s="15" t="str">
        <f>IF('Raw Data'!AN51="","",'Raw Data'!AN51)</f>
        <v/>
      </c>
      <c r="BA43" s="15" t="str">
        <f>IF('Raw Data'!AO51="","",'Raw Data'!AO51)</f>
        <v/>
      </c>
      <c r="BB43" s="15" t="str">
        <f>IF('Raw Data'!AP51="","",'Raw Data'!AP51)</f>
        <v/>
      </c>
      <c r="BC43" s="15" t="str">
        <f>IF('Raw Data'!AQ51="","",'Raw Data'!AQ51)</f>
        <v/>
      </c>
      <c r="BD43" s="15" t="str">
        <f>IF('Raw Data'!AR51="","",'Raw Data'!AR51)</f>
        <v/>
      </c>
      <c r="BE43" s="15" t="str">
        <f>IF('Raw Data'!AS51="","",'Raw Data'!AS51)</f>
        <v/>
      </c>
      <c r="BF43" s="15" t="str">
        <f>IF('Raw Data'!AT51="","",'Raw Data'!AT51)</f>
        <v/>
      </c>
      <c r="BG43" s="15" t="str">
        <f>IF('Raw Data'!AU51="","",'Raw Data'!AU51)</f>
        <v/>
      </c>
      <c r="BH43" s="15" t="str">
        <f>IF('Raw Data'!AV51="","",'Raw Data'!AV51)</f>
        <v/>
      </c>
      <c r="BI43" s="15" t="str">
        <f>IF('Raw Data'!AW51="","",'Raw Data'!AW51)</f>
        <v/>
      </c>
      <c r="BJ43" s="15" t="str">
        <f>IF('Raw Data'!AX51="","",'Raw Data'!AX51)</f>
        <v/>
      </c>
      <c r="BK43" s="15" t="str">
        <f>IF('Raw Data'!AY51="","",'Raw Data'!AY51)</f>
        <v/>
      </c>
      <c r="BL43" s="15" t="str">
        <f>IF('Raw Data'!AZ51="","",'Raw Data'!AZ51)</f>
        <v/>
      </c>
      <c r="BM43" s="15" t="str">
        <f>IF('Raw Data'!BA51="","",'Raw Data'!BA51)</f>
        <v/>
      </c>
      <c r="BN43" s="15" t="str">
        <f>IF('Raw Data'!BB51="","",'Raw Data'!BB51)</f>
        <v/>
      </c>
      <c r="BO43" s="15" t="str">
        <f>IF('Raw Data'!BC51="","",'Raw Data'!BC51)</f>
        <v/>
      </c>
      <c r="BP43" s="15" t="str">
        <f>IF('Raw Data'!BD51="","",'Raw Data'!BD51)</f>
        <v/>
      </c>
      <c r="BQ43" s="15" t="str">
        <f>IF('Raw Data'!BE51="","",'Raw Data'!BE51)</f>
        <v/>
      </c>
      <c r="BR43" s="15" t="str">
        <f>IF('Raw Data'!BF51="","",'Raw Data'!BF51)</f>
        <v/>
      </c>
      <c r="BS43" s="15" t="str">
        <f>IF('Raw Data'!BG51="","",'Raw Data'!BG51)</f>
        <v/>
      </c>
      <c r="BT43" s="15" t="str">
        <f>IF('Raw Data'!BH51="","",'Raw Data'!BH51)</f>
        <v/>
      </c>
      <c r="BU43" s="15" t="str">
        <f>IF('Raw Data'!BI51="","",'Raw Data'!BI51)</f>
        <v/>
      </c>
      <c r="BV43" s="15" t="str">
        <f>IF('Raw Data'!BJ51="","",'Raw Data'!BJ51)</f>
        <v/>
      </c>
      <c r="BW43" s="15" t="str">
        <f>IF('Raw Data'!BK51="","",'Raw Data'!BK51)</f>
        <v/>
      </c>
      <c r="BX43" s="15" t="str">
        <f>IF('Raw Data'!BL51="","",'Raw Data'!BL51)</f>
        <v/>
      </c>
      <c r="BY43" s="15" t="str">
        <f>IF('Raw Data'!BM51="","",'Raw Data'!BM51)</f>
        <v/>
      </c>
      <c r="BZ43" s="15" t="str">
        <f>IF('Raw Data'!BN51="","",'Raw Data'!BN51)</f>
        <v/>
      </c>
      <c r="CA43" s="15" t="str">
        <f>IF('Raw Data'!BO51="","",'Raw Data'!BO51)</f>
        <v/>
      </c>
      <c r="CB43" s="15" t="str">
        <f>IF('Raw Data'!BP51="","",'Raw Data'!BP51)</f>
        <v/>
      </c>
      <c r="CC43" s="15" t="str">
        <f>IF('Raw Data'!BQ51="","",'Raw Data'!BQ51)</f>
        <v>non</v>
      </c>
      <c r="CD43" s="15" t="str">
        <f>IF('Raw Data'!BR51="","",'Raw Data'!BR51)</f>
        <v/>
      </c>
      <c r="CE43" s="15" t="str">
        <f>IF('Raw Data'!BS51="","",'Raw Data'!BS51)</f>
        <v/>
      </c>
      <c r="CF43" s="15" t="str">
        <f>IF('Raw Data'!BT51="","",'Raw Data'!BT51)</f>
        <v/>
      </c>
      <c r="CG43" s="15" t="str">
        <f>IF('Raw Data'!BU51="","",'Raw Data'!BU51)</f>
        <v/>
      </c>
      <c r="CH43" s="15" t="str">
        <f>IF('Raw Data'!BV51="","",'Raw Data'!BV51)</f>
        <v/>
      </c>
      <c r="CI43" s="15" t="str">
        <f>IF('Raw Data'!BW51="","",'Raw Data'!BW51)</f>
        <v/>
      </c>
      <c r="CJ43" s="15" t="str">
        <f>IF('Raw Data'!BX51="","",'Raw Data'!BX51)</f>
        <v/>
      </c>
      <c r="CK43" s="15" t="str">
        <f>IF('Raw Data'!BY51="","",'Raw Data'!BY51)</f>
        <v/>
      </c>
      <c r="CL43" s="15" t="str">
        <f>IF('Raw Data'!BZ51="","",'Raw Data'!BZ51)</f>
        <v/>
      </c>
      <c r="CM43" s="15" t="str">
        <f>IF('Raw Data'!CA51="","",'Raw Data'!CA51)</f>
        <v/>
      </c>
      <c r="CN43" s="15" t="str">
        <f>IF('Raw Data'!CB51="","",'Raw Data'!CB51)</f>
        <v/>
      </c>
      <c r="CO43" s="15" t="str">
        <f>IF('Raw Data'!CC51="","",'Raw Data'!CC51)</f>
        <v/>
      </c>
      <c r="CP43" s="15" t="str">
        <f>IF('Raw Data'!CD51="","",'Raw Data'!CD51)</f>
        <v/>
      </c>
      <c r="CQ43" s="15" t="str">
        <f>IF('Raw Data'!CE51="","",'Raw Data'!CE51)</f>
        <v/>
      </c>
      <c r="CR43" s="15" t="str">
        <f>IF('Raw Data'!CF51="","",'Raw Data'!CF51)</f>
        <v/>
      </c>
      <c r="CS43" s="15" t="str">
        <f>IF('Raw Data'!CG51="","",'Raw Data'!CG51)</f>
        <v/>
      </c>
      <c r="CT43" s="15" t="str">
        <f>IF('Raw Data'!CH51="","",'Raw Data'!CH51)</f>
        <v/>
      </c>
      <c r="CU43" s="15" t="str">
        <f>IF('Raw Data'!CI51="","",'Raw Data'!CI51)</f>
        <v/>
      </c>
      <c r="CV43" s="15" t="str">
        <f>IF('Raw Data'!CJ51="","",'Raw Data'!CJ51)</f>
        <v/>
      </c>
      <c r="CW43" s="15" t="str">
        <f>IF('Raw Data'!CK51="","",'Raw Data'!CK51)</f>
        <v/>
      </c>
      <c r="CX43" s="15" t="str">
        <f>IF('Raw Data'!CL51="","",'Raw Data'!CL51)</f>
        <v/>
      </c>
      <c r="CY43" s="15" t="str">
        <f>IF('Raw Data'!CM51="","",'Raw Data'!CM51)</f>
        <v/>
      </c>
      <c r="CZ43" s="15" t="str">
        <f>IF('Raw Data'!CN51="","",'Raw Data'!CN51)</f>
        <v/>
      </c>
      <c r="DA43" s="15" t="str">
        <f>IF('Raw Data'!CO51="","",'Raw Data'!CO51)</f>
        <v/>
      </c>
      <c r="DB43" s="15" t="str">
        <f>IF('Raw Data'!CP51="","",'Raw Data'!CP51)</f>
        <v/>
      </c>
      <c r="DC43" s="15" t="str">
        <f>IF('Raw Data'!CQ51="","",'Raw Data'!CQ51)</f>
        <v/>
      </c>
      <c r="DD43" s="15" t="str">
        <f>IF('Raw Data'!CR51="","",'Raw Data'!CR51)</f>
        <v/>
      </c>
      <c r="DE43" s="15" t="str">
        <f>IF('Raw Data'!CS51="","",'Raw Data'!CS51)</f>
        <v/>
      </c>
      <c r="DF43" s="15" t="str">
        <f>IF('Raw Data'!CT51="","",'Raw Data'!CT51)</f>
        <v/>
      </c>
      <c r="DG43" s="15" t="str">
        <f>IF('Raw Data'!CU51="","",'Raw Data'!CU51)</f>
        <v/>
      </c>
      <c r="DH43" s="15" t="str">
        <f>IF('Raw Data'!CV51="","",'Raw Data'!CV51)</f>
        <v/>
      </c>
      <c r="DI43" s="15" t="str">
        <f>IF('Raw Data'!CW51="","",'Raw Data'!CW51)</f>
        <v/>
      </c>
      <c r="DJ43" s="15" t="str">
        <f>IF('Raw Data'!CX51="","",'Raw Data'!CX51)</f>
        <v/>
      </c>
      <c r="DK43" s="15" t="str">
        <f>IF('Raw Data'!CY51="","",'Raw Data'!CY51)</f>
        <v/>
      </c>
      <c r="DL43" s="15" t="str">
        <f>IF('Raw Data'!CZ51="","",'Raw Data'!CZ51)</f>
        <v/>
      </c>
      <c r="DM43" s="15" t="str">
        <f>IF('Raw Data'!DA51="","",'Raw Data'!DA51)</f>
        <v/>
      </c>
      <c r="DN43" s="15" t="str">
        <f>IF('Raw Data'!DB51="","",'Raw Data'!DB51)</f>
        <v/>
      </c>
      <c r="DO43" s="15" t="str">
        <f>IF('Raw Data'!DC51="","",'Raw Data'!DC51)</f>
        <v/>
      </c>
      <c r="DP43" s="15" t="str">
        <f>IF('Raw Data'!DD51="","",'Raw Data'!DD51)</f>
        <v/>
      </c>
      <c r="DQ43" s="15" t="str">
        <f>IF('Raw Data'!DE51="","",'Raw Data'!DE51)</f>
        <v/>
      </c>
      <c r="DR43" s="15" t="str">
        <f>IF('Raw Data'!DF51="","",'Raw Data'!DF51)</f>
        <v/>
      </c>
      <c r="DS43" s="15" t="str">
        <f>IF('Raw Data'!DG51="","",'Raw Data'!DG51)</f>
        <v/>
      </c>
      <c r="DT43" s="15" t="str">
        <f>IF('Raw Data'!DH51="","",'Raw Data'!DH51)</f>
        <v/>
      </c>
      <c r="DU43" s="15" t="str">
        <f>IF('Raw Data'!DI51="","",'Raw Data'!DI51)</f>
        <v/>
      </c>
      <c r="DV43" s="15" t="str">
        <f>IF('Raw Data'!DJ51="","",'Raw Data'!DJ51)</f>
        <v/>
      </c>
      <c r="DW43" s="15" t="str">
        <f>IF('Raw Data'!DK51="","",'Raw Data'!DK51)</f>
        <v/>
      </c>
      <c r="DX43" s="15" t="str">
        <f>IF('Raw Data'!DL51="","",'Raw Data'!DL51)</f>
        <v/>
      </c>
      <c r="DY43" s="15" t="str">
        <f>IF('Raw Data'!DM51="","",'Raw Data'!DM51)</f>
        <v/>
      </c>
      <c r="DZ43" s="15" t="str">
        <f>IF('Raw Data'!DN51="","",'Raw Data'!DN51)</f>
        <v/>
      </c>
      <c r="EA43" s="15" t="str">
        <f>IF('Raw Data'!DO51="","",'Raw Data'!DO51)</f>
        <v/>
      </c>
      <c r="EB43" s="15" t="str">
        <f>IF('Raw Data'!DP51="","",'Raw Data'!DP51)</f>
        <v/>
      </c>
      <c r="EC43" s="15" t="str">
        <f>IF('Raw Data'!DQ51="","",'Raw Data'!DQ51)</f>
        <v/>
      </c>
      <c r="ED43" s="15" t="str">
        <f>IF('Raw Data'!DR51="","",'Raw Data'!DR51)</f>
        <v/>
      </c>
      <c r="EE43" s="15" t="str">
        <f>IF('Raw Data'!DS51="","",'Raw Data'!DS51)</f>
        <v/>
      </c>
      <c r="EF43" s="15" t="str">
        <f>IF('Raw Data'!DT51="","",'Raw Data'!DT51)</f>
        <v/>
      </c>
      <c r="EG43" s="15" t="str">
        <f>IF('Raw Data'!DU51="","",'Raw Data'!DU51)</f>
        <v/>
      </c>
      <c r="EH43" s="15" t="str">
        <f>IF('Raw Data'!DV51="","",'Raw Data'!DV51)</f>
        <v/>
      </c>
      <c r="EI43" s="15" t="str">
        <f>IF('Raw Data'!DW51="","",'Raw Data'!DW51)</f>
        <v/>
      </c>
      <c r="EJ43" s="15" t="str">
        <f>IF('Raw Data'!DX51="","",'Raw Data'!DX51)</f>
        <v/>
      </c>
      <c r="EK43" s="15" t="str">
        <f>IF('Raw Data'!DY51="","",'Raw Data'!DY51)</f>
        <v/>
      </c>
      <c r="EL43" s="15" t="str">
        <f>IF('Raw Data'!DZ51="","",'Raw Data'!DZ51)</f>
        <v>dplct_abords_com</v>
      </c>
      <c r="EM43" s="15" t="str">
        <f>IF('Raw Data'!EA51="","",'Raw Data'!EA51)</f>
        <v>1</v>
      </c>
      <c r="EN43" s="15" t="str">
        <f>IF('Raw Data'!EB51="","",'Raw Data'!EB51)</f>
        <v>0</v>
      </c>
      <c r="EO43" s="15" t="str">
        <f>IF('Raw Data'!EC51="","",'Raw Data'!EC51)</f>
        <v>0</v>
      </c>
      <c r="EP43" s="15" t="str">
        <f>IF('Raw Data'!ED51="","",'Raw Data'!ED51)</f>
        <v>0</v>
      </c>
      <c r="EQ43" s="15" t="str">
        <f>IF('Raw Data'!EE51="","",'Raw Data'!EE51)</f>
        <v>0</v>
      </c>
      <c r="ER43" s="15" t="str">
        <f>IF('Raw Data'!EF51="","",'Raw Data'!EF51)</f>
        <v>0</v>
      </c>
      <c r="ES43" s="15" t="str">
        <f>IF('Raw Data'!EG51="","",'Raw Data'!EG51)</f>
        <v>0</v>
      </c>
      <c r="ET43" s="15" t="str">
        <f>IF('Raw Data'!EH51="","",'Raw Data'!EH51)</f>
        <v>0</v>
      </c>
      <c r="EU43" s="15" t="str">
        <f>IF('Raw Data'!EI51="","",'Raw Data'!EI51)</f>
        <v>0</v>
      </c>
      <c r="EV43" s="15" t="str">
        <f>IF('Raw Data'!EJ51="","",'Raw Data'!EJ51)</f>
        <v/>
      </c>
      <c r="EW43" s="15" t="str">
        <f>IF('Raw Data'!EK51="","",'Raw Data'!EK51)</f>
        <v/>
      </c>
      <c r="EX43" s="15" t="str">
        <f>IF('Raw Data'!EL51="","",'Raw Data'!EL51)</f>
        <v>femmes_elite comite_gestion_conflits comite_protection</v>
      </c>
      <c r="EY43" s="15" t="str">
        <f>IF('Raw Data'!EM51="","",'Raw Data'!EM51)</f>
        <v>1</v>
      </c>
      <c r="EZ43" s="15" t="str">
        <f>IF('Raw Data'!EN51="","",'Raw Data'!EN51)</f>
        <v>1</v>
      </c>
      <c r="FA43" s="15" t="str">
        <f>IF('Raw Data'!EO51="","",'Raw Data'!EO51)</f>
        <v>0</v>
      </c>
      <c r="FB43" s="15" t="str">
        <f>IF('Raw Data'!EP51="","",'Raw Data'!EP51)</f>
        <v>0</v>
      </c>
      <c r="FC43" s="15" t="str">
        <f>IF('Raw Data'!EQ51="","",'Raw Data'!EQ51)</f>
        <v>0</v>
      </c>
      <c r="FD43" s="15" t="str">
        <f>IF('Raw Data'!ER51="","",'Raw Data'!ER51)</f>
        <v>1</v>
      </c>
      <c r="FE43" s="15" t="str">
        <f>IF('Raw Data'!ES51="","",'Raw Data'!ES51)</f>
        <v>0</v>
      </c>
      <c r="FF43" s="15" t="str">
        <f>IF('Raw Data'!ET51="","",'Raw Data'!ET51)</f>
        <v>0</v>
      </c>
      <c r="FG43" s="15" t="str">
        <f>IF('Raw Data'!EU51="","",'Raw Data'!EU51)</f>
        <v>0</v>
      </c>
      <c r="FH43" s="15" t="str">
        <f>IF('Raw Data'!EV51="","",'Raw Data'!EV51)</f>
        <v>0</v>
      </c>
      <c r="FI43" s="15" t="str">
        <f>IF('Raw Data'!EW51="","",'Raw Data'!EW51)</f>
        <v/>
      </c>
      <c r="FJ43" s="15" t="str">
        <f>IF('Raw Data'!EX51="","",'Raw Data'!EX51)</f>
        <v>oui</v>
      </c>
      <c r="FK43" s="15" t="str">
        <f>IF('Raw Data'!EY51="","",'Raw Data'!EY51)</f>
        <v>Radio_television Chef_village</v>
      </c>
      <c r="FL43" s="15" t="str">
        <f>IF('Raw Data'!EZ51="","",'Raw Data'!EZ51)</f>
        <v>1</v>
      </c>
      <c r="FM43" s="15" t="str">
        <f>IF('Raw Data'!FA51="","",'Raw Data'!FA51)</f>
        <v>0</v>
      </c>
      <c r="FN43" s="15" t="str">
        <f>IF('Raw Data'!FB51="","",'Raw Data'!FB51)</f>
        <v>0</v>
      </c>
      <c r="FO43" s="15" t="str">
        <f>IF('Raw Data'!FC51="","",'Raw Data'!FC51)</f>
        <v>0</v>
      </c>
      <c r="FP43" s="15" t="str">
        <f>IF('Raw Data'!FD51="","",'Raw Data'!FD51)</f>
        <v>1</v>
      </c>
      <c r="FQ43" s="15" t="str">
        <f>IF('Raw Data'!FE51="","",'Raw Data'!FE51)</f>
        <v>0</v>
      </c>
      <c r="FR43" s="15" t="str">
        <f>IF('Raw Data'!FF51="","",'Raw Data'!FF51)</f>
        <v>0</v>
      </c>
      <c r="FS43" s="15" t="str">
        <f>IF('Raw Data'!FG51="","",'Raw Data'!FG51)</f>
        <v>0</v>
      </c>
      <c r="FT43" s="15" t="str">
        <f>IF('Raw Data'!FH51="","",'Raw Data'!FH51)</f>
        <v>0</v>
      </c>
      <c r="FU43" s="15" t="str">
        <f>IF('Raw Data'!FI51="","",'Raw Data'!FI51)</f>
        <v>0</v>
      </c>
      <c r="FV43" s="15" t="str">
        <f>IF('Raw Data'!FJ51="","",'Raw Data'!FJ51)</f>
        <v>0</v>
      </c>
      <c r="FW43" s="15" t="str">
        <f>IF('Raw Data'!FK51="","",'Raw Data'!FK51)</f>
        <v>0</v>
      </c>
      <c r="FX43" s="15" t="str">
        <f>IF('Raw Data'!FL51="","",'Raw Data'!FL51)</f>
        <v>0</v>
      </c>
      <c r="FY43" s="15" t="str">
        <f>IF('Raw Data'!FM51="","",'Raw Data'!FM51)</f>
        <v>0</v>
      </c>
      <c r="FZ43" s="15" t="str">
        <f>IF('Raw Data'!FN51="","",'Raw Data'!FN51)</f>
        <v/>
      </c>
      <c r="GA43" s="15" t="str">
        <f>IF('Raw Data'!FO51="","",'Raw Data'!FO51)</f>
        <v>oui_majorite</v>
      </c>
      <c r="GB43" s="15" t="str">
        <f>IF('Raw Data'!FP51="","",'Raw Data'!FP51)</f>
        <v>oui_ensemble</v>
      </c>
      <c r="GC43" s="15" t="str">
        <f>IF('Raw Data'!FQ51="","",'Raw Data'!FQ51)</f>
        <v/>
      </c>
      <c r="GD43" s="15" t="str">
        <f>IF('Raw Data'!FR51="","",'Raw Data'!FR51)</f>
        <v/>
      </c>
      <c r="GE43" s="15" t="str">
        <f>IF('Raw Data'!FS51="","",'Raw Data'!FS51)</f>
        <v/>
      </c>
      <c r="GF43" s="15" t="str">
        <f>IF('Raw Data'!FT51="","",'Raw Data'!FT51)</f>
        <v/>
      </c>
      <c r="GG43" s="15" t="str">
        <f>IF('Raw Data'!FU51="","",'Raw Data'!FU51)</f>
        <v/>
      </c>
      <c r="GH43" s="15" t="str">
        <f>IF('Raw Data'!FV51="","",'Raw Data'!FV51)</f>
        <v/>
      </c>
      <c r="GI43" s="15" t="str">
        <f>IF('Raw Data'!FW51="","",'Raw Data'!FW51)</f>
        <v/>
      </c>
      <c r="GJ43" s="15" t="str">
        <f>IF('Raw Data'!FX51="","",'Raw Data'!FX51)</f>
        <v/>
      </c>
      <c r="GK43" s="15" t="str">
        <f>IF('Raw Data'!FY51="","",'Raw Data'!FY51)</f>
        <v/>
      </c>
      <c r="GL43" s="15" t="str">
        <f>IF('Raw Data'!FZ51="","",'Raw Data'!FZ51)</f>
        <v/>
      </c>
      <c r="GM43" s="15" t="str">
        <f>IF('Raw Data'!GA51="","",'Raw Data'!GA51)</f>
        <v>majorite</v>
      </c>
      <c r="GN43" s="15" t="str">
        <f>IF('Raw Data'!GB51="","",'Raw Data'!GB51)</f>
        <v>majorite</v>
      </c>
      <c r="GO43" s="15" t="str">
        <f>IF('Raw Data'!GC51="","",'Raw Data'!GC51)</f>
        <v>Autre</v>
      </c>
      <c r="GP43" s="15" t="str">
        <f>IF('Raw Data'!GD51="","",'Raw Data'!GD51)</f>
        <v>0</v>
      </c>
      <c r="GQ43" s="15" t="str">
        <f>IF('Raw Data'!GE51="","",'Raw Data'!GE51)</f>
        <v>0</v>
      </c>
      <c r="GR43" s="15" t="str">
        <f>IF('Raw Data'!GF51="","",'Raw Data'!GF51)</f>
        <v>0</v>
      </c>
      <c r="GS43" s="15" t="str">
        <f>IF('Raw Data'!GG51="","",'Raw Data'!GG51)</f>
        <v>0</v>
      </c>
      <c r="GT43" s="15" t="str">
        <f>IF('Raw Data'!GH51="","",'Raw Data'!GH51)</f>
        <v>0</v>
      </c>
      <c r="GU43" s="15" t="str">
        <f>IF('Raw Data'!GI51="","",'Raw Data'!GI51)</f>
        <v>0</v>
      </c>
      <c r="GV43" s="15" t="str">
        <f>IF('Raw Data'!GJ51="","",'Raw Data'!GJ51)</f>
        <v>0</v>
      </c>
      <c r="GW43" s="15" t="str">
        <f>IF('Raw Data'!GK51="","",'Raw Data'!GK51)</f>
        <v>1</v>
      </c>
      <c r="GX43" s="15" t="str">
        <f>IF('Raw Data'!GL51="","",'Raw Data'!GL51)</f>
        <v>0</v>
      </c>
      <c r="GY43" s="15" t="str">
        <f>IF('Raw Data'!GM51="","",'Raw Data'!GM51)</f>
        <v xml:space="preserve">Chef de village </v>
      </c>
      <c r="GZ43" s="15" t="str">
        <f>IF('Raw Data'!GN51="","",'Raw Data'!GN51)</f>
        <v>oui_majorite</v>
      </c>
      <c r="HA43" s="15" t="str">
        <f>IF('Raw Data'!GO51="","",'Raw Data'!GO51)</f>
        <v>oui_majorite</v>
      </c>
      <c r="HB43" s="15" t="str">
        <f>IF('Raw Data'!GP51="","",'Raw Data'!GP51)</f>
        <v>amelioration_futur repond_besoins_pop</v>
      </c>
      <c r="HC43" s="15" t="str">
        <f>IF('Raw Data'!GQ51="","",'Raw Data'!GQ51)</f>
        <v>1</v>
      </c>
      <c r="HD43" s="15" t="str">
        <f>IF('Raw Data'!GR51="","",'Raw Data'!GR51)</f>
        <v>1</v>
      </c>
      <c r="HE43" s="15" t="str">
        <f>IF('Raw Data'!GS51="","",'Raw Data'!GS51)</f>
        <v>0</v>
      </c>
      <c r="HF43" s="15" t="str">
        <f>IF('Raw Data'!GT51="","",'Raw Data'!GT51)</f>
        <v>0</v>
      </c>
      <c r="HG43" s="15" t="str">
        <f>IF('Raw Data'!GU51="","",'Raw Data'!GU51)</f>
        <v>0</v>
      </c>
      <c r="HH43" s="15" t="str">
        <f>IF('Raw Data'!GV51="","",'Raw Data'!GV51)</f>
        <v>0</v>
      </c>
      <c r="HI43" s="15" t="str">
        <f>IF('Raw Data'!GW51="","",'Raw Data'!GW51)</f>
        <v>0</v>
      </c>
      <c r="HJ43" s="15" t="str">
        <f>IF('Raw Data'!GX51="","",'Raw Data'!GX51)</f>
        <v>0</v>
      </c>
      <c r="HK43" s="15" t="str">
        <f>IF('Raw Data'!GY51="","",'Raw Data'!GY51)</f>
        <v/>
      </c>
      <c r="HL43" s="15" t="str">
        <f>IF('Raw Data'!GZ51="","",'Raw Data'!GZ51)</f>
        <v>Autre</v>
      </c>
      <c r="HM43" s="15" t="str">
        <f>IF('Raw Data'!HA51="","",'Raw Data'!HA51)</f>
        <v>0</v>
      </c>
      <c r="HN43" s="15" t="str">
        <f>IF('Raw Data'!HB51="","",'Raw Data'!HB51)</f>
        <v>0</v>
      </c>
      <c r="HO43" s="15" t="str">
        <f>IF('Raw Data'!HC51="","",'Raw Data'!HC51)</f>
        <v>0</v>
      </c>
      <c r="HP43" s="15" t="str">
        <f>IF('Raw Data'!HD51="","",'Raw Data'!HD51)</f>
        <v>0</v>
      </c>
      <c r="HQ43" s="15" t="str">
        <f>IF('Raw Data'!HE51="","",'Raw Data'!HE51)</f>
        <v>1</v>
      </c>
      <c r="HR43" s="15" t="str">
        <f>IF('Raw Data'!HF51="","",'Raw Data'!HF51)</f>
        <v>0</v>
      </c>
      <c r="HS43" s="31" t="s">
        <v>1617</v>
      </c>
      <c r="HT43" s="15" t="str">
        <f>IF('Raw Data'!HH51="","",'Raw Data'!HH51)</f>
        <v/>
      </c>
      <c r="HU43" s="15" t="str">
        <f>IF('Raw Data'!HI51="","",'Raw Data'!HI51)</f>
        <v>oui_minorite</v>
      </c>
      <c r="HV43" s="15" t="str">
        <f>IF('Raw Data'!HJ51="","",'Raw Data'!HJ51)</f>
        <v>ingo</v>
      </c>
      <c r="HW43" s="15" t="str">
        <f>IF('Raw Data'!HK51="","",'Raw Data'!HK51)</f>
        <v>0</v>
      </c>
      <c r="HX43" s="15" t="str">
        <f>IF('Raw Data'!HL51="","",'Raw Data'!HL51)</f>
        <v>0</v>
      </c>
      <c r="HY43" s="15" t="str">
        <f>IF('Raw Data'!HM51="","",'Raw Data'!HM51)</f>
        <v>0</v>
      </c>
      <c r="HZ43" s="15" t="str">
        <f>IF('Raw Data'!HN51="","",'Raw Data'!HN51)</f>
        <v>0</v>
      </c>
      <c r="IA43" s="15" t="str">
        <f>IF('Raw Data'!HO51="","",'Raw Data'!HO51)</f>
        <v>1</v>
      </c>
      <c r="IB43" s="15" t="str">
        <f>IF('Raw Data'!HP51="","",'Raw Data'!HP51)</f>
        <v>0</v>
      </c>
      <c r="IC43" s="15" t="str">
        <f>IF('Raw Data'!HQ51="","",'Raw Data'!HQ51)</f>
        <v>0</v>
      </c>
      <c r="ID43" s="15" t="str">
        <f>IF('Raw Data'!HR51="","",'Raw Data'!HR51)</f>
        <v>0</v>
      </c>
      <c r="IE43" s="15" t="str">
        <f>IF('Raw Data'!HS51="","",'Raw Data'!HS51)</f>
        <v>0</v>
      </c>
      <c r="IF43" s="15" t="str">
        <f>IF('Raw Data'!HT51="","",'Raw Data'!HT51)</f>
        <v>0</v>
      </c>
      <c r="IG43" s="15" t="str">
        <f>IF('Raw Data'!HU51="","",'Raw Data'!HU51)</f>
        <v/>
      </c>
      <c r="IH43" s="15" t="str">
        <f>IF('Raw Data'!HV51="","",'Raw Data'!HV51)</f>
        <v>oui</v>
      </c>
      <c r="II43" s="15" t="str">
        <f>IF('Raw Data'!HW51="","",'Raw Data'!HW51)</f>
        <v/>
      </c>
      <c r="IJ43" s="15" t="str">
        <f>IF('Raw Data'!HX51="","",'Raw Data'!HX51)</f>
        <v/>
      </c>
      <c r="IK43" s="15" t="str">
        <f>IF('Raw Data'!HY51="","",'Raw Data'!HY51)</f>
        <v/>
      </c>
      <c r="IL43" s="15" t="str">
        <f>IF('Raw Data'!HZ51="","",'Raw Data'!HZ51)</f>
        <v/>
      </c>
      <c r="IM43" s="15" t="str">
        <f>IF('Raw Data'!IA51="","",'Raw Data'!IA51)</f>
        <v/>
      </c>
      <c r="IN43" s="15" t="str">
        <f>IF('Raw Data'!IB51="","",'Raw Data'!IB51)</f>
        <v/>
      </c>
      <c r="IO43" s="15" t="str">
        <f>IF('Raw Data'!IC51="","",'Raw Data'!IC51)</f>
        <v/>
      </c>
      <c r="IP43" s="15" t="str">
        <f>IF('Raw Data'!ID51="","",'Raw Data'!ID51)</f>
        <v/>
      </c>
      <c r="IQ43" s="15" t="str">
        <f>IF('Raw Data'!IE51="","",'Raw Data'!IE51)</f>
        <v/>
      </c>
      <c r="IR43" s="15" t="str">
        <f>IF('Raw Data'!IF51="","",'Raw Data'!IF51)</f>
        <v/>
      </c>
      <c r="IS43" s="15" t="str">
        <f>IF('Raw Data'!IG51="","",'Raw Data'!IG51)</f>
        <v/>
      </c>
      <c r="IT43" s="15" t="str">
        <f>IF('Raw Data'!IH51="","",'Raw Data'!IH51)</f>
        <v/>
      </c>
      <c r="IU43" s="15" t="str">
        <f>IF('Raw Data'!II51="","",'Raw Data'!II51)</f>
        <v/>
      </c>
      <c r="IV43" s="15" t="str">
        <f>IF('Raw Data'!IJ51="","",'Raw Data'!IJ51)</f>
        <v/>
      </c>
      <c r="IW43" s="15" t="str">
        <f>IF('Raw Data'!IK51="","",'Raw Data'!IK51)</f>
        <v/>
      </c>
      <c r="IX43" s="15" t="str">
        <f>IF('Raw Data'!IL51="","",'Raw Data'!IL51)</f>
        <v/>
      </c>
      <c r="IY43" s="15" t="str">
        <f>IF('Raw Data'!IM51="","",'Raw Data'!IM51)</f>
        <v/>
      </c>
      <c r="IZ43" s="15" t="str">
        <f>IF('Raw Data'!IN51="","",'Raw Data'!IN51)</f>
        <v>103</v>
      </c>
      <c r="JA43" s="15" t="str">
        <f>IF('Raw Data'!IO51="","",'Raw Data'!IO51)</f>
        <v>acces_docs</v>
      </c>
      <c r="JB43" s="15" t="str">
        <f>IF('Raw Data'!IP51="","",'Raw Data'!IP51)</f>
        <v>0</v>
      </c>
      <c r="JC43" s="15" t="str">
        <f>IF('Raw Data'!IQ51="","",'Raw Data'!IQ51)</f>
        <v>0</v>
      </c>
      <c r="JD43" s="15" t="str">
        <f>IF('Raw Data'!IR51="","",'Raw Data'!IR51)</f>
        <v>0</v>
      </c>
      <c r="JE43" s="15" t="str">
        <f>IF('Raw Data'!IS51="","",'Raw Data'!IS51)</f>
        <v>0</v>
      </c>
      <c r="JF43" s="15" t="str">
        <f>IF('Raw Data'!IT51="","",'Raw Data'!IT51)</f>
        <v>1</v>
      </c>
      <c r="JG43" s="15" t="str">
        <f>IF('Raw Data'!IU51="","",'Raw Data'!IU51)</f>
        <v>0</v>
      </c>
      <c r="JH43" s="15" t="str">
        <f>IF('Raw Data'!IV51="","",'Raw Data'!IV51)</f>
        <v>0</v>
      </c>
      <c r="JI43" s="15" t="str">
        <f>IF('Raw Data'!IW51="","",'Raw Data'!IW51)</f>
        <v>0</v>
      </c>
      <c r="JJ43" s="15" t="str">
        <f>IF('Raw Data'!IX51="","",'Raw Data'!IX51)</f>
        <v>0</v>
      </c>
      <c r="JK43" s="15" t="str">
        <f>IF('Raw Data'!IY51="","",'Raw Data'!IY51)</f>
        <v>0</v>
      </c>
      <c r="JL43" s="15" t="str">
        <f>IF('Raw Data'!IZ51="","",'Raw Data'!IZ51)</f>
        <v/>
      </c>
      <c r="JM43" s="31" t="s">
        <v>1330</v>
      </c>
      <c r="JN43" s="15" t="str">
        <f>IF('Raw Data'!JB51="","",'Raw Data'!JB51)</f>
        <v>0</v>
      </c>
      <c r="JO43" s="15" t="str">
        <f>IF('Raw Data'!JC51="","",'Raw Data'!JC51)</f>
        <v>0</v>
      </c>
      <c r="JP43" s="15" t="str">
        <f>IF('Raw Data'!JD51="","",'Raw Data'!JD51)</f>
        <v>1</v>
      </c>
      <c r="JQ43" s="31">
        <v>0</v>
      </c>
      <c r="JR43" s="15" t="str">
        <f>IF('Raw Data'!JF51="","",'Raw Data'!JF51)</f>
        <v>0</v>
      </c>
      <c r="JS43" s="15" t="str">
        <f>IF('Raw Data'!JG51="","",'Raw Data'!JG51)</f>
        <v>0</v>
      </c>
      <c r="JT43" s="31"/>
      <c r="JU43" s="15" t="str">
        <f>IF('Raw Data'!JI51="","",'Raw Data'!JI51)</f>
        <v/>
      </c>
      <c r="JV43" s="15" t="str">
        <f>IF('Raw Data'!JJ51="","",'Raw Data'!JJ51)</f>
        <v/>
      </c>
      <c r="JW43" s="15" t="str">
        <f>IF('Raw Data'!JK51="","",'Raw Data'!JK51)</f>
        <v/>
      </c>
      <c r="JX43" s="15" t="str">
        <f>IF('Raw Data'!JL51="","",'Raw Data'!JL51)</f>
        <v/>
      </c>
      <c r="JY43" s="15" t="str">
        <f>IF('Raw Data'!JM51="","",'Raw Data'!JM51)</f>
        <v/>
      </c>
      <c r="JZ43" s="15" t="str">
        <f>IF('Raw Data'!JN51="","",'Raw Data'!JN51)</f>
        <v/>
      </c>
      <c r="KA43" s="15" t="str">
        <f>IF('Raw Data'!JO51="","",'Raw Data'!JO51)</f>
        <v/>
      </c>
      <c r="KB43" s="15" t="str">
        <f>IF('Raw Data'!JP51="","",'Raw Data'!JP51)</f>
        <v/>
      </c>
      <c r="KC43" s="15" t="str">
        <f>IF('Raw Data'!JQ51="","",'Raw Data'!JQ51)</f>
        <v/>
      </c>
      <c r="KD43" s="15" t="str">
        <f>IF('Raw Data'!JR51="","",'Raw Data'!JR51)</f>
        <v/>
      </c>
      <c r="KE43" s="15" t="str">
        <f>IF('Raw Data'!JS51="","",'Raw Data'!JS51)</f>
        <v/>
      </c>
      <c r="KF43" s="15" t="str">
        <f>IF('Raw Data'!JT51="","",'Raw Data'!JT51)</f>
        <v>surete</v>
      </c>
      <c r="KG43" s="15" t="str">
        <f>IF('Raw Data'!JU51="","",'Raw Data'!JU51)</f>
        <v>0</v>
      </c>
      <c r="KH43" s="15" t="str">
        <f>IF('Raw Data'!JV51="","",'Raw Data'!JV51)</f>
        <v>0</v>
      </c>
      <c r="KI43" s="15" t="str">
        <f>IF('Raw Data'!JW51="","",'Raw Data'!JW51)</f>
        <v>0</v>
      </c>
      <c r="KJ43" s="15" t="str">
        <f>IF('Raw Data'!JX51="","",'Raw Data'!JX51)</f>
        <v>0</v>
      </c>
      <c r="KK43" s="15" t="str">
        <f>IF('Raw Data'!JY51="","",'Raw Data'!JY51)</f>
        <v>1</v>
      </c>
      <c r="KL43" s="15" t="str">
        <f>IF('Raw Data'!JZ51="","",'Raw Data'!JZ51)</f>
        <v>0</v>
      </c>
      <c r="KM43" s="15" t="str">
        <f>IF('Raw Data'!KA51="","",'Raw Data'!KA51)</f>
        <v>0</v>
      </c>
      <c r="KN43" s="15" t="str">
        <f>IF('Raw Data'!KB51="","",'Raw Data'!KB51)</f>
        <v>0</v>
      </c>
      <c r="KO43" s="15" t="str">
        <f>IF('Raw Data'!KC51="","",'Raw Data'!KC51)</f>
        <v>0</v>
      </c>
      <c r="KP43" s="15" t="str">
        <f>IF('Raw Data'!KD51="","",'Raw Data'!KD51)</f>
        <v/>
      </c>
      <c r="KQ43" s="15" t="str">
        <f>IF('Raw Data'!KE51="","",'Raw Data'!KE51)</f>
        <v/>
      </c>
      <c r="KR43" s="15" t="str">
        <f>IF('Raw Data'!KF51="","",'Raw Data'!KF51)</f>
        <v>non</v>
      </c>
      <c r="KS43" s="15" t="str">
        <f>IF('Raw Data'!KG51="","",'Raw Data'!KG51)</f>
        <v/>
      </c>
      <c r="KT43" s="15" t="str">
        <f>IF('Raw Data'!KH51="","",'Raw Data'!KH51)</f>
        <v/>
      </c>
      <c r="KU43" s="15" t="str">
        <f>IF('Raw Data'!KI51="","",'Raw Data'!KI51)</f>
        <v/>
      </c>
      <c r="KV43" s="15" t="str">
        <f>IF('Raw Data'!KJ51="","",'Raw Data'!KJ51)</f>
        <v/>
      </c>
      <c r="KW43" s="15" t="str">
        <f>IF('Raw Data'!KK51="","",'Raw Data'!KK51)</f>
        <v/>
      </c>
      <c r="KX43" s="15" t="str">
        <f>IF('Raw Data'!KL51="","",'Raw Data'!KL51)</f>
        <v/>
      </c>
      <c r="KY43" s="15" t="str">
        <f>IF('Raw Data'!KM51="","",'Raw Data'!KM51)</f>
        <v/>
      </c>
      <c r="KZ43" s="15" t="str">
        <f>IF('Raw Data'!KN51="","",'Raw Data'!KN51)</f>
        <v/>
      </c>
      <c r="LA43" s="15" t="str">
        <f>IF('Raw Data'!KO51="","",'Raw Data'!KO51)</f>
        <v/>
      </c>
      <c r="LB43" s="15" t="str">
        <f>IF('Raw Data'!KP51="","",'Raw Data'!KP51)</f>
        <v/>
      </c>
      <c r="LC43" s="15" t="str">
        <f>IF('Raw Data'!KQ51="","",'Raw Data'!KQ51)</f>
        <v/>
      </c>
      <c r="LD43" s="15" t="str">
        <f>IF('Raw Data'!KR51="","",'Raw Data'!KR51)</f>
        <v/>
      </c>
      <c r="LE43" s="15" t="str">
        <f>IF('Raw Data'!KS51="","",'Raw Data'!KS51)</f>
        <v/>
      </c>
      <c r="LF43" s="15" t="str">
        <f>IF('Raw Data'!KT51="","",'Raw Data'!KT51)</f>
        <v/>
      </c>
      <c r="LG43" s="15" t="str">
        <f>IF('Raw Data'!KU51="","",'Raw Data'!KU51)</f>
        <v/>
      </c>
      <c r="LH43" s="15" t="str">
        <f>IF('Raw Data'!KV51="","",'Raw Data'!KV51)</f>
        <v/>
      </c>
      <c r="LI43" s="15" t="str">
        <f>IF('Raw Data'!KW51="","",'Raw Data'!KW51)</f>
        <v/>
      </c>
      <c r="LJ43" s="15" t="str">
        <f>IF('Raw Data'!KX51="","",'Raw Data'!KX51)</f>
        <v/>
      </c>
      <c r="LK43" s="15" t="str">
        <f>IF('Raw Data'!KY51="","",'Raw Data'!KY51)</f>
        <v/>
      </c>
      <c r="LL43" s="15" t="str">
        <f>IF('Raw Data'!KZ51="","",'Raw Data'!KZ51)</f>
        <v/>
      </c>
      <c r="LM43" s="15" t="str">
        <f>IF('Raw Data'!LA51="","",'Raw Data'!LA51)</f>
        <v/>
      </c>
      <c r="LN43" s="15" t="str">
        <f>IF('Raw Data'!LB51="","",'Raw Data'!LB51)</f>
        <v>non</v>
      </c>
      <c r="LO43" s="15" t="str">
        <f>IF('Raw Data'!LC51="","",'Raw Data'!LC51)</f>
        <v/>
      </c>
      <c r="LP43" s="15" t="str">
        <f>IF('Raw Data'!LD51="","",'Raw Data'!LD51)</f>
        <v/>
      </c>
      <c r="LQ43" s="15" t="str">
        <f>IF('Raw Data'!LE51="","",'Raw Data'!LE51)</f>
        <v/>
      </c>
      <c r="LR43" s="15" t="str">
        <f>IF('Raw Data'!LF51="","",'Raw Data'!LF51)</f>
        <v/>
      </c>
      <c r="LS43" s="15" t="str">
        <f>IF('Raw Data'!LG51="","",'Raw Data'!LG51)</f>
        <v/>
      </c>
      <c r="LT43" s="15" t="str">
        <f>IF('Raw Data'!LH51="","",'Raw Data'!LH51)</f>
        <v/>
      </c>
      <c r="LU43" s="15" t="str">
        <f>IF('Raw Data'!LI51="","",'Raw Data'!LI51)</f>
        <v/>
      </c>
      <c r="LV43" s="15" t="str">
        <f>IF('Raw Data'!LJ51="","",'Raw Data'!LJ51)</f>
        <v/>
      </c>
      <c r="LW43" s="15" t="str">
        <f>IF('Raw Data'!LK51="","",'Raw Data'!LK51)</f>
        <v/>
      </c>
      <c r="LX43" s="15" t="str">
        <f>IF('Raw Data'!LL51="","",'Raw Data'!LL51)</f>
        <v/>
      </c>
      <c r="LY43" s="15" t="str">
        <f>IF('Raw Data'!LM51="","",'Raw Data'!LM51)</f>
        <v/>
      </c>
      <c r="LZ43" s="15" t="str">
        <f>IF('Raw Data'!LN51="","",'Raw Data'!LN51)</f>
        <v/>
      </c>
      <c r="MA43" s="15" t="str">
        <f>IF('Raw Data'!LO51="","",'Raw Data'!LO51)</f>
        <v/>
      </c>
      <c r="MB43" s="15" t="str">
        <f>IF('Raw Data'!LP51="","",'Raw Data'!LP51)</f>
        <v>oui</v>
      </c>
      <c r="MC43" s="15" t="str">
        <f>IF('Raw Data'!LQ51="","",'Raw Data'!LQ51)</f>
        <v/>
      </c>
      <c r="MD43" s="15" t="str">
        <f>IF('Raw Data'!LR51="","",'Raw Data'!LR51)</f>
        <v xml:space="preserve">Avoir a manger et de l'eau c'est largement suffisant </v>
      </c>
      <c r="ME43" s="15">
        <f>IF('Raw Data'!LS51="","",'Raw Data'!LS51)</f>
        <v>170460448</v>
      </c>
      <c r="MF43" s="15" t="str">
        <f>IF('Raw Data'!LT51="","",'Raw Data'!LT51)</f>
        <v>0f201dbd-3829-4257-8465-475cfc00abbe</v>
      </c>
      <c r="MG43" s="15" t="str">
        <f>IF('Raw Data'!LU51="","",'Raw Data'!LU51)</f>
        <v>2021-04-08T14:13:02</v>
      </c>
      <c r="MH43" s="15" t="str">
        <f>IF('Raw Data'!LV51="","",'Raw Data'!LV51)</f>
        <v/>
      </c>
      <c r="MI43" s="15" t="str">
        <f>IF('Raw Data'!LW51="","",'Raw Data'!LW51)</f>
        <v>[]</v>
      </c>
      <c r="MJ43" s="15" t="str">
        <f>IF('Raw Data'!LX51="","",'Raw Data'!LX51)</f>
        <v>submitted_via_web</v>
      </c>
      <c r="MK43" s="15" t="str">
        <f>IF('Raw Data'!LY51="","",'Raw Data'!LY51)</f>
        <v>reach_niger</v>
      </c>
      <c r="ML43" s="15" t="str">
        <f>IF('Raw Data'!LZ51="","",'Raw Data'!LZ51)</f>
        <v/>
      </c>
      <c r="MM43" s="15">
        <f>IF('Raw Data'!MA51="","",'Raw Data'!MA51)</f>
        <v>55</v>
      </c>
    </row>
    <row r="44" spans="1:351" x14ac:dyDescent="0.3">
      <c r="A44" s="26" t="str">
        <f t="shared" si="4"/>
        <v>2c040e31-8966-48a7-b32b-ef621ac83f8c</v>
      </c>
      <c r="B44" s="26" t="str">
        <f t="shared" si="5"/>
        <v>dessa</v>
      </c>
      <c r="C44" s="26" t="str">
        <f t="shared" si="6"/>
        <v>I</v>
      </c>
      <c r="D44" s="14" t="str">
        <f>IF('Raw Data'!A32="","",'Raw Data'!A32)</f>
        <v>2021-04-02T14:35:58.773+01:00</v>
      </c>
      <c r="E44" s="14" t="str">
        <f>IF('Raw Data'!B32="","",'Raw Data'!B32)</f>
        <v>2021-04-02T15:25:44.759+01:00</v>
      </c>
      <c r="F44" s="30">
        <v>44288.608310185184</v>
      </c>
      <c r="G44" s="30">
        <v>44288.642870370371</v>
      </c>
      <c r="H44" s="29">
        <f>VLOOKUP(A44,Audit[#All],2,FALSE)</f>
        <v>49.77</v>
      </c>
      <c r="I44" s="29">
        <f>VLOOKUP(A44,Audit[#All],3,FALSE)</f>
        <v>49.73</v>
      </c>
      <c r="J44" s="29">
        <f>VLOOKUP(A44,Audit[#All],4,FALSE)</f>
        <v>44.58</v>
      </c>
      <c r="K44" s="29">
        <f>VLOOKUP(A44,nb_questions[#All],2,FALSE)</f>
        <v>68</v>
      </c>
      <c r="L44" s="29">
        <f t="shared" si="7"/>
        <v>200</v>
      </c>
      <c r="M44" s="14" t="str">
        <f>IF('Raw Data'!C32="","",'Raw Data'!C32)</f>
        <v>2021-04-02</v>
      </c>
      <c r="N44" s="14" t="str">
        <f>IF('Raw Data'!D32="","",'Raw Data'!D32)</f>
        <v/>
      </c>
      <c r="O44" s="14" t="str">
        <f>IF('Raw Data'!E32="","",'Raw Data'!E32)</f>
        <v/>
      </c>
      <c r="P44" s="29" t="str">
        <f>VLOOKUP(A44,code_enqueteurs[#All],3,FALSE)</f>
        <v>I</v>
      </c>
      <c r="Q44" s="29" t="s">
        <v>1653</v>
      </c>
      <c r="R44" s="14" t="str">
        <f>IF('Raw Data'!F32="","",'Raw Data'!F32)</f>
        <v>Homme</v>
      </c>
      <c r="S44" s="15" t="str">
        <f>IF('Raw Data'!G32="","",'Raw Data'!G32)</f>
        <v>tillaberi</v>
      </c>
      <c r="T44" s="15" t="str">
        <f>IF('Raw Data'!H32="","",'Raw Data'!H32)</f>
        <v>dessa</v>
      </c>
      <c r="U44" s="15" t="str">
        <f>IF('Raw Data'!I32="","",'Raw Data'!I32)</f>
        <v>diomona</v>
      </c>
      <c r="V44" s="15" t="str">
        <f>IF('Raw Data'!J32="","",'Raw Data'!J32)</f>
        <v/>
      </c>
      <c r="W44" s="15" t="str">
        <f>IF('Raw Data'!K32="","",'Raw Data'!K32)</f>
        <v/>
      </c>
      <c r="X44" s="15" t="str">
        <f>IF('Raw Data'!L32="","",'Raw Data'!L32)</f>
        <v/>
      </c>
      <c r="Y44" s="15" t="str">
        <f>IF('Raw Data'!M32="","",'Raw Data'!M32)</f>
        <v/>
      </c>
      <c r="Z44" s="15" t="str">
        <f>IF('Raw Data'!N32="","",'Raw Data'!N32)</f>
        <v/>
      </c>
      <c r="AA44" s="15" t="str">
        <f>IF('Raw Data'!O32="","",'Raw Data'!O32)</f>
        <v/>
      </c>
      <c r="AB44" s="15" t="str">
        <f>IF('Raw Data'!P32="","",'Raw Data'!P32)</f>
        <v/>
      </c>
      <c r="AC44" s="15" t="str">
        <f>IF('Raw Data'!Q32="","",'Raw Data'!Q32)</f>
        <v/>
      </c>
      <c r="AD44" s="15" t="str">
        <f>IF('Raw Data'!R32="","",'Raw Data'!R32)</f>
        <v>Homme</v>
      </c>
      <c r="AE44" s="15" t="str">
        <f>IF('Raw Data'!S32="","",'Raw Data'!S32)</f>
        <v>67</v>
      </c>
      <c r="AF44" s="15" t="str">
        <f>IF('Raw Data'!T32="","",'Raw Data'!T32)</f>
        <v>Hote</v>
      </c>
      <c r="AG44" s="15" t="str">
        <f>IF('Raw Data'!U32="","",'Raw Data'!U32)</f>
        <v/>
      </c>
      <c r="AH44" s="15" t="str">
        <f>IF('Raw Data'!V32="","",'Raw Data'!V32)</f>
        <v/>
      </c>
      <c r="AI44" s="15" t="str">
        <f>IF('Raw Data'!W32="","",'Raw Data'!W32)</f>
        <v/>
      </c>
      <c r="AJ44" s="15" t="str">
        <f>IF('Raw Data'!X32="","",'Raw Data'!X32)</f>
        <v/>
      </c>
      <c r="AK44" s="15" t="str">
        <f>IF('Raw Data'!Y32="","",'Raw Data'!Y32)</f>
        <v/>
      </c>
      <c r="AL44" s="15" t="str">
        <f>IF('Raw Data'!Z32="","",'Raw Data'!Z32)</f>
        <v/>
      </c>
      <c r="AM44" s="15" t="str">
        <f>IF('Raw Data'!AA32="","",'Raw Data'!AA32)</f>
        <v/>
      </c>
      <c r="AN44" s="15" t="str">
        <f>IF('Raw Data'!AB32="","",'Raw Data'!AB32)</f>
        <v/>
      </c>
      <c r="AO44" s="15" t="str">
        <f>IF('Raw Data'!AC32="","",'Raw Data'!AC32)</f>
        <v/>
      </c>
      <c r="AP44" s="15" t="str">
        <f>IF('Raw Data'!AD32="","",'Raw Data'!AD32)</f>
        <v/>
      </c>
      <c r="AQ44" s="15" t="str">
        <f>IF('Raw Data'!AE32="","",'Raw Data'!AE32)</f>
        <v/>
      </c>
      <c r="AR44" s="15" t="str">
        <f>IF('Raw Data'!AF32="","",'Raw Data'!AF32)</f>
        <v/>
      </c>
      <c r="AS44" s="15" t="str">
        <f>IF('Raw Data'!AG32="","",'Raw Data'!AG32)</f>
        <v>non</v>
      </c>
      <c r="AT44" s="15" t="str">
        <f>IF('Raw Data'!AH32="","",'Raw Data'!AH32)</f>
        <v/>
      </c>
      <c r="AU44" s="15" t="str">
        <f>IF('Raw Data'!AI32="","",'Raw Data'!AI32)</f>
        <v/>
      </c>
      <c r="AV44" s="15" t="str">
        <f>IF('Raw Data'!AJ32="","",'Raw Data'!AJ32)</f>
        <v/>
      </c>
      <c r="AW44" s="15" t="str">
        <f>IF('Raw Data'!AK32="","",'Raw Data'!AK32)</f>
        <v/>
      </c>
      <c r="AX44" s="15" t="str">
        <f>IF('Raw Data'!AL32="","",'Raw Data'!AL32)</f>
        <v/>
      </c>
      <c r="AY44" s="15" t="str">
        <f>IF('Raw Data'!AM32="","",'Raw Data'!AM32)</f>
        <v/>
      </c>
      <c r="AZ44" s="15" t="str">
        <f>IF('Raw Data'!AN32="","",'Raw Data'!AN32)</f>
        <v/>
      </c>
      <c r="BA44" s="15" t="str">
        <f>IF('Raw Data'!AO32="","",'Raw Data'!AO32)</f>
        <v/>
      </c>
      <c r="BB44" s="15" t="str">
        <f>IF('Raw Data'!AP32="","",'Raw Data'!AP32)</f>
        <v/>
      </c>
      <c r="BC44" s="15" t="str">
        <f>IF('Raw Data'!AQ32="","",'Raw Data'!AQ32)</f>
        <v/>
      </c>
      <c r="BD44" s="15" t="str">
        <f>IF('Raw Data'!AR32="","",'Raw Data'!AR32)</f>
        <v/>
      </c>
      <c r="BE44" s="15" t="str">
        <f>IF('Raw Data'!AS32="","",'Raw Data'!AS32)</f>
        <v/>
      </c>
      <c r="BF44" s="15" t="str">
        <f>IF('Raw Data'!AT32="","",'Raw Data'!AT32)</f>
        <v/>
      </c>
      <c r="BG44" s="15" t="str">
        <f>IF('Raw Data'!AU32="","",'Raw Data'!AU32)</f>
        <v/>
      </c>
      <c r="BH44" s="15" t="str">
        <f>IF('Raw Data'!AV32="","",'Raw Data'!AV32)</f>
        <v/>
      </c>
      <c r="BI44" s="15" t="str">
        <f>IF('Raw Data'!AW32="","",'Raw Data'!AW32)</f>
        <v/>
      </c>
      <c r="BJ44" s="15" t="str">
        <f>IF('Raw Data'!AX32="","",'Raw Data'!AX32)</f>
        <v/>
      </c>
      <c r="BK44" s="15" t="str">
        <f>IF('Raw Data'!AY32="","",'Raw Data'!AY32)</f>
        <v/>
      </c>
      <c r="BL44" s="15" t="str">
        <f>IF('Raw Data'!AZ32="","",'Raw Data'!AZ32)</f>
        <v/>
      </c>
      <c r="BM44" s="15" t="str">
        <f>IF('Raw Data'!BA32="","",'Raw Data'!BA32)</f>
        <v/>
      </c>
      <c r="BN44" s="15" t="str">
        <f>IF('Raw Data'!BB32="","",'Raw Data'!BB32)</f>
        <v/>
      </c>
      <c r="BO44" s="15" t="str">
        <f>IF('Raw Data'!BC32="","",'Raw Data'!BC32)</f>
        <v/>
      </c>
      <c r="BP44" s="15" t="str">
        <f>IF('Raw Data'!BD32="","",'Raw Data'!BD32)</f>
        <v/>
      </c>
      <c r="BQ44" s="15" t="str">
        <f>IF('Raw Data'!BE32="","",'Raw Data'!BE32)</f>
        <v/>
      </c>
      <c r="BR44" s="15" t="str">
        <f>IF('Raw Data'!BF32="","",'Raw Data'!BF32)</f>
        <v/>
      </c>
      <c r="BS44" s="15" t="str">
        <f>IF('Raw Data'!BG32="","",'Raw Data'!BG32)</f>
        <v/>
      </c>
      <c r="BT44" s="15" t="str">
        <f>IF('Raw Data'!BH32="","",'Raw Data'!BH32)</f>
        <v/>
      </c>
      <c r="BU44" s="15" t="str">
        <f>IF('Raw Data'!BI32="","",'Raw Data'!BI32)</f>
        <v/>
      </c>
      <c r="BV44" s="15" t="str">
        <f>IF('Raw Data'!BJ32="","",'Raw Data'!BJ32)</f>
        <v/>
      </c>
      <c r="BW44" s="15" t="str">
        <f>IF('Raw Data'!BK32="","",'Raw Data'!BK32)</f>
        <v/>
      </c>
      <c r="BX44" s="15" t="str">
        <f>IF('Raw Data'!BL32="","",'Raw Data'!BL32)</f>
        <v/>
      </c>
      <c r="BY44" s="15" t="str">
        <f>IF('Raw Data'!BM32="","",'Raw Data'!BM32)</f>
        <v/>
      </c>
      <c r="BZ44" s="15" t="str">
        <f>IF('Raw Data'!BN32="","",'Raw Data'!BN32)</f>
        <v/>
      </c>
      <c r="CA44" s="15" t="str">
        <f>IF('Raw Data'!BO32="","",'Raw Data'!BO32)</f>
        <v/>
      </c>
      <c r="CB44" s="15" t="str">
        <f>IF('Raw Data'!BP32="","",'Raw Data'!BP32)</f>
        <v/>
      </c>
      <c r="CC44" s="15" t="str">
        <f>IF('Raw Data'!BQ32="","",'Raw Data'!BQ32)</f>
        <v>non</v>
      </c>
      <c r="CD44" s="15" t="str">
        <f>IF('Raw Data'!BR32="","",'Raw Data'!BR32)</f>
        <v/>
      </c>
      <c r="CE44" s="15" t="str">
        <f>IF('Raw Data'!BS32="","",'Raw Data'!BS32)</f>
        <v/>
      </c>
      <c r="CF44" s="15" t="str">
        <f>IF('Raw Data'!BT32="","",'Raw Data'!BT32)</f>
        <v/>
      </c>
      <c r="CG44" s="15" t="str">
        <f>IF('Raw Data'!BU32="","",'Raw Data'!BU32)</f>
        <v/>
      </c>
      <c r="CH44" s="15" t="str">
        <f>IF('Raw Data'!BV32="","",'Raw Data'!BV32)</f>
        <v/>
      </c>
      <c r="CI44" s="15" t="str">
        <f>IF('Raw Data'!BW32="","",'Raw Data'!BW32)</f>
        <v/>
      </c>
      <c r="CJ44" s="15" t="str">
        <f>IF('Raw Data'!BX32="","",'Raw Data'!BX32)</f>
        <v/>
      </c>
      <c r="CK44" s="15" t="str">
        <f>IF('Raw Data'!BY32="","",'Raw Data'!BY32)</f>
        <v/>
      </c>
      <c r="CL44" s="15" t="str">
        <f>IF('Raw Data'!BZ32="","",'Raw Data'!BZ32)</f>
        <v/>
      </c>
      <c r="CM44" s="15" t="str">
        <f>IF('Raw Data'!CA32="","",'Raw Data'!CA32)</f>
        <v/>
      </c>
      <c r="CN44" s="15" t="str">
        <f>IF('Raw Data'!CB32="","",'Raw Data'!CB32)</f>
        <v/>
      </c>
      <c r="CO44" s="15" t="str">
        <f>IF('Raw Data'!CC32="","",'Raw Data'!CC32)</f>
        <v/>
      </c>
      <c r="CP44" s="15" t="str">
        <f>IF('Raw Data'!CD32="","",'Raw Data'!CD32)</f>
        <v/>
      </c>
      <c r="CQ44" s="15" t="str">
        <f>IF('Raw Data'!CE32="","",'Raw Data'!CE32)</f>
        <v/>
      </c>
      <c r="CR44" s="15" t="str">
        <f>IF('Raw Data'!CF32="","",'Raw Data'!CF32)</f>
        <v/>
      </c>
      <c r="CS44" s="15" t="str">
        <f>IF('Raw Data'!CG32="","",'Raw Data'!CG32)</f>
        <v/>
      </c>
      <c r="CT44" s="15" t="str">
        <f>IF('Raw Data'!CH32="","",'Raw Data'!CH32)</f>
        <v/>
      </c>
      <c r="CU44" s="15" t="str">
        <f>IF('Raw Data'!CI32="","",'Raw Data'!CI32)</f>
        <v/>
      </c>
      <c r="CV44" s="15" t="str">
        <f>IF('Raw Data'!CJ32="","",'Raw Data'!CJ32)</f>
        <v/>
      </c>
      <c r="CW44" s="15" t="str">
        <f>IF('Raw Data'!CK32="","",'Raw Data'!CK32)</f>
        <v/>
      </c>
      <c r="CX44" s="15" t="str">
        <f>IF('Raw Data'!CL32="","",'Raw Data'!CL32)</f>
        <v/>
      </c>
      <c r="CY44" s="15" t="str">
        <f>IF('Raw Data'!CM32="","",'Raw Data'!CM32)</f>
        <v/>
      </c>
      <c r="CZ44" s="15" t="str">
        <f>IF('Raw Data'!CN32="","",'Raw Data'!CN32)</f>
        <v/>
      </c>
      <c r="DA44" s="15" t="str">
        <f>IF('Raw Data'!CO32="","",'Raw Data'!CO32)</f>
        <v/>
      </c>
      <c r="DB44" s="15" t="str">
        <f>IF('Raw Data'!CP32="","",'Raw Data'!CP32)</f>
        <v/>
      </c>
      <c r="DC44" s="15" t="str">
        <f>IF('Raw Data'!CQ32="","",'Raw Data'!CQ32)</f>
        <v/>
      </c>
      <c r="DD44" s="15" t="str">
        <f>IF('Raw Data'!CR32="","",'Raw Data'!CR32)</f>
        <v/>
      </c>
      <c r="DE44" s="15" t="str">
        <f>IF('Raw Data'!CS32="","",'Raw Data'!CS32)</f>
        <v/>
      </c>
      <c r="DF44" s="15" t="str">
        <f>IF('Raw Data'!CT32="","",'Raw Data'!CT32)</f>
        <v/>
      </c>
      <c r="DG44" s="15" t="str">
        <f>IF('Raw Data'!CU32="","",'Raw Data'!CU32)</f>
        <v/>
      </c>
      <c r="DH44" s="15" t="str">
        <f>IF('Raw Data'!CV32="","",'Raw Data'!CV32)</f>
        <v/>
      </c>
      <c r="DI44" s="15" t="str">
        <f>IF('Raw Data'!CW32="","",'Raw Data'!CW32)</f>
        <v/>
      </c>
      <c r="DJ44" s="15" t="str">
        <f>IF('Raw Data'!CX32="","",'Raw Data'!CX32)</f>
        <v/>
      </c>
      <c r="DK44" s="15" t="str">
        <f>IF('Raw Data'!CY32="","",'Raw Data'!CY32)</f>
        <v/>
      </c>
      <c r="DL44" s="15" t="str">
        <f>IF('Raw Data'!CZ32="","",'Raw Data'!CZ32)</f>
        <v/>
      </c>
      <c r="DM44" s="15" t="str">
        <f>IF('Raw Data'!DA32="","",'Raw Data'!DA32)</f>
        <v/>
      </c>
      <c r="DN44" s="15" t="str">
        <f>IF('Raw Data'!DB32="","",'Raw Data'!DB32)</f>
        <v/>
      </c>
      <c r="DO44" s="15" t="str">
        <f>IF('Raw Data'!DC32="","",'Raw Data'!DC32)</f>
        <v/>
      </c>
      <c r="DP44" s="15" t="str">
        <f>IF('Raw Data'!DD32="","",'Raw Data'!DD32)</f>
        <v/>
      </c>
      <c r="DQ44" s="15" t="str">
        <f>IF('Raw Data'!DE32="","",'Raw Data'!DE32)</f>
        <v/>
      </c>
      <c r="DR44" s="15" t="str">
        <f>IF('Raw Data'!DF32="","",'Raw Data'!DF32)</f>
        <v/>
      </c>
      <c r="DS44" s="15" t="str">
        <f>IF('Raw Data'!DG32="","",'Raw Data'!DG32)</f>
        <v/>
      </c>
      <c r="DT44" s="15" t="str">
        <f>IF('Raw Data'!DH32="","",'Raw Data'!DH32)</f>
        <v/>
      </c>
      <c r="DU44" s="15" t="str">
        <f>IF('Raw Data'!DI32="","",'Raw Data'!DI32)</f>
        <v/>
      </c>
      <c r="DV44" s="15" t="str">
        <f>IF('Raw Data'!DJ32="","",'Raw Data'!DJ32)</f>
        <v/>
      </c>
      <c r="DW44" s="15" t="str">
        <f>IF('Raw Data'!DK32="","",'Raw Data'!DK32)</f>
        <v/>
      </c>
      <c r="DX44" s="15" t="str">
        <f>IF('Raw Data'!DL32="","",'Raw Data'!DL32)</f>
        <v/>
      </c>
      <c r="DY44" s="15" t="str">
        <f>IF('Raw Data'!DM32="","",'Raw Data'!DM32)</f>
        <v/>
      </c>
      <c r="DZ44" s="15" t="str">
        <f>IF('Raw Data'!DN32="","",'Raw Data'!DN32)</f>
        <v/>
      </c>
      <c r="EA44" s="15" t="str">
        <f>IF('Raw Data'!DO32="","",'Raw Data'!DO32)</f>
        <v/>
      </c>
      <c r="EB44" s="15" t="str">
        <f>IF('Raw Data'!DP32="","",'Raw Data'!DP32)</f>
        <v/>
      </c>
      <c r="EC44" s="15" t="str">
        <f>IF('Raw Data'!DQ32="","",'Raw Data'!DQ32)</f>
        <v/>
      </c>
      <c r="ED44" s="15" t="str">
        <f>IF('Raw Data'!DR32="","",'Raw Data'!DR32)</f>
        <v/>
      </c>
      <c r="EE44" s="15" t="str">
        <f>IF('Raw Data'!DS32="","",'Raw Data'!DS32)</f>
        <v/>
      </c>
      <c r="EF44" s="15" t="str">
        <f>IF('Raw Data'!DT32="","",'Raw Data'!DT32)</f>
        <v/>
      </c>
      <c r="EG44" s="15" t="str">
        <f>IF('Raw Data'!DU32="","",'Raw Data'!DU32)</f>
        <v/>
      </c>
      <c r="EH44" s="15" t="str">
        <f>IF('Raw Data'!DV32="","",'Raw Data'!DV32)</f>
        <v/>
      </c>
      <c r="EI44" s="15" t="str">
        <f>IF('Raw Data'!DW32="","",'Raw Data'!DW32)</f>
        <v/>
      </c>
      <c r="EJ44" s="15" t="str">
        <f>IF('Raw Data'!DX32="","",'Raw Data'!DX32)</f>
        <v/>
      </c>
      <c r="EK44" s="15" t="str">
        <f>IF('Raw Data'!DY32="","",'Raw Data'!DY32)</f>
        <v/>
      </c>
      <c r="EL44" s="15" t="str">
        <f>IF('Raw Data'!DZ32="","",'Raw Data'!DZ32)</f>
        <v>Integration_com_hote dplct_abords_com</v>
      </c>
      <c r="EM44" s="15" t="str">
        <f>IF('Raw Data'!EA32="","",'Raw Data'!EA32)</f>
        <v>1</v>
      </c>
      <c r="EN44" s="15" t="str">
        <f>IF('Raw Data'!EB32="","",'Raw Data'!EB32)</f>
        <v>1</v>
      </c>
      <c r="EO44" s="15" t="str">
        <f>IF('Raw Data'!EC32="","",'Raw Data'!EC32)</f>
        <v>0</v>
      </c>
      <c r="EP44" s="15" t="str">
        <f>IF('Raw Data'!ED32="","",'Raw Data'!ED32)</f>
        <v>0</v>
      </c>
      <c r="EQ44" s="15" t="str">
        <f>IF('Raw Data'!EE32="","",'Raw Data'!EE32)</f>
        <v>0</v>
      </c>
      <c r="ER44" s="15" t="str">
        <f>IF('Raw Data'!EF32="","",'Raw Data'!EF32)</f>
        <v>0</v>
      </c>
      <c r="ES44" s="15" t="str">
        <f>IF('Raw Data'!EG32="","",'Raw Data'!EG32)</f>
        <v>0</v>
      </c>
      <c r="ET44" s="15" t="str">
        <f>IF('Raw Data'!EH32="","",'Raw Data'!EH32)</f>
        <v>0</v>
      </c>
      <c r="EU44" s="15" t="str">
        <f>IF('Raw Data'!EI32="","",'Raw Data'!EI32)</f>
        <v>0</v>
      </c>
      <c r="EV44" s="15" t="str">
        <f>IF('Raw Data'!EJ32="","",'Raw Data'!EJ32)</f>
        <v/>
      </c>
      <c r="EW44" s="15" t="str">
        <f>IF('Raw Data'!EK32="","",'Raw Data'!EK32)</f>
        <v/>
      </c>
      <c r="EX44" s="15" t="str">
        <f>IF('Raw Data'!EL32="","",'Raw Data'!EL32)</f>
        <v>comite_protection femmes_elite</v>
      </c>
      <c r="EY44" s="15" t="str">
        <f>IF('Raw Data'!EM32="","",'Raw Data'!EM32)</f>
        <v>1</v>
      </c>
      <c r="EZ44" s="15" t="str">
        <f>IF('Raw Data'!EN32="","",'Raw Data'!EN32)</f>
        <v>1</v>
      </c>
      <c r="FA44" s="15" t="str">
        <f>IF('Raw Data'!EO32="","",'Raw Data'!EO32)</f>
        <v>0</v>
      </c>
      <c r="FB44" s="15" t="str">
        <f>IF('Raw Data'!EP32="","",'Raw Data'!EP32)</f>
        <v>0</v>
      </c>
      <c r="FC44" s="15" t="str">
        <f>IF('Raw Data'!EQ32="","",'Raw Data'!EQ32)</f>
        <v>0</v>
      </c>
      <c r="FD44" s="15" t="str">
        <f>IF('Raw Data'!ER32="","",'Raw Data'!ER32)</f>
        <v>0</v>
      </c>
      <c r="FE44" s="15" t="str">
        <f>IF('Raw Data'!ES32="","",'Raw Data'!ES32)</f>
        <v>0</v>
      </c>
      <c r="FF44" s="15" t="str">
        <f>IF('Raw Data'!ET32="","",'Raw Data'!ET32)</f>
        <v>0</v>
      </c>
      <c r="FG44" s="15" t="str">
        <f>IF('Raw Data'!EU32="","",'Raw Data'!EU32)</f>
        <v>0</v>
      </c>
      <c r="FH44" s="15" t="str">
        <f>IF('Raw Data'!EV32="","",'Raw Data'!EV32)</f>
        <v>0</v>
      </c>
      <c r="FI44" s="15" t="str">
        <f>IF('Raw Data'!EW32="","",'Raw Data'!EW32)</f>
        <v/>
      </c>
      <c r="FJ44" s="15" t="str">
        <f>IF('Raw Data'!EX32="","",'Raw Data'!EX32)</f>
        <v>oui</v>
      </c>
      <c r="FK44" s="15" t="str">
        <f>IF('Raw Data'!EY32="","",'Raw Data'!EY32)</f>
        <v>Chef_village Differents_comites_villageois</v>
      </c>
      <c r="FL44" s="15" t="str">
        <f>IF('Raw Data'!EZ32="","",'Raw Data'!EZ32)</f>
        <v>0</v>
      </c>
      <c r="FM44" s="15" t="str">
        <f>IF('Raw Data'!FA32="","",'Raw Data'!FA32)</f>
        <v>0</v>
      </c>
      <c r="FN44" s="15" t="str">
        <f>IF('Raw Data'!FB32="","",'Raw Data'!FB32)</f>
        <v>0</v>
      </c>
      <c r="FO44" s="15" t="str">
        <f>IF('Raw Data'!FC32="","",'Raw Data'!FC32)</f>
        <v>0</v>
      </c>
      <c r="FP44" s="15" t="str">
        <f>IF('Raw Data'!FD32="","",'Raw Data'!FD32)</f>
        <v>1</v>
      </c>
      <c r="FQ44" s="15" t="str">
        <f>IF('Raw Data'!FE32="","",'Raw Data'!FE32)</f>
        <v>0</v>
      </c>
      <c r="FR44" s="15" t="str">
        <f>IF('Raw Data'!FF32="","",'Raw Data'!FF32)</f>
        <v>0</v>
      </c>
      <c r="FS44" s="15" t="str">
        <f>IF('Raw Data'!FG32="","",'Raw Data'!FG32)</f>
        <v>0</v>
      </c>
      <c r="FT44" s="15" t="str">
        <f>IF('Raw Data'!FH32="","",'Raw Data'!FH32)</f>
        <v>1</v>
      </c>
      <c r="FU44" s="15" t="str">
        <f>IF('Raw Data'!FI32="","",'Raw Data'!FI32)</f>
        <v>0</v>
      </c>
      <c r="FV44" s="15" t="str">
        <f>IF('Raw Data'!FJ32="","",'Raw Data'!FJ32)</f>
        <v>0</v>
      </c>
      <c r="FW44" s="15" t="str">
        <f>IF('Raw Data'!FK32="","",'Raw Data'!FK32)</f>
        <v>0</v>
      </c>
      <c r="FX44" s="15" t="str">
        <f>IF('Raw Data'!FL32="","",'Raw Data'!FL32)</f>
        <v>0</v>
      </c>
      <c r="FY44" s="15" t="str">
        <f>IF('Raw Data'!FM32="","",'Raw Data'!FM32)</f>
        <v>0</v>
      </c>
      <c r="FZ44" s="15" t="str">
        <f>IF('Raw Data'!FN32="","",'Raw Data'!FN32)</f>
        <v/>
      </c>
      <c r="GA44" s="15" t="str">
        <f>IF('Raw Data'!FO32="","",'Raw Data'!FO32)</f>
        <v>oui_ensemble</v>
      </c>
      <c r="GB44" s="15" t="str">
        <f>IF('Raw Data'!FP32="","",'Raw Data'!FP32)</f>
        <v>oui_ensemble</v>
      </c>
      <c r="GC44" s="15" t="str">
        <f>IF('Raw Data'!FQ32="","",'Raw Data'!FQ32)</f>
        <v/>
      </c>
      <c r="GD44" s="15" t="str">
        <f>IF('Raw Data'!FR32="","",'Raw Data'!FR32)</f>
        <v/>
      </c>
      <c r="GE44" s="15" t="str">
        <f>IF('Raw Data'!FS32="","",'Raw Data'!FS32)</f>
        <v/>
      </c>
      <c r="GF44" s="15" t="str">
        <f>IF('Raw Data'!FT32="","",'Raw Data'!FT32)</f>
        <v/>
      </c>
      <c r="GG44" s="15" t="str">
        <f>IF('Raw Data'!FU32="","",'Raw Data'!FU32)</f>
        <v/>
      </c>
      <c r="GH44" s="15" t="str">
        <f>IF('Raw Data'!FV32="","",'Raw Data'!FV32)</f>
        <v/>
      </c>
      <c r="GI44" s="15" t="str">
        <f>IF('Raw Data'!FW32="","",'Raw Data'!FW32)</f>
        <v/>
      </c>
      <c r="GJ44" s="15" t="str">
        <f>IF('Raw Data'!FX32="","",'Raw Data'!FX32)</f>
        <v/>
      </c>
      <c r="GK44" s="15" t="str">
        <f>IF('Raw Data'!FY32="","",'Raw Data'!FY32)</f>
        <v/>
      </c>
      <c r="GL44" s="15" t="str">
        <f>IF('Raw Data'!FZ32="","",'Raw Data'!FZ32)</f>
        <v/>
      </c>
      <c r="GM44" s="15" t="str">
        <f>IF('Raw Data'!GA32="","",'Raw Data'!GA32)</f>
        <v>ensemble</v>
      </c>
      <c r="GN44" s="15" t="str">
        <f>IF('Raw Data'!GB32="","",'Raw Data'!GB32)</f>
        <v>ensemble</v>
      </c>
      <c r="GO44" s="15" t="str">
        <f>IF('Raw Data'!GC32="","",'Raw Data'!GC32)</f>
        <v>Services_de_sante</v>
      </c>
      <c r="GP44" s="15" t="str">
        <f>IF('Raw Data'!GD32="","",'Raw Data'!GD32)</f>
        <v>0</v>
      </c>
      <c r="GQ44" s="15" t="str">
        <f>IF('Raw Data'!GE32="","",'Raw Data'!GE32)</f>
        <v>0</v>
      </c>
      <c r="GR44" s="15" t="str">
        <f>IF('Raw Data'!GF32="","",'Raw Data'!GF32)</f>
        <v>0</v>
      </c>
      <c r="GS44" s="15" t="str">
        <f>IF('Raw Data'!GG32="","",'Raw Data'!GG32)</f>
        <v>1</v>
      </c>
      <c r="GT44" s="15" t="str">
        <f>IF('Raw Data'!GH32="","",'Raw Data'!GH32)</f>
        <v>0</v>
      </c>
      <c r="GU44" s="15" t="str">
        <f>IF('Raw Data'!GI32="","",'Raw Data'!GI32)</f>
        <v>0</v>
      </c>
      <c r="GV44" s="15" t="str">
        <f>IF('Raw Data'!GJ32="","",'Raw Data'!GJ32)</f>
        <v>0</v>
      </c>
      <c r="GW44" s="15" t="str">
        <f>IF('Raw Data'!GK32="","",'Raw Data'!GK32)</f>
        <v>0</v>
      </c>
      <c r="GX44" s="15" t="str">
        <f>IF('Raw Data'!GL32="","",'Raw Data'!GL32)</f>
        <v>0</v>
      </c>
      <c r="GY44" s="15" t="str">
        <f>IF('Raw Data'!GM32="","",'Raw Data'!GM32)</f>
        <v/>
      </c>
      <c r="GZ44" s="15" t="str">
        <f>IF('Raw Data'!GN32="","",'Raw Data'!GN32)</f>
        <v>oui_ensemble</v>
      </c>
      <c r="HA44" s="15" t="str">
        <f>IF('Raw Data'!GO32="","",'Raw Data'!GO32)</f>
        <v>oui_ensemble</v>
      </c>
      <c r="HB44" s="15" t="str">
        <f>IF('Raw Data'!GP32="","",'Raw Data'!GP32)</f>
        <v>amelioration_futur repond_besoins_pop permet_obtenir_conseils</v>
      </c>
      <c r="HC44" s="15" t="str">
        <f>IF('Raw Data'!GQ32="","",'Raw Data'!GQ32)</f>
        <v>1</v>
      </c>
      <c r="HD44" s="15" t="str">
        <f>IF('Raw Data'!GR32="","",'Raw Data'!GR32)</f>
        <v>1</v>
      </c>
      <c r="HE44" s="15" t="str">
        <f>IF('Raw Data'!GS32="","",'Raw Data'!GS32)</f>
        <v>1</v>
      </c>
      <c r="HF44" s="15" t="str">
        <f>IF('Raw Data'!GT32="","",'Raw Data'!GT32)</f>
        <v>0</v>
      </c>
      <c r="HG44" s="15" t="str">
        <f>IF('Raw Data'!GU32="","",'Raw Data'!GU32)</f>
        <v>0</v>
      </c>
      <c r="HH44" s="15" t="str">
        <f>IF('Raw Data'!GV32="","",'Raw Data'!GV32)</f>
        <v>0</v>
      </c>
      <c r="HI44" s="15" t="str">
        <f>IF('Raw Data'!GW32="","",'Raw Data'!GW32)</f>
        <v>0</v>
      </c>
      <c r="HJ44" s="15" t="str">
        <f>IF('Raw Data'!GX32="","",'Raw Data'!GX32)</f>
        <v>0</v>
      </c>
      <c r="HK44" s="15" t="str">
        <f>IF('Raw Data'!GY32="","",'Raw Data'!GY32)</f>
        <v/>
      </c>
      <c r="HL44" s="31"/>
      <c r="HM44" s="31"/>
      <c r="HN44" s="31"/>
      <c r="HO44" s="31"/>
      <c r="HP44" s="31"/>
      <c r="HQ44" s="31"/>
      <c r="HR44" s="31"/>
      <c r="HS44" s="31"/>
      <c r="HT44" s="15" t="str">
        <f>IF('Raw Data'!HH32="","",'Raw Data'!HH32)</f>
        <v/>
      </c>
      <c r="HU44" s="15" t="str">
        <f>IF('Raw Data'!HI32="","",'Raw Data'!HI32)</f>
        <v>non</v>
      </c>
      <c r="HV44" s="15" t="str">
        <f>IF('Raw Data'!HJ32="","",'Raw Data'!HJ32)</f>
        <v/>
      </c>
      <c r="HW44" s="15" t="str">
        <f>IF('Raw Data'!HK32="","",'Raw Data'!HK32)</f>
        <v/>
      </c>
      <c r="HX44" s="15" t="str">
        <f>IF('Raw Data'!HL32="","",'Raw Data'!HL32)</f>
        <v/>
      </c>
      <c r="HY44" s="15" t="str">
        <f>IF('Raw Data'!HM32="","",'Raw Data'!HM32)</f>
        <v/>
      </c>
      <c r="HZ44" s="15" t="str">
        <f>IF('Raw Data'!HN32="","",'Raw Data'!HN32)</f>
        <v/>
      </c>
      <c r="IA44" s="15" t="str">
        <f>IF('Raw Data'!HO32="","",'Raw Data'!HO32)</f>
        <v/>
      </c>
      <c r="IB44" s="15" t="str">
        <f>IF('Raw Data'!HP32="","",'Raw Data'!HP32)</f>
        <v/>
      </c>
      <c r="IC44" s="15" t="str">
        <f>IF('Raw Data'!HQ32="","",'Raw Data'!HQ32)</f>
        <v/>
      </c>
      <c r="ID44" s="15" t="str">
        <f>IF('Raw Data'!HR32="","",'Raw Data'!HR32)</f>
        <v/>
      </c>
      <c r="IE44" s="15" t="str">
        <f>IF('Raw Data'!HS32="","",'Raw Data'!HS32)</f>
        <v/>
      </c>
      <c r="IF44" s="15" t="str">
        <f>IF('Raw Data'!HT32="","",'Raw Data'!HT32)</f>
        <v/>
      </c>
      <c r="IG44" s="15" t="str">
        <f>IF('Raw Data'!HU32="","",'Raw Data'!HU32)</f>
        <v/>
      </c>
      <c r="IH44" s="15" t="str">
        <f>IF('Raw Data'!HV32="","",'Raw Data'!HV32)</f>
        <v>oui</v>
      </c>
      <c r="II44" s="15" t="str">
        <f>IF('Raw Data'!HW32="","",'Raw Data'!HW32)</f>
        <v/>
      </c>
      <c r="IJ44" s="15" t="str">
        <f>IF('Raw Data'!HX32="","",'Raw Data'!HX32)</f>
        <v/>
      </c>
      <c r="IK44" s="15" t="str">
        <f>IF('Raw Data'!HY32="","",'Raw Data'!HY32)</f>
        <v/>
      </c>
      <c r="IL44" s="15" t="str">
        <f>IF('Raw Data'!HZ32="","",'Raw Data'!HZ32)</f>
        <v/>
      </c>
      <c r="IM44" s="15" t="str">
        <f>IF('Raw Data'!IA32="","",'Raw Data'!IA32)</f>
        <v/>
      </c>
      <c r="IN44" s="15" t="str">
        <f>IF('Raw Data'!IB32="","",'Raw Data'!IB32)</f>
        <v/>
      </c>
      <c r="IO44" s="15" t="str">
        <f>IF('Raw Data'!IC32="","",'Raw Data'!IC32)</f>
        <v/>
      </c>
      <c r="IP44" s="15" t="str">
        <f>IF('Raw Data'!ID32="","",'Raw Data'!ID32)</f>
        <v/>
      </c>
      <c r="IQ44" s="15" t="str">
        <f>IF('Raw Data'!IE32="","",'Raw Data'!IE32)</f>
        <v/>
      </c>
      <c r="IR44" s="15" t="str">
        <f>IF('Raw Data'!IF32="","",'Raw Data'!IF32)</f>
        <v/>
      </c>
      <c r="IS44" s="15" t="str">
        <f>IF('Raw Data'!IG32="","",'Raw Data'!IG32)</f>
        <v/>
      </c>
      <c r="IT44" s="15" t="str">
        <f>IF('Raw Data'!IH32="","",'Raw Data'!IH32)</f>
        <v/>
      </c>
      <c r="IU44" s="15" t="str">
        <f>IF('Raw Data'!II32="","",'Raw Data'!II32)</f>
        <v/>
      </c>
      <c r="IV44" s="15" t="str">
        <f>IF('Raw Data'!IJ32="","",'Raw Data'!IJ32)</f>
        <v/>
      </c>
      <c r="IW44" s="15" t="str">
        <f>IF('Raw Data'!IK32="","",'Raw Data'!IK32)</f>
        <v/>
      </c>
      <c r="IX44" s="15" t="str">
        <f>IF('Raw Data'!IL32="","",'Raw Data'!IL32)</f>
        <v/>
      </c>
      <c r="IY44" s="15" t="str">
        <f>IF('Raw Data'!IM32="","",'Raw Data'!IM32)</f>
        <v/>
      </c>
      <c r="IZ44" s="15" t="str">
        <f>IF('Raw Data'!IN32="","",'Raw Data'!IN32)</f>
        <v>1</v>
      </c>
      <c r="JA44" s="15" t="str">
        <f>IF('Raw Data'!IO32="","",'Raw Data'!IO32)</f>
        <v>Services_medicaux</v>
      </c>
      <c r="JB44" s="15" t="str">
        <f>IF('Raw Data'!IP32="","",'Raw Data'!IP32)</f>
        <v>0</v>
      </c>
      <c r="JC44" s="15" t="str">
        <f>IF('Raw Data'!IQ32="","",'Raw Data'!IQ32)</f>
        <v>1</v>
      </c>
      <c r="JD44" s="15" t="str">
        <f>IF('Raw Data'!IR32="","",'Raw Data'!IR32)</f>
        <v>0</v>
      </c>
      <c r="JE44" s="15" t="str">
        <f>IF('Raw Data'!IS32="","",'Raw Data'!IS32)</f>
        <v>0</v>
      </c>
      <c r="JF44" s="15" t="str">
        <f>IF('Raw Data'!IT32="","",'Raw Data'!IT32)</f>
        <v>0</v>
      </c>
      <c r="JG44" s="15" t="str">
        <f>IF('Raw Data'!IU32="","",'Raw Data'!IU32)</f>
        <v>0</v>
      </c>
      <c r="JH44" s="15" t="str">
        <f>IF('Raw Data'!IV32="","",'Raw Data'!IV32)</f>
        <v>0</v>
      </c>
      <c r="JI44" s="15" t="str">
        <f>IF('Raw Data'!IW32="","",'Raw Data'!IW32)</f>
        <v>0</v>
      </c>
      <c r="JJ44" s="15" t="str">
        <f>IF('Raw Data'!IX32="","",'Raw Data'!IX32)</f>
        <v>0</v>
      </c>
      <c r="JK44" s="15" t="str">
        <f>IF('Raw Data'!IY32="","",'Raw Data'!IY32)</f>
        <v>0</v>
      </c>
      <c r="JL44" s="15" t="str">
        <f>IF('Raw Data'!IZ32="","",'Raw Data'!IZ32)</f>
        <v/>
      </c>
      <c r="JM44" s="15" t="str">
        <f>IF('Raw Data'!JA32="","",'Raw Data'!JA32)</f>
        <v>reorientation</v>
      </c>
      <c r="JN44" s="15" t="str">
        <f>IF('Raw Data'!JB32="","",'Raw Data'!JB32)</f>
        <v>0</v>
      </c>
      <c r="JO44" s="15" t="str">
        <f>IF('Raw Data'!JC32="","",'Raw Data'!JC32)</f>
        <v>1</v>
      </c>
      <c r="JP44" s="15" t="str">
        <f>IF('Raw Data'!JD32="","",'Raw Data'!JD32)</f>
        <v>0</v>
      </c>
      <c r="JQ44" s="15" t="str">
        <f>IF('Raw Data'!JE32="","",'Raw Data'!JE32)</f>
        <v>0</v>
      </c>
      <c r="JR44" s="15" t="str">
        <f>IF('Raw Data'!JF32="","",'Raw Data'!JF32)</f>
        <v>0</v>
      </c>
      <c r="JS44" s="15" t="str">
        <f>IF('Raw Data'!JG32="","",'Raw Data'!JG32)</f>
        <v>0</v>
      </c>
      <c r="JT44" s="15" t="str">
        <f>IF('Raw Data'!JH32="","",'Raw Data'!JH32)</f>
        <v/>
      </c>
      <c r="JU44" s="15" t="str">
        <f>IF('Raw Data'!JI32="","",'Raw Data'!JI32)</f>
        <v/>
      </c>
      <c r="JV44" s="15" t="str">
        <f>IF('Raw Data'!JJ32="","",'Raw Data'!JJ32)</f>
        <v/>
      </c>
      <c r="JW44" s="15" t="str">
        <f>IF('Raw Data'!JK32="","",'Raw Data'!JK32)</f>
        <v/>
      </c>
      <c r="JX44" s="15" t="str">
        <f>IF('Raw Data'!JL32="","",'Raw Data'!JL32)</f>
        <v/>
      </c>
      <c r="JY44" s="15" t="str">
        <f>IF('Raw Data'!JM32="","",'Raw Data'!JM32)</f>
        <v/>
      </c>
      <c r="JZ44" s="15" t="str">
        <f>IF('Raw Data'!JN32="","",'Raw Data'!JN32)</f>
        <v/>
      </c>
      <c r="KA44" s="15" t="str">
        <f>IF('Raw Data'!JO32="","",'Raw Data'!JO32)</f>
        <v/>
      </c>
      <c r="KB44" s="15" t="str">
        <f>IF('Raw Data'!JP32="","",'Raw Data'!JP32)</f>
        <v/>
      </c>
      <c r="KC44" s="15" t="str">
        <f>IF('Raw Data'!JQ32="","",'Raw Data'!JQ32)</f>
        <v/>
      </c>
      <c r="KD44" s="15" t="str">
        <f>IF('Raw Data'!JR32="","",'Raw Data'!JR32)</f>
        <v/>
      </c>
      <c r="KE44" s="15" t="str">
        <f>IF('Raw Data'!JS32="","",'Raw Data'!JS32)</f>
        <v/>
      </c>
      <c r="KF44" s="15" t="str">
        <f>IF('Raw Data'!JT32="","",'Raw Data'!JT32)</f>
        <v>medical</v>
      </c>
      <c r="KG44" s="15" t="str">
        <f>IF('Raw Data'!JU32="","",'Raw Data'!JU32)</f>
        <v>1</v>
      </c>
      <c r="KH44" s="15" t="str">
        <f>IF('Raw Data'!JV32="","",'Raw Data'!JV32)</f>
        <v>0</v>
      </c>
      <c r="KI44" s="15" t="str">
        <f>IF('Raw Data'!JW32="","",'Raw Data'!JW32)</f>
        <v>0</v>
      </c>
      <c r="KJ44" s="15" t="str">
        <f>IF('Raw Data'!JX32="","",'Raw Data'!JX32)</f>
        <v>0</v>
      </c>
      <c r="KK44" s="15" t="str">
        <f>IF('Raw Data'!JY32="","",'Raw Data'!JY32)</f>
        <v>0</v>
      </c>
      <c r="KL44" s="15" t="str">
        <f>IF('Raw Data'!JZ32="","",'Raw Data'!JZ32)</f>
        <v>0</v>
      </c>
      <c r="KM44" s="15" t="str">
        <f>IF('Raw Data'!KA32="","",'Raw Data'!KA32)</f>
        <v>0</v>
      </c>
      <c r="KN44" s="15" t="str">
        <f>IF('Raw Data'!KB32="","",'Raw Data'!KB32)</f>
        <v>0</v>
      </c>
      <c r="KO44" s="15" t="str">
        <f>IF('Raw Data'!KC32="","",'Raw Data'!KC32)</f>
        <v>0</v>
      </c>
      <c r="KP44" s="15" t="str">
        <f>IF('Raw Data'!KD32="","",'Raw Data'!KD32)</f>
        <v/>
      </c>
      <c r="KQ44" s="15" t="str">
        <f>IF('Raw Data'!KE32="","",'Raw Data'!KE32)</f>
        <v/>
      </c>
      <c r="KR44" s="15" t="str">
        <f>IF('Raw Data'!KF32="","",'Raw Data'!KF32)</f>
        <v>non</v>
      </c>
      <c r="KS44" s="15" t="str">
        <f>IF('Raw Data'!KG32="","",'Raw Data'!KG32)</f>
        <v/>
      </c>
      <c r="KT44" s="15" t="str">
        <f>IF('Raw Data'!KH32="","",'Raw Data'!KH32)</f>
        <v/>
      </c>
      <c r="KU44" s="15" t="str">
        <f>IF('Raw Data'!KI32="","",'Raw Data'!KI32)</f>
        <v/>
      </c>
      <c r="KV44" s="15" t="str">
        <f>IF('Raw Data'!KJ32="","",'Raw Data'!KJ32)</f>
        <v/>
      </c>
      <c r="KW44" s="15" t="str">
        <f>IF('Raw Data'!KK32="","",'Raw Data'!KK32)</f>
        <v/>
      </c>
      <c r="KX44" s="15" t="str">
        <f>IF('Raw Data'!KL32="","",'Raw Data'!KL32)</f>
        <v/>
      </c>
      <c r="KY44" s="15" t="str">
        <f>IF('Raw Data'!KM32="","",'Raw Data'!KM32)</f>
        <v/>
      </c>
      <c r="KZ44" s="15" t="str">
        <f>IF('Raw Data'!KN32="","",'Raw Data'!KN32)</f>
        <v/>
      </c>
      <c r="LA44" s="15" t="str">
        <f>IF('Raw Data'!KO32="","",'Raw Data'!KO32)</f>
        <v/>
      </c>
      <c r="LB44" s="15" t="str">
        <f>IF('Raw Data'!KP32="","",'Raw Data'!KP32)</f>
        <v/>
      </c>
      <c r="LC44" s="15" t="str">
        <f>IF('Raw Data'!KQ32="","",'Raw Data'!KQ32)</f>
        <v/>
      </c>
      <c r="LD44" s="15" t="str">
        <f>IF('Raw Data'!KR32="","",'Raw Data'!KR32)</f>
        <v/>
      </c>
      <c r="LE44" s="15" t="str">
        <f>IF('Raw Data'!KS32="","",'Raw Data'!KS32)</f>
        <v/>
      </c>
      <c r="LF44" s="15" t="str">
        <f>IF('Raw Data'!KT32="","",'Raw Data'!KT32)</f>
        <v/>
      </c>
      <c r="LG44" s="15" t="str">
        <f>IF('Raw Data'!KU32="","",'Raw Data'!KU32)</f>
        <v/>
      </c>
      <c r="LH44" s="15" t="str">
        <f>IF('Raw Data'!KV32="","",'Raw Data'!KV32)</f>
        <v/>
      </c>
      <c r="LI44" s="15" t="str">
        <f>IF('Raw Data'!KW32="","",'Raw Data'!KW32)</f>
        <v/>
      </c>
      <c r="LJ44" s="15" t="str">
        <f>IF('Raw Data'!KX32="","",'Raw Data'!KX32)</f>
        <v/>
      </c>
      <c r="LK44" s="15" t="str">
        <f>IF('Raw Data'!KY32="","",'Raw Data'!KY32)</f>
        <v/>
      </c>
      <c r="LL44" s="15" t="str">
        <f>IF('Raw Data'!KZ32="","",'Raw Data'!KZ32)</f>
        <v/>
      </c>
      <c r="LM44" s="15" t="str">
        <f>IF('Raw Data'!LA32="","",'Raw Data'!LA32)</f>
        <v/>
      </c>
      <c r="LN44" s="15" t="str">
        <f>IF('Raw Data'!LB32="","",'Raw Data'!LB32)</f>
        <v>non</v>
      </c>
      <c r="LO44" s="15" t="str">
        <f>IF('Raw Data'!LC32="","",'Raw Data'!LC32)</f>
        <v/>
      </c>
      <c r="LP44" s="15" t="str">
        <f>IF('Raw Data'!LD32="","",'Raw Data'!LD32)</f>
        <v/>
      </c>
      <c r="LQ44" s="15" t="str">
        <f>IF('Raw Data'!LE32="","",'Raw Data'!LE32)</f>
        <v/>
      </c>
      <c r="LR44" s="15" t="str">
        <f>IF('Raw Data'!LF32="","",'Raw Data'!LF32)</f>
        <v/>
      </c>
      <c r="LS44" s="15" t="str">
        <f>IF('Raw Data'!LG32="","",'Raw Data'!LG32)</f>
        <v/>
      </c>
      <c r="LT44" s="15" t="str">
        <f>IF('Raw Data'!LH32="","",'Raw Data'!LH32)</f>
        <v/>
      </c>
      <c r="LU44" s="15" t="str">
        <f>IF('Raw Data'!LI32="","",'Raw Data'!LI32)</f>
        <v/>
      </c>
      <c r="LV44" s="15" t="str">
        <f>IF('Raw Data'!LJ32="","",'Raw Data'!LJ32)</f>
        <v/>
      </c>
      <c r="LW44" s="15" t="str">
        <f>IF('Raw Data'!LK32="","",'Raw Data'!LK32)</f>
        <v/>
      </c>
      <c r="LX44" s="15" t="str">
        <f>IF('Raw Data'!LL32="","",'Raw Data'!LL32)</f>
        <v/>
      </c>
      <c r="LY44" s="15" t="str">
        <f>IF('Raw Data'!LM32="","",'Raw Data'!LM32)</f>
        <v/>
      </c>
      <c r="LZ44" s="15" t="str">
        <f>IF('Raw Data'!LN32="","",'Raw Data'!LN32)</f>
        <v/>
      </c>
      <c r="MA44" s="15" t="str">
        <f>IF('Raw Data'!LO32="","",'Raw Data'!LO32)</f>
        <v/>
      </c>
      <c r="MB44" s="15" t="str">
        <f>IF('Raw Data'!LP32="","",'Raw Data'!LP32)</f>
        <v>oui</v>
      </c>
      <c r="MC44" s="15" t="str">
        <f>IF('Raw Data'!LQ32="","",'Raw Data'!LQ32)</f>
        <v/>
      </c>
      <c r="MD44" s="31"/>
      <c r="ME44" s="15">
        <f>IF('Raw Data'!LS32="","",'Raw Data'!LS32)</f>
        <v>169355620</v>
      </c>
      <c r="MF44" s="15" t="str">
        <f>IF('Raw Data'!LT32="","",'Raw Data'!LT32)</f>
        <v>2c040e31-8966-48a7-b32b-ef621ac83f8c</v>
      </c>
      <c r="MG44" s="15" t="str">
        <f>IF('Raw Data'!LU32="","",'Raw Data'!LU32)</f>
        <v>2021-04-02T19:44:49</v>
      </c>
      <c r="MH44" s="15" t="str">
        <f>IF('Raw Data'!LV32="","",'Raw Data'!LV32)</f>
        <v/>
      </c>
      <c r="MI44" s="15" t="str">
        <f>IF('Raw Data'!LW32="","",'Raw Data'!LW32)</f>
        <v>[]</v>
      </c>
      <c r="MJ44" s="15" t="str">
        <f>IF('Raw Data'!LX32="","",'Raw Data'!LX32)</f>
        <v>submitted_via_web</v>
      </c>
      <c r="MK44" s="15" t="str">
        <f>IF('Raw Data'!LY32="","",'Raw Data'!LY32)</f>
        <v>reach_niger</v>
      </c>
      <c r="ML44" s="15" t="str">
        <f>IF('Raw Data'!LZ32="","",'Raw Data'!LZ32)</f>
        <v/>
      </c>
      <c r="MM44" s="15">
        <f>IF('Raw Data'!MA32="","",'Raw Data'!MA32)</f>
        <v>33</v>
      </c>
    </row>
    <row r="45" spans="1:351" x14ac:dyDescent="0.3">
      <c r="A45" s="26" t="str">
        <f t="shared" si="4"/>
        <v>5c6a6c24-c1d3-440c-83d5-fdc6307a1a06</v>
      </c>
      <c r="B45" s="26" t="str">
        <f t="shared" si="5"/>
        <v>dessa</v>
      </c>
      <c r="C45" s="26" t="str">
        <f t="shared" si="6"/>
        <v>I</v>
      </c>
      <c r="D45" s="14" t="str">
        <f>IF('Raw Data'!A33="","",'Raw Data'!A33)</f>
        <v>2021-04-02T12:03:46.147+01:00</v>
      </c>
      <c r="E45" s="14" t="str">
        <f>IF('Raw Data'!B33="","",'Raw Data'!B33)</f>
        <v>2021-04-02T12:36:11.710+01:00</v>
      </c>
      <c r="F45" s="30">
        <v>44288.502615740741</v>
      </c>
      <c r="G45" s="30">
        <v>44288.525127314817</v>
      </c>
      <c r="H45" s="29">
        <f>VLOOKUP(A45,Audit[#All],2,FALSE)</f>
        <v>32.43</v>
      </c>
      <c r="I45" s="29">
        <f>VLOOKUP(A45,Audit[#All],3,FALSE)</f>
        <v>32.369999999999997</v>
      </c>
      <c r="J45" s="29">
        <f>VLOOKUP(A45,Audit[#All],4,FALSE)</f>
        <v>30.85</v>
      </c>
      <c r="K45" s="29">
        <f>VLOOKUP(A45,nb_questions[#All],2,FALSE)</f>
        <v>106</v>
      </c>
      <c r="L45" s="29">
        <f t="shared" si="7"/>
        <v>171</v>
      </c>
      <c r="M45" s="14" t="str">
        <f>IF('Raw Data'!C33="","",'Raw Data'!C33)</f>
        <v>2021-04-02</v>
      </c>
      <c r="N45" s="14" t="str">
        <f>IF('Raw Data'!D33="","",'Raw Data'!D33)</f>
        <v/>
      </c>
      <c r="O45" s="14" t="str">
        <f>IF('Raw Data'!E33="","",'Raw Data'!E33)</f>
        <v/>
      </c>
      <c r="P45" s="29" t="str">
        <f>VLOOKUP(A45,code_enqueteurs[#All],3,FALSE)</f>
        <v>I</v>
      </c>
      <c r="Q45" s="29" t="s">
        <v>1653</v>
      </c>
      <c r="R45" s="14" t="str">
        <f>IF('Raw Data'!F33="","",'Raw Data'!F33)</f>
        <v>Homme</v>
      </c>
      <c r="S45" s="15" t="str">
        <f>IF('Raw Data'!G33="","",'Raw Data'!G33)</f>
        <v>tillaberi</v>
      </c>
      <c r="T45" s="15" t="str">
        <f>IF('Raw Data'!H33="","",'Raw Data'!H33)</f>
        <v>dessa</v>
      </c>
      <c r="U45" s="15" t="str">
        <f>IF('Raw Data'!I33="","",'Raw Data'!I33)</f>
        <v>kandadji</v>
      </c>
      <c r="V45" s="15" t="str">
        <f>IF('Raw Data'!J33="","",'Raw Data'!J33)</f>
        <v/>
      </c>
      <c r="W45" s="15" t="str">
        <f>IF('Raw Data'!K33="","",'Raw Data'!K33)</f>
        <v/>
      </c>
      <c r="X45" s="15" t="str">
        <f>IF('Raw Data'!L33="","",'Raw Data'!L33)</f>
        <v/>
      </c>
      <c r="Y45" s="15" t="str">
        <f>IF('Raw Data'!M33="","",'Raw Data'!M33)</f>
        <v/>
      </c>
      <c r="Z45" s="15" t="str">
        <f>IF('Raw Data'!N33="","",'Raw Data'!N33)</f>
        <v/>
      </c>
      <c r="AA45" s="15" t="str">
        <f>IF('Raw Data'!O33="","",'Raw Data'!O33)</f>
        <v/>
      </c>
      <c r="AB45" s="15" t="str">
        <f>IF('Raw Data'!P33="","",'Raw Data'!P33)</f>
        <v/>
      </c>
      <c r="AC45" s="15" t="str">
        <f>IF('Raw Data'!Q33="","",'Raw Data'!Q33)</f>
        <v/>
      </c>
      <c r="AD45" s="15" t="str">
        <f>IF('Raw Data'!R33="","",'Raw Data'!R33)</f>
        <v>Homme</v>
      </c>
      <c r="AE45" s="15" t="str">
        <f>IF('Raw Data'!S33="","",'Raw Data'!S33)</f>
        <v>54</v>
      </c>
      <c r="AF45" s="15" t="str">
        <f>IF('Raw Data'!T33="","",'Raw Data'!T33)</f>
        <v>deplace_interne</v>
      </c>
      <c r="AG45" s="15" t="str">
        <f>IF('Raw Data'!U33="","",'Raw Data'!U33)</f>
        <v/>
      </c>
      <c r="AH45" s="15" t="str">
        <f>IF('Raw Data'!V33="","",'Raw Data'!V33)</f>
        <v/>
      </c>
      <c r="AI45" s="15" t="str">
        <f>IF('Raw Data'!W33="","",'Raw Data'!W33)</f>
        <v/>
      </c>
      <c r="AJ45" s="15" t="str">
        <f>IF('Raw Data'!X33="","",'Raw Data'!X33)</f>
        <v/>
      </c>
      <c r="AK45" s="15" t="str">
        <f>IF('Raw Data'!Y33="","",'Raw Data'!Y33)</f>
        <v/>
      </c>
      <c r="AL45" s="15" t="str">
        <f>IF('Raw Data'!Z33="","",'Raw Data'!Z33)</f>
        <v>niger</v>
      </c>
      <c r="AM45" s="15" t="str">
        <f>IF('Raw Data'!AA33="","",'Raw Data'!AA33)</f>
        <v>tillaberi</v>
      </c>
      <c r="AN45" s="15" t="str">
        <f>IF('Raw Data'!AB33="","",'Raw Data'!AB33)</f>
        <v>ayerou</v>
      </c>
      <c r="AO45" s="15" t="str">
        <f>IF('Raw Data'!AC33="","",'Raw Data'!AC33)</f>
        <v/>
      </c>
      <c r="AP45" s="15" t="str">
        <f>IF('Raw Data'!AD33="","",'Raw Data'!AD33)</f>
        <v/>
      </c>
      <c r="AQ45" s="15" t="str">
        <f>IF('Raw Data'!AE33="","",'Raw Data'!AE33)</f>
        <v/>
      </c>
      <c r="AR45" s="15" t="str">
        <f>IF('Raw Data'!AF33="","",'Raw Data'!AF33)</f>
        <v/>
      </c>
      <c r="AS45" s="15" t="str">
        <f>IF('Raw Data'!AG33="","",'Raw Data'!AG33)</f>
        <v>non</v>
      </c>
      <c r="AT45" s="15" t="str">
        <f>IF('Raw Data'!AH33="","",'Raw Data'!AH33)</f>
        <v/>
      </c>
      <c r="AU45" s="15" t="str">
        <f>IF('Raw Data'!AI33="","",'Raw Data'!AI33)</f>
        <v/>
      </c>
      <c r="AV45" s="15" t="str">
        <f>IF('Raw Data'!AJ33="","",'Raw Data'!AJ33)</f>
        <v/>
      </c>
      <c r="AW45" s="15" t="str">
        <f>IF('Raw Data'!AK33="","",'Raw Data'!AK33)</f>
        <v/>
      </c>
      <c r="AX45" s="15" t="str">
        <f>IF('Raw Data'!AL33="","",'Raw Data'!AL33)</f>
        <v/>
      </c>
      <c r="AY45" s="15" t="str">
        <f>IF('Raw Data'!AM33="","",'Raw Data'!AM33)</f>
        <v/>
      </c>
      <c r="AZ45" s="15" t="str">
        <f>IF('Raw Data'!AN33="","",'Raw Data'!AN33)</f>
        <v/>
      </c>
      <c r="BA45" s="15" t="str">
        <f>IF('Raw Data'!AO33="","",'Raw Data'!AO33)</f>
        <v/>
      </c>
      <c r="BB45" s="15" t="str">
        <f>IF('Raw Data'!AP33="","",'Raw Data'!AP33)</f>
        <v/>
      </c>
      <c r="BC45" s="15" t="str">
        <f>IF('Raw Data'!AQ33="","",'Raw Data'!AQ33)</f>
        <v/>
      </c>
      <c r="BD45" s="15" t="str">
        <f>IF('Raw Data'!AR33="","",'Raw Data'!AR33)</f>
        <v/>
      </c>
      <c r="BE45" s="15" t="str">
        <f>IF('Raw Data'!AS33="","",'Raw Data'!AS33)</f>
        <v/>
      </c>
      <c r="BF45" s="15" t="str">
        <f>IF('Raw Data'!AT33="","",'Raw Data'!AT33)</f>
        <v/>
      </c>
      <c r="BG45" s="15" t="str">
        <f>IF('Raw Data'!AU33="","",'Raw Data'!AU33)</f>
        <v/>
      </c>
      <c r="BH45" s="15" t="str">
        <f>IF('Raw Data'!AV33="","",'Raw Data'!AV33)</f>
        <v/>
      </c>
      <c r="BI45" s="15" t="str">
        <f>IF('Raw Data'!AW33="","",'Raw Data'!AW33)</f>
        <v/>
      </c>
      <c r="BJ45" s="15" t="str">
        <f>IF('Raw Data'!AX33="","",'Raw Data'!AX33)</f>
        <v/>
      </c>
      <c r="BK45" s="15" t="str">
        <f>IF('Raw Data'!AY33="","",'Raw Data'!AY33)</f>
        <v/>
      </c>
      <c r="BL45" s="15" t="str">
        <f>IF('Raw Data'!AZ33="","",'Raw Data'!AZ33)</f>
        <v/>
      </c>
      <c r="BM45" s="15" t="str">
        <f>IF('Raw Data'!BA33="","",'Raw Data'!BA33)</f>
        <v/>
      </c>
      <c r="BN45" s="15" t="str">
        <f>IF('Raw Data'!BB33="","",'Raw Data'!BB33)</f>
        <v/>
      </c>
      <c r="BO45" s="15" t="str">
        <f>IF('Raw Data'!BC33="","",'Raw Data'!BC33)</f>
        <v/>
      </c>
      <c r="BP45" s="15" t="str">
        <f>IF('Raw Data'!BD33="","",'Raw Data'!BD33)</f>
        <v/>
      </c>
      <c r="BQ45" s="15" t="str">
        <f>IF('Raw Data'!BE33="","",'Raw Data'!BE33)</f>
        <v/>
      </c>
      <c r="BR45" s="15" t="str">
        <f>IF('Raw Data'!BF33="","",'Raw Data'!BF33)</f>
        <v/>
      </c>
      <c r="BS45" s="15" t="str">
        <f>IF('Raw Data'!BG33="","",'Raw Data'!BG33)</f>
        <v/>
      </c>
      <c r="BT45" s="15" t="str">
        <f>IF('Raw Data'!BH33="","",'Raw Data'!BH33)</f>
        <v/>
      </c>
      <c r="BU45" s="15" t="str">
        <f>IF('Raw Data'!BI33="","",'Raw Data'!BI33)</f>
        <v/>
      </c>
      <c r="BV45" s="15" t="str">
        <f>IF('Raw Data'!BJ33="","",'Raw Data'!BJ33)</f>
        <v/>
      </c>
      <c r="BW45" s="15" t="str">
        <f>IF('Raw Data'!BK33="","",'Raw Data'!BK33)</f>
        <v/>
      </c>
      <c r="BX45" s="15" t="str">
        <f>IF('Raw Data'!BL33="","",'Raw Data'!BL33)</f>
        <v/>
      </c>
      <c r="BY45" s="15" t="str">
        <f>IF('Raw Data'!BM33="","",'Raw Data'!BM33)</f>
        <v/>
      </c>
      <c r="BZ45" s="15" t="str">
        <f>IF('Raw Data'!BN33="","",'Raw Data'!BN33)</f>
        <v/>
      </c>
      <c r="CA45" s="15" t="str">
        <f>IF('Raw Data'!BO33="","",'Raw Data'!BO33)</f>
        <v/>
      </c>
      <c r="CB45" s="15" t="str">
        <f>IF('Raw Data'!BP33="","",'Raw Data'!BP33)</f>
        <v/>
      </c>
      <c r="CC45" s="15" t="str">
        <f>IF('Raw Data'!BQ33="","",'Raw Data'!BQ33)</f>
        <v>non</v>
      </c>
      <c r="CD45" s="15" t="str">
        <f>IF('Raw Data'!BR33="","",'Raw Data'!BR33)</f>
        <v/>
      </c>
      <c r="CE45" s="15" t="str">
        <f>IF('Raw Data'!BS33="","",'Raw Data'!BS33)</f>
        <v/>
      </c>
      <c r="CF45" s="15" t="str">
        <f>IF('Raw Data'!BT33="","",'Raw Data'!BT33)</f>
        <v/>
      </c>
      <c r="CG45" s="15" t="str">
        <f>IF('Raw Data'!BU33="","",'Raw Data'!BU33)</f>
        <v/>
      </c>
      <c r="CH45" s="15" t="str">
        <f>IF('Raw Data'!BV33="","",'Raw Data'!BV33)</f>
        <v/>
      </c>
      <c r="CI45" s="15" t="str">
        <f>IF('Raw Data'!BW33="","",'Raw Data'!BW33)</f>
        <v/>
      </c>
      <c r="CJ45" s="15" t="str">
        <f>IF('Raw Data'!BX33="","",'Raw Data'!BX33)</f>
        <v/>
      </c>
      <c r="CK45" s="15" t="str">
        <f>IF('Raw Data'!BY33="","",'Raw Data'!BY33)</f>
        <v/>
      </c>
      <c r="CL45" s="15" t="str">
        <f>IF('Raw Data'!BZ33="","",'Raw Data'!BZ33)</f>
        <v/>
      </c>
      <c r="CM45" s="15" t="str">
        <f>IF('Raw Data'!CA33="","",'Raw Data'!CA33)</f>
        <v/>
      </c>
      <c r="CN45" s="15" t="str">
        <f>IF('Raw Data'!CB33="","",'Raw Data'!CB33)</f>
        <v/>
      </c>
      <c r="CO45" s="15" t="str">
        <f>IF('Raw Data'!CC33="","",'Raw Data'!CC33)</f>
        <v/>
      </c>
      <c r="CP45" s="15" t="str">
        <f>IF('Raw Data'!CD33="","",'Raw Data'!CD33)</f>
        <v/>
      </c>
      <c r="CQ45" s="15" t="str">
        <f>IF('Raw Data'!CE33="","",'Raw Data'!CE33)</f>
        <v/>
      </c>
      <c r="CR45" s="15" t="str">
        <f>IF('Raw Data'!CF33="","",'Raw Data'!CF33)</f>
        <v/>
      </c>
      <c r="CS45" s="15" t="str">
        <f>IF('Raw Data'!CG33="","",'Raw Data'!CG33)</f>
        <v/>
      </c>
      <c r="CT45" s="15" t="str">
        <f>IF('Raw Data'!CH33="","",'Raw Data'!CH33)</f>
        <v/>
      </c>
      <c r="CU45" s="15" t="str">
        <f>IF('Raw Data'!CI33="","",'Raw Data'!CI33)</f>
        <v/>
      </c>
      <c r="CV45" s="15" t="str">
        <f>IF('Raw Data'!CJ33="","",'Raw Data'!CJ33)</f>
        <v/>
      </c>
      <c r="CW45" s="15" t="str">
        <f>IF('Raw Data'!CK33="","",'Raw Data'!CK33)</f>
        <v/>
      </c>
      <c r="CX45" s="15" t="str">
        <f>IF('Raw Data'!CL33="","",'Raw Data'!CL33)</f>
        <v/>
      </c>
      <c r="CY45" s="15" t="str">
        <f>IF('Raw Data'!CM33="","",'Raw Data'!CM33)</f>
        <v/>
      </c>
      <c r="CZ45" s="15" t="str">
        <f>IF('Raw Data'!CN33="","",'Raw Data'!CN33)</f>
        <v/>
      </c>
      <c r="DA45" s="15" t="str">
        <f>IF('Raw Data'!CO33="","",'Raw Data'!CO33)</f>
        <v/>
      </c>
      <c r="DB45" s="15" t="str">
        <f>IF('Raw Data'!CP33="","",'Raw Data'!CP33)</f>
        <v/>
      </c>
      <c r="DC45" s="15" t="str">
        <f>IF('Raw Data'!CQ33="","",'Raw Data'!CQ33)</f>
        <v/>
      </c>
      <c r="DD45" s="15" t="str">
        <f>IF('Raw Data'!CR33="","",'Raw Data'!CR33)</f>
        <v/>
      </c>
      <c r="DE45" s="15" t="str">
        <f>IF('Raw Data'!CS33="","",'Raw Data'!CS33)</f>
        <v/>
      </c>
      <c r="DF45" s="15" t="str">
        <f>IF('Raw Data'!CT33="","",'Raw Data'!CT33)</f>
        <v/>
      </c>
      <c r="DG45" s="15" t="str">
        <f>IF('Raw Data'!CU33="","",'Raw Data'!CU33)</f>
        <v/>
      </c>
      <c r="DH45" s="15" t="str">
        <f>IF('Raw Data'!CV33="","",'Raw Data'!CV33)</f>
        <v/>
      </c>
      <c r="DI45" s="15" t="str">
        <f>IF('Raw Data'!CW33="","",'Raw Data'!CW33)</f>
        <v/>
      </c>
      <c r="DJ45" s="15" t="str">
        <f>IF('Raw Data'!CX33="","",'Raw Data'!CX33)</f>
        <v/>
      </c>
      <c r="DK45" s="15" t="str">
        <f>IF('Raw Data'!CY33="","",'Raw Data'!CY33)</f>
        <v/>
      </c>
      <c r="DL45" s="15" t="str">
        <f>IF('Raw Data'!CZ33="","",'Raw Data'!CZ33)</f>
        <v/>
      </c>
      <c r="DM45" s="15" t="str">
        <f>IF('Raw Data'!DA33="","",'Raw Data'!DA33)</f>
        <v/>
      </c>
      <c r="DN45" s="15" t="str">
        <f>IF('Raw Data'!DB33="","",'Raw Data'!DB33)</f>
        <v/>
      </c>
      <c r="DO45" s="15" t="str">
        <f>IF('Raw Data'!DC33="","",'Raw Data'!DC33)</f>
        <v/>
      </c>
      <c r="DP45" s="15" t="str">
        <f>IF('Raw Data'!DD33="","",'Raw Data'!DD33)</f>
        <v/>
      </c>
      <c r="DQ45" s="15" t="str">
        <f>IF('Raw Data'!DE33="","",'Raw Data'!DE33)</f>
        <v/>
      </c>
      <c r="DR45" s="15" t="str">
        <f>IF('Raw Data'!DF33="","",'Raw Data'!DF33)</f>
        <v/>
      </c>
      <c r="DS45" s="15" t="str">
        <f>IF('Raw Data'!DG33="","",'Raw Data'!DG33)</f>
        <v/>
      </c>
      <c r="DT45" s="15" t="str">
        <f>IF('Raw Data'!DH33="","",'Raw Data'!DH33)</f>
        <v/>
      </c>
      <c r="DU45" s="15" t="str">
        <f>IF('Raw Data'!DI33="","",'Raw Data'!DI33)</f>
        <v/>
      </c>
      <c r="DV45" s="15" t="str">
        <f>IF('Raw Data'!DJ33="","",'Raw Data'!DJ33)</f>
        <v/>
      </c>
      <c r="DW45" s="15" t="str">
        <f>IF('Raw Data'!DK33="","",'Raw Data'!DK33)</f>
        <v/>
      </c>
      <c r="DX45" s="15" t="str">
        <f>IF('Raw Data'!DL33="","",'Raw Data'!DL33)</f>
        <v/>
      </c>
      <c r="DY45" s="15" t="str">
        <f>IF('Raw Data'!DM33="","",'Raw Data'!DM33)</f>
        <v/>
      </c>
      <c r="DZ45" s="15" t="str">
        <f>IF('Raw Data'!DN33="","",'Raw Data'!DN33)</f>
        <v/>
      </c>
      <c r="EA45" s="15" t="str">
        <f>IF('Raw Data'!DO33="","",'Raw Data'!DO33)</f>
        <v/>
      </c>
      <c r="EB45" s="15" t="str">
        <f>IF('Raw Data'!DP33="","",'Raw Data'!DP33)</f>
        <v/>
      </c>
      <c r="EC45" s="15" t="str">
        <f>IF('Raw Data'!DQ33="","",'Raw Data'!DQ33)</f>
        <v/>
      </c>
      <c r="ED45" s="15" t="str">
        <f>IF('Raw Data'!DR33="","",'Raw Data'!DR33)</f>
        <v/>
      </c>
      <c r="EE45" s="15" t="str">
        <f>IF('Raw Data'!DS33="","",'Raw Data'!DS33)</f>
        <v/>
      </c>
      <c r="EF45" s="15" t="str">
        <f>IF('Raw Data'!DT33="","",'Raw Data'!DT33)</f>
        <v/>
      </c>
      <c r="EG45" s="15" t="str">
        <f>IF('Raw Data'!DU33="","",'Raw Data'!DU33)</f>
        <v/>
      </c>
      <c r="EH45" s="15" t="str">
        <f>IF('Raw Data'!DV33="","",'Raw Data'!DV33)</f>
        <v/>
      </c>
      <c r="EI45" s="15" t="str">
        <f>IF('Raw Data'!DW33="","",'Raw Data'!DW33)</f>
        <v/>
      </c>
      <c r="EJ45" s="15" t="str">
        <f>IF('Raw Data'!DX33="","",'Raw Data'!DX33)</f>
        <v/>
      </c>
      <c r="EK45" s="15" t="str">
        <f>IF('Raw Data'!DY33="","",'Raw Data'!DY33)</f>
        <v/>
      </c>
      <c r="EL45" s="15" t="str">
        <f>IF('Raw Data'!DZ33="","",'Raw Data'!DZ33)</f>
        <v>Integration_com_hote</v>
      </c>
      <c r="EM45" s="15" t="str">
        <f>IF('Raw Data'!EA33="","",'Raw Data'!EA33)</f>
        <v>0</v>
      </c>
      <c r="EN45" s="15" t="str">
        <f>IF('Raw Data'!EB33="","",'Raw Data'!EB33)</f>
        <v>1</v>
      </c>
      <c r="EO45" s="15" t="str">
        <f>IF('Raw Data'!EC33="","",'Raw Data'!EC33)</f>
        <v>0</v>
      </c>
      <c r="EP45" s="15" t="str">
        <f>IF('Raw Data'!ED33="","",'Raw Data'!ED33)</f>
        <v>0</v>
      </c>
      <c r="EQ45" s="15" t="str">
        <f>IF('Raw Data'!EE33="","",'Raw Data'!EE33)</f>
        <v>0</v>
      </c>
      <c r="ER45" s="15" t="str">
        <f>IF('Raw Data'!EF33="","",'Raw Data'!EF33)</f>
        <v>0</v>
      </c>
      <c r="ES45" s="15" t="str">
        <f>IF('Raw Data'!EG33="","",'Raw Data'!EG33)</f>
        <v>0</v>
      </c>
      <c r="ET45" s="15" t="str">
        <f>IF('Raw Data'!EH33="","",'Raw Data'!EH33)</f>
        <v>0</v>
      </c>
      <c r="EU45" s="15" t="str">
        <f>IF('Raw Data'!EI33="","",'Raw Data'!EI33)</f>
        <v>0</v>
      </c>
      <c r="EV45" s="15" t="str">
        <f>IF('Raw Data'!EJ33="","",'Raw Data'!EJ33)</f>
        <v/>
      </c>
      <c r="EW45" s="15" t="str">
        <f>IF('Raw Data'!EK33="","",'Raw Data'!EK33)</f>
        <v/>
      </c>
      <c r="EX45" s="15" t="str">
        <f>IF('Raw Data'!EL33="","",'Raw Data'!EL33)</f>
        <v>comite_protection femmes_elite</v>
      </c>
      <c r="EY45" s="15" t="str">
        <f>IF('Raw Data'!EM33="","",'Raw Data'!EM33)</f>
        <v>1</v>
      </c>
      <c r="EZ45" s="15" t="str">
        <f>IF('Raw Data'!EN33="","",'Raw Data'!EN33)</f>
        <v>1</v>
      </c>
      <c r="FA45" s="15" t="str">
        <f>IF('Raw Data'!EO33="","",'Raw Data'!EO33)</f>
        <v>0</v>
      </c>
      <c r="FB45" s="15" t="str">
        <f>IF('Raw Data'!EP33="","",'Raw Data'!EP33)</f>
        <v>0</v>
      </c>
      <c r="FC45" s="15" t="str">
        <f>IF('Raw Data'!EQ33="","",'Raw Data'!EQ33)</f>
        <v>0</v>
      </c>
      <c r="FD45" s="15" t="str">
        <f>IF('Raw Data'!ER33="","",'Raw Data'!ER33)</f>
        <v>0</v>
      </c>
      <c r="FE45" s="15" t="str">
        <f>IF('Raw Data'!ES33="","",'Raw Data'!ES33)</f>
        <v>0</v>
      </c>
      <c r="FF45" s="15" t="str">
        <f>IF('Raw Data'!ET33="","",'Raw Data'!ET33)</f>
        <v>0</v>
      </c>
      <c r="FG45" s="15" t="str">
        <f>IF('Raw Data'!EU33="","",'Raw Data'!EU33)</f>
        <v>0</v>
      </c>
      <c r="FH45" s="15" t="str">
        <f>IF('Raw Data'!EV33="","",'Raw Data'!EV33)</f>
        <v>0</v>
      </c>
      <c r="FI45" s="15" t="str">
        <f>IF('Raw Data'!EW33="","",'Raw Data'!EW33)</f>
        <v/>
      </c>
      <c r="FJ45" s="15" t="str">
        <f>IF('Raw Data'!EX33="","",'Raw Data'!EX33)</f>
        <v>oui</v>
      </c>
      <c r="FK45" s="15" t="str">
        <f>IF('Raw Data'!EY33="","",'Raw Data'!EY33)</f>
        <v>Chef_village</v>
      </c>
      <c r="FL45" s="15" t="str">
        <f>IF('Raw Data'!EZ33="","",'Raw Data'!EZ33)</f>
        <v>0</v>
      </c>
      <c r="FM45" s="15" t="str">
        <f>IF('Raw Data'!FA33="","",'Raw Data'!FA33)</f>
        <v>0</v>
      </c>
      <c r="FN45" s="15" t="str">
        <f>IF('Raw Data'!FB33="","",'Raw Data'!FB33)</f>
        <v>0</v>
      </c>
      <c r="FO45" s="15" t="str">
        <f>IF('Raw Data'!FC33="","",'Raw Data'!FC33)</f>
        <v>0</v>
      </c>
      <c r="FP45" s="15" t="str">
        <f>IF('Raw Data'!FD33="","",'Raw Data'!FD33)</f>
        <v>1</v>
      </c>
      <c r="FQ45" s="15" t="str">
        <f>IF('Raw Data'!FE33="","",'Raw Data'!FE33)</f>
        <v>0</v>
      </c>
      <c r="FR45" s="15" t="str">
        <f>IF('Raw Data'!FF33="","",'Raw Data'!FF33)</f>
        <v>0</v>
      </c>
      <c r="FS45" s="15" t="str">
        <f>IF('Raw Data'!FG33="","",'Raw Data'!FG33)</f>
        <v>0</v>
      </c>
      <c r="FT45" s="15" t="str">
        <f>IF('Raw Data'!FH33="","",'Raw Data'!FH33)</f>
        <v>0</v>
      </c>
      <c r="FU45" s="15" t="str">
        <f>IF('Raw Data'!FI33="","",'Raw Data'!FI33)</f>
        <v>0</v>
      </c>
      <c r="FV45" s="15" t="str">
        <f>IF('Raw Data'!FJ33="","",'Raw Data'!FJ33)</f>
        <v>0</v>
      </c>
      <c r="FW45" s="15" t="str">
        <f>IF('Raw Data'!FK33="","",'Raw Data'!FK33)</f>
        <v>0</v>
      </c>
      <c r="FX45" s="15" t="str">
        <f>IF('Raw Data'!FL33="","",'Raw Data'!FL33)</f>
        <v>0</v>
      </c>
      <c r="FY45" s="15" t="str">
        <f>IF('Raw Data'!FM33="","",'Raw Data'!FM33)</f>
        <v>0</v>
      </c>
      <c r="FZ45" s="15" t="str">
        <f>IF('Raw Data'!FN33="","",'Raw Data'!FN33)</f>
        <v/>
      </c>
      <c r="GA45" s="15" t="str">
        <f>IF('Raw Data'!FO33="","",'Raw Data'!FO33)</f>
        <v>oui_ensemble</v>
      </c>
      <c r="GB45" s="15" t="str">
        <f>IF('Raw Data'!FP33="","",'Raw Data'!FP33)</f>
        <v>oui_ensemble</v>
      </c>
      <c r="GC45" s="15" t="str">
        <f>IF('Raw Data'!FQ33="","",'Raw Data'!FQ33)</f>
        <v/>
      </c>
      <c r="GD45" s="15" t="str">
        <f>IF('Raw Data'!FR33="","",'Raw Data'!FR33)</f>
        <v/>
      </c>
      <c r="GE45" s="15" t="str">
        <f>IF('Raw Data'!FS33="","",'Raw Data'!FS33)</f>
        <v/>
      </c>
      <c r="GF45" s="15" t="str">
        <f>IF('Raw Data'!FT33="","",'Raw Data'!FT33)</f>
        <v/>
      </c>
      <c r="GG45" s="15" t="str">
        <f>IF('Raw Data'!FU33="","",'Raw Data'!FU33)</f>
        <v/>
      </c>
      <c r="GH45" s="15" t="str">
        <f>IF('Raw Data'!FV33="","",'Raw Data'!FV33)</f>
        <v/>
      </c>
      <c r="GI45" s="15" t="str">
        <f>IF('Raw Data'!FW33="","",'Raw Data'!FW33)</f>
        <v/>
      </c>
      <c r="GJ45" s="15" t="str">
        <f>IF('Raw Data'!FX33="","",'Raw Data'!FX33)</f>
        <v/>
      </c>
      <c r="GK45" s="15" t="str">
        <f>IF('Raw Data'!FY33="","",'Raw Data'!FY33)</f>
        <v/>
      </c>
      <c r="GL45" s="15" t="str">
        <f>IF('Raw Data'!FZ33="","",'Raw Data'!FZ33)</f>
        <v/>
      </c>
      <c r="GM45" s="15" t="str">
        <f>IF('Raw Data'!GA33="","",'Raw Data'!GA33)</f>
        <v>ensemble</v>
      </c>
      <c r="GN45" s="15" t="str">
        <f>IF('Raw Data'!GB33="","",'Raw Data'!GB33)</f>
        <v>ensemble</v>
      </c>
      <c r="GO45" s="15" t="str">
        <f>IF('Raw Data'!GC33="","",'Raw Data'!GC33)</f>
        <v>Services_de_sante</v>
      </c>
      <c r="GP45" s="15" t="str">
        <f>IF('Raw Data'!GD33="","",'Raw Data'!GD33)</f>
        <v>0</v>
      </c>
      <c r="GQ45" s="15" t="str">
        <f>IF('Raw Data'!GE33="","",'Raw Data'!GE33)</f>
        <v>0</v>
      </c>
      <c r="GR45" s="15" t="str">
        <f>IF('Raw Data'!GF33="","",'Raw Data'!GF33)</f>
        <v>0</v>
      </c>
      <c r="GS45" s="15" t="str">
        <f>IF('Raw Data'!GG33="","",'Raw Data'!GG33)</f>
        <v>1</v>
      </c>
      <c r="GT45" s="15" t="str">
        <f>IF('Raw Data'!GH33="","",'Raw Data'!GH33)</f>
        <v>0</v>
      </c>
      <c r="GU45" s="15" t="str">
        <f>IF('Raw Data'!GI33="","",'Raw Data'!GI33)</f>
        <v>0</v>
      </c>
      <c r="GV45" s="15" t="str">
        <f>IF('Raw Data'!GJ33="","",'Raw Data'!GJ33)</f>
        <v>0</v>
      </c>
      <c r="GW45" s="15" t="str">
        <f>IF('Raw Data'!GK33="","",'Raw Data'!GK33)</f>
        <v>0</v>
      </c>
      <c r="GX45" s="15" t="str">
        <f>IF('Raw Data'!GL33="","",'Raw Data'!GL33)</f>
        <v>0</v>
      </c>
      <c r="GY45" s="15" t="str">
        <f>IF('Raw Data'!GM33="","",'Raw Data'!GM33)</f>
        <v/>
      </c>
      <c r="GZ45" s="15" t="str">
        <f>IF('Raw Data'!GN33="","",'Raw Data'!GN33)</f>
        <v>oui_ensemble</v>
      </c>
      <c r="HA45" s="15" t="str">
        <f>IF('Raw Data'!GO33="","",'Raw Data'!GO33)</f>
        <v>oui_ensemble</v>
      </c>
      <c r="HB45" s="15" t="str">
        <f>IF('Raw Data'!GP33="","",'Raw Data'!GP33)</f>
        <v>repond_besoins_pop amelioration_futur</v>
      </c>
      <c r="HC45" s="15" t="str">
        <f>IF('Raw Data'!GQ33="","",'Raw Data'!GQ33)</f>
        <v>1</v>
      </c>
      <c r="HD45" s="15" t="str">
        <f>IF('Raw Data'!GR33="","",'Raw Data'!GR33)</f>
        <v>1</v>
      </c>
      <c r="HE45" s="15" t="str">
        <f>IF('Raw Data'!GS33="","",'Raw Data'!GS33)</f>
        <v>0</v>
      </c>
      <c r="HF45" s="15" t="str">
        <f>IF('Raw Data'!GT33="","",'Raw Data'!GT33)</f>
        <v>0</v>
      </c>
      <c r="HG45" s="15" t="str">
        <f>IF('Raw Data'!GU33="","",'Raw Data'!GU33)</f>
        <v>0</v>
      </c>
      <c r="HH45" s="15" t="str">
        <f>IF('Raw Data'!GV33="","",'Raw Data'!GV33)</f>
        <v>0</v>
      </c>
      <c r="HI45" s="15" t="str">
        <f>IF('Raw Data'!GW33="","",'Raw Data'!GW33)</f>
        <v>0</v>
      </c>
      <c r="HJ45" s="15" t="str">
        <f>IF('Raw Data'!GX33="","",'Raw Data'!GX33)</f>
        <v>0</v>
      </c>
      <c r="HK45" s="15" t="str">
        <f>IF('Raw Data'!GY33="","",'Raw Data'!GY33)</f>
        <v/>
      </c>
      <c r="HL45" s="31"/>
      <c r="HM45" s="31"/>
      <c r="HN45" s="31"/>
      <c r="HO45" s="31"/>
      <c r="HP45" s="31"/>
      <c r="HQ45" s="31"/>
      <c r="HR45" s="31"/>
      <c r="HS45" s="31"/>
      <c r="HT45" s="15" t="str">
        <f>IF('Raw Data'!HH33="","",'Raw Data'!HH33)</f>
        <v/>
      </c>
      <c r="HU45" s="15" t="str">
        <f>IF('Raw Data'!HI33="","",'Raw Data'!HI33)</f>
        <v>non</v>
      </c>
      <c r="HV45" s="15" t="str">
        <f>IF('Raw Data'!HJ33="","",'Raw Data'!HJ33)</f>
        <v/>
      </c>
      <c r="HW45" s="15" t="str">
        <f>IF('Raw Data'!HK33="","",'Raw Data'!HK33)</f>
        <v/>
      </c>
      <c r="HX45" s="15" t="str">
        <f>IF('Raw Data'!HL33="","",'Raw Data'!HL33)</f>
        <v/>
      </c>
      <c r="HY45" s="15" t="str">
        <f>IF('Raw Data'!HM33="","",'Raw Data'!HM33)</f>
        <v/>
      </c>
      <c r="HZ45" s="15" t="str">
        <f>IF('Raw Data'!HN33="","",'Raw Data'!HN33)</f>
        <v/>
      </c>
      <c r="IA45" s="15" t="str">
        <f>IF('Raw Data'!HO33="","",'Raw Data'!HO33)</f>
        <v/>
      </c>
      <c r="IB45" s="15" t="str">
        <f>IF('Raw Data'!HP33="","",'Raw Data'!HP33)</f>
        <v/>
      </c>
      <c r="IC45" s="15" t="str">
        <f>IF('Raw Data'!HQ33="","",'Raw Data'!HQ33)</f>
        <v/>
      </c>
      <c r="ID45" s="15" t="str">
        <f>IF('Raw Data'!HR33="","",'Raw Data'!HR33)</f>
        <v/>
      </c>
      <c r="IE45" s="15" t="str">
        <f>IF('Raw Data'!HS33="","",'Raw Data'!HS33)</f>
        <v/>
      </c>
      <c r="IF45" s="15" t="str">
        <f>IF('Raw Data'!HT33="","",'Raw Data'!HT33)</f>
        <v/>
      </c>
      <c r="IG45" s="15" t="str">
        <f>IF('Raw Data'!HU33="","",'Raw Data'!HU33)</f>
        <v/>
      </c>
      <c r="IH45" s="15" t="str">
        <f>IF('Raw Data'!HV33="","",'Raw Data'!HV33)</f>
        <v>oui</v>
      </c>
      <c r="II45" s="15" t="str">
        <f>IF('Raw Data'!HW33="","",'Raw Data'!HW33)</f>
        <v/>
      </c>
      <c r="IJ45" s="15" t="str">
        <f>IF('Raw Data'!HX33="","",'Raw Data'!HX33)</f>
        <v/>
      </c>
      <c r="IK45" s="15" t="str">
        <f>IF('Raw Data'!HY33="","",'Raw Data'!HY33)</f>
        <v/>
      </c>
      <c r="IL45" s="15" t="str">
        <f>IF('Raw Data'!HZ33="","",'Raw Data'!HZ33)</f>
        <v/>
      </c>
      <c r="IM45" s="15" t="str">
        <f>IF('Raw Data'!IA33="","",'Raw Data'!IA33)</f>
        <v/>
      </c>
      <c r="IN45" s="15" t="str">
        <f>IF('Raw Data'!IB33="","",'Raw Data'!IB33)</f>
        <v/>
      </c>
      <c r="IO45" s="15" t="str">
        <f>IF('Raw Data'!IC33="","",'Raw Data'!IC33)</f>
        <v/>
      </c>
      <c r="IP45" s="15" t="str">
        <f>IF('Raw Data'!ID33="","",'Raw Data'!ID33)</f>
        <v/>
      </c>
      <c r="IQ45" s="15" t="str">
        <f>IF('Raw Data'!IE33="","",'Raw Data'!IE33)</f>
        <v/>
      </c>
      <c r="IR45" s="15" t="str">
        <f>IF('Raw Data'!IF33="","",'Raw Data'!IF33)</f>
        <v/>
      </c>
      <c r="IS45" s="15" t="str">
        <f>IF('Raw Data'!IG33="","",'Raw Data'!IG33)</f>
        <v/>
      </c>
      <c r="IT45" s="15" t="str">
        <f>IF('Raw Data'!IH33="","",'Raw Data'!IH33)</f>
        <v/>
      </c>
      <c r="IU45" s="15" t="str">
        <f>IF('Raw Data'!II33="","",'Raw Data'!II33)</f>
        <v/>
      </c>
      <c r="IV45" s="15" t="str">
        <f>IF('Raw Data'!IJ33="","",'Raw Data'!IJ33)</f>
        <v/>
      </c>
      <c r="IW45" s="15" t="str">
        <f>IF('Raw Data'!IK33="","",'Raw Data'!IK33)</f>
        <v/>
      </c>
      <c r="IX45" s="15" t="str">
        <f>IF('Raw Data'!IL33="","",'Raw Data'!IL33)</f>
        <v/>
      </c>
      <c r="IY45" s="15" t="str">
        <f>IF('Raw Data'!IM33="","",'Raw Data'!IM33)</f>
        <v/>
      </c>
      <c r="IZ45" s="15" t="str">
        <f>IF('Raw Data'!IN33="","",'Raw Data'!IN33)</f>
        <v>2</v>
      </c>
      <c r="JA45" s="15" t="str">
        <f>IF('Raw Data'!IO33="","",'Raw Data'!IO33)</f>
        <v>Services_medicaux points_ecoute</v>
      </c>
      <c r="JB45" s="15" t="str">
        <f>IF('Raw Data'!IP33="","",'Raw Data'!IP33)</f>
        <v>0</v>
      </c>
      <c r="JC45" s="15" t="str">
        <f>IF('Raw Data'!IQ33="","",'Raw Data'!IQ33)</f>
        <v>1</v>
      </c>
      <c r="JD45" s="15" t="str">
        <f>IF('Raw Data'!IR33="","",'Raw Data'!IR33)</f>
        <v>0</v>
      </c>
      <c r="JE45" s="15" t="str">
        <f>IF('Raw Data'!IS33="","",'Raw Data'!IS33)</f>
        <v>0</v>
      </c>
      <c r="JF45" s="15" t="str">
        <f>IF('Raw Data'!IT33="","",'Raw Data'!IT33)</f>
        <v>0</v>
      </c>
      <c r="JG45" s="15" t="str">
        <f>IF('Raw Data'!IU33="","",'Raw Data'!IU33)</f>
        <v>0</v>
      </c>
      <c r="JH45" s="15" t="str">
        <f>IF('Raw Data'!IV33="","",'Raw Data'!IV33)</f>
        <v>0</v>
      </c>
      <c r="JI45" s="15" t="str">
        <f>IF('Raw Data'!IW33="","",'Raw Data'!IW33)</f>
        <v>1</v>
      </c>
      <c r="JJ45" s="15" t="str">
        <f>IF('Raw Data'!IX33="","",'Raw Data'!IX33)</f>
        <v>0</v>
      </c>
      <c r="JK45" s="15" t="str">
        <f>IF('Raw Data'!IY33="","",'Raw Data'!IY33)</f>
        <v>0</v>
      </c>
      <c r="JL45" s="15" t="str">
        <f>IF('Raw Data'!IZ33="","",'Raw Data'!IZ33)</f>
        <v/>
      </c>
      <c r="JM45" s="15" t="str">
        <f>IF('Raw Data'!JA33="","",'Raw Data'!JA33)</f>
        <v>prise_enchage signalement</v>
      </c>
      <c r="JN45" s="15" t="str">
        <f>IF('Raw Data'!JB33="","",'Raw Data'!JB33)</f>
        <v>1</v>
      </c>
      <c r="JO45" s="15" t="str">
        <f>IF('Raw Data'!JC33="","",'Raw Data'!JC33)</f>
        <v>0</v>
      </c>
      <c r="JP45" s="15" t="str">
        <f>IF('Raw Data'!JD33="","",'Raw Data'!JD33)</f>
        <v>1</v>
      </c>
      <c r="JQ45" s="15" t="str">
        <f>IF('Raw Data'!JE33="","",'Raw Data'!JE33)</f>
        <v>0</v>
      </c>
      <c r="JR45" s="15" t="str">
        <f>IF('Raw Data'!JF33="","",'Raw Data'!JF33)</f>
        <v>0</v>
      </c>
      <c r="JS45" s="15" t="str">
        <f>IF('Raw Data'!JG33="","",'Raw Data'!JG33)</f>
        <v>0</v>
      </c>
      <c r="JT45" s="15" t="str">
        <f>IF('Raw Data'!JH33="","",'Raw Data'!JH33)</f>
        <v/>
      </c>
      <c r="JU45" s="15" t="str">
        <f>IF('Raw Data'!JI33="","",'Raw Data'!JI33)</f>
        <v>point_ecoute medical</v>
      </c>
      <c r="JV45" s="15" t="str">
        <f>IF('Raw Data'!JJ33="","",'Raw Data'!JJ33)</f>
        <v>1</v>
      </c>
      <c r="JW45" s="15" t="str">
        <f>IF('Raw Data'!JK33="","",'Raw Data'!JK33)</f>
        <v>0</v>
      </c>
      <c r="JX45" s="15" t="str">
        <f>IF('Raw Data'!JL33="","",'Raw Data'!JL33)</f>
        <v>1</v>
      </c>
      <c r="JY45" s="15" t="str">
        <f>IF('Raw Data'!JM33="","",'Raw Data'!JM33)</f>
        <v>0</v>
      </c>
      <c r="JZ45" s="15" t="str">
        <f>IF('Raw Data'!JN33="","",'Raw Data'!JN33)</f>
        <v>0</v>
      </c>
      <c r="KA45" s="15" t="str">
        <f>IF('Raw Data'!JO33="","",'Raw Data'!JO33)</f>
        <v>0</v>
      </c>
      <c r="KB45" s="15" t="str">
        <f>IF('Raw Data'!JP33="","",'Raw Data'!JP33)</f>
        <v>0</v>
      </c>
      <c r="KC45" s="15" t="str">
        <f>IF('Raw Data'!JQ33="","",'Raw Data'!JQ33)</f>
        <v>0</v>
      </c>
      <c r="KD45" s="15" t="str">
        <f>IF('Raw Data'!JR33="","",'Raw Data'!JR33)</f>
        <v>0</v>
      </c>
      <c r="KE45" s="15" t="str">
        <f>IF('Raw Data'!JS33="","",'Raw Data'!JS33)</f>
        <v/>
      </c>
      <c r="KF45" s="15" t="str">
        <f>IF('Raw Data'!JT33="","",'Raw Data'!JT33)</f>
        <v>point_ecoute medical</v>
      </c>
      <c r="KG45" s="15" t="str">
        <f>IF('Raw Data'!JU33="","",'Raw Data'!JU33)</f>
        <v>1</v>
      </c>
      <c r="KH45" s="15" t="str">
        <f>IF('Raw Data'!JV33="","",'Raw Data'!JV33)</f>
        <v>0</v>
      </c>
      <c r="KI45" s="15" t="str">
        <f>IF('Raw Data'!JW33="","",'Raw Data'!JW33)</f>
        <v>1</v>
      </c>
      <c r="KJ45" s="15" t="str">
        <f>IF('Raw Data'!JX33="","",'Raw Data'!JX33)</f>
        <v>0</v>
      </c>
      <c r="KK45" s="15" t="str">
        <f>IF('Raw Data'!JY33="","",'Raw Data'!JY33)</f>
        <v>0</v>
      </c>
      <c r="KL45" s="15" t="str">
        <f>IF('Raw Data'!JZ33="","",'Raw Data'!JZ33)</f>
        <v>0</v>
      </c>
      <c r="KM45" s="15" t="str">
        <f>IF('Raw Data'!KA33="","",'Raw Data'!KA33)</f>
        <v>0</v>
      </c>
      <c r="KN45" s="15" t="str">
        <f>IF('Raw Data'!KB33="","",'Raw Data'!KB33)</f>
        <v>0</v>
      </c>
      <c r="KO45" s="15" t="str">
        <f>IF('Raw Data'!KC33="","",'Raw Data'!KC33)</f>
        <v>0</v>
      </c>
      <c r="KP45" s="15" t="str">
        <f>IF('Raw Data'!KD33="","",'Raw Data'!KD33)</f>
        <v/>
      </c>
      <c r="KQ45" s="15" t="str">
        <f>IF('Raw Data'!KE33="","",'Raw Data'!KE33)</f>
        <v/>
      </c>
      <c r="KR45" s="15" t="str">
        <f>IF('Raw Data'!KF33="","",'Raw Data'!KF33)</f>
        <v>oui</v>
      </c>
      <c r="KS45" s="15" t="str">
        <f>IF('Raw Data'!KG33="","",'Raw Data'!KG33)</f>
        <v>manque_moyens probleme_orientation</v>
      </c>
      <c r="KT45" s="15" t="str">
        <f>IF('Raw Data'!KH33="","",'Raw Data'!KH33)</f>
        <v>1</v>
      </c>
      <c r="KU45" s="15" t="str">
        <f>IF('Raw Data'!KI33="","",'Raw Data'!KI33)</f>
        <v>0</v>
      </c>
      <c r="KV45" s="15" t="str">
        <f>IF('Raw Data'!KJ33="","",'Raw Data'!KJ33)</f>
        <v>0</v>
      </c>
      <c r="KW45" s="15" t="str">
        <f>IF('Raw Data'!KK33="","",'Raw Data'!KK33)</f>
        <v>1</v>
      </c>
      <c r="KX45" s="15" t="str">
        <f>IF('Raw Data'!KL33="","",'Raw Data'!KL33)</f>
        <v>0</v>
      </c>
      <c r="KY45" s="15" t="str">
        <f>IF('Raw Data'!KM33="","",'Raw Data'!KM33)</f>
        <v>0</v>
      </c>
      <c r="KZ45" s="15" t="str">
        <f>IF('Raw Data'!KN33="","",'Raw Data'!KN33)</f>
        <v>0</v>
      </c>
      <c r="LA45" s="15" t="str">
        <f>IF('Raw Data'!KO33="","",'Raw Data'!KO33)</f>
        <v>0</v>
      </c>
      <c r="LB45" s="15" t="str">
        <f>IF('Raw Data'!KP33="","",'Raw Data'!KP33)</f>
        <v>0</v>
      </c>
      <c r="LC45" s="15" t="str">
        <f>IF('Raw Data'!KQ33="","",'Raw Data'!KQ33)</f>
        <v>0</v>
      </c>
      <c r="LD45" s="15" t="str">
        <f>IF('Raw Data'!KR33="","",'Raw Data'!KR33)</f>
        <v>0</v>
      </c>
      <c r="LE45" s="15" t="str">
        <f>IF('Raw Data'!KS33="","",'Raw Data'!KS33)</f>
        <v/>
      </c>
      <c r="LF45" s="15" t="str">
        <f>IF('Raw Data'!KT33="","",'Raw Data'!KT33)</f>
        <v>pb_coordination pb_logistiques</v>
      </c>
      <c r="LG45" s="15" t="str">
        <f>IF('Raw Data'!KU33="","",'Raw Data'!KU33)</f>
        <v>0</v>
      </c>
      <c r="LH45" s="15" t="str">
        <f>IF('Raw Data'!KV33="","",'Raw Data'!KV33)</f>
        <v>1</v>
      </c>
      <c r="LI45" s="15" t="str">
        <f>IF('Raw Data'!KW33="","",'Raw Data'!KW33)</f>
        <v>0</v>
      </c>
      <c r="LJ45" s="15" t="str">
        <f>IF('Raw Data'!KX33="","",'Raw Data'!KX33)</f>
        <v>1</v>
      </c>
      <c r="LK45" s="15" t="str">
        <f>IF('Raw Data'!KY33="","",'Raw Data'!KY33)</f>
        <v>0</v>
      </c>
      <c r="LL45" s="15" t="str">
        <f>IF('Raw Data'!KZ33="","",'Raw Data'!KZ33)</f>
        <v>0</v>
      </c>
      <c r="LM45" s="15" t="str">
        <f>IF('Raw Data'!LA33="","",'Raw Data'!LA33)</f>
        <v/>
      </c>
      <c r="LN45" s="15" t="str">
        <f>IF('Raw Data'!LB33="","",'Raw Data'!LB33)</f>
        <v>non</v>
      </c>
      <c r="LO45" s="15" t="str">
        <f>IF('Raw Data'!LC33="","",'Raw Data'!LC33)</f>
        <v/>
      </c>
      <c r="LP45" s="15" t="str">
        <f>IF('Raw Data'!LD33="","",'Raw Data'!LD33)</f>
        <v/>
      </c>
      <c r="LQ45" s="15" t="str">
        <f>IF('Raw Data'!LE33="","",'Raw Data'!LE33)</f>
        <v/>
      </c>
      <c r="LR45" s="15" t="str">
        <f>IF('Raw Data'!LF33="","",'Raw Data'!LF33)</f>
        <v/>
      </c>
      <c r="LS45" s="15" t="str">
        <f>IF('Raw Data'!LG33="","",'Raw Data'!LG33)</f>
        <v/>
      </c>
      <c r="LT45" s="15" t="str">
        <f>IF('Raw Data'!LH33="","",'Raw Data'!LH33)</f>
        <v/>
      </c>
      <c r="LU45" s="15" t="str">
        <f>IF('Raw Data'!LI33="","",'Raw Data'!LI33)</f>
        <v/>
      </c>
      <c r="LV45" s="15" t="str">
        <f>IF('Raw Data'!LJ33="","",'Raw Data'!LJ33)</f>
        <v/>
      </c>
      <c r="LW45" s="15" t="str">
        <f>IF('Raw Data'!LK33="","",'Raw Data'!LK33)</f>
        <v/>
      </c>
      <c r="LX45" s="15" t="str">
        <f>IF('Raw Data'!LL33="","",'Raw Data'!LL33)</f>
        <v/>
      </c>
      <c r="LY45" s="15" t="str">
        <f>IF('Raw Data'!LM33="","",'Raw Data'!LM33)</f>
        <v/>
      </c>
      <c r="LZ45" s="15" t="str">
        <f>IF('Raw Data'!LN33="","",'Raw Data'!LN33)</f>
        <v/>
      </c>
      <c r="MA45" s="15" t="str">
        <f>IF('Raw Data'!LO33="","",'Raw Data'!LO33)</f>
        <v/>
      </c>
      <c r="MB45" s="15" t="str">
        <f>IF('Raw Data'!LP33="","",'Raw Data'!LP33)</f>
        <v>oui</v>
      </c>
      <c r="MC45" s="15" t="str">
        <f>IF('Raw Data'!LQ33="","",'Raw Data'!LQ33)</f>
        <v/>
      </c>
      <c r="MD45" s="31"/>
      <c r="ME45" s="15">
        <f>IF('Raw Data'!LS33="","",'Raw Data'!LS33)</f>
        <v>169355615</v>
      </c>
      <c r="MF45" s="15" t="str">
        <f>IF('Raw Data'!LT33="","",'Raw Data'!LT33)</f>
        <v>5c6a6c24-c1d3-440c-83d5-fdc6307a1a06</v>
      </c>
      <c r="MG45" s="15" t="str">
        <f>IF('Raw Data'!LU33="","",'Raw Data'!LU33)</f>
        <v>2021-04-02T19:44:42</v>
      </c>
      <c r="MH45" s="15" t="str">
        <f>IF('Raw Data'!LV33="","",'Raw Data'!LV33)</f>
        <v/>
      </c>
      <c r="MI45" s="15" t="str">
        <f>IF('Raw Data'!LW33="","",'Raw Data'!LW33)</f>
        <v>[]</v>
      </c>
      <c r="MJ45" s="15" t="str">
        <f>IF('Raw Data'!LX33="","",'Raw Data'!LX33)</f>
        <v>submitted_via_web</v>
      </c>
      <c r="MK45" s="15" t="str">
        <f>IF('Raw Data'!LY33="","",'Raw Data'!LY33)</f>
        <v>reach_niger</v>
      </c>
      <c r="ML45" s="15" t="str">
        <f>IF('Raw Data'!LZ33="","",'Raw Data'!LZ33)</f>
        <v/>
      </c>
      <c r="MM45" s="15">
        <f>IF('Raw Data'!MA33="","",'Raw Data'!MA33)</f>
        <v>34</v>
      </c>
    </row>
    <row r="46" spans="1:351" x14ac:dyDescent="0.3">
      <c r="A46" s="26" t="str">
        <f t="shared" si="4"/>
        <v>db614297-8d74-4f89-afc9-d32bc984d1ee</v>
      </c>
      <c r="B46" s="26" t="str">
        <f t="shared" si="5"/>
        <v>dessa</v>
      </c>
      <c r="C46" s="26" t="str">
        <f t="shared" si="6"/>
        <v>I</v>
      </c>
      <c r="D46" s="14" t="str">
        <f>IF('Raw Data'!A4="","",'Raw Data'!A4)</f>
        <v>2021-03-31T10:34:03.159+01:00</v>
      </c>
      <c r="E46" s="14" t="str">
        <f>IF('Raw Data'!B4="","",'Raw Data'!B4)</f>
        <v>2021-03-31T17:14:14.413+01:00</v>
      </c>
      <c r="F46" s="30">
        <v>44286.440312500003</v>
      </c>
      <c r="G46" s="30">
        <v>44286.718217592592</v>
      </c>
      <c r="H46" s="29">
        <f>VLOOKUP(A46,Audit[#All],2,FALSE)</f>
        <v>400.19</v>
      </c>
      <c r="I46" s="29">
        <f>VLOOKUP(A46,Audit[#All],3,FALSE)</f>
        <v>45.21</v>
      </c>
      <c r="J46" s="29">
        <f>VLOOKUP(A46,Audit[#All],4,FALSE)</f>
        <v>43.57</v>
      </c>
      <c r="K46" s="29">
        <f>VLOOKUP(A46,nb_questions[#All],2,FALSE)</f>
        <v>97</v>
      </c>
      <c r="L46" s="29">
        <f t="shared" si="7"/>
        <v>155</v>
      </c>
      <c r="M46" s="14" t="str">
        <f>IF('Raw Data'!C4="","",'Raw Data'!C4)</f>
        <v>2021-03-31</v>
      </c>
      <c r="N46" s="14" t="str">
        <f>IF('Raw Data'!D4="","",'Raw Data'!D4)</f>
        <v/>
      </c>
      <c r="O46" s="14" t="str">
        <f>IF('Raw Data'!E4="","",'Raw Data'!E4)</f>
        <v/>
      </c>
      <c r="P46" s="29" t="str">
        <f>VLOOKUP(A46,code_enqueteurs[#All],3,FALSE)</f>
        <v>I</v>
      </c>
      <c r="Q46" s="29" t="s">
        <v>1653</v>
      </c>
      <c r="R46" s="14" t="str">
        <f>IF('Raw Data'!F4="","",'Raw Data'!F4)</f>
        <v>Homme</v>
      </c>
      <c r="S46" s="15" t="str">
        <f>IF('Raw Data'!G4="","",'Raw Data'!G4)</f>
        <v>tillaberi</v>
      </c>
      <c r="T46" s="15" t="str">
        <f>IF('Raw Data'!H4="","",'Raw Data'!H4)</f>
        <v>dessa</v>
      </c>
      <c r="U46" s="15" t="str">
        <f>IF('Raw Data'!I4="","",'Raw Data'!I4)</f>
        <v>gaigorou</v>
      </c>
      <c r="V46" s="15" t="str">
        <f>IF('Raw Data'!J4="","",'Raw Data'!J4)</f>
        <v/>
      </c>
      <c r="W46" s="15" t="str">
        <f>IF('Raw Data'!K4="","",'Raw Data'!K4)</f>
        <v/>
      </c>
      <c r="X46" s="15" t="str">
        <f>IF('Raw Data'!L4="","",'Raw Data'!L4)</f>
        <v/>
      </c>
      <c r="Y46" s="15" t="str">
        <f>IF('Raw Data'!M4="","",'Raw Data'!M4)</f>
        <v/>
      </c>
      <c r="Z46" s="15" t="str">
        <f>IF('Raw Data'!N4="","",'Raw Data'!N4)</f>
        <v/>
      </c>
      <c r="AA46" s="15" t="str">
        <f>IF('Raw Data'!O4="","",'Raw Data'!O4)</f>
        <v/>
      </c>
      <c r="AB46" s="15" t="str">
        <f>IF('Raw Data'!P4="","",'Raw Data'!P4)</f>
        <v/>
      </c>
      <c r="AC46" s="15" t="str">
        <f>IF('Raw Data'!Q4="","",'Raw Data'!Q4)</f>
        <v/>
      </c>
      <c r="AD46" s="15" t="str">
        <f>IF('Raw Data'!R4="","",'Raw Data'!R4)</f>
        <v>Homme</v>
      </c>
      <c r="AE46" s="15" t="str">
        <f>IF('Raw Data'!S4="","",'Raw Data'!S4)</f>
        <v>31</v>
      </c>
      <c r="AF46" s="15" t="str">
        <f>IF('Raw Data'!T4="","",'Raw Data'!T4)</f>
        <v>Hote</v>
      </c>
      <c r="AG46" s="15" t="str">
        <f>IF('Raw Data'!U4="","",'Raw Data'!U4)</f>
        <v/>
      </c>
      <c r="AH46" s="15" t="str">
        <f>IF('Raw Data'!V4="","",'Raw Data'!V4)</f>
        <v/>
      </c>
      <c r="AI46" s="15" t="str">
        <f>IF('Raw Data'!W4="","",'Raw Data'!W4)</f>
        <v/>
      </c>
      <c r="AJ46" s="15" t="str">
        <f>IF('Raw Data'!X4="","",'Raw Data'!X4)</f>
        <v/>
      </c>
      <c r="AK46" s="15" t="str">
        <f>IF('Raw Data'!Y4="","",'Raw Data'!Y4)</f>
        <v/>
      </c>
      <c r="AL46" s="15" t="str">
        <f>IF('Raw Data'!Z4="","",'Raw Data'!Z4)</f>
        <v/>
      </c>
      <c r="AM46" s="15" t="str">
        <f>IF('Raw Data'!AA4="","",'Raw Data'!AA4)</f>
        <v/>
      </c>
      <c r="AN46" s="15" t="str">
        <f>IF('Raw Data'!AB4="","",'Raw Data'!AB4)</f>
        <v/>
      </c>
      <c r="AO46" s="15" t="str">
        <f>IF('Raw Data'!AC4="","",'Raw Data'!AC4)</f>
        <v/>
      </c>
      <c r="AP46" s="15" t="str">
        <f>IF('Raw Data'!AD4="","",'Raw Data'!AD4)</f>
        <v/>
      </c>
      <c r="AQ46" s="15" t="str">
        <f>IF('Raw Data'!AE4="","",'Raw Data'!AE4)</f>
        <v/>
      </c>
      <c r="AR46" s="15" t="str">
        <f>IF('Raw Data'!AF4="","",'Raw Data'!AF4)</f>
        <v/>
      </c>
      <c r="AS46" s="15" t="str">
        <f>IF('Raw Data'!AG4="","",'Raw Data'!AG4)</f>
        <v>non</v>
      </c>
      <c r="AT46" s="15" t="str">
        <f>IF('Raw Data'!AH4="","",'Raw Data'!AH4)</f>
        <v/>
      </c>
      <c r="AU46" s="15" t="str">
        <f>IF('Raw Data'!AI4="","",'Raw Data'!AI4)</f>
        <v/>
      </c>
      <c r="AV46" s="15" t="str">
        <f>IF('Raw Data'!AJ4="","",'Raw Data'!AJ4)</f>
        <v/>
      </c>
      <c r="AW46" s="15" t="str">
        <f>IF('Raw Data'!AK4="","",'Raw Data'!AK4)</f>
        <v/>
      </c>
      <c r="AX46" s="15" t="str">
        <f>IF('Raw Data'!AL4="","",'Raw Data'!AL4)</f>
        <v/>
      </c>
      <c r="AY46" s="15" t="str">
        <f>IF('Raw Data'!AM4="","",'Raw Data'!AM4)</f>
        <v/>
      </c>
      <c r="AZ46" s="15" t="str">
        <f>IF('Raw Data'!AN4="","",'Raw Data'!AN4)</f>
        <v/>
      </c>
      <c r="BA46" s="15" t="str">
        <f>IF('Raw Data'!AO4="","",'Raw Data'!AO4)</f>
        <v/>
      </c>
      <c r="BB46" s="15" t="str">
        <f>IF('Raw Data'!AP4="","",'Raw Data'!AP4)</f>
        <v/>
      </c>
      <c r="BC46" s="15" t="str">
        <f>IF('Raw Data'!AQ4="","",'Raw Data'!AQ4)</f>
        <v/>
      </c>
      <c r="BD46" s="15" t="str">
        <f>IF('Raw Data'!AR4="","",'Raw Data'!AR4)</f>
        <v/>
      </c>
      <c r="BE46" s="15" t="str">
        <f>IF('Raw Data'!AS4="","",'Raw Data'!AS4)</f>
        <v/>
      </c>
      <c r="BF46" s="15" t="str">
        <f>IF('Raw Data'!AT4="","",'Raw Data'!AT4)</f>
        <v/>
      </c>
      <c r="BG46" s="15" t="str">
        <f>IF('Raw Data'!AU4="","",'Raw Data'!AU4)</f>
        <v/>
      </c>
      <c r="BH46" s="15" t="str">
        <f>IF('Raw Data'!AV4="","",'Raw Data'!AV4)</f>
        <v/>
      </c>
      <c r="BI46" s="15" t="str">
        <f>IF('Raw Data'!AW4="","",'Raw Data'!AW4)</f>
        <v/>
      </c>
      <c r="BJ46" s="15" t="str">
        <f>IF('Raw Data'!AX4="","",'Raw Data'!AX4)</f>
        <v/>
      </c>
      <c r="BK46" s="15" t="str">
        <f>IF('Raw Data'!AY4="","",'Raw Data'!AY4)</f>
        <v/>
      </c>
      <c r="BL46" s="15" t="str">
        <f>IF('Raw Data'!AZ4="","",'Raw Data'!AZ4)</f>
        <v/>
      </c>
      <c r="BM46" s="15" t="str">
        <f>IF('Raw Data'!BA4="","",'Raw Data'!BA4)</f>
        <v/>
      </c>
      <c r="BN46" s="15" t="str">
        <f>IF('Raw Data'!BB4="","",'Raw Data'!BB4)</f>
        <v/>
      </c>
      <c r="BO46" s="15" t="str">
        <f>IF('Raw Data'!BC4="","",'Raw Data'!BC4)</f>
        <v/>
      </c>
      <c r="BP46" s="15" t="str">
        <f>IF('Raw Data'!BD4="","",'Raw Data'!BD4)</f>
        <v/>
      </c>
      <c r="BQ46" s="15" t="str">
        <f>IF('Raw Data'!BE4="","",'Raw Data'!BE4)</f>
        <v/>
      </c>
      <c r="BR46" s="15" t="str">
        <f>IF('Raw Data'!BF4="","",'Raw Data'!BF4)</f>
        <v/>
      </c>
      <c r="BS46" s="15" t="str">
        <f>IF('Raw Data'!BG4="","",'Raw Data'!BG4)</f>
        <v/>
      </c>
      <c r="BT46" s="15" t="str">
        <f>IF('Raw Data'!BH4="","",'Raw Data'!BH4)</f>
        <v/>
      </c>
      <c r="BU46" s="15" t="str">
        <f>IF('Raw Data'!BI4="","",'Raw Data'!BI4)</f>
        <v/>
      </c>
      <c r="BV46" s="15" t="str">
        <f>IF('Raw Data'!BJ4="","",'Raw Data'!BJ4)</f>
        <v/>
      </c>
      <c r="BW46" s="15" t="str">
        <f>IF('Raw Data'!BK4="","",'Raw Data'!BK4)</f>
        <v/>
      </c>
      <c r="BX46" s="15" t="str">
        <f>IF('Raw Data'!BL4="","",'Raw Data'!BL4)</f>
        <v/>
      </c>
      <c r="BY46" s="15" t="str">
        <f>IF('Raw Data'!BM4="","",'Raw Data'!BM4)</f>
        <v/>
      </c>
      <c r="BZ46" s="15" t="str">
        <f>IF('Raw Data'!BN4="","",'Raw Data'!BN4)</f>
        <v/>
      </c>
      <c r="CA46" s="15" t="str">
        <f>IF('Raw Data'!BO4="","",'Raw Data'!BO4)</f>
        <v/>
      </c>
      <c r="CB46" s="15" t="str">
        <f>IF('Raw Data'!BP4="","",'Raw Data'!BP4)</f>
        <v/>
      </c>
      <c r="CC46" s="15" t="str">
        <f>IF('Raw Data'!BQ4="","",'Raw Data'!BQ4)</f>
        <v>non</v>
      </c>
      <c r="CD46" s="15" t="str">
        <f>IF('Raw Data'!BR4="","",'Raw Data'!BR4)</f>
        <v/>
      </c>
      <c r="CE46" s="15" t="str">
        <f>IF('Raw Data'!BS4="","",'Raw Data'!BS4)</f>
        <v/>
      </c>
      <c r="CF46" s="15" t="str">
        <f>IF('Raw Data'!BT4="","",'Raw Data'!BT4)</f>
        <v/>
      </c>
      <c r="CG46" s="15" t="str">
        <f>IF('Raw Data'!BU4="","",'Raw Data'!BU4)</f>
        <v/>
      </c>
      <c r="CH46" s="15" t="str">
        <f>IF('Raw Data'!BV4="","",'Raw Data'!BV4)</f>
        <v/>
      </c>
      <c r="CI46" s="15" t="str">
        <f>IF('Raw Data'!BW4="","",'Raw Data'!BW4)</f>
        <v/>
      </c>
      <c r="CJ46" s="15" t="str">
        <f>IF('Raw Data'!BX4="","",'Raw Data'!BX4)</f>
        <v/>
      </c>
      <c r="CK46" s="15" t="str">
        <f>IF('Raw Data'!BY4="","",'Raw Data'!BY4)</f>
        <v/>
      </c>
      <c r="CL46" s="15" t="str">
        <f>IF('Raw Data'!BZ4="","",'Raw Data'!BZ4)</f>
        <v/>
      </c>
      <c r="CM46" s="15" t="str">
        <f>IF('Raw Data'!CA4="","",'Raw Data'!CA4)</f>
        <v/>
      </c>
      <c r="CN46" s="15" t="str">
        <f>IF('Raw Data'!CB4="","",'Raw Data'!CB4)</f>
        <v/>
      </c>
      <c r="CO46" s="15" t="str">
        <f>IF('Raw Data'!CC4="","",'Raw Data'!CC4)</f>
        <v/>
      </c>
      <c r="CP46" s="15" t="str">
        <f>IF('Raw Data'!CD4="","",'Raw Data'!CD4)</f>
        <v/>
      </c>
      <c r="CQ46" s="15" t="str">
        <f>IF('Raw Data'!CE4="","",'Raw Data'!CE4)</f>
        <v/>
      </c>
      <c r="CR46" s="15" t="str">
        <f>IF('Raw Data'!CF4="","",'Raw Data'!CF4)</f>
        <v/>
      </c>
      <c r="CS46" s="15" t="str">
        <f>IF('Raw Data'!CG4="","",'Raw Data'!CG4)</f>
        <v/>
      </c>
      <c r="CT46" s="15" t="str">
        <f>IF('Raw Data'!CH4="","",'Raw Data'!CH4)</f>
        <v/>
      </c>
      <c r="CU46" s="15" t="str">
        <f>IF('Raw Data'!CI4="","",'Raw Data'!CI4)</f>
        <v/>
      </c>
      <c r="CV46" s="15" t="str">
        <f>IF('Raw Data'!CJ4="","",'Raw Data'!CJ4)</f>
        <v/>
      </c>
      <c r="CW46" s="15" t="str">
        <f>IF('Raw Data'!CK4="","",'Raw Data'!CK4)</f>
        <v/>
      </c>
      <c r="CX46" s="15" t="str">
        <f>IF('Raw Data'!CL4="","",'Raw Data'!CL4)</f>
        <v/>
      </c>
      <c r="CY46" s="15" t="str">
        <f>IF('Raw Data'!CM4="","",'Raw Data'!CM4)</f>
        <v/>
      </c>
      <c r="CZ46" s="15" t="str">
        <f>IF('Raw Data'!CN4="","",'Raw Data'!CN4)</f>
        <v/>
      </c>
      <c r="DA46" s="15" t="str">
        <f>IF('Raw Data'!CO4="","",'Raw Data'!CO4)</f>
        <v/>
      </c>
      <c r="DB46" s="15" t="str">
        <f>IF('Raw Data'!CP4="","",'Raw Data'!CP4)</f>
        <v/>
      </c>
      <c r="DC46" s="15" t="str">
        <f>IF('Raw Data'!CQ4="","",'Raw Data'!CQ4)</f>
        <v/>
      </c>
      <c r="DD46" s="15" t="str">
        <f>IF('Raw Data'!CR4="","",'Raw Data'!CR4)</f>
        <v/>
      </c>
      <c r="DE46" s="15" t="str">
        <f>IF('Raw Data'!CS4="","",'Raw Data'!CS4)</f>
        <v/>
      </c>
      <c r="DF46" s="15" t="str">
        <f>IF('Raw Data'!CT4="","",'Raw Data'!CT4)</f>
        <v/>
      </c>
      <c r="DG46" s="15" t="str">
        <f>IF('Raw Data'!CU4="","",'Raw Data'!CU4)</f>
        <v/>
      </c>
      <c r="DH46" s="15" t="str">
        <f>IF('Raw Data'!CV4="","",'Raw Data'!CV4)</f>
        <v/>
      </c>
      <c r="DI46" s="15" t="str">
        <f>IF('Raw Data'!CW4="","",'Raw Data'!CW4)</f>
        <v/>
      </c>
      <c r="DJ46" s="15" t="str">
        <f>IF('Raw Data'!CX4="","",'Raw Data'!CX4)</f>
        <v/>
      </c>
      <c r="DK46" s="15" t="str">
        <f>IF('Raw Data'!CY4="","",'Raw Data'!CY4)</f>
        <v/>
      </c>
      <c r="DL46" s="15" t="str">
        <f>IF('Raw Data'!CZ4="","",'Raw Data'!CZ4)</f>
        <v/>
      </c>
      <c r="DM46" s="15" t="str">
        <f>IF('Raw Data'!DA4="","",'Raw Data'!DA4)</f>
        <v/>
      </c>
      <c r="DN46" s="15" t="str">
        <f>IF('Raw Data'!DB4="","",'Raw Data'!DB4)</f>
        <v/>
      </c>
      <c r="DO46" s="15" t="str">
        <f>IF('Raw Data'!DC4="","",'Raw Data'!DC4)</f>
        <v/>
      </c>
      <c r="DP46" s="15" t="str">
        <f>IF('Raw Data'!DD4="","",'Raw Data'!DD4)</f>
        <v/>
      </c>
      <c r="DQ46" s="15" t="str">
        <f>IF('Raw Data'!DE4="","",'Raw Data'!DE4)</f>
        <v/>
      </c>
      <c r="DR46" s="15" t="str">
        <f>IF('Raw Data'!DF4="","",'Raw Data'!DF4)</f>
        <v/>
      </c>
      <c r="DS46" s="15" t="str">
        <f>IF('Raw Data'!DG4="","",'Raw Data'!DG4)</f>
        <v/>
      </c>
      <c r="DT46" s="15" t="str">
        <f>IF('Raw Data'!DH4="","",'Raw Data'!DH4)</f>
        <v/>
      </c>
      <c r="DU46" s="15" t="str">
        <f>IF('Raw Data'!DI4="","",'Raw Data'!DI4)</f>
        <v/>
      </c>
      <c r="DV46" s="15" t="str">
        <f>IF('Raw Data'!DJ4="","",'Raw Data'!DJ4)</f>
        <v/>
      </c>
      <c r="DW46" s="15" t="str">
        <f>IF('Raw Data'!DK4="","",'Raw Data'!DK4)</f>
        <v/>
      </c>
      <c r="DX46" s="15" t="str">
        <f>IF('Raw Data'!DL4="","",'Raw Data'!DL4)</f>
        <v/>
      </c>
      <c r="DY46" s="15" t="str">
        <f>IF('Raw Data'!DM4="","",'Raw Data'!DM4)</f>
        <v/>
      </c>
      <c r="DZ46" s="15" t="str">
        <f>IF('Raw Data'!DN4="","",'Raw Data'!DN4)</f>
        <v/>
      </c>
      <c r="EA46" s="15" t="str">
        <f>IF('Raw Data'!DO4="","",'Raw Data'!DO4)</f>
        <v/>
      </c>
      <c r="EB46" s="15" t="str">
        <f>IF('Raw Data'!DP4="","",'Raw Data'!DP4)</f>
        <v/>
      </c>
      <c r="EC46" s="15" t="str">
        <f>IF('Raw Data'!DQ4="","",'Raw Data'!DQ4)</f>
        <v/>
      </c>
      <c r="ED46" s="15" t="str">
        <f>IF('Raw Data'!DR4="","",'Raw Data'!DR4)</f>
        <v/>
      </c>
      <c r="EE46" s="15" t="str">
        <f>IF('Raw Data'!DS4="","",'Raw Data'!DS4)</f>
        <v/>
      </c>
      <c r="EF46" s="15" t="str">
        <f>IF('Raw Data'!DT4="","",'Raw Data'!DT4)</f>
        <v/>
      </c>
      <c r="EG46" s="15" t="str">
        <f>IF('Raw Data'!DU4="","",'Raw Data'!DU4)</f>
        <v/>
      </c>
      <c r="EH46" s="15" t="str">
        <f>IF('Raw Data'!DV4="","",'Raw Data'!DV4)</f>
        <v/>
      </c>
      <c r="EI46" s="15" t="str">
        <f>IF('Raw Data'!DW4="","",'Raw Data'!DW4)</f>
        <v/>
      </c>
      <c r="EJ46" s="15" t="str">
        <f>IF('Raw Data'!DX4="","",'Raw Data'!DX4)</f>
        <v/>
      </c>
      <c r="EK46" s="15" t="str">
        <f>IF('Raw Data'!DY4="","",'Raw Data'!DY4)</f>
        <v/>
      </c>
      <c r="EL46" s="15" t="str">
        <f>IF('Raw Data'!DZ4="","",'Raw Data'!DZ4)</f>
        <v>Soutien_famille_amis Integration_com_hote</v>
      </c>
      <c r="EM46" s="15" t="str">
        <f>IF('Raw Data'!EA4="","",'Raw Data'!EA4)</f>
        <v>0</v>
      </c>
      <c r="EN46" s="15" t="str">
        <f>IF('Raw Data'!EB4="","",'Raw Data'!EB4)</f>
        <v>1</v>
      </c>
      <c r="EO46" s="15" t="str">
        <f>IF('Raw Data'!EC4="","",'Raw Data'!EC4)</f>
        <v>1</v>
      </c>
      <c r="EP46" s="15" t="str">
        <f>IF('Raw Data'!ED4="","",'Raw Data'!ED4)</f>
        <v>0</v>
      </c>
      <c r="EQ46" s="15" t="str">
        <f>IF('Raw Data'!EE4="","",'Raw Data'!EE4)</f>
        <v>0</v>
      </c>
      <c r="ER46" s="15" t="str">
        <f>IF('Raw Data'!EF4="","",'Raw Data'!EF4)</f>
        <v>0</v>
      </c>
      <c r="ES46" s="15" t="str">
        <f>IF('Raw Data'!EG4="","",'Raw Data'!EG4)</f>
        <v>0</v>
      </c>
      <c r="ET46" s="15" t="str">
        <f>IF('Raw Data'!EH4="","",'Raw Data'!EH4)</f>
        <v>0</v>
      </c>
      <c r="EU46" s="15" t="str">
        <f>IF('Raw Data'!EI4="","",'Raw Data'!EI4)</f>
        <v>0</v>
      </c>
      <c r="EV46" s="15" t="str">
        <f>IF('Raw Data'!EJ4="","",'Raw Data'!EJ4)</f>
        <v/>
      </c>
      <c r="EW46" s="15" t="str">
        <f>IF('Raw Data'!EK4="","",'Raw Data'!EK4)</f>
        <v/>
      </c>
      <c r="EX46" s="15" t="str">
        <f>IF('Raw Data'!EL4="","",'Raw Data'!EL4)</f>
        <v>famille_accueil comite_gestion_conflits comite_protection</v>
      </c>
      <c r="EY46" s="15" t="str">
        <f>IF('Raw Data'!EM4="","",'Raw Data'!EM4)</f>
        <v>0</v>
      </c>
      <c r="EZ46" s="15" t="str">
        <f>IF('Raw Data'!EN4="","",'Raw Data'!EN4)</f>
        <v>1</v>
      </c>
      <c r="FA46" s="15" t="str">
        <f>IF('Raw Data'!EO4="","",'Raw Data'!EO4)</f>
        <v>1</v>
      </c>
      <c r="FB46" s="15" t="str">
        <f>IF('Raw Data'!EP4="","",'Raw Data'!EP4)</f>
        <v>0</v>
      </c>
      <c r="FC46" s="15" t="str">
        <f>IF('Raw Data'!EQ4="","",'Raw Data'!EQ4)</f>
        <v>0</v>
      </c>
      <c r="FD46" s="15" t="str">
        <f>IF('Raw Data'!ER4="","",'Raw Data'!ER4)</f>
        <v>1</v>
      </c>
      <c r="FE46" s="15" t="str">
        <f>IF('Raw Data'!ES4="","",'Raw Data'!ES4)</f>
        <v>0</v>
      </c>
      <c r="FF46" s="15" t="str">
        <f>IF('Raw Data'!ET4="","",'Raw Data'!ET4)</f>
        <v>0</v>
      </c>
      <c r="FG46" s="15" t="str">
        <f>IF('Raw Data'!EU4="","",'Raw Data'!EU4)</f>
        <v>0</v>
      </c>
      <c r="FH46" s="15" t="str">
        <f>IF('Raw Data'!EV4="","",'Raw Data'!EV4)</f>
        <v>0</v>
      </c>
      <c r="FI46" s="15" t="str">
        <f>IF('Raw Data'!EW4="","",'Raw Data'!EW4)</f>
        <v/>
      </c>
      <c r="FJ46" s="15" t="str">
        <f>IF('Raw Data'!EX4="","",'Raw Data'!EX4)</f>
        <v>oui</v>
      </c>
      <c r="FK46" s="15" t="str">
        <f>IF('Raw Data'!EY4="","",'Raw Data'!EY4)</f>
        <v>Radio_television manif_sociales Chef_village Groupement_femmes</v>
      </c>
      <c r="FL46" s="15" t="str">
        <f>IF('Raw Data'!EZ4="","",'Raw Data'!EZ4)</f>
        <v>1</v>
      </c>
      <c r="FM46" s="15" t="str">
        <f>IF('Raw Data'!FA4="","",'Raw Data'!FA4)</f>
        <v>0</v>
      </c>
      <c r="FN46" s="15" t="str">
        <f>IF('Raw Data'!FB4="","",'Raw Data'!FB4)</f>
        <v>0</v>
      </c>
      <c r="FO46" s="15" t="str">
        <f>IF('Raw Data'!FC4="","",'Raw Data'!FC4)</f>
        <v>1</v>
      </c>
      <c r="FP46" s="15" t="str">
        <f>IF('Raw Data'!FD4="","",'Raw Data'!FD4)</f>
        <v>1</v>
      </c>
      <c r="FQ46" s="15" t="str">
        <f>IF('Raw Data'!FE4="","",'Raw Data'!FE4)</f>
        <v>0</v>
      </c>
      <c r="FR46" s="15" t="str">
        <f>IF('Raw Data'!FF4="","",'Raw Data'!FF4)</f>
        <v>0</v>
      </c>
      <c r="FS46" s="15" t="str">
        <f>IF('Raw Data'!FG4="","",'Raw Data'!FG4)</f>
        <v>1</v>
      </c>
      <c r="FT46" s="15" t="str">
        <f>IF('Raw Data'!FH4="","",'Raw Data'!FH4)</f>
        <v>0</v>
      </c>
      <c r="FU46" s="15" t="str">
        <f>IF('Raw Data'!FI4="","",'Raw Data'!FI4)</f>
        <v>0</v>
      </c>
      <c r="FV46" s="15" t="str">
        <f>IF('Raw Data'!FJ4="","",'Raw Data'!FJ4)</f>
        <v>0</v>
      </c>
      <c r="FW46" s="15" t="str">
        <f>IF('Raw Data'!FK4="","",'Raw Data'!FK4)</f>
        <v>0</v>
      </c>
      <c r="FX46" s="15" t="str">
        <f>IF('Raw Data'!FL4="","",'Raw Data'!FL4)</f>
        <v>0</v>
      </c>
      <c r="FY46" s="15" t="str">
        <f>IF('Raw Data'!FM4="","",'Raw Data'!FM4)</f>
        <v>0</v>
      </c>
      <c r="FZ46" s="15" t="str">
        <f>IF('Raw Data'!FN4="","",'Raw Data'!FN4)</f>
        <v/>
      </c>
      <c r="GA46" s="15" t="str">
        <f>IF('Raw Data'!FO4="","",'Raw Data'!FO4)</f>
        <v>oui_moitie</v>
      </c>
      <c r="GB46" s="15" t="str">
        <f>IF('Raw Data'!FP4="","",'Raw Data'!FP4)</f>
        <v>oui_moitie</v>
      </c>
      <c r="GC46" s="15" t="str">
        <f>IF('Raw Data'!FQ4="","",'Raw Data'!FQ4)</f>
        <v>manque_info trop_du_monde insecurite</v>
      </c>
      <c r="GD46" s="15" t="str">
        <f>IF('Raw Data'!FR4="","",'Raw Data'!FR4)</f>
        <v>0</v>
      </c>
      <c r="GE46" s="15" t="str">
        <f>IF('Raw Data'!FS4="","",'Raw Data'!FS4)</f>
        <v>1</v>
      </c>
      <c r="GF46" s="15" t="str">
        <f>IF('Raw Data'!FT4="","",'Raw Data'!FT4)</f>
        <v>0</v>
      </c>
      <c r="GG46" s="15" t="str">
        <f>IF('Raw Data'!FU4="","",'Raw Data'!FU4)</f>
        <v>0</v>
      </c>
      <c r="GH46" s="15" t="str">
        <f>IF('Raw Data'!FV4="","",'Raw Data'!FV4)</f>
        <v>1</v>
      </c>
      <c r="GI46" s="15" t="str">
        <f>IF('Raw Data'!FW4="","",'Raw Data'!FW4)</f>
        <v>1</v>
      </c>
      <c r="GJ46" s="15" t="str">
        <f>IF('Raw Data'!FX4="","",'Raw Data'!FX4)</f>
        <v>0</v>
      </c>
      <c r="GK46" s="15" t="str">
        <f>IF('Raw Data'!FY4="","",'Raw Data'!FY4)</f>
        <v>0</v>
      </c>
      <c r="GL46" s="15" t="str">
        <f>IF('Raw Data'!FZ4="","",'Raw Data'!FZ4)</f>
        <v/>
      </c>
      <c r="GM46" s="15" t="str">
        <f>IF('Raw Data'!GA4="","",'Raw Data'!GA4)</f>
        <v>moitie</v>
      </c>
      <c r="GN46" s="15" t="str">
        <f>IF('Raw Data'!GB4="","",'Raw Data'!GB4)</f>
        <v>moitie</v>
      </c>
      <c r="GO46" s="15" t="str">
        <f>IF('Raw Data'!GC4="","",'Raw Data'!GC4)</f>
        <v>Education Services_de_sante Acces_aux_doc</v>
      </c>
      <c r="GP46" s="15" t="str">
        <f>IF('Raw Data'!GD4="","",'Raw Data'!GD4)</f>
        <v>0</v>
      </c>
      <c r="GQ46" s="15" t="str">
        <f>IF('Raw Data'!GE4="","",'Raw Data'!GE4)</f>
        <v>1</v>
      </c>
      <c r="GR46" s="15" t="str">
        <f>IF('Raw Data'!GF4="","",'Raw Data'!GF4)</f>
        <v>0</v>
      </c>
      <c r="GS46" s="15" t="str">
        <f>IF('Raw Data'!GG4="","",'Raw Data'!GG4)</f>
        <v>1</v>
      </c>
      <c r="GT46" s="15" t="str">
        <f>IF('Raw Data'!GH4="","",'Raw Data'!GH4)</f>
        <v>1</v>
      </c>
      <c r="GU46" s="15" t="str">
        <f>IF('Raw Data'!GI4="","",'Raw Data'!GI4)</f>
        <v>0</v>
      </c>
      <c r="GV46" s="15" t="str">
        <f>IF('Raw Data'!GJ4="","",'Raw Data'!GJ4)</f>
        <v>0</v>
      </c>
      <c r="GW46" s="15" t="str">
        <f>IF('Raw Data'!GK4="","",'Raw Data'!GK4)</f>
        <v>0</v>
      </c>
      <c r="GX46" s="15" t="str">
        <f>IF('Raw Data'!GL4="","",'Raw Data'!GL4)</f>
        <v>0</v>
      </c>
      <c r="GY46" s="15" t="str">
        <f>IF('Raw Data'!GM4="","",'Raw Data'!GM4)</f>
        <v/>
      </c>
      <c r="GZ46" s="15" t="str">
        <f>IF('Raw Data'!GN4="","",'Raw Data'!GN4)</f>
        <v>oui_minorite</v>
      </c>
      <c r="HA46" s="15" t="str">
        <f>IF('Raw Data'!GO4="","",'Raw Data'!GO4)</f>
        <v>oui_majorite</v>
      </c>
      <c r="HB46" s="15" t="str">
        <f>IF('Raw Data'!GP4="","",'Raw Data'!GP4)</f>
        <v>repond_besoins_pop permet_obtenir_conseils amelioration_futur</v>
      </c>
      <c r="HC46" s="15" t="str">
        <f>IF('Raw Data'!GQ4="","",'Raw Data'!GQ4)</f>
        <v>1</v>
      </c>
      <c r="HD46" s="15" t="str">
        <f>IF('Raw Data'!GR4="","",'Raw Data'!GR4)</f>
        <v>1</v>
      </c>
      <c r="HE46" s="15" t="str">
        <f>IF('Raw Data'!GS4="","",'Raw Data'!GS4)</f>
        <v>1</v>
      </c>
      <c r="HF46" s="15" t="str">
        <f>IF('Raw Data'!GT4="","",'Raw Data'!GT4)</f>
        <v>0</v>
      </c>
      <c r="HG46" s="15" t="str">
        <f>IF('Raw Data'!GU4="","",'Raw Data'!GU4)</f>
        <v>0</v>
      </c>
      <c r="HH46" s="15" t="str">
        <f>IF('Raw Data'!GV4="","",'Raw Data'!GV4)</f>
        <v>0</v>
      </c>
      <c r="HI46" s="15" t="str">
        <f>IF('Raw Data'!GW4="","",'Raw Data'!GW4)</f>
        <v>0</v>
      </c>
      <c r="HJ46" s="15" t="str">
        <f>IF('Raw Data'!GX4="","",'Raw Data'!GX4)</f>
        <v>0</v>
      </c>
      <c r="HK46" s="15" t="str">
        <f>IF('Raw Data'!GY4="","",'Raw Data'!GY4)</f>
        <v/>
      </c>
      <c r="HL46" s="15" t="str">
        <f>IF('Raw Data'!GZ4="","",'Raw Data'!GZ4)</f>
        <v>non_diminition_tension non_obtention_info ne_repond_pas</v>
      </c>
      <c r="HM46" s="15" t="str">
        <f>IF('Raw Data'!HA4="","",'Raw Data'!HA4)</f>
        <v>0</v>
      </c>
      <c r="HN46" s="15" t="str">
        <f>IF('Raw Data'!HB4="","",'Raw Data'!HB4)</f>
        <v>1</v>
      </c>
      <c r="HO46" s="15" t="str">
        <f>IF('Raw Data'!HC4="","",'Raw Data'!HC4)</f>
        <v>1</v>
      </c>
      <c r="HP46" s="15" t="str">
        <f>IF('Raw Data'!HD4="","",'Raw Data'!HD4)</f>
        <v>1</v>
      </c>
      <c r="HQ46" s="15" t="str">
        <f>IF('Raw Data'!HE4="","",'Raw Data'!HE4)</f>
        <v>0</v>
      </c>
      <c r="HR46" s="15" t="str">
        <f>IF('Raw Data'!HF4="","",'Raw Data'!HF4)</f>
        <v>0</v>
      </c>
      <c r="HS46" s="15" t="str">
        <f>IF('Raw Data'!HG4="","",'Raw Data'!HG4)</f>
        <v/>
      </c>
      <c r="HT46" s="15" t="str">
        <f>IF('Raw Data'!HH4="","",'Raw Data'!HH4)</f>
        <v/>
      </c>
      <c r="HU46" s="15" t="str">
        <f>IF('Raw Data'!HI4="","",'Raw Data'!HI4)</f>
        <v>non</v>
      </c>
      <c r="HV46" s="15" t="str">
        <f>IF('Raw Data'!HJ4="","",'Raw Data'!HJ4)</f>
        <v/>
      </c>
      <c r="HW46" s="15" t="str">
        <f>IF('Raw Data'!HK4="","",'Raw Data'!HK4)</f>
        <v/>
      </c>
      <c r="HX46" s="15" t="str">
        <f>IF('Raw Data'!HL4="","",'Raw Data'!HL4)</f>
        <v/>
      </c>
      <c r="HY46" s="15" t="str">
        <f>IF('Raw Data'!HM4="","",'Raw Data'!HM4)</f>
        <v/>
      </c>
      <c r="HZ46" s="15" t="str">
        <f>IF('Raw Data'!HN4="","",'Raw Data'!HN4)</f>
        <v/>
      </c>
      <c r="IA46" s="15" t="str">
        <f>IF('Raw Data'!HO4="","",'Raw Data'!HO4)</f>
        <v/>
      </c>
      <c r="IB46" s="15" t="str">
        <f>IF('Raw Data'!HP4="","",'Raw Data'!HP4)</f>
        <v/>
      </c>
      <c r="IC46" s="15" t="str">
        <f>IF('Raw Data'!HQ4="","",'Raw Data'!HQ4)</f>
        <v/>
      </c>
      <c r="ID46" s="15" t="str">
        <f>IF('Raw Data'!HR4="","",'Raw Data'!HR4)</f>
        <v/>
      </c>
      <c r="IE46" s="15" t="str">
        <f>IF('Raw Data'!HS4="","",'Raw Data'!HS4)</f>
        <v/>
      </c>
      <c r="IF46" s="15" t="str">
        <f>IF('Raw Data'!HT4="","",'Raw Data'!HT4)</f>
        <v/>
      </c>
      <c r="IG46" s="15" t="str">
        <f>IF('Raw Data'!HU4="","",'Raw Data'!HU4)</f>
        <v/>
      </c>
      <c r="IH46" s="15" t="str">
        <f>IF('Raw Data'!HV4="","",'Raw Data'!HV4)</f>
        <v>oui</v>
      </c>
      <c r="II46" s="15" t="str">
        <f>IF('Raw Data'!HW4="","",'Raw Data'!HW4)</f>
        <v/>
      </c>
      <c r="IJ46" s="15" t="str">
        <f>IF('Raw Data'!HX4="","",'Raw Data'!HX4)</f>
        <v/>
      </c>
      <c r="IK46" s="15" t="str">
        <f>IF('Raw Data'!HY4="","",'Raw Data'!HY4)</f>
        <v/>
      </c>
      <c r="IL46" s="15" t="str">
        <f>IF('Raw Data'!HZ4="","",'Raw Data'!HZ4)</f>
        <v/>
      </c>
      <c r="IM46" s="15" t="str">
        <f>IF('Raw Data'!IA4="","",'Raw Data'!IA4)</f>
        <v/>
      </c>
      <c r="IN46" s="15" t="str">
        <f>IF('Raw Data'!IB4="","",'Raw Data'!IB4)</f>
        <v/>
      </c>
      <c r="IO46" s="15" t="str">
        <f>IF('Raw Data'!IC4="","",'Raw Data'!IC4)</f>
        <v/>
      </c>
      <c r="IP46" s="15" t="str">
        <f>IF('Raw Data'!ID4="","",'Raw Data'!ID4)</f>
        <v/>
      </c>
      <c r="IQ46" s="15" t="str">
        <f>IF('Raw Data'!IE4="","",'Raw Data'!IE4)</f>
        <v/>
      </c>
      <c r="IR46" s="15" t="str">
        <f>IF('Raw Data'!IF4="","",'Raw Data'!IF4)</f>
        <v/>
      </c>
      <c r="IS46" s="15" t="str">
        <f>IF('Raw Data'!IG4="","",'Raw Data'!IG4)</f>
        <v/>
      </c>
      <c r="IT46" s="15" t="str">
        <f>IF('Raw Data'!IH4="","",'Raw Data'!IH4)</f>
        <v/>
      </c>
      <c r="IU46" s="15" t="str">
        <f>IF('Raw Data'!II4="","",'Raw Data'!II4)</f>
        <v/>
      </c>
      <c r="IV46" s="15" t="str">
        <f>IF('Raw Data'!IJ4="","",'Raw Data'!IJ4)</f>
        <v/>
      </c>
      <c r="IW46" s="15" t="str">
        <f>IF('Raw Data'!IK4="","",'Raw Data'!IK4)</f>
        <v/>
      </c>
      <c r="IX46" s="15" t="str">
        <f>IF('Raw Data'!IL4="","",'Raw Data'!IL4)</f>
        <v/>
      </c>
      <c r="IY46" s="15" t="str">
        <f>IF('Raw Data'!IM4="","",'Raw Data'!IM4)</f>
        <v/>
      </c>
      <c r="IZ46" s="15" t="str">
        <f>IF('Raw Data'!IN4="","",'Raw Data'!IN4)</f>
        <v>2</v>
      </c>
      <c r="JA46" s="15" t="str">
        <f>IF('Raw Data'!IO4="","",'Raw Data'!IO4)</f>
        <v>Services_medicaux Services_educatifs acces_docs</v>
      </c>
      <c r="JB46" s="15" t="str">
        <f>IF('Raw Data'!IP4="","",'Raw Data'!IP4)</f>
        <v>0</v>
      </c>
      <c r="JC46" s="15" t="str">
        <f>IF('Raw Data'!IQ4="","",'Raw Data'!IQ4)</f>
        <v>1</v>
      </c>
      <c r="JD46" s="15" t="str">
        <f>IF('Raw Data'!IR4="","",'Raw Data'!IR4)</f>
        <v>1</v>
      </c>
      <c r="JE46" s="15" t="str">
        <f>IF('Raw Data'!IS4="","",'Raw Data'!IS4)</f>
        <v>0</v>
      </c>
      <c r="JF46" s="15" t="str">
        <f>IF('Raw Data'!IT4="","",'Raw Data'!IT4)</f>
        <v>1</v>
      </c>
      <c r="JG46" s="15" t="str">
        <f>IF('Raw Data'!IU4="","",'Raw Data'!IU4)</f>
        <v>0</v>
      </c>
      <c r="JH46" s="15" t="str">
        <f>IF('Raw Data'!IV4="","",'Raw Data'!IV4)</f>
        <v>0</v>
      </c>
      <c r="JI46" s="15" t="str">
        <f>IF('Raw Data'!IW4="","",'Raw Data'!IW4)</f>
        <v>0</v>
      </c>
      <c r="JJ46" s="15" t="str">
        <f>IF('Raw Data'!IX4="","",'Raw Data'!IX4)</f>
        <v>0</v>
      </c>
      <c r="JK46" s="15" t="str">
        <f>IF('Raw Data'!IY4="","",'Raw Data'!IY4)</f>
        <v>0</v>
      </c>
      <c r="JL46" s="15" t="str">
        <f>IF('Raw Data'!IZ4="","",'Raw Data'!IZ4)</f>
        <v/>
      </c>
      <c r="JM46" s="15" t="str">
        <f>IF('Raw Data'!JA4="","",'Raw Data'!JA4)</f>
        <v>prise_enchage reorientation signalement</v>
      </c>
      <c r="JN46" s="15" t="str">
        <f>IF('Raw Data'!JB4="","",'Raw Data'!JB4)</f>
        <v>1</v>
      </c>
      <c r="JO46" s="15" t="str">
        <f>IF('Raw Data'!JC4="","",'Raw Data'!JC4)</f>
        <v>1</v>
      </c>
      <c r="JP46" s="15" t="str">
        <f>IF('Raw Data'!JD4="","",'Raw Data'!JD4)</f>
        <v>1</v>
      </c>
      <c r="JQ46" s="15" t="str">
        <f>IF('Raw Data'!JE4="","",'Raw Data'!JE4)</f>
        <v>0</v>
      </c>
      <c r="JR46" s="15" t="str">
        <f>IF('Raw Data'!JF4="","",'Raw Data'!JF4)</f>
        <v>0</v>
      </c>
      <c r="JS46" s="15" t="str">
        <f>IF('Raw Data'!JG4="","",'Raw Data'!JG4)</f>
        <v>0</v>
      </c>
      <c r="JT46" s="15" t="str">
        <f>IF('Raw Data'!JH4="","",'Raw Data'!JH4)</f>
        <v/>
      </c>
      <c r="JU46" s="15" t="str">
        <f>IF('Raw Data'!JI4="","",'Raw Data'!JI4)</f>
        <v>medical point_ecoute surete</v>
      </c>
      <c r="JV46" s="15" t="str">
        <f>IF('Raw Data'!JJ4="","",'Raw Data'!JJ4)</f>
        <v>1</v>
      </c>
      <c r="JW46" s="15" t="str">
        <f>IF('Raw Data'!JK4="","",'Raw Data'!JK4)</f>
        <v>0</v>
      </c>
      <c r="JX46" s="15" t="str">
        <f>IF('Raw Data'!JL4="","",'Raw Data'!JL4)</f>
        <v>1</v>
      </c>
      <c r="JY46" s="15" t="str">
        <f>IF('Raw Data'!JM4="","",'Raw Data'!JM4)</f>
        <v>0</v>
      </c>
      <c r="JZ46" s="15" t="str">
        <f>IF('Raw Data'!JN4="","",'Raw Data'!JN4)</f>
        <v>1</v>
      </c>
      <c r="KA46" s="15" t="str">
        <f>IF('Raw Data'!JO4="","",'Raw Data'!JO4)</f>
        <v>0</v>
      </c>
      <c r="KB46" s="15" t="str">
        <f>IF('Raw Data'!JP4="","",'Raw Data'!JP4)</f>
        <v>0</v>
      </c>
      <c r="KC46" s="15" t="str">
        <f>IF('Raw Data'!JQ4="","",'Raw Data'!JQ4)</f>
        <v>0</v>
      </c>
      <c r="KD46" s="15" t="str">
        <f>IF('Raw Data'!JR4="","",'Raw Data'!JR4)</f>
        <v>0</v>
      </c>
      <c r="KE46" s="15" t="str">
        <f>IF('Raw Data'!JS4="","",'Raw Data'!JS4)</f>
        <v/>
      </c>
      <c r="KF46" s="15" t="str">
        <f>IF('Raw Data'!JT4="","",'Raw Data'!JT4)</f>
        <v>medical point_ecoute surete</v>
      </c>
      <c r="KG46" s="15" t="str">
        <f>IF('Raw Data'!JU4="","",'Raw Data'!JU4)</f>
        <v>1</v>
      </c>
      <c r="KH46" s="15" t="str">
        <f>IF('Raw Data'!JV4="","",'Raw Data'!JV4)</f>
        <v>0</v>
      </c>
      <c r="KI46" s="15" t="str">
        <f>IF('Raw Data'!JW4="","",'Raw Data'!JW4)</f>
        <v>1</v>
      </c>
      <c r="KJ46" s="15" t="str">
        <f>IF('Raw Data'!JX4="","",'Raw Data'!JX4)</f>
        <v>0</v>
      </c>
      <c r="KK46" s="15" t="str">
        <f>IF('Raw Data'!JY4="","",'Raw Data'!JY4)</f>
        <v>1</v>
      </c>
      <c r="KL46" s="15" t="str">
        <f>IF('Raw Data'!JZ4="","",'Raw Data'!JZ4)</f>
        <v>0</v>
      </c>
      <c r="KM46" s="15" t="str">
        <f>IF('Raw Data'!KA4="","",'Raw Data'!KA4)</f>
        <v>0</v>
      </c>
      <c r="KN46" s="15" t="str">
        <f>IF('Raw Data'!KB4="","",'Raw Data'!KB4)</f>
        <v>0</v>
      </c>
      <c r="KO46" s="15" t="str">
        <f>IF('Raw Data'!KC4="","",'Raw Data'!KC4)</f>
        <v>0</v>
      </c>
      <c r="KP46" s="15" t="str">
        <f>IF('Raw Data'!KD4="","",'Raw Data'!KD4)</f>
        <v/>
      </c>
      <c r="KQ46" s="15" t="str">
        <f>IF('Raw Data'!KE4="","",'Raw Data'!KE4)</f>
        <v/>
      </c>
      <c r="KR46" s="15" t="str">
        <f>IF('Raw Data'!KF4="","",'Raw Data'!KF4)</f>
        <v>oui</v>
      </c>
      <c r="KS46" s="15" t="str">
        <f>IF('Raw Data'!KG4="","",'Raw Data'!KG4)</f>
        <v>manque_moyens insecurite_zone probleme_orientation</v>
      </c>
      <c r="KT46" s="15" t="str">
        <f>IF('Raw Data'!KH4="","",'Raw Data'!KH4)</f>
        <v>1</v>
      </c>
      <c r="KU46" s="15" t="str">
        <f>IF('Raw Data'!KI4="","",'Raw Data'!KI4)</f>
        <v>0</v>
      </c>
      <c r="KV46" s="15" t="str">
        <f>IF('Raw Data'!KJ4="","",'Raw Data'!KJ4)</f>
        <v>0</v>
      </c>
      <c r="KW46" s="15" t="str">
        <f>IF('Raw Data'!KK4="","",'Raw Data'!KK4)</f>
        <v>1</v>
      </c>
      <c r="KX46" s="15" t="str">
        <f>IF('Raw Data'!KL4="","",'Raw Data'!KL4)</f>
        <v>1</v>
      </c>
      <c r="KY46" s="15" t="str">
        <f>IF('Raw Data'!KM4="","",'Raw Data'!KM4)</f>
        <v>0</v>
      </c>
      <c r="KZ46" s="15" t="str">
        <f>IF('Raw Data'!KN4="","",'Raw Data'!KN4)</f>
        <v>0</v>
      </c>
      <c r="LA46" s="15" t="str">
        <f>IF('Raw Data'!KO4="","",'Raw Data'!KO4)</f>
        <v>0</v>
      </c>
      <c r="LB46" s="15" t="str">
        <f>IF('Raw Data'!KP4="","",'Raw Data'!KP4)</f>
        <v>0</v>
      </c>
      <c r="LC46" s="15" t="str">
        <f>IF('Raw Data'!KQ4="","",'Raw Data'!KQ4)</f>
        <v>0</v>
      </c>
      <c r="LD46" s="15" t="str">
        <f>IF('Raw Data'!KR4="","",'Raw Data'!KR4)</f>
        <v>0</v>
      </c>
      <c r="LE46" s="15" t="str">
        <f>IF('Raw Data'!KS4="","",'Raw Data'!KS4)</f>
        <v/>
      </c>
      <c r="LF46" s="15" t="str">
        <f>IF('Raw Data'!KT4="","",'Raw Data'!KT4)</f>
        <v>pb_logistiques pb_secu</v>
      </c>
      <c r="LG46" s="15" t="str">
        <f>IF('Raw Data'!KU4="","",'Raw Data'!KU4)</f>
        <v>0</v>
      </c>
      <c r="LH46" s="15" t="str">
        <f>IF('Raw Data'!KV4="","",'Raw Data'!KV4)</f>
        <v>1</v>
      </c>
      <c r="LI46" s="15" t="str">
        <f>IF('Raw Data'!KW4="","",'Raw Data'!KW4)</f>
        <v>1</v>
      </c>
      <c r="LJ46" s="15" t="str">
        <f>IF('Raw Data'!KX4="","",'Raw Data'!KX4)</f>
        <v>0</v>
      </c>
      <c r="LK46" s="15" t="str">
        <f>IF('Raw Data'!KY4="","",'Raw Data'!KY4)</f>
        <v>0</v>
      </c>
      <c r="LL46" s="15" t="str">
        <f>IF('Raw Data'!KZ4="","",'Raw Data'!KZ4)</f>
        <v>0</v>
      </c>
      <c r="LM46" s="15" t="str">
        <f>IF('Raw Data'!LA4="","",'Raw Data'!LA4)</f>
        <v/>
      </c>
      <c r="LN46" s="15" t="str">
        <f>IF('Raw Data'!LB4="","",'Raw Data'!LB4)</f>
        <v>non</v>
      </c>
      <c r="LO46" s="15" t="str">
        <f>IF('Raw Data'!LC4="","",'Raw Data'!LC4)</f>
        <v/>
      </c>
      <c r="LP46" s="15" t="str">
        <f>IF('Raw Data'!LD4="","",'Raw Data'!LD4)</f>
        <v/>
      </c>
      <c r="LQ46" s="15" t="str">
        <f>IF('Raw Data'!LE4="","",'Raw Data'!LE4)</f>
        <v/>
      </c>
      <c r="LR46" s="15" t="str">
        <f>IF('Raw Data'!LF4="","",'Raw Data'!LF4)</f>
        <v/>
      </c>
      <c r="LS46" s="15" t="str">
        <f>IF('Raw Data'!LG4="","",'Raw Data'!LG4)</f>
        <v/>
      </c>
      <c r="LT46" s="15" t="str">
        <f>IF('Raw Data'!LH4="","",'Raw Data'!LH4)</f>
        <v/>
      </c>
      <c r="LU46" s="15" t="str">
        <f>IF('Raw Data'!LI4="","",'Raw Data'!LI4)</f>
        <v/>
      </c>
      <c r="LV46" s="15" t="str">
        <f>IF('Raw Data'!LJ4="","",'Raw Data'!LJ4)</f>
        <v/>
      </c>
      <c r="LW46" s="15" t="str">
        <f>IF('Raw Data'!LK4="","",'Raw Data'!LK4)</f>
        <v/>
      </c>
      <c r="LX46" s="15" t="str">
        <f>IF('Raw Data'!LL4="","",'Raw Data'!LL4)</f>
        <v/>
      </c>
      <c r="LY46" s="15" t="str">
        <f>IF('Raw Data'!LM4="","",'Raw Data'!LM4)</f>
        <v/>
      </c>
      <c r="LZ46" s="15" t="str">
        <f>IF('Raw Data'!LN4="","",'Raw Data'!LN4)</f>
        <v/>
      </c>
      <c r="MA46" s="15" t="str">
        <f>IF('Raw Data'!LO4="","",'Raw Data'!LO4)</f>
        <v/>
      </c>
      <c r="MB46" s="15" t="str">
        <f>IF('Raw Data'!LP4="","",'Raw Data'!LP4)</f>
        <v>oui</v>
      </c>
      <c r="MC46" s="15" t="str">
        <f>IF('Raw Data'!LQ4="","",'Raw Data'!LQ4)</f>
        <v/>
      </c>
      <c r="MD46" s="15" t="str">
        <f>IF('Raw Data'!LR4="","",'Raw Data'!LR4)</f>
        <v/>
      </c>
      <c r="ME46" s="15">
        <f>IF('Raw Data'!LS4="","",'Raw Data'!LS4)</f>
        <v>168954344</v>
      </c>
      <c r="MF46" s="15" t="str">
        <f>IF('Raw Data'!LT4="","",'Raw Data'!LT4)</f>
        <v>db614297-8d74-4f89-afc9-d32bc984d1ee</v>
      </c>
      <c r="MG46" s="15" t="str">
        <f>IF('Raw Data'!LU4="","",'Raw Data'!LU4)</f>
        <v>2021-03-31T17:53:43</v>
      </c>
      <c r="MH46" s="15" t="str">
        <f>IF('Raw Data'!LV4="","",'Raw Data'!LV4)</f>
        <v/>
      </c>
      <c r="MI46" s="15" t="str">
        <f>IF('Raw Data'!LW4="","",'Raw Data'!LW4)</f>
        <v>[]</v>
      </c>
      <c r="MJ46" s="15" t="str">
        <f>IF('Raw Data'!LX4="","",'Raw Data'!LX4)</f>
        <v>submitted_via_web</v>
      </c>
      <c r="MK46" s="15" t="str">
        <f>IF('Raw Data'!LY4="","",'Raw Data'!LY4)</f>
        <v>reach_niger</v>
      </c>
      <c r="ML46" s="15" t="str">
        <f>IF('Raw Data'!LZ4="","",'Raw Data'!LZ4)</f>
        <v/>
      </c>
      <c r="MM46" s="15">
        <f>IF('Raw Data'!MA4="","",'Raw Data'!MA4)</f>
        <v>3</v>
      </c>
    </row>
    <row r="47" spans="1:351" x14ac:dyDescent="0.3">
      <c r="A47" s="26" t="str">
        <f t="shared" si="4"/>
        <v>d445d12c-abfc-4fb8-9c83-c44271a9dedb</v>
      </c>
      <c r="B47" s="26" t="str">
        <f t="shared" si="5"/>
        <v>dessa</v>
      </c>
      <c r="C47" s="26" t="str">
        <f t="shared" si="6"/>
        <v>I</v>
      </c>
      <c r="D47" s="14" t="str">
        <f>IF('Raw Data'!A7="","",'Raw Data'!A7)</f>
        <v>2021-03-31T12:52:50.582+01:00</v>
      </c>
      <c r="E47" s="14" t="str">
        <f>IF('Raw Data'!B7="","",'Raw Data'!B7)</f>
        <v>2021-03-31T17:13:57.614+01:00</v>
      </c>
      <c r="F47" s="30">
        <v>44286.536689814813</v>
      </c>
      <c r="G47" s="30">
        <v>44286.71802083333</v>
      </c>
      <c r="H47" s="29">
        <f>VLOOKUP(A47,Audit[#All],2,FALSE)</f>
        <v>261.12</v>
      </c>
      <c r="I47" s="29">
        <f>VLOOKUP(A47,Audit[#All],3,FALSE)</f>
        <v>48.75</v>
      </c>
      <c r="J47" s="29">
        <f>VLOOKUP(A47,Audit[#All],4,FALSE)</f>
        <v>47.68</v>
      </c>
      <c r="K47" s="29">
        <f>VLOOKUP(A47,nb_questions[#All],2,FALSE)</f>
        <v>99</v>
      </c>
      <c r="L47" s="29">
        <f t="shared" si="7"/>
        <v>108</v>
      </c>
      <c r="M47" s="14" t="str">
        <f>IF('Raw Data'!C7="","",'Raw Data'!C7)</f>
        <v>2021-03-31</v>
      </c>
      <c r="N47" s="14" t="str">
        <f>IF('Raw Data'!D7="","",'Raw Data'!D7)</f>
        <v/>
      </c>
      <c r="O47" s="14" t="str">
        <f>IF('Raw Data'!E7="","",'Raw Data'!E7)</f>
        <v/>
      </c>
      <c r="P47" s="29" t="str">
        <f>VLOOKUP(A47,code_enqueteurs[#All],3,FALSE)</f>
        <v>I</v>
      </c>
      <c r="Q47" s="29" t="s">
        <v>1653</v>
      </c>
      <c r="R47" s="14" t="str">
        <f>IF('Raw Data'!F7="","",'Raw Data'!F7)</f>
        <v>Homme</v>
      </c>
      <c r="S47" s="15" t="str">
        <f>IF('Raw Data'!G7="","",'Raw Data'!G7)</f>
        <v>tillaberi</v>
      </c>
      <c r="T47" s="15" t="str">
        <f>IF('Raw Data'!H7="","",'Raw Data'!H7)</f>
        <v>dessa</v>
      </c>
      <c r="U47" s="15" t="str">
        <f>IF('Raw Data'!I7="","",'Raw Data'!I7)</f>
        <v>famale</v>
      </c>
      <c r="V47" s="15" t="str">
        <f>IF('Raw Data'!J7="","",'Raw Data'!J7)</f>
        <v/>
      </c>
      <c r="W47" s="15" t="str">
        <f>IF('Raw Data'!K7="","",'Raw Data'!K7)</f>
        <v/>
      </c>
      <c r="X47" s="15" t="str">
        <f>IF('Raw Data'!L7="","",'Raw Data'!L7)</f>
        <v/>
      </c>
      <c r="Y47" s="15" t="str">
        <f>IF('Raw Data'!M7="","",'Raw Data'!M7)</f>
        <v/>
      </c>
      <c r="Z47" s="15" t="str">
        <f>IF('Raw Data'!N7="","",'Raw Data'!N7)</f>
        <v/>
      </c>
      <c r="AA47" s="15" t="str">
        <f>IF('Raw Data'!O7="","",'Raw Data'!O7)</f>
        <v/>
      </c>
      <c r="AB47" s="15" t="str">
        <f>IF('Raw Data'!P7="","",'Raw Data'!P7)</f>
        <v/>
      </c>
      <c r="AC47" s="15" t="str">
        <f>IF('Raw Data'!Q7="","",'Raw Data'!Q7)</f>
        <v/>
      </c>
      <c r="AD47" s="15" t="str">
        <f>IF('Raw Data'!R7="","",'Raw Data'!R7)</f>
        <v>Homme</v>
      </c>
      <c r="AE47" s="15" t="str">
        <f>IF('Raw Data'!S7="","",'Raw Data'!S7)</f>
        <v>64</v>
      </c>
      <c r="AF47" s="15" t="str">
        <f>IF('Raw Data'!T7="","",'Raw Data'!T7)</f>
        <v>Hote</v>
      </c>
      <c r="AG47" s="15" t="str">
        <f>IF('Raw Data'!U7="","",'Raw Data'!U7)</f>
        <v/>
      </c>
      <c r="AH47" s="15" t="str">
        <f>IF('Raw Data'!V7="","",'Raw Data'!V7)</f>
        <v/>
      </c>
      <c r="AI47" s="15" t="str">
        <f>IF('Raw Data'!W7="","",'Raw Data'!W7)</f>
        <v/>
      </c>
      <c r="AJ47" s="15" t="str">
        <f>IF('Raw Data'!X7="","",'Raw Data'!X7)</f>
        <v/>
      </c>
      <c r="AK47" s="15" t="str">
        <f>IF('Raw Data'!Y7="","",'Raw Data'!Y7)</f>
        <v/>
      </c>
      <c r="AL47" s="15" t="str">
        <f>IF('Raw Data'!Z7="","",'Raw Data'!Z7)</f>
        <v/>
      </c>
      <c r="AM47" s="15" t="str">
        <f>IF('Raw Data'!AA7="","",'Raw Data'!AA7)</f>
        <v/>
      </c>
      <c r="AN47" s="15" t="str">
        <f>IF('Raw Data'!AB7="","",'Raw Data'!AB7)</f>
        <v/>
      </c>
      <c r="AO47" s="15" t="str">
        <f>IF('Raw Data'!AC7="","",'Raw Data'!AC7)</f>
        <v/>
      </c>
      <c r="AP47" s="15" t="str">
        <f>IF('Raw Data'!AD7="","",'Raw Data'!AD7)</f>
        <v/>
      </c>
      <c r="AQ47" s="15" t="str">
        <f>IF('Raw Data'!AE7="","",'Raw Data'!AE7)</f>
        <v/>
      </c>
      <c r="AR47" s="15" t="str">
        <f>IF('Raw Data'!AF7="","",'Raw Data'!AF7)</f>
        <v/>
      </c>
      <c r="AS47" s="15" t="str">
        <f>IF('Raw Data'!AG7="","",'Raw Data'!AG7)</f>
        <v>oui</v>
      </c>
      <c r="AT47" s="15" t="str">
        <f>IF('Raw Data'!AH7="","",'Raw Data'!AH7)</f>
        <v>Violences_physique_civils Attaques_ecoles_sante extorsions Vols_braquages</v>
      </c>
      <c r="AU47" s="15" t="str">
        <f>IF('Raw Data'!AI7="","",'Raw Data'!AI7)</f>
        <v>0</v>
      </c>
      <c r="AV47" s="15" t="str">
        <f>IF('Raw Data'!AJ7="","",'Raw Data'!AJ7)</f>
        <v>0</v>
      </c>
      <c r="AW47" s="15" t="str">
        <f>IF('Raw Data'!AK7="","",'Raw Data'!AK7)</f>
        <v>1</v>
      </c>
      <c r="AX47" s="15" t="str">
        <f>IF('Raw Data'!AL7="","",'Raw Data'!AL7)</f>
        <v>1</v>
      </c>
      <c r="AY47" s="15" t="str">
        <f>IF('Raw Data'!AM7="","",'Raw Data'!AM7)</f>
        <v>1</v>
      </c>
      <c r="AZ47" s="15" t="str">
        <f>IF('Raw Data'!AN7="","",'Raw Data'!AN7)</f>
        <v>0</v>
      </c>
      <c r="BA47" s="15" t="str">
        <f>IF('Raw Data'!AO7="","",'Raw Data'!AO7)</f>
        <v>0</v>
      </c>
      <c r="BB47" s="15" t="str">
        <f>IF('Raw Data'!AP7="","",'Raw Data'!AP7)</f>
        <v>1</v>
      </c>
      <c r="BC47" s="15" t="str">
        <f>IF('Raw Data'!AQ7="","",'Raw Data'!AQ7)</f>
        <v>0</v>
      </c>
      <c r="BD47" s="15" t="str">
        <f>IF('Raw Data'!AR7="","",'Raw Data'!AR7)</f>
        <v>0</v>
      </c>
      <c r="BE47" s="15" t="str">
        <f>IF('Raw Data'!AS7="","",'Raw Data'!AS7)</f>
        <v>0</v>
      </c>
      <c r="BF47" s="15" t="str">
        <f>IF('Raw Data'!AT7="","",'Raw Data'!AT7)</f>
        <v>0</v>
      </c>
      <c r="BG47" s="15" t="str">
        <f>IF('Raw Data'!AU7="","",'Raw Data'!AU7)</f>
        <v>0</v>
      </c>
      <c r="BH47" s="15" t="str">
        <f>IF('Raw Data'!AV7="","",'Raw Data'!AV7)</f>
        <v>0</v>
      </c>
      <c r="BI47" s="15" t="str">
        <f>IF('Raw Data'!AW7="","",'Raw Data'!AW7)</f>
        <v/>
      </c>
      <c r="BJ47" s="15" t="str">
        <f>IF('Raw Data'!AX7="","",'Raw Data'!AX7)</f>
        <v>Hommes</v>
      </c>
      <c r="BK47" s="15" t="str">
        <f>IF('Raw Data'!AY7="","",'Raw Data'!AY7)</f>
        <v>0</v>
      </c>
      <c r="BL47" s="15" t="str">
        <f>IF('Raw Data'!AZ7="","",'Raw Data'!AZ7)</f>
        <v>0</v>
      </c>
      <c r="BM47" s="15" t="str">
        <f>IF('Raw Data'!BA7="","",'Raw Data'!BA7)</f>
        <v>0</v>
      </c>
      <c r="BN47" s="15" t="str">
        <f>IF('Raw Data'!BB7="","",'Raw Data'!BB7)</f>
        <v>0</v>
      </c>
      <c r="BO47" s="15" t="str">
        <f>IF('Raw Data'!BC7="","",'Raw Data'!BC7)</f>
        <v>0</v>
      </c>
      <c r="BP47" s="15" t="str">
        <f>IF('Raw Data'!BD7="","",'Raw Data'!BD7)</f>
        <v>1</v>
      </c>
      <c r="BQ47" s="15" t="str">
        <f>IF('Raw Data'!BE7="","",'Raw Data'!BE7)</f>
        <v>0</v>
      </c>
      <c r="BR47" s="15" t="str">
        <f>IF('Raw Data'!BF7="","",'Raw Data'!BF7)</f>
        <v>0</v>
      </c>
      <c r="BS47" s="15" t="str">
        <f>IF('Raw Data'!BG7="","",'Raw Data'!BG7)</f>
        <v>0</v>
      </c>
      <c r="BT47" s="15" t="str">
        <f>IF('Raw Data'!BH7="","",'Raw Data'!BH7)</f>
        <v>0</v>
      </c>
      <c r="BU47" s="15" t="str">
        <f>IF('Raw Data'!BI7="","",'Raw Data'!BI7)</f>
        <v>0</v>
      </c>
      <c r="BV47" s="15" t="str">
        <f>IF('Raw Data'!BJ7="","",'Raw Data'!BJ7)</f>
        <v>0</v>
      </c>
      <c r="BW47" s="15" t="str">
        <f>IF('Raw Data'!BK7="","",'Raw Data'!BK7)</f>
        <v>0</v>
      </c>
      <c r="BX47" s="15" t="str">
        <f>IF('Raw Data'!BL7="","",'Raw Data'!BL7)</f>
        <v>0</v>
      </c>
      <c r="BY47" s="15" t="str">
        <f>IF('Raw Data'!BM7="","",'Raw Data'!BM7)</f>
        <v/>
      </c>
      <c r="BZ47" s="15" t="str">
        <f>IF('Raw Data'!BN7="","",'Raw Data'!BN7)</f>
        <v>1</v>
      </c>
      <c r="CA47" s="15" t="str">
        <f>IF('Raw Data'!BO7="","",'Raw Data'!BO7)</f>
        <v>diminue</v>
      </c>
      <c r="CB47" s="15" t="str">
        <f>IF('Raw Data'!BP7="","",'Raw Data'!BP7)</f>
        <v/>
      </c>
      <c r="CC47" s="15" t="str">
        <f>IF('Raw Data'!BQ7="","",'Raw Data'!BQ7)</f>
        <v>non</v>
      </c>
      <c r="CD47" s="15" t="str">
        <f>IF('Raw Data'!BR7="","",'Raw Data'!BR7)</f>
        <v/>
      </c>
      <c r="CE47" s="15" t="str">
        <f>IF('Raw Data'!BS7="","",'Raw Data'!BS7)</f>
        <v/>
      </c>
      <c r="CF47" s="15" t="str">
        <f>IF('Raw Data'!BT7="","",'Raw Data'!BT7)</f>
        <v/>
      </c>
      <c r="CG47" s="15" t="str">
        <f>IF('Raw Data'!BU7="","",'Raw Data'!BU7)</f>
        <v/>
      </c>
      <c r="CH47" s="15" t="str">
        <f>IF('Raw Data'!BV7="","",'Raw Data'!BV7)</f>
        <v/>
      </c>
      <c r="CI47" s="15" t="str">
        <f>IF('Raw Data'!BW7="","",'Raw Data'!BW7)</f>
        <v/>
      </c>
      <c r="CJ47" s="15" t="str">
        <f>IF('Raw Data'!BX7="","",'Raw Data'!BX7)</f>
        <v/>
      </c>
      <c r="CK47" s="15" t="str">
        <f>IF('Raw Data'!BY7="","",'Raw Data'!BY7)</f>
        <v/>
      </c>
      <c r="CL47" s="15" t="str">
        <f>IF('Raw Data'!BZ7="","",'Raw Data'!BZ7)</f>
        <v/>
      </c>
      <c r="CM47" s="15" t="str">
        <f>IF('Raw Data'!CA7="","",'Raw Data'!CA7)</f>
        <v/>
      </c>
      <c r="CN47" s="15" t="str">
        <f>IF('Raw Data'!CB7="","",'Raw Data'!CB7)</f>
        <v/>
      </c>
      <c r="CO47" s="15" t="str">
        <f>IF('Raw Data'!CC7="","",'Raw Data'!CC7)</f>
        <v/>
      </c>
      <c r="CP47" s="15" t="str">
        <f>IF('Raw Data'!CD7="","",'Raw Data'!CD7)</f>
        <v/>
      </c>
      <c r="CQ47" s="15" t="str">
        <f>IF('Raw Data'!CE7="","",'Raw Data'!CE7)</f>
        <v/>
      </c>
      <c r="CR47" s="15" t="str">
        <f>IF('Raw Data'!CF7="","",'Raw Data'!CF7)</f>
        <v/>
      </c>
      <c r="CS47" s="15" t="str">
        <f>IF('Raw Data'!CG7="","",'Raw Data'!CG7)</f>
        <v/>
      </c>
      <c r="CT47" s="15" t="str">
        <f>IF('Raw Data'!CH7="","",'Raw Data'!CH7)</f>
        <v/>
      </c>
      <c r="CU47" s="15" t="str">
        <f>IF('Raw Data'!CI7="","",'Raw Data'!CI7)</f>
        <v/>
      </c>
      <c r="CV47" s="15" t="str">
        <f>IF('Raw Data'!CJ7="","",'Raw Data'!CJ7)</f>
        <v/>
      </c>
      <c r="CW47" s="15" t="str">
        <f>IF('Raw Data'!CK7="","",'Raw Data'!CK7)</f>
        <v/>
      </c>
      <c r="CX47" s="15" t="str">
        <f>IF('Raw Data'!CL7="","",'Raw Data'!CL7)</f>
        <v/>
      </c>
      <c r="CY47" s="15" t="str">
        <f>IF('Raw Data'!CM7="","",'Raw Data'!CM7)</f>
        <v/>
      </c>
      <c r="CZ47" s="15" t="str">
        <f>IF('Raw Data'!CN7="","",'Raw Data'!CN7)</f>
        <v/>
      </c>
      <c r="DA47" s="15" t="str">
        <f>IF('Raw Data'!CO7="","",'Raw Data'!CO7)</f>
        <v/>
      </c>
      <c r="DB47" s="15" t="str">
        <f>IF('Raw Data'!CP7="","",'Raw Data'!CP7)</f>
        <v/>
      </c>
      <c r="DC47" s="15" t="str">
        <f>IF('Raw Data'!CQ7="","",'Raw Data'!CQ7)</f>
        <v/>
      </c>
      <c r="DD47" s="15" t="str">
        <f>IF('Raw Data'!CR7="","",'Raw Data'!CR7)</f>
        <v/>
      </c>
      <c r="DE47" s="15" t="str">
        <f>IF('Raw Data'!CS7="","",'Raw Data'!CS7)</f>
        <v/>
      </c>
      <c r="DF47" s="15" t="str">
        <f>IF('Raw Data'!CT7="","",'Raw Data'!CT7)</f>
        <v/>
      </c>
      <c r="DG47" s="15" t="str">
        <f>IF('Raw Data'!CU7="","",'Raw Data'!CU7)</f>
        <v/>
      </c>
      <c r="DH47" s="15" t="str">
        <f>IF('Raw Data'!CV7="","",'Raw Data'!CV7)</f>
        <v/>
      </c>
      <c r="DI47" s="15" t="str">
        <f>IF('Raw Data'!CW7="","",'Raw Data'!CW7)</f>
        <v/>
      </c>
      <c r="DJ47" s="15" t="str">
        <f>IF('Raw Data'!CX7="","",'Raw Data'!CX7)</f>
        <v/>
      </c>
      <c r="DK47" s="15" t="str">
        <f>IF('Raw Data'!CY7="","",'Raw Data'!CY7)</f>
        <v/>
      </c>
      <c r="DL47" s="15" t="str">
        <f>IF('Raw Data'!CZ7="","",'Raw Data'!CZ7)</f>
        <v/>
      </c>
      <c r="DM47" s="15" t="str">
        <f>IF('Raw Data'!DA7="","",'Raw Data'!DA7)</f>
        <v/>
      </c>
      <c r="DN47" s="15" t="str">
        <f>IF('Raw Data'!DB7="","",'Raw Data'!DB7)</f>
        <v/>
      </c>
      <c r="DO47" s="15" t="str">
        <f>IF('Raw Data'!DC7="","",'Raw Data'!DC7)</f>
        <v/>
      </c>
      <c r="DP47" s="15" t="str">
        <f>IF('Raw Data'!DD7="","",'Raw Data'!DD7)</f>
        <v/>
      </c>
      <c r="DQ47" s="15" t="str">
        <f>IF('Raw Data'!DE7="","",'Raw Data'!DE7)</f>
        <v/>
      </c>
      <c r="DR47" s="15" t="str">
        <f>IF('Raw Data'!DF7="","",'Raw Data'!DF7)</f>
        <v/>
      </c>
      <c r="DS47" s="15" t="str">
        <f>IF('Raw Data'!DG7="","",'Raw Data'!DG7)</f>
        <v/>
      </c>
      <c r="DT47" s="15" t="str">
        <f>IF('Raw Data'!DH7="","",'Raw Data'!DH7)</f>
        <v/>
      </c>
      <c r="DU47" s="15" t="str">
        <f>IF('Raw Data'!DI7="","",'Raw Data'!DI7)</f>
        <v/>
      </c>
      <c r="DV47" s="15" t="str">
        <f>IF('Raw Data'!DJ7="","",'Raw Data'!DJ7)</f>
        <v/>
      </c>
      <c r="DW47" s="15" t="str">
        <f>IF('Raw Data'!DK7="","",'Raw Data'!DK7)</f>
        <v/>
      </c>
      <c r="DX47" s="15" t="str">
        <f>IF('Raw Data'!DL7="","",'Raw Data'!DL7)</f>
        <v/>
      </c>
      <c r="DY47" s="15" t="str">
        <f>IF('Raw Data'!DM7="","",'Raw Data'!DM7)</f>
        <v/>
      </c>
      <c r="DZ47" s="15" t="str">
        <f>IF('Raw Data'!DN7="","",'Raw Data'!DN7)</f>
        <v>amelioration_cond_abris amelioration_acces_service_base</v>
      </c>
      <c r="EA47" s="15" t="str">
        <f>IF('Raw Data'!DO7="","",'Raw Data'!DO7)</f>
        <v>0</v>
      </c>
      <c r="EB47" s="15" t="str">
        <f>IF('Raw Data'!DP7="","",'Raw Data'!DP7)</f>
        <v>1</v>
      </c>
      <c r="EC47" s="15" t="str">
        <f>IF('Raw Data'!DQ7="","",'Raw Data'!DQ7)</f>
        <v>1</v>
      </c>
      <c r="ED47" s="15" t="str">
        <f>IF('Raw Data'!DR7="","",'Raw Data'!DR7)</f>
        <v>0</v>
      </c>
      <c r="EE47" s="15" t="str">
        <f>IF('Raw Data'!DS7="","",'Raw Data'!DS7)</f>
        <v>0</v>
      </c>
      <c r="EF47" s="15" t="str">
        <f>IF('Raw Data'!DT7="","",'Raw Data'!DT7)</f>
        <v>0</v>
      </c>
      <c r="EG47" s="15" t="str">
        <f>IF('Raw Data'!DU7="","",'Raw Data'!DU7)</f>
        <v>0</v>
      </c>
      <c r="EH47" s="15" t="str">
        <f>IF('Raw Data'!DV7="","",'Raw Data'!DV7)</f>
        <v>0</v>
      </c>
      <c r="EI47" s="15" t="str">
        <f>IF('Raw Data'!DW7="","",'Raw Data'!DW7)</f>
        <v>0</v>
      </c>
      <c r="EJ47" s="15" t="str">
        <f>IF('Raw Data'!DX7="","",'Raw Data'!DX7)</f>
        <v/>
      </c>
      <c r="EK47" s="15" t="str">
        <f>IF('Raw Data'!DY7="","",'Raw Data'!DY7)</f>
        <v/>
      </c>
      <c r="EL47" s="15" t="str">
        <f>IF('Raw Data'!DZ7="","",'Raw Data'!DZ7)</f>
        <v>Soutien_famille_amis Integration_com_hote</v>
      </c>
      <c r="EM47" s="15" t="str">
        <f>IF('Raw Data'!EA7="","",'Raw Data'!EA7)</f>
        <v>0</v>
      </c>
      <c r="EN47" s="15" t="str">
        <f>IF('Raw Data'!EB7="","",'Raw Data'!EB7)</f>
        <v>1</v>
      </c>
      <c r="EO47" s="15" t="str">
        <f>IF('Raw Data'!EC7="","",'Raw Data'!EC7)</f>
        <v>1</v>
      </c>
      <c r="EP47" s="15" t="str">
        <f>IF('Raw Data'!ED7="","",'Raw Data'!ED7)</f>
        <v>0</v>
      </c>
      <c r="EQ47" s="15" t="str">
        <f>IF('Raw Data'!EE7="","",'Raw Data'!EE7)</f>
        <v>0</v>
      </c>
      <c r="ER47" s="15" t="str">
        <f>IF('Raw Data'!EF7="","",'Raw Data'!EF7)</f>
        <v>0</v>
      </c>
      <c r="ES47" s="15" t="str">
        <f>IF('Raw Data'!EG7="","",'Raw Data'!EG7)</f>
        <v>0</v>
      </c>
      <c r="ET47" s="15" t="str">
        <f>IF('Raw Data'!EH7="","",'Raw Data'!EH7)</f>
        <v>0</v>
      </c>
      <c r="EU47" s="15" t="str">
        <f>IF('Raw Data'!EI7="","",'Raw Data'!EI7)</f>
        <v>0</v>
      </c>
      <c r="EV47" s="15" t="str">
        <f>IF('Raw Data'!EJ7="","",'Raw Data'!EJ7)</f>
        <v/>
      </c>
      <c r="EW47" s="15" t="str">
        <f>IF('Raw Data'!EK7="","",'Raw Data'!EK7)</f>
        <v/>
      </c>
      <c r="EX47" s="15" t="str">
        <f>IF('Raw Data'!EL7="","",'Raw Data'!EL7)</f>
        <v>famille_accueil comite_protection</v>
      </c>
      <c r="EY47" s="15" t="str">
        <f>IF('Raw Data'!EM7="","",'Raw Data'!EM7)</f>
        <v>0</v>
      </c>
      <c r="EZ47" s="15" t="str">
        <f>IF('Raw Data'!EN7="","",'Raw Data'!EN7)</f>
        <v>1</v>
      </c>
      <c r="FA47" s="15" t="str">
        <f>IF('Raw Data'!EO7="","",'Raw Data'!EO7)</f>
        <v>1</v>
      </c>
      <c r="FB47" s="15" t="str">
        <f>IF('Raw Data'!EP7="","",'Raw Data'!EP7)</f>
        <v>0</v>
      </c>
      <c r="FC47" s="15" t="str">
        <f>IF('Raw Data'!EQ7="","",'Raw Data'!EQ7)</f>
        <v>0</v>
      </c>
      <c r="FD47" s="15" t="str">
        <f>IF('Raw Data'!ER7="","",'Raw Data'!ER7)</f>
        <v>0</v>
      </c>
      <c r="FE47" s="15" t="str">
        <f>IF('Raw Data'!ES7="","",'Raw Data'!ES7)</f>
        <v>0</v>
      </c>
      <c r="FF47" s="15" t="str">
        <f>IF('Raw Data'!ET7="","",'Raw Data'!ET7)</f>
        <v>0</v>
      </c>
      <c r="FG47" s="15" t="str">
        <f>IF('Raw Data'!EU7="","",'Raw Data'!EU7)</f>
        <v>0</v>
      </c>
      <c r="FH47" s="15" t="str">
        <f>IF('Raw Data'!EV7="","",'Raw Data'!EV7)</f>
        <v>0</v>
      </c>
      <c r="FI47" s="15" t="str">
        <f>IF('Raw Data'!EW7="","",'Raw Data'!EW7)</f>
        <v/>
      </c>
      <c r="FJ47" s="15" t="str">
        <f>IF('Raw Data'!EX7="","",'Raw Data'!EX7)</f>
        <v>oui</v>
      </c>
      <c r="FK47" s="15" t="str">
        <f>IF('Raw Data'!EY7="","",'Raw Data'!EY7)</f>
        <v>famille_amis</v>
      </c>
      <c r="FL47" s="15" t="str">
        <f>IF('Raw Data'!EZ7="","",'Raw Data'!EZ7)</f>
        <v>0</v>
      </c>
      <c r="FM47" s="15" t="str">
        <f>IF('Raw Data'!FA7="","",'Raw Data'!FA7)</f>
        <v>0</v>
      </c>
      <c r="FN47" s="15" t="str">
        <f>IF('Raw Data'!FB7="","",'Raw Data'!FB7)</f>
        <v>0</v>
      </c>
      <c r="FO47" s="15" t="str">
        <f>IF('Raw Data'!FC7="","",'Raw Data'!FC7)</f>
        <v>0</v>
      </c>
      <c r="FP47" s="15" t="str">
        <f>IF('Raw Data'!FD7="","",'Raw Data'!FD7)</f>
        <v>0</v>
      </c>
      <c r="FQ47" s="15" t="str">
        <f>IF('Raw Data'!FE7="","",'Raw Data'!FE7)</f>
        <v>1</v>
      </c>
      <c r="FR47" s="15" t="str">
        <f>IF('Raw Data'!FF7="","",'Raw Data'!FF7)</f>
        <v>0</v>
      </c>
      <c r="FS47" s="15" t="str">
        <f>IF('Raw Data'!FG7="","",'Raw Data'!FG7)</f>
        <v>0</v>
      </c>
      <c r="FT47" s="15" t="str">
        <f>IF('Raw Data'!FH7="","",'Raw Data'!FH7)</f>
        <v>0</v>
      </c>
      <c r="FU47" s="15" t="str">
        <f>IF('Raw Data'!FI7="","",'Raw Data'!FI7)</f>
        <v>0</v>
      </c>
      <c r="FV47" s="15" t="str">
        <f>IF('Raw Data'!FJ7="","",'Raw Data'!FJ7)</f>
        <v>0</v>
      </c>
      <c r="FW47" s="15" t="str">
        <f>IF('Raw Data'!FK7="","",'Raw Data'!FK7)</f>
        <v>0</v>
      </c>
      <c r="FX47" s="15" t="str">
        <f>IF('Raw Data'!FL7="","",'Raw Data'!FL7)</f>
        <v>0</v>
      </c>
      <c r="FY47" s="15" t="str">
        <f>IF('Raw Data'!FM7="","",'Raw Data'!FM7)</f>
        <v>0</v>
      </c>
      <c r="FZ47" s="15" t="str">
        <f>IF('Raw Data'!FN7="","",'Raw Data'!FN7)</f>
        <v/>
      </c>
      <c r="GA47" s="15" t="str">
        <f>IF('Raw Data'!FO7="","",'Raw Data'!FO7)</f>
        <v>oui_majorite</v>
      </c>
      <c r="GB47" s="15" t="str">
        <f>IF('Raw Data'!FP7="","",'Raw Data'!FP7)</f>
        <v>oui_moitie</v>
      </c>
      <c r="GC47" s="15" t="str">
        <f>IF('Raw Data'!FQ7="","",'Raw Data'!FQ7)</f>
        <v>manque_info trop_du_monde</v>
      </c>
      <c r="GD47" s="15" t="str">
        <f>IF('Raw Data'!FR7="","",'Raw Data'!FR7)</f>
        <v>0</v>
      </c>
      <c r="GE47" s="15" t="str">
        <f>IF('Raw Data'!FS7="","",'Raw Data'!FS7)</f>
        <v>1</v>
      </c>
      <c r="GF47" s="15" t="str">
        <f>IF('Raw Data'!FT7="","",'Raw Data'!FT7)</f>
        <v>0</v>
      </c>
      <c r="GG47" s="15" t="str">
        <f>IF('Raw Data'!FU7="","",'Raw Data'!FU7)</f>
        <v>0</v>
      </c>
      <c r="GH47" s="15" t="str">
        <f>IF('Raw Data'!FV7="","",'Raw Data'!FV7)</f>
        <v>1</v>
      </c>
      <c r="GI47" s="15" t="str">
        <f>IF('Raw Data'!FW7="","",'Raw Data'!FW7)</f>
        <v>0</v>
      </c>
      <c r="GJ47" s="15" t="str">
        <f>IF('Raw Data'!FX7="","",'Raw Data'!FX7)</f>
        <v>0</v>
      </c>
      <c r="GK47" s="15" t="str">
        <f>IF('Raw Data'!FY7="","",'Raw Data'!FY7)</f>
        <v>0</v>
      </c>
      <c r="GL47" s="15" t="str">
        <f>IF('Raw Data'!FZ7="","",'Raw Data'!FZ7)</f>
        <v/>
      </c>
      <c r="GM47" s="15" t="str">
        <f>IF('Raw Data'!GA7="","",'Raw Data'!GA7)</f>
        <v>minorite</v>
      </c>
      <c r="GN47" s="15" t="str">
        <f>IF('Raw Data'!GB7="","",'Raw Data'!GB7)</f>
        <v>majorite</v>
      </c>
      <c r="GO47" s="15" t="str">
        <f>IF('Raw Data'!GC7="","",'Raw Data'!GC7)</f>
        <v>Services_de_sante</v>
      </c>
      <c r="GP47" s="15" t="str">
        <f>IF('Raw Data'!GD7="","",'Raw Data'!GD7)</f>
        <v>0</v>
      </c>
      <c r="GQ47" s="15" t="str">
        <f>IF('Raw Data'!GE7="","",'Raw Data'!GE7)</f>
        <v>0</v>
      </c>
      <c r="GR47" s="15" t="str">
        <f>IF('Raw Data'!GF7="","",'Raw Data'!GF7)</f>
        <v>0</v>
      </c>
      <c r="GS47" s="15" t="str">
        <f>IF('Raw Data'!GG7="","",'Raw Data'!GG7)</f>
        <v>1</v>
      </c>
      <c r="GT47" s="15" t="str">
        <f>IF('Raw Data'!GH7="","",'Raw Data'!GH7)</f>
        <v>0</v>
      </c>
      <c r="GU47" s="15" t="str">
        <f>IF('Raw Data'!GI7="","",'Raw Data'!GI7)</f>
        <v>0</v>
      </c>
      <c r="GV47" s="15" t="str">
        <f>IF('Raw Data'!GJ7="","",'Raw Data'!GJ7)</f>
        <v>0</v>
      </c>
      <c r="GW47" s="15" t="str">
        <f>IF('Raw Data'!GK7="","",'Raw Data'!GK7)</f>
        <v>0</v>
      </c>
      <c r="GX47" s="15" t="str">
        <f>IF('Raw Data'!GL7="","",'Raw Data'!GL7)</f>
        <v>0</v>
      </c>
      <c r="GY47" s="15" t="str">
        <f>IF('Raw Data'!GM7="","",'Raw Data'!GM7)</f>
        <v/>
      </c>
      <c r="GZ47" s="15" t="str">
        <f>IF('Raw Data'!GN7="","",'Raw Data'!GN7)</f>
        <v>oui_majorite</v>
      </c>
      <c r="HA47" s="15" t="str">
        <f>IF('Raw Data'!GO7="","",'Raw Data'!GO7)</f>
        <v>oui_majorite</v>
      </c>
      <c r="HB47" s="15" t="str">
        <f>IF('Raw Data'!GP7="","",'Raw Data'!GP7)</f>
        <v>repond_besoins_pop</v>
      </c>
      <c r="HC47" s="15" t="str">
        <f>IF('Raw Data'!GQ7="","",'Raw Data'!GQ7)</f>
        <v>0</v>
      </c>
      <c r="HD47" s="15" t="str">
        <f>IF('Raw Data'!GR7="","",'Raw Data'!GR7)</f>
        <v>1</v>
      </c>
      <c r="HE47" s="15" t="str">
        <f>IF('Raw Data'!GS7="","",'Raw Data'!GS7)</f>
        <v>0</v>
      </c>
      <c r="HF47" s="15" t="str">
        <f>IF('Raw Data'!GT7="","",'Raw Data'!GT7)</f>
        <v>0</v>
      </c>
      <c r="HG47" s="15" t="str">
        <f>IF('Raw Data'!GU7="","",'Raw Data'!GU7)</f>
        <v>0</v>
      </c>
      <c r="HH47" s="15" t="str">
        <f>IF('Raw Data'!GV7="","",'Raw Data'!GV7)</f>
        <v>0</v>
      </c>
      <c r="HI47" s="15" t="str">
        <f>IF('Raw Data'!GW7="","",'Raw Data'!GW7)</f>
        <v>0</v>
      </c>
      <c r="HJ47" s="15" t="str">
        <f>IF('Raw Data'!GX7="","",'Raw Data'!GX7)</f>
        <v>0</v>
      </c>
      <c r="HK47" s="15" t="str">
        <f>IF('Raw Data'!GY7="","",'Raw Data'!GY7)</f>
        <v/>
      </c>
      <c r="HL47" s="15" t="str">
        <f>IF('Raw Data'!GZ7="","",'Raw Data'!GZ7)</f>
        <v>ne_repond_pas</v>
      </c>
      <c r="HM47" s="15" t="str">
        <f>IF('Raw Data'!HA7="","",'Raw Data'!HA7)</f>
        <v>0</v>
      </c>
      <c r="HN47" s="15" t="str">
        <f>IF('Raw Data'!HB7="","",'Raw Data'!HB7)</f>
        <v>1</v>
      </c>
      <c r="HO47" s="15" t="str">
        <f>IF('Raw Data'!HC7="","",'Raw Data'!HC7)</f>
        <v>0</v>
      </c>
      <c r="HP47" s="15" t="str">
        <f>IF('Raw Data'!HD7="","",'Raw Data'!HD7)</f>
        <v>0</v>
      </c>
      <c r="HQ47" s="15" t="str">
        <f>IF('Raw Data'!HE7="","",'Raw Data'!HE7)</f>
        <v>0</v>
      </c>
      <c r="HR47" s="15" t="str">
        <f>IF('Raw Data'!HF7="","",'Raw Data'!HF7)</f>
        <v>0</v>
      </c>
      <c r="HS47" s="15" t="str">
        <f>IF('Raw Data'!HG7="","",'Raw Data'!HG7)</f>
        <v/>
      </c>
      <c r="HT47" s="15" t="str">
        <f>IF('Raw Data'!HH7="","",'Raw Data'!HH7)</f>
        <v/>
      </c>
      <c r="HU47" s="15" t="str">
        <f>IF('Raw Data'!HI7="","",'Raw Data'!HI7)</f>
        <v>non</v>
      </c>
      <c r="HV47" s="15" t="str">
        <f>IF('Raw Data'!HJ7="","",'Raw Data'!HJ7)</f>
        <v/>
      </c>
      <c r="HW47" s="15" t="str">
        <f>IF('Raw Data'!HK7="","",'Raw Data'!HK7)</f>
        <v/>
      </c>
      <c r="HX47" s="15" t="str">
        <f>IF('Raw Data'!HL7="","",'Raw Data'!HL7)</f>
        <v/>
      </c>
      <c r="HY47" s="15" t="str">
        <f>IF('Raw Data'!HM7="","",'Raw Data'!HM7)</f>
        <v/>
      </c>
      <c r="HZ47" s="15" t="str">
        <f>IF('Raw Data'!HN7="","",'Raw Data'!HN7)</f>
        <v/>
      </c>
      <c r="IA47" s="15" t="str">
        <f>IF('Raw Data'!HO7="","",'Raw Data'!HO7)</f>
        <v/>
      </c>
      <c r="IB47" s="15" t="str">
        <f>IF('Raw Data'!HP7="","",'Raw Data'!HP7)</f>
        <v/>
      </c>
      <c r="IC47" s="15" t="str">
        <f>IF('Raw Data'!HQ7="","",'Raw Data'!HQ7)</f>
        <v/>
      </c>
      <c r="ID47" s="15" t="str">
        <f>IF('Raw Data'!HR7="","",'Raw Data'!HR7)</f>
        <v/>
      </c>
      <c r="IE47" s="15" t="str">
        <f>IF('Raw Data'!HS7="","",'Raw Data'!HS7)</f>
        <v/>
      </c>
      <c r="IF47" s="15" t="str">
        <f>IF('Raw Data'!HT7="","",'Raw Data'!HT7)</f>
        <v/>
      </c>
      <c r="IG47" s="15" t="str">
        <f>IF('Raw Data'!HU7="","",'Raw Data'!HU7)</f>
        <v/>
      </c>
      <c r="IH47" s="15" t="str">
        <f>IF('Raw Data'!HV7="","",'Raw Data'!HV7)</f>
        <v>oui</v>
      </c>
      <c r="II47" s="15" t="str">
        <f>IF('Raw Data'!HW7="","",'Raw Data'!HW7)</f>
        <v/>
      </c>
      <c r="IJ47" s="15" t="str">
        <f>IF('Raw Data'!HX7="","",'Raw Data'!HX7)</f>
        <v>Hommes Hommes_ages Femmes</v>
      </c>
      <c r="IK47" s="15" t="str">
        <f>IF('Raw Data'!HY7="","",'Raw Data'!HY7)</f>
        <v>0</v>
      </c>
      <c r="IL47" s="15" t="str">
        <f>IF('Raw Data'!HZ7="","",'Raw Data'!HZ7)</f>
        <v>0</v>
      </c>
      <c r="IM47" s="15" t="str">
        <f>IF('Raw Data'!IA7="","",'Raw Data'!IA7)</f>
        <v>0</v>
      </c>
      <c r="IN47" s="15" t="str">
        <f>IF('Raw Data'!IB7="","",'Raw Data'!IB7)</f>
        <v>0</v>
      </c>
      <c r="IO47" s="15" t="str">
        <f>IF('Raw Data'!IC7="","",'Raw Data'!IC7)</f>
        <v>1</v>
      </c>
      <c r="IP47" s="15" t="str">
        <f>IF('Raw Data'!ID7="","",'Raw Data'!ID7)</f>
        <v>1</v>
      </c>
      <c r="IQ47" s="15" t="str">
        <f>IF('Raw Data'!IE7="","",'Raw Data'!IE7)</f>
        <v>0</v>
      </c>
      <c r="IR47" s="15" t="str">
        <f>IF('Raw Data'!IF7="","",'Raw Data'!IF7)</f>
        <v>1</v>
      </c>
      <c r="IS47" s="15" t="str">
        <f>IF('Raw Data'!IG7="","",'Raw Data'!IG7)</f>
        <v>0</v>
      </c>
      <c r="IT47" s="15" t="str">
        <f>IF('Raw Data'!IH7="","",'Raw Data'!IH7)</f>
        <v>0</v>
      </c>
      <c r="IU47" s="15" t="str">
        <f>IF('Raw Data'!II7="","",'Raw Data'!II7)</f>
        <v>0</v>
      </c>
      <c r="IV47" s="15" t="str">
        <f>IF('Raw Data'!IJ7="","",'Raw Data'!IJ7)</f>
        <v>0</v>
      </c>
      <c r="IW47" s="15" t="str">
        <f>IF('Raw Data'!IK7="","",'Raw Data'!IK7)</f>
        <v>0</v>
      </c>
      <c r="IX47" s="15" t="str">
        <f>IF('Raw Data'!IL7="","",'Raw Data'!IL7)</f>
        <v>0</v>
      </c>
      <c r="IY47" s="15" t="str">
        <f>IF('Raw Data'!IM7="","",'Raw Data'!IM7)</f>
        <v/>
      </c>
      <c r="IZ47" s="15" t="str">
        <f>IF('Raw Data'!IN7="","",'Raw Data'!IN7)</f>
        <v>2</v>
      </c>
      <c r="JA47" s="15" t="str">
        <f>IF('Raw Data'!IO7="","",'Raw Data'!IO7)</f>
        <v>reinsertion Services_medicaux</v>
      </c>
      <c r="JB47" s="15" t="str">
        <f>IF('Raw Data'!IP7="","",'Raw Data'!IP7)</f>
        <v>0</v>
      </c>
      <c r="JC47" s="15" t="str">
        <f>IF('Raw Data'!IQ7="","",'Raw Data'!IQ7)</f>
        <v>1</v>
      </c>
      <c r="JD47" s="15" t="str">
        <f>IF('Raw Data'!IR7="","",'Raw Data'!IR7)</f>
        <v>0</v>
      </c>
      <c r="JE47" s="15" t="str">
        <f>IF('Raw Data'!IS7="","",'Raw Data'!IS7)</f>
        <v>0</v>
      </c>
      <c r="JF47" s="15" t="str">
        <f>IF('Raw Data'!IT7="","",'Raw Data'!IT7)</f>
        <v>0</v>
      </c>
      <c r="JG47" s="15" t="str">
        <f>IF('Raw Data'!IU7="","",'Raw Data'!IU7)</f>
        <v>0</v>
      </c>
      <c r="JH47" s="15" t="str">
        <f>IF('Raw Data'!IV7="","",'Raw Data'!IV7)</f>
        <v>0</v>
      </c>
      <c r="JI47" s="15" t="str">
        <f>IF('Raw Data'!IW7="","",'Raw Data'!IW7)</f>
        <v>0</v>
      </c>
      <c r="JJ47" s="15" t="str">
        <f>IF('Raw Data'!IX7="","",'Raw Data'!IX7)</f>
        <v>1</v>
      </c>
      <c r="JK47" s="15" t="str">
        <f>IF('Raw Data'!IY7="","",'Raw Data'!IY7)</f>
        <v>0</v>
      </c>
      <c r="JL47" s="15" t="str">
        <f>IF('Raw Data'!IZ7="","",'Raw Data'!IZ7)</f>
        <v/>
      </c>
      <c r="JM47" s="15" t="str">
        <f>IF('Raw Data'!JA7="","",'Raw Data'!JA7)</f>
        <v>reorientation signalement</v>
      </c>
      <c r="JN47" s="15" t="str">
        <f>IF('Raw Data'!JB7="","",'Raw Data'!JB7)</f>
        <v>0</v>
      </c>
      <c r="JO47" s="15" t="str">
        <f>IF('Raw Data'!JC7="","",'Raw Data'!JC7)</f>
        <v>1</v>
      </c>
      <c r="JP47" s="15" t="str">
        <f>IF('Raw Data'!JD7="","",'Raw Data'!JD7)</f>
        <v>1</v>
      </c>
      <c r="JQ47" s="15" t="str">
        <f>IF('Raw Data'!JE7="","",'Raw Data'!JE7)</f>
        <v>0</v>
      </c>
      <c r="JR47" s="15" t="str">
        <f>IF('Raw Data'!JF7="","",'Raw Data'!JF7)</f>
        <v>0</v>
      </c>
      <c r="JS47" s="15" t="str">
        <f>IF('Raw Data'!JG7="","",'Raw Data'!JG7)</f>
        <v>0</v>
      </c>
      <c r="JT47" s="15" t="str">
        <f>IF('Raw Data'!JH7="","",'Raw Data'!JH7)</f>
        <v/>
      </c>
      <c r="JU47" s="15" t="str">
        <f>IF('Raw Data'!JI7="","",'Raw Data'!JI7)</f>
        <v/>
      </c>
      <c r="JV47" s="15" t="str">
        <f>IF('Raw Data'!JJ7="","",'Raw Data'!JJ7)</f>
        <v/>
      </c>
      <c r="JW47" s="15" t="str">
        <f>IF('Raw Data'!JK7="","",'Raw Data'!JK7)</f>
        <v/>
      </c>
      <c r="JX47" s="15" t="str">
        <f>IF('Raw Data'!JL7="","",'Raw Data'!JL7)</f>
        <v/>
      </c>
      <c r="JY47" s="15" t="str">
        <f>IF('Raw Data'!JM7="","",'Raw Data'!JM7)</f>
        <v/>
      </c>
      <c r="JZ47" s="15" t="str">
        <f>IF('Raw Data'!JN7="","",'Raw Data'!JN7)</f>
        <v/>
      </c>
      <c r="KA47" s="15" t="str">
        <f>IF('Raw Data'!JO7="","",'Raw Data'!JO7)</f>
        <v/>
      </c>
      <c r="KB47" s="15" t="str">
        <f>IF('Raw Data'!JP7="","",'Raw Data'!JP7)</f>
        <v/>
      </c>
      <c r="KC47" s="15" t="str">
        <f>IF('Raw Data'!JQ7="","",'Raw Data'!JQ7)</f>
        <v/>
      </c>
      <c r="KD47" s="15" t="str">
        <f>IF('Raw Data'!JR7="","",'Raw Data'!JR7)</f>
        <v/>
      </c>
      <c r="KE47" s="15" t="str">
        <f>IF('Raw Data'!JS7="","",'Raw Data'!JS7)</f>
        <v/>
      </c>
      <c r="KF47" s="15" t="str">
        <f>IF('Raw Data'!JT7="","",'Raw Data'!JT7)</f>
        <v>medical point_ecoute</v>
      </c>
      <c r="KG47" s="15" t="str">
        <f>IF('Raw Data'!JU7="","",'Raw Data'!JU7)</f>
        <v>1</v>
      </c>
      <c r="KH47" s="15" t="str">
        <f>IF('Raw Data'!JV7="","",'Raw Data'!JV7)</f>
        <v>0</v>
      </c>
      <c r="KI47" s="15" t="str">
        <f>IF('Raw Data'!JW7="","",'Raw Data'!JW7)</f>
        <v>1</v>
      </c>
      <c r="KJ47" s="15" t="str">
        <f>IF('Raw Data'!JX7="","",'Raw Data'!JX7)</f>
        <v>0</v>
      </c>
      <c r="KK47" s="15" t="str">
        <f>IF('Raw Data'!JY7="","",'Raw Data'!JY7)</f>
        <v>0</v>
      </c>
      <c r="KL47" s="15" t="str">
        <f>IF('Raw Data'!JZ7="","",'Raw Data'!JZ7)</f>
        <v>0</v>
      </c>
      <c r="KM47" s="15" t="str">
        <f>IF('Raw Data'!KA7="","",'Raw Data'!KA7)</f>
        <v>0</v>
      </c>
      <c r="KN47" s="15" t="str">
        <f>IF('Raw Data'!KB7="","",'Raw Data'!KB7)</f>
        <v>0</v>
      </c>
      <c r="KO47" s="15" t="str">
        <f>IF('Raw Data'!KC7="","",'Raw Data'!KC7)</f>
        <v>0</v>
      </c>
      <c r="KP47" s="15" t="str">
        <f>IF('Raw Data'!KD7="","",'Raw Data'!KD7)</f>
        <v/>
      </c>
      <c r="KQ47" s="15" t="str">
        <f>IF('Raw Data'!KE7="","",'Raw Data'!KE7)</f>
        <v/>
      </c>
      <c r="KR47" s="15" t="str">
        <f>IF('Raw Data'!KF7="","",'Raw Data'!KF7)</f>
        <v>oui</v>
      </c>
      <c r="KS47" s="15" t="str">
        <f>IF('Raw Data'!KG7="","",'Raw Data'!KG7)</f>
        <v>manque_moyens probleme_orientation insecurite_zone</v>
      </c>
      <c r="KT47" s="15" t="str">
        <f>IF('Raw Data'!KH7="","",'Raw Data'!KH7)</f>
        <v>1</v>
      </c>
      <c r="KU47" s="15" t="str">
        <f>IF('Raw Data'!KI7="","",'Raw Data'!KI7)</f>
        <v>0</v>
      </c>
      <c r="KV47" s="15" t="str">
        <f>IF('Raw Data'!KJ7="","",'Raw Data'!KJ7)</f>
        <v>0</v>
      </c>
      <c r="KW47" s="15" t="str">
        <f>IF('Raw Data'!KK7="","",'Raw Data'!KK7)</f>
        <v>1</v>
      </c>
      <c r="KX47" s="15" t="str">
        <f>IF('Raw Data'!KL7="","",'Raw Data'!KL7)</f>
        <v>1</v>
      </c>
      <c r="KY47" s="15" t="str">
        <f>IF('Raw Data'!KM7="","",'Raw Data'!KM7)</f>
        <v>0</v>
      </c>
      <c r="KZ47" s="15" t="str">
        <f>IF('Raw Data'!KN7="","",'Raw Data'!KN7)</f>
        <v>0</v>
      </c>
      <c r="LA47" s="15" t="str">
        <f>IF('Raw Data'!KO7="","",'Raw Data'!KO7)</f>
        <v>0</v>
      </c>
      <c r="LB47" s="15" t="str">
        <f>IF('Raw Data'!KP7="","",'Raw Data'!KP7)</f>
        <v>0</v>
      </c>
      <c r="LC47" s="15" t="str">
        <f>IF('Raw Data'!KQ7="","",'Raw Data'!KQ7)</f>
        <v>0</v>
      </c>
      <c r="LD47" s="15" t="str">
        <f>IF('Raw Data'!KR7="","",'Raw Data'!KR7)</f>
        <v>0</v>
      </c>
      <c r="LE47" s="15" t="str">
        <f>IF('Raw Data'!KS7="","",'Raw Data'!KS7)</f>
        <v/>
      </c>
      <c r="LF47" s="15" t="str">
        <f>IF('Raw Data'!KT7="","",'Raw Data'!KT7)</f>
        <v>pb_logistiques pb_coordination</v>
      </c>
      <c r="LG47" s="15" t="str">
        <f>IF('Raw Data'!KU7="","",'Raw Data'!KU7)</f>
        <v>0</v>
      </c>
      <c r="LH47" s="15" t="str">
        <f>IF('Raw Data'!KV7="","",'Raw Data'!KV7)</f>
        <v>1</v>
      </c>
      <c r="LI47" s="15" t="str">
        <f>IF('Raw Data'!KW7="","",'Raw Data'!KW7)</f>
        <v>0</v>
      </c>
      <c r="LJ47" s="15" t="str">
        <f>IF('Raw Data'!KX7="","",'Raw Data'!KX7)</f>
        <v>1</v>
      </c>
      <c r="LK47" s="15" t="str">
        <f>IF('Raw Data'!KY7="","",'Raw Data'!KY7)</f>
        <v>0</v>
      </c>
      <c r="LL47" s="15" t="str">
        <f>IF('Raw Data'!KZ7="","",'Raw Data'!KZ7)</f>
        <v>0</v>
      </c>
      <c r="LM47" s="15" t="str">
        <f>IF('Raw Data'!LA7="","",'Raw Data'!LA7)</f>
        <v/>
      </c>
      <c r="LN47" s="15" t="str">
        <f>IF('Raw Data'!LB7="","",'Raw Data'!LB7)</f>
        <v>non</v>
      </c>
      <c r="LO47" s="15" t="str">
        <f>IF('Raw Data'!LC7="","",'Raw Data'!LC7)</f>
        <v/>
      </c>
      <c r="LP47" s="15" t="str">
        <f>IF('Raw Data'!LD7="","",'Raw Data'!LD7)</f>
        <v/>
      </c>
      <c r="LQ47" s="15" t="str">
        <f>IF('Raw Data'!LE7="","",'Raw Data'!LE7)</f>
        <v/>
      </c>
      <c r="LR47" s="15" t="str">
        <f>IF('Raw Data'!LF7="","",'Raw Data'!LF7)</f>
        <v/>
      </c>
      <c r="LS47" s="15" t="str">
        <f>IF('Raw Data'!LG7="","",'Raw Data'!LG7)</f>
        <v/>
      </c>
      <c r="LT47" s="15" t="str">
        <f>IF('Raw Data'!LH7="","",'Raw Data'!LH7)</f>
        <v/>
      </c>
      <c r="LU47" s="15" t="str">
        <f>IF('Raw Data'!LI7="","",'Raw Data'!LI7)</f>
        <v/>
      </c>
      <c r="LV47" s="15" t="str">
        <f>IF('Raw Data'!LJ7="","",'Raw Data'!LJ7)</f>
        <v/>
      </c>
      <c r="LW47" s="15" t="str">
        <f>IF('Raw Data'!LK7="","",'Raw Data'!LK7)</f>
        <v/>
      </c>
      <c r="LX47" s="15" t="str">
        <f>IF('Raw Data'!LL7="","",'Raw Data'!LL7)</f>
        <v/>
      </c>
      <c r="LY47" s="15" t="str">
        <f>IF('Raw Data'!LM7="","",'Raw Data'!LM7)</f>
        <v/>
      </c>
      <c r="LZ47" s="15" t="str">
        <f>IF('Raw Data'!LN7="","",'Raw Data'!LN7)</f>
        <v/>
      </c>
      <c r="MA47" s="15" t="str">
        <f>IF('Raw Data'!LO7="","",'Raw Data'!LO7)</f>
        <v/>
      </c>
      <c r="MB47" s="15" t="str">
        <f>IF('Raw Data'!LP7="","",'Raw Data'!LP7)</f>
        <v>oui</v>
      </c>
      <c r="MC47" s="15" t="str">
        <f>IF('Raw Data'!LQ7="","",'Raw Data'!LQ7)</f>
        <v/>
      </c>
      <c r="MD47" s="15" t="str">
        <f>IF('Raw Data'!LR7="","",'Raw Data'!LR7)</f>
        <v/>
      </c>
      <c r="ME47" s="15">
        <f>IF('Raw Data'!LS7="","",'Raw Data'!LS7)</f>
        <v>168951339</v>
      </c>
      <c r="MF47" s="15" t="str">
        <f>IF('Raw Data'!LT7="","",'Raw Data'!LT7)</f>
        <v>d445d12c-abfc-4fb8-9c83-c44271a9dedb</v>
      </c>
      <c r="MG47" s="15" t="str">
        <f>IF('Raw Data'!LU7="","",'Raw Data'!LU7)</f>
        <v>2021-03-31T17:35:54</v>
      </c>
      <c r="MH47" s="15" t="str">
        <f>IF('Raw Data'!LV7="","",'Raw Data'!LV7)</f>
        <v/>
      </c>
      <c r="MI47" s="15" t="str">
        <f>IF('Raw Data'!LW7="","",'Raw Data'!LW7)</f>
        <v>[]</v>
      </c>
      <c r="MJ47" s="15" t="str">
        <f>IF('Raw Data'!LX7="","",'Raw Data'!LX7)</f>
        <v>submitted_via_web</v>
      </c>
      <c r="MK47" s="15" t="str">
        <f>IF('Raw Data'!LY7="","",'Raw Data'!LY7)</f>
        <v>reach_niger</v>
      </c>
      <c r="ML47" s="15" t="str">
        <f>IF('Raw Data'!LZ7="","",'Raw Data'!LZ7)</f>
        <v/>
      </c>
      <c r="MM47" s="15">
        <f>IF('Raw Data'!MA7="","",'Raw Data'!MA7)</f>
        <v>6</v>
      </c>
    </row>
    <row r="48" spans="1:351" x14ac:dyDescent="0.3">
      <c r="A48" s="26" t="str">
        <f t="shared" si="4"/>
        <v>57635968-d9e1-4531-b1f9-b3e2398ea5ca</v>
      </c>
      <c r="B48" s="26" t="str">
        <f t="shared" si="5"/>
        <v>sakoira</v>
      </c>
      <c r="C48" s="26" t="str">
        <f t="shared" si="6"/>
        <v>I</v>
      </c>
      <c r="D48" s="14" t="str">
        <f>IF('Raw Data'!A19="","",'Raw Data'!A19)</f>
        <v>2021-04-01T13:18:00.025+01:00</v>
      </c>
      <c r="E48" s="14" t="str">
        <f>IF('Raw Data'!B19="","",'Raw Data'!B19)</f>
        <v>2021-04-01T14:21:17.604+01:00</v>
      </c>
      <c r="F48" s="30">
        <v>44287.554166666669</v>
      </c>
      <c r="G48" s="30">
        <v>44287.598113425927</v>
      </c>
      <c r="H48" s="29">
        <f>VLOOKUP(A48,Audit[#All],2,FALSE)</f>
        <v>63.29</v>
      </c>
      <c r="I48" s="29">
        <f>VLOOKUP(A48,Audit[#All],3,FALSE)</f>
        <v>30.64</v>
      </c>
      <c r="J48" s="29">
        <f>VLOOKUP(A48,Audit[#All],4,FALSE)</f>
        <v>29.43</v>
      </c>
      <c r="K48" s="29">
        <f>VLOOKUP(A48,nb_questions[#All],2,FALSE)</f>
        <v>99</v>
      </c>
      <c r="L48" s="29">
        <f t="shared" si="7"/>
        <v>191</v>
      </c>
      <c r="M48" s="14" t="str">
        <f>IF('Raw Data'!C19="","",'Raw Data'!C19)</f>
        <v>2021-04-01</v>
      </c>
      <c r="N48" s="14" t="str">
        <f>IF('Raw Data'!D19="","",'Raw Data'!D19)</f>
        <v/>
      </c>
      <c r="O48" s="14" t="str">
        <f>IF('Raw Data'!E19="","",'Raw Data'!E19)</f>
        <v/>
      </c>
      <c r="P48" s="29" t="str">
        <f>VLOOKUP(A48,code_enqueteurs[#All],3,FALSE)</f>
        <v>I</v>
      </c>
      <c r="Q48" s="29" t="s">
        <v>1653</v>
      </c>
      <c r="R48" s="14" t="str">
        <f>IF('Raw Data'!F19="","",'Raw Data'!F19)</f>
        <v>Homme</v>
      </c>
      <c r="S48" s="15" t="str">
        <f>IF('Raw Data'!G19="","",'Raw Data'!G19)</f>
        <v>tillaberi</v>
      </c>
      <c r="T48" s="15" t="str">
        <f>IF('Raw Data'!H19="","",'Raw Data'!H19)</f>
        <v>sakoira</v>
      </c>
      <c r="U48" s="15" t="str">
        <f>IF('Raw Data'!I19="","",'Raw Data'!I19)</f>
        <v>sakoira</v>
      </c>
      <c r="V48" s="15" t="str">
        <f>IF('Raw Data'!J19="","",'Raw Data'!J19)</f>
        <v/>
      </c>
      <c r="W48" s="15" t="str">
        <f>IF('Raw Data'!K19="","",'Raw Data'!K19)</f>
        <v/>
      </c>
      <c r="X48" s="15" t="str">
        <f>IF('Raw Data'!L19="","",'Raw Data'!L19)</f>
        <v/>
      </c>
      <c r="Y48" s="15" t="str">
        <f>IF('Raw Data'!M19="","",'Raw Data'!M19)</f>
        <v/>
      </c>
      <c r="Z48" s="15" t="str">
        <f>IF('Raw Data'!N19="","",'Raw Data'!N19)</f>
        <v/>
      </c>
      <c r="AA48" s="15" t="str">
        <f>IF('Raw Data'!O19="","",'Raw Data'!O19)</f>
        <v/>
      </c>
      <c r="AB48" s="15" t="str">
        <f>IF('Raw Data'!P19="","",'Raw Data'!P19)</f>
        <v/>
      </c>
      <c r="AC48" s="15" t="str">
        <f>IF('Raw Data'!Q19="","",'Raw Data'!Q19)</f>
        <v/>
      </c>
      <c r="AD48" s="15" t="str">
        <f>IF('Raw Data'!R19="","",'Raw Data'!R19)</f>
        <v>Homme</v>
      </c>
      <c r="AE48" s="15" t="str">
        <f>IF('Raw Data'!S19="","",'Raw Data'!S19)</f>
        <v>47</v>
      </c>
      <c r="AF48" s="15" t="str">
        <f>IF('Raw Data'!T19="","",'Raw Data'!T19)</f>
        <v>Hote</v>
      </c>
      <c r="AG48" s="15" t="str">
        <f>IF('Raw Data'!U19="","",'Raw Data'!U19)</f>
        <v/>
      </c>
      <c r="AH48" s="15" t="str">
        <f>IF('Raw Data'!V19="","",'Raw Data'!V19)</f>
        <v/>
      </c>
      <c r="AI48" s="15" t="str">
        <f>IF('Raw Data'!W19="","",'Raw Data'!W19)</f>
        <v/>
      </c>
      <c r="AJ48" s="15" t="str">
        <f>IF('Raw Data'!X19="","",'Raw Data'!X19)</f>
        <v/>
      </c>
      <c r="AK48" s="15" t="str">
        <f>IF('Raw Data'!Y19="","",'Raw Data'!Y19)</f>
        <v/>
      </c>
      <c r="AL48" s="15" t="str">
        <f>IF('Raw Data'!Z19="","",'Raw Data'!Z19)</f>
        <v/>
      </c>
      <c r="AM48" s="15" t="str">
        <f>IF('Raw Data'!AA19="","",'Raw Data'!AA19)</f>
        <v/>
      </c>
      <c r="AN48" s="15" t="str">
        <f>IF('Raw Data'!AB19="","",'Raw Data'!AB19)</f>
        <v/>
      </c>
      <c r="AO48" s="15" t="str">
        <f>IF('Raw Data'!AC19="","",'Raw Data'!AC19)</f>
        <v/>
      </c>
      <c r="AP48" s="15" t="str">
        <f>IF('Raw Data'!AD19="","",'Raw Data'!AD19)</f>
        <v/>
      </c>
      <c r="AQ48" s="15" t="str">
        <f>IF('Raw Data'!AE19="","",'Raw Data'!AE19)</f>
        <v/>
      </c>
      <c r="AR48" s="15" t="str">
        <f>IF('Raw Data'!AF19="","",'Raw Data'!AF19)</f>
        <v/>
      </c>
      <c r="AS48" s="15" t="str">
        <f>IF('Raw Data'!AG19="","",'Raw Data'!AG19)</f>
        <v>non</v>
      </c>
      <c r="AT48" s="15" t="str">
        <f>IF('Raw Data'!AH19="","",'Raw Data'!AH19)</f>
        <v/>
      </c>
      <c r="AU48" s="15" t="str">
        <f>IF('Raw Data'!AI19="","",'Raw Data'!AI19)</f>
        <v/>
      </c>
      <c r="AV48" s="15" t="str">
        <f>IF('Raw Data'!AJ19="","",'Raw Data'!AJ19)</f>
        <v/>
      </c>
      <c r="AW48" s="15" t="str">
        <f>IF('Raw Data'!AK19="","",'Raw Data'!AK19)</f>
        <v/>
      </c>
      <c r="AX48" s="15" t="str">
        <f>IF('Raw Data'!AL19="","",'Raw Data'!AL19)</f>
        <v/>
      </c>
      <c r="AY48" s="15" t="str">
        <f>IF('Raw Data'!AM19="","",'Raw Data'!AM19)</f>
        <v/>
      </c>
      <c r="AZ48" s="15" t="str">
        <f>IF('Raw Data'!AN19="","",'Raw Data'!AN19)</f>
        <v/>
      </c>
      <c r="BA48" s="15" t="str">
        <f>IF('Raw Data'!AO19="","",'Raw Data'!AO19)</f>
        <v/>
      </c>
      <c r="BB48" s="15" t="str">
        <f>IF('Raw Data'!AP19="","",'Raw Data'!AP19)</f>
        <v/>
      </c>
      <c r="BC48" s="15" t="str">
        <f>IF('Raw Data'!AQ19="","",'Raw Data'!AQ19)</f>
        <v/>
      </c>
      <c r="BD48" s="15" t="str">
        <f>IF('Raw Data'!AR19="","",'Raw Data'!AR19)</f>
        <v/>
      </c>
      <c r="BE48" s="15" t="str">
        <f>IF('Raw Data'!AS19="","",'Raw Data'!AS19)</f>
        <v/>
      </c>
      <c r="BF48" s="15" t="str">
        <f>IF('Raw Data'!AT19="","",'Raw Data'!AT19)</f>
        <v/>
      </c>
      <c r="BG48" s="15" t="str">
        <f>IF('Raw Data'!AU19="","",'Raw Data'!AU19)</f>
        <v/>
      </c>
      <c r="BH48" s="15" t="str">
        <f>IF('Raw Data'!AV19="","",'Raw Data'!AV19)</f>
        <v/>
      </c>
      <c r="BI48" s="15" t="str">
        <f>IF('Raw Data'!AW19="","",'Raw Data'!AW19)</f>
        <v/>
      </c>
      <c r="BJ48" s="15" t="str">
        <f>IF('Raw Data'!AX19="","",'Raw Data'!AX19)</f>
        <v/>
      </c>
      <c r="BK48" s="15" t="str">
        <f>IF('Raw Data'!AY19="","",'Raw Data'!AY19)</f>
        <v/>
      </c>
      <c r="BL48" s="15" t="str">
        <f>IF('Raw Data'!AZ19="","",'Raw Data'!AZ19)</f>
        <v/>
      </c>
      <c r="BM48" s="15" t="str">
        <f>IF('Raw Data'!BA19="","",'Raw Data'!BA19)</f>
        <v/>
      </c>
      <c r="BN48" s="15" t="str">
        <f>IF('Raw Data'!BB19="","",'Raw Data'!BB19)</f>
        <v/>
      </c>
      <c r="BO48" s="15" t="str">
        <f>IF('Raw Data'!BC19="","",'Raw Data'!BC19)</f>
        <v/>
      </c>
      <c r="BP48" s="15" t="str">
        <f>IF('Raw Data'!BD19="","",'Raw Data'!BD19)</f>
        <v/>
      </c>
      <c r="BQ48" s="15" t="str">
        <f>IF('Raw Data'!BE19="","",'Raw Data'!BE19)</f>
        <v/>
      </c>
      <c r="BR48" s="15" t="str">
        <f>IF('Raw Data'!BF19="","",'Raw Data'!BF19)</f>
        <v/>
      </c>
      <c r="BS48" s="15" t="str">
        <f>IF('Raw Data'!BG19="","",'Raw Data'!BG19)</f>
        <v/>
      </c>
      <c r="BT48" s="15" t="str">
        <f>IF('Raw Data'!BH19="","",'Raw Data'!BH19)</f>
        <v/>
      </c>
      <c r="BU48" s="15" t="str">
        <f>IF('Raw Data'!BI19="","",'Raw Data'!BI19)</f>
        <v/>
      </c>
      <c r="BV48" s="15" t="str">
        <f>IF('Raw Data'!BJ19="","",'Raw Data'!BJ19)</f>
        <v/>
      </c>
      <c r="BW48" s="15" t="str">
        <f>IF('Raw Data'!BK19="","",'Raw Data'!BK19)</f>
        <v/>
      </c>
      <c r="BX48" s="15" t="str">
        <f>IF('Raw Data'!BL19="","",'Raw Data'!BL19)</f>
        <v/>
      </c>
      <c r="BY48" s="15" t="str">
        <f>IF('Raw Data'!BM19="","",'Raw Data'!BM19)</f>
        <v/>
      </c>
      <c r="BZ48" s="15" t="str">
        <f>IF('Raw Data'!BN19="","",'Raw Data'!BN19)</f>
        <v/>
      </c>
      <c r="CA48" s="15" t="str">
        <f>IF('Raw Data'!BO19="","",'Raw Data'!BO19)</f>
        <v/>
      </c>
      <c r="CB48" s="15" t="str">
        <f>IF('Raw Data'!BP19="","",'Raw Data'!BP19)</f>
        <v/>
      </c>
      <c r="CC48" s="15" t="str">
        <f>IF('Raw Data'!BQ19="","",'Raw Data'!BQ19)</f>
        <v>non</v>
      </c>
      <c r="CD48" s="15" t="str">
        <f>IF('Raw Data'!BR19="","",'Raw Data'!BR19)</f>
        <v/>
      </c>
      <c r="CE48" s="15" t="str">
        <f>IF('Raw Data'!BS19="","",'Raw Data'!BS19)</f>
        <v/>
      </c>
      <c r="CF48" s="15" t="str">
        <f>IF('Raw Data'!BT19="","",'Raw Data'!BT19)</f>
        <v/>
      </c>
      <c r="CG48" s="15" t="str">
        <f>IF('Raw Data'!BU19="","",'Raw Data'!BU19)</f>
        <v/>
      </c>
      <c r="CH48" s="15" t="str">
        <f>IF('Raw Data'!BV19="","",'Raw Data'!BV19)</f>
        <v/>
      </c>
      <c r="CI48" s="15" t="str">
        <f>IF('Raw Data'!BW19="","",'Raw Data'!BW19)</f>
        <v/>
      </c>
      <c r="CJ48" s="15" t="str">
        <f>IF('Raw Data'!BX19="","",'Raw Data'!BX19)</f>
        <v/>
      </c>
      <c r="CK48" s="15" t="str">
        <f>IF('Raw Data'!BY19="","",'Raw Data'!BY19)</f>
        <v/>
      </c>
      <c r="CL48" s="15" t="str">
        <f>IF('Raw Data'!BZ19="","",'Raw Data'!BZ19)</f>
        <v/>
      </c>
      <c r="CM48" s="15" t="str">
        <f>IF('Raw Data'!CA19="","",'Raw Data'!CA19)</f>
        <v/>
      </c>
      <c r="CN48" s="15" t="str">
        <f>IF('Raw Data'!CB19="","",'Raw Data'!CB19)</f>
        <v/>
      </c>
      <c r="CO48" s="15" t="str">
        <f>IF('Raw Data'!CC19="","",'Raw Data'!CC19)</f>
        <v/>
      </c>
      <c r="CP48" s="15" t="str">
        <f>IF('Raw Data'!CD19="","",'Raw Data'!CD19)</f>
        <v/>
      </c>
      <c r="CQ48" s="15" t="str">
        <f>IF('Raw Data'!CE19="","",'Raw Data'!CE19)</f>
        <v/>
      </c>
      <c r="CR48" s="15" t="str">
        <f>IF('Raw Data'!CF19="","",'Raw Data'!CF19)</f>
        <v/>
      </c>
      <c r="CS48" s="15" t="str">
        <f>IF('Raw Data'!CG19="","",'Raw Data'!CG19)</f>
        <v/>
      </c>
      <c r="CT48" s="15" t="str">
        <f>IF('Raw Data'!CH19="","",'Raw Data'!CH19)</f>
        <v/>
      </c>
      <c r="CU48" s="15" t="str">
        <f>IF('Raw Data'!CI19="","",'Raw Data'!CI19)</f>
        <v/>
      </c>
      <c r="CV48" s="15" t="str">
        <f>IF('Raw Data'!CJ19="","",'Raw Data'!CJ19)</f>
        <v/>
      </c>
      <c r="CW48" s="15" t="str">
        <f>IF('Raw Data'!CK19="","",'Raw Data'!CK19)</f>
        <v/>
      </c>
      <c r="CX48" s="15" t="str">
        <f>IF('Raw Data'!CL19="","",'Raw Data'!CL19)</f>
        <v/>
      </c>
      <c r="CY48" s="15" t="str">
        <f>IF('Raw Data'!CM19="","",'Raw Data'!CM19)</f>
        <v/>
      </c>
      <c r="CZ48" s="15" t="str">
        <f>IF('Raw Data'!CN19="","",'Raw Data'!CN19)</f>
        <v/>
      </c>
      <c r="DA48" s="15" t="str">
        <f>IF('Raw Data'!CO19="","",'Raw Data'!CO19)</f>
        <v/>
      </c>
      <c r="DB48" s="15" t="str">
        <f>IF('Raw Data'!CP19="","",'Raw Data'!CP19)</f>
        <v/>
      </c>
      <c r="DC48" s="15" t="str">
        <f>IF('Raw Data'!CQ19="","",'Raw Data'!CQ19)</f>
        <v/>
      </c>
      <c r="DD48" s="15" t="str">
        <f>IF('Raw Data'!CR19="","",'Raw Data'!CR19)</f>
        <v/>
      </c>
      <c r="DE48" s="15" t="str">
        <f>IF('Raw Data'!CS19="","",'Raw Data'!CS19)</f>
        <v/>
      </c>
      <c r="DF48" s="15" t="str">
        <f>IF('Raw Data'!CT19="","",'Raw Data'!CT19)</f>
        <v/>
      </c>
      <c r="DG48" s="15" t="str">
        <f>IF('Raw Data'!CU19="","",'Raw Data'!CU19)</f>
        <v/>
      </c>
      <c r="DH48" s="15" t="str">
        <f>IF('Raw Data'!CV19="","",'Raw Data'!CV19)</f>
        <v/>
      </c>
      <c r="DI48" s="15" t="str">
        <f>IF('Raw Data'!CW19="","",'Raw Data'!CW19)</f>
        <v/>
      </c>
      <c r="DJ48" s="15" t="str">
        <f>IF('Raw Data'!CX19="","",'Raw Data'!CX19)</f>
        <v/>
      </c>
      <c r="DK48" s="15" t="str">
        <f>IF('Raw Data'!CY19="","",'Raw Data'!CY19)</f>
        <v/>
      </c>
      <c r="DL48" s="15" t="str">
        <f>IF('Raw Data'!CZ19="","",'Raw Data'!CZ19)</f>
        <v/>
      </c>
      <c r="DM48" s="15" t="str">
        <f>IF('Raw Data'!DA19="","",'Raw Data'!DA19)</f>
        <v/>
      </c>
      <c r="DN48" s="15" t="str">
        <f>IF('Raw Data'!DB19="","",'Raw Data'!DB19)</f>
        <v/>
      </c>
      <c r="DO48" s="15" t="str">
        <f>IF('Raw Data'!DC19="","",'Raw Data'!DC19)</f>
        <v/>
      </c>
      <c r="DP48" s="15" t="str">
        <f>IF('Raw Data'!DD19="","",'Raw Data'!DD19)</f>
        <v/>
      </c>
      <c r="DQ48" s="15" t="str">
        <f>IF('Raw Data'!DE19="","",'Raw Data'!DE19)</f>
        <v/>
      </c>
      <c r="DR48" s="15" t="str">
        <f>IF('Raw Data'!DF19="","",'Raw Data'!DF19)</f>
        <v/>
      </c>
      <c r="DS48" s="15" t="str">
        <f>IF('Raw Data'!DG19="","",'Raw Data'!DG19)</f>
        <v/>
      </c>
      <c r="DT48" s="15" t="str">
        <f>IF('Raw Data'!DH19="","",'Raw Data'!DH19)</f>
        <v/>
      </c>
      <c r="DU48" s="15" t="str">
        <f>IF('Raw Data'!DI19="","",'Raw Data'!DI19)</f>
        <v/>
      </c>
      <c r="DV48" s="15" t="str">
        <f>IF('Raw Data'!DJ19="","",'Raw Data'!DJ19)</f>
        <v/>
      </c>
      <c r="DW48" s="15" t="str">
        <f>IF('Raw Data'!DK19="","",'Raw Data'!DK19)</f>
        <v/>
      </c>
      <c r="DX48" s="15" t="str">
        <f>IF('Raw Data'!DL19="","",'Raw Data'!DL19)</f>
        <v/>
      </c>
      <c r="DY48" s="15" t="str">
        <f>IF('Raw Data'!DM19="","",'Raw Data'!DM19)</f>
        <v/>
      </c>
      <c r="DZ48" s="15" t="str">
        <f>IF('Raw Data'!DN19="","",'Raw Data'!DN19)</f>
        <v/>
      </c>
      <c r="EA48" s="15" t="str">
        <f>IF('Raw Data'!DO19="","",'Raw Data'!DO19)</f>
        <v/>
      </c>
      <c r="EB48" s="15" t="str">
        <f>IF('Raw Data'!DP19="","",'Raw Data'!DP19)</f>
        <v/>
      </c>
      <c r="EC48" s="15" t="str">
        <f>IF('Raw Data'!DQ19="","",'Raw Data'!DQ19)</f>
        <v/>
      </c>
      <c r="ED48" s="15" t="str">
        <f>IF('Raw Data'!DR19="","",'Raw Data'!DR19)</f>
        <v/>
      </c>
      <c r="EE48" s="15" t="str">
        <f>IF('Raw Data'!DS19="","",'Raw Data'!DS19)</f>
        <v/>
      </c>
      <c r="EF48" s="15" t="str">
        <f>IF('Raw Data'!DT19="","",'Raw Data'!DT19)</f>
        <v/>
      </c>
      <c r="EG48" s="15" t="str">
        <f>IF('Raw Data'!DU19="","",'Raw Data'!DU19)</f>
        <v/>
      </c>
      <c r="EH48" s="15" t="str">
        <f>IF('Raw Data'!DV19="","",'Raw Data'!DV19)</f>
        <v/>
      </c>
      <c r="EI48" s="15" t="str">
        <f>IF('Raw Data'!DW19="","",'Raw Data'!DW19)</f>
        <v/>
      </c>
      <c r="EJ48" s="15" t="str">
        <f>IF('Raw Data'!DX19="","",'Raw Data'!DX19)</f>
        <v/>
      </c>
      <c r="EK48" s="15" t="str">
        <f>IF('Raw Data'!DY19="","",'Raw Data'!DY19)</f>
        <v/>
      </c>
      <c r="EL48" s="15" t="str">
        <f>IF('Raw Data'!DZ19="","",'Raw Data'!DZ19)</f>
        <v>Integration_com_hote Soutien_famille_amis Soutien_chef_village</v>
      </c>
      <c r="EM48" s="15" t="str">
        <f>IF('Raw Data'!EA19="","",'Raw Data'!EA19)</f>
        <v>0</v>
      </c>
      <c r="EN48" s="15" t="str">
        <f>IF('Raw Data'!EB19="","",'Raw Data'!EB19)</f>
        <v>1</v>
      </c>
      <c r="EO48" s="15" t="str">
        <f>IF('Raw Data'!EC19="","",'Raw Data'!EC19)</f>
        <v>1</v>
      </c>
      <c r="EP48" s="15" t="str">
        <f>IF('Raw Data'!ED19="","",'Raw Data'!ED19)</f>
        <v>1</v>
      </c>
      <c r="EQ48" s="15" t="str">
        <f>IF('Raw Data'!EE19="","",'Raw Data'!EE19)</f>
        <v>0</v>
      </c>
      <c r="ER48" s="15" t="str">
        <f>IF('Raw Data'!EF19="","",'Raw Data'!EF19)</f>
        <v>0</v>
      </c>
      <c r="ES48" s="15" t="str">
        <f>IF('Raw Data'!EG19="","",'Raw Data'!EG19)</f>
        <v>0</v>
      </c>
      <c r="ET48" s="15" t="str">
        <f>IF('Raw Data'!EH19="","",'Raw Data'!EH19)</f>
        <v>0</v>
      </c>
      <c r="EU48" s="15" t="str">
        <f>IF('Raw Data'!EI19="","",'Raw Data'!EI19)</f>
        <v>0</v>
      </c>
      <c r="EV48" s="15" t="str">
        <f>IF('Raw Data'!EJ19="","",'Raw Data'!EJ19)</f>
        <v/>
      </c>
      <c r="EW48" s="15" t="str">
        <f>IF('Raw Data'!EK19="","",'Raw Data'!EK19)</f>
        <v/>
      </c>
      <c r="EX48" s="15" t="str">
        <f>IF('Raw Data'!EL19="","",'Raw Data'!EL19)</f>
        <v>comite_protection famille_accueil</v>
      </c>
      <c r="EY48" s="15" t="str">
        <f>IF('Raw Data'!EM19="","",'Raw Data'!EM19)</f>
        <v>0</v>
      </c>
      <c r="EZ48" s="15" t="str">
        <f>IF('Raw Data'!EN19="","",'Raw Data'!EN19)</f>
        <v>1</v>
      </c>
      <c r="FA48" s="15" t="str">
        <f>IF('Raw Data'!EO19="","",'Raw Data'!EO19)</f>
        <v>1</v>
      </c>
      <c r="FB48" s="15" t="str">
        <f>IF('Raw Data'!EP19="","",'Raw Data'!EP19)</f>
        <v>0</v>
      </c>
      <c r="FC48" s="15" t="str">
        <f>IF('Raw Data'!EQ19="","",'Raw Data'!EQ19)</f>
        <v>0</v>
      </c>
      <c r="FD48" s="15" t="str">
        <f>IF('Raw Data'!ER19="","",'Raw Data'!ER19)</f>
        <v>0</v>
      </c>
      <c r="FE48" s="15" t="str">
        <f>IF('Raw Data'!ES19="","",'Raw Data'!ES19)</f>
        <v>0</v>
      </c>
      <c r="FF48" s="15" t="str">
        <f>IF('Raw Data'!ET19="","",'Raw Data'!ET19)</f>
        <v>0</v>
      </c>
      <c r="FG48" s="15" t="str">
        <f>IF('Raw Data'!EU19="","",'Raw Data'!EU19)</f>
        <v>0</v>
      </c>
      <c r="FH48" s="15" t="str">
        <f>IF('Raw Data'!EV19="","",'Raw Data'!EV19)</f>
        <v>0</v>
      </c>
      <c r="FI48" s="15" t="str">
        <f>IF('Raw Data'!EW19="","",'Raw Data'!EW19)</f>
        <v/>
      </c>
      <c r="FJ48" s="15" t="str">
        <f>IF('Raw Data'!EX19="","",'Raw Data'!EX19)</f>
        <v>oui</v>
      </c>
      <c r="FK48" s="15" t="str">
        <f>IF('Raw Data'!EY19="","",'Raw Data'!EY19)</f>
        <v>famille_amis Chef_village</v>
      </c>
      <c r="FL48" s="15" t="str">
        <f>IF('Raw Data'!EZ19="","",'Raw Data'!EZ19)</f>
        <v>0</v>
      </c>
      <c r="FM48" s="15" t="str">
        <f>IF('Raw Data'!FA19="","",'Raw Data'!FA19)</f>
        <v>0</v>
      </c>
      <c r="FN48" s="15" t="str">
        <f>IF('Raw Data'!FB19="","",'Raw Data'!FB19)</f>
        <v>0</v>
      </c>
      <c r="FO48" s="15" t="str">
        <f>IF('Raw Data'!FC19="","",'Raw Data'!FC19)</f>
        <v>0</v>
      </c>
      <c r="FP48" s="15" t="str">
        <f>IF('Raw Data'!FD19="","",'Raw Data'!FD19)</f>
        <v>1</v>
      </c>
      <c r="FQ48" s="15" t="str">
        <f>IF('Raw Data'!FE19="","",'Raw Data'!FE19)</f>
        <v>1</v>
      </c>
      <c r="FR48" s="15" t="str">
        <f>IF('Raw Data'!FF19="","",'Raw Data'!FF19)</f>
        <v>0</v>
      </c>
      <c r="FS48" s="15" t="str">
        <f>IF('Raw Data'!FG19="","",'Raw Data'!FG19)</f>
        <v>0</v>
      </c>
      <c r="FT48" s="15" t="str">
        <f>IF('Raw Data'!FH19="","",'Raw Data'!FH19)</f>
        <v>0</v>
      </c>
      <c r="FU48" s="15" t="str">
        <f>IF('Raw Data'!FI19="","",'Raw Data'!FI19)</f>
        <v>0</v>
      </c>
      <c r="FV48" s="15" t="str">
        <f>IF('Raw Data'!FJ19="","",'Raw Data'!FJ19)</f>
        <v>0</v>
      </c>
      <c r="FW48" s="15" t="str">
        <f>IF('Raw Data'!FK19="","",'Raw Data'!FK19)</f>
        <v>0</v>
      </c>
      <c r="FX48" s="15" t="str">
        <f>IF('Raw Data'!FL19="","",'Raw Data'!FL19)</f>
        <v>0</v>
      </c>
      <c r="FY48" s="15" t="str">
        <f>IF('Raw Data'!FM19="","",'Raw Data'!FM19)</f>
        <v>0</v>
      </c>
      <c r="FZ48" s="15" t="str">
        <f>IF('Raw Data'!FN19="","",'Raw Data'!FN19)</f>
        <v/>
      </c>
      <c r="GA48" s="15" t="str">
        <f>IF('Raw Data'!FO19="","",'Raw Data'!FO19)</f>
        <v>oui_majorite</v>
      </c>
      <c r="GB48" s="15" t="str">
        <f>IF('Raw Data'!FP19="","",'Raw Data'!FP19)</f>
        <v>oui_majorite</v>
      </c>
      <c r="GC48" s="15" t="str">
        <f>IF('Raw Data'!FQ19="","",'Raw Data'!FQ19)</f>
        <v>manque_info</v>
      </c>
      <c r="GD48" s="15" t="str">
        <f>IF('Raw Data'!FR19="","",'Raw Data'!FR19)</f>
        <v>0</v>
      </c>
      <c r="GE48" s="15" t="str">
        <f>IF('Raw Data'!FS19="","",'Raw Data'!FS19)</f>
        <v>1</v>
      </c>
      <c r="GF48" s="15" t="str">
        <f>IF('Raw Data'!FT19="","",'Raw Data'!FT19)</f>
        <v>0</v>
      </c>
      <c r="GG48" s="15" t="str">
        <f>IF('Raw Data'!FU19="","",'Raw Data'!FU19)</f>
        <v>0</v>
      </c>
      <c r="GH48" s="15" t="str">
        <f>IF('Raw Data'!FV19="","",'Raw Data'!FV19)</f>
        <v>0</v>
      </c>
      <c r="GI48" s="15" t="str">
        <f>IF('Raw Data'!FW19="","",'Raw Data'!FW19)</f>
        <v>0</v>
      </c>
      <c r="GJ48" s="15" t="str">
        <f>IF('Raw Data'!FX19="","",'Raw Data'!FX19)</f>
        <v>0</v>
      </c>
      <c r="GK48" s="15" t="str">
        <f>IF('Raw Data'!FY19="","",'Raw Data'!FY19)</f>
        <v>0</v>
      </c>
      <c r="GL48" s="15" t="str">
        <f>IF('Raw Data'!FZ19="","",'Raw Data'!FZ19)</f>
        <v/>
      </c>
      <c r="GM48" s="15" t="str">
        <f>IF('Raw Data'!GA19="","",'Raw Data'!GA19)</f>
        <v>majorite</v>
      </c>
      <c r="GN48" s="15" t="str">
        <f>IF('Raw Data'!GB19="","",'Raw Data'!GB19)</f>
        <v>majorite</v>
      </c>
      <c r="GO48" s="15" t="str">
        <f>IF('Raw Data'!GC19="","",'Raw Data'!GC19)</f>
        <v>Education Services_de_sante Acces_aux_doc</v>
      </c>
      <c r="GP48" s="15" t="str">
        <f>IF('Raw Data'!GD19="","",'Raw Data'!GD19)</f>
        <v>0</v>
      </c>
      <c r="GQ48" s="15" t="str">
        <f>IF('Raw Data'!GE19="","",'Raw Data'!GE19)</f>
        <v>1</v>
      </c>
      <c r="GR48" s="15" t="str">
        <f>IF('Raw Data'!GF19="","",'Raw Data'!GF19)</f>
        <v>0</v>
      </c>
      <c r="GS48" s="15" t="str">
        <f>IF('Raw Data'!GG19="","",'Raw Data'!GG19)</f>
        <v>1</v>
      </c>
      <c r="GT48" s="15" t="str">
        <f>IF('Raw Data'!GH19="","",'Raw Data'!GH19)</f>
        <v>1</v>
      </c>
      <c r="GU48" s="15" t="str">
        <f>IF('Raw Data'!GI19="","",'Raw Data'!GI19)</f>
        <v>0</v>
      </c>
      <c r="GV48" s="15" t="str">
        <f>IF('Raw Data'!GJ19="","",'Raw Data'!GJ19)</f>
        <v>0</v>
      </c>
      <c r="GW48" s="15" t="str">
        <f>IF('Raw Data'!GK19="","",'Raw Data'!GK19)</f>
        <v>0</v>
      </c>
      <c r="GX48" s="15" t="str">
        <f>IF('Raw Data'!GL19="","",'Raw Data'!GL19)</f>
        <v>0</v>
      </c>
      <c r="GY48" s="15" t="str">
        <f>IF('Raw Data'!GM19="","",'Raw Data'!GM19)</f>
        <v/>
      </c>
      <c r="GZ48" s="15" t="str">
        <f>IF('Raw Data'!GN19="","",'Raw Data'!GN19)</f>
        <v>oui_ensemble</v>
      </c>
      <c r="HA48" s="15" t="str">
        <f>IF('Raw Data'!GO19="","",'Raw Data'!GO19)</f>
        <v>oui_ensemble</v>
      </c>
      <c r="HB48" s="15" t="str">
        <f>IF('Raw Data'!GP19="","",'Raw Data'!GP19)</f>
        <v>amelioration_futur repond_besoins_pop permet_eviter_conflits</v>
      </c>
      <c r="HC48" s="15" t="str">
        <f>IF('Raw Data'!GQ19="","",'Raw Data'!GQ19)</f>
        <v>1</v>
      </c>
      <c r="HD48" s="15" t="str">
        <f>IF('Raw Data'!GR19="","",'Raw Data'!GR19)</f>
        <v>1</v>
      </c>
      <c r="HE48" s="15" t="str">
        <f>IF('Raw Data'!GS19="","",'Raw Data'!GS19)</f>
        <v>0</v>
      </c>
      <c r="HF48" s="15" t="str">
        <f>IF('Raw Data'!GT19="","",'Raw Data'!GT19)</f>
        <v>1</v>
      </c>
      <c r="HG48" s="15" t="str">
        <f>IF('Raw Data'!GU19="","",'Raw Data'!GU19)</f>
        <v>0</v>
      </c>
      <c r="HH48" s="15" t="str">
        <f>IF('Raw Data'!GV19="","",'Raw Data'!GV19)</f>
        <v>0</v>
      </c>
      <c r="HI48" s="15" t="str">
        <f>IF('Raw Data'!GW19="","",'Raw Data'!GW19)</f>
        <v>0</v>
      </c>
      <c r="HJ48" s="15" t="str">
        <f>IF('Raw Data'!GX19="","",'Raw Data'!GX19)</f>
        <v>0</v>
      </c>
      <c r="HK48" s="15" t="str">
        <f>IF('Raw Data'!GY19="","",'Raw Data'!GY19)</f>
        <v/>
      </c>
      <c r="HL48" s="31"/>
      <c r="HM48" s="31"/>
      <c r="HN48" s="31"/>
      <c r="HO48" s="31"/>
      <c r="HP48" s="31"/>
      <c r="HQ48" s="31"/>
      <c r="HR48" s="31"/>
      <c r="HS48" s="31"/>
      <c r="HT48" s="15" t="str">
        <f>IF('Raw Data'!HH19="","",'Raw Data'!HH19)</f>
        <v/>
      </c>
      <c r="HU48" s="15" t="str">
        <f>IF('Raw Data'!HI19="","",'Raw Data'!HI19)</f>
        <v>non</v>
      </c>
      <c r="HV48" s="15" t="str">
        <f>IF('Raw Data'!HJ19="","",'Raw Data'!HJ19)</f>
        <v/>
      </c>
      <c r="HW48" s="15" t="str">
        <f>IF('Raw Data'!HK19="","",'Raw Data'!HK19)</f>
        <v/>
      </c>
      <c r="HX48" s="15" t="str">
        <f>IF('Raw Data'!HL19="","",'Raw Data'!HL19)</f>
        <v/>
      </c>
      <c r="HY48" s="15" t="str">
        <f>IF('Raw Data'!HM19="","",'Raw Data'!HM19)</f>
        <v/>
      </c>
      <c r="HZ48" s="15" t="str">
        <f>IF('Raw Data'!HN19="","",'Raw Data'!HN19)</f>
        <v/>
      </c>
      <c r="IA48" s="15" t="str">
        <f>IF('Raw Data'!HO19="","",'Raw Data'!HO19)</f>
        <v/>
      </c>
      <c r="IB48" s="15" t="str">
        <f>IF('Raw Data'!HP19="","",'Raw Data'!HP19)</f>
        <v/>
      </c>
      <c r="IC48" s="15" t="str">
        <f>IF('Raw Data'!HQ19="","",'Raw Data'!HQ19)</f>
        <v/>
      </c>
      <c r="ID48" s="15" t="str">
        <f>IF('Raw Data'!HR19="","",'Raw Data'!HR19)</f>
        <v/>
      </c>
      <c r="IE48" s="15" t="str">
        <f>IF('Raw Data'!HS19="","",'Raw Data'!HS19)</f>
        <v/>
      </c>
      <c r="IF48" s="15" t="str">
        <f>IF('Raw Data'!HT19="","",'Raw Data'!HT19)</f>
        <v/>
      </c>
      <c r="IG48" s="15" t="str">
        <f>IF('Raw Data'!HU19="","",'Raw Data'!HU19)</f>
        <v/>
      </c>
      <c r="IH48" s="15" t="str">
        <f>IF('Raw Data'!HV19="","",'Raw Data'!HV19)</f>
        <v>oui</v>
      </c>
      <c r="II48" s="15" t="str">
        <f>IF('Raw Data'!HW19="","",'Raw Data'!HW19)</f>
        <v/>
      </c>
      <c r="IJ48" s="15" t="str">
        <f>IF('Raw Data'!HX19="","",'Raw Data'!HX19)</f>
        <v/>
      </c>
      <c r="IK48" s="15" t="str">
        <f>IF('Raw Data'!HY19="","",'Raw Data'!HY19)</f>
        <v/>
      </c>
      <c r="IL48" s="15" t="str">
        <f>IF('Raw Data'!HZ19="","",'Raw Data'!HZ19)</f>
        <v/>
      </c>
      <c r="IM48" s="15" t="str">
        <f>IF('Raw Data'!IA19="","",'Raw Data'!IA19)</f>
        <v/>
      </c>
      <c r="IN48" s="15" t="str">
        <f>IF('Raw Data'!IB19="","",'Raw Data'!IB19)</f>
        <v/>
      </c>
      <c r="IO48" s="15" t="str">
        <f>IF('Raw Data'!IC19="","",'Raw Data'!IC19)</f>
        <v/>
      </c>
      <c r="IP48" s="15" t="str">
        <f>IF('Raw Data'!ID19="","",'Raw Data'!ID19)</f>
        <v/>
      </c>
      <c r="IQ48" s="15" t="str">
        <f>IF('Raw Data'!IE19="","",'Raw Data'!IE19)</f>
        <v/>
      </c>
      <c r="IR48" s="15" t="str">
        <f>IF('Raw Data'!IF19="","",'Raw Data'!IF19)</f>
        <v/>
      </c>
      <c r="IS48" s="15" t="str">
        <f>IF('Raw Data'!IG19="","",'Raw Data'!IG19)</f>
        <v/>
      </c>
      <c r="IT48" s="15" t="str">
        <f>IF('Raw Data'!IH19="","",'Raw Data'!IH19)</f>
        <v/>
      </c>
      <c r="IU48" s="15" t="str">
        <f>IF('Raw Data'!II19="","",'Raw Data'!II19)</f>
        <v/>
      </c>
      <c r="IV48" s="15" t="str">
        <f>IF('Raw Data'!IJ19="","",'Raw Data'!IJ19)</f>
        <v/>
      </c>
      <c r="IW48" s="15" t="str">
        <f>IF('Raw Data'!IK19="","",'Raw Data'!IK19)</f>
        <v/>
      </c>
      <c r="IX48" s="15" t="str">
        <f>IF('Raw Data'!IL19="","",'Raw Data'!IL19)</f>
        <v/>
      </c>
      <c r="IY48" s="15" t="str">
        <f>IF('Raw Data'!IM19="","",'Raw Data'!IM19)</f>
        <v/>
      </c>
      <c r="IZ48" s="15" t="str">
        <f>IF('Raw Data'!IN19="","",'Raw Data'!IN19)</f>
        <v>1</v>
      </c>
      <c r="JA48" s="15" t="str">
        <f>IF('Raw Data'!IO19="","",'Raw Data'!IO19)</f>
        <v>acces_docs Services_medicaux</v>
      </c>
      <c r="JB48" s="15" t="str">
        <f>IF('Raw Data'!IP19="","",'Raw Data'!IP19)</f>
        <v>0</v>
      </c>
      <c r="JC48" s="15" t="str">
        <f>IF('Raw Data'!IQ19="","",'Raw Data'!IQ19)</f>
        <v>1</v>
      </c>
      <c r="JD48" s="15" t="str">
        <f>IF('Raw Data'!IR19="","",'Raw Data'!IR19)</f>
        <v>0</v>
      </c>
      <c r="JE48" s="15" t="str">
        <f>IF('Raw Data'!IS19="","",'Raw Data'!IS19)</f>
        <v>0</v>
      </c>
      <c r="JF48" s="15" t="str">
        <f>IF('Raw Data'!IT19="","",'Raw Data'!IT19)</f>
        <v>1</v>
      </c>
      <c r="JG48" s="15" t="str">
        <f>IF('Raw Data'!IU19="","",'Raw Data'!IU19)</f>
        <v>0</v>
      </c>
      <c r="JH48" s="15" t="str">
        <f>IF('Raw Data'!IV19="","",'Raw Data'!IV19)</f>
        <v>0</v>
      </c>
      <c r="JI48" s="15" t="str">
        <f>IF('Raw Data'!IW19="","",'Raw Data'!IW19)</f>
        <v>0</v>
      </c>
      <c r="JJ48" s="15" t="str">
        <f>IF('Raw Data'!IX19="","",'Raw Data'!IX19)</f>
        <v>0</v>
      </c>
      <c r="JK48" s="15" t="str">
        <f>IF('Raw Data'!IY19="","",'Raw Data'!IY19)</f>
        <v>0</v>
      </c>
      <c r="JL48" s="15" t="str">
        <f>IF('Raw Data'!IZ19="","",'Raw Data'!IZ19)</f>
        <v/>
      </c>
      <c r="JM48" s="15" t="str">
        <f>IF('Raw Data'!JA19="","",'Raw Data'!JA19)</f>
        <v>reorientation</v>
      </c>
      <c r="JN48" s="15" t="str">
        <f>IF('Raw Data'!JB19="","",'Raw Data'!JB19)</f>
        <v>0</v>
      </c>
      <c r="JO48" s="15" t="str">
        <f>IF('Raw Data'!JC19="","",'Raw Data'!JC19)</f>
        <v>1</v>
      </c>
      <c r="JP48" s="15" t="str">
        <f>IF('Raw Data'!JD19="","",'Raw Data'!JD19)</f>
        <v>0</v>
      </c>
      <c r="JQ48" s="15" t="str">
        <f>IF('Raw Data'!JE19="","",'Raw Data'!JE19)</f>
        <v>0</v>
      </c>
      <c r="JR48" s="15" t="str">
        <f>IF('Raw Data'!JF19="","",'Raw Data'!JF19)</f>
        <v>0</v>
      </c>
      <c r="JS48" s="15" t="str">
        <f>IF('Raw Data'!JG19="","",'Raw Data'!JG19)</f>
        <v>0</v>
      </c>
      <c r="JT48" s="15" t="str">
        <f>IF('Raw Data'!JH19="","",'Raw Data'!JH19)</f>
        <v/>
      </c>
      <c r="JU48" s="15" t="str">
        <f>IF('Raw Data'!JI19="","",'Raw Data'!JI19)</f>
        <v/>
      </c>
      <c r="JV48" s="15" t="str">
        <f>IF('Raw Data'!JJ19="","",'Raw Data'!JJ19)</f>
        <v/>
      </c>
      <c r="JW48" s="15" t="str">
        <f>IF('Raw Data'!JK19="","",'Raw Data'!JK19)</f>
        <v/>
      </c>
      <c r="JX48" s="15" t="str">
        <f>IF('Raw Data'!JL19="","",'Raw Data'!JL19)</f>
        <v/>
      </c>
      <c r="JY48" s="15" t="str">
        <f>IF('Raw Data'!JM19="","",'Raw Data'!JM19)</f>
        <v/>
      </c>
      <c r="JZ48" s="15" t="str">
        <f>IF('Raw Data'!JN19="","",'Raw Data'!JN19)</f>
        <v/>
      </c>
      <c r="KA48" s="15" t="str">
        <f>IF('Raw Data'!JO19="","",'Raw Data'!JO19)</f>
        <v/>
      </c>
      <c r="KB48" s="15" t="str">
        <f>IF('Raw Data'!JP19="","",'Raw Data'!JP19)</f>
        <v/>
      </c>
      <c r="KC48" s="15" t="str">
        <f>IF('Raw Data'!JQ19="","",'Raw Data'!JQ19)</f>
        <v/>
      </c>
      <c r="KD48" s="15" t="str">
        <f>IF('Raw Data'!JR19="","",'Raw Data'!JR19)</f>
        <v/>
      </c>
      <c r="KE48" s="15" t="str">
        <f>IF('Raw Data'!JS19="","",'Raw Data'!JS19)</f>
        <v/>
      </c>
      <c r="KF48" s="15" t="str">
        <f>IF('Raw Data'!JT19="","",'Raw Data'!JT19)</f>
        <v>point_ecoute</v>
      </c>
      <c r="KG48" s="15" t="str">
        <f>IF('Raw Data'!JU19="","",'Raw Data'!JU19)</f>
        <v>0</v>
      </c>
      <c r="KH48" s="15" t="str">
        <f>IF('Raw Data'!JV19="","",'Raw Data'!JV19)</f>
        <v>0</v>
      </c>
      <c r="KI48" s="15" t="str">
        <f>IF('Raw Data'!JW19="","",'Raw Data'!JW19)</f>
        <v>1</v>
      </c>
      <c r="KJ48" s="15" t="str">
        <f>IF('Raw Data'!JX19="","",'Raw Data'!JX19)</f>
        <v>0</v>
      </c>
      <c r="KK48" s="15" t="str">
        <f>IF('Raw Data'!JY19="","",'Raw Data'!JY19)</f>
        <v>0</v>
      </c>
      <c r="KL48" s="15" t="str">
        <f>IF('Raw Data'!JZ19="","",'Raw Data'!JZ19)</f>
        <v>0</v>
      </c>
      <c r="KM48" s="15" t="str">
        <f>IF('Raw Data'!KA19="","",'Raw Data'!KA19)</f>
        <v>0</v>
      </c>
      <c r="KN48" s="15" t="str">
        <f>IF('Raw Data'!KB19="","",'Raw Data'!KB19)</f>
        <v>0</v>
      </c>
      <c r="KO48" s="15" t="str">
        <f>IF('Raw Data'!KC19="","",'Raw Data'!KC19)</f>
        <v>0</v>
      </c>
      <c r="KP48" s="15" t="str">
        <f>IF('Raw Data'!KD19="","",'Raw Data'!KD19)</f>
        <v/>
      </c>
      <c r="KQ48" s="15" t="str">
        <f>IF('Raw Data'!KE19="","",'Raw Data'!KE19)</f>
        <v/>
      </c>
      <c r="KR48" s="15" t="str">
        <f>IF('Raw Data'!KF19="","",'Raw Data'!KF19)</f>
        <v>non</v>
      </c>
      <c r="KS48" s="15" t="str">
        <f>IF('Raw Data'!KG19="","",'Raw Data'!KG19)</f>
        <v/>
      </c>
      <c r="KT48" s="15" t="str">
        <f>IF('Raw Data'!KH19="","",'Raw Data'!KH19)</f>
        <v/>
      </c>
      <c r="KU48" s="15" t="str">
        <f>IF('Raw Data'!KI19="","",'Raw Data'!KI19)</f>
        <v/>
      </c>
      <c r="KV48" s="15" t="str">
        <f>IF('Raw Data'!KJ19="","",'Raw Data'!KJ19)</f>
        <v/>
      </c>
      <c r="KW48" s="15" t="str">
        <f>IF('Raw Data'!KK19="","",'Raw Data'!KK19)</f>
        <v/>
      </c>
      <c r="KX48" s="15" t="str">
        <f>IF('Raw Data'!KL19="","",'Raw Data'!KL19)</f>
        <v/>
      </c>
      <c r="KY48" s="15" t="str">
        <f>IF('Raw Data'!KM19="","",'Raw Data'!KM19)</f>
        <v/>
      </c>
      <c r="KZ48" s="15" t="str">
        <f>IF('Raw Data'!KN19="","",'Raw Data'!KN19)</f>
        <v/>
      </c>
      <c r="LA48" s="15" t="str">
        <f>IF('Raw Data'!KO19="","",'Raw Data'!KO19)</f>
        <v/>
      </c>
      <c r="LB48" s="15" t="str">
        <f>IF('Raw Data'!KP19="","",'Raw Data'!KP19)</f>
        <v/>
      </c>
      <c r="LC48" s="15" t="str">
        <f>IF('Raw Data'!KQ19="","",'Raw Data'!KQ19)</f>
        <v/>
      </c>
      <c r="LD48" s="15" t="str">
        <f>IF('Raw Data'!KR19="","",'Raw Data'!KR19)</f>
        <v/>
      </c>
      <c r="LE48" s="15" t="str">
        <f>IF('Raw Data'!KS19="","",'Raw Data'!KS19)</f>
        <v/>
      </c>
      <c r="LF48" s="15" t="str">
        <f>IF('Raw Data'!KT19="","",'Raw Data'!KT19)</f>
        <v/>
      </c>
      <c r="LG48" s="15" t="str">
        <f>IF('Raw Data'!KU19="","",'Raw Data'!KU19)</f>
        <v/>
      </c>
      <c r="LH48" s="15" t="str">
        <f>IF('Raw Data'!KV19="","",'Raw Data'!KV19)</f>
        <v/>
      </c>
      <c r="LI48" s="15" t="str">
        <f>IF('Raw Data'!KW19="","",'Raw Data'!KW19)</f>
        <v/>
      </c>
      <c r="LJ48" s="15" t="str">
        <f>IF('Raw Data'!KX19="","",'Raw Data'!KX19)</f>
        <v/>
      </c>
      <c r="LK48" s="15" t="str">
        <f>IF('Raw Data'!KY19="","",'Raw Data'!KY19)</f>
        <v/>
      </c>
      <c r="LL48" s="15" t="str">
        <f>IF('Raw Data'!KZ19="","",'Raw Data'!KZ19)</f>
        <v/>
      </c>
      <c r="LM48" s="15" t="str">
        <f>IF('Raw Data'!LA19="","",'Raw Data'!LA19)</f>
        <v/>
      </c>
      <c r="LN48" s="15" t="str">
        <f>IF('Raw Data'!LB19="","",'Raw Data'!LB19)</f>
        <v>non</v>
      </c>
      <c r="LO48" s="15" t="str">
        <f>IF('Raw Data'!LC19="","",'Raw Data'!LC19)</f>
        <v/>
      </c>
      <c r="LP48" s="15" t="str">
        <f>IF('Raw Data'!LD19="","",'Raw Data'!LD19)</f>
        <v/>
      </c>
      <c r="LQ48" s="15" t="str">
        <f>IF('Raw Data'!LE19="","",'Raw Data'!LE19)</f>
        <v/>
      </c>
      <c r="LR48" s="15" t="str">
        <f>IF('Raw Data'!LF19="","",'Raw Data'!LF19)</f>
        <v/>
      </c>
      <c r="LS48" s="15" t="str">
        <f>IF('Raw Data'!LG19="","",'Raw Data'!LG19)</f>
        <v/>
      </c>
      <c r="LT48" s="15" t="str">
        <f>IF('Raw Data'!LH19="","",'Raw Data'!LH19)</f>
        <v/>
      </c>
      <c r="LU48" s="15" t="str">
        <f>IF('Raw Data'!LI19="","",'Raw Data'!LI19)</f>
        <v/>
      </c>
      <c r="LV48" s="15" t="str">
        <f>IF('Raw Data'!LJ19="","",'Raw Data'!LJ19)</f>
        <v/>
      </c>
      <c r="LW48" s="15" t="str">
        <f>IF('Raw Data'!LK19="","",'Raw Data'!LK19)</f>
        <v/>
      </c>
      <c r="LX48" s="15" t="str">
        <f>IF('Raw Data'!LL19="","",'Raw Data'!LL19)</f>
        <v/>
      </c>
      <c r="LY48" s="15" t="str">
        <f>IF('Raw Data'!LM19="","",'Raw Data'!LM19)</f>
        <v/>
      </c>
      <c r="LZ48" s="15" t="str">
        <f>IF('Raw Data'!LN19="","",'Raw Data'!LN19)</f>
        <v/>
      </c>
      <c r="MA48" s="15" t="str">
        <f>IF('Raw Data'!LO19="","",'Raw Data'!LO19)</f>
        <v/>
      </c>
      <c r="MB48" s="15" t="str">
        <f>IF('Raw Data'!LP19="","",'Raw Data'!LP19)</f>
        <v>oui</v>
      </c>
      <c r="MC48" s="15" t="str">
        <f>IF('Raw Data'!LQ19="","",'Raw Data'!LQ19)</f>
        <v/>
      </c>
      <c r="MD48" s="31"/>
      <c r="ME48" s="15">
        <f>IF('Raw Data'!LS19="","",'Raw Data'!LS19)</f>
        <v>169219605</v>
      </c>
      <c r="MF48" s="15" t="str">
        <f>IF('Raw Data'!LT19="","",'Raw Data'!LT19)</f>
        <v>57635968-d9e1-4531-b1f9-b3e2398ea5ca</v>
      </c>
      <c r="MG48" s="15" t="str">
        <f>IF('Raw Data'!LU19="","",'Raw Data'!LU19)</f>
        <v>2021-04-01T19:45:17</v>
      </c>
      <c r="MH48" s="15" t="str">
        <f>IF('Raw Data'!LV19="","",'Raw Data'!LV19)</f>
        <v/>
      </c>
      <c r="MI48" s="15" t="str">
        <f>IF('Raw Data'!LW19="","",'Raw Data'!LW19)</f>
        <v>[]</v>
      </c>
      <c r="MJ48" s="15" t="str">
        <f>IF('Raw Data'!LX19="","",'Raw Data'!LX19)</f>
        <v>submitted_via_web</v>
      </c>
      <c r="MK48" s="15" t="str">
        <f>IF('Raw Data'!LY19="","",'Raw Data'!LY19)</f>
        <v>reach_niger</v>
      </c>
      <c r="ML48" s="15" t="str">
        <f>IF('Raw Data'!LZ19="","",'Raw Data'!LZ19)</f>
        <v/>
      </c>
      <c r="MM48" s="15">
        <f>IF('Raw Data'!MA19="","",'Raw Data'!MA19)</f>
        <v>18</v>
      </c>
    </row>
    <row r="49" spans="1:351" x14ac:dyDescent="0.3">
      <c r="A49" s="26" t="str">
        <f t="shared" si="4"/>
        <v>9a806334-fa0b-4b0a-b93f-6cc54034100b</v>
      </c>
      <c r="B49" s="26" t="str">
        <f t="shared" si="5"/>
        <v>sakoira</v>
      </c>
      <c r="C49" s="26" t="str">
        <f t="shared" si="6"/>
        <v>I</v>
      </c>
      <c r="D49" s="14" t="str">
        <f>IF('Raw Data'!A18="","",'Raw Data'!A18)</f>
        <v>2021-04-01T09:41:30.475+01:00</v>
      </c>
      <c r="E49" s="14" t="str">
        <f>IF('Raw Data'!B18="","",'Raw Data'!B18)</f>
        <v>2021-04-01T10:28:01.271+01:00</v>
      </c>
      <c r="F49" s="30">
        <v>44287.403819444444</v>
      </c>
      <c r="G49" s="30">
        <v>44287.436122685183</v>
      </c>
      <c r="H49" s="29">
        <f>VLOOKUP(A49,Audit[#All],2,FALSE)</f>
        <v>46.52</v>
      </c>
      <c r="I49" s="29">
        <f>VLOOKUP(A49,Audit[#All],3,FALSE)</f>
        <v>38.93</v>
      </c>
      <c r="J49" s="29">
        <f>VLOOKUP(A49,Audit[#All],4,FALSE)</f>
        <v>36.89</v>
      </c>
      <c r="K49" s="29">
        <f>VLOOKUP(A49,nb_questions[#All],2,FALSE)</f>
        <v>211</v>
      </c>
      <c r="L49" s="29">
        <f t="shared" si="7"/>
        <v>118</v>
      </c>
      <c r="M49" s="14" t="str">
        <f>IF('Raw Data'!C18="","",'Raw Data'!C18)</f>
        <v>2021-04-01</v>
      </c>
      <c r="N49" s="14" t="str">
        <f>IF('Raw Data'!D18="","",'Raw Data'!D18)</f>
        <v/>
      </c>
      <c r="O49" s="14" t="str">
        <f>IF('Raw Data'!E18="","",'Raw Data'!E18)</f>
        <v/>
      </c>
      <c r="P49" s="29" t="str">
        <f>VLOOKUP(A49,code_enqueteurs[#All],3,FALSE)</f>
        <v>I</v>
      </c>
      <c r="Q49" s="29" t="s">
        <v>1653</v>
      </c>
      <c r="R49" s="14" t="str">
        <f>IF('Raw Data'!F18="","",'Raw Data'!F18)</f>
        <v>Homme</v>
      </c>
      <c r="S49" s="15" t="str">
        <f>IF('Raw Data'!G18="","",'Raw Data'!G18)</f>
        <v>tillaberi</v>
      </c>
      <c r="T49" s="15" t="str">
        <f>IF('Raw Data'!H18="","",'Raw Data'!H18)</f>
        <v>sakoira</v>
      </c>
      <c r="U49" s="15" t="str">
        <f>IF('Raw Data'!I18="","",'Raw Data'!I18)</f>
        <v>namari_gougoun</v>
      </c>
      <c r="V49" s="15" t="str">
        <f>IF('Raw Data'!J18="","",'Raw Data'!J18)</f>
        <v/>
      </c>
      <c r="W49" s="15" t="str">
        <f>IF('Raw Data'!K18="","",'Raw Data'!K18)</f>
        <v/>
      </c>
      <c r="X49" s="15" t="str">
        <f>IF('Raw Data'!L18="","",'Raw Data'!L18)</f>
        <v/>
      </c>
      <c r="Y49" s="15" t="str">
        <f>IF('Raw Data'!M18="","",'Raw Data'!M18)</f>
        <v/>
      </c>
      <c r="Z49" s="15" t="str">
        <f>IF('Raw Data'!N18="","",'Raw Data'!N18)</f>
        <v/>
      </c>
      <c r="AA49" s="15" t="str">
        <f>IF('Raw Data'!O18="","",'Raw Data'!O18)</f>
        <v/>
      </c>
      <c r="AB49" s="15" t="str">
        <f>IF('Raw Data'!P18="","",'Raw Data'!P18)</f>
        <v/>
      </c>
      <c r="AC49" s="15" t="str">
        <f>IF('Raw Data'!Q18="","",'Raw Data'!Q18)</f>
        <v/>
      </c>
      <c r="AD49" s="15" t="str">
        <f>IF('Raw Data'!R18="","",'Raw Data'!R18)</f>
        <v>Femme</v>
      </c>
      <c r="AE49" s="15" t="str">
        <f>IF('Raw Data'!S18="","",'Raw Data'!S18)</f>
        <v>45</v>
      </c>
      <c r="AF49" s="15" t="str">
        <f>IF('Raw Data'!T18="","",'Raw Data'!T18)</f>
        <v>Hote</v>
      </c>
      <c r="AG49" s="15" t="str">
        <f>IF('Raw Data'!U18="","",'Raw Data'!U18)</f>
        <v/>
      </c>
      <c r="AH49" s="15" t="str">
        <f>IF('Raw Data'!V18="","",'Raw Data'!V18)</f>
        <v/>
      </c>
      <c r="AI49" s="15" t="str">
        <f>IF('Raw Data'!W18="","",'Raw Data'!W18)</f>
        <v/>
      </c>
      <c r="AJ49" s="15" t="str">
        <f>IF('Raw Data'!X18="","",'Raw Data'!X18)</f>
        <v/>
      </c>
      <c r="AK49" s="15" t="str">
        <f>IF('Raw Data'!Y18="","",'Raw Data'!Y18)</f>
        <v/>
      </c>
      <c r="AL49" s="15" t="str">
        <f>IF('Raw Data'!Z18="","",'Raw Data'!Z18)</f>
        <v/>
      </c>
      <c r="AM49" s="15" t="str">
        <f>IF('Raw Data'!AA18="","",'Raw Data'!AA18)</f>
        <v/>
      </c>
      <c r="AN49" s="15" t="str">
        <f>IF('Raw Data'!AB18="","",'Raw Data'!AB18)</f>
        <v/>
      </c>
      <c r="AO49" s="15" t="str">
        <f>IF('Raw Data'!AC18="","",'Raw Data'!AC18)</f>
        <v/>
      </c>
      <c r="AP49" s="15" t="str">
        <f>IF('Raw Data'!AD18="","",'Raw Data'!AD18)</f>
        <v/>
      </c>
      <c r="AQ49" s="15" t="str">
        <f>IF('Raw Data'!AE18="","",'Raw Data'!AE18)</f>
        <v/>
      </c>
      <c r="AR49" s="15" t="str">
        <f>IF('Raw Data'!AF18="","",'Raw Data'!AF18)</f>
        <v/>
      </c>
      <c r="AS49" s="15" t="str">
        <f>IF('Raw Data'!AG18="","",'Raw Data'!AG18)</f>
        <v>oui</v>
      </c>
      <c r="AT49" s="15" t="str">
        <f>IF('Raw Data'!AH18="","",'Raw Data'!AH18)</f>
        <v>extorsions Vols_braquages</v>
      </c>
      <c r="AU49" s="15" t="str">
        <f>IF('Raw Data'!AI18="","",'Raw Data'!AI18)</f>
        <v>0</v>
      </c>
      <c r="AV49" s="15" t="str">
        <f>IF('Raw Data'!AJ18="","",'Raw Data'!AJ18)</f>
        <v>0</v>
      </c>
      <c r="AW49" s="15" t="str">
        <f>IF('Raw Data'!AK18="","",'Raw Data'!AK18)</f>
        <v>1</v>
      </c>
      <c r="AX49" s="15" t="str">
        <f>IF('Raw Data'!AL18="","",'Raw Data'!AL18)</f>
        <v>1</v>
      </c>
      <c r="AY49" s="15" t="str">
        <f>IF('Raw Data'!AM18="","",'Raw Data'!AM18)</f>
        <v>0</v>
      </c>
      <c r="AZ49" s="15" t="str">
        <f>IF('Raw Data'!AN18="","",'Raw Data'!AN18)</f>
        <v>0</v>
      </c>
      <c r="BA49" s="15" t="str">
        <f>IF('Raw Data'!AO18="","",'Raw Data'!AO18)</f>
        <v>0</v>
      </c>
      <c r="BB49" s="15" t="str">
        <f>IF('Raw Data'!AP18="","",'Raw Data'!AP18)</f>
        <v>0</v>
      </c>
      <c r="BC49" s="15" t="str">
        <f>IF('Raw Data'!AQ18="","",'Raw Data'!AQ18)</f>
        <v>0</v>
      </c>
      <c r="BD49" s="15" t="str">
        <f>IF('Raw Data'!AR18="","",'Raw Data'!AR18)</f>
        <v>0</v>
      </c>
      <c r="BE49" s="15" t="str">
        <f>IF('Raw Data'!AS18="","",'Raw Data'!AS18)</f>
        <v>0</v>
      </c>
      <c r="BF49" s="15" t="str">
        <f>IF('Raw Data'!AT18="","",'Raw Data'!AT18)</f>
        <v>0</v>
      </c>
      <c r="BG49" s="15" t="str">
        <f>IF('Raw Data'!AU18="","",'Raw Data'!AU18)</f>
        <v>0</v>
      </c>
      <c r="BH49" s="15" t="str">
        <f>IF('Raw Data'!AV18="","",'Raw Data'!AV18)</f>
        <v>0</v>
      </c>
      <c r="BI49" s="15" t="str">
        <f>IF('Raw Data'!AW18="","",'Raw Data'!AW18)</f>
        <v/>
      </c>
      <c r="BJ49" s="15" t="str">
        <f>IF('Raw Data'!AX18="","",'Raw Data'!AX18)</f>
        <v>Hommes Femmes</v>
      </c>
      <c r="BK49" s="15" t="str">
        <f>IF('Raw Data'!AY18="","",'Raw Data'!AY18)</f>
        <v>0</v>
      </c>
      <c r="BL49" s="15" t="str">
        <f>IF('Raw Data'!AZ18="","",'Raw Data'!AZ18)</f>
        <v>0</v>
      </c>
      <c r="BM49" s="15" t="str">
        <f>IF('Raw Data'!BA18="","",'Raw Data'!BA18)</f>
        <v>0</v>
      </c>
      <c r="BN49" s="15" t="str">
        <f>IF('Raw Data'!BB18="","",'Raw Data'!BB18)</f>
        <v>0</v>
      </c>
      <c r="BO49" s="15" t="str">
        <f>IF('Raw Data'!BC18="","",'Raw Data'!BC18)</f>
        <v>1</v>
      </c>
      <c r="BP49" s="15" t="str">
        <f>IF('Raw Data'!BD18="","",'Raw Data'!BD18)</f>
        <v>1</v>
      </c>
      <c r="BQ49" s="15" t="str">
        <f>IF('Raw Data'!BE18="","",'Raw Data'!BE18)</f>
        <v>0</v>
      </c>
      <c r="BR49" s="15" t="str">
        <f>IF('Raw Data'!BF18="","",'Raw Data'!BF18)</f>
        <v>0</v>
      </c>
      <c r="BS49" s="15" t="str">
        <f>IF('Raw Data'!BG18="","",'Raw Data'!BG18)</f>
        <v>0</v>
      </c>
      <c r="BT49" s="15" t="str">
        <f>IF('Raw Data'!BH18="","",'Raw Data'!BH18)</f>
        <v>0</v>
      </c>
      <c r="BU49" s="15" t="str">
        <f>IF('Raw Data'!BI18="","",'Raw Data'!BI18)</f>
        <v>0</v>
      </c>
      <c r="BV49" s="15" t="str">
        <f>IF('Raw Data'!BJ18="","",'Raw Data'!BJ18)</f>
        <v>0</v>
      </c>
      <c r="BW49" s="15" t="str">
        <f>IF('Raw Data'!BK18="","",'Raw Data'!BK18)</f>
        <v>0</v>
      </c>
      <c r="BX49" s="15" t="str">
        <f>IF('Raw Data'!BL18="","",'Raw Data'!BL18)</f>
        <v>0</v>
      </c>
      <c r="BY49" s="15" t="str">
        <f>IF('Raw Data'!BM18="","",'Raw Data'!BM18)</f>
        <v/>
      </c>
      <c r="BZ49" s="15" t="str">
        <f>IF('Raw Data'!BN18="","",'Raw Data'!BN18)</f>
        <v>1</v>
      </c>
      <c r="CA49" s="15" t="str">
        <f>IF('Raw Data'!BO18="","",'Raw Data'!BO18)</f>
        <v>stable</v>
      </c>
      <c r="CB49" s="15" t="str">
        <f>IF('Raw Data'!BP18="","",'Raw Data'!BP18)</f>
        <v/>
      </c>
      <c r="CC49" s="15" t="str">
        <f>IF('Raw Data'!BQ18="","",'Raw Data'!BQ18)</f>
        <v>non</v>
      </c>
      <c r="CD49" s="15" t="str">
        <f>IF('Raw Data'!BR18="","",'Raw Data'!BR18)</f>
        <v/>
      </c>
      <c r="CE49" s="15" t="str">
        <f>IF('Raw Data'!BS18="","",'Raw Data'!BS18)</f>
        <v/>
      </c>
      <c r="CF49" s="15" t="str">
        <f>IF('Raw Data'!BT18="","",'Raw Data'!BT18)</f>
        <v/>
      </c>
      <c r="CG49" s="15" t="str">
        <f>IF('Raw Data'!BU18="","",'Raw Data'!BU18)</f>
        <v/>
      </c>
      <c r="CH49" s="15" t="str">
        <f>IF('Raw Data'!BV18="","",'Raw Data'!BV18)</f>
        <v/>
      </c>
      <c r="CI49" s="15" t="str">
        <f>IF('Raw Data'!BW18="","",'Raw Data'!BW18)</f>
        <v/>
      </c>
      <c r="CJ49" s="15" t="str">
        <f>IF('Raw Data'!BX18="","",'Raw Data'!BX18)</f>
        <v/>
      </c>
      <c r="CK49" s="15" t="str">
        <f>IF('Raw Data'!BY18="","",'Raw Data'!BY18)</f>
        <v/>
      </c>
      <c r="CL49" s="15" t="str">
        <f>IF('Raw Data'!BZ18="","",'Raw Data'!BZ18)</f>
        <v/>
      </c>
      <c r="CM49" s="15" t="str">
        <f>IF('Raw Data'!CA18="","",'Raw Data'!CA18)</f>
        <v/>
      </c>
      <c r="CN49" s="15" t="str">
        <f>IF('Raw Data'!CB18="","",'Raw Data'!CB18)</f>
        <v/>
      </c>
      <c r="CO49" s="15" t="str">
        <f>IF('Raw Data'!CC18="","",'Raw Data'!CC18)</f>
        <v/>
      </c>
      <c r="CP49" s="15" t="str">
        <f>IF('Raw Data'!CD18="","",'Raw Data'!CD18)</f>
        <v/>
      </c>
      <c r="CQ49" s="15" t="str">
        <f>IF('Raw Data'!CE18="","",'Raw Data'!CE18)</f>
        <v/>
      </c>
      <c r="CR49" s="15" t="str">
        <f>IF('Raw Data'!CF18="","",'Raw Data'!CF18)</f>
        <v/>
      </c>
      <c r="CS49" s="15" t="str">
        <f>IF('Raw Data'!CG18="","",'Raw Data'!CG18)</f>
        <v/>
      </c>
      <c r="CT49" s="15" t="str">
        <f>IF('Raw Data'!CH18="","",'Raw Data'!CH18)</f>
        <v/>
      </c>
      <c r="CU49" s="15" t="str">
        <f>IF('Raw Data'!CI18="","",'Raw Data'!CI18)</f>
        <v/>
      </c>
      <c r="CV49" s="15" t="str">
        <f>IF('Raw Data'!CJ18="","",'Raw Data'!CJ18)</f>
        <v/>
      </c>
      <c r="CW49" s="15" t="str">
        <f>IF('Raw Data'!CK18="","",'Raw Data'!CK18)</f>
        <v/>
      </c>
      <c r="CX49" s="15" t="str">
        <f>IF('Raw Data'!CL18="","",'Raw Data'!CL18)</f>
        <v/>
      </c>
      <c r="CY49" s="15" t="str">
        <f>IF('Raw Data'!CM18="","",'Raw Data'!CM18)</f>
        <v/>
      </c>
      <c r="CZ49" s="15" t="str">
        <f>IF('Raw Data'!CN18="","",'Raw Data'!CN18)</f>
        <v/>
      </c>
      <c r="DA49" s="15" t="str">
        <f>IF('Raw Data'!CO18="","",'Raw Data'!CO18)</f>
        <v/>
      </c>
      <c r="DB49" s="15" t="str">
        <f>IF('Raw Data'!CP18="","",'Raw Data'!CP18)</f>
        <v/>
      </c>
      <c r="DC49" s="15" t="str">
        <f>IF('Raw Data'!CQ18="","",'Raw Data'!CQ18)</f>
        <v/>
      </c>
      <c r="DD49" s="15" t="str">
        <f>IF('Raw Data'!CR18="","",'Raw Data'!CR18)</f>
        <v/>
      </c>
      <c r="DE49" s="15" t="str">
        <f>IF('Raw Data'!CS18="","",'Raw Data'!CS18)</f>
        <v/>
      </c>
      <c r="DF49" s="15" t="str">
        <f>IF('Raw Data'!CT18="","",'Raw Data'!CT18)</f>
        <v/>
      </c>
      <c r="DG49" s="15" t="str">
        <f>IF('Raw Data'!CU18="","",'Raw Data'!CU18)</f>
        <v/>
      </c>
      <c r="DH49" s="15" t="str">
        <f>IF('Raw Data'!CV18="","",'Raw Data'!CV18)</f>
        <v/>
      </c>
      <c r="DI49" s="15" t="str">
        <f>IF('Raw Data'!CW18="","",'Raw Data'!CW18)</f>
        <v/>
      </c>
      <c r="DJ49" s="15" t="str">
        <f>IF('Raw Data'!CX18="","",'Raw Data'!CX18)</f>
        <v/>
      </c>
      <c r="DK49" s="15" t="str">
        <f>IF('Raw Data'!CY18="","",'Raw Data'!CY18)</f>
        <v/>
      </c>
      <c r="DL49" s="15" t="str">
        <f>IF('Raw Data'!CZ18="","",'Raw Data'!CZ18)</f>
        <v/>
      </c>
      <c r="DM49" s="15" t="str">
        <f>IF('Raw Data'!DA18="","",'Raw Data'!DA18)</f>
        <v/>
      </c>
      <c r="DN49" s="15" t="str">
        <f>IF('Raw Data'!DB18="","",'Raw Data'!DB18)</f>
        <v/>
      </c>
      <c r="DO49" s="15" t="str">
        <f>IF('Raw Data'!DC18="","",'Raw Data'!DC18)</f>
        <v/>
      </c>
      <c r="DP49" s="15" t="str">
        <f>IF('Raw Data'!DD18="","",'Raw Data'!DD18)</f>
        <v/>
      </c>
      <c r="DQ49" s="15" t="str">
        <f>IF('Raw Data'!DE18="","",'Raw Data'!DE18)</f>
        <v/>
      </c>
      <c r="DR49" s="15" t="str">
        <f>IF('Raw Data'!DF18="","",'Raw Data'!DF18)</f>
        <v/>
      </c>
      <c r="DS49" s="15" t="str">
        <f>IF('Raw Data'!DG18="","",'Raw Data'!DG18)</f>
        <v/>
      </c>
      <c r="DT49" s="15" t="str">
        <f>IF('Raw Data'!DH18="","",'Raw Data'!DH18)</f>
        <v/>
      </c>
      <c r="DU49" s="15" t="str">
        <f>IF('Raw Data'!DI18="","",'Raw Data'!DI18)</f>
        <v/>
      </c>
      <c r="DV49" s="15" t="str">
        <f>IF('Raw Data'!DJ18="","",'Raw Data'!DJ18)</f>
        <v/>
      </c>
      <c r="DW49" s="15" t="str">
        <f>IF('Raw Data'!DK18="","",'Raw Data'!DK18)</f>
        <v/>
      </c>
      <c r="DX49" s="15" t="str">
        <f>IF('Raw Data'!DL18="","",'Raw Data'!DL18)</f>
        <v/>
      </c>
      <c r="DY49" s="15" t="str">
        <f>IF('Raw Data'!DM18="","",'Raw Data'!DM18)</f>
        <v/>
      </c>
      <c r="DZ49" s="15" t="str">
        <f>IF('Raw Data'!DN18="","",'Raw Data'!DN18)</f>
        <v/>
      </c>
      <c r="EA49" s="15" t="str">
        <f>IF('Raw Data'!DO18="","",'Raw Data'!DO18)</f>
        <v/>
      </c>
      <c r="EB49" s="15" t="str">
        <f>IF('Raw Data'!DP18="","",'Raw Data'!DP18)</f>
        <v/>
      </c>
      <c r="EC49" s="15" t="str">
        <f>IF('Raw Data'!DQ18="","",'Raw Data'!DQ18)</f>
        <v/>
      </c>
      <c r="ED49" s="15" t="str">
        <f>IF('Raw Data'!DR18="","",'Raw Data'!DR18)</f>
        <v/>
      </c>
      <c r="EE49" s="15" t="str">
        <f>IF('Raw Data'!DS18="","",'Raw Data'!DS18)</f>
        <v/>
      </c>
      <c r="EF49" s="15" t="str">
        <f>IF('Raw Data'!DT18="","",'Raw Data'!DT18)</f>
        <v/>
      </c>
      <c r="EG49" s="15" t="str">
        <f>IF('Raw Data'!DU18="","",'Raw Data'!DU18)</f>
        <v/>
      </c>
      <c r="EH49" s="15" t="str">
        <f>IF('Raw Data'!DV18="","",'Raw Data'!DV18)</f>
        <v/>
      </c>
      <c r="EI49" s="15" t="str">
        <f>IF('Raw Data'!DW18="","",'Raw Data'!DW18)</f>
        <v/>
      </c>
      <c r="EJ49" s="15" t="str">
        <f>IF('Raw Data'!DX18="","",'Raw Data'!DX18)</f>
        <v/>
      </c>
      <c r="EK49" s="15" t="str">
        <f>IF('Raw Data'!DY18="","",'Raw Data'!DY18)</f>
        <v/>
      </c>
      <c r="EL49" s="15" t="str">
        <f>IF('Raw Data'!DZ18="","",'Raw Data'!DZ18)</f>
        <v>Integration_com_hote Soutien_famille_amis</v>
      </c>
      <c r="EM49" s="15" t="str">
        <f>IF('Raw Data'!EA18="","",'Raw Data'!EA18)</f>
        <v>0</v>
      </c>
      <c r="EN49" s="15" t="str">
        <f>IF('Raw Data'!EB18="","",'Raw Data'!EB18)</f>
        <v>1</v>
      </c>
      <c r="EO49" s="15" t="str">
        <f>IF('Raw Data'!EC18="","",'Raw Data'!EC18)</f>
        <v>1</v>
      </c>
      <c r="EP49" s="15" t="str">
        <f>IF('Raw Data'!ED18="","",'Raw Data'!ED18)</f>
        <v>0</v>
      </c>
      <c r="EQ49" s="15" t="str">
        <f>IF('Raw Data'!EE18="","",'Raw Data'!EE18)</f>
        <v>0</v>
      </c>
      <c r="ER49" s="15" t="str">
        <f>IF('Raw Data'!EF18="","",'Raw Data'!EF18)</f>
        <v>0</v>
      </c>
      <c r="ES49" s="15" t="str">
        <f>IF('Raw Data'!EG18="","",'Raw Data'!EG18)</f>
        <v>0</v>
      </c>
      <c r="ET49" s="15" t="str">
        <f>IF('Raw Data'!EH18="","",'Raw Data'!EH18)</f>
        <v>0</v>
      </c>
      <c r="EU49" s="15" t="str">
        <f>IF('Raw Data'!EI18="","",'Raw Data'!EI18)</f>
        <v>0</v>
      </c>
      <c r="EV49" s="15" t="str">
        <f>IF('Raw Data'!EJ18="","",'Raw Data'!EJ18)</f>
        <v/>
      </c>
      <c r="EW49" s="15" t="str">
        <f>IF('Raw Data'!EK18="","",'Raw Data'!EK18)</f>
        <v/>
      </c>
      <c r="EX49" s="15" t="str">
        <f>IF('Raw Data'!EL18="","",'Raw Data'!EL18)</f>
        <v>comite_protection femmes_elite famille_accueil</v>
      </c>
      <c r="EY49" s="15" t="str">
        <f>IF('Raw Data'!EM18="","",'Raw Data'!EM18)</f>
        <v>1</v>
      </c>
      <c r="EZ49" s="15" t="str">
        <f>IF('Raw Data'!EN18="","",'Raw Data'!EN18)</f>
        <v>1</v>
      </c>
      <c r="FA49" s="15" t="str">
        <f>IF('Raw Data'!EO18="","",'Raw Data'!EO18)</f>
        <v>1</v>
      </c>
      <c r="FB49" s="15" t="str">
        <f>IF('Raw Data'!EP18="","",'Raw Data'!EP18)</f>
        <v>0</v>
      </c>
      <c r="FC49" s="15" t="str">
        <f>IF('Raw Data'!EQ18="","",'Raw Data'!EQ18)</f>
        <v>0</v>
      </c>
      <c r="FD49" s="15" t="str">
        <f>IF('Raw Data'!ER18="","",'Raw Data'!ER18)</f>
        <v>0</v>
      </c>
      <c r="FE49" s="15" t="str">
        <f>IF('Raw Data'!ES18="","",'Raw Data'!ES18)</f>
        <v>0</v>
      </c>
      <c r="FF49" s="15" t="str">
        <f>IF('Raw Data'!ET18="","",'Raw Data'!ET18)</f>
        <v>0</v>
      </c>
      <c r="FG49" s="15" t="str">
        <f>IF('Raw Data'!EU18="","",'Raw Data'!EU18)</f>
        <v>0</v>
      </c>
      <c r="FH49" s="15" t="str">
        <f>IF('Raw Data'!EV18="","",'Raw Data'!EV18)</f>
        <v>0</v>
      </c>
      <c r="FI49" s="15" t="str">
        <f>IF('Raw Data'!EW18="","",'Raw Data'!EW18)</f>
        <v/>
      </c>
      <c r="FJ49" s="15" t="str">
        <f>IF('Raw Data'!EX18="","",'Raw Data'!EX18)</f>
        <v>oui</v>
      </c>
      <c r="FK49" s="15" t="str">
        <f>IF('Raw Data'!EY18="","",'Raw Data'!EY18)</f>
        <v>Groupement_femmes Chef_village</v>
      </c>
      <c r="FL49" s="15" t="str">
        <f>IF('Raw Data'!EZ18="","",'Raw Data'!EZ18)</f>
        <v>0</v>
      </c>
      <c r="FM49" s="15" t="str">
        <f>IF('Raw Data'!FA18="","",'Raw Data'!FA18)</f>
        <v>0</v>
      </c>
      <c r="FN49" s="15" t="str">
        <f>IF('Raw Data'!FB18="","",'Raw Data'!FB18)</f>
        <v>0</v>
      </c>
      <c r="FO49" s="15" t="str">
        <f>IF('Raw Data'!FC18="","",'Raw Data'!FC18)</f>
        <v>0</v>
      </c>
      <c r="FP49" s="15" t="str">
        <f>IF('Raw Data'!FD18="","",'Raw Data'!FD18)</f>
        <v>1</v>
      </c>
      <c r="FQ49" s="15" t="str">
        <f>IF('Raw Data'!FE18="","",'Raw Data'!FE18)</f>
        <v>0</v>
      </c>
      <c r="FR49" s="15" t="str">
        <f>IF('Raw Data'!FF18="","",'Raw Data'!FF18)</f>
        <v>0</v>
      </c>
      <c r="FS49" s="15" t="str">
        <f>IF('Raw Data'!FG18="","",'Raw Data'!FG18)</f>
        <v>1</v>
      </c>
      <c r="FT49" s="15" t="str">
        <f>IF('Raw Data'!FH18="","",'Raw Data'!FH18)</f>
        <v>0</v>
      </c>
      <c r="FU49" s="15" t="str">
        <f>IF('Raw Data'!FI18="","",'Raw Data'!FI18)</f>
        <v>0</v>
      </c>
      <c r="FV49" s="15" t="str">
        <f>IF('Raw Data'!FJ18="","",'Raw Data'!FJ18)</f>
        <v>0</v>
      </c>
      <c r="FW49" s="15" t="str">
        <f>IF('Raw Data'!FK18="","",'Raw Data'!FK18)</f>
        <v>0</v>
      </c>
      <c r="FX49" s="15" t="str">
        <f>IF('Raw Data'!FL18="","",'Raw Data'!FL18)</f>
        <v>0</v>
      </c>
      <c r="FY49" s="15" t="str">
        <f>IF('Raw Data'!FM18="","",'Raw Data'!FM18)</f>
        <v>0</v>
      </c>
      <c r="FZ49" s="15" t="str">
        <f>IF('Raw Data'!FN18="","",'Raw Data'!FN18)</f>
        <v/>
      </c>
      <c r="GA49" s="15" t="str">
        <f>IF('Raw Data'!FO18="","",'Raw Data'!FO18)</f>
        <v>oui_majorite</v>
      </c>
      <c r="GB49" s="15" t="str">
        <f>IF('Raw Data'!FP18="","",'Raw Data'!FP18)</f>
        <v>oui_majorite</v>
      </c>
      <c r="GC49" s="15" t="str">
        <f>IF('Raw Data'!FQ18="","",'Raw Data'!FQ18)</f>
        <v>manque_info</v>
      </c>
      <c r="GD49" s="15" t="str">
        <f>IF('Raw Data'!FR18="","",'Raw Data'!FR18)</f>
        <v>0</v>
      </c>
      <c r="GE49" s="15" t="str">
        <f>IF('Raw Data'!FS18="","",'Raw Data'!FS18)</f>
        <v>1</v>
      </c>
      <c r="GF49" s="15" t="str">
        <f>IF('Raw Data'!FT18="","",'Raw Data'!FT18)</f>
        <v>0</v>
      </c>
      <c r="GG49" s="15" t="str">
        <f>IF('Raw Data'!FU18="","",'Raw Data'!FU18)</f>
        <v>0</v>
      </c>
      <c r="GH49" s="15" t="str">
        <f>IF('Raw Data'!FV18="","",'Raw Data'!FV18)</f>
        <v>0</v>
      </c>
      <c r="GI49" s="15" t="str">
        <f>IF('Raw Data'!FW18="","",'Raw Data'!FW18)</f>
        <v>0</v>
      </c>
      <c r="GJ49" s="15" t="str">
        <f>IF('Raw Data'!FX18="","",'Raw Data'!FX18)</f>
        <v>0</v>
      </c>
      <c r="GK49" s="15" t="str">
        <f>IF('Raw Data'!FY18="","",'Raw Data'!FY18)</f>
        <v>0</v>
      </c>
      <c r="GL49" s="15" t="str">
        <f>IF('Raw Data'!FZ18="","",'Raw Data'!FZ18)</f>
        <v/>
      </c>
      <c r="GM49" s="15" t="str">
        <f>IF('Raw Data'!GA18="","",'Raw Data'!GA18)</f>
        <v>majorite</v>
      </c>
      <c r="GN49" s="15" t="str">
        <f>IF('Raw Data'!GB18="","",'Raw Data'!GB18)</f>
        <v>majorite</v>
      </c>
      <c r="GO49" s="15" t="str">
        <f>IF('Raw Data'!GC18="","",'Raw Data'!GC18)</f>
        <v>Services_de_sante Education Acces_aux_doc</v>
      </c>
      <c r="GP49" s="15" t="str">
        <f>IF('Raw Data'!GD18="","",'Raw Data'!GD18)</f>
        <v>0</v>
      </c>
      <c r="GQ49" s="15" t="str">
        <f>IF('Raw Data'!GE18="","",'Raw Data'!GE18)</f>
        <v>1</v>
      </c>
      <c r="GR49" s="15" t="str">
        <f>IF('Raw Data'!GF18="","",'Raw Data'!GF18)</f>
        <v>0</v>
      </c>
      <c r="GS49" s="15" t="str">
        <f>IF('Raw Data'!GG18="","",'Raw Data'!GG18)</f>
        <v>1</v>
      </c>
      <c r="GT49" s="15" t="str">
        <f>IF('Raw Data'!GH18="","",'Raw Data'!GH18)</f>
        <v>1</v>
      </c>
      <c r="GU49" s="15" t="str">
        <f>IF('Raw Data'!GI18="","",'Raw Data'!GI18)</f>
        <v>0</v>
      </c>
      <c r="GV49" s="15" t="str">
        <f>IF('Raw Data'!GJ18="","",'Raw Data'!GJ18)</f>
        <v>0</v>
      </c>
      <c r="GW49" s="15" t="str">
        <f>IF('Raw Data'!GK18="","",'Raw Data'!GK18)</f>
        <v>0</v>
      </c>
      <c r="GX49" s="15" t="str">
        <f>IF('Raw Data'!GL18="","",'Raw Data'!GL18)</f>
        <v>0</v>
      </c>
      <c r="GY49" s="15" t="str">
        <f>IF('Raw Data'!GM18="","",'Raw Data'!GM18)</f>
        <v/>
      </c>
      <c r="GZ49" s="15" t="str">
        <f>IF('Raw Data'!GN18="","",'Raw Data'!GN18)</f>
        <v>oui_majorite</v>
      </c>
      <c r="HA49" s="15" t="str">
        <f>IF('Raw Data'!GO18="","",'Raw Data'!GO18)</f>
        <v>oui_majorite</v>
      </c>
      <c r="HB49" s="15" t="str">
        <f>IF('Raw Data'!GP18="","",'Raw Data'!GP18)</f>
        <v>repond_besoins_pop permet_eviter_conflits amelioration_futur</v>
      </c>
      <c r="HC49" s="15" t="str">
        <f>IF('Raw Data'!GQ18="","",'Raw Data'!GQ18)</f>
        <v>1</v>
      </c>
      <c r="HD49" s="15" t="str">
        <f>IF('Raw Data'!GR18="","",'Raw Data'!GR18)</f>
        <v>1</v>
      </c>
      <c r="HE49" s="15" t="str">
        <f>IF('Raw Data'!GS18="","",'Raw Data'!GS18)</f>
        <v>0</v>
      </c>
      <c r="HF49" s="15" t="str">
        <f>IF('Raw Data'!GT18="","",'Raw Data'!GT18)</f>
        <v>1</v>
      </c>
      <c r="HG49" s="15" t="str">
        <f>IF('Raw Data'!GU18="","",'Raw Data'!GU18)</f>
        <v>0</v>
      </c>
      <c r="HH49" s="15" t="str">
        <f>IF('Raw Data'!GV18="","",'Raw Data'!GV18)</f>
        <v>0</v>
      </c>
      <c r="HI49" s="15" t="str">
        <f>IF('Raw Data'!GW18="","",'Raw Data'!GW18)</f>
        <v>0</v>
      </c>
      <c r="HJ49" s="15" t="str">
        <f>IF('Raw Data'!GX18="","",'Raw Data'!GX18)</f>
        <v>0</v>
      </c>
      <c r="HK49" s="15" t="str">
        <f>IF('Raw Data'!GY18="","",'Raw Data'!GY18)</f>
        <v/>
      </c>
      <c r="HL49" s="15" t="str">
        <f>IF('Raw Data'!GZ18="","",'Raw Data'!GZ18)</f>
        <v>ne_repond_pas ne_contribue_pas</v>
      </c>
      <c r="HM49" s="15" t="str">
        <f>IF('Raw Data'!HA18="","",'Raw Data'!HA18)</f>
        <v>1</v>
      </c>
      <c r="HN49" s="15" t="str">
        <f>IF('Raw Data'!HB18="","",'Raw Data'!HB18)</f>
        <v>1</v>
      </c>
      <c r="HO49" s="15" t="str">
        <f>IF('Raw Data'!HC18="","",'Raw Data'!HC18)</f>
        <v>0</v>
      </c>
      <c r="HP49" s="15" t="str">
        <f>IF('Raw Data'!HD18="","",'Raw Data'!HD18)</f>
        <v>0</v>
      </c>
      <c r="HQ49" s="15" t="str">
        <f>IF('Raw Data'!HE18="","",'Raw Data'!HE18)</f>
        <v>0</v>
      </c>
      <c r="HR49" s="15" t="str">
        <f>IF('Raw Data'!HF18="","",'Raw Data'!HF18)</f>
        <v>0</v>
      </c>
      <c r="HS49" s="15" t="str">
        <f>IF('Raw Data'!HG18="","",'Raw Data'!HG18)</f>
        <v/>
      </c>
      <c r="HT49" s="15" t="str">
        <f>IF('Raw Data'!HH18="","",'Raw Data'!HH18)</f>
        <v/>
      </c>
      <c r="HU49" s="15" t="str">
        <f>IF('Raw Data'!HI18="","",'Raw Data'!HI18)</f>
        <v>non</v>
      </c>
      <c r="HV49" s="15" t="str">
        <f>IF('Raw Data'!HJ18="","",'Raw Data'!HJ18)</f>
        <v/>
      </c>
      <c r="HW49" s="15" t="str">
        <f>IF('Raw Data'!HK18="","",'Raw Data'!HK18)</f>
        <v/>
      </c>
      <c r="HX49" s="15" t="str">
        <f>IF('Raw Data'!HL18="","",'Raw Data'!HL18)</f>
        <v/>
      </c>
      <c r="HY49" s="15" t="str">
        <f>IF('Raw Data'!HM18="","",'Raw Data'!HM18)</f>
        <v/>
      </c>
      <c r="HZ49" s="15" t="str">
        <f>IF('Raw Data'!HN18="","",'Raw Data'!HN18)</f>
        <v/>
      </c>
      <c r="IA49" s="15" t="str">
        <f>IF('Raw Data'!HO18="","",'Raw Data'!HO18)</f>
        <v/>
      </c>
      <c r="IB49" s="15" t="str">
        <f>IF('Raw Data'!HP18="","",'Raw Data'!HP18)</f>
        <v/>
      </c>
      <c r="IC49" s="15" t="str">
        <f>IF('Raw Data'!HQ18="","",'Raw Data'!HQ18)</f>
        <v/>
      </c>
      <c r="ID49" s="15" t="str">
        <f>IF('Raw Data'!HR18="","",'Raw Data'!HR18)</f>
        <v/>
      </c>
      <c r="IE49" s="15" t="str">
        <f>IF('Raw Data'!HS18="","",'Raw Data'!HS18)</f>
        <v/>
      </c>
      <c r="IF49" s="15" t="str">
        <f>IF('Raw Data'!HT18="","",'Raw Data'!HT18)</f>
        <v/>
      </c>
      <c r="IG49" s="15" t="str">
        <f>IF('Raw Data'!HU18="","",'Raw Data'!HU18)</f>
        <v/>
      </c>
      <c r="IH49" s="15" t="str">
        <f>IF('Raw Data'!HV18="","",'Raw Data'!HV18)</f>
        <v>oui</v>
      </c>
      <c r="II49" s="15" t="str">
        <f>IF('Raw Data'!HW18="","",'Raw Data'!HW18)</f>
        <v/>
      </c>
      <c r="IJ49" s="15" t="str">
        <f>IF('Raw Data'!HX18="","",'Raw Data'!HX18)</f>
        <v>Femmes Hommes</v>
      </c>
      <c r="IK49" s="15" t="str">
        <f>IF('Raw Data'!HY18="","",'Raw Data'!HY18)</f>
        <v>0</v>
      </c>
      <c r="IL49" s="15" t="str">
        <f>IF('Raw Data'!HZ18="","",'Raw Data'!HZ18)</f>
        <v>0</v>
      </c>
      <c r="IM49" s="15" t="str">
        <f>IF('Raw Data'!IA18="","",'Raw Data'!IA18)</f>
        <v>0</v>
      </c>
      <c r="IN49" s="15" t="str">
        <f>IF('Raw Data'!IB18="","",'Raw Data'!IB18)</f>
        <v>0</v>
      </c>
      <c r="IO49" s="15" t="str">
        <f>IF('Raw Data'!IC18="","",'Raw Data'!IC18)</f>
        <v>1</v>
      </c>
      <c r="IP49" s="15" t="str">
        <f>IF('Raw Data'!ID18="","",'Raw Data'!ID18)</f>
        <v>1</v>
      </c>
      <c r="IQ49" s="15" t="str">
        <f>IF('Raw Data'!IE18="","",'Raw Data'!IE18)</f>
        <v>0</v>
      </c>
      <c r="IR49" s="15" t="str">
        <f>IF('Raw Data'!IF18="","",'Raw Data'!IF18)</f>
        <v>0</v>
      </c>
      <c r="IS49" s="15" t="str">
        <f>IF('Raw Data'!IG18="","",'Raw Data'!IG18)</f>
        <v>0</v>
      </c>
      <c r="IT49" s="15" t="str">
        <f>IF('Raw Data'!IH18="","",'Raw Data'!IH18)</f>
        <v>0</v>
      </c>
      <c r="IU49" s="15" t="str">
        <f>IF('Raw Data'!II18="","",'Raw Data'!II18)</f>
        <v>0</v>
      </c>
      <c r="IV49" s="15" t="str">
        <f>IF('Raw Data'!IJ18="","",'Raw Data'!IJ18)</f>
        <v>0</v>
      </c>
      <c r="IW49" s="15" t="str">
        <f>IF('Raw Data'!IK18="","",'Raw Data'!IK18)</f>
        <v>0</v>
      </c>
      <c r="IX49" s="15" t="str">
        <f>IF('Raw Data'!IL18="","",'Raw Data'!IL18)</f>
        <v>0</v>
      </c>
      <c r="IY49" s="15" t="str">
        <f>IF('Raw Data'!IM18="","",'Raw Data'!IM18)</f>
        <v/>
      </c>
      <c r="IZ49" s="15" t="str">
        <f>IF('Raw Data'!IN18="","",'Raw Data'!IN18)</f>
        <v>1</v>
      </c>
      <c r="JA49" s="15" t="str">
        <f>IF('Raw Data'!IO18="","",'Raw Data'!IO18)</f>
        <v>Services_medicaux points_ecoute</v>
      </c>
      <c r="JB49" s="15" t="str">
        <f>IF('Raw Data'!IP18="","",'Raw Data'!IP18)</f>
        <v>0</v>
      </c>
      <c r="JC49" s="15" t="str">
        <f>IF('Raw Data'!IQ18="","",'Raw Data'!IQ18)</f>
        <v>1</v>
      </c>
      <c r="JD49" s="15" t="str">
        <f>IF('Raw Data'!IR18="","",'Raw Data'!IR18)</f>
        <v>0</v>
      </c>
      <c r="JE49" s="15" t="str">
        <f>IF('Raw Data'!IS18="","",'Raw Data'!IS18)</f>
        <v>0</v>
      </c>
      <c r="JF49" s="15" t="str">
        <f>IF('Raw Data'!IT18="","",'Raw Data'!IT18)</f>
        <v>0</v>
      </c>
      <c r="JG49" s="15" t="str">
        <f>IF('Raw Data'!IU18="","",'Raw Data'!IU18)</f>
        <v>0</v>
      </c>
      <c r="JH49" s="15" t="str">
        <f>IF('Raw Data'!IV18="","",'Raw Data'!IV18)</f>
        <v>0</v>
      </c>
      <c r="JI49" s="15" t="str">
        <f>IF('Raw Data'!IW18="","",'Raw Data'!IW18)</f>
        <v>1</v>
      </c>
      <c r="JJ49" s="15" t="str">
        <f>IF('Raw Data'!IX18="","",'Raw Data'!IX18)</f>
        <v>0</v>
      </c>
      <c r="JK49" s="15" t="str">
        <f>IF('Raw Data'!IY18="","",'Raw Data'!IY18)</f>
        <v>0</v>
      </c>
      <c r="JL49" s="15" t="str">
        <f>IF('Raw Data'!IZ18="","",'Raw Data'!IZ18)</f>
        <v/>
      </c>
      <c r="JM49" s="15" t="str">
        <f>IF('Raw Data'!JA18="","",'Raw Data'!JA18)</f>
        <v>reorientation</v>
      </c>
      <c r="JN49" s="15" t="str">
        <f>IF('Raw Data'!JB18="","",'Raw Data'!JB18)</f>
        <v>0</v>
      </c>
      <c r="JO49" s="15" t="str">
        <f>IF('Raw Data'!JC18="","",'Raw Data'!JC18)</f>
        <v>1</v>
      </c>
      <c r="JP49" s="15" t="str">
        <f>IF('Raw Data'!JD18="","",'Raw Data'!JD18)</f>
        <v>0</v>
      </c>
      <c r="JQ49" s="15" t="str">
        <f>IF('Raw Data'!JE18="","",'Raw Data'!JE18)</f>
        <v>0</v>
      </c>
      <c r="JR49" s="15" t="str">
        <f>IF('Raw Data'!JF18="","",'Raw Data'!JF18)</f>
        <v>0</v>
      </c>
      <c r="JS49" s="15" t="str">
        <f>IF('Raw Data'!JG18="","",'Raw Data'!JG18)</f>
        <v>0</v>
      </c>
      <c r="JT49" s="15" t="str">
        <f>IF('Raw Data'!JH18="","",'Raw Data'!JH18)</f>
        <v/>
      </c>
      <c r="JU49" s="15" t="str">
        <f>IF('Raw Data'!JI18="","",'Raw Data'!JI18)</f>
        <v/>
      </c>
      <c r="JV49" s="15" t="str">
        <f>IF('Raw Data'!JJ18="","",'Raw Data'!JJ18)</f>
        <v/>
      </c>
      <c r="JW49" s="15" t="str">
        <f>IF('Raw Data'!JK18="","",'Raw Data'!JK18)</f>
        <v/>
      </c>
      <c r="JX49" s="15" t="str">
        <f>IF('Raw Data'!JL18="","",'Raw Data'!JL18)</f>
        <v/>
      </c>
      <c r="JY49" s="15" t="str">
        <f>IF('Raw Data'!JM18="","",'Raw Data'!JM18)</f>
        <v/>
      </c>
      <c r="JZ49" s="15" t="str">
        <f>IF('Raw Data'!JN18="","",'Raw Data'!JN18)</f>
        <v/>
      </c>
      <c r="KA49" s="15" t="str">
        <f>IF('Raw Data'!JO18="","",'Raw Data'!JO18)</f>
        <v/>
      </c>
      <c r="KB49" s="15" t="str">
        <f>IF('Raw Data'!JP18="","",'Raw Data'!JP18)</f>
        <v/>
      </c>
      <c r="KC49" s="15" t="str">
        <f>IF('Raw Data'!JQ18="","",'Raw Data'!JQ18)</f>
        <v/>
      </c>
      <c r="KD49" s="15" t="str">
        <f>IF('Raw Data'!JR18="","",'Raw Data'!JR18)</f>
        <v/>
      </c>
      <c r="KE49" s="15" t="str">
        <f>IF('Raw Data'!JS18="","",'Raw Data'!JS18)</f>
        <v/>
      </c>
      <c r="KF49" s="15" t="str">
        <f>IF('Raw Data'!JT18="","",'Raw Data'!JT18)</f>
        <v>point_ecoute</v>
      </c>
      <c r="KG49" s="15" t="str">
        <f>IF('Raw Data'!JU18="","",'Raw Data'!JU18)</f>
        <v>0</v>
      </c>
      <c r="KH49" s="15" t="str">
        <f>IF('Raw Data'!JV18="","",'Raw Data'!JV18)</f>
        <v>0</v>
      </c>
      <c r="KI49" s="15" t="str">
        <f>IF('Raw Data'!JW18="","",'Raw Data'!JW18)</f>
        <v>1</v>
      </c>
      <c r="KJ49" s="15" t="str">
        <f>IF('Raw Data'!JX18="","",'Raw Data'!JX18)</f>
        <v>0</v>
      </c>
      <c r="KK49" s="15" t="str">
        <f>IF('Raw Data'!JY18="","",'Raw Data'!JY18)</f>
        <v>0</v>
      </c>
      <c r="KL49" s="15" t="str">
        <f>IF('Raw Data'!JZ18="","",'Raw Data'!JZ18)</f>
        <v>0</v>
      </c>
      <c r="KM49" s="15" t="str">
        <f>IF('Raw Data'!KA18="","",'Raw Data'!KA18)</f>
        <v>0</v>
      </c>
      <c r="KN49" s="15" t="str">
        <f>IF('Raw Data'!KB18="","",'Raw Data'!KB18)</f>
        <v>0</v>
      </c>
      <c r="KO49" s="15" t="str">
        <f>IF('Raw Data'!KC18="","",'Raw Data'!KC18)</f>
        <v>0</v>
      </c>
      <c r="KP49" s="15" t="str">
        <f>IF('Raw Data'!KD18="","",'Raw Data'!KD18)</f>
        <v/>
      </c>
      <c r="KQ49" s="15" t="str">
        <f>IF('Raw Data'!KE18="","",'Raw Data'!KE18)</f>
        <v/>
      </c>
      <c r="KR49" s="15" t="str">
        <f>IF('Raw Data'!KF18="","",'Raw Data'!KF18)</f>
        <v>oui</v>
      </c>
      <c r="KS49" s="15" t="str">
        <f>IF('Raw Data'!KG18="","",'Raw Data'!KG18)</f>
        <v>manque_moyens probleme_orientation manque_definition</v>
      </c>
      <c r="KT49" s="15" t="str">
        <f>IF('Raw Data'!KH18="","",'Raw Data'!KH18)</f>
        <v>1</v>
      </c>
      <c r="KU49" s="15" t="str">
        <f>IF('Raw Data'!KI18="","",'Raw Data'!KI18)</f>
        <v>0</v>
      </c>
      <c r="KV49" s="15" t="str">
        <f>IF('Raw Data'!KJ18="","",'Raw Data'!KJ18)</f>
        <v>0</v>
      </c>
      <c r="KW49" s="15" t="str">
        <f>IF('Raw Data'!KK18="","",'Raw Data'!KK18)</f>
        <v>1</v>
      </c>
      <c r="KX49" s="15" t="str">
        <f>IF('Raw Data'!KL18="","",'Raw Data'!KL18)</f>
        <v>0</v>
      </c>
      <c r="KY49" s="15" t="str">
        <f>IF('Raw Data'!KM18="","",'Raw Data'!KM18)</f>
        <v>0</v>
      </c>
      <c r="KZ49" s="15" t="str">
        <f>IF('Raw Data'!KN18="","",'Raw Data'!KN18)</f>
        <v>0</v>
      </c>
      <c r="LA49" s="15" t="str">
        <f>IF('Raw Data'!KO18="","",'Raw Data'!KO18)</f>
        <v>1</v>
      </c>
      <c r="LB49" s="15" t="str">
        <f>IF('Raw Data'!KP18="","",'Raw Data'!KP18)</f>
        <v>0</v>
      </c>
      <c r="LC49" s="15" t="str">
        <f>IF('Raw Data'!KQ18="","",'Raw Data'!KQ18)</f>
        <v>0</v>
      </c>
      <c r="LD49" s="15" t="str">
        <f>IF('Raw Data'!KR18="","",'Raw Data'!KR18)</f>
        <v>0</v>
      </c>
      <c r="LE49" s="15" t="str">
        <f>IF('Raw Data'!KS18="","",'Raw Data'!KS18)</f>
        <v/>
      </c>
      <c r="LF49" s="15" t="str">
        <f>IF('Raw Data'!KT18="","",'Raw Data'!KT18)</f>
        <v>pb_protection_donnee pb_logistiques pb_coordination</v>
      </c>
      <c r="LG49" s="15" t="str">
        <f>IF('Raw Data'!KU18="","",'Raw Data'!KU18)</f>
        <v>1</v>
      </c>
      <c r="LH49" s="15" t="str">
        <f>IF('Raw Data'!KV18="","",'Raw Data'!KV18)</f>
        <v>1</v>
      </c>
      <c r="LI49" s="15" t="str">
        <f>IF('Raw Data'!KW18="","",'Raw Data'!KW18)</f>
        <v>0</v>
      </c>
      <c r="LJ49" s="15" t="str">
        <f>IF('Raw Data'!KX18="","",'Raw Data'!KX18)</f>
        <v>1</v>
      </c>
      <c r="LK49" s="15" t="str">
        <f>IF('Raw Data'!KY18="","",'Raw Data'!KY18)</f>
        <v>0</v>
      </c>
      <c r="LL49" s="15" t="str">
        <f>IF('Raw Data'!KZ18="","",'Raw Data'!KZ18)</f>
        <v>0</v>
      </c>
      <c r="LM49" s="15" t="str">
        <f>IF('Raw Data'!LA18="","",'Raw Data'!LA18)</f>
        <v/>
      </c>
      <c r="LN49" s="15" t="str">
        <f>IF('Raw Data'!LB18="","",'Raw Data'!LB18)</f>
        <v>non</v>
      </c>
      <c r="LO49" s="15" t="str">
        <f>IF('Raw Data'!LC18="","",'Raw Data'!LC18)</f>
        <v/>
      </c>
      <c r="LP49" s="15" t="str">
        <f>IF('Raw Data'!LD18="","",'Raw Data'!LD18)</f>
        <v/>
      </c>
      <c r="LQ49" s="15" t="str">
        <f>IF('Raw Data'!LE18="","",'Raw Data'!LE18)</f>
        <v/>
      </c>
      <c r="LR49" s="15" t="str">
        <f>IF('Raw Data'!LF18="","",'Raw Data'!LF18)</f>
        <v/>
      </c>
      <c r="LS49" s="15" t="str">
        <f>IF('Raw Data'!LG18="","",'Raw Data'!LG18)</f>
        <v/>
      </c>
      <c r="LT49" s="15" t="str">
        <f>IF('Raw Data'!LH18="","",'Raw Data'!LH18)</f>
        <v/>
      </c>
      <c r="LU49" s="15" t="str">
        <f>IF('Raw Data'!LI18="","",'Raw Data'!LI18)</f>
        <v/>
      </c>
      <c r="LV49" s="15" t="str">
        <f>IF('Raw Data'!LJ18="","",'Raw Data'!LJ18)</f>
        <v/>
      </c>
      <c r="LW49" s="15" t="str">
        <f>IF('Raw Data'!LK18="","",'Raw Data'!LK18)</f>
        <v/>
      </c>
      <c r="LX49" s="15" t="str">
        <f>IF('Raw Data'!LL18="","",'Raw Data'!LL18)</f>
        <v/>
      </c>
      <c r="LY49" s="15" t="str">
        <f>IF('Raw Data'!LM18="","",'Raw Data'!LM18)</f>
        <v/>
      </c>
      <c r="LZ49" s="15" t="str">
        <f>IF('Raw Data'!LN18="","",'Raw Data'!LN18)</f>
        <v/>
      </c>
      <c r="MA49" s="15" t="str">
        <f>IF('Raw Data'!LO18="","",'Raw Data'!LO18)</f>
        <v/>
      </c>
      <c r="MB49" s="15" t="str">
        <f>IF('Raw Data'!LP18="","",'Raw Data'!LP18)</f>
        <v>oui</v>
      </c>
      <c r="MC49" s="15" t="str">
        <f>IF('Raw Data'!LQ18="","",'Raw Data'!LQ18)</f>
        <v/>
      </c>
      <c r="MD49" s="31"/>
      <c r="ME49" s="15">
        <f>IF('Raw Data'!LS18="","",'Raw Data'!LS18)</f>
        <v>169219588</v>
      </c>
      <c r="MF49" s="15" t="str">
        <f>IF('Raw Data'!LT18="","",'Raw Data'!LT18)</f>
        <v>9a806334-fa0b-4b0a-b93f-6cc54034100b</v>
      </c>
      <c r="MG49" s="15" t="str">
        <f>IF('Raw Data'!LU18="","",'Raw Data'!LU18)</f>
        <v>2021-04-01T19:45:06</v>
      </c>
      <c r="MH49" s="15" t="str">
        <f>IF('Raw Data'!LV18="","",'Raw Data'!LV18)</f>
        <v/>
      </c>
      <c r="MI49" s="15" t="str">
        <f>IF('Raw Data'!LW18="","",'Raw Data'!LW18)</f>
        <v>[]</v>
      </c>
      <c r="MJ49" s="15" t="str">
        <f>IF('Raw Data'!LX18="","",'Raw Data'!LX18)</f>
        <v>submitted_via_web</v>
      </c>
      <c r="MK49" s="15" t="str">
        <f>IF('Raw Data'!LY18="","",'Raw Data'!LY18)</f>
        <v>reach_niger</v>
      </c>
      <c r="ML49" s="15" t="str">
        <f>IF('Raw Data'!LZ18="","",'Raw Data'!LZ18)</f>
        <v/>
      </c>
      <c r="MM49" s="15">
        <f>IF('Raw Data'!MA18="","",'Raw Data'!MA18)</f>
        <v>17</v>
      </c>
    </row>
    <row r="50" spans="1:351" x14ac:dyDescent="0.3">
      <c r="A50" s="26" t="str">
        <f t="shared" si="4"/>
        <v>c4365d9a-f053-4bfc-9cdf-b67ceddbe41e</v>
      </c>
      <c r="B50" s="26" t="str">
        <f t="shared" si="5"/>
        <v>tillaberi</v>
      </c>
      <c r="C50" s="26" t="str">
        <f t="shared" si="6"/>
        <v>I</v>
      </c>
      <c r="D50" s="14" t="str">
        <f>IF('Raw Data'!A38="","",'Raw Data'!A38)</f>
        <v>2021-04-03T09:41:49.968+01:00</v>
      </c>
      <c r="E50" s="14" t="str">
        <f>IF('Raw Data'!B38="","",'Raw Data'!B38)</f>
        <v>2021-04-03T10:17:35.323+01:00</v>
      </c>
      <c r="F50" s="30">
        <v>44289.404039351852</v>
      </c>
      <c r="G50" s="30">
        <v>44289.428877314815</v>
      </c>
      <c r="H50" s="29">
        <f>VLOOKUP(A50,Audit[#All],2,FALSE)</f>
        <v>35.76</v>
      </c>
      <c r="I50" s="29">
        <f>VLOOKUP(A50,Audit[#All],3,FALSE)</f>
        <v>35.71</v>
      </c>
      <c r="J50" s="29">
        <f>VLOOKUP(A50,Audit[#All],4,FALSE)</f>
        <v>34.11</v>
      </c>
      <c r="K50" s="29">
        <f>VLOOKUP(A50,nb_questions[#All],2,FALSE)</f>
        <v>85</v>
      </c>
      <c r="L50" s="29">
        <f t="shared" si="7"/>
        <v>162</v>
      </c>
      <c r="M50" s="14" t="str">
        <f>IF('Raw Data'!C38="","",'Raw Data'!C38)</f>
        <v>2021-04-03</v>
      </c>
      <c r="N50" s="14" t="str">
        <f>IF('Raw Data'!D38="","",'Raw Data'!D38)</f>
        <v/>
      </c>
      <c r="O50" s="14" t="str">
        <f>IF('Raw Data'!E38="","",'Raw Data'!E38)</f>
        <v/>
      </c>
      <c r="P50" s="29" t="str">
        <f>VLOOKUP(A50,code_enqueteurs[#All],3,FALSE)</f>
        <v>I</v>
      </c>
      <c r="Q50" s="29" t="s">
        <v>1653</v>
      </c>
      <c r="R50" s="14" t="str">
        <f>IF('Raw Data'!F38="","",'Raw Data'!F38)</f>
        <v>Homme</v>
      </c>
      <c r="S50" s="15" t="str">
        <f>IF('Raw Data'!G38="","",'Raw Data'!G38)</f>
        <v>tillaberi</v>
      </c>
      <c r="T50" s="15" t="str">
        <f>IF('Raw Data'!H38="","",'Raw Data'!H38)</f>
        <v>tillaberi</v>
      </c>
      <c r="U50" s="15" t="str">
        <f>IF('Raw Data'!I38="","",'Raw Data'!I38)</f>
        <v>tadress</v>
      </c>
      <c r="V50" s="15" t="str">
        <f>IF('Raw Data'!J38="","",'Raw Data'!J38)</f>
        <v/>
      </c>
      <c r="W50" s="15" t="str">
        <f>IF('Raw Data'!K38="","",'Raw Data'!K38)</f>
        <v/>
      </c>
      <c r="X50" s="15" t="str">
        <f>IF('Raw Data'!L38="","",'Raw Data'!L38)</f>
        <v/>
      </c>
      <c r="Y50" s="15" t="str">
        <f>IF('Raw Data'!M38="","",'Raw Data'!M38)</f>
        <v/>
      </c>
      <c r="Z50" s="15" t="str">
        <f>IF('Raw Data'!N38="","",'Raw Data'!N38)</f>
        <v/>
      </c>
      <c r="AA50" s="15" t="str">
        <f>IF('Raw Data'!O38="","",'Raw Data'!O38)</f>
        <v/>
      </c>
      <c r="AB50" s="15" t="str">
        <f>IF('Raw Data'!P38="","",'Raw Data'!P38)</f>
        <v/>
      </c>
      <c r="AC50" s="15" t="str">
        <f>IF('Raw Data'!Q38="","",'Raw Data'!Q38)</f>
        <v/>
      </c>
      <c r="AD50" s="15" t="str">
        <f>IF('Raw Data'!R38="","",'Raw Data'!R38)</f>
        <v>Homme</v>
      </c>
      <c r="AE50" s="15" t="str">
        <f>IF('Raw Data'!S38="","",'Raw Data'!S38)</f>
        <v>45</v>
      </c>
      <c r="AF50" s="15" t="str">
        <f>IF('Raw Data'!T38="","",'Raw Data'!T38)</f>
        <v>deplace_interne</v>
      </c>
      <c r="AG50" s="15" t="str">
        <f>IF('Raw Data'!U38="","",'Raw Data'!U38)</f>
        <v/>
      </c>
      <c r="AH50" s="15" t="str">
        <f>IF('Raw Data'!V38="","",'Raw Data'!V38)</f>
        <v/>
      </c>
      <c r="AI50" s="15" t="str">
        <f>IF('Raw Data'!W38="","",'Raw Data'!W38)</f>
        <v/>
      </c>
      <c r="AJ50" s="15" t="str">
        <f>IF('Raw Data'!X38="","",'Raw Data'!X38)</f>
        <v/>
      </c>
      <c r="AK50" s="15" t="str">
        <f>IF('Raw Data'!Y38="","",'Raw Data'!Y38)</f>
        <v/>
      </c>
      <c r="AL50" s="15" t="str">
        <f>IF('Raw Data'!Z38="","",'Raw Data'!Z38)</f>
        <v>niger</v>
      </c>
      <c r="AM50" s="15" t="str">
        <f>IF('Raw Data'!AA38="","",'Raw Data'!AA38)</f>
        <v>tillaberi</v>
      </c>
      <c r="AN50" s="15" t="str">
        <f>IF('Raw Data'!AB38="","",'Raw Data'!AB38)</f>
        <v>ouallam</v>
      </c>
      <c r="AO50" s="15" t="str">
        <f>IF('Raw Data'!AC38="","",'Raw Data'!AC38)</f>
        <v/>
      </c>
      <c r="AP50" s="15" t="str">
        <f>IF('Raw Data'!AD38="","",'Raw Data'!AD38)</f>
        <v/>
      </c>
      <c r="AQ50" s="15" t="str">
        <f>IF('Raw Data'!AE38="","",'Raw Data'!AE38)</f>
        <v/>
      </c>
      <c r="AR50" s="15" t="str">
        <f>IF('Raw Data'!AF38="","",'Raw Data'!AF38)</f>
        <v/>
      </c>
      <c r="AS50" s="15" t="str">
        <f>IF('Raw Data'!AG38="","",'Raw Data'!AG38)</f>
        <v>non</v>
      </c>
      <c r="AT50" s="15" t="str">
        <f>IF('Raw Data'!AH38="","",'Raw Data'!AH38)</f>
        <v/>
      </c>
      <c r="AU50" s="15" t="str">
        <f>IF('Raw Data'!AI38="","",'Raw Data'!AI38)</f>
        <v/>
      </c>
      <c r="AV50" s="15" t="str">
        <f>IF('Raw Data'!AJ38="","",'Raw Data'!AJ38)</f>
        <v/>
      </c>
      <c r="AW50" s="15" t="str">
        <f>IF('Raw Data'!AK38="","",'Raw Data'!AK38)</f>
        <v/>
      </c>
      <c r="AX50" s="15" t="str">
        <f>IF('Raw Data'!AL38="","",'Raw Data'!AL38)</f>
        <v/>
      </c>
      <c r="AY50" s="15" t="str">
        <f>IF('Raw Data'!AM38="","",'Raw Data'!AM38)</f>
        <v/>
      </c>
      <c r="AZ50" s="15" t="str">
        <f>IF('Raw Data'!AN38="","",'Raw Data'!AN38)</f>
        <v/>
      </c>
      <c r="BA50" s="15" t="str">
        <f>IF('Raw Data'!AO38="","",'Raw Data'!AO38)</f>
        <v/>
      </c>
      <c r="BB50" s="15" t="str">
        <f>IF('Raw Data'!AP38="","",'Raw Data'!AP38)</f>
        <v/>
      </c>
      <c r="BC50" s="15" t="str">
        <f>IF('Raw Data'!AQ38="","",'Raw Data'!AQ38)</f>
        <v/>
      </c>
      <c r="BD50" s="15" t="str">
        <f>IF('Raw Data'!AR38="","",'Raw Data'!AR38)</f>
        <v/>
      </c>
      <c r="BE50" s="15" t="str">
        <f>IF('Raw Data'!AS38="","",'Raw Data'!AS38)</f>
        <v/>
      </c>
      <c r="BF50" s="15" t="str">
        <f>IF('Raw Data'!AT38="","",'Raw Data'!AT38)</f>
        <v/>
      </c>
      <c r="BG50" s="15" t="str">
        <f>IF('Raw Data'!AU38="","",'Raw Data'!AU38)</f>
        <v/>
      </c>
      <c r="BH50" s="15" t="str">
        <f>IF('Raw Data'!AV38="","",'Raw Data'!AV38)</f>
        <v/>
      </c>
      <c r="BI50" s="15" t="str">
        <f>IF('Raw Data'!AW38="","",'Raw Data'!AW38)</f>
        <v/>
      </c>
      <c r="BJ50" s="15" t="str">
        <f>IF('Raw Data'!AX38="","",'Raw Data'!AX38)</f>
        <v/>
      </c>
      <c r="BK50" s="15" t="str">
        <f>IF('Raw Data'!AY38="","",'Raw Data'!AY38)</f>
        <v/>
      </c>
      <c r="BL50" s="15" t="str">
        <f>IF('Raw Data'!AZ38="","",'Raw Data'!AZ38)</f>
        <v/>
      </c>
      <c r="BM50" s="15" t="str">
        <f>IF('Raw Data'!BA38="","",'Raw Data'!BA38)</f>
        <v/>
      </c>
      <c r="BN50" s="15" t="str">
        <f>IF('Raw Data'!BB38="","",'Raw Data'!BB38)</f>
        <v/>
      </c>
      <c r="BO50" s="15" t="str">
        <f>IF('Raw Data'!BC38="","",'Raw Data'!BC38)</f>
        <v/>
      </c>
      <c r="BP50" s="15" t="str">
        <f>IF('Raw Data'!BD38="","",'Raw Data'!BD38)</f>
        <v/>
      </c>
      <c r="BQ50" s="15" t="str">
        <f>IF('Raw Data'!BE38="","",'Raw Data'!BE38)</f>
        <v/>
      </c>
      <c r="BR50" s="15" t="str">
        <f>IF('Raw Data'!BF38="","",'Raw Data'!BF38)</f>
        <v/>
      </c>
      <c r="BS50" s="15" t="str">
        <f>IF('Raw Data'!BG38="","",'Raw Data'!BG38)</f>
        <v/>
      </c>
      <c r="BT50" s="15" t="str">
        <f>IF('Raw Data'!BH38="","",'Raw Data'!BH38)</f>
        <v/>
      </c>
      <c r="BU50" s="15" t="str">
        <f>IF('Raw Data'!BI38="","",'Raw Data'!BI38)</f>
        <v/>
      </c>
      <c r="BV50" s="15" t="str">
        <f>IF('Raw Data'!BJ38="","",'Raw Data'!BJ38)</f>
        <v/>
      </c>
      <c r="BW50" s="15" t="str">
        <f>IF('Raw Data'!BK38="","",'Raw Data'!BK38)</f>
        <v/>
      </c>
      <c r="BX50" s="15" t="str">
        <f>IF('Raw Data'!BL38="","",'Raw Data'!BL38)</f>
        <v/>
      </c>
      <c r="BY50" s="15" t="str">
        <f>IF('Raw Data'!BM38="","",'Raw Data'!BM38)</f>
        <v/>
      </c>
      <c r="BZ50" s="15" t="str">
        <f>IF('Raw Data'!BN38="","",'Raw Data'!BN38)</f>
        <v/>
      </c>
      <c r="CA50" s="15" t="str">
        <f>IF('Raw Data'!BO38="","",'Raw Data'!BO38)</f>
        <v/>
      </c>
      <c r="CB50" s="15" t="str">
        <f>IF('Raw Data'!BP38="","",'Raw Data'!BP38)</f>
        <v/>
      </c>
      <c r="CC50" s="15" t="str">
        <f>IF('Raw Data'!BQ38="","",'Raw Data'!BQ38)</f>
        <v>non</v>
      </c>
      <c r="CD50" s="15" t="str">
        <f>IF('Raw Data'!BR38="","",'Raw Data'!BR38)</f>
        <v/>
      </c>
      <c r="CE50" s="15" t="str">
        <f>IF('Raw Data'!BS38="","",'Raw Data'!BS38)</f>
        <v/>
      </c>
      <c r="CF50" s="15" t="str">
        <f>IF('Raw Data'!BT38="","",'Raw Data'!BT38)</f>
        <v/>
      </c>
      <c r="CG50" s="15" t="str">
        <f>IF('Raw Data'!BU38="","",'Raw Data'!BU38)</f>
        <v/>
      </c>
      <c r="CH50" s="15" t="str">
        <f>IF('Raw Data'!BV38="","",'Raw Data'!BV38)</f>
        <v/>
      </c>
      <c r="CI50" s="15" t="str">
        <f>IF('Raw Data'!BW38="","",'Raw Data'!BW38)</f>
        <v/>
      </c>
      <c r="CJ50" s="15" t="str">
        <f>IF('Raw Data'!BX38="","",'Raw Data'!BX38)</f>
        <v/>
      </c>
      <c r="CK50" s="15" t="str">
        <f>IF('Raw Data'!BY38="","",'Raw Data'!BY38)</f>
        <v/>
      </c>
      <c r="CL50" s="15" t="str">
        <f>IF('Raw Data'!BZ38="","",'Raw Data'!BZ38)</f>
        <v/>
      </c>
      <c r="CM50" s="15" t="str">
        <f>IF('Raw Data'!CA38="","",'Raw Data'!CA38)</f>
        <v/>
      </c>
      <c r="CN50" s="15" t="str">
        <f>IF('Raw Data'!CB38="","",'Raw Data'!CB38)</f>
        <v/>
      </c>
      <c r="CO50" s="15" t="str">
        <f>IF('Raw Data'!CC38="","",'Raw Data'!CC38)</f>
        <v/>
      </c>
      <c r="CP50" s="15" t="str">
        <f>IF('Raw Data'!CD38="","",'Raw Data'!CD38)</f>
        <v/>
      </c>
      <c r="CQ50" s="15" t="str">
        <f>IF('Raw Data'!CE38="","",'Raw Data'!CE38)</f>
        <v/>
      </c>
      <c r="CR50" s="15" t="str">
        <f>IF('Raw Data'!CF38="","",'Raw Data'!CF38)</f>
        <v/>
      </c>
      <c r="CS50" s="15" t="str">
        <f>IF('Raw Data'!CG38="","",'Raw Data'!CG38)</f>
        <v/>
      </c>
      <c r="CT50" s="15" t="str">
        <f>IF('Raw Data'!CH38="","",'Raw Data'!CH38)</f>
        <v/>
      </c>
      <c r="CU50" s="15" t="str">
        <f>IF('Raw Data'!CI38="","",'Raw Data'!CI38)</f>
        <v/>
      </c>
      <c r="CV50" s="15" t="str">
        <f>IF('Raw Data'!CJ38="","",'Raw Data'!CJ38)</f>
        <v/>
      </c>
      <c r="CW50" s="15" t="str">
        <f>IF('Raw Data'!CK38="","",'Raw Data'!CK38)</f>
        <v/>
      </c>
      <c r="CX50" s="15" t="str">
        <f>IF('Raw Data'!CL38="","",'Raw Data'!CL38)</f>
        <v/>
      </c>
      <c r="CY50" s="15" t="str">
        <f>IF('Raw Data'!CM38="","",'Raw Data'!CM38)</f>
        <v/>
      </c>
      <c r="CZ50" s="15" t="str">
        <f>IF('Raw Data'!CN38="","",'Raw Data'!CN38)</f>
        <v/>
      </c>
      <c r="DA50" s="15" t="str">
        <f>IF('Raw Data'!CO38="","",'Raw Data'!CO38)</f>
        <v/>
      </c>
      <c r="DB50" s="15" t="str">
        <f>IF('Raw Data'!CP38="","",'Raw Data'!CP38)</f>
        <v/>
      </c>
      <c r="DC50" s="15" t="str">
        <f>IF('Raw Data'!CQ38="","",'Raw Data'!CQ38)</f>
        <v/>
      </c>
      <c r="DD50" s="15" t="str">
        <f>IF('Raw Data'!CR38="","",'Raw Data'!CR38)</f>
        <v/>
      </c>
      <c r="DE50" s="15" t="str">
        <f>IF('Raw Data'!CS38="","",'Raw Data'!CS38)</f>
        <v/>
      </c>
      <c r="DF50" s="15" t="str">
        <f>IF('Raw Data'!CT38="","",'Raw Data'!CT38)</f>
        <v/>
      </c>
      <c r="DG50" s="15" t="str">
        <f>IF('Raw Data'!CU38="","",'Raw Data'!CU38)</f>
        <v/>
      </c>
      <c r="DH50" s="15" t="str">
        <f>IF('Raw Data'!CV38="","",'Raw Data'!CV38)</f>
        <v/>
      </c>
      <c r="DI50" s="15" t="str">
        <f>IF('Raw Data'!CW38="","",'Raw Data'!CW38)</f>
        <v/>
      </c>
      <c r="DJ50" s="15" t="str">
        <f>IF('Raw Data'!CX38="","",'Raw Data'!CX38)</f>
        <v/>
      </c>
      <c r="DK50" s="15" t="str">
        <f>IF('Raw Data'!CY38="","",'Raw Data'!CY38)</f>
        <v/>
      </c>
      <c r="DL50" s="15" t="str">
        <f>IF('Raw Data'!CZ38="","",'Raw Data'!CZ38)</f>
        <v/>
      </c>
      <c r="DM50" s="15" t="str">
        <f>IF('Raw Data'!DA38="","",'Raw Data'!DA38)</f>
        <v/>
      </c>
      <c r="DN50" s="15" t="str">
        <f>IF('Raw Data'!DB38="","",'Raw Data'!DB38)</f>
        <v/>
      </c>
      <c r="DO50" s="15" t="str">
        <f>IF('Raw Data'!DC38="","",'Raw Data'!DC38)</f>
        <v/>
      </c>
      <c r="DP50" s="15" t="str">
        <f>IF('Raw Data'!DD38="","",'Raw Data'!DD38)</f>
        <v/>
      </c>
      <c r="DQ50" s="15" t="str">
        <f>IF('Raw Data'!DE38="","",'Raw Data'!DE38)</f>
        <v/>
      </c>
      <c r="DR50" s="15" t="str">
        <f>IF('Raw Data'!DF38="","",'Raw Data'!DF38)</f>
        <v/>
      </c>
      <c r="DS50" s="15" t="str">
        <f>IF('Raw Data'!DG38="","",'Raw Data'!DG38)</f>
        <v/>
      </c>
      <c r="DT50" s="15" t="str">
        <f>IF('Raw Data'!DH38="","",'Raw Data'!DH38)</f>
        <v/>
      </c>
      <c r="DU50" s="15" t="str">
        <f>IF('Raw Data'!DI38="","",'Raw Data'!DI38)</f>
        <v/>
      </c>
      <c r="DV50" s="15" t="str">
        <f>IF('Raw Data'!DJ38="","",'Raw Data'!DJ38)</f>
        <v/>
      </c>
      <c r="DW50" s="15" t="str">
        <f>IF('Raw Data'!DK38="","",'Raw Data'!DK38)</f>
        <v/>
      </c>
      <c r="DX50" s="15" t="str">
        <f>IF('Raw Data'!DL38="","",'Raw Data'!DL38)</f>
        <v/>
      </c>
      <c r="DY50" s="15" t="str">
        <f>IF('Raw Data'!DM38="","",'Raw Data'!DM38)</f>
        <v/>
      </c>
      <c r="DZ50" s="15" t="str">
        <f>IF('Raw Data'!DN38="","",'Raw Data'!DN38)</f>
        <v/>
      </c>
      <c r="EA50" s="15" t="str">
        <f>IF('Raw Data'!DO38="","",'Raw Data'!DO38)</f>
        <v/>
      </c>
      <c r="EB50" s="15" t="str">
        <f>IF('Raw Data'!DP38="","",'Raw Data'!DP38)</f>
        <v/>
      </c>
      <c r="EC50" s="15" t="str">
        <f>IF('Raw Data'!DQ38="","",'Raw Data'!DQ38)</f>
        <v/>
      </c>
      <c r="ED50" s="15" t="str">
        <f>IF('Raw Data'!DR38="","",'Raw Data'!DR38)</f>
        <v/>
      </c>
      <c r="EE50" s="15" t="str">
        <f>IF('Raw Data'!DS38="","",'Raw Data'!DS38)</f>
        <v/>
      </c>
      <c r="EF50" s="15" t="str">
        <f>IF('Raw Data'!DT38="","",'Raw Data'!DT38)</f>
        <v/>
      </c>
      <c r="EG50" s="15" t="str">
        <f>IF('Raw Data'!DU38="","",'Raw Data'!DU38)</f>
        <v/>
      </c>
      <c r="EH50" s="15" t="str">
        <f>IF('Raw Data'!DV38="","",'Raw Data'!DV38)</f>
        <v/>
      </c>
      <c r="EI50" s="15" t="str">
        <f>IF('Raw Data'!DW38="","",'Raw Data'!DW38)</f>
        <v/>
      </c>
      <c r="EJ50" s="15" t="str">
        <f>IF('Raw Data'!DX38="","",'Raw Data'!DX38)</f>
        <v/>
      </c>
      <c r="EK50" s="15" t="str">
        <f>IF('Raw Data'!DY38="","",'Raw Data'!DY38)</f>
        <v/>
      </c>
      <c r="EL50" s="15" t="str">
        <f>IF('Raw Data'!DZ38="","",'Raw Data'!DZ38)</f>
        <v>dplct_abords_com Integration_com_hote</v>
      </c>
      <c r="EM50" s="15" t="str">
        <f>IF('Raw Data'!EA38="","",'Raw Data'!EA38)</f>
        <v>1</v>
      </c>
      <c r="EN50" s="15" t="str">
        <f>IF('Raw Data'!EB38="","",'Raw Data'!EB38)</f>
        <v>1</v>
      </c>
      <c r="EO50" s="15" t="str">
        <f>IF('Raw Data'!EC38="","",'Raw Data'!EC38)</f>
        <v>0</v>
      </c>
      <c r="EP50" s="15" t="str">
        <f>IF('Raw Data'!ED38="","",'Raw Data'!ED38)</f>
        <v>0</v>
      </c>
      <c r="EQ50" s="15" t="str">
        <f>IF('Raw Data'!EE38="","",'Raw Data'!EE38)</f>
        <v>0</v>
      </c>
      <c r="ER50" s="15" t="str">
        <f>IF('Raw Data'!EF38="","",'Raw Data'!EF38)</f>
        <v>0</v>
      </c>
      <c r="ES50" s="15" t="str">
        <f>IF('Raw Data'!EG38="","",'Raw Data'!EG38)</f>
        <v>0</v>
      </c>
      <c r="ET50" s="15" t="str">
        <f>IF('Raw Data'!EH38="","",'Raw Data'!EH38)</f>
        <v>0</v>
      </c>
      <c r="EU50" s="15" t="str">
        <f>IF('Raw Data'!EI38="","",'Raw Data'!EI38)</f>
        <v>0</v>
      </c>
      <c r="EV50" s="15" t="str">
        <f>IF('Raw Data'!EJ38="","",'Raw Data'!EJ38)</f>
        <v/>
      </c>
      <c r="EW50" s="15" t="str">
        <f>IF('Raw Data'!EK38="","",'Raw Data'!EK38)</f>
        <v/>
      </c>
      <c r="EX50" s="15" t="str">
        <f>IF('Raw Data'!EL38="","",'Raw Data'!EL38)</f>
        <v>comite_protection comite_gestion_conflits</v>
      </c>
      <c r="EY50" s="15" t="str">
        <f>IF('Raw Data'!EM38="","",'Raw Data'!EM38)</f>
        <v>0</v>
      </c>
      <c r="EZ50" s="15" t="str">
        <f>IF('Raw Data'!EN38="","",'Raw Data'!EN38)</f>
        <v>1</v>
      </c>
      <c r="FA50" s="15" t="str">
        <f>IF('Raw Data'!EO38="","",'Raw Data'!EO38)</f>
        <v>0</v>
      </c>
      <c r="FB50" s="15" t="str">
        <f>IF('Raw Data'!EP38="","",'Raw Data'!EP38)</f>
        <v>0</v>
      </c>
      <c r="FC50" s="15" t="str">
        <f>IF('Raw Data'!EQ38="","",'Raw Data'!EQ38)</f>
        <v>0</v>
      </c>
      <c r="FD50" s="15" t="str">
        <f>IF('Raw Data'!ER38="","",'Raw Data'!ER38)</f>
        <v>1</v>
      </c>
      <c r="FE50" s="15" t="str">
        <f>IF('Raw Data'!ES38="","",'Raw Data'!ES38)</f>
        <v>0</v>
      </c>
      <c r="FF50" s="15" t="str">
        <f>IF('Raw Data'!ET38="","",'Raw Data'!ET38)</f>
        <v>0</v>
      </c>
      <c r="FG50" s="15" t="str">
        <f>IF('Raw Data'!EU38="","",'Raw Data'!EU38)</f>
        <v>0</v>
      </c>
      <c r="FH50" s="15" t="str">
        <f>IF('Raw Data'!EV38="","",'Raw Data'!EV38)</f>
        <v>0</v>
      </c>
      <c r="FI50" s="15" t="str">
        <f>IF('Raw Data'!EW38="","",'Raw Data'!EW38)</f>
        <v/>
      </c>
      <c r="FJ50" s="15" t="str">
        <f>IF('Raw Data'!EX38="","",'Raw Data'!EX38)</f>
        <v>oui</v>
      </c>
      <c r="FK50" s="15" t="str">
        <f>IF('Raw Data'!EY38="","",'Raw Data'!EY38)</f>
        <v>Chef_village famille_amis</v>
      </c>
      <c r="FL50" s="15" t="str">
        <f>IF('Raw Data'!EZ38="","",'Raw Data'!EZ38)</f>
        <v>0</v>
      </c>
      <c r="FM50" s="15" t="str">
        <f>IF('Raw Data'!FA38="","",'Raw Data'!FA38)</f>
        <v>0</v>
      </c>
      <c r="FN50" s="15" t="str">
        <f>IF('Raw Data'!FB38="","",'Raw Data'!FB38)</f>
        <v>0</v>
      </c>
      <c r="FO50" s="15" t="str">
        <f>IF('Raw Data'!FC38="","",'Raw Data'!FC38)</f>
        <v>0</v>
      </c>
      <c r="FP50" s="15" t="str">
        <f>IF('Raw Data'!FD38="","",'Raw Data'!FD38)</f>
        <v>1</v>
      </c>
      <c r="FQ50" s="15" t="str">
        <f>IF('Raw Data'!FE38="","",'Raw Data'!FE38)</f>
        <v>1</v>
      </c>
      <c r="FR50" s="15" t="str">
        <f>IF('Raw Data'!FF38="","",'Raw Data'!FF38)</f>
        <v>0</v>
      </c>
      <c r="FS50" s="15" t="str">
        <f>IF('Raw Data'!FG38="","",'Raw Data'!FG38)</f>
        <v>0</v>
      </c>
      <c r="FT50" s="15" t="str">
        <f>IF('Raw Data'!FH38="","",'Raw Data'!FH38)</f>
        <v>0</v>
      </c>
      <c r="FU50" s="15" t="str">
        <f>IF('Raw Data'!FI38="","",'Raw Data'!FI38)</f>
        <v>0</v>
      </c>
      <c r="FV50" s="15" t="str">
        <f>IF('Raw Data'!FJ38="","",'Raw Data'!FJ38)</f>
        <v>0</v>
      </c>
      <c r="FW50" s="15" t="str">
        <f>IF('Raw Data'!FK38="","",'Raw Data'!FK38)</f>
        <v>0</v>
      </c>
      <c r="FX50" s="15" t="str">
        <f>IF('Raw Data'!FL38="","",'Raw Data'!FL38)</f>
        <v>0</v>
      </c>
      <c r="FY50" s="15" t="str">
        <f>IF('Raw Data'!FM38="","",'Raw Data'!FM38)</f>
        <v>0</v>
      </c>
      <c r="FZ50" s="15" t="str">
        <f>IF('Raw Data'!FN38="","",'Raw Data'!FN38)</f>
        <v/>
      </c>
      <c r="GA50" s="15" t="str">
        <f>IF('Raw Data'!FO38="","",'Raw Data'!FO38)</f>
        <v>oui_moitie</v>
      </c>
      <c r="GB50" s="15" t="str">
        <f>IF('Raw Data'!FP38="","",'Raw Data'!FP38)</f>
        <v>oui_moitie</v>
      </c>
      <c r="GC50" s="15" t="str">
        <f>IF('Raw Data'!FQ38="","",'Raw Data'!FQ38)</f>
        <v>manque_info</v>
      </c>
      <c r="GD50" s="15" t="str">
        <f>IF('Raw Data'!FR38="","",'Raw Data'!FR38)</f>
        <v>0</v>
      </c>
      <c r="GE50" s="15" t="str">
        <f>IF('Raw Data'!FS38="","",'Raw Data'!FS38)</f>
        <v>1</v>
      </c>
      <c r="GF50" s="15" t="str">
        <f>IF('Raw Data'!FT38="","",'Raw Data'!FT38)</f>
        <v>0</v>
      </c>
      <c r="GG50" s="15" t="str">
        <f>IF('Raw Data'!FU38="","",'Raw Data'!FU38)</f>
        <v>0</v>
      </c>
      <c r="GH50" s="15" t="str">
        <f>IF('Raw Data'!FV38="","",'Raw Data'!FV38)</f>
        <v>0</v>
      </c>
      <c r="GI50" s="15" t="str">
        <f>IF('Raw Data'!FW38="","",'Raw Data'!FW38)</f>
        <v>0</v>
      </c>
      <c r="GJ50" s="15" t="str">
        <f>IF('Raw Data'!FX38="","",'Raw Data'!FX38)</f>
        <v>0</v>
      </c>
      <c r="GK50" s="15" t="str">
        <f>IF('Raw Data'!FY38="","",'Raw Data'!FY38)</f>
        <v>0</v>
      </c>
      <c r="GL50" s="15" t="str">
        <f>IF('Raw Data'!FZ38="","",'Raw Data'!FZ38)</f>
        <v/>
      </c>
      <c r="GM50" s="15" t="str">
        <f>IF('Raw Data'!GA38="","",'Raw Data'!GA38)</f>
        <v>majorite</v>
      </c>
      <c r="GN50" s="15" t="str">
        <f>IF('Raw Data'!GB38="","",'Raw Data'!GB38)</f>
        <v>majorite</v>
      </c>
      <c r="GO50" s="15" t="str">
        <f>IF('Raw Data'!GC38="","",'Raw Data'!GC38)</f>
        <v>Education Services_de_sante Appui_psychosocial</v>
      </c>
      <c r="GP50" s="15" t="str">
        <f>IF('Raw Data'!GD38="","",'Raw Data'!GD38)</f>
        <v>1</v>
      </c>
      <c r="GQ50" s="15" t="str">
        <f>IF('Raw Data'!GE38="","",'Raw Data'!GE38)</f>
        <v>1</v>
      </c>
      <c r="GR50" s="15" t="str">
        <f>IF('Raw Data'!GF38="","",'Raw Data'!GF38)</f>
        <v>0</v>
      </c>
      <c r="GS50" s="15" t="str">
        <f>IF('Raw Data'!GG38="","",'Raw Data'!GG38)</f>
        <v>1</v>
      </c>
      <c r="GT50" s="15" t="str">
        <f>IF('Raw Data'!GH38="","",'Raw Data'!GH38)</f>
        <v>0</v>
      </c>
      <c r="GU50" s="15" t="str">
        <f>IF('Raw Data'!GI38="","",'Raw Data'!GI38)</f>
        <v>0</v>
      </c>
      <c r="GV50" s="15" t="str">
        <f>IF('Raw Data'!GJ38="","",'Raw Data'!GJ38)</f>
        <v>0</v>
      </c>
      <c r="GW50" s="15" t="str">
        <f>IF('Raw Data'!GK38="","",'Raw Data'!GK38)</f>
        <v>0</v>
      </c>
      <c r="GX50" s="15" t="str">
        <f>IF('Raw Data'!GL38="","",'Raw Data'!GL38)</f>
        <v>0</v>
      </c>
      <c r="GY50" s="15" t="str">
        <f>IF('Raw Data'!GM38="","",'Raw Data'!GM38)</f>
        <v/>
      </c>
      <c r="GZ50" s="15" t="str">
        <f>IF('Raw Data'!GN38="","",'Raw Data'!GN38)</f>
        <v>oui_minorite</v>
      </c>
      <c r="HA50" s="15" t="str">
        <f>IF('Raw Data'!GO38="","",'Raw Data'!GO38)</f>
        <v>oui_minorite</v>
      </c>
      <c r="HB50" s="15" t="str">
        <f>IF('Raw Data'!GP38="","",'Raw Data'!GP38)</f>
        <v>amelioration_futur repond_besoins_pop permet_obtenir_conseils</v>
      </c>
      <c r="HC50" s="15" t="str">
        <f>IF('Raw Data'!GQ38="","",'Raw Data'!GQ38)</f>
        <v>1</v>
      </c>
      <c r="HD50" s="15" t="str">
        <f>IF('Raw Data'!GR38="","",'Raw Data'!GR38)</f>
        <v>1</v>
      </c>
      <c r="HE50" s="15" t="str">
        <f>IF('Raw Data'!GS38="","",'Raw Data'!GS38)</f>
        <v>1</v>
      </c>
      <c r="HF50" s="15" t="str">
        <f>IF('Raw Data'!GT38="","",'Raw Data'!GT38)</f>
        <v>0</v>
      </c>
      <c r="HG50" s="15" t="str">
        <f>IF('Raw Data'!GU38="","",'Raw Data'!GU38)</f>
        <v>0</v>
      </c>
      <c r="HH50" s="15" t="str">
        <f>IF('Raw Data'!GV38="","",'Raw Data'!GV38)</f>
        <v>0</v>
      </c>
      <c r="HI50" s="15" t="str">
        <f>IF('Raw Data'!GW38="","",'Raw Data'!GW38)</f>
        <v>0</v>
      </c>
      <c r="HJ50" s="15" t="str">
        <f>IF('Raw Data'!GX38="","",'Raw Data'!GX38)</f>
        <v>0</v>
      </c>
      <c r="HK50" s="15" t="str">
        <f>IF('Raw Data'!GY38="","",'Raw Data'!GY38)</f>
        <v/>
      </c>
      <c r="HL50" s="15" t="str">
        <f>IF('Raw Data'!GZ38="","",'Raw Data'!GZ38)</f>
        <v>ne_contribue_pas ne_repond_pas non_obtention_info</v>
      </c>
      <c r="HM50" s="15" t="str">
        <f>IF('Raw Data'!HA38="","",'Raw Data'!HA38)</f>
        <v>1</v>
      </c>
      <c r="HN50" s="15" t="str">
        <f>IF('Raw Data'!HB38="","",'Raw Data'!HB38)</f>
        <v>1</v>
      </c>
      <c r="HO50" s="15" t="str">
        <f>IF('Raw Data'!HC38="","",'Raw Data'!HC38)</f>
        <v>1</v>
      </c>
      <c r="HP50" s="15" t="str">
        <f>IF('Raw Data'!HD38="","",'Raw Data'!HD38)</f>
        <v>0</v>
      </c>
      <c r="HQ50" s="15" t="str">
        <f>IF('Raw Data'!HE38="","",'Raw Data'!HE38)</f>
        <v>0</v>
      </c>
      <c r="HR50" s="15" t="str">
        <f>IF('Raw Data'!HF38="","",'Raw Data'!HF38)</f>
        <v>0</v>
      </c>
      <c r="HS50" s="15" t="str">
        <f>IF('Raw Data'!HG38="","",'Raw Data'!HG38)</f>
        <v/>
      </c>
      <c r="HT50" s="15" t="str">
        <f>IF('Raw Data'!HH38="","",'Raw Data'!HH38)</f>
        <v/>
      </c>
      <c r="HU50" s="15" t="str">
        <f>IF('Raw Data'!HI38="","",'Raw Data'!HI38)</f>
        <v>oui_ensemble</v>
      </c>
      <c r="HV50" s="15" t="str">
        <f>IF('Raw Data'!HJ38="","",'Raw Data'!HJ38)</f>
        <v>ingo</v>
      </c>
      <c r="HW50" s="15" t="str">
        <f>IF('Raw Data'!HK38="","",'Raw Data'!HK38)</f>
        <v>0</v>
      </c>
      <c r="HX50" s="15" t="str">
        <f>IF('Raw Data'!HL38="","",'Raw Data'!HL38)</f>
        <v>0</v>
      </c>
      <c r="HY50" s="15" t="str">
        <f>IF('Raw Data'!HM38="","",'Raw Data'!HM38)</f>
        <v>0</v>
      </c>
      <c r="HZ50" s="15" t="str">
        <f>IF('Raw Data'!HN38="","",'Raw Data'!HN38)</f>
        <v>0</v>
      </c>
      <c r="IA50" s="15" t="str">
        <f>IF('Raw Data'!HO38="","",'Raw Data'!HO38)</f>
        <v>1</v>
      </c>
      <c r="IB50" s="15" t="str">
        <f>IF('Raw Data'!HP38="","",'Raw Data'!HP38)</f>
        <v>0</v>
      </c>
      <c r="IC50" s="15" t="str">
        <f>IF('Raw Data'!HQ38="","",'Raw Data'!HQ38)</f>
        <v>0</v>
      </c>
      <c r="ID50" s="15" t="str">
        <f>IF('Raw Data'!HR38="","",'Raw Data'!HR38)</f>
        <v>0</v>
      </c>
      <c r="IE50" s="15" t="str">
        <f>IF('Raw Data'!HS38="","",'Raw Data'!HS38)</f>
        <v>0</v>
      </c>
      <c r="IF50" s="15" t="str">
        <f>IF('Raw Data'!HT38="","",'Raw Data'!HT38)</f>
        <v>0</v>
      </c>
      <c r="IG50" s="15" t="str">
        <f>IF('Raw Data'!HU38="","",'Raw Data'!HU38)</f>
        <v/>
      </c>
      <c r="IH50" s="15" t="str">
        <f>IF('Raw Data'!HV38="","",'Raw Data'!HV38)</f>
        <v/>
      </c>
      <c r="II50" s="15" t="str">
        <f>IF('Raw Data'!HW38="","",'Raw Data'!HW38)</f>
        <v/>
      </c>
      <c r="IJ50" s="15" t="str">
        <f>IF('Raw Data'!HX38="","",'Raw Data'!HX38)</f>
        <v/>
      </c>
      <c r="IK50" s="15" t="str">
        <f>IF('Raw Data'!HY38="","",'Raw Data'!HY38)</f>
        <v/>
      </c>
      <c r="IL50" s="15" t="str">
        <f>IF('Raw Data'!HZ38="","",'Raw Data'!HZ38)</f>
        <v/>
      </c>
      <c r="IM50" s="15" t="str">
        <f>IF('Raw Data'!IA38="","",'Raw Data'!IA38)</f>
        <v/>
      </c>
      <c r="IN50" s="15" t="str">
        <f>IF('Raw Data'!IB38="","",'Raw Data'!IB38)</f>
        <v/>
      </c>
      <c r="IO50" s="15" t="str">
        <f>IF('Raw Data'!IC38="","",'Raw Data'!IC38)</f>
        <v/>
      </c>
      <c r="IP50" s="15" t="str">
        <f>IF('Raw Data'!ID38="","",'Raw Data'!ID38)</f>
        <v/>
      </c>
      <c r="IQ50" s="15" t="str">
        <f>IF('Raw Data'!IE38="","",'Raw Data'!IE38)</f>
        <v/>
      </c>
      <c r="IR50" s="15" t="str">
        <f>IF('Raw Data'!IF38="","",'Raw Data'!IF38)</f>
        <v/>
      </c>
      <c r="IS50" s="15" t="str">
        <f>IF('Raw Data'!IG38="","",'Raw Data'!IG38)</f>
        <v/>
      </c>
      <c r="IT50" s="15" t="str">
        <f>IF('Raw Data'!IH38="","",'Raw Data'!IH38)</f>
        <v/>
      </c>
      <c r="IU50" s="15" t="str">
        <f>IF('Raw Data'!II38="","",'Raw Data'!II38)</f>
        <v/>
      </c>
      <c r="IV50" s="15" t="str">
        <f>IF('Raw Data'!IJ38="","",'Raw Data'!IJ38)</f>
        <v/>
      </c>
      <c r="IW50" s="15" t="str">
        <f>IF('Raw Data'!IK38="","",'Raw Data'!IK38)</f>
        <v/>
      </c>
      <c r="IX50" s="15" t="str">
        <f>IF('Raw Data'!IL38="","",'Raw Data'!IL38)</f>
        <v/>
      </c>
      <c r="IY50" s="15" t="str">
        <f>IF('Raw Data'!IM38="","",'Raw Data'!IM38)</f>
        <v/>
      </c>
      <c r="IZ50" s="15" t="str">
        <f>IF('Raw Data'!IN38="","",'Raw Data'!IN38)</f>
        <v>1</v>
      </c>
      <c r="JA50" s="15" t="str">
        <f>IF('Raw Data'!IO38="","",'Raw Data'!IO38)</f>
        <v>Services_medicaux Services_educatifs acces_docs</v>
      </c>
      <c r="JB50" s="15" t="str">
        <f>IF('Raw Data'!IP38="","",'Raw Data'!IP38)</f>
        <v>0</v>
      </c>
      <c r="JC50" s="15" t="str">
        <f>IF('Raw Data'!IQ38="","",'Raw Data'!IQ38)</f>
        <v>1</v>
      </c>
      <c r="JD50" s="15" t="str">
        <f>IF('Raw Data'!IR38="","",'Raw Data'!IR38)</f>
        <v>1</v>
      </c>
      <c r="JE50" s="15" t="str">
        <f>IF('Raw Data'!IS38="","",'Raw Data'!IS38)</f>
        <v>0</v>
      </c>
      <c r="JF50" s="15" t="str">
        <f>IF('Raw Data'!IT38="","",'Raw Data'!IT38)</f>
        <v>1</v>
      </c>
      <c r="JG50" s="15" t="str">
        <f>IF('Raw Data'!IU38="","",'Raw Data'!IU38)</f>
        <v>0</v>
      </c>
      <c r="JH50" s="15" t="str">
        <f>IF('Raw Data'!IV38="","",'Raw Data'!IV38)</f>
        <v>0</v>
      </c>
      <c r="JI50" s="15" t="str">
        <f>IF('Raw Data'!IW38="","",'Raw Data'!IW38)</f>
        <v>0</v>
      </c>
      <c r="JJ50" s="15" t="str">
        <f>IF('Raw Data'!IX38="","",'Raw Data'!IX38)</f>
        <v>0</v>
      </c>
      <c r="JK50" s="15" t="str">
        <f>IF('Raw Data'!IY38="","",'Raw Data'!IY38)</f>
        <v>0</v>
      </c>
      <c r="JL50" s="15" t="str">
        <f>IF('Raw Data'!IZ38="","",'Raw Data'!IZ38)</f>
        <v/>
      </c>
      <c r="JM50" s="15" t="str">
        <f>IF('Raw Data'!JA38="","",'Raw Data'!JA38)</f>
        <v>reorientation</v>
      </c>
      <c r="JN50" s="15" t="str">
        <f>IF('Raw Data'!JB38="","",'Raw Data'!JB38)</f>
        <v>0</v>
      </c>
      <c r="JO50" s="15" t="str">
        <f>IF('Raw Data'!JC38="","",'Raw Data'!JC38)</f>
        <v>1</v>
      </c>
      <c r="JP50" s="15" t="str">
        <f>IF('Raw Data'!JD38="","",'Raw Data'!JD38)</f>
        <v>0</v>
      </c>
      <c r="JQ50" s="15" t="str">
        <f>IF('Raw Data'!JE38="","",'Raw Data'!JE38)</f>
        <v>0</v>
      </c>
      <c r="JR50" s="15" t="str">
        <f>IF('Raw Data'!JF38="","",'Raw Data'!JF38)</f>
        <v>0</v>
      </c>
      <c r="JS50" s="15" t="str">
        <f>IF('Raw Data'!JG38="","",'Raw Data'!JG38)</f>
        <v>0</v>
      </c>
      <c r="JT50" s="15" t="str">
        <f>IF('Raw Data'!JH38="","",'Raw Data'!JH38)</f>
        <v/>
      </c>
      <c r="JU50" s="15" t="str">
        <f>IF('Raw Data'!JI38="","",'Raw Data'!JI38)</f>
        <v/>
      </c>
      <c r="JV50" s="15" t="str">
        <f>IF('Raw Data'!JJ38="","",'Raw Data'!JJ38)</f>
        <v/>
      </c>
      <c r="JW50" s="15" t="str">
        <f>IF('Raw Data'!JK38="","",'Raw Data'!JK38)</f>
        <v/>
      </c>
      <c r="JX50" s="15" t="str">
        <f>IF('Raw Data'!JL38="","",'Raw Data'!JL38)</f>
        <v/>
      </c>
      <c r="JY50" s="15" t="str">
        <f>IF('Raw Data'!JM38="","",'Raw Data'!JM38)</f>
        <v/>
      </c>
      <c r="JZ50" s="15" t="str">
        <f>IF('Raw Data'!JN38="","",'Raw Data'!JN38)</f>
        <v/>
      </c>
      <c r="KA50" s="15" t="str">
        <f>IF('Raw Data'!JO38="","",'Raw Data'!JO38)</f>
        <v/>
      </c>
      <c r="KB50" s="15" t="str">
        <f>IF('Raw Data'!JP38="","",'Raw Data'!JP38)</f>
        <v/>
      </c>
      <c r="KC50" s="15" t="str">
        <f>IF('Raw Data'!JQ38="","",'Raw Data'!JQ38)</f>
        <v/>
      </c>
      <c r="KD50" s="15" t="str">
        <f>IF('Raw Data'!JR38="","",'Raw Data'!JR38)</f>
        <v/>
      </c>
      <c r="KE50" s="15" t="str">
        <f>IF('Raw Data'!JS38="","",'Raw Data'!JS38)</f>
        <v/>
      </c>
      <c r="KF50" s="15" t="str">
        <f>IF('Raw Data'!JT38="","",'Raw Data'!JT38)</f>
        <v>point_ecoute reinsertion</v>
      </c>
      <c r="KG50" s="15" t="str">
        <f>IF('Raw Data'!JU38="","",'Raw Data'!JU38)</f>
        <v>0</v>
      </c>
      <c r="KH50" s="15" t="str">
        <f>IF('Raw Data'!JV38="","",'Raw Data'!JV38)</f>
        <v>0</v>
      </c>
      <c r="KI50" s="15" t="str">
        <f>IF('Raw Data'!JW38="","",'Raw Data'!JW38)</f>
        <v>1</v>
      </c>
      <c r="KJ50" s="15" t="str">
        <f>IF('Raw Data'!JX38="","",'Raw Data'!JX38)</f>
        <v>0</v>
      </c>
      <c r="KK50" s="15" t="str">
        <f>IF('Raw Data'!JY38="","",'Raw Data'!JY38)</f>
        <v>0</v>
      </c>
      <c r="KL50" s="15" t="str">
        <f>IF('Raw Data'!JZ38="","",'Raw Data'!JZ38)</f>
        <v>1</v>
      </c>
      <c r="KM50" s="15" t="str">
        <f>IF('Raw Data'!KA38="","",'Raw Data'!KA38)</f>
        <v>0</v>
      </c>
      <c r="KN50" s="15" t="str">
        <f>IF('Raw Data'!KB38="","",'Raw Data'!KB38)</f>
        <v>0</v>
      </c>
      <c r="KO50" s="15" t="str">
        <f>IF('Raw Data'!KC38="","",'Raw Data'!KC38)</f>
        <v>0</v>
      </c>
      <c r="KP50" s="15" t="str">
        <f>IF('Raw Data'!KD38="","",'Raw Data'!KD38)</f>
        <v/>
      </c>
      <c r="KQ50" s="15" t="str">
        <f>IF('Raw Data'!KE38="","",'Raw Data'!KE38)</f>
        <v/>
      </c>
      <c r="KR50" s="15" t="str">
        <f>IF('Raw Data'!KF38="","",'Raw Data'!KF38)</f>
        <v>oui</v>
      </c>
      <c r="KS50" s="15" t="str">
        <f>IF('Raw Data'!KG38="","",'Raw Data'!KG38)</f>
        <v>manque_moyens manque_cordination</v>
      </c>
      <c r="KT50" s="15" t="str">
        <f>IF('Raw Data'!KH38="","",'Raw Data'!KH38)</f>
        <v>1</v>
      </c>
      <c r="KU50" s="15" t="str">
        <f>IF('Raw Data'!KI38="","",'Raw Data'!KI38)</f>
        <v>0</v>
      </c>
      <c r="KV50" s="15" t="str">
        <f>IF('Raw Data'!KJ38="","",'Raw Data'!KJ38)</f>
        <v>0</v>
      </c>
      <c r="KW50" s="15" t="str">
        <f>IF('Raw Data'!KK38="","",'Raw Data'!KK38)</f>
        <v>0</v>
      </c>
      <c r="KX50" s="15" t="str">
        <f>IF('Raw Data'!KL38="","",'Raw Data'!KL38)</f>
        <v>0</v>
      </c>
      <c r="KY50" s="15" t="str">
        <f>IF('Raw Data'!KM38="","",'Raw Data'!KM38)</f>
        <v>0</v>
      </c>
      <c r="KZ50" s="15" t="str">
        <f>IF('Raw Data'!KN38="","",'Raw Data'!KN38)</f>
        <v>1</v>
      </c>
      <c r="LA50" s="15" t="str">
        <f>IF('Raw Data'!KO38="","",'Raw Data'!KO38)</f>
        <v>0</v>
      </c>
      <c r="LB50" s="15" t="str">
        <f>IF('Raw Data'!KP38="","",'Raw Data'!KP38)</f>
        <v>0</v>
      </c>
      <c r="LC50" s="15" t="str">
        <f>IF('Raw Data'!KQ38="","",'Raw Data'!KQ38)</f>
        <v>0</v>
      </c>
      <c r="LD50" s="15" t="str">
        <f>IF('Raw Data'!KR38="","",'Raw Data'!KR38)</f>
        <v>0</v>
      </c>
      <c r="LE50" s="15" t="str">
        <f>IF('Raw Data'!KS38="","",'Raw Data'!KS38)</f>
        <v/>
      </c>
      <c r="LF50" s="15" t="str">
        <f>IF('Raw Data'!KT38="","",'Raw Data'!KT38)</f>
        <v/>
      </c>
      <c r="LG50" s="15" t="str">
        <f>IF('Raw Data'!KU38="","",'Raw Data'!KU38)</f>
        <v/>
      </c>
      <c r="LH50" s="15" t="str">
        <f>IF('Raw Data'!KV38="","",'Raw Data'!KV38)</f>
        <v/>
      </c>
      <c r="LI50" s="15" t="str">
        <f>IF('Raw Data'!KW38="","",'Raw Data'!KW38)</f>
        <v/>
      </c>
      <c r="LJ50" s="15" t="str">
        <f>IF('Raw Data'!KX38="","",'Raw Data'!KX38)</f>
        <v/>
      </c>
      <c r="LK50" s="15" t="str">
        <f>IF('Raw Data'!KY38="","",'Raw Data'!KY38)</f>
        <v/>
      </c>
      <c r="LL50" s="15" t="str">
        <f>IF('Raw Data'!KZ38="","",'Raw Data'!KZ38)</f>
        <v/>
      </c>
      <c r="LM50" s="15" t="str">
        <f>IF('Raw Data'!LA38="","",'Raw Data'!LA38)</f>
        <v/>
      </c>
      <c r="LN50" s="15" t="str">
        <f>IF('Raw Data'!LB38="","",'Raw Data'!LB38)</f>
        <v>non</v>
      </c>
      <c r="LO50" s="15" t="str">
        <f>IF('Raw Data'!LC38="","",'Raw Data'!LC38)</f>
        <v/>
      </c>
      <c r="LP50" s="15" t="str">
        <f>IF('Raw Data'!LD38="","",'Raw Data'!LD38)</f>
        <v/>
      </c>
      <c r="LQ50" s="15" t="str">
        <f>IF('Raw Data'!LE38="","",'Raw Data'!LE38)</f>
        <v/>
      </c>
      <c r="LR50" s="15" t="str">
        <f>IF('Raw Data'!LF38="","",'Raw Data'!LF38)</f>
        <v/>
      </c>
      <c r="LS50" s="15" t="str">
        <f>IF('Raw Data'!LG38="","",'Raw Data'!LG38)</f>
        <v/>
      </c>
      <c r="LT50" s="15" t="str">
        <f>IF('Raw Data'!LH38="","",'Raw Data'!LH38)</f>
        <v/>
      </c>
      <c r="LU50" s="15" t="str">
        <f>IF('Raw Data'!LI38="","",'Raw Data'!LI38)</f>
        <v/>
      </c>
      <c r="LV50" s="15" t="str">
        <f>IF('Raw Data'!LJ38="","",'Raw Data'!LJ38)</f>
        <v/>
      </c>
      <c r="LW50" s="15" t="str">
        <f>IF('Raw Data'!LK38="","",'Raw Data'!LK38)</f>
        <v/>
      </c>
      <c r="LX50" s="15" t="str">
        <f>IF('Raw Data'!LL38="","",'Raw Data'!LL38)</f>
        <v/>
      </c>
      <c r="LY50" s="15" t="str">
        <f>IF('Raw Data'!LM38="","",'Raw Data'!LM38)</f>
        <v/>
      </c>
      <c r="LZ50" s="15" t="str">
        <f>IF('Raw Data'!LN38="","",'Raw Data'!LN38)</f>
        <v/>
      </c>
      <c r="MA50" s="15" t="str">
        <f>IF('Raw Data'!LO38="","",'Raw Data'!LO38)</f>
        <v/>
      </c>
      <c r="MB50" s="15" t="str">
        <f>IF('Raw Data'!LP38="","",'Raw Data'!LP38)</f>
        <v>oui</v>
      </c>
      <c r="MC50" s="15" t="str">
        <f>IF('Raw Data'!LQ38="","",'Raw Data'!LQ38)</f>
        <v/>
      </c>
      <c r="MD50" s="31"/>
      <c r="ME50" s="15">
        <f>IF('Raw Data'!LS38="","",'Raw Data'!LS38)</f>
        <v>169469469</v>
      </c>
      <c r="MF50" s="15" t="str">
        <f>IF('Raw Data'!LT38="","",'Raw Data'!LT38)</f>
        <v>c4365d9a-f053-4bfc-9cdf-b67ceddbe41e</v>
      </c>
      <c r="MG50" s="15" t="str">
        <f>IF('Raw Data'!LU38="","",'Raw Data'!LU38)</f>
        <v>2021-04-03T15:16:57</v>
      </c>
      <c r="MH50" s="15" t="str">
        <f>IF('Raw Data'!LV38="","",'Raw Data'!LV38)</f>
        <v/>
      </c>
      <c r="MI50" s="15" t="str">
        <f>IF('Raw Data'!LW38="","",'Raw Data'!LW38)</f>
        <v>[]</v>
      </c>
      <c r="MJ50" s="15" t="str">
        <f>IF('Raw Data'!LX38="","",'Raw Data'!LX38)</f>
        <v>submitted_via_web</v>
      </c>
      <c r="MK50" s="15" t="str">
        <f>IF('Raw Data'!LY38="","",'Raw Data'!LY38)</f>
        <v>reach_niger</v>
      </c>
      <c r="ML50" s="15" t="str">
        <f>IF('Raw Data'!LZ38="","",'Raw Data'!LZ38)</f>
        <v/>
      </c>
      <c r="MM50" s="15">
        <f>IF('Raw Data'!MA38="","",'Raw Data'!MA38)</f>
        <v>39</v>
      </c>
    </row>
    <row r="51" spans="1:351" x14ac:dyDescent="0.3">
      <c r="A51" s="26" t="str">
        <f t="shared" si="4"/>
        <v>24d5d018-15b8-4956-96a2-5a9f22803457</v>
      </c>
      <c r="B51" s="26" t="str">
        <f t="shared" si="5"/>
        <v>tillaberi</v>
      </c>
      <c r="C51" s="26" t="str">
        <f t="shared" si="6"/>
        <v>I</v>
      </c>
      <c r="D51" s="14" t="str">
        <f>IF('Raw Data'!A39="","",'Raw Data'!A39)</f>
        <v>2021-04-03T11:28:23.971+01:00</v>
      </c>
      <c r="E51" s="14" t="str">
        <f>IF('Raw Data'!B39="","",'Raw Data'!B39)</f>
        <v>2021-04-03T11:45:23.965+01:00</v>
      </c>
      <c r="F51" s="30">
        <v>44289.478043981479</v>
      </c>
      <c r="G51" s="30">
        <v>44289.489849537036</v>
      </c>
      <c r="H51" s="29">
        <f>VLOOKUP(A51,Audit[#All],2,FALSE)</f>
        <v>17</v>
      </c>
      <c r="I51" s="29">
        <f>VLOOKUP(A51,Audit[#All],3,FALSE)</f>
        <v>16.96</v>
      </c>
      <c r="J51" s="29">
        <f>VLOOKUP(A51,Audit[#All],4,FALSE)</f>
        <v>15.69</v>
      </c>
      <c r="K51" s="29">
        <f>VLOOKUP(A51,nb_questions[#All],2,FALSE)</f>
        <v>76</v>
      </c>
      <c r="L51" s="29">
        <f t="shared" si="7"/>
        <v>191</v>
      </c>
      <c r="M51" s="14" t="str">
        <f>IF('Raw Data'!C39="","",'Raw Data'!C39)</f>
        <v>2021-04-03</v>
      </c>
      <c r="N51" s="14" t="str">
        <f>IF('Raw Data'!D39="","",'Raw Data'!D39)</f>
        <v/>
      </c>
      <c r="O51" s="14" t="str">
        <f>IF('Raw Data'!E39="","",'Raw Data'!E39)</f>
        <v/>
      </c>
      <c r="P51" s="29" t="str">
        <f>VLOOKUP(A51,code_enqueteurs[#All],3,FALSE)</f>
        <v>I</v>
      </c>
      <c r="Q51" s="29" t="s">
        <v>1653</v>
      </c>
      <c r="R51" s="14" t="str">
        <f>IF('Raw Data'!F39="","",'Raw Data'!F39)</f>
        <v>Homme</v>
      </c>
      <c r="S51" s="15" t="str">
        <f>IF('Raw Data'!G39="","",'Raw Data'!G39)</f>
        <v>tillaberi</v>
      </c>
      <c r="T51" s="15" t="str">
        <f>IF('Raw Data'!H39="","",'Raw Data'!H39)</f>
        <v>tillaberi</v>
      </c>
      <c r="U51" s="15" t="str">
        <f>IF('Raw Data'!I39="","",'Raw Data'!I39)</f>
        <v>toula</v>
      </c>
      <c r="V51" s="15" t="str">
        <f>IF('Raw Data'!J39="","",'Raw Data'!J39)</f>
        <v/>
      </c>
      <c r="W51" s="15" t="str">
        <f>IF('Raw Data'!K39="","",'Raw Data'!K39)</f>
        <v/>
      </c>
      <c r="X51" s="15" t="str">
        <f>IF('Raw Data'!L39="","",'Raw Data'!L39)</f>
        <v/>
      </c>
      <c r="Y51" s="15" t="str">
        <f>IF('Raw Data'!M39="","",'Raw Data'!M39)</f>
        <v/>
      </c>
      <c r="Z51" s="15" t="str">
        <f>IF('Raw Data'!N39="","",'Raw Data'!N39)</f>
        <v/>
      </c>
      <c r="AA51" s="15" t="str">
        <f>IF('Raw Data'!O39="","",'Raw Data'!O39)</f>
        <v/>
      </c>
      <c r="AB51" s="15" t="str">
        <f>IF('Raw Data'!P39="","",'Raw Data'!P39)</f>
        <v/>
      </c>
      <c r="AC51" s="15" t="str">
        <f>IF('Raw Data'!Q39="","",'Raw Data'!Q39)</f>
        <v/>
      </c>
      <c r="AD51" s="15" t="str">
        <f>IF('Raw Data'!R39="","",'Raw Data'!R39)</f>
        <v>Homme</v>
      </c>
      <c r="AE51" s="15" t="str">
        <f>IF('Raw Data'!S39="","",'Raw Data'!S39)</f>
        <v>39</v>
      </c>
      <c r="AF51" s="15" t="str">
        <f>IF('Raw Data'!T39="","",'Raw Data'!T39)</f>
        <v>deplace_interne</v>
      </c>
      <c r="AG51" s="15" t="str">
        <f>IF('Raw Data'!U39="","",'Raw Data'!U39)</f>
        <v/>
      </c>
      <c r="AH51" s="15" t="str">
        <f>IF('Raw Data'!V39="","",'Raw Data'!V39)</f>
        <v/>
      </c>
      <c r="AI51" s="15" t="str">
        <f>IF('Raw Data'!W39="","",'Raw Data'!W39)</f>
        <v/>
      </c>
      <c r="AJ51" s="15" t="str">
        <f>IF('Raw Data'!X39="","",'Raw Data'!X39)</f>
        <v/>
      </c>
      <c r="AK51" s="15" t="str">
        <f>IF('Raw Data'!Y39="","",'Raw Data'!Y39)</f>
        <v/>
      </c>
      <c r="AL51" s="15" t="str">
        <f>IF('Raw Data'!Z39="","",'Raw Data'!Z39)</f>
        <v>niger</v>
      </c>
      <c r="AM51" s="15" t="str">
        <f>IF('Raw Data'!AA39="","",'Raw Data'!AA39)</f>
        <v>tillaberi</v>
      </c>
      <c r="AN51" s="15" t="str">
        <f>IF('Raw Data'!AB39="","",'Raw Data'!AB39)</f>
        <v>ayerou</v>
      </c>
      <c r="AO51" s="15" t="str">
        <f>IF('Raw Data'!AC39="","",'Raw Data'!AC39)</f>
        <v/>
      </c>
      <c r="AP51" s="15" t="str">
        <f>IF('Raw Data'!AD39="","",'Raw Data'!AD39)</f>
        <v/>
      </c>
      <c r="AQ51" s="15" t="str">
        <f>IF('Raw Data'!AE39="","",'Raw Data'!AE39)</f>
        <v/>
      </c>
      <c r="AR51" s="15" t="str">
        <f>IF('Raw Data'!AF39="","",'Raw Data'!AF39)</f>
        <v/>
      </c>
      <c r="AS51" s="15" t="str">
        <f>IF('Raw Data'!AG39="","",'Raw Data'!AG39)</f>
        <v>non</v>
      </c>
      <c r="AT51" s="15" t="str">
        <f>IF('Raw Data'!AH39="","",'Raw Data'!AH39)</f>
        <v/>
      </c>
      <c r="AU51" s="15" t="str">
        <f>IF('Raw Data'!AI39="","",'Raw Data'!AI39)</f>
        <v/>
      </c>
      <c r="AV51" s="15" t="str">
        <f>IF('Raw Data'!AJ39="","",'Raw Data'!AJ39)</f>
        <v/>
      </c>
      <c r="AW51" s="15" t="str">
        <f>IF('Raw Data'!AK39="","",'Raw Data'!AK39)</f>
        <v/>
      </c>
      <c r="AX51" s="15" t="str">
        <f>IF('Raw Data'!AL39="","",'Raw Data'!AL39)</f>
        <v/>
      </c>
      <c r="AY51" s="15" t="str">
        <f>IF('Raw Data'!AM39="","",'Raw Data'!AM39)</f>
        <v/>
      </c>
      <c r="AZ51" s="15" t="str">
        <f>IF('Raw Data'!AN39="","",'Raw Data'!AN39)</f>
        <v/>
      </c>
      <c r="BA51" s="15" t="str">
        <f>IF('Raw Data'!AO39="","",'Raw Data'!AO39)</f>
        <v/>
      </c>
      <c r="BB51" s="15" t="str">
        <f>IF('Raw Data'!AP39="","",'Raw Data'!AP39)</f>
        <v/>
      </c>
      <c r="BC51" s="15" t="str">
        <f>IF('Raw Data'!AQ39="","",'Raw Data'!AQ39)</f>
        <v/>
      </c>
      <c r="BD51" s="15" t="str">
        <f>IF('Raw Data'!AR39="","",'Raw Data'!AR39)</f>
        <v/>
      </c>
      <c r="BE51" s="15" t="str">
        <f>IF('Raw Data'!AS39="","",'Raw Data'!AS39)</f>
        <v/>
      </c>
      <c r="BF51" s="15" t="str">
        <f>IF('Raw Data'!AT39="","",'Raw Data'!AT39)</f>
        <v/>
      </c>
      <c r="BG51" s="15" t="str">
        <f>IF('Raw Data'!AU39="","",'Raw Data'!AU39)</f>
        <v/>
      </c>
      <c r="BH51" s="15" t="str">
        <f>IF('Raw Data'!AV39="","",'Raw Data'!AV39)</f>
        <v/>
      </c>
      <c r="BI51" s="15" t="str">
        <f>IF('Raw Data'!AW39="","",'Raw Data'!AW39)</f>
        <v/>
      </c>
      <c r="BJ51" s="15" t="str">
        <f>IF('Raw Data'!AX39="","",'Raw Data'!AX39)</f>
        <v/>
      </c>
      <c r="BK51" s="15" t="str">
        <f>IF('Raw Data'!AY39="","",'Raw Data'!AY39)</f>
        <v/>
      </c>
      <c r="BL51" s="15" t="str">
        <f>IF('Raw Data'!AZ39="","",'Raw Data'!AZ39)</f>
        <v/>
      </c>
      <c r="BM51" s="15" t="str">
        <f>IF('Raw Data'!BA39="","",'Raw Data'!BA39)</f>
        <v/>
      </c>
      <c r="BN51" s="15" t="str">
        <f>IF('Raw Data'!BB39="","",'Raw Data'!BB39)</f>
        <v/>
      </c>
      <c r="BO51" s="15" t="str">
        <f>IF('Raw Data'!BC39="","",'Raw Data'!BC39)</f>
        <v/>
      </c>
      <c r="BP51" s="15" t="str">
        <f>IF('Raw Data'!BD39="","",'Raw Data'!BD39)</f>
        <v/>
      </c>
      <c r="BQ51" s="15" t="str">
        <f>IF('Raw Data'!BE39="","",'Raw Data'!BE39)</f>
        <v/>
      </c>
      <c r="BR51" s="15" t="str">
        <f>IF('Raw Data'!BF39="","",'Raw Data'!BF39)</f>
        <v/>
      </c>
      <c r="BS51" s="15" t="str">
        <f>IF('Raw Data'!BG39="","",'Raw Data'!BG39)</f>
        <v/>
      </c>
      <c r="BT51" s="15" t="str">
        <f>IF('Raw Data'!BH39="","",'Raw Data'!BH39)</f>
        <v/>
      </c>
      <c r="BU51" s="15" t="str">
        <f>IF('Raw Data'!BI39="","",'Raw Data'!BI39)</f>
        <v/>
      </c>
      <c r="BV51" s="15" t="str">
        <f>IF('Raw Data'!BJ39="","",'Raw Data'!BJ39)</f>
        <v/>
      </c>
      <c r="BW51" s="15" t="str">
        <f>IF('Raw Data'!BK39="","",'Raw Data'!BK39)</f>
        <v/>
      </c>
      <c r="BX51" s="15" t="str">
        <f>IF('Raw Data'!BL39="","",'Raw Data'!BL39)</f>
        <v/>
      </c>
      <c r="BY51" s="15" t="str">
        <f>IF('Raw Data'!BM39="","",'Raw Data'!BM39)</f>
        <v/>
      </c>
      <c r="BZ51" s="15" t="str">
        <f>IF('Raw Data'!BN39="","",'Raw Data'!BN39)</f>
        <v/>
      </c>
      <c r="CA51" s="15" t="str">
        <f>IF('Raw Data'!BO39="","",'Raw Data'!BO39)</f>
        <v/>
      </c>
      <c r="CB51" s="15" t="str">
        <f>IF('Raw Data'!BP39="","",'Raw Data'!BP39)</f>
        <v/>
      </c>
      <c r="CC51" s="15" t="str">
        <f>IF('Raw Data'!BQ39="","",'Raw Data'!BQ39)</f>
        <v>non</v>
      </c>
      <c r="CD51" s="15" t="str">
        <f>IF('Raw Data'!BR39="","",'Raw Data'!BR39)</f>
        <v/>
      </c>
      <c r="CE51" s="15" t="str">
        <f>IF('Raw Data'!BS39="","",'Raw Data'!BS39)</f>
        <v/>
      </c>
      <c r="CF51" s="15" t="str">
        <f>IF('Raw Data'!BT39="","",'Raw Data'!BT39)</f>
        <v/>
      </c>
      <c r="CG51" s="15" t="str">
        <f>IF('Raw Data'!BU39="","",'Raw Data'!BU39)</f>
        <v/>
      </c>
      <c r="CH51" s="15" t="str">
        <f>IF('Raw Data'!BV39="","",'Raw Data'!BV39)</f>
        <v/>
      </c>
      <c r="CI51" s="15" t="str">
        <f>IF('Raw Data'!BW39="","",'Raw Data'!BW39)</f>
        <v/>
      </c>
      <c r="CJ51" s="15" t="str">
        <f>IF('Raw Data'!BX39="","",'Raw Data'!BX39)</f>
        <v/>
      </c>
      <c r="CK51" s="15" t="str">
        <f>IF('Raw Data'!BY39="","",'Raw Data'!BY39)</f>
        <v/>
      </c>
      <c r="CL51" s="15" t="str">
        <f>IF('Raw Data'!BZ39="","",'Raw Data'!BZ39)</f>
        <v/>
      </c>
      <c r="CM51" s="15" t="str">
        <f>IF('Raw Data'!CA39="","",'Raw Data'!CA39)</f>
        <v/>
      </c>
      <c r="CN51" s="15" t="str">
        <f>IF('Raw Data'!CB39="","",'Raw Data'!CB39)</f>
        <v/>
      </c>
      <c r="CO51" s="15" t="str">
        <f>IF('Raw Data'!CC39="","",'Raw Data'!CC39)</f>
        <v/>
      </c>
      <c r="CP51" s="15" t="str">
        <f>IF('Raw Data'!CD39="","",'Raw Data'!CD39)</f>
        <v/>
      </c>
      <c r="CQ51" s="15" t="str">
        <f>IF('Raw Data'!CE39="","",'Raw Data'!CE39)</f>
        <v/>
      </c>
      <c r="CR51" s="15" t="str">
        <f>IF('Raw Data'!CF39="","",'Raw Data'!CF39)</f>
        <v/>
      </c>
      <c r="CS51" s="15" t="str">
        <f>IF('Raw Data'!CG39="","",'Raw Data'!CG39)</f>
        <v/>
      </c>
      <c r="CT51" s="15" t="str">
        <f>IF('Raw Data'!CH39="","",'Raw Data'!CH39)</f>
        <v/>
      </c>
      <c r="CU51" s="15" t="str">
        <f>IF('Raw Data'!CI39="","",'Raw Data'!CI39)</f>
        <v/>
      </c>
      <c r="CV51" s="15" t="str">
        <f>IF('Raw Data'!CJ39="","",'Raw Data'!CJ39)</f>
        <v/>
      </c>
      <c r="CW51" s="15" t="str">
        <f>IF('Raw Data'!CK39="","",'Raw Data'!CK39)</f>
        <v/>
      </c>
      <c r="CX51" s="15" t="str">
        <f>IF('Raw Data'!CL39="","",'Raw Data'!CL39)</f>
        <v/>
      </c>
      <c r="CY51" s="15" t="str">
        <f>IF('Raw Data'!CM39="","",'Raw Data'!CM39)</f>
        <v/>
      </c>
      <c r="CZ51" s="15" t="str">
        <f>IF('Raw Data'!CN39="","",'Raw Data'!CN39)</f>
        <v/>
      </c>
      <c r="DA51" s="15" t="str">
        <f>IF('Raw Data'!CO39="","",'Raw Data'!CO39)</f>
        <v/>
      </c>
      <c r="DB51" s="15" t="str">
        <f>IF('Raw Data'!CP39="","",'Raw Data'!CP39)</f>
        <v/>
      </c>
      <c r="DC51" s="15" t="str">
        <f>IF('Raw Data'!CQ39="","",'Raw Data'!CQ39)</f>
        <v/>
      </c>
      <c r="DD51" s="15" t="str">
        <f>IF('Raw Data'!CR39="","",'Raw Data'!CR39)</f>
        <v/>
      </c>
      <c r="DE51" s="15" t="str">
        <f>IF('Raw Data'!CS39="","",'Raw Data'!CS39)</f>
        <v/>
      </c>
      <c r="DF51" s="15" t="str">
        <f>IF('Raw Data'!CT39="","",'Raw Data'!CT39)</f>
        <v/>
      </c>
      <c r="DG51" s="15" t="str">
        <f>IF('Raw Data'!CU39="","",'Raw Data'!CU39)</f>
        <v/>
      </c>
      <c r="DH51" s="15" t="str">
        <f>IF('Raw Data'!CV39="","",'Raw Data'!CV39)</f>
        <v/>
      </c>
      <c r="DI51" s="15" t="str">
        <f>IF('Raw Data'!CW39="","",'Raw Data'!CW39)</f>
        <v/>
      </c>
      <c r="DJ51" s="15" t="str">
        <f>IF('Raw Data'!CX39="","",'Raw Data'!CX39)</f>
        <v/>
      </c>
      <c r="DK51" s="15" t="str">
        <f>IF('Raw Data'!CY39="","",'Raw Data'!CY39)</f>
        <v/>
      </c>
      <c r="DL51" s="15" t="str">
        <f>IF('Raw Data'!CZ39="","",'Raw Data'!CZ39)</f>
        <v/>
      </c>
      <c r="DM51" s="15" t="str">
        <f>IF('Raw Data'!DA39="","",'Raw Data'!DA39)</f>
        <v/>
      </c>
      <c r="DN51" s="15" t="str">
        <f>IF('Raw Data'!DB39="","",'Raw Data'!DB39)</f>
        <v/>
      </c>
      <c r="DO51" s="15" t="str">
        <f>IF('Raw Data'!DC39="","",'Raw Data'!DC39)</f>
        <v/>
      </c>
      <c r="DP51" s="15" t="str">
        <f>IF('Raw Data'!DD39="","",'Raw Data'!DD39)</f>
        <v/>
      </c>
      <c r="DQ51" s="15" t="str">
        <f>IF('Raw Data'!DE39="","",'Raw Data'!DE39)</f>
        <v/>
      </c>
      <c r="DR51" s="15" t="str">
        <f>IF('Raw Data'!DF39="","",'Raw Data'!DF39)</f>
        <v/>
      </c>
      <c r="DS51" s="15" t="str">
        <f>IF('Raw Data'!DG39="","",'Raw Data'!DG39)</f>
        <v/>
      </c>
      <c r="DT51" s="15" t="str">
        <f>IF('Raw Data'!DH39="","",'Raw Data'!DH39)</f>
        <v/>
      </c>
      <c r="DU51" s="15" t="str">
        <f>IF('Raw Data'!DI39="","",'Raw Data'!DI39)</f>
        <v/>
      </c>
      <c r="DV51" s="15" t="str">
        <f>IF('Raw Data'!DJ39="","",'Raw Data'!DJ39)</f>
        <v/>
      </c>
      <c r="DW51" s="15" t="str">
        <f>IF('Raw Data'!DK39="","",'Raw Data'!DK39)</f>
        <v/>
      </c>
      <c r="DX51" s="15" t="str">
        <f>IF('Raw Data'!DL39="","",'Raw Data'!DL39)</f>
        <v/>
      </c>
      <c r="DY51" s="15" t="str">
        <f>IF('Raw Data'!DM39="","",'Raw Data'!DM39)</f>
        <v/>
      </c>
      <c r="DZ51" s="15" t="str">
        <f>IF('Raw Data'!DN39="","",'Raw Data'!DN39)</f>
        <v/>
      </c>
      <c r="EA51" s="15" t="str">
        <f>IF('Raw Data'!DO39="","",'Raw Data'!DO39)</f>
        <v/>
      </c>
      <c r="EB51" s="15" t="str">
        <f>IF('Raw Data'!DP39="","",'Raw Data'!DP39)</f>
        <v/>
      </c>
      <c r="EC51" s="15" t="str">
        <f>IF('Raw Data'!DQ39="","",'Raw Data'!DQ39)</f>
        <v/>
      </c>
      <c r="ED51" s="15" t="str">
        <f>IF('Raw Data'!DR39="","",'Raw Data'!DR39)</f>
        <v/>
      </c>
      <c r="EE51" s="15" t="str">
        <f>IF('Raw Data'!DS39="","",'Raw Data'!DS39)</f>
        <v/>
      </c>
      <c r="EF51" s="15" t="str">
        <f>IF('Raw Data'!DT39="","",'Raw Data'!DT39)</f>
        <v/>
      </c>
      <c r="EG51" s="15" t="str">
        <f>IF('Raw Data'!DU39="","",'Raw Data'!DU39)</f>
        <v/>
      </c>
      <c r="EH51" s="15" t="str">
        <f>IF('Raw Data'!DV39="","",'Raw Data'!DV39)</f>
        <v/>
      </c>
      <c r="EI51" s="15" t="str">
        <f>IF('Raw Data'!DW39="","",'Raw Data'!DW39)</f>
        <v/>
      </c>
      <c r="EJ51" s="15" t="str">
        <f>IF('Raw Data'!DX39="","",'Raw Data'!DX39)</f>
        <v/>
      </c>
      <c r="EK51" s="15" t="str">
        <f>IF('Raw Data'!DY39="","",'Raw Data'!DY39)</f>
        <v/>
      </c>
      <c r="EL51" s="15" t="str">
        <f>IF('Raw Data'!DZ39="","",'Raw Data'!DZ39)</f>
        <v>Integration_com_hote</v>
      </c>
      <c r="EM51" s="15" t="str">
        <f>IF('Raw Data'!EA39="","",'Raw Data'!EA39)</f>
        <v>0</v>
      </c>
      <c r="EN51" s="15" t="str">
        <f>IF('Raw Data'!EB39="","",'Raw Data'!EB39)</f>
        <v>1</v>
      </c>
      <c r="EO51" s="15" t="str">
        <f>IF('Raw Data'!EC39="","",'Raw Data'!EC39)</f>
        <v>0</v>
      </c>
      <c r="EP51" s="15" t="str">
        <f>IF('Raw Data'!ED39="","",'Raw Data'!ED39)</f>
        <v>0</v>
      </c>
      <c r="EQ51" s="15" t="str">
        <f>IF('Raw Data'!EE39="","",'Raw Data'!EE39)</f>
        <v>0</v>
      </c>
      <c r="ER51" s="15" t="str">
        <f>IF('Raw Data'!EF39="","",'Raw Data'!EF39)</f>
        <v>0</v>
      </c>
      <c r="ES51" s="15" t="str">
        <f>IF('Raw Data'!EG39="","",'Raw Data'!EG39)</f>
        <v>0</v>
      </c>
      <c r="ET51" s="15" t="str">
        <f>IF('Raw Data'!EH39="","",'Raw Data'!EH39)</f>
        <v>0</v>
      </c>
      <c r="EU51" s="15" t="str">
        <f>IF('Raw Data'!EI39="","",'Raw Data'!EI39)</f>
        <v>0</v>
      </c>
      <c r="EV51" s="15" t="str">
        <f>IF('Raw Data'!EJ39="","",'Raw Data'!EJ39)</f>
        <v/>
      </c>
      <c r="EW51" s="15" t="str">
        <f>IF('Raw Data'!EK39="","",'Raw Data'!EK39)</f>
        <v/>
      </c>
      <c r="EX51" s="15" t="str">
        <f>IF('Raw Data'!EL39="","",'Raw Data'!EL39)</f>
        <v>comite_protection</v>
      </c>
      <c r="EY51" s="15" t="str">
        <f>IF('Raw Data'!EM39="","",'Raw Data'!EM39)</f>
        <v>0</v>
      </c>
      <c r="EZ51" s="15" t="str">
        <f>IF('Raw Data'!EN39="","",'Raw Data'!EN39)</f>
        <v>1</v>
      </c>
      <c r="FA51" s="15" t="str">
        <f>IF('Raw Data'!EO39="","",'Raw Data'!EO39)</f>
        <v>0</v>
      </c>
      <c r="FB51" s="15" t="str">
        <f>IF('Raw Data'!EP39="","",'Raw Data'!EP39)</f>
        <v>0</v>
      </c>
      <c r="FC51" s="15" t="str">
        <f>IF('Raw Data'!EQ39="","",'Raw Data'!EQ39)</f>
        <v>0</v>
      </c>
      <c r="FD51" s="15" t="str">
        <f>IF('Raw Data'!ER39="","",'Raw Data'!ER39)</f>
        <v>0</v>
      </c>
      <c r="FE51" s="15" t="str">
        <f>IF('Raw Data'!ES39="","",'Raw Data'!ES39)</f>
        <v>0</v>
      </c>
      <c r="FF51" s="15" t="str">
        <f>IF('Raw Data'!ET39="","",'Raw Data'!ET39)</f>
        <v>0</v>
      </c>
      <c r="FG51" s="15" t="str">
        <f>IF('Raw Data'!EU39="","",'Raw Data'!EU39)</f>
        <v>0</v>
      </c>
      <c r="FH51" s="15" t="str">
        <f>IF('Raw Data'!EV39="","",'Raw Data'!EV39)</f>
        <v>0</v>
      </c>
      <c r="FI51" s="15" t="str">
        <f>IF('Raw Data'!EW39="","",'Raw Data'!EW39)</f>
        <v/>
      </c>
      <c r="FJ51" s="15" t="str">
        <f>IF('Raw Data'!EX39="","",'Raw Data'!EX39)</f>
        <v>oui</v>
      </c>
      <c r="FK51" s="15" t="str">
        <f>IF('Raw Data'!EY39="","",'Raw Data'!EY39)</f>
        <v>Radio_television Chef_village</v>
      </c>
      <c r="FL51" s="15" t="str">
        <f>IF('Raw Data'!EZ39="","",'Raw Data'!EZ39)</f>
        <v>1</v>
      </c>
      <c r="FM51" s="15" t="str">
        <f>IF('Raw Data'!FA39="","",'Raw Data'!FA39)</f>
        <v>0</v>
      </c>
      <c r="FN51" s="15" t="str">
        <f>IF('Raw Data'!FB39="","",'Raw Data'!FB39)</f>
        <v>0</v>
      </c>
      <c r="FO51" s="15" t="str">
        <f>IF('Raw Data'!FC39="","",'Raw Data'!FC39)</f>
        <v>0</v>
      </c>
      <c r="FP51" s="15" t="str">
        <f>IF('Raw Data'!FD39="","",'Raw Data'!FD39)</f>
        <v>1</v>
      </c>
      <c r="FQ51" s="15" t="str">
        <f>IF('Raw Data'!FE39="","",'Raw Data'!FE39)</f>
        <v>0</v>
      </c>
      <c r="FR51" s="15" t="str">
        <f>IF('Raw Data'!FF39="","",'Raw Data'!FF39)</f>
        <v>0</v>
      </c>
      <c r="FS51" s="15" t="str">
        <f>IF('Raw Data'!FG39="","",'Raw Data'!FG39)</f>
        <v>0</v>
      </c>
      <c r="FT51" s="15" t="str">
        <f>IF('Raw Data'!FH39="","",'Raw Data'!FH39)</f>
        <v>0</v>
      </c>
      <c r="FU51" s="15" t="str">
        <f>IF('Raw Data'!FI39="","",'Raw Data'!FI39)</f>
        <v>0</v>
      </c>
      <c r="FV51" s="15" t="str">
        <f>IF('Raw Data'!FJ39="","",'Raw Data'!FJ39)</f>
        <v>0</v>
      </c>
      <c r="FW51" s="15" t="str">
        <f>IF('Raw Data'!FK39="","",'Raw Data'!FK39)</f>
        <v>0</v>
      </c>
      <c r="FX51" s="15" t="str">
        <f>IF('Raw Data'!FL39="","",'Raw Data'!FL39)</f>
        <v>0</v>
      </c>
      <c r="FY51" s="15" t="str">
        <f>IF('Raw Data'!FM39="","",'Raw Data'!FM39)</f>
        <v>0</v>
      </c>
      <c r="FZ51" s="15" t="str">
        <f>IF('Raw Data'!FN39="","",'Raw Data'!FN39)</f>
        <v/>
      </c>
      <c r="GA51" s="15" t="str">
        <f>IF('Raw Data'!FO39="","",'Raw Data'!FO39)</f>
        <v>oui_ensemble</v>
      </c>
      <c r="GB51" s="15" t="str">
        <f>IF('Raw Data'!FP39="","",'Raw Data'!FP39)</f>
        <v>oui_moitie</v>
      </c>
      <c r="GC51" s="15" t="str">
        <f>IF('Raw Data'!FQ39="","",'Raw Data'!FQ39)</f>
        <v>manque_info</v>
      </c>
      <c r="GD51" s="15" t="str">
        <f>IF('Raw Data'!FR39="","",'Raw Data'!FR39)</f>
        <v>0</v>
      </c>
      <c r="GE51" s="15" t="str">
        <f>IF('Raw Data'!FS39="","",'Raw Data'!FS39)</f>
        <v>1</v>
      </c>
      <c r="GF51" s="15" t="str">
        <f>IF('Raw Data'!FT39="","",'Raw Data'!FT39)</f>
        <v>0</v>
      </c>
      <c r="GG51" s="15" t="str">
        <f>IF('Raw Data'!FU39="","",'Raw Data'!FU39)</f>
        <v>0</v>
      </c>
      <c r="GH51" s="15" t="str">
        <f>IF('Raw Data'!FV39="","",'Raw Data'!FV39)</f>
        <v>0</v>
      </c>
      <c r="GI51" s="15" t="str">
        <f>IF('Raw Data'!FW39="","",'Raw Data'!FW39)</f>
        <v>0</v>
      </c>
      <c r="GJ51" s="15" t="str">
        <f>IF('Raw Data'!FX39="","",'Raw Data'!FX39)</f>
        <v>0</v>
      </c>
      <c r="GK51" s="15" t="str">
        <f>IF('Raw Data'!FY39="","",'Raw Data'!FY39)</f>
        <v>0</v>
      </c>
      <c r="GL51" s="15" t="str">
        <f>IF('Raw Data'!FZ39="","",'Raw Data'!FZ39)</f>
        <v/>
      </c>
      <c r="GM51" s="15" t="str">
        <f>IF('Raw Data'!GA39="","",'Raw Data'!GA39)</f>
        <v>moitie</v>
      </c>
      <c r="GN51" s="15" t="str">
        <f>IF('Raw Data'!GB39="","",'Raw Data'!GB39)</f>
        <v>majorite</v>
      </c>
      <c r="GO51" s="15" t="str">
        <f>IF('Raw Data'!GC39="","",'Raw Data'!GC39)</f>
        <v>Education Services_de_sante Acces_aux_doc</v>
      </c>
      <c r="GP51" s="15" t="str">
        <f>IF('Raw Data'!GD39="","",'Raw Data'!GD39)</f>
        <v>0</v>
      </c>
      <c r="GQ51" s="15" t="str">
        <f>IF('Raw Data'!GE39="","",'Raw Data'!GE39)</f>
        <v>1</v>
      </c>
      <c r="GR51" s="15" t="str">
        <f>IF('Raw Data'!GF39="","",'Raw Data'!GF39)</f>
        <v>0</v>
      </c>
      <c r="GS51" s="15" t="str">
        <f>IF('Raw Data'!GG39="","",'Raw Data'!GG39)</f>
        <v>1</v>
      </c>
      <c r="GT51" s="15" t="str">
        <f>IF('Raw Data'!GH39="","",'Raw Data'!GH39)</f>
        <v>1</v>
      </c>
      <c r="GU51" s="15" t="str">
        <f>IF('Raw Data'!GI39="","",'Raw Data'!GI39)</f>
        <v>0</v>
      </c>
      <c r="GV51" s="15" t="str">
        <f>IF('Raw Data'!GJ39="","",'Raw Data'!GJ39)</f>
        <v>0</v>
      </c>
      <c r="GW51" s="15" t="str">
        <f>IF('Raw Data'!GK39="","",'Raw Data'!GK39)</f>
        <v>0</v>
      </c>
      <c r="GX51" s="15" t="str">
        <f>IF('Raw Data'!GL39="","",'Raw Data'!GL39)</f>
        <v>0</v>
      </c>
      <c r="GY51" s="15" t="str">
        <f>IF('Raw Data'!GM39="","",'Raw Data'!GM39)</f>
        <v/>
      </c>
      <c r="GZ51" s="15" t="str">
        <f>IF('Raw Data'!GN39="","",'Raw Data'!GN39)</f>
        <v>oui_ensemble</v>
      </c>
      <c r="HA51" s="15" t="str">
        <f>IF('Raw Data'!GO39="","",'Raw Data'!GO39)</f>
        <v>oui_ensemble</v>
      </c>
      <c r="HB51" s="15" t="str">
        <f>IF('Raw Data'!GP39="","",'Raw Data'!GP39)</f>
        <v>amelioration_futur repond_besoins_pop permet_eviter_conflits</v>
      </c>
      <c r="HC51" s="15" t="str">
        <f>IF('Raw Data'!GQ39="","",'Raw Data'!GQ39)</f>
        <v>1</v>
      </c>
      <c r="HD51" s="15" t="str">
        <f>IF('Raw Data'!GR39="","",'Raw Data'!GR39)</f>
        <v>1</v>
      </c>
      <c r="HE51" s="15" t="str">
        <f>IF('Raw Data'!GS39="","",'Raw Data'!GS39)</f>
        <v>0</v>
      </c>
      <c r="HF51" s="15" t="str">
        <f>IF('Raw Data'!GT39="","",'Raw Data'!GT39)</f>
        <v>1</v>
      </c>
      <c r="HG51" s="15" t="str">
        <f>IF('Raw Data'!GU39="","",'Raw Data'!GU39)</f>
        <v>0</v>
      </c>
      <c r="HH51" s="15" t="str">
        <f>IF('Raw Data'!GV39="","",'Raw Data'!GV39)</f>
        <v>0</v>
      </c>
      <c r="HI51" s="15" t="str">
        <f>IF('Raw Data'!GW39="","",'Raw Data'!GW39)</f>
        <v>0</v>
      </c>
      <c r="HJ51" s="15" t="str">
        <f>IF('Raw Data'!GX39="","",'Raw Data'!GX39)</f>
        <v>0</v>
      </c>
      <c r="HK51" s="15" t="str">
        <f>IF('Raw Data'!GY39="","",'Raw Data'!GY39)</f>
        <v/>
      </c>
      <c r="HL51" s="31"/>
      <c r="HM51" s="31"/>
      <c r="HN51" s="31"/>
      <c r="HO51" s="31"/>
      <c r="HP51" s="31"/>
      <c r="HQ51" s="31"/>
      <c r="HR51" s="31"/>
      <c r="HS51" s="31"/>
      <c r="HT51" s="15" t="str">
        <f>IF('Raw Data'!HH39="","",'Raw Data'!HH39)</f>
        <v/>
      </c>
      <c r="HU51" s="15" t="str">
        <f>IF('Raw Data'!HI39="","",'Raw Data'!HI39)</f>
        <v>non</v>
      </c>
      <c r="HV51" s="15" t="str">
        <f>IF('Raw Data'!HJ39="","",'Raw Data'!HJ39)</f>
        <v/>
      </c>
      <c r="HW51" s="15" t="str">
        <f>IF('Raw Data'!HK39="","",'Raw Data'!HK39)</f>
        <v/>
      </c>
      <c r="HX51" s="15" t="str">
        <f>IF('Raw Data'!HL39="","",'Raw Data'!HL39)</f>
        <v/>
      </c>
      <c r="HY51" s="15" t="str">
        <f>IF('Raw Data'!HM39="","",'Raw Data'!HM39)</f>
        <v/>
      </c>
      <c r="HZ51" s="15" t="str">
        <f>IF('Raw Data'!HN39="","",'Raw Data'!HN39)</f>
        <v/>
      </c>
      <c r="IA51" s="15" t="str">
        <f>IF('Raw Data'!HO39="","",'Raw Data'!HO39)</f>
        <v/>
      </c>
      <c r="IB51" s="15" t="str">
        <f>IF('Raw Data'!HP39="","",'Raw Data'!HP39)</f>
        <v/>
      </c>
      <c r="IC51" s="15" t="str">
        <f>IF('Raw Data'!HQ39="","",'Raw Data'!HQ39)</f>
        <v/>
      </c>
      <c r="ID51" s="15" t="str">
        <f>IF('Raw Data'!HR39="","",'Raw Data'!HR39)</f>
        <v/>
      </c>
      <c r="IE51" s="15" t="str">
        <f>IF('Raw Data'!HS39="","",'Raw Data'!HS39)</f>
        <v/>
      </c>
      <c r="IF51" s="15" t="str">
        <f>IF('Raw Data'!HT39="","",'Raw Data'!HT39)</f>
        <v/>
      </c>
      <c r="IG51" s="15" t="str">
        <f>IF('Raw Data'!HU39="","",'Raw Data'!HU39)</f>
        <v/>
      </c>
      <c r="IH51" s="15" t="str">
        <f>IF('Raw Data'!HV39="","",'Raw Data'!HV39)</f>
        <v>oui</v>
      </c>
      <c r="II51" s="15" t="str">
        <f>IF('Raw Data'!HW39="","",'Raw Data'!HW39)</f>
        <v/>
      </c>
      <c r="IJ51" s="15" t="str">
        <f>IF('Raw Data'!HX39="","",'Raw Data'!HX39)</f>
        <v/>
      </c>
      <c r="IK51" s="15" t="str">
        <f>IF('Raw Data'!HY39="","",'Raw Data'!HY39)</f>
        <v/>
      </c>
      <c r="IL51" s="15" t="str">
        <f>IF('Raw Data'!HZ39="","",'Raw Data'!HZ39)</f>
        <v/>
      </c>
      <c r="IM51" s="15" t="str">
        <f>IF('Raw Data'!IA39="","",'Raw Data'!IA39)</f>
        <v/>
      </c>
      <c r="IN51" s="15" t="str">
        <f>IF('Raw Data'!IB39="","",'Raw Data'!IB39)</f>
        <v/>
      </c>
      <c r="IO51" s="15" t="str">
        <f>IF('Raw Data'!IC39="","",'Raw Data'!IC39)</f>
        <v/>
      </c>
      <c r="IP51" s="15" t="str">
        <f>IF('Raw Data'!ID39="","",'Raw Data'!ID39)</f>
        <v/>
      </c>
      <c r="IQ51" s="15" t="str">
        <f>IF('Raw Data'!IE39="","",'Raw Data'!IE39)</f>
        <v/>
      </c>
      <c r="IR51" s="15" t="str">
        <f>IF('Raw Data'!IF39="","",'Raw Data'!IF39)</f>
        <v/>
      </c>
      <c r="IS51" s="15" t="str">
        <f>IF('Raw Data'!IG39="","",'Raw Data'!IG39)</f>
        <v/>
      </c>
      <c r="IT51" s="15" t="str">
        <f>IF('Raw Data'!IH39="","",'Raw Data'!IH39)</f>
        <v/>
      </c>
      <c r="IU51" s="15" t="str">
        <f>IF('Raw Data'!II39="","",'Raw Data'!II39)</f>
        <v/>
      </c>
      <c r="IV51" s="15" t="str">
        <f>IF('Raw Data'!IJ39="","",'Raw Data'!IJ39)</f>
        <v/>
      </c>
      <c r="IW51" s="15" t="str">
        <f>IF('Raw Data'!IK39="","",'Raw Data'!IK39)</f>
        <v/>
      </c>
      <c r="IX51" s="15" t="str">
        <f>IF('Raw Data'!IL39="","",'Raw Data'!IL39)</f>
        <v/>
      </c>
      <c r="IY51" s="15" t="str">
        <f>IF('Raw Data'!IM39="","",'Raw Data'!IM39)</f>
        <v/>
      </c>
      <c r="IZ51" s="15" t="str">
        <f>IF('Raw Data'!IN39="","",'Raw Data'!IN39)</f>
        <v>1</v>
      </c>
      <c r="JA51" s="15" t="str">
        <f>IF('Raw Data'!IO39="","",'Raw Data'!IO39)</f>
        <v>Services_medicaux acces_docs Services_conseil</v>
      </c>
      <c r="JB51" s="15" t="str">
        <f>IF('Raw Data'!IP39="","",'Raw Data'!IP39)</f>
        <v>0</v>
      </c>
      <c r="JC51" s="15" t="str">
        <f>IF('Raw Data'!IQ39="","",'Raw Data'!IQ39)</f>
        <v>1</v>
      </c>
      <c r="JD51" s="15" t="str">
        <f>IF('Raw Data'!IR39="","",'Raw Data'!IR39)</f>
        <v>0</v>
      </c>
      <c r="JE51" s="15" t="str">
        <f>IF('Raw Data'!IS39="","",'Raw Data'!IS39)</f>
        <v>1</v>
      </c>
      <c r="JF51" s="15" t="str">
        <f>IF('Raw Data'!IT39="","",'Raw Data'!IT39)</f>
        <v>1</v>
      </c>
      <c r="JG51" s="15" t="str">
        <f>IF('Raw Data'!IU39="","",'Raw Data'!IU39)</f>
        <v>0</v>
      </c>
      <c r="JH51" s="15" t="str">
        <f>IF('Raw Data'!IV39="","",'Raw Data'!IV39)</f>
        <v>0</v>
      </c>
      <c r="JI51" s="15" t="str">
        <f>IF('Raw Data'!IW39="","",'Raw Data'!IW39)</f>
        <v>0</v>
      </c>
      <c r="JJ51" s="15" t="str">
        <f>IF('Raw Data'!IX39="","",'Raw Data'!IX39)</f>
        <v>0</v>
      </c>
      <c r="JK51" s="15" t="str">
        <f>IF('Raw Data'!IY39="","",'Raw Data'!IY39)</f>
        <v>0</v>
      </c>
      <c r="JL51" s="15" t="str">
        <f>IF('Raw Data'!IZ39="","",'Raw Data'!IZ39)</f>
        <v/>
      </c>
      <c r="JM51" s="15" t="str">
        <f>IF('Raw Data'!JA39="","",'Raw Data'!JA39)</f>
        <v>reorientation</v>
      </c>
      <c r="JN51" s="15" t="str">
        <f>IF('Raw Data'!JB39="","",'Raw Data'!JB39)</f>
        <v>0</v>
      </c>
      <c r="JO51" s="15" t="str">
        <f>IF('Raw Data'!JC39="","",'Raw Data'!JC39)</f>
        <v>1</v>
      </c>
      <c r="JP51" s="15" t="str">
        <f>IF('Raw Data'!JD39="","",'Raw Data'!JD39)</f>
        <v>0</v>
      </c>
      <c r="JQ51" s="15" t="str">
        <f>IF('Raw Data'!JE39="","",'Raw Data'!JE39)</f>
        <v>0</v>
      </c>
      <c r="JR51" s="15" t="str">
        <f>IF('Raw Data'!JF39="","",'Raw Data'!JF39)</f>
        <v>0</v>
      </c>
      <c r="JS51" s="15" t="str">
        <f>IF('Raw Data'!JG39="","",'Raw Data'!JG39)</f>
        <v>0</v>
      </c>
      <c r="JT51" s="15" t="str">
        <f>IF('Raw Data'!JH39="","",'Raw Data'!JH39)</f>
        <v/>
      </c>
      <c r="JU51" s="15" t="str">
        <f>IF('Raw Data'!JI39="","",'Raw Data'!JI39)</f>
        <v/>
      </c>
      <c r="JV51" s="15" t="str">
        <f>IF('Raw Data'!JJ39="","",'Raw Data'!JJ39)</f>
        <v/>
      </c>
      <c r="JW51" s="15" t="str">
        <f>IF('Raw Data'!JK39="","",'Raw Data'!JK39)</f>
        <v/>
      </c>
      <c r="JX51" s="15" t="str">
        <f>IF('Raw Data'!JL39="","",'Raw Data'!JL39)</f>
        <v/>
      </c>
      <c r="JY51" s="15" t="str">
        <f>IF('Raw Data'!JM39="","",'Raw Data'!JM39)</f>
        <v/>
      </c>
      <c r="JZ51" s="15" t="str">
        <f>IF('Raw Data'!JN39="","",'Raw Data'!JN39)</f>
        <v/>
      </c>
      <c r="KA51" s="15" t="str">
        <f>IF('Raw Data'!JO39="","",'Raw Data'!JO39)</f>
        <v/>
      </c>
      <c r="KB51" s="15" t="str">
        <f>IF('Raw Data'!JP39="","",'Raw Data'!JP39)</f>
        <v/>
      </c>
      <c r="KC51" s="15" t="str">
        <f>IF('Raw Data'!JQ39="","",'Raw Data'!JQ39)</f>
        <v/>
      </c>
      <c r="KD51" s="15" t="str">
        <f>IF('Raw Data'!JR39="","",'Raw Data'!JR39)</f>
        <v/>
      </c>
      <c r="KE51" s="15" t="str">
        <f>IF('Raw Data'!JS39="","",'Raw Data'!JS39)</f>
        <v/>
      </c>
      <c r="KF51" s="15" t="str">
        <f>IF('Raw Data'!JT39="","",'Raw Data'!JT39)</f>
        <v>point_ecoute reinsertion</v>
      </c>
      <c r="KG51" s="15" t="str">
        <f>IF('Raw Data'!JU39="","",'Raw Data'!JU39)</f>
        <v>0</v>
      </c>
      <c r="KH51" s="15" t="str">
        <f>IF('Raw Data'!JV39="","",'Raw Data'!JV39)</f>
        <v>0</v>
      </c>
      <c r="KI51" s="15" t="str">
        <f>IF('Raw Data'!JW39="","",'Raw Data'!JW39)</f>
        <v>1</v>
      </c>
      <c r="KJ51" s="15" t="str">
        <f>IF('Raw Data'!JX39="","",'Raw Data'!JX39)</f>
        <v>0</v>
      </c>
      <c r="KK51" s="15" t="str">
        <f>IF('Raw Data'!JY39="","",'Raw Data'!JY39)</f>
        <v>0</v>
      </c>
      <c r="KL51" s="15" t="str">
        <f>IF('Raw Data'!JZ39="","",'Raw Data'!JZ39)</f>
        <v>1</v>
      </c>
      <c r="KM51" s="15" t="str">
        <f>IF('Raw Data'!KA39="","",'Raw Data'!KA39)</f>
        <v>0</v>
      </c>
      <c r="KN51" s="15" t="str">
        <f>IF('Raw Data'!KB39="","",'Raw Data'!KB39)</f>
        <v>0</v>
      </c>
      <c r="KO51" s="15" t="str">
        <f>IF('Raw Data'!KC39="","",'Raw Data'!KC39)</f>
        <v>0</v>
      </c>
      <c r="KP51" s="15" t="str">
        <f>IF('Raw Data'!KD39="","",'Raw Data'!KD39)</f>
        <v/>
      </c>
      <c r="KQ51" s="15" t="str">
        <f>IF('Raw Data'!KE39="","",'Raw Data'!KE39)</f>
        <v/>
      </c>
      <c r="KR51" s="15" t="str">
        <f>IF('Raw Data'!KF39="","",'Raw Data'!KF39)</f>
        <v>non</v>
      </c>
      <c r="KS51" s="15" t="str">
        <f>IF('Raw Data'!KG39="","",'Raw Data'!KG39)</f>
        <v/>
      </c>
      <c r="KT51" s="15" t="str">
        <f>IF('Raw Data'!KH39="","",'Raw Data'!KH39)</f>
        <v/>
      </c>
      <c r="KU51" s="15" t="str">
        <f>IF('Raw Data'!KI39="","",'Raw Data'!KI39)</f>
        <v/>
      </c>
      <c r="KV51" s="15" t="str">
        <f>IF('Raw Data'!KJ39="","",'Raw Data'!KJ39)</f>
        <v/>
      </c>
      <c r="KW51" s="15" t="str">
        <f>IF('Raw Data'!KK39="","",'Raw Data'!KK39)</f>
        <v/>
      </c>
      <c r="KX51" s="15" t="str">
        <f>IF('Raw Data'!KL39="","",'Raw Data'!KL39)</f>
        <v/>
      </c>
      <c r="KY51" s="15" t="str">
        <f>IF('Raw Data'!KM39="","",'Raw Data'!KM39)</f>
        <v/>
      </c>
      <c r="KZ51" s="15" t="str">
        <f>IF('Raw Data'!KN39="","",'Raw Data'!KN39)</f>
        <v/>
      </c>
      <c r="LA51" s="15" t="str">
        <f>IF('Raw Data'!KO39="","",'Raw Data'!KO39)</f>
        <v/>
      </c>
      <c r="LB51" s="15" t="str">
        <f>IF('Raw Data'!KP39="","",'Raw Data'!KP39)</f>
        <v/>
      </c>
      <c r="LC51" s="15" t="str">
        <f>IF('Raw Data'!KQ39="","",'Raw Data'!KQ39)</f>
        <v/>
      </c>
      <c r="LD51" s="15" t="str">
        <f>IF('Raw Data'!KR39="","",'Raw Data'!KR39)</f>
        <v/>
      </c>
      <c r="LE51" s="15" t="str">
        <f>IF('Raw Data'!KS39="","",'Raw Data'!KS39)</f>
        <v/>
      </c>
      <c r="LF51" s="15" t="str">
        <f>IF('Raw Data'!KT39="","",'Raw Data'!KT39)</f>
        <v/>
      </c>
      <c r="LG51" s="15" t="str">
        <f>IF('Raw Data'!KU39="","",'Raw Data'!KU39)</f>
        <v/>
      </c>
      <c r="LH51" s="15" t="str">
        <f>IF('Raw Data'!KV39="","",'Raw Data'!KV39)</f>
        <v/>
      </c>
      <c r="LI51" s="15" t="str">
        <f>IF('Raw Data'!KW39="","",'Raw Data'!KW39)</f>
        <v/>
      </c>
      <c r="LJ51" s="15" t="str">
        <f>IF('Raw Data'!KX39="","",'Raw Data'!KX39)</f>
        <v/>
      </c>
      <c r="LK51" s="15" t="str">
        <f>IF('Raw Data'!KY39="","",'Raw Data'!KY39)</f>
        <v/>
      </c>
      <c r="LL51" s="15" t="str">
        <f>IF('Raw Data'!KZ39="","",'Raw Data'!KZ39)</f>
        <v/>
      </c>
      <c r="LM51" s="15" t="str">
        <f>IF('Raw Data'!LA39="","",'Raw Data'!LA39)</f>
        <v/>
      </c>
      <c r="LN51" s="15" t="str">
        <f>IF('Raw Data'!LB39="","",'Raw Data'!LB39)</f>
        <v>non</v>
      </c>
      <c r="LO51" s="15" t="str">
        <f>IF('Raw Data'!LC39="","",'Raw Data'!LC39)</f>
        <v/>
      </c>
      <c r="LP51" s="15" t="str">
        <f>IF('Raw Data'!LD39="","",'Raw Data'!LD39)</f>
        <v/>
      </c>
      <c r="LQ51" s="15" t="str">
        <f>IF('Raw Data'!LE39="","",'Raw Data'!LE39)</f>
        <v/>
      </c>
      <c r="LR51" s="15" t="str">
        <f>IF('Raw Data'!LF39="","",'Raw Data'!LF39)</f>
        <v/>
      </c>
      <c r="LS51" s="15" t="str">
        <f>IF('Raw Data'!LG39="","",'Raw Data'!LG39)</f>
        <v/>
      </c>
      <c r="LT51" s="15" t="str">
        <f>IF('Raw Data'!LH39="","",'Raw Data'!LH39)</f>
        <v/>
      </c>
      <c r="LU51" s="15" t="str">
        <f>IF('Raw Data'!LI39="","",'Raw Data'!LI39)</f>
        <v/>
      </c>
      <c r="LV51" s="15" t="str">
        <f>IF('Raw Data'!LJ39="","",'Raw Data'!LJ39)</f>
        <v/>
      </c>
      <c r="LW51" s="15" t="str">
        <f>IF('Raw Data'!LK39="","",'Raw Data'!LK39)</f>
        <v/>
      </c>
      <c r="LX51" s="15" t="str">
        <f>IF('Raw Data'!LL39="","",'Raw Data'!LL39)</f>
        <v/>
      </c>
      <c r="LY51" s="15" t="str">
        <f>IF('Raw Data'!LM39="","",'Raw Data'!LM39)</f>
        <v/>
      </c>
      <c r="LZ51" s="15" t="str">
        <f>IF('Raw Data'!LN39="","",'Raw Data'!LN39)</f>
        <v/>
      </c>
      <c r="MA51" s="15" t="str">
        <f>IF('Raw Data'!LO39="","",'Raw Data'!LO39)</f>
        <v/>
      </c>
      <c r="MB51" s="15" t="str">
        <f>IF('Raw Data'!LP39="","",'Raw Data'!LP39)</f>
        <v>non</v>
      </c>
      <c r="MC51" s="15" t="str">
        <f>IF('Raw Data'!LQ39="","",'Raw Data'!LQ39)</f>
        <v/>
      </c>
      <c r="MD51" s="31"/>
      <c r="ME51" s="15">
        <f>IF('Raw Data'!LS39="","",'Raw Data'!LS39)</f>
        <v>169469480</v>
      </c>
      <c r="MF51" s="15" t="str">
        <f>IF('Raw Data'!LT39="","",'Raw Data'!LT39)</f>
        <v>24d5d018-15b8-4956-96a2-5a9f22803457</v>
      </c>
      <c r="MG51" s="15" t="str">
        <f>IF('Raw Data'!LU39="","",'Raw Data'!LU39)</f>
        <v>2021-04-03T15:17:11</v>
      </c>
      <c r="MH51" s="15" t="str">
        <f>IF('Raw Data'!LV39="","",'Raw Data'!LV39)</f>
        <v/>
      </c>
      <c r="MI51" s="15" t="str">
        <f>IF('Raw Data'!LW39="","",'Raw Data'!LW39)</f>
        <v>[]</v>
      </c>
      <c r="MJ51" s="15" t="str">
        <f>IF('Raw Data'!LX39="","",'Raw Data'!LX39)</f>
        <v>submitted_via_web</v>
      </c>
      <c r="MK51" s="15" t="str">
        <f>IF('Raw Data'!LY39="","",'Raw Data'!LY39)</f>
        <v>reach_niger</v>
      </c>
      <c r="ML51" s="15" t="str">
        <f>IF('Raw Data'!LZ39="","",'Raw Data'!LZ39)</f>
        <v/>
      </c>
      <c r="MM51" s="15">
        <f>IF('Raw Data'!MA39="","",'Raw Data'!MA39)</f>
        <v>40</v>
      </c>
    </row>
    <row r="52" spans="1:351" x14ac:dyDescent="0.3">
      <c r="A52" s="26" t="str">
        <f t="shared" si="4"/>
        <v>4705e4cd-2e11-492b-a954-8e0c4049f138</v>
      </c>
      <c r="B52" s="26" t="str">
        <f t="shared" si="5"/>
        <v>abala</v>
      </c>
      <c r="C52" s="26" t="str">
        <f t="shared" si="6"/>
        <v>J</v>
      </c>
      <c r="D52" s="14" t="str">
        <f>IF('Raw Data'!A11="","",'Raw Data'!A11)</f>
        <v>2021-03-31T12:44:17.458+01:00</v>
      </c>
      <c r="E52" s="14" t="str">
        <f>IF('Raw Data'!B11="","",'Raw Data'!B11)</f>
        <v>2021-04-01T08:28:05.251+01:00</v>
      </c>
      <c r="F52" s="30">
        <v>44286.530752314815</v>
      </c>
      <c r="G52" s="30">
        <v>44287.352835648147</v>
      </c>
      <c r="H52" s="29">
        <f>VLOOKUP(A52,Audit[#All],2,FALSE)</f>
        <v>1183.8</v>
      </c>
      <c r="I52" s="29">
        <f>VLOOKUP(A52,Audit[#All],3,FALSE)</f>
        <v>38.71</v>
      </c>
      <c r="J52" s="29">
        <f>VLOOKUP(A52,Audit[#All],4,FALSE)</f>
        <v>34.840000000000003</v>
      </c>
      <c r="K52" s="29">
        <f>VLOOKUP(A52,nb_questions[#All],2,FALSE)</f>
        <v>170</v>
      </c>
      <c r="L52" s="29">
        <f t="shared" si="7"/>
        <v>178</v>
      </c>
      <c r="M52" s="14" t="str">
        <f>IF('Raw Data'!C11="","",'Raw Data'!C11)</f>
        <v>2021-03-31</v>
      </c>
      <c r="N52" s="14" t="str">
        <f>IF('Raw Data'!D11="","",'Raw Data'!D11)</f>
        <v/>
      </c>
      <c r="O52" s="14" t="str">
        <f>IF('Raw Data'!E11="","",'Raw Data'!E11)</f>
        <v/>
      </c>
      <c r="P52" s="29" t="str">
        <f>VLOOKUP(A52,code_enqueteurs[#All],3,FALSE)</f>
        <v>J</v>
      </c>
      <c r="Q52" s="29" t="s">
        <v>1654</v>
      </c>
      <c r="R52" s="14" t="str">
        <f>IF('Raw Data'!F11="","",'Raw Data'!F11)</f>
        <v>Femme</v>
      </c>
      <c r="S52" s="15" t="str">
        <f>IF('Raw Data'!G11="","",'Raw Data'!G11)</f>
        <v>abala</v>
      </c>
      <c r="T52" s="15" t="str">
        <f>IF('Raw Data'!H11="","",'Raw Data'!H11)</f>
        <v>abala</v>
      </c>
      <c r="U52" s="15" t="str">
        <f>IF('Raw Data'!I11="","",'Raw Data'!I11)</f>
        <v>abala_pdi</v>
      </c>
      <c r="V52" s="15" t="str">
        <f>IF('Raw Data'!J11="","",'Raw Data'!J11)</f>
        <v/>
      </c>
      <c r="W52" s="15" t="str">
        <f>IF('Raw Data'!K11="","",'Raw Data'!K11)</f>
        <v/>
      </c>
      <c r="X52" s="15" t="str">
        <f>IF('Raw Data'!L11="","",'Raw Data'!L11)</f>
        <v/>
      </c>
      <c r="Y52" s="15" t="str">
        <f>IF('Raw Data'!M11="","",'Raw Data'!M11)</f>
        <v/>
      </c>
      <c r="Z52" s="15" t="str">
        <f>IF('Raw Data'!N11="","",'Raw Data'!N11)</f>
        <v/>
      </c>
      <c r="AA52" s="15" t="str">
        <f>IF('Raw Data'!O11="","",'Raw Data'!O11)</f>
        <v/>
      </c>
      <c r="AB52" s="15" t="str">
        <f>IF('Raw Data'!P11="","",'Raw Data'!P11)</f>
        <v/>
      </c>
      <c r="AC52" s="15" t="str">
        <f>IF('Raw Data'!Q11="","",'Raw Data'!Q11)</f>
        <v/>
      </c>
      <c r="AD52" s="15" t="str">
        <f>IF('Raw Data'!R11="","",'Raw Data'!R11)</f>
        <v>Homme</v>
      </c>
      <c r="AE52" s="15" t="str">
        <f>IF('Raw Data'!S11="","",'Raw Data'!S11)</f>
        <v>55</v>
      </c>
      <c r="AF52" s="15" t="str">
        <f>IF('Raw Data'!T11="","",'Raw Data'!T11)</f>
        <v>deplace_interne</v>
      </c>
      <c r="AG52" s="15" t="str">
        <f>IF('Raw Data'!U11="","",'Raw Data'!U11)</f>
        <v/>
      </c>
      <c r="AH52" s="15" t="str">
        <f>IF('Raw Data'!V11="","",'Raw Data'!V11)</f>
        <v/>
      </c>
      <c r="AI52" s="15" t="str">
        <f>IF('Raw Data'!W11="","",'Raw Data'!W11)</f>
        <v/>
      </c>
      <c r="AJ52" s="15" t="str">
        <f>IF('Raw Data'!X11="","",'Raw Data'!X11)</f>
        <v/>
      </c>
      <c r="AK52" s="15" t="str">
        <f>IF('Raw Data'!Y11="","",'Raw Data'!Y11)</f>
        <v/>
      </c>
      <c r="AL52" s="15" t="str">
        <f>IF('Raw Data'!Z11="","",'Raw Data'!Z11)</f>
        <v>niger</v>
      </c>
      <c r="AM52" s="15" t="str">
        <f>IF('Raw Data'!AA11="","",'Raw Data'!AA11)</f>
        <v>tillaberi</v>
      </c>
      <c r="AN52" s="15" t="str">
        <f>IF('Raw Data'!AB11="","",'Raw Data'!AB11)</f>
        <v>abala</v>
      </c>
      <c r="AO52" s="15" t="str">
        <f>IF('Raw Data'!AC11="","",'Raw Data'!AC11)</f>
        <v/>
      </c>
      <c r="AP52" s="15" t="str">
        <f>IF('Raw Data'!AD11="","",'Raw Data'!AD11)</f>
        <v/>
      </c>
      <c r="AQ52" s="15" t="str">
        <f>IF('Raw Data'!AE11="","",'Raw Data'!AE11)</f>
        <v/>
      </c>
      <c r="AR52" s="15" t="str">
        <f>IF('Raw Data'!AF11="","",'Raw Data'!AF11)</f>
        <v/>
      </c>
      <c r="AS52" s="15" t="str">
        <f>IF('Raw Data'!AG11="","",'Raw Data'!AG11)</f>
        <v>non</v>
      </c>
      <c r="AT52" s="15" t="str">
        <f>IF('Raw Data'!AH11="","",'Raw Data'!AH11)</f>
        <v/>
      </c>
      <c r="AU52" s="15" t="str">
        <f>IF('Raw Data'!AI11="","",'Raw Data'!AI11)</f>
        <v/>
      </c>
      <c r="AV52" s="15" t="str">
        <f>IF('Raw Data'!AJ11="","",'Raw Data'!AJ11)</f>
        <v/>
      </c>
      <c r="AW52" s="15" t="str">
        <f>IF('Raw Data'!AK11="","",'Raw Data'!AK11)</f>
        <v/>
      </c>
      <c r="AX52" s="15" t="str">
        <f>IF('Raw Data'!AL11="","",'Raw Data'!AL11)</f>
        <v/>
      </c>
      <c r="AY52" s="15" t="str">
        <f>IF('Raw Data'!AM11="","",'Raw Data'!AM11)</f>
        <v/>
      </c>
      <c r="AZ52" s="15" t="str">
        <f>IF('Raw Data'!AN11="","",'Raw Data'!AN11)</f>
        <v/>
      </c>
      <c r="BA52" s="15" t="str">
        <f>IF('Raw Data'!AO11="","",'Raw Data'!AO11)</f>
        <v/>
      </c>
      <c r="BB52" s="15" t="str">
        <f>IF('Raw Data'!AP11="","",'Raw Data'!AP11)</f>
        <v/>
      </c>
      <c r="BC52" s="15" t="str">
        <f>IF('Raw Data'!AQ11="","",'Raw Data'!AQ11)</f>
        <v/>
      </c>
      <c r="BD52" s="15" t="str">
        <f>IF('Raw Data'!AR11="","",'Raw Data'!AR11)</f>
        <v/>
      </c>
      <c r="BE52" s="15" t="str">
        <f>IF('Raw Data'!AS11="","",'Raw Data'!AS11)</f>
        <v/>
      </c>
      <c r="BF52" s="15" t="str">
        <f>IF('Raw Data'!AT11="","",'Raw Data'!AT11)</f>
        <v/>
      </c>
      <c r="BG52" s="15" t="str">
        <f>IF('Raw Data'!AU11="","",'Raw Data'!AU11)</f>
        <v/>
      </c>
      <c r="BH52" s="15" t="str">
        <f>IF('Raw Data'!AV11="","",'Raw Data'!AV11)</f>
        <v/>
      </c>
      <c r="BI52" s="15" t="str">
        <f>IF('Raw Data'!AW11="","",'Raw Data'!AW11)</f>
        <v/>
      </c>
      <c r="BJ52" s="15" t="str">
        <f>IF('Raw Data'!AX11="","",'Raw Data'!AX11)</f>
        <v/>
      </c>
      <c r="BK52" s="15" t="str">
        <f>IF('Raw Data'!AY11="","",'Raw Data'!AY11)</f>
        <v/>
      </c>
      <c r="BL52" s="15" t="str">
        <f>IF('Raw Data'!AZ11="","",'Raw Data'!AZ11)</f>
        <v/>
      </c>
      <c r="BM52" s="15" t="str">
        <f>IF('Raw Data'!BA11="","",'Raw Data'!BA11)</f>
        <v/>
      </c>
      <c r="BN52" s="15" t="str">
        <f>IF('Raw Data'!BB11="","",'Raw Data'!BB11)</f>
        <v/>
      </c>
      <c r="BO52" s="15" t="str">
        <f>IF('Raw Data'!BC11="","",'Raw Data'!BC11)</f>
        <v/>
      </c>
      <c r="BP52" s="15" t="str">
        <f>IF('Raw Data'!BD11="","",'Raw Data'!BD11)</f>
        <v/>
      </c>
      <c r="BQ52" s="15" t="str">
        <f>IF('Raw Data'!BE11="","",'Raw Data'!BE11)</f>
        <v/>
      </c>
      <c r="BR52" s="15" t="str">
        <f>IF('Raw Data'!BF11="","",'Raw Data'!BF11)</f>
        <v/>
      </c>
      <c r="BS52" s="15" t="str">
        <f>IF('Raw Data'!BG11="","",'Raw Data'!BG11)</f>
        <v/>
      </c>
      <c r="BT52" s="15" t="str">
        <f>IF('Raw Data'!BH11="","",'Raw Data'!BH11)</f>
        <v/>
      </c>
      <c r="BU52" s="15" t="str">
        <f>IF('Raw Data'!BI11="","",'Raw Data'!BI11)</f>
        <v/>
      </c>
      <c r="BV52" s="15" t="str">
        <f>IF('Raw Data'!BJ11="","",'Raw Data'!BJ11)</f>
        <v/>
      </c>
      <c r="BW52" s="15" t="str">
        <f>IF('Raw Data'!BK11="","",'Raw Data'!BK11)</f>
        <v/>
      </c>
      <c r="BX52" s="15" t="str">
        <f>IF('Raw Data'!BL11="","",'Raw Data'!BL11)</f>
        <v/>
      </c>
      <c r="BY52" s="15" t="str">
        <f>IF('Raw Data'!BM11="","",'Raw Data'!BM11)</f>
        <v/>
      </c>
      <c r="BZ52" s="15" t="str">
        <f>IF('Raw Data'!BN11="","",'Raw Data'!BN11)</f>
        <v/>
      </c>
      <c r="CA52" s="15" t="str">
        <f>IF('Raw Data'!BO11="","",'Raw Data'!BO11)</f>
        <v/>
      </c>
      <c r="CB52" s="15" t="str">
        <f>IF('Raw Data'!BP11="","",'Raw Data'!BP11)</f>
        <v/>
      </c>
      <c r="CC52" s="15" t="str">
        <f>IF('Raw Data'!BQ11="","",'Raw Data'!BQ11)</f>
        <v>non</v>
      </c>
      <c r="CD52" s="15" t="str">
        <f>IF('Raw Data'!BR11="","",'Raw Data'!BR11)</f>
        <v/>
      </c>
      <c r="CE52" s="15" t="str">
        <f>IF('Raw Data'!BS11="","",'Raw Data'!BS11)</f>
        <v/>
      </c>
      <c r="CF52" s="15" t="str">
        <f>IF('Raw Data'!BT11="","",'Raw Data'!BT11)</f>
        <v/>
      </c>
      <c r="CG52" s="15" t="str">
        <f>IF('Raw Data'!BU11="","",'Raw Data'!BU11)</f>
        <v/>
      </c>
      <c r="CH52" s="15" t="str">
        <f>IF('Raw Data'!BV11="","",'Raw Data'!BV11)</f>
        <v/>
      </c>
      <c r="CI52" s="15" t="str">
        <f>IF('Raw Data'!BW11="","",'Raw Data'!BW11)</f>
        <v/>
      </c>
      <c r="CJ52" s="15" t="str">
        <f>IF('Raw Data'!BX11="","",'Raw Data'!BX11)</f>
        <v/>
      </c>
      <c r="CK52" s="15" t="str">
        <f>IF('Raw Data'!BY11="","",'Raw Data'!BY11)</f>
        <v/>
      </c>
      <c r="CL52" s="15" t="str">
        <f>IF('Raw Data'!BZ11="","",'Raw Data'!BZ11)</f>
        <v/>
      </c>
      <c r="CM52" s="15" t="str">
        <f>IF('Raw Data'!CA11="","",'Raw Data'!CA11)</f>
        <v/>
      </c>
      <c r="CN52" s="15" t="str">
        <f>IF('Raw Data'!CB11="","",'Raw Data'!CB11)</f>
        <v/>
      </c>
      <c r="CO52" s="15" t="str">
        <f>IF('Raw Data'!CC11="","",'Raw Data'!CC11)</f>
        <v/>
      </c>
      <c r="CP52" s="15" t="str">
        <f>IF('Raw Data'!CD11="","",'Raw Data'!CD11)</f>
        <v/>
      </c>
      <c r="CQ52" s="15" t="str">
        <f>IF('Raw Data'!CE11="","",'Raw Data'!CE11)</f>
        <v/>
      </c>
      <c r="CR52" s="15" t="str">
        <f>IF('Raw Data'!CF11="","",'Raw Data'!CF11)</f>
        <v/>
      </c>
      <c r="CS52" s="15" t="str">
        <f>IF('Raw Data'!CG11="","",'Raw Data'!CG11)</f>
        <v/>
      </c>
      <c r="CT52" s="15" t="str">
        <f>IF('Raw Data'!CH11="","",'Raw Data'!CH11)</f>
        <v/>
      </c>
      <c r="CU52" s="15" t="str">
        <f>IF('Raw Data'!CI11="","",'Raw Data'!CI11)</f>
        <v/>
      </c>
      <c r="CV52" s="15" t="str">
        <f>IF('Raw Data'!CJ11="","",'Raw Data'!CJ11)</f>
        <v/>
      </c>
      <c r="CW52" s="15" t="str">
        <f>IF('Raw Data'!CK11="","",'Raw Data'!CK11)</f>
        <v/>
      </c>
      <c r="CX52" s="15" t="str">
        <f>IF('Raw Data'!CL11="","",'Raw Data'!CL11)</f>
        <v/>
      </c>
      <c r="CY52" s="15" t="str">
        <f>IF('Raw Data'!CM11="","",'Raw Data'!CM11)</f>
        <v/>
      </c>
      <c r="CZ52" s="15" t="str">
        <f>IF('Raw Data'!CN11="","",'Raw Data'!CN11)</f>
        <v/>
      </c>
      <c r="DA52" s="15" t="str">
        <f>IF('Raw Data'!CO11="","",'Raw Data'!CO11)</f>
        <v/>
      </c>
      <c r="DB52" s="15" t="str">
        <f>IF('Raw Data'!CP11="","",'Raw Data'!CP11)</f>
        <v/>
      </c>
      <c r="DC52" s="15" t="str">
        <f>IF('Raw Data'!CQ11="","",'Raw Data'!CQ11)</f>
        <v/>
      </c>
      <c r="DD52" s="15" t="str">
        <f>IF('Raw Data'!CR11="","",'Raw Data'!CR11)</f>
        <v/>
      </c>
      <c r="DE52" s="15" t="str">
        <f>IF('Raw Data'!CS11="","",'Raw Data'!CS11)</f>
        <v/>
      </c>
      <c r="DF52" s="15" t="str">
        <f>IF('Raw Data'!CT11="","",'Raw Data'!CT11)</f>
        <v/>
      </c>
      <c r="DG52" s="15" t="str">
        <f>IF('Raw Data'!CU11="","",'Raw Data'!CU11)</f>
        <v/>
      </c>
      <c r="DH52" s="15" t="str">
        <f>IF('Raw Data'!CV11="","",'Raw Data'!CV11)</f>
        <v/>
      </c>
      <c r="DI52" s="15" t="str">
        <f>IF('Raw Data'!CW11="","",'Raw Data'!CW11)</f>
        <v/>
      </c>
      <c r="DJ52" s="15" t="str">
        <f>IF('Raw Data'!CX11="","",'Raw Data'!CX11)</f>
        <v/>
      </c>
      <c r="DK52" s="15" t="str">
        <f>IF('Raw Data'!CY11="","",'Raw Data'!CY11)</f>
        <v/>
      </c>
      <c r="DL52" s="15" t="str">
        <f>IF('Raw Data'!CZ11="","",'Raw Data'!CZ11)</f>
        <v/>
      </c>
      <c r="DM52" s="15" t="str">
        <f>IF('Raw Data'!DA11="","",'Raw Data'!DA11)</f>
        <v/>
      </c>
      <c r="DN52" s="15" t="str">
        <f>IF('Raw Data'!DB11="","",'Raw Data'!DB11)</f>
        <v/>
      </c>
      <c r="DO52" s="15" t="str">
        <f>IF('Raw Data'!DC11="","",'Raw Data'!DC11)</f>
        <v/>
      </c>
      <c r="DP52" s="15" t="str">
        <f>IF('Raw Data'!DD11="","",'Raw Data'!DD11)</f>
        <v/>
      </c>
      <c r="DQ52" s="15" t="str">
        <f>IF('Raw Data'!DE11="","",'Raw Data'!DE11)</f>
        <v/>
      </c>
      <c r="DR52" s="15" t="str">
        <f>IF('Raw Data'!DF11="","",'Raw Data'!DF11)</f>
        <v/>
      </c>
      <c r="DS52" s="15" t="str">
        <f>IF('Raw Data'!DG11="","",'Raw Data'!DG11)</f>
        <v/>
      </c>
      <c r="DT52" s="15" t="str">
        <f>IF('Raw Data'!DH11="","",'Raw Data'!DH11)</f>
        <v/>
      </c>
      <c r="DU52" s="15" t="str">
        <f>IF('Raw Data'!DI11="","",'Raw Data'!DI11)</f>
        <v/>
      </c>
      <c r="DV52" s="15" t="str">
        <f>IF('Raw Data'!DJ11="","",'Raw Data'!DJ11)</f>
        <v/>
      </c>
      <c r="DW52" s="15" t="str">
        <f>IF('Raw Data'!DK11="","",'Raw Data'!DK11)</f>
        <v/>
      </c>
      <c r="DX52" s="15" t="str">
        <f>IF('Raw Data'!DL11="","",'Raw Data'!DL11)</f>
        <v/>
      </c>
      <c r="DY52" s="15" t="str">
        <f>IF('Raw Data'!DM11="","",'Raw Data'!DM11)</f>
        <v/>
      </c>
      <c r="DZ52" s="15" t="str">
        <f>IF('Raw Data'!DN11="","",'Raw Data'!DN11)</f>
        <v/>
      </c>
      <c r="EA52" s="15" t="str">
        <f>IF('Raw Data'!DO11="","",'Raw Data'!DO11)</f>
        <v/>
      </c>
      <c r="EB52" s="15" t="str">
        <f>IF('Raw Data'!DP11="","",'Raw Data'!DP11)</f>
        <v/>
      </c>
      <c r="EC52" s="15" t="str">
        <f>IF('Raw Data'!DQ11="","",'Raw Data'!DQ11)</f>
        <v/>
      </c>
      <c r="ED52" s="15" t="str">
        <f>IF('Raw Data'!DR11="","",'Raw Data'!DR11)</f>
        <v/>
      </c>
      <c r="EE52" s="15" t="str">
        <f>IF('Raw Data'!DS11="","",'Raw Data'!DS11)</f>
        <v/>
      </c>
      <c r="EF52" s="15" t="str">
        <f>IF('Raw Data'!DT11="","",'Raw Data'!DT11)</f>
        <v/>
      </c>
      <c r="EG52" s="15" t="str">
        <f>IF('Raw Data'!DU11="","",'Raw Data'!DU11)</f>
        <v/>
      </c>
      <c r="EH52" s="15" t="str">
        <f>IF('Raw Data'!DV11="","",'Raw Data'!DV11)</f>
        <v/>
      </c>
      <c r="EI52" s="15" t="str">
        <f>IF('Raw Data'!DW11="","",'Raw Data'!DW11)</f>
        <v/>
      </c>
      <c r="EJ52" s="15" t="str">
        <f>IF('Raw Data'!DX11="","",'Raw Data'!DX11)</f>
        <v/>
      </c>
      <c r="EK52" s="15" t="str">
        <f>IF('Raw Data'!DY11="","",'Raw Data'!DY11)</f>
        <v/>
      </c>
      <c r="EL52" s="15" t="str">
        <f>IF('Raw Data'!DZ11="","",'Raw Data'!DZ11)</f>
        <v>Soutien_famille_amis Soutien_psychosocial</v>
      </c>
      <c r="EM52" s="15" t="str">
        <f>IF('Raw Data'!EA11="","",'Raw Data'!EA11)</f>
        <v>0</v>
      </c>
      <c r="EN52" s="15" t="str">
        <f>IF('Raw Data'!EB11="","",'Raw Data'!EB11)</f>
        <v>0</v>
      </c>
      <c r="EO52" s="15" t="str">
        <f>IF('Raw Data'!EC11="","",'Raw Data'!EC11)</f>
        <v>1</v>
      </c>
      <c r="EP52" s="15" t="str">
        <f>IF('Raw Data'!ED11="","",'Raw Data'!ED11)</f>
        <v>0</v>
      </c>
      <c r="EQ52" s="15" t="str">
        <f>IF('Raw Data'!EE11="","",'Raw Data'!EE11)</f>
        <v>1</v>
      </c>
      <c r="ER52" s="15" t="str">
        <f>IF('Raw Data'!EF11="","",'Raw Data'!EF11)</f>
        <v>0</v>
      </c>
      <c r="ES52" s="15" t="str">
        <f>IF('Raw Data'!EG11="","",'Raw Data'!EG11)</f>
        <v>0</v>
      </c>
      <c r="ET52" s="15" t="str">
        <f>IF('Raw Data'!EH11="","",'Raw Data'!EH11)</f>
        <v>0</v>
      </c>
      <c r="EU52" s="15" t="str">
        <f>IF('Raw Data'!EI11="","",'Raw Data'!EI11)</f>
        <v>0</v>
      </c>
      <c r="EV52" s="15" t="str">
        <f>IF('Raw Data'!EJ11="","",'Raw Data'!EJ11)</f>
        <v/>
      </c>
      <c r="EW52" s="15" t="str">
        <f>IF('Raw Data'!EK11="","",'Raw Data'!EK11)</f>
        <v/>
      </c>
      <c r="EX52" s="15" t="str">
        <f>IF('Raw Data'!EL11="","",'Raw Data'!EL11)</f>
        <v>femmes_elite comite_protection comite_gestion_conflits</v>
      </c>
      <c r="EY52" s="15" t="str">
        <f>IF('Raw Data'!EM11="","",'Raw Data'!EM11)</f>
        <v>1</v>
      </c>
      <c r="EZ52" s="15" t="str">
        <f>IF('Raw Data'!EN11="","",'Raw Data'!EN11)</f>
        <v>1</v>
      </c>
      <c r="FA52" s="15" t="str">
        <f>IF('Raw Data'!EO11="","",'Raw Data'!EO11)</f>
        <v>0</v>
      </c>
      <c r="FB52" s="15" t="str">
        <f>IF('Raw Data'!EP11="","",'Raw Data'!EP11)</f>
        <v>0</v>
      </c>
      <c r="FC52" s="15" t="str">
        <f>IF('Raw Data'!EQ11="","",'Raw Data'!EQ11)</f>
        <v>0</v>
      </c>
      <c r="FD52" s="15" t="str">
        <f>IF('Raw Data'!ER11="","",'Raw Data'!ER11)</f>
        <v>1</v>
      </c>
      <c r="FE52" s="15" t="str">
        <f>IF('Raw Data'!ES11="","",'Raw Data'!ES11)</f>
        <v>0</v>
      </c>
      <c r="FF52" s="15" t="str">
        <f>IF('Raw Data'!ET11="","",'Raw Data'!ET11)</f>
        <v>0</v>
      </c>
      <c r="FG52" s="15" t="str">
        <f>IF('Raw Data'!EU11="","",'Raw Data'!EU11)</f>
        <v>0</v>
      </c>
      <c r="FH52" s="15" t="str">
        <f>IF('Raw Data'!EV11="","",'Raw Data'!EV11)</f>
        <v>0</v>
      </c>
      <c r="FI52" s="15" t="str">
        <f>IF('Raw Data'!EW11="","",'Raw Data'!EW11)</f>
        <v/>
      </c>
      <c r="FJ52" s="15" t="str">
        <f>IF('Raw Data'!EX11="","",'Raw Data'!EX11)</f>
        <v>oui</v>
      </c>
      <c r="FK52" s="15" t="str">
        <f>IF('Raw Data'!EY11="","",'Raw Data'!EY11)</f>
        <v>Radio_television</v>
      </c>
      <c r="FL52" s="15" t="str">
        <f>IF('Raw Data'!EZ11="","",'Raw Data'!EZ11)</f>
        <v>1</v>
      </c>
      <c r="FM52" s="15" t="str">
        <f>IF('Raw Data'!FA11="","",'Raw Data'!FA11)</f>
        <v>0</v>
      </c>
      <c r="FN52" s="15" t="str">
        <f>IF('Raw Data'!FB11="","",'Raw Data'!FB11)</f>
        <v>0</v>
      </c>
      <c r="FO52" s="15" t="str">
        <f>IF('Raw Data'!FC11="","",'Raw Data'!FC11)</f>
        <v>0</v>
      </c>
      <c r="FP52" s="15" t="str">
        <f>IF('Raw Data'!FD11="","",'Raw Data'!FD11)</f>
        <v>0</v>
      </c>
      <c r="FQ52" s="15" t="str">
        <f>IF('Raw Data'!FE11="","",'Raw Data'!FE11)</f>
        <v>0</v>
      </c>
      <c r="FR52" s="15" t="str">
        <f>IF('Raw Data'!FF11="","",'Raw Data'!FF11)</f>
        <v>0</v>
      </c>
      <c r="FS52" s="15" t="str">
        <f>IF('Raw Data'!FG11="","",'Raw Data'!FG11)</f>
        <v>0</v>
      </c>
      <c r="FT52" s="15" t="str">
        <f>IF('Raw Data'!FH11="","",'Raw Data'!FH11)</f>
        <v>0</v>
      </c>
      <c r="FU52" s="15" t="str">
        <f>IF('Raw Data'!FI11="","",'Raw Data'!FI11)</f>
        <v>0</v>
      </c>
      <c r="FV52" s="15" t="str">
        <f>IF('Raw Data'!FJ11="","",'Raw Data'!FJ11)</f>
        <v>0</v>
      </c>
      <c r="FW52" s="15" t="str">
        <f>IF('Raw Data'!FK11="","",'Raw Data'!FK11)</f>
        <v>0</v>
      </c>
      <c r="FX52" s="15" t="str">
        <f>IF('Raw Data'!FL11="","",'Raw Data'!FL11)</f>
        <v>0</v>
      </c>
      <c r="FY52" s="15" t="str">
        <f>IF('Raw Data'!FM11="","",'Raw Data'!FM11)</f>
        <v>0</v>
      </c>
      <c r="FZ52" s="15" t="str">
        <f>IF('Raw Data'!FN11="","",'Raw Data'!FN11)</f>
        <v/>
      </c>
      <c r="GA52" s="15" t="str">
        <f>IF('Raw Data'!FO11="","",'Raw Data'!FO11)</f>
        <v>oui_ensemble</v>
      </c>
      <c r="GB52" s="15" t="str">
        <f>IF('Raw Data'!FP11="","",'Raw Data'!FP11)</f>
        <v>oui_ensemble</v>
      </c>
      <c r="GC52" s="15" t="str">
        <f>IF('Raw Data'!FQ11="","",'Raw Data'!FQ11)</f>
        <v/>
      </c>
      <c r="GD52" s="15" t="str">
        <f>IF('Raw Data'!FR11="","",'Raw Data'!FR11)</f>
        <v/>
      </c>
      <c r="GE52" s="15" t="str">
        <f>IF('Raw Data'!FS11="","",'Raw Data'!FS11)</f>
        <v/>
      </c>
      <c r="GF52" s="15" t="str">
        <f>IF('Raw Data'!FT11="","",'Raw Data'!FT11)</f>
        <v/>
      </c>
      <c r="GG52" s="15" t="str">
        <f>IF('Raw Data'!FU11="","",'Raw Data'!FU11)</f>
        <v/>
      </c>
      <c r="GH52" s="15" t="str">
        <f>IF('Raw Data'!FV11="","",'Raw Data'!FV11)</f>
        <v/>
      </c>
      <c r="GI52" s="15" t="str">
        <f>IF('Raw Data'!FW11="","",'Raw Data'!FW11)</f>
        <v/>
      </c>
      <c r="GJ52" s="15" t="str">
        <f>IF('Raw Data'!FX11="","",'Raw Data'!FX11)</f>
        <v/>
      </c>
      <c r="GK52" s="15" t="str">
        <f>IF('Raw Data'!FY11="","",'Raw Data'!FY11)</f>
        <v/>
      </c>
      <c r="GL52" s="15" t="str">
        <f>IF('Raw Data'!FZ11="","",'Raw Data'!FZ11)</f>
        <v/>
      </c>
      <c r="GM52" s="15" t="str">
        <f>IF('Raw Data'!GA11="","",'Raw Data'!GA11)</f>
        <v>ensemble</v>
      </c>
      <c r="GN52" s="15" t="str">
        <f>IF('Raw Data'!GB11="","",'Raw Data'!GB11)</f>
        <v>ensemble</v>
      </c>
      <c r="GO52" s="15" t="str">
        <f>IF('Raw Data'!GC11="","",'Raw Data'!GC11)</f>
        <v>Services_de_sante Education</v>
      </c>
      <c r="GP52" s="15" t="str">
        <f>IF('Raw Data'!GD11="","",'Raw Data'!GD11)</f>
        <v>0</v>
      </c>
      <c r="GQ52" s="15" t="str">
        <f>IF('Raw Data'!GE11="","",'Raw Data'!GE11)</f>
        <v>1</v>
      </c>
      <c r="GR52" s="15" t="str">
        <f>IF('Raw Data'!GF11="","",'Raw Data'!GF11)</f>
        <v>0</v>
      </c>
      <c r="GS52" s="15" t="str">
        <f>IF('Raw Data'!GG11="","",'Raw Data'!GG11)</f>
        <v>1</v>
      </c>
      <c r="GT52" s="15" t="str">
        <f>IF('Raw Data'!GH11="","",'Raw Data'!GH11)</f>
        <v>0</v>
      </c>
      <c r="GU52" s="15" t="str">
        <f>IF('Raw Data'!GI11="","",'Raw Data'!GI11)</f>
        <v>0</v>
      </c>
      <c r="GV52" s="15" t="str">
        <f>IF('Raw Data'!GJ11="","",'Raw Data'!GJ11)</f>
        <v>0</v>
      </c>
      <c r="GW52" s="15" t="str">
        <f>IF('Raw Data'!GK11="","",'Raw Data'!GK11)</f>
        <v>0</v>
      </c>
      <c r="GX52" s="15" t="str">
        <f>IF('Raw Data'!GL11="","",'Raw Data'!GL11)</f>
        <v>0</v>
      </c>
      <c r="GY52" s="15" t="str">
        <f>IF('Raw Data'!GM11="","",'Raw Data'!GM11)</f>
        <v/>
      </c>
      <c r="GZ52" s="15" t="str">
        <f>IF('Raw Data'!GN11="","",'Raw Data'!GN11)</f>
        <v>oui_ensemble</v>
      </c>
      <c r="HA52" s="15" t="str">
        <f>IF('Raw Data'!GO11="","",'Raw Data'!GO11)</f>
        <v>oui_ensemble</v>
      </c>
      <c r="HB52" s="15" t="str">
        <f>IF('Raw Data'!GP11="","",'Raw Data'!GP11)</f>
        <v>repond_besoins_pop</v>
      </c>
      <c r="HC52" s="15" t="str">
        <f>IF('Raw Data'!GQ11="","",'Raw Data'!GQ11)</f>
        <v>0</v>
      </c>
      <c r="HD52" s="15" t="str">
        <f>IF('Raw Data'!GR11="","",'Raw Data'!GR11)</f>
        <v>1</v>
      </c>
      <c r="HE52" s="15" t="str">
        <f>IF('Raw Data'!GS11="","",'Raw Data'!GS11)</f>
        <v>0</v>
      </c>
      <c r="HF52" s="15" t="str">
        <f>IF('Raw Data'!GT11="","",'Raw Data'!GT11)</f>
        <v>0</v>
      </c>
      <c r="HG52" s="15" t="str">
        <f>IF('Raw Data'!GU11="","",'Raw Data'!GU11)</f>
        <v>0</v>
      </c>
      <c r="HH52" s="15" t="str">
        <f>IF('Raw Data'!GV11="","",'Raw Data'!GV11)</f>
        <v>0</v>
      </c>
      <c r="HI52" s="15" t="str">
        <f>IF('Raw Data'!GW11="","",'Raw Data'!GW11)</f>
        <v>0</v>
      </c>
      <c r="HJ52" s="15" t="str">
        <f>IF('Raw Data'!GX11="","",'Raw Data'!GX11)</f>
        <v>0</v>
      </c>
      <c r="HK52" s="15" t="str">
        <f>IF('Raw Data'!GY11="","",'Raw Data'!GY11)</f>
        <v/>
      </c>
      <c r="HL52" s="31"/>
      <c r="HM52" s="31"/>
      <c r="HN52" s="31"/>
      <c r="HO52" s="31"/>
      <c r="HP52" s="31"/>
      <c r="HQ52" s="31"/>
      <c r="HR52" s="31"/>
      <c r="HS52" s="31"/>
      <c r="HT52" s="15" t="str">
        <f>IF('Raw Data'!HH11="","",'Raw Data'!HH11)</f>
        <v/>
      </c>
      <c r="HU52" s="15" t="str">
        <f>IF('Raw Data'!HI11="","",'Raw Data'!HI11)</f>
        <v>non</v>
      </c>
      <c r="HV52" s="15" t="str">
        <f>IF('Raw Data'!HJ11="","",'Raw Data'!HJ11)</f>
        <v/>
      </c>
      <c r="HW52" s="15" t="str">
        <f>IF('Raw Data'!HK11="","",'Raw Data'!HK11)</f>
        <v/>
      </c>
      <c r="HX52" s="15" t="str">
        <f>IF('Raw Data'!HL11="","",'Raw Data'!HL11)</f>
        <v/>
      </c>
      <c r="HY52" s="15" t="str">
        <f>IF('Raw Data'!HM11="","",'Raw Data'!HM11)</f>
        <v/>
      </c>
      <c r="HZ52" s="15" t="str">
        <f>IF('Raw Data'!HN11="","",'Raw Data'!HN11)</f>
        <v/>
      </c>
      <c r="IA52" s="15" t="str">
        <f>IF('Raw Data'!HO11="","",'Raw Data'!HO11)</f>
        <v/>
      </c>
      <c r="IB52" s="15" t="str">
        <f>IF('Raw Data'!HP11="","",'Raw Data'!HP11)</f>
        <v/>
      </c>
      <c r="IC52" s="15" t="str">
        <f>IF('Raw Data'!HQ11="","",'Raw Data'!HQ11)</f>
        <v/>
      </c>
      <c r="ID52" s="15" t="str">
        <f>IF('Raw Data'!HR11="","",'Raw Data'!HR11)</f>
        <v/>
      </c>
      <c r="IE52" s="15" t="str">
        <f>IF('Raw Data'!HS11="","",'Raw Data'!HS11)</f>
        <v/>
      </c>
      <c r="IF52" s="15" t="str">
        <f>IF('Raw Data'!HT11="","",'Raw Data'!HT11)</f>
        <v/>
      </c>
      <c r="IG52" s="15" t="str">
        <f>IF('Raw Data'!HU11="","",'Raw Data'!HU11)</f>
        <v/>
      </c>
      <c r="IH52" s="15" t="str">
        <f>IF('Raw Data'!HV11="","",'Raw Data'!HV11)</f>
        <v>oui</v>
      </c>
      <c r="II52" s="15" t="str">
        <f>IF('Raw Data'!HW11="","",'Raw Data'!HW11)</f>
        <v/>
      </c>
      <c r="IJ52" s="15" t="str">
        <f>IF('Raw Data'!HX11="","",'Raw Data'!HX11)</f>
        <v/>
      </c>
      <c r="IK52" s="15" t="str">
        <f>IF('Raw Data'!HY11="","",'Raw Data'!HY11)</f>
        <v/>
      </c>
      <c r="IL52" s="15" t="str">
        <f>IF('Raw Data'!HZ11="","",'Raw Data'!HZ11)</f>
        <v/>
      </c>
      <c r="IM52" s="15" t="str">
        <f>IF('Raw Data'!IA11="","",'Raw Data'!IA11)</f>
        <v/>
      </c>
      <c r="IN52" s="15" t="str">
        <f>IF('Raw Data'!IB11="","",'Raw Data'!IB11)</f>
        <v/>
      </c>
      <c r="IO52" s="15" t="str">
        <f>IF('Raw Data'!IC11="","",'Raw Data'!IC11)</f>
        <v/>
      </c>
      <c r="IP52" s="15" t="str">
        <f>IF('Raw Data'!ID11="","",'Raw Data'!ID11)</f>
        <v/>
      </c>
      <c r="IQ52" s="15" t="str">
        <f>IF('Raw Data'!IE11="","",'Raw Data'!IE11)</f>
        <v/>
      </c>
      <c r="IR52" s="15" t="str">
        <f>IF('Raw Data'!IF11="","",'Raw Data'!IF11)</f>
        <v/>
      </c>
      <c r="IS52" s="15" t="str">
        <f>IF('Raw Data'!IG11="","",'Raw Data'!IG11)</f>
        <v/>
      </c>
      <c r="IT52" s="15" t="str">
        <f>IF('Raw Data'!IH11="","",'Raw Data'!IH11)</f>
        <v/>
      </c>
      <c r="IU52" s="15" t="str">
        <f>IF('Raw Data'!II11="","",'Raw Data'!II11)</f>
        <v/>
      </c>
      <c r="IV52" s="15" t="str">
        <f>IF('Raw Data'!IJ11="","",'Raw Data'!IJ11)</f>
        <v/>
      </c>
      <c r="IW52" s="15" t="str">
        <f>IF('Raw Data'!IK11="","",'Raw Data'!IK11)</f>
        <v/>
      </c>
      <c r="IX52" s="15" t="str">
        <f>IF('Raw Data'!IL11="","",'Raw Data'!IL11)</f>
        <v/>
      </c>
      <c r="IY52" s="15" t="str">
        <f>IF('Raw Data'!IM11="","",'Raw Data'!IM11)</f>
        <v/>
      </c>
      <c r="IZ52" s="15" t="str">
        <f>IF('Raw Data'!IN11="","",'Raw Data'!IN11)</f>
        <v>50</v>
      </c>
      <c r="JA52" s="15" t="str">
        <f>IF('Raw Data'!IO11="","",'Raw Data'!IO11)</f>
        <v>Services_educatifs Services_medicaux acces_docs</v>
      </c>
      <c r="JB52" s="15" t="str">
        <f>IF('Raw Data'!IP11="","",'Raw Data'!IP11)</f>
        <v>0</v>
      </c>
      <c r="JC52" s="15" t="str">
        <f>IF('Raw Data'!IQ11="","",'Raw Data'!IQ11)</f>
        <v>1</v>
      </c>
      <c r="JD52" s="15" t="str">
        <f>IF('Raw Data'!IR11="","",'Raw Data'!IR11)</f>
        <v>1</v>
      </c>
      <c r="JE52" s="15" t="str">
        <f>IF('Raw Data'!IS11="","",'Raw Data'!IS11)</f>
        <v>0</v>
      </c>
      <c r="JF52" s="15" t="str">
        <f>IF('Raw Data'!IT11="","",'Raw Data'!IT11)</f>
        <v>1</v>
      </c>
      <c r="JG52" s="15" t="str">
        <f>IF('Raw Data'!IU11="","",'Raw Data'!IU11)</f>
        <v>0</v>
      </c>
      <c r="JH52" s="15" t="str">
        <f>IF('Raw Data'!IV11="","",'Raw Data'!IV11)</f>
        <v>0</v>
      </c>
      <c r="JI52" s="15" t="str">
        <f>IF('Raw Data'!IW11="","",'Raw Data'!IW11)</f>
        <v>0</v>
      </c>
      <c r="JJ52" s="15" t="str">
        <f>IF('Raw Data'!IX11="","",'Raw Data'!IX11)</f>
        <v>0</v>
      </c>
      <c r="JK52" s="15" t="str">
        <f>IF('Raw Data'!IY11="","",'Raw Data'!IY11)</f>
        <v>0</v>
      </c>
      <c r="JL52" s="15" t="str">
        <f>IF('Raw Data'!IZ11="","",'Raw Data'!IZ11)</f>
        <v/>
      </c>
      <c r="JM52" s="15" t="str">
        <f>IF('Raw Data'!JA11="","",'Raw Data'!JA11)</f>
        <v>prise_enchage reorientation</v>
      </c>
      <c r="JN52" s="15" t="str">
        <f>IF('Raw Data'!JB11="","",'Raw Data'!JB11)</f>
        <v>1</v>
      </c>
      <c r="JO52" s="15" t="str">
        <f>IF('Raw Data'!JC11="","",'Raw Data'!JC11)</f>
        <v>1</v>
      </c>
      <c r="JP52" s="15" t="str">
        <f>IF('Raw Data'!JD11="","",'Raw Data'!JD11)</f>
        <v>0</v>
      </c>
      <c r="JQ52" s="15" t="str">
        <f>IF('Raw Data'!JE11="","",'Raw Data'!JE11)</f>
        <v>0</v>
      </c>
      <c r="JR52" s="15" t="str">
        <f>IF('Raw Data'!JF11="","",'Raw Data'!JF11)</f>
        <v>0</v>
      </c>
      <c r="JS52" s="15" t="str">
        <f>IF('Raw Data'!JG11="","",'Raw Data'!JG11)</f>
        <v>0</v>
      </c>
      <c r="JT52" s="15" t="str">
        <f>IF('Raw Data'!JH11="","",'Raw Data'!JH11)</f>
        <v/>
      </c>
      <c r="JU52" s="15" t="str">
        <f>IF('Raw Data'!JI11="","",'Raw Data'!JI11)</f>
        <v>point_ecoute</v>
      </c>
      <c r="JV52" s="15" t="str">
        <f>IF('Raw Data'!JJ11="","",'Raw Data'!JJ11)</f>
        <v>0</v>
      </c>
      <c r="JW52" s="15" t="str">
        <f>IF('Raw Data'!JK11="","",'Raw Data'!JK11)</f>
        <v>0</v>
      </c>
      <c r="JX52" s="15" t="str">
        <f>IF('Raw Data'!JL11="","",'Raw Data'!JL11)</f>
        <v>1</v>
      </c>
      <c r="JY52" s="15" t="str">
        <f>IF('Raw Data'!JM11="","",'Raw Data'!JM11)</f>
        <v>0</v>
      </c>
      <c r="JZ52" s="15" t="str">
        <f>IF('Raw Data'!JN11="","",'Raw Data'!JN11)</f>
        <v>0</v>
      </c>
      <c r="KA52" s="15" t="str">
        <f>IF('Raw Data'!JO11="","",'Raw Data'!JO11)</f>
        <v>0</v>
      </c>
      <c r="KB52" s="15" t="str">
        <f>IF('Raw Data'!JP11="","",'Raw Data'!JP11)</f>
        <v>0</v>
      </c>
      <c r="KC52" s="15" t="str">
        <f>IF('Raw Data'!JQ11="","",'Raw Data'!JQ11)</f>
        <v>0</v>
      </c>
      <c r="KD52" s="15" t="str">
        <f>IF('Raw Data'!JR11="","",'Raw Data'!JR11)</f>
        <v>0</v>
      </c>
      <c r="KE52" s="15" t="str">
        <f>IF('Raw Data'!JS11="","",'Raw Data'!JS11)</f>
        <v/>
      </c>
      <c r="KF52" s="15" t="str">
        <f>IF('Raw Data'!JT11="","",'Raw Data'!JT11)</f>
        <v>juridique medical</v>
      </c>
      <c r="KG52" s="15" t="str">
        <f>IF('Raw Data'!JU11="","",'Raw Data'!JU11)</f>
        <v>1</v>
      </c>
      <c r="KH52" s="15" t="str">
        <f>IF('Raw Data'!JV11="","",'Raw Data'!JV11)</f>
        <v>0</v>
      </c>
      <c r="KI52" s="15" t="str">
        <f>IF('Raw Data'!JW11="","",'Raw Data'!JW11)</f>
        <v>0</v>
      </c>
      <c r="KJ52" s="15" t="str">
        <f>IF('Raw Data'!JX11="","",'Raw Data'!JX11)</f>
        <v>1</v>
      </c>
      <c r="KK52" s="15" t="str">
        <f>IF('Raw Data'!JY11="","",'Raw Data'!JY11)</f>
        <v>0</v>
      </c>
      <c r="KL52" s="15" t="str">
        <f>IF('Raw Data'!JZ11="","",'Raw Data'!JZ11)</f>
        <v>0</v>
      </c>
      <c r="KM52" s="15" t="str">
        <f>IF('Raw Data'!KA11="","",'Raw Data'!KA11)</f>
        <v>0</v>
      </c>
      <c r="KN52" s="15" t="str">
        <f>IF('Raw Data'!KB11="","",'Raw Data'!KB11)</f>
        <v>0</v>
      </c>
      <c r="KO52" s="15" t="str">
        <f>IF('Raw Data'!KC11="","",'Raw Data'!KC11)</f>
        <v>0</v>
      </c>
      <c r="KP52" s="15" t="str">
        <f>IF('Raw Data'!KD11="","",'Raw Data'!KD11)</f>
        <v/>
      </c>
      <c r="KQ52" s="15" t="str">
        <f>IF('Raw Data'!KE11="","",'Raw Data'!KE11)</f>
        <v/>
      </c>
      <c r="KR52" s="15" t="str">
        <f>IF('Raw Data'!KF11="","",'Raw Data'!KF11)</f>
        <v>oui</v>
      </c>
      <c r="KS52" s="15" t="str">
        <f>IF('Raw Data'!KG11="","",'Raw Data'!KG11)</f>
        <v>insecurite_zone manque_moyens</v>
      </c>
      <c r="KT52" s="15" t="str">
        <f>IF('Raw Data'!KH11="","",'Raw Data'!KH11)</f>
        <v>1</v>
      </c>
      <c r="KU52" s="15" t="str">
        <f>IF('Raw Data'!KI11="","",'Raw Data'!KI11)</f>
        <v>0</v>
      </c>
      <c r="KV52" s="15" t="str">
        <f>IF('Raw Data'!KJ11="","",'Raw Data'!KJ11)</f>
        <v>0</v>
      </c>
      <c r="KW52" s="15" t="str">
        <f>IF('Raw Data'!KK11="","",'Raw Data'!KK11)</f>
        <v>0</v>
      </c>
      <c r="KX52" s="15" t="str">
        <f>IF('Raw Data'!KL11="","",'Raw Data'!KL11)</f>
        <v>1</v>
      </c>
      <c r="KY52" s="15" t="str">
        <f>IF('Raw Data'!KM11="","",'Raw Data'!KM11)</f>
        <v>0</v>
      </c>
      <c r="KZ52" s="15" t="str">
        <f>IF('Raw Data'!KN11="","",'Raw Data'!KN11)</f>
        <v>0</v>
      </c>
      <c r="LA52" s="15" t="str">
        <f>IF('Raw Data'!KO11="","",'Raw Data'!KO11)</f>
        <v>0</v>
      </c>
      <c r="LB52" s="15" t="str">
        <f>IF('Raw Data'!KP11="","",'Raw Data'!KP11)</f>
        <v>0</v>
      </c>
      <c r="LC52" s="15" t="str">
        <f>IF('Raw Data'!KQ11="","",'Raw Data'!KQ11)</f>
        <v>0</v>
      </c>
      <c r="LD52" s="15" t="str">
        <f>IF('Raw Data'!KR11="","",'Raw Data'!KR11)</f>
        <v>0</v>
      </c>
      <c r="LE52" s="15" t="str">
        <f>IF('Raw Data'!KS11="","",'Raw Data'!KS11)</f>
        <v/>
      </c>
      <c r="LF52" s="15" t="str">
        <f>IF('Raw Data'!KT11="","",'Raw Data'!KT11)</f>
        <v/>
      </c>
      <c r="LG52" s="15" t="str">
        <f>IF('Raw Data'!KU11="","",'Raw Data'!KU11)</f>
        <v/>
      </c>
      <c r="LH52" s="15" t="str">
        <f>IF('Raw Data'!KV11="","",'Raw Data'!KV11)</f>
        <v/>
      </c>
      <c r="LI52" s="15" t="str">
        <f>IF('Raw Data'!KW11="","",'Raw Data'!KW11)</f>
        <v/>
      </c>
      <c r="LJ52" s="15" t="str">
        <f>IF('Raw Data'!KX11="","",'Raw Data'!KX11)</f>
        <v/>
      </c>
      <c r="LK52" s="15" t="str">
        <f>IF('Raw Data'!KY11="","",'Raw Data'!KY11)</f>
        <v/>
      </c>
      <c r="LL52" s="15" t="str">
        <f>IF('Raw Data'!KZ11="","",'Raw Data'!KZ11)</f>
        <v/>
      </c>
      <c r="LM52" s="15" t="str">
        <f>IF('Raw Data'!LA11="","",'Raw Data'!LA11)</f>
        <v/>
      </c>
      <c r="LN52" s="15" t="str">
        <f>IF('Raw Data'!LB11="","",'Raw Data'!LB11)</f>
        <v>non</v>
      </c>
      <c r="LO52" s="15" t="str">
        <f>IF('Raw Data'!LC11="","",'Raw Data'!LC11)</f>
        <v/>
      </c>
      <c r="LP52" s="15" t="str">
        <f>IF('Raw Data'!LD11="","",'Raw Data'!LD11)</f>
        <v/>
      </c>
      <c r="LQ52" s="15" t="str">
        <f>IF('Raw Data'!LE11="","",'Raw Data'!LE11)</f>
        <v/>
      </c>
      <c r="LR52" s="15" t="str">
        <f>IF('Raw Data'!LF11="","",'Raw Data'!LF11)</f>
        <v/>
      </c>
      <c r="LS52" s="15" t="str">
        <f>IF('Raw Data'!LG11="","",'Raw Data'!LG11)</f>
        <v/>
      </c>
      <c r="LT52" s="15" t="str">
        <f>IF('Raw Data'!LH11="","",'Raw Data'!LH11)</f>
        <v/>
      </c>
      <c r="LU52" s="15" t="str">
        <f>IF('Raw Data'!LI11="","",'Raw Data'!LI11)</f>
        <v/>
      </c>
      <c r="LV52" s="15" t="str">
        <f>IF('Raw Data'!LJ11="","",'Raw Data'!LJ11)</f>
        <v/>
      </c>
      <c r="LW52" s="15" t="str">
        <f>IF('Raw Data'!LK11="","",'Raw Data'!LK11)</f>
        <v/>
      </c>
      <c r="LX52" s="15" t="str">
        <f>IF('Raw Data'!LL11="","",'Raw Data'!LL11)</f>
        <v/>
      </c>
      <c r="LY52" s="15" t="str">
        <f>IF('Raw Data'!LM11="","",'Raw Data'!LM11)</f>
        <v/>
      </c>
      <c r="LZ52" s="15" t="str">
        <f>IF('Raw Data'!LN11="","",'Raw Data'!LN11)</f>
        <v/>
      </c>
      <c r="MA52" s="15" t="str">
        <f>IF('Raw Data'!LO11="","",'Raw Data'!LO11)</f>
        <v/>
      </c>
      <c r="MB52" s="15" t="str">
        <f>IF('Raw Data'!LP11="","",'Raw Data'!LP11)</f>
        <v>oui</v>
      </c>
      <c r="MC52" s="15" t="str">
        <f>IF('Raw Data'!LQ11="","",'Raw Data'!LQ11)</f>
        <v/>
      </c>
      <c r="MD52" s="31"/>
      <c r="ME52" s="15">
        <f>IF('Raw Data'!LS11="","",'Raw Data'!LS11)</f>
        <v>169049290</v>
      </c>
      <c r="MF52" s="15" t="str">
        <f>IF('Raw Data'!LT11="","",'Raw Data'!LT11)</f>
        <v>4705e4cd-2e11-492b-a954-8e0c4049f138</v>
      </c>
      <c r="MG52" s="15" t="str">
        <f>IF('Raw Data'!LU11="","",'Raw Data'!LU11)</f>
        <v>2021-04-01T07:57:55</v>
      </c>
      <c r="MH52" s="15" t="str">
        <f>IF('Raw Data'!LV11="","",'Raw Data'!LV11)</f>
        <v/>
      </c>
      <c r="MI52" s="15" t="str">
        <f>IF('Raw Data'!LW11="","",'Raw Data'!LW11)</f>
        <v>[]</v>
      </c>
      <c r="MJ52" s="15" t="str">
        <f>IF('Raw Data'!LX11="","",'Raw Data'!LX11)</f>
        <v>submitted_via_web</v>
      </c>
      <c r="MK52" s="15" t="str">
        <f>IF('Raw Data'!LY11="","",'Raw Data'!LY11)</f>
        <v>reach_niger</v>
      </c>
      <c r="ML52" s="15" t="str">
        <f>IF('Raw Data'!LZ11="","",'Raw Data'!LZ11)</f>
        <v/>
      </c>
      <c r="MM52" s="15">
        <f>IF('Raw Data'!MA11="","",'Raw Data'!MA11)</f>
        <v>10</v>
      </c>
    </row>
    <row r="53" spans="1:351" x14ac:dyDescent="0.3">
      <c r="A53" s="26" t="str">
        <f t="shared" si="4"/>
        <v>38fe8d2d-7084-478b-a88e-1ed43400b505</v>
      </c>
      <c r="B53" s="26" t="str">
        <f t="shared" si="5"/>
        <v>abala</v>
      </c>
      <c r="C53" s="26" t="str">
        <f t="shared" si="6"/>
        <v>J</v>
      </c>
      <c r="D53" s="14" t="str">
        <f>IF('Raw Data'!A12="","",'Raw Data'!A12)</f>
        <v>2021-03-31T15:41:03.814+01:00</v>
      </c>
      <c r="E53" s="14" t="str">
        <f>IF('Raw Data'!B12="","",'Raw Data'!B12)</f>
        <v>2021-04-01T08:28:17.479+01:00</v>
      </c>
      <c r="F53" s="30">
        <v>44286.653506944444</v>
      </c>
      <c r="G53" s="30">
        <v>44287.35297453704</v>
      </c>
      <c r="H53" s="29">
        <f>VLOOKUP(A53,Audit[#All],2,FALSE)</f>
        <v>1007.23</v>
      </c>
      <c r="I53" s="29">
        <f>VLOOKUP(A53,Audit[#All],3,FALSE)</f>
        <v>40.28</v>
      </c>
      <c r="J53" s="29">
        <f>VLOOKUP(A53,Audit[#All],4,FALSE)</f>
        <v>37.090000000000003</v>
      </c>
      <c r="K53" s="29">
        <f>VLOOKUP(A53,nb_questions[#All],2,FALSE)</f>
        <v>130</v>
      </c>
      <c r="L53" s="29">
        <f t="shared" si="7"/>
        <v>66</v>
      </c>
      <c r="M53" s="14" t="str">
        <f>IF('Raw Data'!C12="","",'Raw Data'!C12)</f>
        <v>2021-03-31</v>
      </c>
      <c r="N53" s="14" t="str">
        <f>IF('Raw Data'!D12="","",'Raw Data'!D12)</f>
        <v/>
      </c>
      <c r="O53" s="14" t="str">
        <f>IF('Raw Data'!E12="","",'Raw Data'!E12)</f>
        <v/>
      </c>
      <c r="P53" s="29" t="str">
        <f>VLOOKUP(A53,code_enqueteurs[#All],3,FALSE)</f>
        <v>J</v>
      </c>
      <c r="Q53" s="29" t="s">
        <v>1654</v>
      </c>
      <c r="R53" s="14" t="str">
        <f>IF('Raw Data'!F12="","",'Raw Data'!F12)</f>
        <v>Femme</v>
      </c>
      <c r="S53" s="15" t="str">
        <f>IF('Raw Data'!G12="","",'Raw Data'!G12)</f>
        <v>abala</v>
      </c>
      <c r="T53" s="15" t="str">
        <f>IF('Raw Data'!H12="","",'Raw Data'!H12)</f>
        <v>abala</v>
      </c>
      <c r="U53" s="15" t="str">
        <f>IF('Raw Data'!I12="","",'Raw Data'!I12)</f>
        <v>abala_ref</v>
      </c>
      <c r="V53" s="15" t="str">
        <f>IF('Raw Data'!J12="","",'Raw Data'!J12)</f>
        <v/>
      </c>
      <c r="W53" s="15" t="str">
        <f>IF('Raw Data'!K12="","",'Raw Data'!K12)</f>
        <v/>
      </c>
      <c r="X53" s="15" t="str">
        <f>IF('Raw Data'!L12="","",'Raw Data'!L12)</f>
        <v/>
      </c>
      <c r="Y53" s="15" t="str">
        <f>IF('Raw Data'!M12="","",'Raw Data'!M12)</f>
        <v/>
      </c>
      <c r="Z53" s="15" t="str">
        <f>IF('Raw Data'!N12="","",'Raw Data'!N12)</f>
        <v/>
      </c>
      <c r="AA53" s="15" t="str">
        <f>IF('Raw Data'!O12="","",'Raw Data'!O12)</f>
        <v/>
      </c>
      <c r="AB53" s="15" t="str">
        <f>IF('Raw Data'!P12="","",'Raw Data'!P12)</f>
        <v/>
      </c>
      <c r="AC53" s="15" t="str">
        <f>IF('Raw Data'!Q12="","",'Raw Data'!Q12)</f>
        <v/>
      </c>
      <c r="AD53" s="15" t="str">
        <f>IF('Raw Data'!R12="","",'Raw Data'!R12)</f>
        <v>Femme</v>
      </c>
      <c r="AE53" s="15" t="str">
        <f>IF('Raw Data'!S12="","",'Raw Data'!S12)</f>
        <v>18</v>
      </c>
      <c r="AF53" s="15" t="str">
        <f>IF('Raw Data'!T12="","",'Raw Data'!T12)</f>
        <v>refugie</v>
      </c>
      <c r="AG53" s="15" t="str">
        <f>IF('Raw Data'!U12="","",'Raw Data'!U12)</f>
        <v/>
      </c>
      <c r="AH53" s="15" t="str">
        <f>IF('Raw Data'!V12="","",'Raw Data'!V12)</f>
        <v/>
      </c>
      <c r="AI53" s="15" t="str">
        <f>IF('Raw Data'!W12="","",'Raw Data'!W12)</f>
        <v/>
      </c>
      <c r="AJ53" s="15" t="str">
        <f>IF('Raw Data'!X12="","",'Raw Data'!X12)</f>
        <v/>
      </c>
      <c r="AK53" s="15" t="str">
        <f>IF('Raw Data'!Y12="","",'Raw Data'!Y12)</f>
        <v/>
      </c>
      <c r="AL53" s="15" t="str">
        <f>IF('Raw Data'!Z12="","",'Raw Data'!Z12)</f>
        <v>mali</v>
      </c>
      <c r="AM53" s="15" t="str">
        <f>IF('Raw Data'!AA12="","",'Raw Data'!AA12)</f>
        <v>menaka</v>
      </c>
      <c r="AN53" s="15" t="str">
        <f>IF('Raw Data'!AB12="","",'Raw Data'!AB12)</f>
        <v>anderamboukane</v>
      </c>
      <c r="AO53" s="15" t="str">
        <f>IF('Raw Data'!AC12="","",'Raw Data'!AC12)</f>
        <v/>
      </c>
      <c r="AP53" s="15" t="str">
        <f>IF('Raw Data'!AD12="","",'Raw Data'!AD12)</f>
        <v/>
      </c>
      <c r="AQ53" s="15" t="str">
        <f>IF('Raw Data'!AE12="","",'Raw Data'!AE12)</f>
        <v/>
      </c>
      <c r="AR53" s="15" t="str">
        <f>IF('Raw Data'!AF12="","",'Raw Data'!AF12)</f>
        <v/>
      </c>
      <c r="AS53" s="15" t="str">
        <f>IF('Raw Data'!AG12="","",'Raw Data'!AG12)</f>
        <v>oui</v>
      </c>
      <c r="AT53" s="15" t="str">
        <f>IF('Raw Data'!AH12="","",'Raw Data'!AH12)</f>
        <v>Vols_braquages Violences_physique_civils</v>
      </c>
      <c r="AU53" s="15" t="str">
        <f>IF('Raw Data'!AI12="","",'Raw Data'!AI12)</f>
        <v>0</v>
      </c>
      <c r="AV53" s="15" t="str">
        <f>IF('Raw Data'!AJ12="","",'Raw Data'!AJ12)</f>
        <v>0</v>
      </c>
      <c r="AW53" s="15" t="str">
        <f>IF('Raw Data'!AK12="","",'Raw Data'!AK12)</f>
        <v>1</v>
      </c>
      <c r="AX53" s="15" t="str">
        <f>IF('Raw Data'!AL12="","",'Raw Data'!AL12)</f>
        <v>0</v>
      </c>
      <c r="AY53" s="15" t="str">
        <f>IF('Raw Data'!AM12="","",'Raw Data'!AM12)</f>
        <v>1</v>
      </c>
      <c r="AZ53" s="15" t="str">
        <f>IF('Raw Data'!AN12="","",'Raw Data'!AN12)</f>
        <v>0</v>
      </c>
      <c r="BA53" s="15" t="str">
        <f>IF('Raw Data'!AO12="","",'Raw Data'!AO12)</f>
        <v>0</v>
      </c>
      <c r="BB53" s="15" t="str">
        <f>IF('Raw Data'!AP12="","",'Raw Data'!AP12)</f>
        <v>0</v>
      </c>
      <c r="BC53" s="15" t="str">
        <f>IF('Raw Data'!AQ12="","",'Raw Data'!AQ12)</f>
        <v>0</v>
      </c>
      <c r="BD53" s="15" t="str">
        <f>IF('Raw Data'!AR12="","",'Raw Data'!AR12)</f>
        <v>0</v>
      </c>
      <c r="BE53" s="15" t="str">
        <f>IF('Raw Data'!AS12="","",'Raw Data'!AS12)</f>
        <v>0</v>
      </c>
      <c r="BF53" s="15" t="str">
        <f>IF('Raw Data'!AT12="","",'Raw Data'!AT12)</f>
        <v>0</v>
      </c>
      <c r="BG53" s="15" t="str">
        <f>IF('Raw Data'!AU12="","",'Raw Data'!AU12)</f>
        <v>0</v>
      </c>
      <c r="BH53" s="15" t="str">
        <f>IF('Raw Data'!AV12="","",'Raw Data'!AV12)</f>
        <v>0</v>
      </c>
      <c r="BI53" s="15" t="str">
        <f>IF('Raw Data'!AW12="","",'Raw Data'!AW12)</f>
        <v/>
      </c>
      <c r="BJ53" s="15" t="str">
        <f>IF('Raw Data'!AX12="","",'Raw Data'!AX12)</f>
        <v>Toute_population</v>
      </c>
      <c r="BK53" s="15" t="str">
        <f>IF('Raw Data'!AY12="","",'Raw Data'!AY12)</f>
        <v>0</v>
      </c>
      <c r="BL53" s="15" t="str">
        <f>IF('Raw Data'!AZ12="","",'Raw Data'!AZ12)</f>
        <v>0</v>
      </c>
      <c r="BM53" s="15" t="str">
        <f>IF('Raw Data'!BA12="","",'Raw Data'!BA12)</f>
        <v>0</v>
      </c>
      <c r="BN53" s="15" t="str">
        <f>IF('Raw Data'!BB12="","",'Raw Data'!BB12)</f>
        <v>0</v>
      </c>
      <c r="BO53" s="15" t="str">
        <f>IF('Raw Data'!BC12="","",'Raw Data'!BC12)</f>
        <v>0</v>
      </c>
      <c r="BP53" s="15" t="str">
        <f>IF('Raw Data'!BD12="","",'Raw Data'!BD12)</f>
        <v>0</v>
      </c>
      <c r="BQ53" s="15" t="str">
        <f>IF('Raw Data'!BE12="","",'Raw Data'!BE12)</f>
        <v>0</v>
      </c>
      <c r="BR53" s="15" t="str">
        <f>IF('Raw Data'!BF12="","",'Raw Data'!BF12)</f>
        <v>0</v>
      </c>
      <c r="BS53" s="15" t="str">
        <f>IF('Raw Data'!BG12="","",'Raw Data'!BG12)</f>
        <v>0</v>
      </c>
      <c r="BT53" s="15" t="str">
        <f>IF('Raw Data'!BH12="","",'Raw Data'!BH12)</f>
        <v>0</v>
      </c>
      <c r="BU53" s="15" t="str">
        <f>IF('Raw Data'!BI12="","",'Raw Data'!BI12)</f>
        <v>1</v>
      </c>
      <c r="BV53" s="15" t="str">
        <f>IF('Raw Data'!BJ12="","",'Raw Data'!BJ12)</f>
        <v>0</v>
      </c>
      <c r="BW53" s="15" t="str">
        <f>IF('Raw Data'!BK12="","",'Raw Data'!BK12)</f>
        <v>0</v>
      </c>
      <c r="BX53" s="15" t="str">
        <f>IF('Raw Data'!BL12="","",'Raw Data'!BL12)</f>
        <v>0</v>
      </c>
      <c r="BY53" s="15" t="str">
        <f>IF('Raw Data'!BM12="","",'Raw Data'!BM12)</f>
        <v/>
      </c>
      <c r="BZ53" s="15" t="str">
        <f>IF('Raw Data'!BN12="","",'Raw Data'!BN12)</f>
        <v>4</v>
      </c>
      <c r="CA53" s="15" t="str">
        <f>IF('Raw Data'!BO12="","",'Raw Data'!BO12)</f>
        <v>augmente</v>
      </c>
      <c r="CB53" s="15" t="str">
        <f>IF('Raw Data'!BP12="","",'Raw Data'!BP12)</f>
        <v/>
      </c>
      <c r="CC53" s="15" t="str">
        <f>IF('Raw Data'!BQ12="","",'Raw Data'!BQ12)</f>
        <v>oui</v>
      </c>
      <c r="CD53" s="15" t="str">
        <f>IF('Raw Data'!BR12="","",'Raw Data'!BR12)</f>
        <v>viol enscrimination_acces_services</v>
      </c>
      <c r="CE53" s="15" t="str">
        <f>IF('Raw Data'!BS12="","",'Raw Data'!BS12)</f>
        <v>1</v>
      </c>
      <c r="CF53" s="15" t="str">
        <f>IF('Raw Data'!BT12="","",'Raw Data'!BT12)</f>
        <v>0</v>
      </c>
      <c r="CG53" s="15" t="str">
        <f>IF('Raw Data'!BU12="","",'Raw Data'!BU12)</f>
        <v>0</v>
      </c>
      <c r="CH53" s="15" t="str">
        <f>IF('Raw Data'!BV12="","",'Raw Data'!BV12)</f>
        <v>0</v>
      </c>
      <c r="CI53" s="15" t="str">
        <f>IF('Raw Data'!BW12="","",'Raw Data'!BW12)</f>
        <v>0</v>
      </c>
      <c r="CJ53" s="15" t="str">
        <f>IF('Raw Data'!BX12="","",'Raw Data'!BX12)</f>
        <v>0</v>
      </c>
      <c r="CK53" s="15" t="str">
        <f>IF('Raw Data'!BY12="","",'Raw Data'!BY12)</f>
        <v>0</v>
      </c>
      <c r="CL53" s="15" t="str">
        <f>IF('Raw Data'!BZ12="","",'Raw Data'!BZ12)</f>
        <v>0</v>
      </c>
      <c r="CM53" s="15" t="str">
        <f>IF('Raw Data'!CA12="","",'Raw Data'!CA12)</f>
        <v>0</v>
      </c>
      <c r="CN53" s="15" t="str">
        <f>IF('Raw Data'!CB12="","",'Raw Data'!CB12)</f>
        <v>0</v>
      </c>
      <c r="CO53" s="15" t="str">
        <f>IF('Raw Data'!CC12="","",'Raw Data'!CC12)</f>
        <v>0</v>
      </c>
      <c r="CP53" s="15" t="str">
        <f>IF('Raw Data'!CD12="","",'Raw Data'!CD12)</f>
        <v>1</v>
      </c>
      <c r="CQ53" s="15" t="str">
        <f>IF('Raw Data'!CE12="","",'Raw Data'!CE12)</f>
        <v>0</v>
      </c>
      <c r="CR53" s="15" t="str">
        <f>IF('Raw Data'!CF12="","",'Raw Data'!CF12)</f>
        <v>0</v>
      </c>
      <c r="CS53" s="15" t="str">
        <f>IF('Raw Data'!CG12="","",'Raw Data'!CG12)</f>
        <v>0</v>
      </c>
      <c r="CT53" s="15" t="str">
        <f>IF('Raw Data'!CH12="","",'Raw Data'!CH12)</f>
        <v/>
      </c>
      <c r="CU53" s="15" t="str">
        <f>IF('Raw Data'!CI12="","",'Raw Data'!CI12)</f>
        <v>Femmes Hommes</v>
      </c>
      <c r="CV53" s="15" t="str">
        <f>IF('Raw Data'!CJ12="","",'Raw Data'!CJ12)</f>
        <v>0</v>
      </c>
      <c r="CW53" s="15" t="str">
        <f>IF('Raw Data'!CK12="","",'Raw Data'!CK12)</f>
        <v>0</v>
      </c>
      <c r="CX53" s="15" t="str">
        <f>IF('Raw Data'!CL12="","",'Raw Data'!CL12)</f>
        <v>0</v>
      </c>
      <c r="CY53" s="15" t="str">
        <f>IF('Raw Data'!CM12="","",'Raw Data'!CM12)</f>
        <v>0</v>
      </c>
      <c r="CZ53" s="15" t="str">
        <f>IF('Raw Data'!CN12="","",'Raw Data'!CN12)</f>
        <v>1</v>
      </c>
      <c r="DA53" s="15" t="str">
        <f>IF('Raw Data'!CO12="","",'Raw Data'!CO12)</f>
        <v>1</v>
      </c>
      <c r="DB53" s="15" t="str">
        <f>IF('Raw Data'!CP12="","",'Raw Data'!CP12)</f>
        <v>0</v>
      </c>
      <c r="DC53" s="15" t="str">
        <f>IF('Raw Data'!CQ12="","",'Raw Data'!CQ12)</f>
        <v>0</v>
      </c>
      <c r="DD53" s="15" t="str">
        <f>IF('Raw Data'!CR12="","",'Raw Data'!CR12)</f>
        <v>0</v>
      </c>
      <c r="DE53" s="15" t="str">
        <f>IF('Raw Data'!CS12="","",'Raw Data'!CS12)</f>
        <v>0</v>
      </c>
      <c r="DF53" s="15" t="str">
        <f>IF('Raw Data'!CT12="","",'Raw Data'!CT12)</f>
        <v>0</v>
      </c>
      <c r="DG53" s="15" t="str">
        <f>IF('Raw Data'!CU12="","",'Raw Data'!CU12)</f>
        <v>0</v>
      </c>
      <c r="DH53" s="15" t="str">
        <f>IF('Raw Data'!CV12="","",'Raw Data'!CV12)</f>
        <v>0</v>
      </c>
      <c r="DI53" s="15" t="str">
        <f>IF('Raw Data'!CW12="","",'Raw Data'!CW12)</f>
        <v>0</v>
      </c>
      <c r="DJ53" s="15" t="str">
        <f>IF('Raw Data'!CX12="","",'Raw Data'!CX12)</f>
        <v/>
      </c>
      <c r="DK53" s="15" t="str">
        <f>IF('Raw Data'!CY12="","",'Raw Data'!CY12)</f>
        <v>2</v>
      </c>
      <c r="DL53" s="15" t="str">
        <f>IF('Raw Data'!CZ12="","",'Raw Data'!CZ12)</f>
        <v>diminue</v>
      </c>
      <c r="DM53" s="15" t="str">
        <f>IF('Raw Data'!DA12="","",'Raw Data'!DA12)</f>
        <v/>
      </c>
      <c r="DN53" s="15" t="str">
        <f>IF('Raw Data'!DB12="","",'Raw Data'!DB12)</f>
        <v>diminution_moyens_existence hausse_chomeurs</v>
      </c>
      <c r="DO53" s="15" t="str">
        <f>IF('Raw Data'!DC12="","",'Raw Data'!DC12)</f>
        <v>1</v>
      </c>
      <c r="DP53" s="15" t="str">
        <f>IF('Raw Data'!DD12="","",'Raw Data'!DD12)</f>
        <v>0</v>
      </c>
      <c r="DQ53" s="15" t="str">
        <f>IF('Raw Data'!DE12="","",'Raw Data'!DE12)</f>
        <v>0</v>
      </c>
      <c r="DR53" s="15" t="str">
        <f>IF('Raw Data'!DF12="","",'Raw Data'!DF12)</f>
        <v>0</v>
      </c>
      <c r="DS53" s="15" t="str">
        <f>IF('Raw Data'!DG12="","",'Raw Data'!DG12)</f>
        <v>0</v>
      </c>
      <c r="DT53" s="15" t="str">
        <f>IF('Raw Data'!DH12="","",'Raw Data'!DH12)</f>
        <v>0</v>
      </c>
      <c r="DU53" s="15" t="str">
        <f>IF('Raw Data'!DI12="","",'Raw Data'!DI12)</f>
        <v>1</v>
      </c>
      <c r="DV53" s="15" t="str">
        <f>IF('Raw Data'!DJ12="","",'Raw Data'!DJ12)</f>
        <v>0</v>
      </c>
      <c r="DW53" s="15" t="str">
        <f>IF('Raw Data'!DK12="","",'Raw Data'!DK12)</f>
        <v>0</v>
      </c>
      <c r="DX53" s="15" t="str">
        <f>IF('Raw Data'!DL12="","",'Raw Data'!DL12)</f>
        <v>0</v>
      </c>
      <c r="DY53" s="15" t="str">
        <f>IF('Raw Data'!DM12="","",'Raw Data'!DM12)</f>
        <v/>
      </c>
      <c r="DZ53" s="15" t="str">
        <f>IF('Raw Data'!DN12="","",'Raw Data'!DN12)</f>
        <v>dim_tensions_intercomm autre</v>
      </c>
      <c r="EA53" s="15" t="str">
        <f>IF('Raw Data'!DO12="","",'Raw Data'!DO12)</f>
        <v>0</v>
      </c>
      <c r="EB53" s="15" t="str">
        <f>IF('Raw Data'!DP12="","",'Raw Data'!DP12)</f>
        <v>0</v>
      </c>
      <c r="EC53" s="15" t="str">
        <f>IF('Raw Data'!DQ12="","",'Raw Data'!DQ12)</f>
        <v>0</v>
      </c>
      <c r="ED53" s="15" t="str">
        <f>IF('Raw Data'!DR12="","",'Raw Data'!DR12)</f>
        <v>1</v>
      </c>
      <c r="EE53" s="15" t="str">
        <f>IF('Raw Data'!DS12="","",'Raw Data'!DS12)</f>
        <v>0</v>
      </c>
      <c r="EF53" s="15" t="str">
        <f>IF('Raw Data'!DT12="","",'Raw Data'!DT12)</f>
        <v>0</v>
      </c>
      <c r="EG53" s="15" t="str">
        <f>IF('Raw Data'!DU12="","",'Raw Data'!DU12)</f>
        <v>1</v>
      </c>
      <c r="EH53" s="15" t="str">
        <f>IF('Raw Data'!DV12="","",'Raw Data'!DV12)</f>
        <v>0</v>
      </c>
      <c r="EI53" s="15" t="str">
        <f>IF('Raw Data'!DW12="","",'Raw Data'!DW12)</f>
        <v>0</v>
      </c>
      <c r="EJ53" s="15" t="str">
        <f>IF('Raw Data'!DX12="","",'Raw Data'!DX12)</f>
        <v>Sensibilisation</v>
      </c>
      <c r="EK53" s="15" t="str">
        <f>IF('Raw Data'!DY12="","",'Raw Data'!DY12)</f>
        <v/>
      </c>
      <c r="EL53" s="15" t="str">
        <f>IF('Raw Data'!DZ12="","",'Raw Data'!DZ12)</f>
        <v>Soutien_psychosocial</v>
      </c>
      <c r="EM53" s="15" t="str">
        <f>IF('Raw Data'!EA12="","",'Raw Data'!EA12)</f>
        <v>0</v>
      </c>
      <c r="EN53" s="15" t="str">
        <f>IF('Raw Data'!EB12="","",'Raw Data'!EB12)</f>
        <v>0</v>
      </c>
      <c r="EO53" s="15" t="str">
        <f>IF('Raw Data'!EC12="","",'Raw Data'!EC12)</f>
        <v>0</v>
      </c>
      <c r="EP53" s="15" t="str">
        <f>IF('Raw Data'!ED12="","",'Raw Data'!ED12)</f>
        <v>0</v>
      </c>
      <c r="EQ53" s="15" t="str">
        <f>IF('Raw Data'!EE12="","",'Raw Data'!EE12)</f>
        <v>1</v>
      </c>
      <c r="ER53" s="15" t="str">
        <f>IF('Raw Data'!EF12="","",'Raw Data'!EF12)</f>
        <v>0</v>
      </c>
      <c r="ES53" s="15" t="str">
        <f>IF('Raw Data'!EG12="","",'Raw Data'!EG12)</f>
        <v>0</v>
      </c>
      <c r="ET53" s="15" t="str">
        <f>IF('Raw Data'!EH12="","",'Raw Data'!EH12)</f>
        <v>0</v>
      </c>
      <c r="EU53" s="15" t="str">
        <f>IF('Raw Data'!EI12="","",'Raw Data'!EI12)</f>
        <v>0</v>
      </c>
      <c r="EV53" s="15" t="str">
        <f>IF('Raw Data'!EJ12="","",'Raw Data'!EJ12)</f>
        <v/>
      </c>
      <c r="EW53" s="15" t="str">
        <f>IF('Raw Data'!EK12="","",'Raw Data'!EK12)</f>
        <v/>
      </c>
      <c r="EX53" s="15" t="str">
        <f>IF('Raw Data'!EL12="","",'Raw Data'!EL12)</f>
        <v>femmes_elite comite_protection comite_alerte comite_gestion_conflits</v>
      </c>
      <c r="EY53" s="15" t="str">
        <f>IF('Raw Data'!EM12="","",'Raw Data'!EM12)</f>
        <v>1</v>
      </c>
      <c r="EZ53" s="15" t="str">
        <f>IF('Raw Data'!EN12="","",'Raw Data'!EN12)</f>
        <v>1</v>
      </c>
      <c r="FA53" s="15" t="str">
        <f>IF('Raw Data'!EO12="","",'Raw Data'!EO12)</f>
        <v>0</v>
      </c>
      <c r="FB53" s="15" t="str">
        <f>IF('Raw Data'!EP12="","",'Raw Data'!EP12)</f>
        <v>1</v>
      </c>
      <c r="FC53" s="15" t="str">
        <f>IF('Raw Data'!EQ12="","",'Raw Data'!EQ12)</f>
        <v>0</v>
      </c>
      <c r="FD53" s="15" t="str">
        <f>IF('Raw Data'!ER12="","",'Raw Data'!ER12)</f>
        <v>1</v>
      </c>
      <c r="FE53" s="15" t="str">
        <f>IF('Raw Data'!ES12="","",'Raw Data'!ES12)</f>
        <v>0</v>
      </c>
      <c r="FF53" s="15" t="str">
        <f>IF('Raw Data'!ET12="","",'Raw Data'!ET12)</f>
        <v>0</v>
      </c>
      <c r="FG53" s="15" t="str">
        <f>IF('Raw Data'!EU12="","",'Raw Data'!EU12)</f>
        <v>0</v>
      </c>
      <c r="FH53" s="15" t="str">
        <f>IF('Raw Data'!EV12="","",'Raw Data'!EV12)</f>
        <v>0</v>
      </c>
      <c r="FI53" s="15" t="str">
        <f>IF('Raw Data'!EW12="","",'Raw Data'!EW12)</f>
        <v/>
      </c>
      <c r="FJ53" s="15" t="str">
        <f>IF('Raw Data'!EX12="","",'Raw Data'!EX12)</f>
        <v>oui</v>
      </c>
      <c r="FK53" s="15" t="str">
        <f>IF('Raw Data'!EY12="","",'Raw Data'!EY12)</f>
        <v>Radio_television manif_sociales</v>
      </c>
      <c r="FL53" s="15" t="str">
        <f>IF('Raw Data'!EZ12="","",'Raw Data'!EZ12)</f>
        <v>1</v>
      </c>
      <c r="FM53" s="15" t="str">
        <f>IF('Raw Data'!FA12="","",'Raw Data'!FA12)</f>
        <v>0</v>
      </c>
      <c r="FN53" s="15" t="str">
        <f>IF('Raw Data'!FB12="","",'Raw Data'!FB12)</f>
        <v>0</v>
      </c>
      <c r="FO53" s="15" t="str">
        <f>IF('Raw Data'!FC12="","",'Raw Data'!FC12)</f>
        <v>1</v>
      </c>
      <c r="FP53" s="15" t="str">
        <f>IF('Raw Data'!FD12="","",'Raw Data'!FD12)</f>
        <v>0</v>
      </c>
      <c r="FQ53" s="15" t="str">
        <f>IF('Raw Data'!FE12="","",'Raw Data'!FE12)</f>
        <v>0</v>
      </c>
      <c r="FR53" s="15" t="str">
        <f>IF('Raw Data'!FF12="","",'Raw Data'!FF12)</f>
        <v>0</v>
      </c>
      <c r="FS53" s="15" t="str">
        <f>IF('Raw Data'!FG12="","",'Raw Data'!FG12)</f>
        <v>0</v>
      </c>
      <c r="FT53" s="15" t="str">
        <f>IF('Raw Data'!FH12="","",'Raw Data'!FH12)</f>
        <v>0</v>
      </c>
      <c r="FU53" s="15" t="str">
        <f>IF('Raw Data'!FI12="","",'Raw Data'!FI12)</f>
        <v>0</v>
      </c>
      <c r="FV53" s="15" t="str">
        <f>IF('Raw Data'!FJ12="","",'Raw Data'!FJ12)</f>
        <v>0</v>
      </c>
      <c r="FW53" s="15" t="str">
        <f>IF('Raw Data'!FK12="","",'Raw Data'!FK12)</f>
        <v>0</v>
      </c>
      <c r="FX53" s="15" t="str">
        <f>IF('Raw Data'!FL12="","",'Raw Data'!FL12)</f>
        <v>0</v>
      </c>
      <c r="FY53" s="15" t="str">
        <f>IF('Raw Data'!FM12="","",'Raw Data'!FM12)</f>
        <v>0</v>
      </c>
      <c r="FZ53" s="15" t="str">
        <f>IF('Raw Data'!FN12="","",'Raw Data'!FN12)</f>
        <v/>
      </c>
      <c r="GA53" s="15" t="str">
        <f>IF('Raw Data'!FO12="","",'Raw Data'!FO12)</f>
        <v>oui_ensemble</v>
      </c>
      <c r="GB53" s="15" t="str">
        <f>IF('Raw Data'!FP12="","",'Raw Data'!FP12)</f>
        <v>oui_ensemble</v>
      </c>
      <c r="GC53" s="15" t="str">
        <f>IF('Raw Data'!FQ12="","",'Raw Data'!FQ12)</f>
        <v/>
      </c>
      <c r="GD53" s="15" t="str">
        <f>IF('Raw Data'!FR12="","",'Raw Data'!FR12)</f>
        <v/>
      </c>
      <c r="GE53" s="15" t="str">
        <f>IF('Raw Data'!FS12="","",'Raw Data'!FS12)</f>
        <v/>
      </c>
      <c r="GF53" s="15" t="str">
        <f>IF('Raw Data'!FT12="","",'Raw Data'!FT12)</f>
        <v/>
      </c>
      <c r="GG53" s="15" t="str">
        <f>IF('Raw Data'!FU12="","",'Raw Data'!FU12)</f>
        <v/>
      </c>
      <c r="GH53" s="15" t="str">
        <f>IF('Raw Data'!FV12="","",'Raw Data'!FV12)</f>
        <v/>
      </c>
      <c r="GI53" s="15" t="str">
        <f>IF('Raw Data'!FW12="","",'Raw Data'!FW12)</f>
        <v/>
      </c>
      <c r="GJ53" s="15" t="str">
        <f>IF('Raw Data'!FX12="","",'Raw Data'!FX12)</f>
        <v/>
      </c>
      <c r="GK53" s="15" t="str">
        <f>IF('Raw Data'!FY12="","",'Raw Data'!FY12)</f>
        <v/>
      </c>
      <c r="GL53" s="15" t="str">
        <f>IF('Raw Data'!FZ12="","",'Raw Data'!FZ12)</f>
        <v/>
      </c>
      <c r="GM53" s="15" t="str">
        <f>IF('Raw Data'!GA12="","",'Raw Data'!GA12)</f>
        <v>ensemble</v>
      </c>
      <c r="GN53" s="15" t="str">
        <f>IF('Raw Data'!GB12="","",'Raw Data'!GB12)</f>
        <v>ensemble</v>
      </c>
      <c r="GO53" s="15" t="str">
        <f>IF('Raw Data'!GC12="","",'Raw Data'!GC12)</f>
        <v>Services_de_sante Acces_aux_doc Education</v>
      </c>
      <c r="GP53" s="15" t="str">
        <f>IF('Raw Data'!GD12="","",'Raw Data'!GD12)</f>
        <v>0</v>
      </c>
      <c r="GQ53" s="15" t="str">
        <f>IF('Raw Data'!GE12="","",'Raw Data'!GE12)</f>
        <v>1</v>
      </c>
      <c r="GR53" s="15" t="str">
        <f>IF('Raw Data'!GF12="","",'Raw Data'!GF12)</f>
        <v>0</v>
      </c>
      <c r="GS53" s="15" t="str">
        <f>IF('Raw Data'!GG12="","",'Raw Data'!GG12)</f>
        <v>1</v>
      </c>
      <c r="GT53" s="15" t="str">
        <f>IF('Raw Data'!GH12="","",'Raw Data'!GH12)</f>
        <v>1</v>
      </c>
      <c r="GU53" s="15" t="str">
        <f>IF('Raw Data'!GI12="","",'Raw Data'!GI12)</f>
        <v>0</v>
      </c>
      <c r="GV53" s="15" t="str">
        <f>IF('Raw Data'!GJ12="","",'Raw Data'!GJ12)</f>
        <v>0</v>
      </c>
      <c r="GW53" s="15" t="str">
        <f>IF('Raw Data'!GK12="","",'Raw Data'!GK12)</f>
        <v>0</v>
      </c>
      <c r="GX53" s="15" t="str">
        <f>IF('Raw Data'!GL12="","",'Raw Data'!GL12)</f>
        <v>0</v>
      </c>
      <c r="GY53" s="15" t="str">
        <f>IF('Raw Data'!GM12="","",'Raw Data'!GM12)</f>
        <v/>
      </c>
      <c r="GZ53" s="15" t="str">
        <f>IF('Raw Data'!GN12="","",'Raw Data'!GN12)</f>
        <v>oui_ensemble</v>
      </c>
      <c r="HA53" s="15" t="str">
        <f>IF('Raw Data'!GO12="","",'Raw Data'!GO12)</f>
        <v>oui_ensemble</v>
      </c>
      <c r="HB53" s="15" t="str">
        <f>IF('Raw Data'!GP12="","",'Raw Data'!GP12)</f>
        <v>amelioration_futur repond_besoins_pop</v>
      </c>
      <c r="HC53" s="15" t="str">
        <f>IF('Raw Data'!GQ12="","",'Raw Data'!GQ12)</f>
        <v>1</v>
      </c>
      <c r="HD53" s="15" t="str">
        <f>IF('Raw Data'!GR12="","",'Raw Data'!GR12)</f>
        <v>1</v>
      </c>
      <c r="HE53" s="15" t="str">
        <f>IF('Raw Data'!GS12="","",'Raw Data'!GS12)</f>
        <v>0</v>
      </c>
      <c r="HF53" s="15" t="str">
        <f>IF('Raw Data'!GT12="","",'Raw Data'!GT12)</f>
        <v>0</v>
      </c>
      <c r="HG53" s="15" t="str">
        <f>IF('Raw Data'!GU12="","",'Raw Data'!GU12)</f>
        <v>0</v>
      </c>
      <c r="HH53" s="15" t="str">
        <f>IF('Raw Data'!GV12="","",'Raw Data'!GV12)</f>
        <v>0</v>
      </c>
      <c r="HI53" s="15" t="str">
        <f>IF('Raw Data'!GW12="","",'Raw Data'!GW12)</f>
        <v>0</v>
      </c>
      <c r="HJ53" s="15" t="str">
        <f>IF('Raw Data'!GX12="","",'Raw Data'!GX12)</f>
        <v>0</v>
      </c>
      <c r="HK53" s="15" t="str">
        <f>IF('Raw Data'!GY12="","",'Raw Data'!GY12)</f>
        <v/>
      </c>
      <c r="HL53" s="31"/>
      <c r="HM53" s="31"/>
      <c r="HN53" s="31"/>
      <c r="HO53" s="31"/>
      <c r="HP53" s="31"/>
      <c r="HQ53" s="31"/>
      <c r="HR53" s="31"/>
      <c r="HS53" s="31"/>
      <c r="HT53" s="15" t="str">
        <f>IF('Raw Data'!HH12="","",'Raw Data'!HH12)</f>
        <v/>
      </c>
      <c r="HU53" s="15" t="str">
        <f>IF('Raw Data'!HI12="","",'Raw Data'!HI12)</f>
        <v>oui_ensemble</v>
      </c>
      <c r="HV53" s="15" t="str">
        <f>IF('Raw Data'!HJ12="","",'Raw Data'!HJ12)</f>
        <v>ong_locale autorite_locale_leaders</v>
      </c>
      <c r="HW53" s="15" t="str">
        <f>IF('Raw Data'!HK12="","",'Raw Data'!HK12)</f>
        <v>0</v>
      </c>
      <c r="HX53" s="15" t="str">
        <f>IF('Raw Data'!HL12="","",'Raw Data'!HL12)</f>
        <v>0</v>
      </c>
      <c r="HY53" s="15" t="str">
        <f>IF('Raw Data'!HM12="","",'Raw Data'!HM12)</f>
        <v>1</v>
      </c>
      <c r="HZ53" s="15" t="str">
        <f>IF('Raw Data'!HN12="","",'Raw Data'!HN12)</f>
        <v>0</v>
      </c>
      <c r="IA53" s="15" t="str">
        <f>IF('Raw Data'!HO12="","",'Raw Data'!HO12)</f>
        <v>0</v>
      </c>
      <c r="IB53" s="15" t="str">
        <f>IF('Raw Data'!HP12="","",'Raw Data'!HP12)</f>
        <v>1</v>
      </c>
      <c r="IC53" s="15" t="str">
        <f>IF('Raw Data'!HQ12="","",'Raw Data'!HQ12)</f>
        <v>0</v>
      </c>
      <c r="ID53" s="15" t="str">
        <f>IF('Raw Data'!HR12="","",'Raw Data'!HR12)</f>
        <v>0</v>
      </c>
      <c r="IE53" s="15" t="str">
        <f>IF('Raw Data'!HS12="","",'Raw Data'!HS12)</f>
        <v>0</v>
      </c>
      <c r="IF53" s="15" t="str">
        <f>IF('Raw Data'!HT12="","",'Raw Data'!HT12)</f>
        <v>0</v>
      </c>
      <c r="IG53" s="15" t="str">
        <f>IF('Raw Data'!HU12="","",'Raw Data'!HU12)</f>
        <v/>
      </c>
      <c r="IH53" s="15" t="str">
        <f>IF('Raw Data'!HV12="","",'Raw Data'!HV12)</f>
        <v/>
      </c>
      <c r="II53" s="15" t="str">
        <f>IF('Raw Data'!HW12="","",'Raw Data'!HW12)</f>
        <v/>
      </c>
      <c r="IJ53" s="15" t="str">
        <f>IF('Raw Data'!HX12="","",'Raw Data'!HX12)</f>
        <v>Femmes Hommes</v>
      </c>
      <c r="IK53" s="15" t="str">
        <f>IF('Raw Data'!HY12="","",'Raw Data'!HY12)</f>
        <v>0</v>
      </c>
      <c r="IL53" s="15" t="str">
        <f>IF('Raw Data'!HZ12="","",'Raw Data'!HZ12)</f>
        <v>0</v>
      </c>
      <c r="IM53" s="15" t="str">
        <f>IF('Raw Data'!IA12="","",'Raw Data'!IA12)</f>
        <v>0</v>
      </c>
      <c r="IN53" s="15" t="str">
        <f>IF('Raw Data'!IB12="","",'Raw Data'!IB12)</f>
        <v>0</v>
      </c>
      <c r="IO53" s="15" t="str">
        <f>IF('Raw Data'!IC12="","",'Raw Data'!IC12)</f>
        <v>1</v>
      </c>
      <c r="IP53" s="15" t="str">
        <f>IF('Raw Data'!ID12="","",'Raw Data'!ID12)</f>
        <v>1</v>
      </c>
      <c r="IQ53" s="15" t="str">
        <f>IF('Raw Data'!IE12="","",'Raw Data'!IE12)</f>
        <v>0</v>
      </c>
      <c r="IR53" s="15" t="str">
        <f>IF('Raw Data'!IF12="","",'Raw Data'!IF12)</f>
        <v>0</v>
      </c>
      <c r="IS53" s="15" t="str">
        <f>IF('Raw Data'!IG12="","",'Raw Data'!IG12)</f>
        <v>0</v>
      </c>
      <c r="IT53" s="15" t="str">
        <f>IF('Raw Data'!IH12="","",'Raw Data'!IH12)</f>
        <v>0</v>
      </c>
      <c r="IU53" s="15" t="str">
        <f>IF('Raw Data'!II12="","",'Raw Data'!II12)</f>
        <v>0</v>
      </c>
      <c r="IV53" s="15" t="str">
        <f>IF('Raw Data'!IJ12="","",'Raw Data'!IJ12)</f>
        <v>0</v>
      </c>
      <c r="IW53" s="15" t="str">
        <f>IF('Raw Data'!IK12="","",'Raw Data'!IK12)</f>
        <v>0</v>
      </c>
      <c r="IX53" s="15" t="str">
        <f>IF('Raw Data'!IL12="","",'Raw Data'!IL12)</f>
        <v>0</v>
      </c>
      <c r="IY53" s="15" t="str">
        <f>IF('Raw Data'!IM12="","",'Raw Data'!IM12)</f>
        <v/>
      </c>
      <c r="IZ53" s="15" t="str">
        <f>IF('Raw Data'!IN12="","",'Raw Data'!IN12)</f>
        <v>70</v>
      </c>
      <c r="JA53" s="15" t="str">
        <f>IF('Raw Data'!IO12="","",'Raw Data'!IO12)</f>
        <v>Services_medicaux</v>
      </c>
      <c r="JB53" s="15" t="str">
        <f>IF('Raw Data'!IP12="","",'Raw Data'!IP12)</f>
        <v>0</v>
      </c>
      <c r="JC53" s="15" t="str">
        <f>IF('Raw Data'!IQ12="","",'Raw Data'!IQ12)</f>
        <v>1</v>
      </c>
      <c r="JD53" s="15" t="str">
        <f>IF('Raw Data'!IR12="","",'Raw Data'!IR12)</f>
        <v>0</v>
      </c>
      <c r="JE53" s="15" t="str">
        <f>IF('Raw Data'!IS12="","",'Raw Data'!IS12)</f>
        <v>0</v>
      </c>
      <c r="JF53" s="15" t="str">
        <f>IF('Raw Data'!IT12="","",'Raw Data'!IT12)</f>
        <v>0</v>
      </c>
      <c r="JG53" s="15" t="str">
        <f>IF('Raw Data'!IU12="","",'Raw Data'!IU12)</f>
        <v>0</v>
      </c>
      <c r="JH53" s="15" t="str">
        <f>IF('Raw Data'!IV12="","",'Raw Data'!IV12)</f>
        <v>0</v>
      </c>
      <c r="JI53" s="15" t="str">
        <f>IF('Raw Data'!IW12="","",'Raw Data'!IW12)</f>
        <v>0</v>
      </c>
      <c r="JJ53" s="15" t="str">
        <f>IF('Raw Data'!IX12="","",'Raw Data'!IX12)</f>
        <v>0</v>
      </c>
      <c r="JK53" s="15" t="str">
        <f>IF('Raw Data'!IY12="","",'Raw Data'!IY12)</f>
        <v>0</v>
      </c>
      <c r="JL53" s="15" t="str">
        <f>IF('Raw Data'!IZ12="","",'Raw Data'!IZ12)</f>
        <v/>
      </c>
      <c r="JM53" s="15" t="str">
        <f>IF('Raw Data'!JA12="","",'Raw Data'!JA12)</f>
        <v>prise_enchage reorientation</v>
      </c>
      <c r="JN53" s="15" t="str">
        <f>IF('Raw Data'!JB12="","",'Raw Data'!JB12)</f>
        <v>1</v>
      </c>
      <c r="JO53" s="15" t="str">
        <f>IF('Raw Data'!JC12="","",'Raw Data'!JC12)</f>
        <v>1</v>
      </c>
      <c r="JP53" s="15" t="str">
        <f>IF('Raw Data'!JD12="","",'Raw Data'!JD12)</f>
        <v>0</v>
      </c>
      <c r="JQ53" s="15" t="str">
        <f>IF('Raw Data'!JE12="","",'Raw Data'!JE12)</f>
        <v>0</v>
      </c>
      <c r="JR53" s="15" t="str">
        <f>IF('Raw Data'!JF12="","",'Raw Data'!JF12)</f>
        <v>0</v>
      </c>
      <c r="JS53" s="15" t="str">
        <f>IF('Raw Data'!JG12="","",'Raw Data'!JG12)</f>
        <v>0</v>
      </c>
      <c r="JT53" s="15" t="str">
        <f>IF('Raw Data'!JH12="","",'Raw Data'!JH12)</f>
        <v/>
      </c>
      <c r="JU53" s="15" t="str">
        <f>IF('Raw Data'!JI12="","",'Raw Data'!JI12)</f>
        <v>point_ecoute</v>
      </c>
      <c r="JV53" s="15" t="str">
        <f>IF('Raw Data'!JJ12="","",'Raw Data'!JJ12)</f>
        <v>0</v>
      </c>
      <c r="JW53" s="15" t="str">
        <f>IF('Raw Data'!JK12="","",'Raw Data'!JK12)</f>
        <v>0</v>
      </c>
      <c r="JX53" s="15" t="str">
        <f>IF('Raw Data'!JL12="","",'Raw Data'!JL12)</f>
        <v>1</v>
      </c>
      <c r="JY53" s="15" t="str">
        <f>IF('Raw Data'!JM12="","",'Raw Data'!JM12)</f>
        <v>0</v>
      </c>
      <c r="JZ53" s="15" t="str">
        <f>IF('Raw Data'!JN12="","",'Raw Data'!JN12)</f>
        <v>0</v>
      </c>
      <c r="KA53" s="15" t="str">
        <f>IF('Raw Data'!JO12="","",'Raw Data'!JO12)</f>
        <v>0</v>
      </c>
      <c r="KB53" s="15" t="str">
        <f>IF('Raw Data'!JP12="","",'Raw Data'!JP12)</f>
        <v>0</v>
      </c>
      <c r="KC53" s="15" t="str">
        <f>IF('Raw Data'!JQ12="","",'Raw Data'!JQ12)</f>
        <v>0</v>
      </c>
      <c r="KD53" s="15" t="str">
        <f>IF('Raw Data'!JR12="","",'Raw Data'!JR12)</f>
        <v>0</v>
      </c>
      <c r="KE53" s="15" t="str">
        <f>IF('Raw Data'!JS12="","",'Raw Data'!JS12)</f>
        <v/>
      </c>
      <c r="KF53" s="15" t="str">
        <f>IF('Raw Data'!JT12="","",'Raw Data'!JT12)</f>
        <v>point_ecoute</v>
      </c>
      <c r="KG53" s="15" t="str">
        <f>IF('Raw Data'!JU12="","",'Raw Data'!JU12)</f>
        <v>0</v>
      </c>
      <c r="KH53" s="15" t="str">
        <f>IF('Raw Data'!JV12="","",'Raw Data'!JV12)</f>
        <v>0</v>
      </c>
      <c r="KI53" s="15" t="str">
        <f>IF('Raw Data'!JW12="","",'Raw Data'!JW12)</f>
        <v>1</v>
      </c>
      <c r="KJ53" s="15" t="str">
        <f>IF('Raw Data'!JX12="","",'Raw Data'!JX12)</f>
        <v>0</v>
      </c>
      <c r="KK53" s="15" t="str">
        <f>IF('Raw Data'!JY12="","",'Raw Data'!JY12)</f>
        <v>0</v>
      </c>
      <c r="KL53" s="15" t="str">
        <f>IF('Raw Data'!JZ12="","",'Raw Data'!JZ12)</f>
        <v>0</v>
      </c>
      <c r="KM53" s="15" t="str">
        <f>IF('Raw Data'!KA12="","",'Raw Data'!KA12)</f>
        <v>0</v>
      </c>
      <c r="KN53" s="15" t="str">
        <f>IF('Raw Data'!KB12="","",'Raw Data'!KB12)</f>
        <v>0</v>
      </c>
      <c r="KO53" s="15" t="str">
        <f>IF('Raw Data'!KC12="","",'Raw Data'!KC12)</f>
        <v>0</v>
      </c>
      <c r="KP53" s="15" t="str">
        <f>IF('Raw Data'!KD12="","",'Raw Data'!KD12)</f>
        <v/>
      </c>
      <c r="KQ53" s="15" t="str">
        <f>IF('Raw Data'!KE12="","",'Raw Data'!KE12)</f>
        <v/>
      </c>
      <c r="KR53" s="15" t="str">
        <f>IF('Raw Data'!KF12="","",'Raw Data'!KF12)</f>
        <v>oui</v>
      </c>
      <c r="KS53" s="15" t="str">
        <f>IF('Raw Data'!KG12="","",'Raw Data'!KG12)</f>
        <v>Aucun</v>
      </c>
      <c r="KT53" s="15" t="str">
        <f>IF('Raw Data'!KH12="","",'Raw Data'!KH12)</f>
        <v>0</v>
      </c>
      <c r="KU53" s="15" t="str">
        <f>IF('Raw Data'!KI12="","",'Raw Data'!KI12)</f>
        <v>0</v>
      </c>
      <c r="KV53" s="15" t="str">
        <f>IF('Raw Data'!KJ12="","",'Raw Data'!KJ12)</f>
        <v>0</v>
      </c>
      <c r="KW53" s="15" t="str">
        <f>IF('Raw Data'!KK12="","",'Raw Data'!KK12)</f>
        <v>0</v>
      </c>
      <c r="KX53" s="15" t="str">
        <f>IF('Raw Data'!KL12="","",'Raw Data'!KL12)</f>
        <v>0</v>
      </c>
      <c r="KY53" s="15" t="str">
        <f>IF('Raw Data'!KM12="","",'Raw Data'!KM12)</f>
        <v>0</v>
      </c>
      <c r="KZ53" s="15" t="str">
        <f>IF('Raw Data'!KN12="","",'Raw Data'!KN12)</f>
        <v>0</v>
      </c>
      <c r="LA53" s="15" t="str">
        <f>IF('Raw Data'!KO12="","",'Raw Data'!KO12)</f>
        <v>0</v>
      </c>
      <c r="LB53" s="15" t="str">
        <f>IF('Raw Data'!KP12="","",'Raw Data'!KP12)</f>
        <v>0</v>
      </c>
      <c r="LC53" s="15" t="str">
        <f>IF('Raw Data'!KQ12="","",'Raw Data'!KQ12)</f>
        <v>1</v>
      </c>
      <c r="LD53" s="15" t="str">
        <f>IF('Raw Data'!KR12="","",'Raw Data'!KR12)</f>
        <v>0</v>
      </c>
      <c r="LE53" s="15" t="str">
        <f>IF('Raw Data'!KS12="","",'Raw Data'!KS12)</f>
        <v/>
      </c>
      <c r="LF53" s="15" t="str">
        <f>IF('Raw Data'!KT12="","",'Raw Data'!KT12)</f>
        <v/>
      </c>
      <c r="LG53" s="15" t="str">
        <f>IF('Raw Data'!KU12="","",'Raw Data'!KU12)</f>
        <v/>
      </c>
      <c r="LH53" s="15" t="str">
        <f>IF('Raw Data'!KV12="","",'Raw Data'!KV12)</f>
        <v/>
      </c>
      <c r="LI53" s="15" t="str">
        <f>IF('Raw Data'!KW12="","",'Raw Data'!KW12)</f>
        <v/>
      </c>
      <c r="LJ53" s="15" t="str">
        <f>IF('Raw Data'!KX12="","",'Raw Data'!KX12)</f>
        <v/>
      </c>
      <c r="LK53" s="15" t="str">
        <f>IF('Raw Data'!KY12="","",'Raw Data'!KY12)</f>
        <v/>
      </c>
      <c r="LL53" s="15" t="str">
        <f>IF('Raw Data'!KZ12="","",'Raw Data'!KZ12)</f>
        <v/>
      </c>
      <c r="LM53" s="15" t="str">
        <f>IF('Raw Data'!LA12="","",'Raw Data'!LA12)</f>
        <v/>
      </c>
      <c r="LN53" s="15" t="str">
        <f>IF('Raw Data'!LB12="","",'Raw Data'!LB12)</f>
        <v>non</v>
      </c>
      <c r="LO53" s="15" t="str">
        <f>IF('Raw Data'!LC12="","",'Raw Data'!LC12)</f>
        <v/>
      </c>
      <c r="LP53" s="15" t="str">
        <f>IF('Raw Data'!LD12="","",'Raw Data'!LD12)</f>
        <v/>
      </c>
      <c r="LQ53" s="15" t="str">
        <f>IF('Raw Data'!LE12="","",'Raw Data'!LE12)</f>
        <v/>
      </c>
      <c r="LR53" s="15" t="str">
        <f>IF('Raw Data'!LF12="","",'Raw Data'!LF12)</f>
        <v/>
      </c>
      <c r="LS53" s="15" t="str">
        <f>IF('Raw Data'!LG12="","",'Raw Data'!LG12)</f>
        <v/>
      </c>
      <c r="LT53" s="15" t="str">
        <f>IF('Raw Data'!LH12="","",'Raw Data'!LH12)</f>
        <v/>
      </c>
      <c r="LU53" s="15" t="str">
        <f>IF('Raw Data'!LI12="","",'Raw Data'!LI12)</f>
        <v/>
      </c>
      <c r="LV53" s="15" t="str">
        <f>IF('Raw Data'!LJ12="","",'Raw Data'!LJ12)</f>
        <v/>
      </c>
      <c r="LW53" s="15" t="str">
        <f>IF('Raw Data'!LK12="","",'Raw Data'!LK12)</f>
        <v/>
      </c>
      <c r="LX53" s="15" t="str">
        <f>IF('Raw Data'!LL12="","",'Raw Data'!LL12)</f>
        <v/>
      </c>
      <c r="LY53" s="15" t="str">
        <f>IF('Raw Data'!LM12="","",'Raw Data'!LM12)</f>
        <v/>
      </c>
      <c r="LZ53" s="15" t="str">
        <f>IF('Raw Data'!LN12="","",'Raw Data'!LN12)</f>
        <v/>
      </c>
      <c r="MA53" s="15" t="str">
        <f>IF('Raw Data'!LO12="","",'Raw Data'!LO12)</f>
        <v/>
      </c>
      <c r="MB53" s="15" t="str">
        <f>IF('Raw Data'!LP12="","",'Raw Data'!LP12)</f>
        <v>oui</v>
      </c>
      <c r="MC53" s="15" t="str">
        <f>IF('Raw Data'!LQ12="","",'Raw Data'!LQ12)</f>
        <v/>
      </c>
      <c r="MD53" s="31"/>
      <c r="ME53" s="15">
        <f>IF('Raw Data'!LS12="","",'Raw Data'!LS12)</f>
        <v>169049312</v>
      </c>
      <c r="MF53" s="15" t="str">
        <f>IF('Raw Data'!LT12="","",'Raw Data'!LT12)</f>
        <v>38fe8d2d-7084-478b-a88e-1ed43400b505</v>
      </c>
      <c r="MG53" s="15" t="str">
        <f>IF('Raw Data'!LU12="","",'Raw Data'!LU12)</f>
        <v>2021-04-01T07:58:02</v>
      </c>
      <c r="MH53" s="15" t="str">
        <f>IF('Raw Data'!LV12="","",'Raw Data'!LV12)</f>
        <v/>
      </c>
      <c r="MI53" s="15" t="str">
        <f>IF('Raw Data'!LW12="","",'Raw Data'!LW12)</f>
        <v>[]</v>
      </c>
      <c r="MJ53" s="15" t="str">
        <f>IF('Raw Data'!LX12="","",'Raw Data'!LX12)</f>
        <v>submitted_via_web</v>
      </c>
      <c r="MK53" s="15" t="str">
        <f>IF('Raw Data'!LY12="","",'Raw Data'!LY12)</f>
        <v>reach_niger</v>
      </c>
      <c r="ML53" s="15" t="str">
        <f>IF('Raw Data'!LZ12="","",'Raw Data'!LZ12)</f>
        <v/>
      </c>
      <c r="MM53" s="15">
        <f>IF('Raw Data'!MA12="","",'Raw Data'!MA12)</f>
        <v>11</v>
      </c>
    </row>
    <row r="54" spans="1:351" x14ac:dyDescent="0.3">
      <c r="A54" s="26" t="str">
        <f t="shared" si="4"/>
        <v>22d851ed-0410-42cb-b671-52cd662a2d61</v>
      </c>
      <c r="B54" s="26" t="str">
        <f t="shared" si="5"/>
        <v>banibangou</v>
      </c>
      <c r="C54" s="26" t="str">
        <f t="shared" si="6"/>
        <v>K</v>
      </c>
      <c r="D54" s="14" t="str">
        <f>IF('Raw Data'!A59="","",'Raw Data'!A59)</f>
        <v>2021-04-09T10:29:24.045+01:00</v>
      </c>
      <c r="E54" s="14" t="str">
        <f>IF('Raw Data'!B59="","",'Raw Data'!B59)</f>
        <v>2021-04-09T11:37:36.900+01:00</v>
      </c>
      <c r="F54" s="30">
        <v>44295.437083333331</v>
      </c>
      <c r="G54" s="30">
        <v>44295.484444444446</v>
      </c>
      <c r="H54" s="29">
        <f>VLOOKUP(A54,Audit[#All],2,FALSE)</f>
        <v>68.22</v>
      </c>
      <c r="I54" s="29">
        <f>VLOOKUP(A54,Audit[#All],3,FALSE)</f>
        <v>39.799999999999997</v>
      </c>
      <c r="J54" s="29">
        <f>VLOOKUP(A54,Audit[#All],4,FALSE)</f>
        <v>32.979999999999997</v>
      </c>
      <c r="K54" s="29">
        <f>VLOOKUP(A54,nb_questions[#All],2,FALSE)</f>
        <v>147</v>
      </c>
      <c r="L54" s="29">
        <f t="shared" si="7"/>
        <v>190</v>
      </c>
      <c r="M54" s="14" t="str">
        <f>IF('Raw Data'!C59="","",'Raw Data'!C59)</f>
        <v>2021-04-09</v>
      </c>
      <c r="N54" s="14" t="str">
        <f>IF('Raw Data'!D59="","",'Raw Data'!D59)</f>
        <v/>
      </c>
      <c r="O54" s="14" t="str">
        <f>IF('Raw Data'!E59="","",'Raw Data'!E59)</f>
        <v/>
      </c>
      <c r="P54" s="29" t="str">
        <f>VLOOKUP(A54,code_enqueteurs[#All],3,FALSE)</f>
        <v>K</v>
      </c>
      <c r="Q54" s="29" t="s">
        <v>1655</v>
      </c>
      <c r="R54" s="14" t="str">
        <f>IF('Raw Data'!F59="","",'Raw Data'!F59)</f>
        <v>Homme</v>
      </c>
      <c r="S54" s="15" t="str">
        <f>IF('Raw Data'!G59="","",'Raw Data'!G59)</f>
        <v>banibangou</v>
      </c>
      <c r="T54" s="15" t="str">
        <f>IF('Raw Data'!H59="","",'Raw Data'!H59)</f>
        <v>banibangou</v>
      </c>
      <c r="U54" s="15" t="str">
        <f>IF('Raw Data'!I59="","",'Raw Data'!I59)</f>
        <v>banibangou</v>
      </c>
      <c r="V54" s="15" t="str">
        <f>IF('Raw Data'!J59="","",'Raw Data'!J59)</f>
        <v/>
      </c>
      <c r="W54" s="15" t="str">
        <f>IF('Raw Data'!K59="","",'Raw Data'!K59)</f>
        <v/>
      </c>
      <c r="X54" s="15" t="str">
        <f>IF('Raw Data'!L59="","",'Raw Data'!L59)</f>
        <v/>
      </c>
      <c r="Y54" s="15" t="str">
        <f>IF('Raw Data'!M59="","",'Raw Data'!M59)</f>
        <v/>
      </c>
      <c r="Z54" s="15" t="str">
        <f>IF('Raw Data'!N59="","",'Raw Data'!N59)</f>
        <v/>
      </c>
      <c r="AA54" s="15" t="str">
        <f>IF('Raw Data'!O59="","",'Raw Data'!O59)</f>
        <v/>
      </c>
      <c r="AB54" s="15" t="str">
        <f>IF('Raw Data'!P59="","",'Raw Data'!P59)</f>
        <v/>
      </c>
      <c r="AC54" s="15" t="str">
        <f>IF('Raw Data'!Q59="","",'Raw Data'!Q59)</f>
        <v/>
      </c>
      <c r="AD54" s="15" t="str">
        <f>IF('Raw Data'!R59="","",'Raw Data'!R59)</f>
        <v>Homme</v>
      </c>
      <c r="AE54" s="15" t="str">
        <f>IF('Raw Data'!S59="","",'Raw Data'!S59)</f>
        <v>37</v>
      </c>
      <c r="AF54" s="31" t="s">
        <v>503</v>
      </c>
      <c r="AG54" s="31"/>
      <c r="AH54" s="15" t="str">
        <f>IF('Raw Data'!V59="","",'Raw Data'!V59)</f>
        <v/>
      </c>
      <c r="AI54" s="31" t="s">
        <v>1459</v>
      </c>
      <c r="AJ54" s="31" t="s">
        <v>635</v>
      </c>
      <c r="AK54" s="15" t="str">
        <f>IF('Raw Data'!Y59="","",'Raw Data'!Y59)</f>
        <v/>
      </c>
      <c r="AL54" s="15" t="str">
        <f>IF('Raw Data'!Z59="","",'Raw Data'!Z59)</f>
        <v/>
      </c>
      <c r="AM54" s="15" t="str">
        <f>IF('Raw Data'!AA59="","",'Raw Data'!AA59)</f>
        <v/>
      </c>
      <c r="AN54" s="15" t="str">
        <f>IF('Raw Data'!AB59="","",'Raw Data'!AB59)</f>
        <v/>
      </c>
      <c r="AO54" s="15" t="str">
        <f>IF('Raw Data'!AC59="","",'Raw Data'!AC59)</f>
        <v/>
      </c>
      <c r="AP54" s="15" t="str">
        <f>IF('Raw Data'!AD59="","",'Raw Data'!AD59)</f>
        <v/>
      </c>
      <c r="AQ54" s="15" t="str">
        <f>IF('Raw Data'!AE59="","",'Raw Data'!AE59)</f>
        <v/>
      </c>
      <c r="AR54" s="15" t="str">
        <f>IF('Raw Data'!AF59="","",'Raw Data'!AF59)</f>
        <v/>
      </c>
      <c r="AS54" s="15" t="str">
        <f>IF('Raw Data'!AG59="","",'Raw Data'!AG59)</f>
        <v>non</v>
      </c>
      <c r="AT54" s="15" t="str">
        <f>IF('Raw Data'!AH59="","",'Raw Data'!AH59)</f>
        <v/>
      </c>
      <c r="AU54" s="15" t="str">
        <f>IF('Raw Data'!AI59="","",'Raw Data'!AI59)</f>
        <v/>
      </c>
      <c r="AV54" s="15" t="str">
        <f>IF('Raw Data'!AJ59="","",'Raw Data'!AJ59)</f>
        <v/>
      </c>
      <c r="AW54" s="15" t="str">
        <f>IF('Raw Data'!AK59="","",'Raw Data'!AK59)</f>
        <v/>
      </c>
      <c r="AX54" s="15" t="str">
        <f>IF('Raw Data'!AL59="","",'Raw Data'!AL59)</f>
        <v/>
      </c>
      <c r="AY54" s="15" t="str">
        <f>IF('Raw Data'!AM59="","",'Raw Data'!AM59)</f>
        <v/>
      </c>
      <c r="AZ54" s="15" t="str">
        <f>IF('Raw Data'!AN59="","",'Raw Data'!AN59)</f>
        <v/>
      </c>
      <c r="BA54" s="15" t="str">
        <f>IF('Raw Data'!AO59="","",'Raw Data'!AO59)</f>
        <v/>
      </c>
      <c r="BB54" s="15" t="str">
        <f>IF('Raw Data'!AP59="","",'Raw Data'!AP59)</f>
        <v/>
      </c>
      <c r="BC54" s="15" t="str">
        <f>IF('Raw Data'!AQ59="","",'Raw Data'!AQ59)</f>
        <v/>
      </c>
      <c r="BD54" s="15" t="str">
        <f>IF('Raw Data'!AR59="","",'Raw Data'!AR59)</f>
        <v/>
      </c>
      <c r="BE54" s="15" t="str">
        <f>IF('Raw Data'!AS59="","",'Raw Data'!AS59)</f>
        <v/>
      </c>
      <c r="BF54" s="15" t="str">
        <f>IF('Raw Data'!AT59="","",'Raw Data'!AT59)</f>
        <v/>
      </c>
      <c r="BG54" s="15" t="str">
        <f>IF('Raw Data'!AU59="","",'Raw Data'!AU59)</f>
        <v/>
      </c>
      <c r="BH54" s="15" t="str">
        <f>IF('Raw Data'!AV59="","",'Raw Data'!AV59)</f>
        <v/>
      </c>
      <c r="BI54" s="15" t="str">
        <f>IF('Raw Data'!AW59="","",'Raw Data'!AW59)</f>
        <v/>
      </c>
      <c r="BJ54" s="15" t="str">
        <f>IF('Raw Data'!AX59="","",'Raw Data'!AX59)</f>
        <v/>
      </c>
      <c r="BK54" s="15" t="str">
        <f>IF('Raw Data'!AY59="","",'Raw Data'!AY59)</f>
        <v/>
      </c>
      <c r="BL54" s="15" t="str">
        <f>IF('Raw Data'!AZ59="","",'Raw Data'!AZ59)</f>
        <v/>
      </c>
      <c r="BM54" s="15" t="str">
        <f>IF('Raw Data'!BA59="","",'Raw Data'!BA59)</f>
        <v/>
      </c>
      <c r="BN54" s="15" t="str">
        <f>IF('Raw Data'!BB59="","",'Raw Data'!BB59)</f>
        <v/>
      </c>
      <c r="BO54" s="15" t="str">
        <f>IF('Raw Data'!BC59="","",'Raw Data'!BC59)</f>
        <v/>
      </c>
      <c r="BP54" s="15" t="str">
        <f>IF('Raw Data'!BD59="","",'Raw Data'!BD59)</f>
        <v/>
      </c>
      <c r="BQ54" s="15" t="str">
        <f>IF('Raw Data'!BE59="","",'Raw Data'!BE59)</f>
        <v/>
      </c>
      <c r="BR54" s="15" t="str">
        <f>IF('Raw Data'!BF59="","",'Raw Data'!BF59)</f>
        <v/>
      </c>
      <c r="BS54" s="15" t="str">
        <f>IF('Raw Data'!BG59="","",'Raw Data'!BG59)</f>
        <v/>
      </c>
      <c r="BT54" s="15" t="str">
        <f>IF('Raw Data'!BH59="","",'Raw Data'!BH59)</f>
        <v/>
      </c>
      <c r="BU54" s="15" t="str">
        <f>IF('Raw Data'!BI59="","",'Raw Data'!BI59)</f>
        <v/>
      </c>
      <c r="BV54" s="15" t="str">
        <f>IF('Raw Data'!BJ59="","",'Raw Data'!BJ59)</f>
        <v/>
      </c>
      <c r="BW54" s="15" t="str">
        <f>IF('Raw Data'!BK59="","",'Raw Data'!BK59)</f>
        <v/>
      </c>
      <c r="BX54" s="15" t="str">
        <f>IF('Raw Data'!BL59="","",'Raw Data'!BL59)</f>
        <v/>
      </c>
      <c r="BY54" s="15" t="str">
        <f>IF('Raw Data'!BM59="","",'Raw Data'!BM59)</f>
        <v/>
      </c>
      <c r="BZ54" s="15" t="str">
        <f>IF('Raw Data'!BN59="","",'Raw Data'!BN59)</f>
        <v/>
      </c>
      <c r="CA54" s="15" t="str">
        <f>IF('Raw Data'!BO59="","",'Raw Data'!BO59)</f>
        <v/>
      </c>
      <c r="CB54" s="15" t="str">
        <f>IF('Raw Data'!BP59="","",'Raw Data'!BP59)</f>
        <v/>
      </c>
      <c r="CC54" s="15" t="str">
        <f>IF('Raw Data'!BQ59="","",'Raw Data'!BQ59)</f>
        <v>non</v>
      </c>
      <c r="CD54" s="15" t="str">
        <f>IF('Raw Data'!BR59="","",'Raw Data'!BR59)</f>
        <v/>
      </c>
      <c r="CE54" s="15" t="str">
        <f>IF('Raw Data'!BS59="","",'Raw Data'!BS59)</f>
        <v/>
      </c>
      <c r="CF54" s="15" t="str">
        <f>IF('Raw Data'!BT59="","",'Raw Data'!BT59)</f>
        <v/>
      </c>
      <c r="CG54" s="15" t="str">
        <f>IF('Raw Data'!BU59="","",'Raw Data'!BU59)</f>
        <v/>
      </c>
      <c r="CH54" s="15" t="str">
        <f>IF('Raw Data'!BV59="","",'Raw Data'!BV59)</f>
        <v/>
      </c>
      <c r="CI54" s="15" t="str">
        <f>IF('Raw Data'!BW59="","",'Raw Data'!BW59)</f>
        <v/>
      </c>
      <c r="CJ54" s="15" t="str">
        <f>IF('Raw Data'!BX59="","",'Raw Data'!BX59)</f>
        <v/>
      </c>
      <c r="CK54" s="15" t="str">
        <f>IF('Raw Data'!BY59="","",'Raw Data'!BY59)</f>
        <v/>
      </c>
      <c r="CL54" s="15" t="str">
        <f>IF('Raw Data'!BZ59="","",'Raw Data'!BZ59)</f>
        <v/>
      </c>
      <c r="CM54" s="15" t="str">
        <f>IF('Raw Data'!CA59="","",'Raw Data'!CA59)</f>
        <v/>
      </c>
      <c r="CN54" s="15" t="str">
        <f>IF('Raw Data'!CB59="","",'Raw Data'!CB59)</f>
        <v/>
      </c>
      <c r="CO54" s="15" t="str">
        <f>IF('Raw Data'!CC59="","",'Raw Data'!CC59)</f>
        <v/>
      </c>
      <c r="CP54" s="15" t="str">
        <f>IF('Raw Data'!CD59="","",'Raw Data'!CD59)</f>
        <v/>
      </c>
      <c r="CQ54" s="15" t="str">
        <f>IF('Raw Data'!CE59="","",'Raw Data'!CE59)</f>
        <v/>
      </c>
      <c r="CR54" s="15" t="str">
        <f>IF('Raw Data'!CF59="","",'Raw Data'!CF59)</f>
        <v/>
      </c>
      <c r="CS54" s="15" t="str">
        <f>IF('Raw Data'!CG59="","",'Raw Data'!CG59)</f>
        <v/>
      </c>
      <c r="CT54" s="15" t="str">
        <f>IF('Raw Data'!CH59="","",'Raw Data'!CH59)</f>
        <v/>
      </c>
      <c r="CU54" s="15" t="str">
        <f>IF('Raw Data'!CI59="","",'Raw Data'!CI59)</f>
        <v/>
      </c>
      <c r="CV54" s="15" t="str">
        <f>IF('Raw Data'!CJ59="","",'Raw Data'!CJ59)</f>
        <v/>
      </c>
      <c r="CW54" s="15" t="str">
        <f>IF('Raw Data'!CK59="","",'Raw Data'!CK59)</f>
        <v/>
      </c>
      <c r="CX54" s="15" t="str">
        <f>IF('Raw Data'!CL59="","",'Raw Data'!CL59)</f>
        <v/>
      </c>
      <c r="CY54" s="15" t="str">
        <f>IF('Raw Data'!CM59="","",'Raw Data'!CM59)</f>
        <v/>
      </c>
      <c r="CZ54" s="15" t="str">
        <f>IF('Raw Data'!CN59="","",'Raw Data'!CN59)</f>
        <v/>
      </c>
      <c r="DA54" s="15" t="str">
        <f>IF('Raw Data'!CO59="","",'Raw Data'!CO59)</f>
        <v/>
      </c>
      <c r="DB54" s="15" t="str">
        <f>IF('Raw Data'!CP59="","",'Raw Data'!CP59)</f>
        <v/>
      </c>
      <c r="DC54" s="15" t="str">
        <f>IF('Raw Data'!CQ59="","",'Raw Data'!CQ59)</f>
        <v/>
      </c>
      <c r="DD54" s="15" t="str">
        <f>IF('Raw Data'!CR59="","",'Raw Data'!CR59)</f>
        <v/>
      </c>
      <c r="DE54" s="15" t="str">
        <f>IF('Raw Data'!CS59="","",'Raw Data'!CS59)</f>
        <v/>
      </c>
      <c r="DF54" s="15" t="str">
        <f>IF('Raw Data'!CT59="","",'Raw Data'!CT59)</f>
        <v/>
      </c>
      <c r="DG54" s="15" t="str">
        <f>IF('Raw Data'!CU59="","",'Raw Data'!CU59)</f>
        <v/>
      </c>
      <c r="DH54" s="15" t="str">
        <f>IF('Raw Data'!CV59="","",'Raw Data'!CV59)</f>
        <v/>
      </c>
      <c r="DI54" s="15" t="str">
        <f>IF('Raw Data'!CW59="","",'Raw Data'!CW59)</f>
        <v/>
      </c>
      <c r="DJ54" s="15" t="str">
        <f>IF('Raw Data'!CX59="","",'Raw Data'!CX59)</f>
        <v/>
      </c>
      <c r="DK54" s="15" t="str">
        <f>IF('Raw Data'!CY59="","",'Raw Data'!CY59)</f>
        <v/>
      </c>
      <c r="DL54" s="15" t="str">
        <f>IF('Raw Data'!CZ59="","",'Raw Data'!CZ59)</f>
        <v/>
      </c>
      <c r="DM54" s="15" t="str">
        <f>IF('Raw Data'!DA59="","",'Raw Data'!DA59)</f>
        <v/>
      </c>
      <c r="DN54" s="15" t="str">
        <f>IF('Raw Data'!DB59="","",'Raw Data'!DB59)</f>
        <v/>
      </c>
      <c r="DO54" s="15" t="str">
        <f>IF('Raw Data'!DC59="","",'Raw Data'!DC59)</f>
        <v/>
      </c>
      <c r="DP54" s="15" t="str">
        <f>IF('Raw Data'!DD59="","",'Raw Data'!DD59)</f>
        <v/>
      </c>
      <c r="DQ54" s="15" t="str">
        <f>IF('Raw Data'!DE59="","",'Raw Data'!DE59)</f>
        <v/>
      </c>
      <c r="DR54" s="15" t="str">
        <f>IF('Raw Data'!DF59="","",'Raw Data'!DF59)</f>
        <v/>
      </c>
      <c r="DS54" s="15" t="str">
        <f>IF('Raw Data'!DG59="","",'Raw Data'!DG59)</f>
        <v/>
      </c>
      <c r="DT54" s="15" t="str">
        <f>IF('Raw Data'!DH59="","",'Raw Data'!DH59)</f>
        <v/>
      </c>
      <c r="DU54" s="15" t="str">
        <f>IF('Raw Data'!DI59="","",'Raw Data'!DI59)</f>
        <v/>
      </c>
      <c r="DV54" s="15" t="str">
        <f>IF('Raw Data'!DJ59="","",'Raw Data'!DJ59)</f>
        <v/>
      </c>
      <c r="DW54" s="15" t="str">
        <f>IF('Raw Data'!DK59="","",'Raw Data'!DK59)</f>
        <v/>
      </c>
      <c r="DX54" s="15" t="str">
        <f>IF('Raw Data'!DL59="","",'Raw Data'!DL59)</f>
        <v/>
      </c>
      <c r="DY54" s="15" t="str">
        <f>IF('Raw Data'!DM59="","",'Raw Data'!DM59)</f>
        <v/>
      </c>
      <c r="DZ54" s="15" t="str">
        <f>IF('Raw Data'!DN59="","",'Raw Data'!DN59)</f>
        <v/>
      </c>
      <c r="EA54" s="15" t="str">
        <f>IF('Raw Data'!DO59="","",'Raw Data'!DO59)</f>
        <v/>
      </c>
      <c r="EB54" s="15" t="str">
        <f>IF('Raw Data'!DP59="","",'Raw Data'!DP59)</f>
        <v/>
      </c>
      <c r="EC54" s="15" t="str">
        <f>IF('Raw Data'!DQ59="","",'Raw Data'!DQ59)</f>
        <v/>
      </c>
      <c r="ED54" s="15" t="str">
        <f>IF('Raw Data'!DR59="","",'Raw Data'!DR59)</f>
        <v/>
      </c>
      <c r="EE54" s="15" t="str">
        <f>IF('Raw Data'!DS59="","",'Raw Data'!DS59)</f>
        <v/>
      </c>
      <c r="EF54" s="15" t="str">
        <f>IF('Raw Data'!DT59="","",'Raw Data'!DT59)</f>
        <v/>
      </c>
      <c r="EG54" s="15" t="str">
        <f>IF('Raw Data'!DU59="","",'Raw Data'!DU59)</f>
        <v/>
      </c>
      <c r="EH54" s="15" t="str">
        <f>IF('Raw Data'!DV59="","",'Raw Data'!DV59)</f>
        <v/>
      </c>
      <c r="EI54" s="15" t="str">
        <f>IF('Raw Data'!DW59="","",'Raw Data'!DW59)</f>
        <v/>
      </c>
      <c r="EJ54" s="15" t="str">
        <f>IF('Raw Data'!DX59="","",'Raw Data'!DX59)</f>
        <v/>
      </c>
      <c r="EK54" s="15" t="str">
        <f>IF('Raw Data'!DY59="","",'Raw Data'!DY59)</f>
        <v/>
      </c>
      <c r="EL54" s="15" t="str">
        <f>IF('Raw Data'!DZ59="","",'Raw Data'!DZ59)</f>
        <v>Integration_com_hote dplct_abords_com</v>
      </c>
      <c r="EM54" s="15" t="str">
        <f>IF('Raw Data'!EA59="","",'Raw Data'!EA59)</f>
        <v>1</v>
      </c>
      <c r="EN54" s="15" t="str">
        <f>IF('Raw Data'!EB59="","",'Raw Data'!EB59)</f>
        <v>1</v>
      </c>
      <c r="EO54" s="15" t="str">
        <f>IF('Raw Data'!EC59="","",'Raw Data'!EC59)</f>
        <v>0</v>
      </c>
      <c r="EP54" s="15" t="str">
        <f>IF('Raw Data'!ED59="","",'Raw Data'!ED59)</f>
        <v>0</v>
      </c>
      <c r="EQ54" s="15" t="str">
        <f>IF('Raw Data'!EE59="","",'Raw Data'!EE59)</f>
        <v>0</v>
      </c>
      <c r="ER54" s="15" t="str">
        <f>IF('Raw Data'!EF59="","",'Raw Data'!EF59)</f>
        <v>0</v>
      </c>
      <c r="ES54" s="15" t="str">
        <f>IF('Raw Data'!EG59="","",'Raw Data'!EG59)</f>
        <v>0</v>
      </c>
      <c r="ET54" s="15" t="str">
        <f>IF('Raw Data'!EH59="","",'Raw Data'!EH59)</f>
        <v>0</v>
      </c>
      <c r="EU54" s="15" t="str">
        <f>IF('Raw Data'!EI59="","",'Raw Data'!EI59)</f>
        <v>0</v>
      </c>
      <c r="EV54" s="15" t="str">
        <f>IF('Raw Data'!EJ59="","",'Raw Data'!EJ59)</f>
        <v/>
      </c>
      <c r="EW54" s="15" t="str">
        <f>IF('Raw Data'!EK59="","",'Raw Data'!EK59)</f>
        <v/>
      </c>
      <c r="EX54" s="15" t="str">
        <f>IF('Raw Data'!EL59="","",'Raw Data'!EL59)</f>
        <v>Ne_sait_pas</v>
      </c>
      <c r="EY54" s="15" t="str">
        <f>IF('Raw Data'!EM59="","",'Raw Data'!EM59)</f>
        <v>0</v>
      </c>
      <c r="EZ54" s="15" t="str">
        <f>IF('Raw Data'!EN59="","",'Raw Data'!EN59)</f>
        <v>0</v>
      </c>
      <c r="FA54" s="15" t="str">
        <f>IF('Raw Data'!EO59="","",'Raw Data'!EO59)</f>
        <v>0</v>
      </c>
      <c r="FB54" s="15" t="str">
        <f>IF('Raw Data'!EP59="","",'Raw Data'!EP59)</f>
        <v>0</v>
      </c>
      <c r="FC54" s="15" t="str">
        <f>IF('Raw Data'!EQ59="","",'Raw Data'!EQ59)</f>
        <v>0</v>
      </c>
      <c r="FD54" s="15" t="str">
        <f>IF('Raw Data'!ER59="","",'Raw Data'!ER59)</f>
        <v>0</v>
      </c>
      <c r="FE54" s="15" t="str">
        <f>IF('Raw Data'!ES59="","",'Raw Data'!ES59)</f>
        <v>0</v>
      </c>
      <c r="FF54" s="15" t="str">
        <f>IF('Raw Data'!ET59="","",'Raw Data'!ET59)</f>
        <v>0</v>
      </c>
      <c r="FG54" s="15" t="str">
        <f>IF('Raw Data'!EU59="","",'Raw Data'!EU59)</f>
        <v>1</v>
      </c>
      <c r="FH54" s="15" t="str">
        <f>IF('Raw Data'!EV59="","",'Raw Data'!EV59)</f>
        <v>0</v>
      </c>
      <c r="FI54" s="15" t="str">
        <f>IF('Raw Data'!EW59="","",'Raw Data'!EW59)</f>
        <v/>
      </c>
      <c r="FJ54" s="15" t="str">
        <f>IF('Raw Data'!EX59="","",'Raw Data'!EX59)</f>
        <v>oui</v>
      </c>
      <c r="FK54" s="15" t="str">
        <f>IF('Raw Data'!EY59="","",'Raw Data'!EY59)</f>
        <v>famille_amis manif_sociales</v>
      </c>
      <c r="FL54" s="15" t="str">
        <f>IF('Raw Data'!EZ59="","",'Raw Data'!EZ59)</f>
        <v>0</v>
      </c>
      <c r="FM54" s="15" t="str">
        <f>IF('Raw Data'!FA59="","",'Raw Data'!FA59)</f>
        <v>0</v>
      </c>
      <c r="FN54" s="15" t="str">
        <f>IF('Raw Data'!FB59="","",'Raw Data'!FB59)</f>
        <v>0</v>
      </c>
      <c r="FO54" s="15" t="str">
        <f>IF('Raw Data'!FC59="","",'Raw Data'!FC59)</f>
        <v>1</v>
      </c>
      <c r="FP54" s="15" t="str">
        <f>IF('Raw Data'!FD59="","",'Raw Data'!FD59)</f>
        <v>0</v>
      </c>
      <c r="FQ54" s="15" t="str">
        <f>IF('Raw Data'!FE59="","",'Raw Data'!FE59)</f>
        <v>1</v>
      </c>
      <c r="FR54" s="15" t="str">
        <f>IF('Raw Data'!FF59="","",'Raw Data'!FF59)</f>
        <v>0</v>
      </c>
      <c r="FS54" s="15" t="str">
        <f>IF('Raw Data'!FG59="","",'Raw Data'!FG59)</f>
        <v>0</v>
      </c>
      <c r="FT54" s="15" t="str">
        <f>IF('Raw Data'!FH59="","",'Raw Data'!FH59)</f>
        <v>0</v>
      </c>
      <c r="FU54" s="15" t="str">
        <f>IF('Raw Data'!FI59="","",'Raw Data'!FI59)</f>
        <v>0</v>
      </c>
      <c r="FV54" s="15" t="str">
        <f>IF('Raw Data'!FJ59="","",'Raw Data'!FJ59)</f>
        <v>0</v>
      </c>
      <c r="FW54" s="15" t="str">
        <f>IF('Raw Data'!FK59="","",'Raw Data'!FK59)</f>
        <v>0</v>
      </c>
      <c r="FX54" s="15" t="str">
        <f>IF('Raw Data'!FL59="","",'Raw Data'!FL59)</f>
        <v>0</v>
      </c>
      <c r="FY54" s="15" t="str">
        <f>IF('Raw Data'!FM59="","",'Raw Data'!FM59)</f>
        <v>0</v>
      </c>
      <c r="FZ54" s="15" t="str">
        <f>IF('Raw Data'!FN59="","",'Raw Data'!FN59)</f>
        <v/>
      </c>
      <c r="GA54" s="15" t="str">
        <f>IF('Raw Data'!FO59="","",'Raw Data'!FO59)</f>
        <v>oui_moitie</v>
      </c>
      <c r="GB54" s="15" t="str">
        <f>IF('Raw Data'!FP59="","",'Raw Data'!FP59)</f>
        <v>oui_ensemble</v>
      </c>
      <c r="GC54" s="15" t="str">
        <f>IF('Raw Data'!FQ59="","",'Raw Data'!FQ59)</f>
        <v/>
      </c>
      <c r="GD54" s="15" t="str">
        <f>IF('Raw Data'!FR59="","",'Raw Data'!FR59)</f>
        <v/>
      </c>
      <c r="GE54" s="15" t="str">
        <f>IF('Raw Data'!FS59="","",'Raw Data'!FS59)</f>
        <v/>
      </c>
      <c r="GF54" s="15" t="str">
        <f>IF('Raw Data'!FT59="","",'Raw Data'!FT59)</f>
        <v/>
      </c>
      <c r="GG54" s="15" t="str">
        <f>IF('Raw Data'!FU59="","",'Raw Data'!FU59)</f>
        <v/>
      </c>
      <c r="GH54" s="15" t="str">
        <f>IF('Raw Data'!FV59="","",'Raw Data'!FV59)</f>
        <v/>
      </c>
      <c r="GI54" s="15" t="str">
        <f>IF('Raw Data'!FW59="","",'Raw Data'!FW59)</f>
        <v/>
      </c>
      <c r="GJ54" s="15" t="str">
        <f>IF('Raw Data'!FX59="","",'Raw Data'!FX59)</f>
        <v/>
      </c>
      <c r="GK54" s="15" t="str">
        <f>IF('Raw Data'!FY59="","",'Raw Data'!FY59)</f>
        <v/>
      </c>
      <c r="GL54" s="15" t="str">
        <f>IF('Raw Data'!FZ59="","",'Raw Data'!FZ59)</f>
        <v/>
      </c>
      <c r="GM54" s="15" t="str">
        <f>IF('Raw Data'!GA59="","",'Raw Data'!GA59)</f>
        <v>majorite</v>
      </c>
      <c r="GN54" s="15" t="str">
        <f>IF('Raw Data'!GB59="","",'Raw Data'!GB59)</f>
        <v>ensemble</v>
      </c>
      <c r="GO54" s="15" t="str">
        <f>IF('Raw Data'!GC59="","",'Raw Data'!GC59)</f>
        <v>Appui_psychosocial Services_de_sante</v>
      </c>
      <c r="GP54" s="15" t="str">
        <f>IF('Raw Data'!GD59="","",'Raw Data'!GD59)</f>
        <v>1</v>
      </c>
      <c r="GQ54" s="15" t="str">
        <f>IF('Raw Data'!GE59="","",'Raw Data'!GE59)</f>
        <v>0</v>
      </c>
      <c r="GR54" s="15" t="str">
        <f>IF('Raw Data'!GF59="","",'Raw Data'!GF59)</f>
        <v>0</v>
      </c>
      <c r="GS54" s="15" t="str">
        <f>IF('Raw Data'!GG59="","",'Raw Data'!GG59)</f>
        <v>1</v>
      </c>
      <c r="GT54" s="15" t="str">
        <f>IF('Raw Data'!GH59="","",'Raw Data'!GH59)</f>
        <v>0</v>
      </c>
      <c r="GU54" s="15" t="str">
        <f>IF('Raw Data'!GI59="","",'Raw Data'!GI59)</f>
        <v>0</v>
      </c>
      <c r="GV54" s="15" t="str">
        <f>IF('Raw Data'!GJ59="","",'Raw Data'!GJ59)</f>
        <v>0</v>
      </c>
      <c r="GW54" s="15" t="str">
        <f>IF('Raw Data'!GK59="","",'Raw Data'!GK59)</f>
        <v>0</v>
      </c>
      <c r="GX54" s="15" t="str">
        <f>IF('Raw Data'!GL59="","",'Raw Data'!GL59)</f>
        <v>0</v>
      </c>
      <c r="GY54" s="15" t="str">
        <f>IF('Raw Data'!GM59="","",'Raw Data'!GM59)</f>
        <v/>
      </c>
      <c r="GZ54" s="15" t="str">
        <f>IF('Raw Data'!GN59="","",'Raw Data'!GN59)</f>
        <v>oui_ensemble</v>
      </c>
      <c r="HA54" s="15" t="str">
        <f>IF('Raw Data'!GO59="","",'Raw Data'!GO59)</f>
        <v>oui_ensemble</v>
      </c>
      <c r="HB54" s="15" t="str">
        <f>IF('Raw Data'!GP59="","",'Raw Data'!GP59)</f>
        <v>amelioration_futur repond_besoins_pop</v>
      </c>
      <c r="HC54" s="15" t="str">
        <f>IF('Raw Data'!GQ59="","",'Raw Data'!GQ59)</f>
        <v>1</v>
      </c>
      <c r="HD54" s="15" t="str">
        <f>IF('Raw Data'!GR59="","",'Raw Data'!GR59)</f>
        <v>1</v>
      </c>
      <c r="HE54" s="15" t="str">
        <f>IF('Raw Data'!GS59="","",'Raw Data'!GS59)</f>
        <v>0</v>
      </c>
      <c r="HF54" s="15" t="str">
        <f>IF('Raw Data'!GT59="","",'Raw Data'!GT59)</f>
        <v>0</v>
      </c>
      <c r="HG54" s="15" t="str">
        <f>IF('Raw Data'!GU59="","",'Raw Data'!GU59)</f>
        <v>0</v>
      </c>
      <c r="HH54" s="15" t="str">
        <f>IF('Raw Data'!GV59="","",'Raw Data'!GV59)</f>
        <v>0</v>
      </c>
      <c r="HI54" s="15" t="str">
        <f>IF('Raw Data'!GW59="","",'Raw Data'!GW59)</f>
        <v>0</v>
      </c>
      <c r="HJ54" s="15" t="str">
        <f>IF('Raw Data'!GX59="","",'Raw Data'!GX59)</f>
        <v>0</v>
      </c>
      <c r="HK54" s="15" t="str">
        <f>IF('Raw Data'!GY59="","",'Raw Data'!GY59)</f>
        <v/>
      </c>
      <c r="HL54" s="31"/>
      <c r="HM54" s="31"/>
      <c r="HN54" s="31"/>
      <c r="HO54" s="31"/>
      <c r="HP54" s="31"/>
      <c r="HQ54" s="31"/>
      <c r="HR54" s="31"/>
      <c r="HS54" s="31"/>
      <c r="HT54" s="15" t="str">
        <f>IF('Raw Data'!HH59="","",'Raw Data'!HH59)</f>
        <v/>
      </c>
      <c r="HU54" s="15" t="str">
        <f>IF('Raw Data'!HI59="","",'Raw Data'!HI59)</f>
        <v>non</v>
      </c>
      <c r="HV54" s="15" t="str">
        <f>IF('Raw Data'!HJ59="","",'Raw Data'!HJ59)</f>
        <v/>
      </c>
      <c r="HW54" s="15" t="str">
        <f>IF('Raw Data'!HK59="","",'Raw Data'!HK59)</f>
        <v/>
      </c>
      <c r="HX54" s="15" t="str">
        <f>IF('Raw Data'!HL59="","",'Raw Data'!HL59)</f>
        <v/>
      </c>
      <c r="HY54" s="15" t="str">
        <f>IF('Raw Data'!HM59="","",'Raw Data'!HM59)</f>
        <v/>
      </c>
      <c r="HZ54" s="15" t="str">
        <f>IF('Raw Data'!HN59="","",'Raw Data'!HN59)</f>
        <v/>
      </c>
      <c r="IA54" s="15" t="str">
        <f>IF('Raw Data'!HO59="","",'Raw Data'!HO59)</f>
        <v/>
      </c>
      <c r="IB54" s="15" t="str">
        <f>IF('Raw Data'!HP59="","",'Raw Data'!HP59)</f>
        <v/>
      </c>
      <c r="IC54" s="15" t="str">
        <f>IF('Raw Data'!HQ59="","",'Raw Data'!HQ59)</f>
        <v/>
      </c>
      <c r="ID54" s="15" t="str">
        <f>IF('Raw Data'!HR59="","",'Raw Data'!HR59)</f>
        <v/>
      </c>
      <c r="IE54" s="15" t="str">
        <f>IF('Raw Data'!HS59="","",'Raw Data'!HS59)</f>
        <v/>
      </c>
      <c r="IF54" s="15" t="str">
        <f>IF('Raw Data'!HT59="","",'Raw Data'!HT59)</f>
        <v/>
      </c>
      <c r="IG54" s="15" t="str">
        <f>IF('Raw Data'!HU59="","",'Raw Data'!HU59)</f>
        <v/>
      </c>
      <c r="IH54" s="15" t="str">
        <f>IF('Raw Data'!HV59="","",'Raw Data'!HV59)</f>
        <v>oui</v>
      </c>
      <c r="II54" s="15" t="str">
        <f>IF('Raw Data'!HW59="","",'Raw Data'!HW59)</f>
        <v/>
      </c>
      <c r="IJ54" s="15" t="str">
        <f>IF('Raw Data'!HX59="","",'Raw Data'!HX59)</f>
        <v/>
      </c>
      <c r="IK54" s="15" t="str">
        <f>IF('Raw Data'!HY59="","",'Raw Data'!HY59)</f>
        <v/>
      </c>
      <c r="IL54" s="15" t="str">
        <f>IF('Raw Data'!HZ59="","",'Raw Data'!HZ59)</f>
        <v/>
      </c>
      <c r="IM54" s="15" t="str">
        <f>IF('Raw Data'!IA59="","",'Raw Data'!IA59)</f>
        <v/>
      </c>
      <c r="IN54" s="15" t="str">
        <f>IF('Raw Data'!IB59="","",'Raw Data'!IB59)</f>
        <v/>
      </c>
      <c r="IO54" s="15" t="str">
        <f>IF('Raw Data'!IC59="","",'Raw Data'!IC59)</f>
        <v/>
      </c>
      <c r="IP54" s="15" t="str">
        <f>IF('Raw Data'!ID59="","",'Raw Data'!ID59)</f>
        <v/>
      </c>
      <c r="IQ54" s="15" t="str">
        <f>IF('Raw Data'!IE59="","",'Raw Data'!IE59)</f>
        <v/>
      </c>
      <c r="IR54" s="15" t="str">
        <f>IF('Raw Data'!IF59="","",'Raw Data'!IF59)</f>
        <v/>
      </c>
      <c r="IS54" s="15" t="str">
        <f>IF('Raw Data'!IG59="","",'Raw Data'!IG59)</f>
        <v/>
      </c>
      <c r="IT54" s="15" t="str">
        <f>IF('Raw Data'!IH59="","",'Raw Data'!IH59)</f>
        <v/>
      </c>
      <c r="IU54" s="15" t="str">
        <f>IF('Raw Data'!II59="","",'Raw Data'!II59)</f>
        <v/>
      </c>
      <c r="IV54" s="15" t="str">
        <f>IF('Raw Data'!IJ59="","",'Raw Data'!IJ59)</f>
        <v/>
      </c>
      <c r="IW54" s="15" t="str">
        <f>IF('Raw Data'!IK59="","",'Raw Data'!IK59)</f>
        <v/>
      </c>
      <c r="IX54" s="15" t="str">
        <f>IF('Raw Data'!IL59="","",'Raw Data'!IL59)</f>
        <v/>
      </c>
      <c r="IY54" s="15" t="str">
        <f>IF('Raw Data'!IM59="","",'Raw Data'!IM59)</f>
        <v/>
      </c>
      <c r="IZ54" s="15" t="str">
        <f>IF('Raw Data'!IN59="","",'Raw Data'!IN59)</f>
        <v>40</v>
      </c>
      <c r="JA54" s="15" t="str">
        <f>IF('Raw Data'!IO59="","",'Raw Data'!IO59)</f>
        <v>Appui_psychosocial Services_medicaux</v>
      </c>
      <c r="JB54" s="15" t="str">
        <f>IF('Raw Data'!IP59="","",'Raw Data'!IP59)</f>
        <v>1</v>
      </c>
      <c r="JC54" s="15" t="str">
        <f>IF('Raw Data'!IQ59="","",'Raw Data'!IQ59)</f>
        <v>1</v>
      </c>
      <c r="JD54" s="15" t="str">
        <f>IF('Raw Data'!IR59="","",'Raw Data'!IR59)</f>
        <v>0</v>
      </c>
      <c r="JE54" s="15" t="str">
        <f>IF('Raw Data'!IS59="","",'Raw Data'!IS59)</f>
        <v>0</v>
      </c>
      <c r="JF54" s="15" t="str">
        <f>IF('Raw Data'!IT59="","",'Raw Data'!IT59)</f>
        <v>0</v>
      </c>
      <c r="JG54" s="15" t="str">
        <f>IF('Raw Data'!IU59="","",'Raw Data'!IU59)</f>
        <v>0</v>
      </c>
      <c r="JH54" s="15" t="str">
        <f>IF('Raw Data'!IV59="","",'Raw Data'!IV59)</f>
        <v>0</v>
      </c>
      <c r="JI54" s="15" t="str">
        <f>IF('Raw Data'!IW59="","",'Raw Data'!IW59)</f>
        <v>0</v>
      </c>
      <c r="JJ54" s="15" t="str">
        <f>IF('Raw Data'!IX59="","",'Raw Data'!IX59)</f>
        <v>0</v>
      </c>
      <c r="JK54" s="15" t="str">
        <f>IF('Raw Data'!IY59="","",'Raw Data'!IY59)</f>
        <v>0</v>
      </c>
      <c r="JL54" s="15" t="str">
        <f>IF('Raw Data'!IZ59="","",'Raw Data'!IZ59)</f>
        <v/>
      </c>
      <c r="JM54" s="15" t="str">
        <f>IF('Raw Data'!JA59="","",'Raw Data'!JA59)</f>
        <v>prise_enchage reorientation</v>
      </c>
      <c r="JN54" s="15" t="str">
        <f>IF('Raw Data'!JB59="","",'Raw Data'!JB59)</f>
        <v>1</v>
      </c>
      <c r="JO54" s="15" t="str">
        <f>IF('Raw Data'!JC59="","",'Raw Data'!JC59)</f>
        <v>1</v>
      </c>
      <c r="JP54" s="15" t="str">
        <f>IF('Raw Data'!JD59="","",'Raw Data'!JD59)</f>
        <v>0</v>
      </c>
      <c r="JQ54" s="15" t="str">
        <f>IF('Raw Data'!JE59="","",'Raw Data'!JE59)</f>
        <v>0</v>
      </c>
      <c r="JR54" s="15" t="str">
        <f>IF('Raw Data'!JF59="","",'Raw Data'!JF59)</f>
        <v>0</v>
      </c>
      <c r="JS54" s="15" t="str">
        <f>IF('Raw Data'!JG59="","",'Raw Data'!JG59)</f>
        <v>0</v>
      </c>
      <c r="JT54" s="15" t="str">
        <f>IF('Raw Data'!JH59="","",'Raw Data'!JH59)</f>
        <v/>
      </c>
      <c r="JU54" s="15" t="str">
        <f>IF('Raw Data'!JI59="","",'Raw Data'!JI59)</f>
        <v>medical Psychosocia</v>
      </c>
      <c r="JV54" s="15" t="str">
        <f>IF('Raw Data'!JJ59="","",'Raw Data'!JJ59)</f>
        <v>1</v>
      </c>
      <c r="JW54" s="15" t="str">
        <f>IF('Raw Data'!JK59="","",'Raw Data'!JK59)</f>
        <v>1</v>
      </c>
      <c r="JX54" s="15" t="str">
        <f>IF('Raw Data'!JL59="","",'Raw Data'!JL59)</f>
        <v>0</v>
      </c>
      <c r="JY54" s="15" t="str">
        <f>IF('Raw Data'!JM59="","",'Raw Data'!JM59)</f>
        <v>0</v>
      </c>
      <c r="JZ54" s="15" t="str">
        <f>IF('Raw Data'!JN59="","",'Raw Data'!JN59)</f>
        <v>0</v>
      </c>
      <c r="KA54" s="15" t="str">
        <f>IF('Raw Data'!JO59="","",'Raw Data'!JO59)</f>
        <v>0</v>
      </c>
      <c r="KB54" s="15" t="str">
        <f>IF('Raw Data'!JP59="","",'Raw Data'!JP59)</f>
        <v>0</v>
      </c>
      <c r="KC54" s="15" t="str">
        <f>IF('Raw Data'!JQ59="","",'Raw Data'!JQ59)</f>
        <v>0</v>
      </c>
      <c r="KD54" s="15" t="str">
        <f>IF('Raw Data'!JR59="","",'Raw Data'!JR59)</f>
        <v>0</v>
      </c>
      <c r="KE54" s="15" t="str">
        <f>IF('Raw Data'!JS59="","",'Raw Data'!JS59)</f>
        <v/>
      </c>
      <c r="KF54" s="15" t="str">
        <f>IF('Raw Data'!JT59="","",'Raw Data'!JT59)</f>
        <v>Psychosocia medical</v>
      </c>
      <c r="KG54" s="15" t="str">
        <f>IF('Raw Data'!JU59="","",'Raw Data'!JU59)</f>
        <v>1</v>
      </c>
      <c r="KH54" s="15" t="str">
        <f>IF('Raw Data'!JV59="","",'Raw Data'!JV59)</f>
        <v>1</v>
      </c>
      <c r="KI54" s="15" t="str">
        <f>IF('Raw Data'!JW59="","",'Raw Data'!JW59)</f>
        <v>0</v>
      </c>
      <c r="KJ54" s="15" t="str">
        <f>IF('Raw Data'!JX59="","",'Raw Data'!JX59)</f>
        <v>0</v>
      </c>
      <c r="KK54" s="15" t="str">
        <f>IF('Raw Data'!JY59="","",'Raw Data'!JY59)</f>
        <v>0</v>
      </c>
      <c r="KL54" s="15" t="str">
        <f>IF('Raw Data'!JZ59="","",'Raw Data'!JZ59)</f>
        <v>0</v>
      </c>
      <c r="KM54" s="15" t="str">
        <f>IF('Raw Data'!KA59="","",'Raw Data'!KA59)</f>
        <v>0</v>
      </c>
      <c r="KN54" s="15" t="str">
        <f>IF('Raw Data'!KB59="","",'Raw Data'!KB59)</f>
        <v>0</v>
      </c>
      <c r="KO54" s="15" t="str">
        <f>IF('Raw Data'!KC59="","",'Raw Data'!KC59)</f>
        <v>0</v>
      </c>
      <c r="KP54" s="15" t="str">
        <f>IF('Raw Data'!KD59="","",'Raw Data'!KD59)</f>
        <v/>
      </c>
      <c r="KQ54" s="15" t="str">
        <f>IF('Raw Data'!KE59="","",'Raw Data'!KE59)</f>
        <v/>
      </c>
      <c r="KR54" s="15" t="str">
        <f>IF('Raw Data'!KF59="","",'Raw Data'!KF59)</f>
        <v>ne_sait_pas</v>
      </c>
      <c r="KS54" s="15" t="str">
        <f>IF('Raw Data'!KG59="","",'Raw Data'!KG59)</f>
        <v/>
      </c>
      <c r="KT54" s="15" t="str">
        <f>IF('Raw Data'!KH59="","",'Raw Data'!KH59)</f>
        <v/>
      </c>
      <c r="KU54" s="15" t="str">
        <f>IF('Raw Data'!KI59="","",'Raw Data'!KI59)</f>
        <v/>
      </c>
      <c r="KV54" s="15" t="str">
        <f>IF('Raw Data'!KJ59="","",'Raw Data'!KJ59)</f>
        <v/>
      </c>
      <c r="KW54" s="15" t="str">
        <f>IF('Raw Data'!KK59="","",'Raw Data'!KK59)</f>
        <v/>
      </c>
      <c r="KX54" s="15" t="str">
        <f>IF('Raw Data'!KL59="","",'Raw Data'!KL59)</f>
        <v/>
      </c>
      <c r="KY54" s="15" t="str">
        <f>IF('Raw Data'!KM59="","",'Raw Data'!KM59)</f>
        <v/>
      </c>
      <c r="KZ54" s="15" t="str">
        <f>IF('Raw Data'!KN59="","",'Raw Data'!KN59)</f>
        <v/>
      </c>
      <c r="LA54" s="15" t="str">
        <f>IF('Raw Data'!KO59="","",'Raw Data'!KO59)</f>
        <v/>
      </c>
      <c r="LB54" s="15" t="str">
        <f>IF('Raw Data'!KP59="","",'Raw Data'!KP59)</f>
        <v/>
      </c>
      <c r="LC54" s="15" t="str">
        <f>IF('Raw Data'!KQ59="","",'Raw Data'!KQ59)</f>
        <v/>
      </c>
      <c r="LD54" s="15" t="str">
        <f>IF('Raw Data'!KR59="","",'Raw Data'!KR59)</f>
        <v/>
      </c>
      <c r="LE54" s="15" t="str">
        <f>IF('Raw Data'!KS59="","",'Raw Data'!KS59)</f>
        <v/>
      </c>
      <c r="LF54" s="15" t="str">
        <f>IF('Raw Data'!KT59="","",'Raw Data'!KT59)</f>
        <v/>
      </c>
      <c r="LG54" s="15" t="str">
        <f>IF('Raw Data'!KU59="","",'Raw Data'!KU59)</f>
        <v/>
      </c>
      <c r="LH54" s="15" t="str">
        <f>IF('Raw Data'!KV59="","",'Raw Data'!KV59)</f>
        <v/>
      </c>
      <c r="LI54" s="15" t="str">
        <f>IF('Raw Data'!KW59="","",'Raw Data'!KW59)</f>
        <v/>
      </c>
      <c r="LJ54" s="15" t="str">
        <f>IF('Raw Data'!KX59="","",'Raw Data'!KX59)</f>
        <v/>
      </c>
      <c r="LK54" s="15" t="str">
        <f>IF('Raw Data'!KY59="","",'Raw Data'!KY59)</f>
        <v/>
      </c>
      <c r="LL54" s="15" t="str">
        <f>IF('Raw Data'!KZ59="","",'Raw Data'!KZ59)</f>
        <v/>
      </c>
      <c r="LM54" s="15" t="str">
        <f>IF('Raw Data'!LA59="","",'Raw Data'!LA59)</f>
        <v/>
      </c>
      <c r="LN54" s="15" t="str">
        <f>IF('Raw Data'!LB59="","",'Raw Data'!LB59)</f>
        <v>non</v>
      </c>
      <c r="LO54" s="15" t="str">
        <f>IF('Raw Data'!LC59="","",'Raw Data'!LC59)</f>
        <v/>
      </c>
      <c r="LP54" s="15" t="str">
        <f>IF('Raw Data'!LD59="","",'Raw Data'!LD59)</f>
        <v/>
      </c>
      <c r="LQ54" s="15" t="str">
        <f>IF('Raw Data'!LE59="","",'Raw Data'!LE59)</f>
        <v/>
      </c>
      <c r="LR54" s="15" t="str">
        <f>IF('Raw Data'!LF59="","",'Raw Data'!LF59)</f>
        <v/>
      </c>
      <c r="LS54" s="15" t="str">
        <f>IF('Raw Data'!LG59="","",'Raw Data'!LG59)</f>
        <v/>
      </c>
      <c r="LT54" s="15" t="str">
        <f>IF('Raw Data'!LH59="","",'Raw Data'!LH59)</f>
        <v/>
      </c>
      <c r="LU54" s="15" t="str">
        <f>IF('Raw Data'!LI59="","",'Raw Data'!LI59)</f>
        <v/>
      </c>
      <c r="LV54" s="15" t="str">
        <f>IF('Raw Data'!LJ59="","",'Raw Data'!LJ59)</f>
        <v/>
      </c>
      <c r="LW54" s="15" t="str">
        <f>IF('Raw Data'!LK59="","",'Raw Data'!LK59)</f>
        <v/>
      </c>
      <c r="LX54" s="15" t="str">
        <f>IF('Raw Data'!LL59="","",'Raw Data'!LL59)</f>
        <v/>
      </c>
      <c r="LY54" s="15" t="str">
        <f>IF('Raw Data'!LM59="","",'Raw Data'!LM59)</f>
        <v/>
      </c>
      <c r="LZ54" s="15" t="str">
        <f>IF('Raw Data'!LN59="","",'Raw Data'!LN59)</f>
        <v/>
      </c>
      <c r="MA54" s="15" t="str">
        <f>IF('Raw Data'!LO59="","",'Raw Data'!LO59)</f>
        <v/>
      </c>
      <c r="MB54" s="15" t="str">
        <f>IF('Raw Data'!LP59="","",'Raw Data'!LP59)</f>
        <v>oui</v>
      </c>
      <c r="MC54" s="15" t="str">
        <f>IF('Raw Data'!LQ59="","",'Raw Data'!LQ59)</f>
        <v/>
      </c>
      <c r="MD54" s="15" t="str">
        <f>IF('Raw Data'!LR59="","",'Raw Data'!LR59)</f>
        <v/>
      </c>
      <c r="ME54" s="15">
        <f>IF('Raw Data'!LS59="","",'Raw Data'!LS59)</f>
        <v>170684041</v>
      </c>
      <c r="MF54" s="15" t="str">
        <f>IF('Raw Data'!LT59="","",'Raw Data'!LT59)</f>
        <v>22d851ed-0410-42cb-b671-52cd662a2d61</v>
      </c>
      <c r="MG54" s="15" t="str">
        <f>IF('Raw Data'!LU59="","",'Raw Data'!LU59)</f>
        <v>2021-04-09T17:50:05</v>
      </c>
      <c r="MH54" s="15" t="str">
        <f>IF('Raw Data'!LV59="","",'Raw Data'!LV59)</f>
        <v/>
      </c>
      <c r="MI54" s="15" t="str">
        <f>IF('Raw Data'!LW59="","",'Raw Data'!LW59)</f>
        <v>[]</v>
      </c>
      <c r="MJ54" s="15" t="str">
        <f>IF('Raw Data'!LX59="","",'Raw Data'!LX59)</f>
        <v>submitted_via_web</v>
      </c>
      <c r="MK54" s="15" t="str">
        <f>IF('Raw Data'!LY59="","",'Raw Data'!LY59)</f>
        <v>reach_niger</v>
      </c>
      <c r="ML54" s="15" t="str">
        <f>IF('Raw Data'!LZ59="","",'Raw Data'!LZ59)</f>
        <v/>
      </c>
      <c r="MM54" s="15">
        <f>IF('Raw Data'!MA59="","",'Raw Data'!MA59)</f>
        <v>63</v>
      </c>
    </row>
    <row r="55" spans="1:351" x14ac:dyDescent="0.3">
      <c r="A55" s="26" t="str">
        <f t="shared" si="4"/>
        <v>d761ba78-5ffc-4392-af03-d352d3fd4a72</v>
      </c>
      <c r="B55" s="26" t="str">
        <f t="shared" si="5"/>
        <v>makalondi</v>
      </c>
      <c r="C55" s="26" t="str">
        <f t="shared" si="6"/>
        <v>K</v>
      </c>
      <c r="D55" s="14" t="str">
        <f>IF('Raw Data'!A15="","",'Raw Data'!A15)</f>
        <v>2021-04-01T12:52:08.294+01:00</v>
      </c>
      <c r="E55" s="14" t="str">
        <f>IF('Raw Data'!B15="","",'Raw Data'!B15)</f>
        <v>2021-04-01T18:13:43.474+01:00</v>
      </c>
      <c r="F55" s="30">
        <v>44287.536203703705</v>
      </c>
      <c r="G55" s="30">
        <v>44287.759525462963</v>
      </c>
      <c r="H55" s="29">
        <f>VLOOKUP(A55,Audit[#All],2,FALSE)</f>
        <v>322.18</v>
      </c>
      <c r="I55" s="29">
        <f>VLOOKUP(A55,Audit[#All],3,FALSE)</f>
        <v>36.4</v>
      </c>
      <c r="J55" s="29">
        <f>VLOOKUP(A55,Audit[#All],4,FALSE)</f>
        <v>30.58</v>
      </c>
      <c r="K55" s="29">
        <f>VLOOKUP(A55,nb_questions[#All],2,FALSE)</f>
        <v>138</v>
      </c>
      <c r="L55" s="29">
        <f t="shared" si="7"/>
        <v>142</v>
      </c>
      <c r="M55" s="14" t="str">
        <f>IF('Raw Data'!C15="","",'Raw Data'!C15)</f>
        <v>2021-04-01</v>
      </c>
      <c r="N55" s="14" t="str">
        <f>IF('Raw Data'!D15="","",'Raw Data'!D15)</f>
        <v/>
      </c>
      <c r="O55" s="14" t="str">
        <f>IF('Raw Data'!E15="","",'Raw Data'!E15)</f>
        <v/>
      </c>
      <c r="P55" s="29" t="str">
        <f>VLOOKUP(A55,code_enqueteurs[#All],3,FALSE)</f>
        <v>K</v>
      </c>
      <c r="Q55" s="29" t="s">
        <v>1655</v>
      </c>
      <c r="R55" s="14" t="str">
        <f>IF('Raw Data'!F15="","",'Raw Data'!F15)</f>
        <v>Homme</v>
      </c>
      <c r="S55" s="15" t="str">
        <f>IF('Raw Data'!G15="","",'Raw Data'!G15)</f>
        <v>torodi</v>
      </c>
      <c r="T55" s="15" t="str">
        <f>IF('Raw Data'!H15="","",'Raw Data'!H15)</f>
        <v>makalondi</v>
      </c>
      <c r="U55" s="15" t="str">
        <f>IF('Raw Data'!I15="","",'Raw Data'!I15)</f>
        <v>autre</v>
      </c>
      <c r="V55" s="31" t="s">
        <v>1642</v>
      </c>
      <c r="W55" s="15" t="str">
        <f>IF('Raw Data'!K15="","",'Raw Data'!K15)</f>
        <v/>
      </c>
      <c r="X55" s="15" t="str">
        <f>IF('Raw Data'!L15="","",'Raw Data'!L15)</f>
        <v/>
      </c>
      <c r="Y55" s="15" t="str">
        <f>IF('Raw Data'!M15="","",'Raw Data'!M15)</f>
        <v/>
      </c>
      <c r="Z55" s="15" t="str">
        <f>IF('Raw Data'!N15="","",'Raw Data'!N15)</f>
        <v/>
      </c>
      <c r="AA55" s="15" t="str">
        <f>IF('Raw Data'!O15="","",'Raw Data'!O15)</f>
        <v/>
      </c>
      <c r="AB55" s="15" t="str">
        <f>IF('Raw Data'!P15="","",'Raw Data'!P15)</f>
        <v/>
      </c>
      <c r="AC55" s="15" t="str">
        <f>IF('Raw Data'!Q15="","",'Raw Data'!Q15)</f>
        <v/>
      </c>
      <c r="AD55" s="15" t="str">
        <f>IF('Raw Data'!R15="","",'Raw Data'!R15)</f>
        <v>Femme</v>
      </c>
      <c r="AE55" s="15" t="str">
        <f>IF('Raw Data'!S15="","",'Raw Data'!S15)</f>
        <v>30</v>
      </c>
      <c r="AF55" s="15" t="str">
        <f>IF('Raw Data'!T15="","",'Raw Data'!T15)</f>
        <v>Hote</v>
      </c>
      <c r="AG55" s="15" t="str">
        <f>IF('Raw Data'!U15="","",'Raw Data'!U15)</f>
        <v/>
      </c>
      <c r="AH55" s="15" t="str">
        <f>IF('Raw Data'!V15="","",'Raw Data'!V15)</f>
        <v/>
      </c>
      <c r="AI55" s="15" t="str">
        <f>IF('Raw Data'!W15="","",'Raw Data'!W15)</f>
        <v/>
      </c>
      <c r="AJ55" s="15" t="str">
        <f>IF('Raw Data'!X15="","",'Raw Data'!X15)</f>
        <v/>
      </c>
      <c r="AK55" s="15" t="str">
        <f>IF('Raw Data'!Y15="","",'Raw Data'!Y15)</f>
        <v/>
      </c>
      <c r="AL55" s="15" t="str">
        <f>IF('Raw Data'!Z15="","",'Raw Data'!Z15)</f>
        <v/>
      </c>
      <c r="AM55" s="15" t="str">
        <f>IF('Raw Data'!AA15="","",'Raw Data'!AA15)</f>
        <v/>
      </c>
      <c r="AN55" s="15" t="str">
        <f>IF('Raw Data'!AB15="","",'Raw Data'!AB15)</f>
        <v/>
      </c>
      <c r="AO55" s="15" t="str">
        <f>IF('Raw Data'!AC15="","",'Raw Data'!AC15)</f>
        <v/>
      </c>
      <c r="AP55" s="15" t="str">
        <f>IF('Raw Data'!AD15="","",'Raw Data'!AD15)</f>
        <v/>
      </c>
      <c r="AQ55" s="15" t="str">
        <f>IF('Raw Data'!AE15="","",'Raw Data'!AE15)</f>
        <v/>
      </c>
      <c r="AR55" s="15" t="str">
        <f>IF('Raw Data'!AF15="","",'Raw Data'!AF15)</f>
        <v/>
      </c>
      <c r="AS55" s="15" t="str">
        <f>IF('Raw Data'!AG15="","",'Raw Data'!AG15)</f>
        <v>non</v>
      </c>
      <c r="AT55" s="15" t="str">
        <f>IF('Raw Data'!AH15="","",'Raw Data'!AH15)</f>
        <v/>
      </c>
      <c r="AU55" s="15" t="str">
        <f>IF('Raw Data'!AI15="","",'Raw Data'!AI15)</f>
        <v/>
      </c>
      <c r="AV55" s="15" t="str">
        <f>IF('Raw Data'!AJ15="","",'Raw Data'!AJ15)</f>
        <v/>
      </c>
      <c r="AW55" s="15" t="str">
        <f>IF('Raw Data'!AK15="","",'Raw Data'!AK15)</f>
        <v/>
      </c>
      <c r="AX55" s="15" t="str">
        <f>IF('Raw Data'!AL15="","",'Raw Data'!AL15)</f>
        <v/>
      </c>
      <c r="AY55" s="15" t="str">
        <f>IF('Raw Data'!AM15="","",'Raw Data'!AM15)</f>
        <v/>
      </c>
      <c r="AZ55" s="15" t="str">
        <f>IF('Raw Data'!AN15="","",'Raw Data'!AN15)</f>
        <v/>
      </c>
      <c r="BA55" s="15" t="str">
        <f>IF('Raw Data'!AO15="","",'Raw Data'!AO15)</f>
        <v/>
      </c>
      <c r="BB55" s="15" t="str">
        <f>IF('Raw Data'!AP15="","",'Raw Data'!AP15)</f>
        <v/>
      </c>
      <c r="BC55" s="15" t="str">
        <f>IF('Raw Data'!AQ15="","",'Raw Data'!AQ15)</f>
        <v/>
      </c>
      <c r="BD55" s="15" t="str">
        <f>IF('Raw Data'!AR15="","",'Raw Data'!AR15)</f>
        <v/>
      </c>
      <c r="BE55" s="15" t="str">
        <f>IF('Raw Data'!AS15="","",'Raw Data'!AS15)</f>
        <v/>
      </c>
      <c r="BF55" s="15" t="str">
        <f>IF('Raw Data'!AT15="","",'Raw Data'!AT15)</f>
        <v/>
      </c>
      <c r="BG55" s="15" t="str">
        <f>IF('Raw Data'!AU15="","",'Raw Data'!AU15)</f>
        <v/>
      </c>
      <c r="BH55" s="15" t="str">
        <f>IF('Raw Data'!AV15="","",'Raw Data'!AV15)</f>
        <v/>
      </c>
      <c r="BI55" s="15" t="str">
        <f>IF('Raw Data'!AW15="","",'Raw Data'!AW15)</f>
        <v/>
      </c>
      <c r="BJ55" s="15" t="str">
        <f>IF('Raw Data'!AX15="","",'Raw Data'!AX15)</f>
        <v/>
      </c>
      <c r="BK55" s="15" t="str">
        <f>IF('Raw Data'!AY15="","",'Raw Data'!AY15)</f>
        <v/>
      </c>
      <c r="BL55" s="15" t="str">
        <f>IF('Raw Data'!AZ15="","",'Raw Data'!AZ15)</f>
        <v/>
      </c>
      <c r="BM55" s="15" t="str">
        <f>IF('Raw Data'!BA15="","",'Raw Data'!BA15)</f>
        <v/>
      </c>
      <c r="BN55" s="15" t="str">
        <f>IF('Raw Data'!BB15="","",'Raw Data'!BB15)</f>
        <v/>
      </c>
      <c r="BO55" s="15" t="str">
        <f>IF('Raw Data'!BC15="","",'Raw Data'!BC15)</f>
        <v/>
      </c>
      <c r="BP55" s="15" t="str">
        <f>IF('Raw Data'!BD15="","",'Raw Data'!BD15)</f>
        <v/>
      </c>
      <c r="BQ55" s="15" t="str">
        <f>IF('Raw Data'!BE15="","",'Raw Data'!BE15)</f>
        <v/>
      </c>
      <c r="BR55" s="15" t="str">
        <f>IF('Raw Data'!BF15="","",'Raw Data'!BF15)</f>
        <v/>
      </c>
      <c r="BS55" s="15" t="str">
        <f>IF('Raw Data'!BG15="","",'Raw Data'!BG15)</f>
        <v/>
      </c>
      <c r="BT55" s="15" t="str">
        <f>IF('Raw Data'!BH15="","",'Raw Data'!BH15)</f>
        <v/>
      </c>
      <c r="BU55" s="15" t="str">
        <f>IF('Raw Data'!BI15="","",'Raw Data'!BI15)</f>
        <v/>
      </c>
      <c r="BV55" s="15" t="str">
        <f>IF('Raw Data'!BJ15="","",'Raw Data'!BJ15)</f>
        <v/>
      </c>
      <c r="BW55" s="15" t="str">
        <f>IF('Raw Data'!BK15="","",'Raw Data'!BK15)</f>
        <v/>
      </c>
      <c r="BX55" s="15" t="str">
        <f>IF('Raw Data'!BL15="","",'Raw Data'!BL15)</f>
        <v/>
      </c>
      <c r="BY55" s="15" t="str">
        <f>IF('Raw Data'!BM15="","",'Raw Data'!BM15)</f>
        <v/>
      </c>
      <c r="BZ55" s="15" t="str">
        <f>IF('Raw Data'!BN15="","",'Raw Data'!BN15)</f>
        <v/>
      </c>
      <c r="CA55" s="15" t="str">
        <f>IF('Raw Data'!BO15="","",'Raw Data'!BO15)</f>
        <v/>
      </c>
      <c r="CB55" s="15" t="str">
        <f>IF('Raw Data'!BP15="","",'Raw Data'!BP15)</f>
        <v/>
      </c>
      <c r="CC55" s="15" t="str">
        <f>IF('Raw Data'!BQ15="","",'Raw Data'!BQ15)</f>
        <v>oui</v>
      </c>
      <c r="CD55" s="15" t="str">
        <f>IF('Raw Data'!BR15="","",'Raw Data'!BR15)</f>
        <v>mariage_force viol agression_psychologique agression_physique</v>
      </c>
      <c r="CE55" s="15" t="str">
        <f>IF('Raw Data'!BS15="","",'Raw Data'!BS15)</f>
        <v>1</v>
      </c>
      <c r="CF55" s="15" t="str">
        <f>IF('Raw Data'!BT15="","",'Raw Data'!BT15)</f>
        <v>0</v>
      </c>
      <c r="CG55" s="15" t="str">
        <f>IF('Raw Data'!BU15="","",'Raw Data'!BU15)</f>
        <v>1</v>
      </c>
      <c r="CH55" s="15" t="str">
        <f>IF('Raw Data'!BV15="","",'Raw Data'!BV15)</f>
        <v>0</v>
      </c>
      <c r="CI55" s="15" t="str">
        <f>IF('Raw Data'!BW15="","",'Raw Data'!BW15)</f>
        <v>1</v>
      </c>
      <c r="CJ55" s="15" t="str">
        <f>IF('Raw Data'!BX15="","",'Raw Data'!BX15)</f>
        <v>1</v>
      </c>
      <c r="CK55" s="15" t="str">
        <f>IF('Raw Data'!BY15="","",'Raw Data'!BY15)</f>
        <v>0</v>
      </c>
      <c r="CL55" s="15" t="str">
        <f>IF('Raw Data'!BZ15="","",'Raw Data'!BZ15)</f>
        <v>0</v>
      </c>
      <c r="CM55" s="15" t="str">
        <f>IF('Raw Data'!CA15="","",'Raw Data'!CA15)</f>
        <v>0</v>
      </c>
      <c r="CN55" s="15" t="str">
        <f>IF('Raw Data'!CB15="","",'Raw Data'!CB15)</f>
        <v>0</v>
      </c>
      <c r="CO55" s="15" t="str">
        <f>IF('Raw Data'!CC15="","",'Raw Data'!CC15)</f>
        <v>0</v>
      </c>
      <c r="CP55" s="15" t="str">
        <f>IF('Raw Data'!CD15="","",'Raw Data'!CD15)</f>
        <v>0</v>
      </c>
      <c r="CQ55" s="15" t="str">
        <f>IF('Raw Data'!CE15="","",'Raw Data'!CE15)</f>
        <v>0</v>
      </c>
      <c r="CR55" s="15" t="str">
        <f>IF('Raw Data'!CF15="","",'Raw Data'!CF15)</f>
        <v>0</v>
      </c>
      <c r="CS55" s="15" t="str">
        <f>IF('Raw Data'!CG15="","",'Raw Data'!CG15)</f>
        <v>0</v>
      </c>
      <c r="CT55" s="15" t="str">
        <f>IF('Raw Data'!CH15="","",'Raw Data'!CH15)</f>
        <v/>
      </c>
      <c r="CU55" s="15" t="str">
        <f>IF('Raw Data'!CI15="","",'Raw Data'!CI15)</f>
        <v>Garçons Femmes</v>
      </c>
      <c r="CV55" s="15" t="str">
        <f>IF('Raw Data'!CJ15="","",'Raw Data'!CJ15)</f>
        <v>0</v>
      </c>
      <c r="CW55" s="15" t="str">
        <f>IF('Raw Data'!CK15="","",'Raw Data'!CK15)</f>
        <v>0</v>
      </c>
      <c r="CX55" s="15" t="str">
        <f>IF('Raw Data'!CL15="","",'Raw Data'!CL15)</f>
        <v>0</v>
      </c>
      <c r="CY55" s="15" t="str">
        <f>IF('Raw Data'!CM15="","",'Raw Data'!CM15)</f>
        <v>1</v>
      </c>
      <c r="CZ55" s="15" t="str">
        <f>IF('Raw Data'!CN15="","",'Raw Data'!CN15)</f>
        <v>1</v>
      </c>
      <c r="DA55" s="15" t="str">
        <f>IF('Raw Data'!CO15="","",'Raw Data'!CO15)</f>
        <v>0</v>
      </c>
      <c r="DB55" s="15" t="str">
        <f>IF('Raw Data'!CP15="","",'Raw Data'!CP15)</f>
        <v>0</v>
      </c>
      <c r="DC55" s="15" t="str">
        <f>IF('Raw Data'!CQ15="","",'Raw Data'!CQ15)</f>
        <v>0</v>
      </c>
      <c r="DD55" s="15" t="str">
        <f>IF('Raw Data'!CR15="","",'Raw Data'!CR15)</f>
        <v>0</v>
      </c>
      <c r="DE55" s="15" t="str">
        <f>IF('Raw Data'!CS15="","",'Raw Data'!CS15)</f>
        <v>0</v>
      </c>
      <c r="DF55" s="15" t="str">
        <f>IF('Raw Data'!CT15="","",'Raw Data'!CT15)</f>
        <v>0</v>
      </c>
      <c r="DG55" s="15" t="str">
        <f>IF('Raw Data'!CU15="","",'Raw Data'!CU15)</f>
        <v>0</v>
      </c>
      <c r="DH55" s="15" t="str">
        <f>IF('Raw Data'!CV15="","",'Raw Data'!CV15)</f>
        <v>0</v>
      </c>
      <c r="DI55" s="15" t="str">
        <f>IF('Raw Data'!CW15="","",'Raw Data'!CW15)</f>
        <v>0</v>
      </c>
      <c r="DJ55" s="15" t="str">
        <f>IF('Raw Data'!CX15="","",'Raw Data'!CX15)</f>
        <v/>
      </c>
      <c r="DK55" s="15" t="str">
        <f>IF('Raw Data'!CY15="","",'Raw Data'!CY15)</f>
        <v>1</v>
      </c>
      <c r="DL55" s="15" t="str">
        <f>IF('Raw Data'!CZ15="","",'Raw Data'!CZ15)</f>
        <v>stable</v>
      </c>
      <c r="DM55" s="15" t="str">
        <f>IF('Raw Data'!DA15="","",'Raw Data'!DA15)</f>
        <v/>
      </c>
      <c r="DN55" s="15" t="str">
        <f>IF('Raw Data'!DB15="","",'Raw Data'!DB15)</f>
        <v/>
      </c>
      <c r="DO55" s="15" t="str">
        <f>IF('Raw Data'!DC15="","",'Raw Data'!DC15)</f>
        <v/>
      </c>
      <c r="DP55" s="15" t="str">
        <f>IF('Raw Data'!DD15="","",'Raw Data'!DD15)</f>
        <v/>
      </c>
      <c r="DQ55" s="15" t="str">
        <f>IF('Raw Data'!DE15="","",'Raw Data'!DE15)</f>
        <v/>
      </c>
      <c r="DR55" s="15" t="str">
        <f>IF('Raw Data'!DF15="","",'Raw Data'!DF15)</f>
        <v/>
      </c>
      <c r="DS55" s="15" t="str">
        <f>IF('Raw Data'!DG15="","",'Raw Data'!DG15)</f>
        <v/>
      </c>
      <c r="DT55" s="15" t="str">
        <f>IF('Raw Data'!DH15="","",'Raw Data'!DH15)</f>
        <v/>
      </c>
      <c r="DU55" s="15" t="str">
        <f>IF('Raw Data'!DI15="","",'Raw Data'!DI15)</f>
        <v/>
      </c>
      <c r="DV55" s="15" t="str">
        <f>IF('Raw Data'!DJ15="","",'Raw Data'!DJ15)</f>
        <v/>
      </c>
      <c r="DW55" s="15" t="str">
        <f>IF('Raw Data'!DK15="","",'Raw Data'!DK15)</f>
        <v/>
      </c>
      <c r="DX55" s="15" t="str">
        <f>IF('Raw Data'!DL15="","",'Raw Data'!DL15)</f>
        <v/>
      </c>
      <c r="DY55" s="15" t="str">
        <f>IF('Raw Data'!DM15="","",'Raw Data'!DM15)</f>
        <v/>
      </c>
      <c r="DZ55" s="15" t="str">
        <f>IF('Raw Data'!DN15="","",'Raw Data'!DN15)</f>
        <v/>
      </c>
      <c r="EA55" s="15" t="str">
        <f>IF('Raw Data'!DO15="","",'Raw Data'!DO15)</f>
        <v/>
      </c>
      <c r="EB55" s="15" t="str">
        <f>IF('Raw Data'!DP15="","",'Raw Data'!DP15)</f>
        <v/>
      </c>
      <c r="EC55" s="15" t="str">
        <f>IF('Raw Data'!DQ15="","",'Raw Data'!DQ15)</f>
        <v/>
      </c>
      <c r="ED55" s="15" t="str">
        <f>IF('Raw Data'!DR15="","",'Raw Data'!DR15)</f>
        <v/>
      </c>
      <c r="EE55" s="15" t="str">
        <f>IF('Raw Data'!DS15="","",'Raw Data'!DS15)</f>
        <v/>
      </c>
      <c r="EF55" s="15" t="str">
        <f>IF('Raw Data'!DT15="","",'Raw Data'!DT15)</f>
        <v/>
      </c>
      <c r="EG55" s="15" t="str">
        <f>IF('Raw Data'!DU15="","",'Raw Data'!DU15)</f>
        <v/>
      </c>
      <c r="EH55" s="15" t="str">
        <f>IF('Raw Data'!DV15="","",'Raw Data'!DV15)</f>
        <v/>
      </c>
      <c r="EI55" s="15" t="str">
        <f>IF('Raw Data'!DW15="","",'Raw Data'!DW15)</f>
        <v/>
      </c>
      <c r="EJ55" s="15" t="str">
        <f>IF('Raw Data'!DX15="","",'Raw Data'!DX15)</f>
        <v/>
      </c>
      <c r="EK55" s="15" t="str">
        <f>IF('Raw Data'!DY15="","",'Raw Data'!DY15)</f>
        <v/>
      </c>
      <c r="EL55" s="15" t="str">
        <f>IF('Raw Data'!DZ15="","",'Raw Data'!DZ15)</f>
        <v>dplct_abords_com Soutien_psychosocial</v>
      </c>
      <c r="EM55" s="15" t="str">
        <f>IF('Raw Data'!EA15="","",'Raw Data'!EA15)</f>
        <v>1</v>
      </c>
      <c r="EN55" s="15" t="str">
        <f>IF('Raw Data'!EB15="","",'Raw Data'!EB15)</f>
        <v>0</v>
      </c>
      <c r="EO55" s="15" t="str">
        <f>IF('Raw Data'!EC15="","",'Raw Data'!EC15)</f>
        <v>0</v>
      </c>
      <c r="EP55" s="15" t="str">
        <f>IF('Raw Data'!ED15="","",'Raw Data'!ED15)</f>
        <v>0</v>
      </c>
      <c r="EQ55" s="15" t="str">
        <f>IF('Raw Data'!EE15="","",'Raw Data'!EE15)</f>
        <v>1</v>
      </c>
      <c r="ER55" s="15" t="str">
        <f>IF('Raw Data'!EF15="","",'Raw Data'!EF15)</f>
        <v>0</v>
      </c>
      <c r="ES55" s="15" t="str">
        <f>IF('Raw Data'!EG15="","",'Raw Data'!EG15)</f>
        <v>0</v>
      </c>
      <c r="ET55" s="15" t="str">
        <f>IF('Raw Data'!EH15="","",'Raw Data'!EH15)</f>
        <v>0</v>
      </c>
      <c r="EU55" s="15" t="str">
        <f>IF('Raw Data'!EI15="","",'Raw Data'!EI15)</f>
        <v>0</v>
      </c>
      <c r="EV55" s="15" t="str">
        <f>IF('Raw Data'!EJ15="","",'Raw Data'!EJ15)</f>
        <v/>
      </c>
      <c r="EW55" s="15" t="str">
        <f>IF('Raw Data'!EK15="","",'Raw Data'!EK15)</f>
        <v/>
      </c>
      <c r="EX55" s="15" t="str">
        <f>IF('Raw Data'!EL15="","",'Raw Data'!EL15)</f>
        <v>comite_protection comite_alerte comite_gestion_conflits</v>
      </c>
      <c r="EY55" s="15" t="str">
        <f>IF('Raw Data'!EM15="","",'Raw Data'!EM15)</f>
        <v>0</v>
      </c>
      <c r="EZ55" s="15" t="str">
        <f>IF('Raw Data'!EN15="","",'Raw Data'!EN15)</f>
        <v>1</v>
      </c>
      <c r="FA55" s="15" t="str">
        <f>IF('Raw Data'!EO15="","",'Raw Data'!EO15)</f>
        <v>0</v>
      </c>
      <c r="FB55" s="15" t="str">
        <f>IF('Raw Data'!EP15="","",'Raw Data'!EP15)</f>
        <v>1</v>
      </c>
      <c r="FC55" s="15" t="str">
        <f>IF('Raw Data'!EQ15="","",'Raw Data'!EQ15)</f>
        <v>0</v>
      </c>
      <c r="FD55" s="15" t="str">
        <f>IF('Raw Data'!ER15="","",'Raw Data'!ER15)</f>
        <v>1</v>
      </c>
      <c r="FE55" s="15" t="str">
        <f>IF('Raw Data'!ES15="","",'Raw Data'!ES15)</f>
        <v>0</v>
      </c>
      <c r="FF55" s="15" t="str">
        <f>IF('Raw Data'!ET15="","",'Raw Data'!ET15)</f>
        <v>0</v>
      </c>
      <c r="FG55" s="15" t="str">
        <f>IF('Raw Data'!EU15="","",'Raw Data'!EU15)</f>
        <v>0</v>
      </c>
      <c r="FH55" s="15" t="str">
        <f>IF('Raw Data'!EV15="","",'Raw Data'!EV15)</f>
        <v>0</v>
      </c>
      <c r="FI55" s="15" t="str">
        <f>IF('Raw Data'!EW15="","",'Raw Data'!EW15)</f>
        <v/>
      </c>
      <c r="FJ55" s="15" t="str">
        <f>IF('Raw Data'!EX15="","",'Raw Data'!EX15)</f>
        <v>oui</v>
      </c>
      <c r="FK55" s="15" t="str">
        <f>IF('Raw Data'!EY15="","",'Raw Data'!EY15)</f>
        <v>Travailleurs_sociaux/hum manif_sociales</v>
      </c>
      <c r="FL55" s="15" t="str">
        <f>IF('Raw Data'!EZ15="","",'Raw Data'!EZ15)</f>
        <v>0</v>
      </c>
      <c r="FM55" s="15" t="str">
        <f>IF('Raw Data'!FA15="","",'Raw Data'!FA15)</f>
        <v>0</v>
      </c>
      <c r="FN55" s="15" t="str">
        <f>IF('Raw Data'!FB15="","",'Raw Data'!FB15)</f>
        <v>0</v>
      </c>
      <c r="FO55" s="15" t="str">
        <f>IF('Raw Data'!FC15="","",'Raw Data'!FC15)</f>
        <v>1</v>
      </c>
      <c r="FP55" s="15" t="str">
        <f>IF('Raw Data'!FD15="","",'Raw Data'!FD15)</f>
        <v>0</v>
      </c>
      <c r="FQ55" s="15" t="str">
        <f>IF('Raw Data'!FE15="","",'Raw Data'!FE15)</f>
        <v>0</v>
      </c>
      <c r="FR55" s="15" t="str">
        <f>IF('Raw Data'!FF15="","",'Raw Data'!FF15)</f>
        <v>0</v>
      </c>
      <c r="FS55" s="15" t="str">
        <f>IF('Raw Data'!FG15="","",'Raw Data'!FG15)</f>
        <v>0</v>
      </c>
      <c r="FT55" s="15" t="str">
        <f>IF('Raw Data'!FH15="","",'Raw Data'!FH15)</f>
        <v>0</v>
      </c>
      <c r="FU55" s="15" t="str">
        <f>IF('Raw Data'!FI15="","",'Raw Data'!FI15)</f>
        <v>0</v>
      </c>
      <c r="FV55" s="15" t="str">
        <f>IF('Raw Data'!FJ15="","",'Raw Data'!FJ15)</f>
        <v>1</v>
      </c>
      <c r="FW55" s="15" t="str">
        <f>IF('Raw Data'!FK15="","",'Raw Data'!FK15)</f>
        <v>0</v>
      </c>
      <c r="FX55" s="15" t="str">
        <f>IF('Raw Data'!FL15="","",'Raw Data'!FL15)</f>
        <v>0</v>
      </c>
      <c r="FY55" s="15" t="str">
        <f>IF('Raw Data'!FM15="","",'Raw Data'!FM15)</f>
        <v>0</v>
      </c>
      <c r="FZ55" s="15" t="str">
        <f>IF('Raw Data'!FN15="","",'Raw Data'!FN15)</f>
        <v/>
      </c>
      <c r="GA55" s="15" t="str">
        <f>IF('Raw Data'!FO15="","",'Raw Data'!FO15)</f>
        <v>oui_ensemble</v>
      </c>
      <c r="GB55" s="15" t="str">
        <f>IF('Raw Data'!FP15="","",'Raw Data'!FP15)</f>
        <v>oui_ensemble</v>
      </c>
      <c r="GC55" s="15" t="str">
        <f>IF('Raw Data'!FQ15="","",'Raw Data'!FQ15)</f>
        <v/>
      </c>
      <c r="GD55" s="15" t="str">
        <f>IF('Raw Data'!FR15="","",'Raw Data'!FR15)</f>
        <v/>
      </c>
      <c r="GE55" s="15" t="str">
        <f>IF('Raw Data'!FS15="","",'Raw Data'!FS15)</f>
        <v/>
      </c>
      <c r="GF55" s="15" t="str">
        <f>IF('Raw Data'!FT15="","",'Raw Data'!FT15)</f>
        <v/>
      </c>
      <c r="GG55" s="15" t="str">
        <f>IF('Raw Data'!FU15="","",'Raw Data'!FU15)</f>
        <v/>
      </c>
      <c r="GH55" s="15" t="str">
        <f>IF('Raw Data'!FV15="","",'Raw Data'!FV15)</f>
        <v/>
      </c>
      <c r="GI55" s="15" t="str">
        <f>IF('Raw Data'!FW15="","",'Raw Data'!FW15)</f>
        <v/>
      </c>
      <c r="GJ55" s="15" t="str">
        <f>IF('Raw Data'!FX15="","",'Raw Data'!FX15)</f>
        <v/>
      </c>
      <c r="GK55" s="15" t="str">
        <f>IF('Raw Data'!FY15="","",'Raw Data'!FY15)</f>
        <v/>
      </c>
      <c r="GL55" s="15" t="str">
        <f>IF('Raw Data'!FZ15="","",'Raw Data'!FZ15)</f>
        <v/>
      </c>
      <c r="GM55" s="15" t="str">
        <f>IF('Raw Data'!GA15="","",'Raw Data'!GA15)</f>
        <v>ensemble</v>
      </c>
      <c r="GN55" s="15" t="str">
        <f>IF('Raw Data'!GB15="","",'Raw Data'!GB15)</f>
        <v>ensemble</v>
      </c>
      <c r="GO55" s="15" t="str">
        <f>IF('Raw Data'!GC15="","",'Raw Data'!GC15)</f>
        <v>Services_de_sante Service_de_counseling Appui_psychosocial</v>
      </c>
      <c r="GP55" s="15" t="str">
        <f>IF('Raw Data'!GD15="","",'Raw Data'!GD15)</f>
        <v>1</v>
      </c>
      <c r="GQ55" s="15" t="str">
        <f>IF('Raw Data'!GE15="","",'Raw Data'!GE15)</f>
        <v>0</v>
      </c>
      <c r="GR55" s="15" t="str">
        <f>IF('Raw Data'!GF15="","",'Raw Data'!GF15)</f>
        <v>1</v>
      </c>
      <c r="GS55" s="15" t="str">
        <f>IF('Raw Data'!GG15="","",'Raw Data'!GG15)</f>
        <v>1</v>
      </c>
      <c r="GT55" s="15" t="str">
        <f>IF('Raw Data'!GH15="","",'Raw Data'!GH15)</f>
        <v>0</v>
      </c>
      <c r="GU55" s="15" t="str">
        <f>IF('Raw Data'!GI15="","",'Raw Data'!GI15)</f>
        <v>0</v>
      </c>
      <c r="GV55" s="15" t="str">
        <f>IF('Raw Data'!GJ15="","",'Raw Data'!GJ15)</f>
        <v>0</v>
      </c>
      <c r="GW55" s="15" t="str">
        <f>IF('Raw Data'!GK15="","",'Raw Data'!GK15)</f>
        <v>0</v>
      </c>
      <c r="GX55" s="15" t="str">
        <f>IF('Raw Data'!GL15="","",'Raw Data'!GL15)</f>
        <v>0</v>
      </c>
      <c r="GY55" s="15" t="str">
        <f>IF('Raw Data'!GM15="","",'Raw Data'!GM15)</f>
        <v/>
      </c>
      <c r="GZ55" s="15" t="str">
        <f>IF('Raw Data'!GN15="","",'Raw Data'!GN15)</f>
        <v>oui_ensemble</v>
      </c>
      <c r="HA55" s="15" t="str">
        <f>IF('Raw Data'!GO15="","",'Raw Data'!GO15)</f>
        <v>oui_ensemble</v>
      </c>
      <c r="HB55" s="15" t="str">
        <f>IF('Raw Data'!GP15="","",'Raw Data'!GP15)</f>
        <v>repond_besoins_pop permet_obtenir_conseils permet_eviter_conflits</v>
      </c>
      <c r="HC55" s="15" t="str">
        <f>IF('Raw Data'!GQ15="","",'Raw Data'!GQ15)</f>
        <v>0</v>
      </c>
      <c r="HD55" s="15" t="str">
        <f>IF('Raw Data'!GR15="","",'Raw Data'!GR15)</f>
        <v>1</v>
      </c>
      <c r="HE55" s="15" t="str">
        <f>IF('Raw Data'!GS15="","",'Raw Data'!GS15)</f>
        <v>1</v>
      </c>
      <c r="HF55" s="15" t="str">
        <f>IF('Raw Data'!GT15="","",'Raw Data'!GT15)</f>
        <v>1</v>
      </c>
      <c r="HG55" s="15" t="str">
        <f>IF('Raw Data'!GU15="","",'Raw Data'!GU15)</f>
        <v>0</v>
      </c>
      <c r="HH55" s="15" t="str">
        <f>IF('Raw Data'!GV15="","",'Raw Data'!GV15)</f>
        <v>0</v>
      </c>
      <c r="HI55" s="15" t="str">
        <f>IF('Raw Data'!GW15="","",'Raw Data'!GW15)</f>
        <v>0</v>
      </c>
      <c r="HJ55" s="15" t="str">
        <f>IF('Raw Data'!GX15="","",'Raw Data'!GX15)</f>
        <v>0</v>
      </c>
      <c r="HK55" s="15" t="str">
        <f>IF('Raw Data'!GY15="","",'Raw Data'!GY15)</f>
        <v/>
      </c>
      <c r="HL55" s="31"/>
      <c r="HM55" s="31"/>
      <c r="HN55" s="31"/>
      <c r="HO55" s="31"/>
      <c r="HP55" s="31"/>
      <c r="HQ55" s="31"/>
      <c r="HR55" s="31"/>
      <c r="HS55" s="31"/>
      <c r="HT55" s="15" t="str">
        <f>IF('Raw Data'!HH15="","",'Raw Data'!HH15)</f>
        <v/>
      </c>
      <c r="HU55" s="15" t="str">
        <f>IF('Raw Data'!HI15="","",'Raw Data'!HI15)</f>
        <v>Ne_sait_pas</v>
      </c>
      <c r="HV55" s="15" t="str">
        <f>IF('Raw Data'!HJ15="","",'Raw Data'!HJ15)</f>
        <v/>
      </c>
      <c r="HW55" s="15" t="str">
        <f>IF('Raw Data'!HK15="","",'Raw Data'!HK15)</f>
        <v/>
      </c>
      <c r="HX55" s="15" t="str">
        <f>IF('Raw Data'!HL15="","",'Raw Data'!HL15)</f>
        <v/>
      </c>
      <c r="HY55" s="15" t="str">
        <f>IF('Raw Data'!HM15="","",'Raw Data'!HM15)</f>
        <v/>
      </c>
      <c r="HZ55" s="15" t="str">
        <f>IF('Raw Data'!HN15="","",'Raw Data'!HN15)</f>
        <v/>
      </c>
      <c r="IA55" s="15" t="str">
        <f>IF('Raw Data'!HO15="","",'Raw Data'!HO15)</f>
        <v/>
      </c>
      <c r="IB55" s="15" t="str">
        <f>IF('Raw Data'!HP15="","",'Raw Data'!HP15)</f>
        <v/>
      </c>
      <c r="IC55" s="15" t="str">
        <f>IF('Raw Data'!HQ15="","",'Raw Data'!HQ15)</f>
        <v/>
      </c>
      <c r="ID55" s="15" t="str">
        <f>IF('Raw Data'!HR15="","",'Raw Data'!HR15)</f>
        <v/>
      </c>
      <c r="IE55" s="15" t="str">
        <f>IF('Raw Data'!HS15="","",'Raw Data'!HS15)</f>
        <v/>
      </c>
      <c r="IF55" s="15" t="str">
        <f>IF('Raw Data'!HT15="","",'Raw Data'!HT15)</f>
        <v/>
      </c>
      <c r="IG55" s="15" t="str">
        <f>IF('Raw Data'!HU15="","",'Raw Data'!HU15)</f>
        <v/>
      </c>
      <c r="IH55" s="15" t="str">
        <f>IF('Raw Data'!HV15="","",'Raw Data'!HV15)</f>
        <v>oui</v>
      </c>
      <c r="II55" s="15" t="str">
        <f>IF('Raw Data'!HW15="","",'Raw Data'!HW15)</f>
        <v/>
      </c>
      <c r="IJ55" s="15" t="str">
        <f>IF('Raw Data'!HX15="","",'Raw Data'!HX15)</f>
        <v>Filles Femmes</v>
      </c>
      <c r="IK55" s="15" t="str">
        <f>IF('Raw Data'!HY15="","",'Raw Data'!HY15)</f>
        <v>0</v>
      </c>
      <c r="IL55" s="15" t="str">
        <f>IF('Raw Data'!HZ15="","",'Raw Data'!HZ15)</f>
        <v>0</v>
      </c>
      <c r="IM55" s="15" t="str">
        <f>IF('Raw Data'!IA15="","",'Raw Data'!IA15)</f>
        <v>1</v>
      </c>
      <c r="IN55" s="15" t="str">
        <f>IF('Raw Data'!IB15="","",'Raw Data'!IB15)</f>
        <v>0</v>
      </c>
      <c r="IO55" s="15" t="str">
        <f>IF('Raw Data'!IC15="","",'Raw Data'!IC15)</f>
        <v>1</v>
      </c>
      <c r="IP55" s="15" t="str">
        <f>IF('Raw Data'!ID15="","",'Raw Data'!ID15)</f>
        <v>0</v>
      </c>
      <c r="IQ55" s="15" t="str">
        <f>IF('Raw Data'!IE15="","",'Raw Data'!IE15)</f>
        <v>0</v>
      </c>
      <c r="IR55" s="15" t="str">
        <f>IF('Raw Data'!IF15="","",'Raw Data'!IF15)</f>
        <v>0</v>
      </c>
      <c r="IS55" s="15" t="str">
        <f>IF('Raw Data'!IG15="","",'Raw Data'!IG15)</f>
        <v>0</v>
      </c>
      <c r="IT55" s="15" t="str">
        <f>IF('Raw Data'!IH15="","",'Raw Data'!IH15)</f>
        <v>0</v>
      </c>
      <c r="IU55" s="15" t="str">
        <f>IF('Raw Data'!II15="","",'Raw Data'!II15)</f>
        <v>0</v>
      </c>
      <c r="IV55" s="15" t="str">
        <f>IF('Raw Data'!IJ15="","",'Raw Data'!IJ15)</f>
        <v>0</v>
      </c>
      <c r="IW55" s="15" t="str">
        <f>IF('Raw Data'!IK15="","",'Raw Data'!IK15)</f>
        <v>0</v>
      </c>
      <c r="IX55" s="15" t="str">
        <f>IF('Raw Data'!IL15="","",'Raw Data'!IL15)</f>
        <v>0</v>
      </c>
      <c r="IY55" s="15" t="str">
        <f>IF('Raw Data'!IM15="","",'Raw Data'!IM15)</f>
        <v/>
      </c>
      <c r="IZ55" s="15" t="str">
        <f>IF('Raw Data'!IN15="","",'Raw Data'!IN15)</f>
        <v>15</v>
      </c>
      <c r="JA55" s="15" t="str">
        <f>IF('Raw Data'!IO15="","",'Raw Data'!IO15)</f>
        <v>Appui_psychosocial Services_medicaux Services_conseil service_judiciaire reinsertion points_ecoute</v>
      </c>
      <c r="JB55" s="15" t="str">
        <f>IF('Raw Data'!IP15="","",'Raw Data'!IP15)</f>
        <v>1</v>
      </c>
      <c r="JC55" s="15" t="str">
        <f>IF('Raw Data'!IQ15="","",'Raw Data'!IQ15)</f>
        <v>1</v>
      </c>
      <c r="JD55" s="15" t="str">
        <f>IF('Raw Data'!IR15="","",'Raw Data'!IR15)</f>
        <v>0</v>
      </c>
      <c r="JE55" s="15" t="str">
        <f>IF('Raw Data'!IS15="","",'Raw Data'!IS15)</f>
        <v>1</v>
      </c>
      <c r="JF55" s="15" t="str">
        <f>IF('Raw Data'!IT15="","",'Raw Data'!IT15)</f>
        <v>0</v>
      </c>
      <c r="JG55" s="15" t="str">
        <f>IF('Raw Data'!IU15="","",'Raw Data'!IU15)</f>
        <v>1</v>
      </c>
      <c r="JH55" s="15" t="str">
        <f>IF('Raw Data'!IV15="","",'Raw Data'!IV15)</f>
        <v>0</v>
      </c>
      <c r="JI55" s="15" t="str">
        <f>IF('Raw Data'!IW15="","",'Raw Data'!IW15)</f>
        <v>1</v>
      </c>
      <c r="JJ55" s="15" t="str">
        <f>IF('Raw Data'!IX15="","",'Raw Data'!IX15)</f>
        <v>1</v>
      </c>
      <c r="JK55" s="15" t="str">
        <f>IF('Raw Data'!IY15="","",'Raw Data'!IY15)</f>
        <v>0</v>
      </c>
      <c r="JL55" s="15" t="str">
        <f>IF('Raw Data'!IZ15="","",'Raw Data'!IZ15)</f>
        <v/>
      </c>
      <c r="JM55" s="15" t="str">
        <f>IF('Raw Data'!JA15="","",'Raw Data'!JA15)</f>
        <v>prise_enchage signalement reorientation</v>
      </c>
      <c r="JN55" s="15" t="str">
        <f>IF('Raw Data'!JB15="","",'Raw Data'!JB15)</f>
        <v>1</v>
      </c>
      <c r="JO55" s="15" t="str">
        <f>IF('Raw Data'!JC15="","",'Raw Data'!JC15)</f>
        <v>1</v>
      </c>
      <c r="JP55" s="15" t="str">
        <f>IF('Raw Data'!JD15="","",'Raw Data'!JD15)</f>
        <v>1</v>
      </c>
      <c r="JQ55" s="15" t="str">
        <f>IF('Raw Data'!JE15="","",'Raw Data'!JE15)</f>
        <v>0</v>
      </c>
      <c r="JR55" s="15" t="str">
        <f>IF('Raw Data'!JF15="","",'Raw Data'!JF15)</f>
        <v>0</v>
      </c>
      <c r="JS55" s="15" t="str">
        <f>IF('Raw Data'!JG15="","",'Raw Data'!JG15)</f>
        <v>0</v>
      </c>
      <c r="JT55" s="15" t="str">
        <f>IF('Raw Data'!JH15="","",'Raw Data'!JH15)</f>
        <v/>
      </c>
      <c r="JU55" s="15" t="str">
        <f>IF('Raw Data'!JI15="","",'Raw Data'!JI15)</f>
        <v>medical Psychosocia reinsertion</v>
      </c>
      <c r="JV55" s="15" t="str">
        <f>IF('Raw Data'!JJ15="","",'Raw Data'!JJ15)</f>
        <v>1</v>
      </c>
      <c r="JW55" s="15" t="str">
        <f>IF('Raw Data'!JK15="","",'Raw Data'!JK15)</f>
        <v>1</v>
      </c>
      <c r="JX55" s="15" t="str">
        <f>IF('Raw Data'!JL15="","",'Raw Data'!JL15)</f>
        <v>0</v>
      </c>
      <c r="JY55" s="15" t="str">
        <f>IF('Raw Data'!JM15="","",'Raw Data'!JM15)</f>
        <v>0</v>
      </c>
      <c r="JZ55" s="15" t="str">
        <f>IF('Raw Data'!JN15="","",'Raw Data'!JN15)</f>
        <v>0</v>
      </c>
      <c r="KA55" s="15" t="str">
        <f>IF('Raw Data'!JO15="","",'Raw Data'!JO15)</f>
        <v>1</v>
      </c>
      <c r="KB55" s="15" t="str">
        <f>IF('Raw Data'!JP15="","",'Raw Data'!JP15)</f>
        <v>0</v>
      </c>
      <c r="KC55" s="15" t="str">
        <f>IF('Raw Data'!JQ15="","",'Raw Data'!JQ15)</f>
        <v>0</v>
      </c>
      <c r="KD55" s="15" t="str">
        <f>IF('Raw Data'!JR15="","",'Raw Data'!JR15)</f>
        <v>0</v>
      </c>
      <c r="KE55" s="15" t="str">
        <f>IF('Raw Data'!JS15="","",'Raw Data'!JS15)</f>
        <v/>
      </c>
      <c r="KF55" s="15" t="str">
        <f>IF('Raw Data'!JT15="","",'Raw Data'!JT15)</f>
        <v>medical Psychosocia</v>
      </c>
      <c r="KG55" s="15" t="str">
        <f>IF('Raw Data'!JU15="","",'Raw Data'!JU15)</f>
        <v>1</v>
      </c>
      <c r="KH55" s="15" t="str">
        <f>IF('Raw Data'!JV15="","",'Raw Data'!JV15)</f>
        <v>1</v>
      </c>
      <c r="KI55" s="15" t="str">
        <f>IF('Raw Data'!JW15="","",'Raw Data'!JW15)</f>
        <v>0</v>
      </c>
      <c r="KJ55" s="15" t="str">
        <f>IF('Raw Data'!JX15="","",'Raw Data'!JX15)</f>
        <v>0</v>
      </c>
      <c r="KK55" s="15" t="str">
        <f>IF('Raw Data'!JY15="","",'Raw Data'!JY15)</f>
        <v>0</v>
      </c>
      <c r="KL55" s="15" t="str">
        <f>IF('Raw Data'!JZ15="","",'Raw Data'!JZ15)</f>
        <v>0</v>
      </c>
      <c r="KM55" s="15" t="str">
        <f>IF('Raw Data'!KA15="","",'Raw Data'!KA15)</f>
        <v>0</v>
      </c>
      <c r="KN55" s="15" t="str">
        <f>IF('Raw Data'!KB15="","",'Raw Data'!KB15)</f>
        <v>0</v>
      </c>
      <c r="KO55" s="15" t="str">
        <f>IF('Raw Data'!KC15="","",'Raw Data'!KC15)</f>
        <v>0</v>
      </c>
      <c r="KP55" s="15" t="str">
        <f>IF('Raw Data'!KD15="","",'Raw Data'!KD15)</f>
        <v/>
      </c>
      <c r="KQ55" s="15" t="str">
        <f>IF('Raw Data'!KE15="","",'Raw Data'!KE15)</f>
        <v/>
      </c>
      <c r="KR55" s="15" t="str">
        <f>IF('Raw Data'!KF15="","",'Raw Data'!KF15)</f>
        <v>non</v>
      </c>
      <c r="KS55" s="15" t="str">
        <f>IF('Raw Data'!KG15="","",'Raw Data'!KG15)</f>
        <v/>
      </c>
      <c r="KT55" s="15" t="str">
        <f>IF('Raw Data'!KH15="","",'Raw Data'!KH15)</f>
        <v/>
      </c>
      <c r="KU55" s="15" t="str">
        <f>IF('Raw Data'!KI15="","",'Raw Data'!KI15)</f>
        <v/>
      </c>
      <c r="KV55" s="15" t="str">
        <f>IF('Raw Data'!KJ15="","",'Raw Data'!KJ15)</f>
        <v/>
      </c>
      <c r="KW55" s="15" t="str">
        <f>IF('Raw Data'!KK15="","",'Raw Data'!KK15)</f>
        <v/>
      </c>
      <c r="KX55" s="15" t="str">
        <f>IF('Raw Data'!KL15="","",'Raw Data'!KL15)</f>
        <v/>
      </c>
      <c r="KY55" s="15" t="str">
        <f>IF('Raw Data'!KM15="","",'Raw Data'!KM15)</f>
        <v/>
      </c>
      <c r="KZ55" s="15" t="str">
        <f>IF('Raw Data'!KN15="","",'Raw Data'!KN15)</f>
        <v/>
      </c>
      <c r="LA55" s="15" t="str">
        <f>IF('Raw Data'!KO15="","",'Raw Data'!KO15)</f>
        <v/>
      </c>
      <c r="LB55" s="15" t="str">
        <f>IF('Raw Data'!KP15="","",'Raw Data'!KP15)</f>
        <v/>
      </c>
      <c r="LC55" s="15" t="str">
        <f>IF('Raw Data'!KQ15="","",'Raw Data'!KQ15)</f>
        <v/>
      </c>
      <c r="LD55" s="15" t="str">
        <f>IF('Raw Data'!KR15="","",'Raw Data'!KR15)</f>
        <v/>
      </c>
      <c r="LE55" s="15" t="str">
        <f>IF('Raw Data'!KS15="","",'Raw Data'!KS15)</f>
        <v/>
      </c>
      <c r="LF55" s="15" t="str">
        <f>IF('Raw Data'!KT15="","",'Raw Data'!KT15)</f>
        <v/>
      </c>
      <c r="LG55" s="15" t="str">
        <f>IF('Raw Data'!KU15="","",'Raw Data'!KU15)</f>
        <v/>
      </c>
      <c r="LH55" s="15" t="str">
        <f>IF('Raw Data'!KV15="","",'Raw Data'!KV15)</f>
        <v/>
      </c>
      <c r="LI55" s="15" t="str">
        <f>IF('Raw Data'!KW15="","",'Raw Data'!KW15)</f>
        <v/>
      </c>
      <c r="LJ55" s="15" t="str">
        <f>IF('Raw Data'!KX15="","",'Raw Data'!KX15)</f>
        <v/>
      </c>
      <c r="LK55" s="15" t="str">
        <f>IF('Raw Data'!KY15="","",'Raw Data'!KY15)</f>
        <v/>
      </c>
      <c r="LL55" s="15" t="str">
        <f>IF('Raw Data'!KZ15="","",'Raw Data'!KZ15)</f>
        <v/>
      </c>
      <c r="LM55" s="15" t="str">
        <f>IF('Raw Data'!LA15="","",'Raw Data'!LA15)</f>
        <v/>
      </c>
      <c r="LN55" s="15" t="str">
        <f>IF('Raw Data'!LB15="","",'Raw Data'!LB15)</f>
        <v>non</v>
      </c>
      <c r="LO55" s="15" t="str">
        <f>IF('Raw Data'!LC15="","",'Raw Data'!LC15)</f>
        <v/>
      </c>
      <c r="LP55" s="15" t="str">
        <f>IF('Raw Data'!LD15="","",'Raw Data'!LD15)</f>
        <v/>
      </c>
      <c r="LQ55" s="15" t="str">
        <f>IF('Raw Data'!LE15="","",'Raw Data'!LE15)</f>
        <v/>
      </c>
      <c r="LR55" s="15" t="str">
        <f>IF('Raw Data'!LF15="","",'Raw Data'!LF15)</f>
        <v/>
      </c>
      <c r="LS55" s="15" t="str">
        <f>IF('Raw Data'!LG15="","",'Raw Data'!LG15)</f>
        <v/>
      </c>
      <c r="LT55" s="15" t="str">
        <f>IF('Raw Data'!LH15="","",'Raw Data'!LH15)</f>
        <v/>
      </c>
      <c r="LU55" s="15" t="str">
        <f>IF('Raw Data'!LI15="","",'Raw Data'!LI15)</f>
        <v/>
      </c>
      <c r="LV55" s="15" t="str">
        <f>IF('Raw Data'!LJ15="","",'Raw Data'!LJ15)</f>
        <v/>
      </c>
      <c r="LW55" s="15" t="str">
        <f>IF('Raw Data'!LK15="","",'Raw Data'!LK15)</f>
        <v/>
      </c>
      <c r="LX55" s="15" t="str">
        <f>IF('Raw Data'!LL15="","",'Raw Data'!LL15)</f>
        <v/>
      </c>
      <c r="LY55" s="15" t="str">
        <f>IF('Raw Data'!LM15="","",'Raw Data'!LM15)</f>
        <v/>
      </c>
      <c r="LZ55" s="15" t="str">
        <f>IF('Raw Data'!LN15="","",'Raw Data'!LN15)</f>
        <v/>
      </c>
      <c r="MA55" s="15" t="str">
        <f>IF('Raw Data'!LO15="","",'Raw Data'!LO15)</f>
        <v/>
      </c>
      <c r="MB55" s="15" t="str">
        <f>IF('Raw Data'!LP15="","",'Raw Data'!LP15)</f>
        <v>oui</v>
      </c>
      <c r="MC55" s="15" t="str">
        <f>IF('Raw Data'!LQ15="","",'Raw Data'!LQ15)</f>
        <v/>
      </c>
      <c r="MD55" s="15" t="str">
        <f>IF('Raw Data'!LR15="","",'Raw Data'!LR15)</f>
        <v/>
      </c>
      <c r="ME55" s="15">
        <f>IF('Raw Data'!LS15="","",'Raw Data'!LS15)</f>
        <v>169203695</v>
      </c>
      <c r="MF55" s="15" t="str">
        <f>IF('Raw Data'!LT15="","",'Raw Data'!LT15)</f>
        <v>d761ba78-5ffc-4392-af03-d352d3fd4a72</v>
      </c>
      <c r="MG55" s="15" t="str">
        <f>IF('Raw Data'!LU15="","",'Raw Data'!LU15)</f>
        <v>2021-04-01T17:40:37</v>
      </c>
      <c r="MH55" s="15" t="str">
        <f>IF('Raw Data'!LV15="","",'Raw Data'!LV15)</f>
        <v/>
      </c>
      <c r="MI55" s="15" t="str">
        <f>IF('Raw Data'!LW15="","",'Raw Data'!LW15)</f>
        <v>[]</v>
      </c>
      <c r="MJ55" s="15" t="str">
        <f>IF('Raw Data'!LX15="","",'Raw Data'!LX15)</f>
        <v>submitted_via_web</v>
      </c>
      <c r="MK55" s="15" t="str">
        <f>IF('Raw Data'!LY15="","",'Raw Data'!LY15)</f>
        <v>reach_niger</v>
      </c>
      <c r="ML55" s="15" t="str">
        <f>IF('Raw Data'!LZ15="","",'Raw Data'!LZ15)</f>
        <v/>
      </c>
      <c r="MM55" s="15">
        <f>IF('Raw Data'!MA15="","",'Raw Data'!MA15)</f>
        <v>14</v>
      </c>
    </row>
    <row r="56" spans="1:351" x14ac:dyDescent="0.3">
      <c r="A56" s="26" t="str">
        <f t="shared" si="4"/>
        <v>c9e09860-e7e5-4fd6-a468-e1e6b02442f6</v>
      </c>
      <c r="B56" s="26" t="str">
        <f t="shared" si="5"/>
        <v>diagourou</v>
      </c>
      <c r="C56" s="26" t="str">
        <f t="shared" si="6"/>
        <v>L</v>
      </c>
      <c r="D56" s="14" t="str">
        <f>IF('Raw Data'!A31="","",'Raw Data'!A31)</f>
        <v>2021-04-01T11:18:13.375+01:00</v>
      </c>
      <c r="E56" s="14" t="str">
        <f>IF('Raw Data'!B31="","",'Raw Data'!B31)</f>
        <v>2021-04-01T11:56:38.352+01:00</v>
      </c>
      <c r="F56" s="30">
        <v>44287.470983796295</v>
      </c>
      <c r="G56" s="30">
        <v>44287.497662037036</v>
      </c>
      <c r="H56" s="29">
        <f>VLOOKUP(A56,Audit[#All],2,FALSE)</f>
        <v>38.42</v>
      </c>
      <c r="I56" s="29">
        <f>VLOOKUP(A56,Audit[#All],3,FALSE)</f>
        <v>27.1</v>
      </c>
      <c r="J56" s="29">
        <f>VLOOKUP(A56,Audit[#All],4,FALSE)</f>
        <v>16.41</v>
      </c>
      <c r="K56" s="29">
        <f>VLOOKUP(A56,nb_questions[#All],2,FALSE)</f>
        <v>78</v>
      </c>
      <c r="L56" s="29">
        <f t="shared" si="7"/>
        <v>204</v>
      </c>
      <c r="M56" s="14" t="str">
        <f>IF('Raw Data'!C31="","",'Raw Data'!C31)</f>
        <v>2021-04-01</v>
      </c>
      <c r="N56" s="14" t="str">
        <f>IF('Raw Data'!D31="","",'Raw Data'!D31)</f>
        <v/>
      </c>
      <c r="O56" s="14" t="str">
        <f>IF('Raw Data'!E31="","",'Raw Data'!E31)</f>
        <v/>
      </c>
      <c r="P56" s="29" t="str">
        <f>VLOOKUP(A56,code_enqueteurs[#All],3,FALSE)</f>
        <v>L</v>
      </c>
      <c r="Q56" s="29" t="s">
        <v>1647</v>
      </c>
      <c r="R56" s="14" t="str">
        <f>IF('Raw Data'!F31="","",'Raw Data'!F31)</f>
        <v>Homme</v>
      </c>
      <c r="S56" s="15" t="str">
        <f>IF('Raw Data'!G31="","",'Raw Data'!G31)</f>
        <v>tera</v>
      </c>
      <c r="T56" s="15" t="str">
        <f>IF('Raw Data'!H31="","",'Raw Data'!H31)</f>
        <v>diagourou</v>
      </c>
      <c r="U56" s="15" t="str">
        <f>IF('Raw Data'!I31="","",'Raw Data'!I31)</f>
        <v>lilingou</v>
      </c>
      <c r="V56" s="15" t="str">
        <f>IF('Raw Data'!J31="","",'Raw Data'!J31)</f>
        <v/>
      </c>
      <c r="W56" s="15" t="str">
        <f>IF('Raw Data'!K31="","",'Raw Data'!K31)</f>
        <v/>
      </c>
      <c r="X56" s="15" t="str">
        <f>IF('Raw Data'!L31="","",'Raw Data'!L31)</f>
        <v/>
      </c>
      <c r="Y56" s="15" t="str">
        <f>IF('Raw Data'!M31="","",'Raw Data'!M31)</f>
        <v/>
      </c>
      <c r="Z56" s="15" t="str">
        <f>IF('Raw Data'!N31="","",'Raw Data'!N31)</f>
        <v/>
      </c>
      <c r="AA56" s="15" t="str">
        <f>IF('Raw Data'!O31="","",'Raw Data'!O31)</f>
        <v/>
      </c>
      <c r="AB56" s="15" t="str">
        <f>IF('Raw Data'!P31="","",'Raw Data'!P31)</f>
        <v/>
      </c>
      <c r="AC56" s="15" t="str">
        <f>IF('Raw Data'!Q31="","",'Raw Data'!Q31)</f>
        <v/>
      </c>
      <c r="AD56" s="15" t="str">
        <f>IF('Raw Data'!R31="","",'Raw Data'!R31)</f>
        <v>Homme</v>
      </c>
      <c r="AE56" s="15" t="str">
        <f>IF('Raw Data'!S31="","",'Raw Data'!S31)</f>
        <v>32</v>
      </c>
      <c r="AF56" s="15" t="str">
        <f>IF('Raw Data'!T31="","",'Raw Data'!T31)</f>
        <v>deplace_interne</v>
      </c>
      <c r="AG56" s="15" t="str">
        <f>IF('Raw Data'!U31="","",'Raw Data'!U31)</f>
        <v/>
      </c>
      <c r="AH56" s="15" t="str">
        <f>IF('Raw Data'!V31="","",'Raw Data'!V31)</f>
        <v/>
      </c>
      <c r="AI56" s="15" t="str">
        <f>IF('Raw Data'!W31="","",'Raw Data'!W31)</f>
        <v/>
      </c>
      <c r="AJ56" s="15" t="str">
        <f>IF('Raw Data'!X31="","",'Raw Data'!X31)</f>
        <v/>
      </c>
      <c r="AK56" s="15" t="str">
        <f>IF('Raw Data'!Y31="","",'Raw Data'!Y31)</f>
        <v/>
      </c>
      <c r="AL56" s="15" t="str">
        <f>IF('Raw Data'!Z31="","",'Raw Data'!Z31)</f>
        <v>niger</v>
      </c>
      <c r="AM56" s="15" t="str">
        <f>IF('Raw Data'!AA31="","",'Raw Data'!AA31)</f>
        <v>tillaberi</v>
      </c>
      <c r="AN56" s="15" t="str">
        <f>IF('Raw Data'!AB31="","",'Raw Data'!AB31)</f>
        <v>tera</v>
      </c>
      <c r="AO56" s="15" t="str">
        <f>IF('Raw Data'!AC31="","",'Raw Data'!AC31)</f>
        <v/>
      </c>
      <c r="AP56" s="15" t="str">
        <f>IF('Raw Data'!AD31="","",'Raw Data'!AD31)</f>
        <v/>
      </c>
      <c r="AQ56" s="15" t="str">
        <f>IF('Raw Data'!AE31="","",'Raw Data'!AE31)</f>
        <v/>
      </c>
      <c r="AR56" s="15" t="str">
        <f>IF('Raw Data'!AF31="","",'Raw Data'!AF31)</f>
        <v/>
      </c>
      <c r="AS56" s="15" t="str">
        <f>IF('Raw Data'!AG31="","",'Raw Data'!AG31)</f>
        <v>non</v>
      </c>
      <c r="AT56" s="15" t="str">
        <f>IF('Raw Data'!AH31="","",'Raw Data'!AH31)</f>
        <v/>
      </c>
      <c r="AU56" s="15" t="str">
        <f>IF('Raw Data'!AI31="","",'Raw Data'!AI31)</f>
        <v/>
      </c>
      <c r="AV56" s="15" t="str">
        <f>IF('Raw Data'!AJ31="","",'Raw Data'!AJ31)</f>
        <v/>
      </c>
      <c r="AW56" s="15" t="str">
        <f>IF('Raw Data'!AK31="","",'Raw Data'!AK31)</f>
        <v/>
      </c>
      <c r="AX56" s="15" t="str">
        <f>IF('Raw Data'!AL31="","",'Raw Data'!AL31)</f>
        <v/>
      </c>
      <c r="AY56" s="15" t="str">
        <f>IF('Raw Data'!AM31="","",'Raw Data'!AM31)</f>
        <v/>
      </c>
      <c r="AZ56" s="15" t="str">
        <f>IF('Raw Data'!AN31="","",'Raw Data'!AN31)</f>
        <v/>
      </c>
      <c r="BA56" s="15" t="str">
        <f>IF('Raw Data'!AO31="","",'Raw Data'!AO31)</f>
        <v/>
      </c>
      <c r="BB56" s="15" t="str">
        <f>IF('Raw Data'!AP31="","",'Raw Data'!AP31)</f>
        <v/>
      </c>
      <c r="BC56" s="15" t="str">
        <f>IF('Raw Data'!AQ31="","",'Raw Data'!AQ31)</f>
        <v/>
      </c>
      <c r="BD56" s="15" t="str">
        <f>IF('Raw Data'!AR31="","",'Raw Data'!AR31)</f>
        <v/>
      </c>
      <c r="BE56" s="15" t="str">
        <f>IF('Raw Data'!AS31="","",'Raw Data'!AS31)</f>
        <v/>
      </c>
      <c r="BF56" s="15" t="str">
        <f>IF('Raw Data'!AT31="","",'Raw Data'!AT31)</f>
        <v/>
      </c>
      <c r="BG56" s="15" t="str">
        <f>IF('Raw Data'!AU31="","",'Raw Data'!AU31)</f>
        <v/>
      </c>
      <c r="BH56" s="15" t="str">
        <f>IF('Raw Data'!AV31="","",'Raw Data'!AV31)</f>
        <v/>
      </c>
      <c r="BI56" s="15" t="str">
        <f>IF('Raw Data'!AW31="","",'Raw Data'!AW31)</f>
        <v/>
      </c>
      <c r="BJ56" s="15" t="str">
        <f>IF('Raw Data'!AX31="","",'Raw Data'!AX31)</f>
        <v/>
      </c>
      <c r="BK56" s="15" t="str">
        <f>IF('Raw Data'!AY31="","",'Raw Data'!AY31)</f>
        <v/>
      </c>
      <c r="BL56" s="15" t="str">
        <f>IF('Raw Data'!AZ31="","",'Raw Data'!AZ31)</f>
        <v/>
      </c>
      <c r="BM56" s="15" t="str">
        <f>IF('Raw Data'!BA31="","",'Raw Data'!BA31)</f>
        <v/>
      </c>
      <c r="BN56" s="15" t="str">
        <f>IF('Raw Data'!BB31="","",'Raw Data'!BB31)</f>
        <v/>
      </c>
      <c r="BO56" s="15" t="str">
        <f>IF('Raw Data'!BC31="","",'Raw Data'!BC31)</f>
        <v/>
      </c>
      <c r="BP56" s="15" t="str">
        <f>IF('Raw Data'!BD31="","",'Raw Data'!BD31)</f>
        <v/>
      </c>
      <c r="BQ56" s="15" t="str">
        <f>IF('Raw Data'!BE31="","",'Raw Data'!BE31)</f>
        <v/>
      </c>
      <c r="BR56" s="15" t="str">
        <f>IF('Raw Data'!BF31="","",'Raw Data'!BF31)</f>
        <v/>
      </c>
      <c r="BS56" s="15" t="str">
        <f>IF('Raw Data'!BG31="","",'Raw Data'!BG31)</f>
        <v/>
      </c>
      <c r="BT56" s="15" t="str">
        <f>IF('Raw Data'!BH31="","",'Raw Data'!BH31)</f>
        <v/>
      </c>
      <c r="BU56" s="15" t="str">
        <f>IF('Raw Data'!BI31="","",'Raw Data'!BI31)</f>
        <v/>
      </c>
      <c r="BV56" s="15" t="str">
        <f>IF('Raw Data'!BJ31="","",'Raw Data'!BJ31)</f>
        <v/>
      </c>
      <c r="BW56" s="15" t="str">
        <f>IF('Raw Data'!BK31="","",'Raw Data'!BK31)</f>
        <v/>
      </c>
      <c r="BX56" s="15" t="str">
        <f>IF('Raw Data'!BL31="","",'Raw Data'!BL31)</f>
        <v/>
      </c>
      <c r="BY56" s="15" t="str">
        <f>IF('Raw Data'!BM31="","",'Raw Data'!BM31)</f>
        <v/>
      </c>
      <c r="BZ56" s="15" t="str">
        <f>IF('Raw Data'!BN31="","",'Raw Data'!BN31)</f>
        <v/>
      </c>
      <c r="CA56" s="15" t="str">
        <f>IF('Raw Data'!BO31="","",'Raw Data'!BO31)</f>
        <v/>
      </c>
      <c r="CB56" s="15" t="str">
        <f>IF('Raw Data'!BP31="","",'Raw Data'!BP31)</f>
        <v/>
      </c>
      <c r="CC56" s="15" t="str">
        <f>IF('Raw Data'!BQ31="","",'Raw Data'!BQ31)</f>
        <v>non</v>
      </c>
      <c r="CD56" s="15" t="str">
        <f>IF('Raw Data'!BR31="","",'Raw Data'!BR31)</f>
        <v/>
      </c>
      <c r="CE56" s="15" t="str">
        <f>IF('Raw Data'!BS31="","",'Raw Data'!BS31)</f>
        <v/>
      </c>
      <c r="CF56" s="15" t="str">
        <f>IF('Raw Data'!BT31="","",'Raw Data'!BT31)</f>
        <v/>
      </c>
      <c r="CG56" s="15" t="str">
        <f>IF('Raw Data'!BU31="","",'Raw Data'!BU31)</f>
        <v/>
      </c>
      <c r="CH56" s="15" t="str">
        <f>IF('Raw Data'!BV31="","",'Raw Data'!BV31)</f>
        <v/>
      </c>
      <c r="CI56" s="15" t="str">
        <f>IF('Raw Data'!BW31="","",'Raw Data'!BW31)</f>
        <v/>
      </c>
      <c r="CJ56" s="15" t="str">
        <f>IF('Raw Data'!BX31="","",'Raw Data'!BX31)</f>
        <v/>
      </c>
      <c r="CK56" s="15" t="str">
        <f>IF('Raw Data'!BY31="","",'Raw Data'!BY31)</f>
        <v/>
      </c>
      <c r="CL56" s="15" t="str">
        <f>IF('Raw Data'!BZ31="","",'Raw Data'!BZ31)</f>
        <v/>
      </c>
      <c r="CM56" s="15" t="str">
        <f>IF('Raw Data'!CA31="","",'Raw Data'!CA31)</f>
        <v/>
      </c>
      <c r="CN56" s="15" t="str">
        <f>IF('Raw Data'!CB31="","",'Raw Data'!CB31)</f>
        <v/>
      </c>
      <c r="CO56" s="15" t="str">
        <f>IF('Raw Data'!CC31="","",'Raw Data'!CC31)</f>
        <v/>
      </c>
      <c r="CP56" s="15" t="str">
        <f>IF('Raw Data'!CD31="","",'Raw Data'!CD31)</f>
        <v/>
      </c>
      <c r="CQ56" s="15" t="str">
        <f>IF('Raw Data'!CE31="","",'Raw Data'!CE31)</f>
        <v/>
      </c>
      <c r="CR56" s="15" t="str">
        <f>IF('Raw Data'!CF31="","",'Raw Data'!CF31)</f>
        <v/>
      </c>
      <c r="CS56" s="15" t="str">
        <f>IF('Raw Data'!CG31="","",'Raw Data'!CG31)</f>
        <v/>
      </c>
      <c r="CT56" s="15" t="str">
        <f>IF('Raw Data'!CH31="","",'Raw Data'!CH31)</f>
        <v/>
      </c>
      <c r="CU56" s="15" t="str">
        <f>IF('Raw Data'!CI31="","",'Raw Data'!CI31)</f>
        <v/>
      </c>
      <c r="CV56" s="15" t="str">
        <f>IF('Raw Data'!CJ31="","",'Raw Data'!CJ31)</f>
        <v/>
      </c>
      <c r="CW56" s="15" t="str">
        <f>IF('Raw Data'!CK31="","",'Raw Data'!CK31)</f>
        <v/>
      </c>
      <c r="CX56" s="15" t="str">
        <f>IF('Raw Data'!CL31="","",'Raw Data'!CL31)</f>
        <v/>
      </c>
      <c r="CY56" s="15" t="str">
        <f>IF('Raw Data'!CM31="","",'Raw Data'!CM31)</f>
        <v/>
      </c>
      <c r="CZ56" s="15" t="str">
        <f>IF('Raw Data'!CN31="","",'Raw Data'!CN31)</f>
        <v/>
      </c>
      <c r="DA56" s="15" t="str">
        <f>IF('Raw Data'!CO31="","",'Raw Data'!CO31)</f>
        <v/>
      </c>
      <c r="DB56" s="15" t="str">
        <f>IF('Raw Data'!CP31="","",'Raw Data'!CP31)</f>
        <v/>
      </c>
      <c r="DC56" s="15" t="str">
        <f>IF('Raw Data'!CQ31="","",'Raw Data'!CQ31)</f>
        <v/>
      </c>
      <c r="DD56" s="15" t="str">
        <f>IF('Raw Data'!CR31="","",'Raw Data'!CR31)</f>
        <v/>
      </c>
      <c r="DE56" s="15" t="str">
        <f>IF('Raw Data'!CS31="","",'Raw Data'!CS31)</f>
        <v/>
      </c>
      <c r="DF56" s="15" t="str">
        <f>IF('Raw Data'!CT31="","",'Raw Data'!CT31)</f>
        <v/>
      </c>
      <c r="DG56" s="15" t="str">
        <f>IF('Raw Data'!CU31="","",'Raw Data'!CU31)</f>
        <v/>
      </c>
      <c r="DH56" s="15" t="str">
        <f>IF('Raw Data'!CV31="","",'Raw Data'!CV31)</f>
        <v/>
      </c>
      <c r="DI56" s="15" t="str">
        <f>IF('Raw Data'!CW31="","",'Raw Data'!CW31)</f>
        <v/>
      </c>
      <c r="DJ56" s="15" t="str">
        <f>IF('Raw Data'!CX31="","",'Raw Data'!CX31)</f>
        <v/>
      </c>
      <c r="DK56" s="15" t="str">
        <f>IF('Raw Data'!CY31="","",'Raw Data'!CY31)</f>
        <v/>
      </c>
      <c r="DL56" s="15" t="str">
        <f>IF('Raw Data'!CZ31="","",'Raw Data'!CZ31)</f>
        <v/>
      </c>
      <c r="DM56" s="15" t="str">
        <f>IF('Raw Data'!DA31="","",'Raw Data'!DA31)</f>
        <v/>
      </c>
      <c r="DN56" s="15" t="str">
        <f>IF('Raw Data'!DB31="","",'Raw Data'!DB31)</f>
        <v/>
      </c>
      <c r="DO56" s="15" t="str">
        <f>IF('Raw Data'!DC31="","",'Raw Data'!DC31)</f>
        <v/>
      </c>
      <c r="DP56" s="15" t="str">
        <f>IF('Raw Data'!DD31="","",'Raw Data'!DD31)</f>
        <v/>
      </c>
      <c r="DQ56" s="15" t="str">
        <f>IF('Raw Data'!DE31="","",'Raw Data'!DE31)</f>
        <v/>
      </c>
      <c r="DR56" s="15" t="str">
        <f>IF('Raw Data'!DF31="","",'Raw Data'!DF31)</f>
        <v/>
      </c>
      <c r="DS56" s="15" t="str">
        <f>IF('Raw Data'!DG31="","",'Raw Data'!DG31)</f>
        <v/>
      </c>
      <c r="DT56" s="15" t="str">
        <f>IF('Raw Data'!DH31="","",'Raw Data'!DH31)</f>
        <v/>
      </c>
      <c r="DU56" s="15" t="str">
        <f>IF('Raw Data'!DI31="","",'Raw Data'!DI31)</f>
        <v/>
      </c>
      <c r="DV56" s="15" t="str">
        <f>IF('Raw Data'!DJ31="","",'Raw Data'!DJ31)</f>
        <v/>
      </c>
      <c r="DW56" s="15" t="str">
        <f>IF('Raw Data'!DK31="","",'Raw Data'!DK31)</f>
        <v/>
      </c>
      <c r="DX56" s="15" t="str">
        <f>IF('Raw Data'!DL31="","",'Raw Data'!DL31)</f>
        <v/>
      </c>
      <c r="DY56" s="15" t="str">
        <f>IF('Raw Data'!DM31="","",'Raw Data'!DM31)</f>
        <v/>
      </c>
      <c r="DZ56" s="15" t="str">
        <f>IF('Raw Data'!DN31="","",'Raw Data'!DN31)</f>
        <v/>
      </c>
      <c r="EA56" s="15" t="str">
        <f>IF('Raw Data'!DO31="","",'Raw Data'!DO31)</f>
        <v/>
      </c>
      <c r="EB56" s="15" t="str">
        <f>IF('Raw Data'!DP31="","",'Raw Data'!DP31)</f>
        <v/>
      </c>
      <c r="EC56" s="15" t="str">
        <f>IF('Raw Data'!DQ31="","",'Raw Data'!DQ31)</f>
        <v/>
      </c>
      <c r="ED56" s="15" t="str">
        <f>IF('Raw Data'!DR31="","",'Raw Data'!DR31)</f>
        <v/>
      </c>
      <c r="EE56" s="15" t="str">
        <f>IF('Raw Data'!DS31="","",'Raw Data'!DS31)</f>
        <v/>
      </c>
      <c r="EF56" s="15" t="str">
        <f>IF('Raw Data'!DT31="","",'Raw Data'!DT31)</f>
        <v/>
      </c>
      <c r="EG56" s="15" t="str">
        <f>IF('Raw Data'!DU31="","",'Raw Data'!DU31)</f>
        <v/>
      </c>
      <c r="EH56" s="15" t="str">
        <f>IF('Raw Data'!DV31="","",'Raw Data'!DV31)</f>
        <v/>
      </c>
      <c r="EI56" s="15" t="str">
        <f>IF('Raw Data'!DW31="","",'Raw Data'!DW31)</f>
        <v/>
      </c>
      <c r="EJ56" s="15" t="str">
        <f>IF('Raw Data'!DX31="","",'Raw Data'!DX31)</f>
        <v/>
      </c>
      <c r="EK56" s="15" t="str">
        <f>IF('Raw Data'!DY31="","",'Raw Data'!DY31)</f>
        <v/>
      </c>
      <c r="EL56" s="15" t="str">
        <f>IF('Raw Data'!DZ31="","",'Raw Data'!DZ31)</f>
        <v>Integration_com_hote</v>
      </c>
      <c r="EM56" s="15" t="str">
        <f>IF('Raw Data'!EA31="","",'Raw Data'!EA31)</f>
        <v>0</v>
      </c>
      <c r="EN56" s="15" t="str">
        <f>IF('Raw Data'!EB31="","",'Raw Data'!EB31)</f>
        <v>1</v>
      </c>
      <c r="EO56" s="15" t="str">
        <f>IF('Raw Data'!EC31="","",'Raw Data'!EC31)</f>
        <v>0</v>
      </c>
      <c r="EP56" s="15" t="str">
        <f>IF('Raw Data'!ED31="","",'Raw Data'!ED31)</f>
        <v>0</v>
      </c>
      <c r="EQ56" s="15" t="str">
        <f>IF('Raw Data'!EE31="","",'Raw Data'!EE31)</f>
        <v>0</v>
      </c>
      <c r="ER56" s="15" t="str">
        <f>IF('Raw Data'!EF31="","",'Raw Data'!EF31)</f>
        <v>0</v>
      </c>
      <c r="ES56" s="15" t="str">
        <f>IF('Raw Data'!EG31="","",'Raw Data'!EG31)</f>
        <v>0</v>
      </c>
      <c r="ET56" s="15" t="str">
        <f>IF('Raw Data'!EH31="","",'Raw Data'!EH31)</f>
        <v>0</v>
      </c>
      <c r="EU56" s="15" t="str">
        <f>IF('Raw Data'!EI31="","",'Raw Data'!EI31)</f>
        <v>0</v>
      </c>
      <c r="EV56" s="15" t="str">
        <f>IF('Raw Data'!EJ31="","",'Raw Data'!EJ31)</f>
        <v/>
      </c>
      <c r="EW56" s="15" t="str">
        <f>IF('Raw Data'!EK31="","",'Raw Data'!EK31)</f>
        <v/>
      </c>
      <c r="EX56" s="15" t="str">
        <f>IF('Raw Data'!EL31="","",'Raw Data'!EL31)</f>
        <v>famille_accueil</v>
      </c>
      <c r="EY56" s="15" t="str">
        <f>IF('Raw Data'!EM31="","",'Raw Data'!EM31)</f>
        <v>0</v>
      </c>
      <c r="EZ56" s="15" t="str">
        <f>IF('Raw Data'!EN31="","",'Raw Data'!EN31)</f>
        <v>0</v>
      </c>
      <c r="FA56" s="15" t="str">
        <f>IF('Raw Data'!EO31="","",'Raw Data'!EO31)</f>
        <v>1</v>
      </c>
      <c r="FB56" s="15" t="str">
        <f>IF('Raw Data'!EP31="","",'Raw Data'!EP31)</f>
        <v>0</v>
      </c>
      <c r="FC56" s="15" t="str">
        <f>IF('Raw Data'!EQ31="","",'Raw Data'!EQ31)</f>
        <v>0</v>
      </c>
      <c r="FD56" s="15" t="str">
        <f>IF('Raw Data'!ER31="","",'Raw Data'!ER31)</f>
        <v>0</v>
      </c>
      <c r="FE56" s="15" t="str">
        <f>IF('Raw Data'!ES31="","",'Raw Data'!ES31)</f>
        <v>0</v>
      </c>
      <c r="FF56" s="15" t="str">
        <f>IF('Raw Data'!ET31="","",'Raw Data'!ET31)</f>
        <v>0</v>
      </c>
      <c r="FG56" s="15" t="str">
        <f>IF('Raw Data'!EU31="","",'Raw Data'!EU31)</f>
        <v>0</v>
      </c>
      <c r="FH56" s="15" t="str">
        <f>IF('Raw Data'!EV31="","",'Raw Data'!EV31)</f>
        <v>0</v>
      </c>
      <c r="FI56" s="15" t="str">
        <f>IF('Raw Data'!EW31="","",'Raw Data'!EW31)</f>
        <v/>
      </c>
      <c r="FJ56" s="15" t="str">
        <f>IF('Raw Data'!EX31="","",'Raw Data'!EX31)</f>
        <v>oui</v>
      </c>
      <c r="FK56" s="15" t="str">
        <f>IF('Raw Data'!EY31="","",'Raw Data'!EY31)</f>
        <v>Radio_television Chef_village famille_amis</v>
      </c>
      <c r="FL56" s="15" t="str">
        <f>IF('Raw Data'!EZ31="","",'Raw Data'!EZ31)</f>
        <v>1</v>
      </c>
      <c r="FM56" s="15" t="str">
        <f>IF('Raw Data'!FA31="","",'Raw Data'!FA31)</f>
        <v>0</v>
      </c>
      <c r="FN56" s="15" t="str">
        <f>IF('Raw Data'!FB31="","",'Raw Data'!FB31)</f>
        <v>0</v>
      </c>
      <c r="FO56" s="15" t="str">
        <f>IF('Raw Data'!FC31="","",'Raw Data'!FC31)</f>
        <v>0</v>
      </c>
      <c r="FP56" s="15" t="str">
        <f>IF('Raw Data'!FD31="","",'Raw Data'!FD31)</f>
        <v>1</v>
      </c>
      <c r="FQ56" s="15" t="str">
        <f>IF('Raw Data'!FE31="","",'Raw Data'!FE31)</f>
        <v>1</v>
      </c>
      <c r="FR56" s="15" t="str">
        <f>IF('Raw Data'!FF31="","",'Raw Data'!FF31)</f>
        <v>0</v>
      </c>
      <c r="FS56" s="15" t="str">
        <f>IF('Raw Data'!FG31="","",'Raw Data'!FG31)</f>
        <v>0</v>
      </c>
      <c r="FT56" s="15" t="str">
        <f>IF('Raw Data'!FH31="","",'Raw Data'!FH31)</f>
        <v>0</v>
      </c>
      <c r="FU56" s="15" t="str">
        <f>IF('Raw Data'!FI31="","",'Raw Data'!FI31)</f>
        <v>0</v>
      </c>
      <c r="FV56" s="15" t="str">
        <f>IF('Raw Data'!FJ31="","",'Raw Data'!FJ31)</f>
        <v>0</v>
      </c>
      <c r="FW56" s="15" t="str">
        <f>IF('Raw Data'!FK31="","",'Raw Data'!FK31)</f>
        <v>0</v>
      </c>
      <c r="FX56" s="15" t="str">
        <f>IF('Raw Data'!FL31="","",'Raw Data'!FL31)</f>
        <v>0</v>
      </c>
      <c r="FY56" s="15" t="str">
        <f>IF('Raw Data'!FM31="","",'Raw Data'!FM31)</f>
        <v>0</v>
      </c>
      <c r="FZ56" s="15" t="str">
        <f>IF('Raw Data'!FN31="","",'Raw Data'!FN31)</f>
        <v/>
      </c>
      <c r="GA56" s="15" t="str">
        <f>IF('Raw Data'!FO31="","",'Raw Data'!FO31)</f>
        <v>oui_majorite</v>
      </c>
      <c r="GB56" s="15" t="str">
        <f>IF('Raw Data'!FP31="","",'Raw Data'!FP31)</f>
        <v>oui_majorite</v>
      </c>
      <c r="GC56" s="15" t="str">
        <f>IF('Raw Data'!FQ31="","",'Raw Data'!FQ31)</f>
        <v>manque_info</v>
      </c>
      <c r="GD56" s="15" t="str">
        <f>IF('Raw Data'!FR31="","",'Raw Data'!FR31)</f>
        <v>0</v>
      </c>
      <c r="GE56" s="15" t="str">
        <f>IF('Raw Data'!FS31="","",'Raw Data'!FS31)</f>
        <v>1</v>
      </c>
      <c r="GF56" s="15" t="str">
        <f>IF('Raw Data'!FT31="","",'Raw Data'!FT31)</f>
        <v>0</v>
      </c>
      <c r="GG56" s="15" t="str">
        <f>IF('Raw Data'!FU31="","",'Raw Data'!FU31)</f>
        <v>0</v>
      </c>
      <c r="GH56" s="15" t="str">
        <f>IF('Raw Data'!FV31="","",'Raw Data'!FV31)</f>
        <v>0</v>
      </c>
      <c r="GI56" s="15" t="str">
        <f>IF('Raw Data'!FW31="","",'Raw Data'!FW31)</f>
        <v>0</v>
      </c>
      <c r="GJ56" s="15" t="str">
        <f>IF('Raw Data'!FX31="","",'Raw Data'!FX31)</f>
        <v>0</v>
      </c>
      <c r="GK56" s="15" t="str">
        <f>IF('Raw Data'!FY31="","",'Raw Data'!FY31)</f>
        <v>0</v>
      </c>
      <c r="GL56" s="15" t="str">
        <f>IF('Raw Data'!FZ31="","",'Raw Data'!FZ31)</f>
        <v/>
      </c>
      <c r="GM56" s="15" t="str">
        <f>IF('Raw Data'!GA31="","",'Raw Data'!GA31)</f>
        <v>majorite</v>
      </c>
      <c r="GN56" s="15" t="str">
        <f>IF('Raw Data'!GB31="","",'Raw Data'!GB31)</f>
        <v>majorite</v>
      </c>
      <c r="GO56" s="15" t="str">
        <f>IF('Raw Data'!GC31="","",'Raw Data'!GC31)</f>
        <v>Service_de_counseling Services_de_sante Appui_psychosocial Suivi_judiciaire</v>
      </c>
      <c r="GP56" s="15" t="str">
        <f>IF('Raw Data'!GD31="","",'Raw Data'!GD31)</f>
        <v>1</v>
      </c>
      <c r="GQ56" s="15" t="str">
        <f>IF('Raw Data'!GE31="","",'Raw Data'!GE31)</f>
        <v>0</v>
      </c>
      <c r="GR56" s="15" t="str">
        <f>IF('Raw Data'!GF31="","",'Raw Data'!GF31)</f>
        <v>1</v>
      </c>
      <c r="GS56" s="15" t="str">
        <f>IF('Raw Data'!GG31="","",'Raw Data'!GG31)</f>
        <v>1</v>
      </c>
      <c r="GT56" s="15" t="str">
        <f>IF('Raw Data'!GH31="","",'Raw Data'!GH31)</f>
        <v>0</v>
      </c>
      <c r="GU56" s="15" t="str">
        <f>IF('Raw Data'!GI31="","",'Raw Data'!GI31)</f>
        <v>1</v>
      </c>
      <c r="GV56" s="15" t="str">
        <f>IF('Raw Data'!GJ31="","",'Raw Data'!GJ31)</f>
        <v>0</v>
      </c>
      <c r="GW56" s="15" t="str">
        <f>IF('Raw Data'!GK31="","",'Raw Data'!GK31)</f>
        <v>0</v>
      </c>
      <c r="GX56" s="15" t="str">
        <f>IF('Raw Data'!GL31="","",'Raw Data'!GL31)</f>
        <v>0</v>
      </c>
      <c r="GY56" s="15" t="str">
        <f>IF('Raw Data'!GM31="","",'Raw Data'!GM31)</f>
        <v/>
      </c>
      <c r="GZ56" s="15" t="str">
        <f>IF('Raw Data'!GN31="","",'Raw Data'!GN31)</f>
        <v>oui_majorite</v>
      </c>
      <c r="HA56" s="15" t="str">
        <f>IF('Raw Data'!GO31="","",'Raw Data'!GO31)</f>
        <v>oui_majorite</v>
      </c>
      <c r="HB56" s="15" t="str">
        <f>IF('Raw Data'!GP31="","",'Raw Data'!GP31)</f>
        <v>amelioration_futur permet_obtenir_conseils permet_eviter_conflits</v>
      </c>
      <c r="HC56" s="15" t="str">
        <f>IF('Raw Data'!GQ31="","",'Raw Data'!GQ31)</f>
        <v>1</v>
      </c>
      <c r="HD56" s="15" t="str">
        <f>IF('Raw Data'!GR31="","",'Raw Data'!GR31)</f>
        <v>0</v>
      </c>
      <c r="HE56" s="15" t="str">
        <f>IF('Raw Data'!GS31="","",'Raw Data'!GS31)</f>
        <v>1</v>
      </c>
      <c r="HF56" s="15" t="str">
        <f>IF('Raw Data'!GT31="","",'Raw Data'!GT31)</f>
        <v>1</v>
      </c>
      <c r="HG56" s="15" t="str">
        <f>IF('Raw Data'!GU31="","",'Raw Data'!GU31)</f>
        <v>0</v>
      </c>
      <c r="HH56" s="15" t="str">
        <f>IF('Raw Data'!GV31="","",'Raw Data'!GV31)</f>
        <v>0</v>
      </c>
      <c r="HI56" s="15" t="str">
        <f>IF('Raw Data'!GW31="","",'Raw Data'!GW31)</f>
        <v>0</v>
      </c>
      <c r="HJ56" s="15" t="str">
        <f>IF('Raw Data'!GX31="","",'Raw Data'!GX31)</f>
        <v>0</v>
      </c>
      <c r="HK56" s="15" t="str">
        <f>IF('Raw Data'!GY31="","",'Raw Data'!GY31)</f>
        <v/>
      </c>
      <c r="HL56" s="15" t="str">
        <f>IF('Raw Data'!GZ31="","",'Raw Data'!GZ31)</f>
        <v>ne_repond_pas ne_contribue_pas</v>
      </c>
      <c r="HM56" s="15" t="str">
        <f>IF('Raw Data'!HA31="","",'Raw Data'!HA31)</f>
        <v>1</v>
      </c>
      <c r="HN56" s="15" t="str">
        <f>IF('Raw Data'!HB31="","",'Raw Data'!HB31)</f>
        <v>1</v>
      </c>
      <c r="HO56" s="15" t="str">
        <f>IF('Raw Data'!HC31="","",'Raw Data'!HC31)</f>
        <v>0</v>
      </c>
      <c r="HP56" s="15" t="str">
        <f>IF('Raw Data'!HD31="","",'Raw Data'!HD31)</f>
        <v>0</v>
      </c>
      <c r="HQ56" s="15" t="str">
        <f>IF('Raw Data'!HE31="","",'Raw Data'!HE31)</f>
        <v>0</v>
      </c>
      <c r="HR56" s="15" t="str">
        <f>IF('Raw Data'!HF31="","",'Raw Data'!HF31)</f>
        <v>0</v>
      </c>
      <c r="HS56" s="15" t="str">
        <f>IF('Raw Data'!HG31="","",'Raw Data'!HG31)</f>
        <v/>
      </c>
      <c r="HT56" s="15" t="str">
        <f>IF('Raw Data'!HH31="","",'Raw Data'!HH31)</f>
        <v/>
      </c>
      <c r="HU56" s="15" t="str">
        <f>IF('Raw Data'!HI31="","",'Raw Data'!HI31)</f>
        <v>oui_moitie</v>
      </c>
      <c r="HV56" s="15" t="str">
        <f>IF('Raw Data'!HJ31="","",'Raw Data'!HJ31)</f>
        <v>famille_amis</v>
      </c>
      <c r="HW56" s="15" t="str">
        <f>IF('Raw Data'!HK31="","",'Raw Data'!HK31)</f>
        <v>0</v>
      </c>
      <c r="HX56" s="15" t="str">
        <f>IF('Raw Data'!HL31="","",'Raw Data'!HL31)</f>
        <v>0</v>
      </c>
      <c r="HY56" s="15" t="str">
        <f>IF('Raw Data'!HM31="","",'Raw Data'!HM31)</f>
        <v>0</v>
      </c>
      <c r="HZ56" s="15" t="str">
        <f>IF('Raw Data'!HN31="","",'Raw Data'!HN31)</f>
        <v>0</v>
      </c>
      <c r="IA56" s="15" t="str">
        <f>IF('Raw Data'!HO31="","",'Raw Data'!HO31)</f>
        <v>0</v>
      </c>
      <c r="IB56" s="15" t="str">
        <f>IF('Raw Data'!HP31="","",'Raw Data'!HP31)</f>
        <v>0</v>
      </c>
      <c r="IC56" s="15" t="str">
        <f>IF('Raw Data'!HQ31="","",'Raw Data'!HQ31)</f>
        <v>1</v>
      </c>
      <c r="ID56" s="15" t="str">
        <f>IF('Raw Data'!HR31="","",'Raw Data'!HR31)</f>
        <v>0</v>
      </c>
      <c r="IE56" s="15" t="str">
        <f>IF('Raw Data'!HS31="","",'Raw Data'!HS31)</f>
        <v>0</v>
      </c>
      <c r="IF56" s="15" t="str">
        <f>IF('Raw Data'!HT31="","",'Raw Data'!HT31)</f>
        <v>0</v>
      </c>
      <c r="IG56" s="15" t="str">
        <f>IF('Raw Data'!HU31="","",'Raw Data'!HU31)</f>
        <v/>
      </c>
      <c r="IH56" s="15" t="str">
        <f>IF('Raw Data'!HV31="","",'Raw Data'!HV31)</f>
        <v>oui</v>
      </c>
      <c r="II56" s="15" t="str">
        <f>IF('Raw Data'!HW31="","",'Raw Data'!HW31)</f>
        <v/>
      </c>
      <c r="IJ56" s="15" t="str">
        <f>IF('Raw Data'!HX31="","",'Raw Data'!HX31)</f>
        <v/>
      </c>
      <c r="IK56" s="15" t="str">
        <f>IF('Raw Data'!HY31="","",'Raw Data'!HY31)</f>
        <v/>
      </c>
      <c r="IL56" s="15" t="str">
        <f>IF('Raw Data'!HZ31="","",'Raw Data'!HZ31)</f>
        <v/>
      </c>
      <c r="IM56" s="15" t="str">
        <f>IF('Raw Data'!IA31="","",'Raw Data'!IA31)</f>
        <v/>
      </c>
      <c r="IN56" s="15" t="str">
        <f>IF('Raw Data'!IB31="","",'Raw Data'!IB31)</f>
        <v/>
      </c>
      <c r="IO56" s="15" t="str">
        <f>IF('Raw Data'!IC31="","",'Raw Data'!IC31)</f>
        <v/>
      </c>
      <c r="IP56" s="15" t="str">
        <f>IF('Raw Data'!ID31="","",'Raw Data'!ID31)</f>
        <v/>
      </c>
      <c r="IQ56" s="15" t="str">
        <f>IF('Raw Data'!IE31="","",'Raw Data'!IE31)</f>
        <v/>
      </c>
      <c r="IR56" s="15" t="str">
        <f>IF('Raw Data'!IF31="","",'Raw Data'!IF31)</f>
        <v/>
      </c>
      <c r="IS56" s="15" t="str">
        <f>IF('Raw Data'!IG31="","",'Raw Data'!IG31)</f>
        <v/>
      </c>
      <c r="IT56" s="15" t="str">
        <f>IF('Raw Data'!IH31="","",'Raw Data'!IH31)</f>
        <v/>
      </c>
      <c r="IU56" s="15" t="str">
        <f>IF('Raw Data'!II31="","",'Raw Data'!II31)</f>
        <v/>
      </c>
      <c r="IV56" s="15" t="str">
        <f>IF('Raw Data'!IJ31="","",'Raw Data'!IJ31)</f>
        <v/>
      </c>
      <c r="IW56" s="15" t="str">
        <f>IF('Raw Data'!IK31="","",'Raw Data'!IK31)</f>
        <v/>
      </c>
      <c r="IX56" s="15" t="str">
        <f>IF('Raw Data'!IL31="","",'Raw Data'!IL31)</f>
        <v/>
      </c>
      <c r="IY56" s="15" t="str">
        <f>IF('Raw Data'!IM31="","",'Raw Data'!IM31)</f>
        <v/>
      </c>
      <c r="IZ56" s="31"/>
      <c r="JA56" s="31"/>
      <c r="JB56" s="31"/>
      <c r="JC56" s="31"/>
      <c r="JD56" s="31"/>
      <c r="JE56" s="31"/>
      <c r="JF56" s="31"/>
      <c r="JG56" s="31"/>
      <c r="JH56" s="31"/>
      <c r="JI56" s="31"/>
      <c r="JJ56" s="31"/>
      <c r="JK56" s="31"/>
      <c r="JL56" s="15" t="str">
        <f>IF('Raw Data'!IZ31="","",'Raw Data'!IZ31)</f>
        <v/>
      </c>
      <c r="JM56" s="31"/>
      <c r="JN56" s="31"/>
      <c r="JO56" s="31"/>
      <c r="JP56" s="31"/>
      <c r="JQ56" s="31"/>
      <c r="JR56" s="31"/>
      <c r="JS56" s="31"/>
      <c r="JT56" s="15" t="str">
        <f>IF('Raw Data'!JH31="","",'Raw Data'!JH31)</f>
        <v/>
      </c>
      <c r="JU56" s="15" t="str">
        <f>IF('Raw Data'!JI31="","",'Raw Data'!JI31)</f>
        <v/>
      </c>
      <c r="JV56" s="15" t="str">
        <f>IF('Raw Data'!JJ31="","",'Raw Data'!JJ31)</f>
        <v/>
      </c>
      <c r="JW56" s="15" t="str">
        <f>IF('Raw Data'!JK31="","",'Raw Data'!JK31)</f>
        <v/>
      </c>
      <c r="JX56" s="15" t="str">
        <f>IF('Raw Data'!JL31="","",'Raw Data'!JL31)</f>
        <v/>
      </c>
      <c r="JY56" s="15" t="str">
        <f>IF('Raw Data'!JM31="","",'Raw Data'!JM31)</f>
        <v/>
      </c>
      <c r="JZ56" s="15" t="str">
        <f>IF('Raw Data'!JN31="","",'Raw Data'!JN31)</f>
        <v/>
      </c>
      <c r="KA56" s="15" t="str">
        <f>IF('Raw Data'!JO31="","",'Raw Data'!JO31)</f>
        <v/>
      </c>
      <c r="KB56" s="15" t="str">
        <f>IF('Raw Data'!JP31="","",'Raw Data'!JP31)</f>
        <v/>
      </c>
      <c r="KC56" s="15" t="str">
        <f>IF('Raw Data'!JQ31="","",'Raw Data'!JQ31)</f>
        <v/>
      </c>
      <c r="KD56" s="15" t="str">
        <f>IF('Raw Data'!JR31="","",'Raw Data'!JR31)</f>
        <v/>
      </c>
      <c r="KE56" s="15" t="str">
        <f>IF('Raw Data'!JS31="","",'Raw Data'!JS31)</f>
        <v/>
      </c>
      <c r="KF56" s="31"/>
      <c r="KG56" s="31"/>
      <c r="KH56" s="31"/>
      <c r="KI56" s="31"/>
      <c r="KJ56" s="31"/>
      <c r="KK56" s="31"/>
      <c r="KL56" s="31"/>
      <c r="KM56" s="31"/>
      <c r="KN56" s="31"/>
      <c r="KO56" s="31"/>
      <c r="KP56" s="15" t="str">
        <f>IF('Raw Data'!KD31="","",'Raw Data'!KD31)</f>
        <v/>
      </c>
      <c r="KQ56" s="15" t="str">
        <f>IF('Raw Data'!KE31="","",'Raw Data'!KE31)</f>
        <v/>
      </c>
      <c r="KR56" s="31"/>
      <c r="KS56" s="31"/>
      <c r="KT56" s="31"/>
      <c r="KU56" s="31"/>
      <c r="KV56" s="31"/>
      <c r="KW56" s="31"/>
      <c r="KX56" s="31"/>
      <c r="KY56" s="31"/>
      <c r="KZ56" s="31"/>
      <c r="LA56" s="31"/>
      <c r="LB56" s="31"/>
      <c r="LC56" s="31"/>
      <c r="LD56" s="31"/>
      <c r="LE56" s="15" t="str">
        <f>IF('Raw Data'!KS31="","",'Raw Data'!KS31)</f>
        <v/>
      </c>
      <c r="LF56" s="31"/>
      <c r="LG56" s="31"/>
      <c r="LH56" s="31"/>
      <c r="LI56" s="31"/>
      <c r="LJ56" s="31"/>
      <c r="LK56" s="31"/>
      <c r="LL56" s="31"/>
      <c r="LM56" s="15" t="str">
        <f>IF('Raw Data'!LA31="","",'Raw Data'!LA31)</f>
        <v/>
      </c>
      <c r="LN56" s="31"/>
      <c r="LO56" s="15" t="str">
        <f>IF('Raw Data'!LC31="","",'Raw Data'!LC31)</f>
        <v/>
      </c>
      <c r="LP56" s="15" t="str">
        <f>IF('Raw Data'!LD31="","",'Raw Data'!LD31)</f>
        <v/>
      </c>
      <c r="LQ56" s="15" t="str">
        <f>IF('Raw Data'!LE31="","",'Raw Data'!LE31)</f>
        <v/>
      </c>
      <c r="LR56" s="15" t="str">
        <f>IF('Raw Data'!LF31="","",'Raw Data'!LF31)</f>
        <v/>
      </c>
      <c r="LS56" s="15" t="str">
        <f>IF('Raw Data'!LG31="","",'Raw Data'!LG31)</f>
        <v/>
      </c>
      <c r="LT56" s="15" t="str">
        <f>IF('Raw Data'!LH31="","",'Raw Data'!LH31)</f>
        <v/>
      </c>
      <c r="LU56" s="15" t="str">
        <f>IF('Raw Data'!LI31="","",'Raw Data'!LI31)</f>
        <v/>
      </c>
      <c r="LV56" s="15" t="str">
        <f>IF('Raw Data'!LJ31="","",'Raw Data'!LJ31)</f>
        <v/>
      </c>
      <c r="LW56" s="15" t="str">
        <f>IF('Raw Data'!LK31="","",'Raw Data'!LK31)</f>
        <v/>
      </c>
      <c r="LX56" s="15" t="str">
        <f>IF('Raw Data'!LL31="","",'Raw Data'!LL31)</f>
        <v/>
      </c>
      <c r="LY56" s="15" t="str">
        <f>IF('Raw Data'!LM31="","",'Raw Data'!LM31)</f>
        <v/>
      </c>
      <c r="LZ56" s="15" t="str">
        <f>IF('Raw Data'!LN31="","",'Raw Data'!LN31)</f>
        <v/>
      </c>
      <c r="MA56" s="15" t="str">
        <f>IF('Raw Data'!LO31="","",'Raw Data'!LO31)</f>
        <v/>
      </c>
      <c r="MB56" s="15" t="str">
        <f>IF('Raw Data'!LP31="","",'Raw Data'!LP31)</f>
        <v>oui</v>
      </c>
      <c r="MC56" s="15" t="str">
        <f>IF('Raw Data'!LQ31="","",'Raw Data'!LQ31)</f>
        <v/>
      </c>
      <c r="MD56" s="31"/>
      <c r="ME56" s="15">
        <f>IF('Raw Data'!LS31="","",'Raw Data'!LS31)</f>
        <v>169351708</v>
      </c>
      <c r="MF56" s="15" t="str">
        <f>IF('Raw Data'!LT31="","",'Raw Data'!LT31)</f>
        <v>c9e09860-e7e5-4fd6-a468-e1e6b02442f6</v>
      </c>
      <c r="MG56" s="15" t="str">
        <f>IF('Raw Data'!LU31="","",'Raw Data'!LU31)</f>
        <v>2021-04-02T19:02:44</v>
      </c>
      <c r="MH56" s="15" t="str">
        <f>IF('Raw Data'!LV31="","",'Raw Data'!LV31)</f>
        <v/>
      </c>
      <c r="MI56" s="15" t="str">
        <f>IF('Raw Data'!LW31="","",'Raw Data'!LW31)</f>
        <v>[]</v>
      </c>
      <c r="MJ56" s="15" t="str">
        <f>IF('Raw Data'!LX31="","",'Raw Data'!LX31)</f>
        <v>submitted_via_web</v>
      </c>
      <c r="MK56" s="15" t="str">
        <f>IF('Raw Data'!LY31="","",'Raw Data'!LY31)</f>
        <v>reach_niger</v>
      </c>
      <c r="ML56" s="15" t="str">
        <f>IF('Raw Data'!LZ31="","",'Raw Data'!LZ31)</f>
        <v/>
      </c>
      <c r="MM56" s="15">
        <f>IF('Raw Data'!MA31="","",'Raw Data'!MA31)</f>
        <v>32</v>
      </c>
    </row>
    <row r="57" spans="1:351" x14ac:dyDescent="0.3">
      <c r="A57" s="26" t="str">
        <f t="shared" si="4"/>
        <v>b93e9e4f-6440-43a3-b03f-7c660be9549a</v>
      </c>
      <c r="B57" s="26" t="str">
        <f t="shared" si="5"/>
        <v>tera</v>
      </c>
      <c r="C57" s="26" t="str">
        <f t="shared" si="6"/>
        <v>L</v>
      </c>
      <c r="D57" s="14" t="str">
        <f>IF('Raw Data'!A37="","",'Raw Data'!A37)</f>
        <v>2021-04-03T12:54:26.131+01:00</v>
      </c>
      <c r="E57" s="14" t="str">
        <f>IF('Raw Data'!B37="","",'Raw Data'!B37)</f>
        <v>2021-04-03T13:48:10.398+01:00</v>
      </c>
      <c r="F57" s="30">
        <v>44289.537800925929</v>
      </c>
      <c r="G57" s="30">
        <v>44289.575115740743</v>
      </c>
      <c r="H57" s="29">
        <f>VLOOKUP(A57,Audit[#All],2,FALSE)</f>
        <v>53.74</v>
      </c>
      <c r="I57" s="29">
        <f>VLOOKUP(A57,Audit[#All],3,FALSE)</f>
        <v>45.76</v>
      </c>
      <c r="J57" s="29">
        <f>VLOOKUP(A57,Audit[#All],4,FALSE)</f>
        <v>12.04</v>
      </c>
      <c r="K57" s="29">
        <f>VLOOKUP(A57,nb_questions[#All],2,FALSE)</f>
        <v>82</v>
      </c>
      <c r="L57" s="29">
        <f t="shared" si="7"/>
        <v>171</v>
      </c>
      <c r="M57" s="14" t="str">
        <f>IF('Raw Data'!C37="","",'Raw Data'!C37)</f>
        <v>2021-04-03</v>
      </c>
      <c r="N57" s="14" t="str">
        <f>IF('Raw Data'!D37="","",'Raw Data'!D37)</f>
        <v/>
      </c>
      <c r="O57" s="14" t="str">
        <f>IF('Raw Data'!E37="","",'Raw Data'!E37)</f>
        <v/>
      </c>
      <c r="P57" s="29" t="str">
        <f>VLOOKUP(A57,code_enqueteurs[#All],3,FALSE)</f>
        <v>L</v>
      </c>
      <c r="Q57" s="29" t="s">
        <v>1647</v>
      </c>
      <c r="R57" s="14" t="str">
        <f>IF('Raw Data'!F37="","",'Raw Data'!F37)</f>
        <v>Homme</v>
      </c>
      <c r="S57" s="15" t="str">
        <f>IF('Raw Data'!G37="","",'Raw Data'!G37)</f>
        <v>tera</v>
      </c>
      <c r="T57" s="15" t="str">
        <f>IF('Raw Data'!H37="","",'Raw Data'!H37)</f>
        <v>tera</v>
      </c>
      <c r="U57" s="15" t="str">
        <f>IF('Raw Data'!I37="","",'Raw Data'!I37)</f>
        <v>tera</v>
      </c>
      <c r="V57" s="15" t="str">
        <f>IF('Raw Data'!J37="","",'Raw Data'!J37)</f>
        <v/>
      </c>
      <c r="W57" s="15" t="str">
        <f>IF('Raw Data'!K37="","",'Raw Data'!K37)</f>
        <v/>
      </c>
      <c r="X57" s="15" t="str">
        <f>IF('Raw Data'!L37="","",'Raw Data'!L37)</f>
        <v/>
      </c>
      <c r="Y57" s="15" t="str">
        <f>IF('Raw Data'!M37="","",'Raw Data'!M37)</f>
        <v/>
      </c>
      <c r="Z57" s="15" t="str">
        <f>IF('Raw Data'!N37="","",'Raw Data'!N37)</f>
        <v/>
      </c>
      <c r="AA57" s="15" t="str">
        <f>IF('Raw Data'!O37="","",'Raw Data'!O37)</f>
        <v/>
      </c>
      <c r="AB57" s="15" t="str">
        <f>IF('Raw Data'!P37="","",'Raw Data'!P37)</f>
        <v/>
      </c>
      <c r="AC57" s="15" t="str">
        <f>IF('Raw Data'!Q37="","",'Raw Data'!Q37)</f>
        <v/>
      </c>
      <c r="AD57" s="15" t="str">
        <f>IF('Raw Data'!R37="","",'Raw Data'!R37)</f>
        <v>Homme</v>
      </c>
      <c r="AE57" s="15" t="str">
        <f>IF('Raw Data'!S37="","",'Raw Data'!S37)</f>
        <v>49</v>
      </c>
      <c r="AF57" s="15" t="str">
        <f>IF('Raw Data'!T37="","",'Raw Data'!T37)</f>
        <v>deplace_interne</v>
      </c>
      <c r="AG57" s="15" t="str">
        <f>IF('Raw Data'!U37="","",'Raw Data'!U37)</f>
        <v/>
      </c>
      <c r="AH57" s="15" t="str">
        <f>IF('Raw Data'!V37="","",'Raw Data'!V37)</f>
        <v/>
      </c>
      <c r="AI57" s="15" t="str">
        <f>IF('Raw Data'!W37="","",'Raw Data'!W37)</f>
        <v/>
      </c>
      <c r="AJ57" s="15" t="str">
        <f>IF('Raw Data'!X37="","",'Raw Data'!X37)</f>
        <v/>
      </c>
      <c r="AK57" s="15" t="str">
        <f>IF('Raw Data'!Y37="","",'Raw Data'!Y37)</f>
        <v/>
      </c>
      <c r="AL57" s="15" t="str">
        <f>IF('Raw Data'!Z37="","",'Raw Data'!Z37)</f>
        <v>niger</v>
      </c>
      <c r="AM57" s="15" t="str">
        <f>IF('Raw Data'!AA37="","",'Raw Data'!AA37)</f>
        <v>tillaberi</v>
      </c>
      <c r="AN57" s="15" t="str">
        <f>IF('Raw Data'!AB37="","",'Raw Data'!AB37)</f>
        <v>tera</v>
      </c>
      <c r="AO57" s="15" t="str">
        <f>IF('Raw Data'!AC37="","",'Raw Data'!AC37)</f>
        <v/>
      </c>
      <c r="AP57" s="15" t="str">
        <f>IF('Raw Data'!AD37="","",'Raw Data'!AD37)</f>
        <v/>
      </c>
      <c r="AQ57" s="15" t="str">
        <f>IF('Raw Data'!AE37="","",'Raw Data'!AE37)</f>
        <v/>
      </c>
      <c r="AR57" s="15" t="str">
        <f>IF('Raw Data'!AF37="","",'Raw Data'!AF37)</f>
        <v/>
      </c>
      <c r="AS57" s="15" t="str">
        <f>IF('Raw Data'!AG37="","",'Raw Data'!AG37)</f>
        <v>non</v>
      </c>
      <c r="AT57" s="15" t="str">
        <f>IF('Raw Data'!AH37="","",'Raw Data'!AH37)</f>
        <v/>
      </c>
      <c r="AU57" s="15" t="str">
        <f>IF('Raw Data'!AI37="","",'Raw Data'!AI37)</f>
        <v/>
      </c>
      <c r="AV57" s="15" t="str">
        <f>IF('Raw Data'!AJ37="","",'Raw Data'!AJ37)</f>
        <v/>
      </c>
      <c r="AW57" s="15" t="str">
        <f>IF('Raw Data'!AK37="","",'Raw Data'!AK37)</f>
        <v/>
      </c>
      <c r="AX57" s="15" t="str">
        <f>IF('Raw Data'!AL37="","",'Raw Data'!AL37)</f>
        <v/>
      </c>
      <c r="AY57" s="15" t="str">
        <f>IF('Raw Data'!AM37="","",'Raw Data'!AM37)</f>
        <v/>
      </c>
      <c r="AZ57" s="15" t="str">
        <f>IF('Raw Data'!AN37="","",'Raw Data'!AN37)</f>
        <v/>
      </c>
      <c r="BA57" s="15" t="str">
        <f>IF('Raw Data'!AO37="","",'Raw Data'!AO37)</f>
        <v/>
      </c>
      <c r="BB57" s="15" t="str">
        <f>IF('Raw Data'!AP37="","",'Raw Data'!AP37)</f>
        <v/>
      </c>
      <c r="BC57" s="15" t="str">
        <f>IF('Raw Data'!AQ37="","",'Raw Data'!AQ37)</f>
        <v/>
      </c>
      <c r="BD57" s="15" t="str">
        <f>IF('Raw Data'!AR37="","",'Raw Data'!AR37)</f>
        <v/>
      </c>
      <c r="BE57" s="15" t="str">
        <f>IF('Raw Data'!AS37="","",'Raw Data'!AS37)</f>
        <v/>
      </c>
      <c r="BF57" s="15" t="str">
        <f>IF('Raw Data'!AT37="","",'Raw Data'!AT37)</f>
        <v/>
      </c>
      <c r="BG57" s="15" t="str">
        <f>IF('Raw Data'!AU37="","",'Raw Data'!AU37)</f>
        <v/>
      </c>
      <c r="BH57" s="15" t="str">
        <f>IF('Raw Data'!AV37="","",'Raw Data'!AV37)</f>
        <v/>
      </c>
      <c r="BI57" s="15" t="str">
        <f>IF('Raw Data'!AW37="","",'Raw Data'!AW37)</f>
        <v/>
      </c>
      <c r="BJ57" s="15" t="str">
        <f>IF('Raw Data'!AX37="","",'Raw Data'!AX37)</f>
        <v/>
      </c>
      <c r="BK57" s="15" t="str">
        <f>IF('Raw Data'!AY37="","",'Raw Data'!AY37)</f>
        <v/>
      </c>
      <c r="BL57" s="15" t="str">
        <f>IF('Raw Data'!AZ37="","",'Raw Data'!AZ37)</f>
        <v/>
      </c>
      <c r="BM57" s="15" t="str">
        <f>IF('Raw Data'!BA37="","",'Raw Data'!BA37)</f>
        <v/>
      </c>
      <c r="BN57" s="15" t="str">
        <f>IF('Raw Data'!BB37="","",'Raw Data'!BB37)</f>
        <v/>
      </c>
      <c r="BO57" s="15" t="str">
        <f>IF('Raw Data'!BC37="","",'Raw Data'!BC37)</f>
        <v/>
      </c>
      <c r="BP57" s="15" t="str">
        <f>IF('Raw Data'!BD37="","",'Raw Data'!BD37)</f>
        <v/>
      </c>
      <c r="BQ57" s="15" t="str">
        <f>IF('Raw Data'!BE37="","",'Raw Data'!BE37)</f>
        <v/>
      </c>
      <c r="BR57" s="15" t="str">
        <f>IF('Raw Data'!BF37="","",'Raw Data'!BF37)</f>
        <v/>
      </c>
      <c r="BS57" s="15" t="str">
        <f>IF('Raw Data'!BG37="","",'Raw Data'!BG37)</f>
        <v/>
      </c>
      <c r="BT57" s="15" t="str">
        <f>IF('Raw Data'!BH37="","",'Raw Data'!BH37)</f>
        <v/>
      </c>
      <c r="BU57" s="15" t="str">
        <f>IF('Raw Data'!BI37="","",'Raw Data'!BI37)</f>
        <v/>
      </c>
      <c r="BV57" s="15" t="str">
        <f>IF('Raw Data'!BJ37="","",'Raw Data'!BJ37)</f>
        <v/>
      </c>
      <c r="BW57" s="15" t="str">
        <f>IF('Raw Data'!BK37="","",'Raw Data'!BK37)</f>
        <v/>
      </c>
      <c r="BX57" s="15" t="str">
        <f>IF('Raw Data'!BL37="","",'Raw Data'!BL37)</f>
        <v/>
      </c>
      <c r="BY57" s="15" t="str">
        <f>IF('Raw Data'!BM37="","",'Raw Data'!BM37)</f>
        <v/>
      </c>
      <c r="BZ57" s="15" t="str">
        <f>IF('Raw Data'!BN37="","",'Raw Data'!BN37)</f>
        <v/>
      </c>
      <c r="CA57" s="15" t="str">
        <f>IF('Raw Data'!BO37="","",'Raw Data'!BO37)</f>
        <v/>
      </c>
      <c r="CB57" s="15" t="str">
        <f>IF('Raw Data'!BP37="","",'Raw Data'!BP37)</f>
        <v/>
      </c>
      <c r="CC57" s="15" t="str">
        <f>IF('Raw Data'!BQ37="","",'Raw Data'!BQ37)</f>
        <v>non</v>
      </c>
      <c r="CD57" s="15" t="str">
        <f>IF('Raw Data'!BR37="","",'Raw Data'!BR37)</f>
        <v/>
      </c>
      <c r="CE57" s="15" t="str">
        <f>IF('Raw Data'!BS37="","",'Raw Data'!BS37)</f>
        <v/>
      </c>
      <c r="CF57" s="15" t="str">
        <f>IF('Raw Data'!BT37="","",'Raw Data'!BT37)</f>
        <v/>
      </c>
      <c r="CG57" s="15" t="str">
        <f>IF('Raw Data'!BU37="","",'Raw Data'!BU37)</f>
        <v/>
      </c>
      <c r="CH57" s="15" t="str">
        <f>IF('Raw Data'!BV37="","",'Raw Data'!BV37)</f>
        <v/>
      </c>
      <c r="CI57" s="15" t="str">
        <f>IF('Raw Data'!BW37="","",'Raw Data'!BW37)</f>
        <v/>
      </c>
      <c r="CJ57" s="15" t="str">
        <f>IF('Raw Data'!BX37="","",'Raw Data'!BX37)</f>
        <v/>
      </c>
      <c r="CK57" s="15" t="str">
        <f>IF('Raw Data'!BY37="","",'Raw Data'!BY37)</f>
        <v/>
      </c>
      <c r="CL57" s="15" t="str">
        <f>IF('Raw Data'!BZ37="","",'Raw Data'!BZ37)</f>
        <v/>
      </c>
      <c r="CM57" s="15" t="str">
        <f>IF('Raw Data'!CA37="","",'Raw Data'!CA37)</f>
        <v/>
      </c>
      <c r="CN57" s="15" t="str">
        <f>IF('Raw Data'!CB37="","",'Raw Data'!CB37)</f>
        <v/>
      </c>
      <c r="CO57" s="15" t="str">
        <f>IF('Raw Data'!CC37="","",'Raw Data'!CC37)</f>
        <v/>
      </c>
      <c r="CP57" s="15" t="str">
        <f>IF('Raw Data'!CD37="","",'Raw Data'!CD37)</f>
        <v/>
      </c>
      <c r="CQ57" s="15" t="str">
        <f>IF('Raw Data'!CE37="","",'Raw Data'!CE37)</f>
        <v/>
      </c>
      <c r="CR57" s="15" t="str">
        <f>IF('Raw Data'!CF37="","",'Raw Data'!CF37)</f>
        <v/>
      </c>
      <c r="CS57" s="15" t="str">
        <f>IF('Raw Data'!CG37="","",'Raw Data'!CG37)</f>
        <v/>
      </c>
      <c r="CT57" s="15" t="str">
        <f>IF('Raw Data'!CH37="","",'Raw Data'!CH37)</f>
        <v/>
      </c>
      <c r="CU57" s="15" t="str">
        <f>IF('Raw Data'!CI37="","",'Raw Data'!CI37)</f>
        <v/>
      </c>
      <c r="CV57" s="15" t="str">
        <f>IF('Raw Data'!CJ37="","",'Raw Data'!CJ37)</f>
        <v/>
      </c>
      <c r="CW57" s="15" t="str">
        <f>IF('Raw Data'!CK37="","",'Raw Data'!CK37)</f>
        <v/>
      </c>
      <c r="CX57" s="15" t="str">
        <f>IF('Raw Data'!CL37="","",'Raw Data'!CL37)</f>
        <v/>
      </c>
      <c r="CY57" s="15" t="str">
        <f>IF('Raw Data'!CM37="","",'Raw Data'!CM37)</f>
        <v/>
      </c>
      <c r="CZ57" s="15" t="str">
        <f>IF('Raw Data'!CN37="","",'Raw Data'!CN37)</f>
        <v/>
      </c>
      <c r="DA57" s="15" t="str">
        <f>IF('Raw Data'!CO37="","",'Raw Data'!CO37)</f>
        <v/>
      </c>
      <c r="DB57" s="15" t="str">
        <f>IF('Raw Data'!CP37="","",'Raw Data'!CP37)</f>
        <v/>
      </c>
      <c r="DC57" s="15" t="str">
        <f>IF('Raw Data'!CQ37="","",'Raw Data'!CQ37)</f>
        <v/>
      </c>
      <c r="DD57" s="15" t="str">
        <f>IF('Raw Data'!CR37="","",'Raw Data'!CR37)</f>
        <v/>
      </c>
      <c r="DE57" s="15" t="str">
        <f>IF('Raw Data'!CS37="","",'Raw Data'!CS37)</f>
        <v/>
      </c>
      <c r="DF57" s="15" t="str">
        <f>IF('Raw Data'!CT37="","",'Raw Data'!CT37)</f>
        <v/>
      </c>
      <c r="DG57" s="15" t="str">
        <f>IF('Raw Data'!CU37="","",'Raw Data'!CU37)</f>
        <v/>
      </c>
      <c r="DH57" s="15" t="str">
        <f>IF('Raw Data'!CV37="","",'Raw Data'!CV37)</f>
        <v/>
      </c>
      <c r="DI57" s="15" t="str">
        <f>IF('Raw Data'!CW37="","",'Raw Data'!CW37)</f>
        <v/>
      </c>
      <c r="DJ57" s="15" t="str">
        <f>IF('Raw Data'!CX37="","",'Raw Data'!CX37)</f>
        <v/>
      </c>
      <c r="DK57" s="15" t="str">
        <f>IF('Raw Data'!CY37="","",'Raw Data'!CY37)</f>
        <v/>
      </c>
      <c r="DL57" s="15" t="str">
        <f>IF('Raw Data'!CZ37="","",'Raw Data'!CZ37)</f>
        <v/>
      </c>
      <c r="DM57" s="15" t="str">
        <f>IF('Raw Data'!DA37="","",'Raw Data'!DA37)</f>
        <v/>
      </c>
      <c r="DN57" s="15" t="str">
        <f>IF('Raw Data'!DB37="","",'Raw Data'!DB37)</f>
        <v/>
      </c>
      <c r="DO57" s="15" t="str">
        <f>IF('Raw Data'!DC37="","",'Raw Data'!DC37)</f>
        <v/>
      </c>
      <c r="DP57" s="15" t="str">
        <f>IF('Raw Data'!DD37="","",'Raw Data'!DD37)</f>
        <v/>
      </c>
      <c r="DQ57" s="15" t="str">
        <f>IF('Raw Data'!DE37="","",'Raw Data'!DE37)</f>
        <v/>
      </c>
      <c r="DR57" s="15" t="str">
        <f>IF('Raw Data'!DF37="","",'Raw Data'!DF37)</f>
        <v/>
      </c>
      <c r="DS57" s="15" t="str">
        <f>IF('Raw Data'!DG37="","",'Raw Data'!DG37)</f>
        <v/>
      </c>
      <c r="DT57" s="15" t="str">
        <f>IF('Raw Data'!DH37="","",'Raw Data'!DH37)</f>
        <v/>
      </c>
      <c r="DU57" s="15" t="str">
        <f>IF('Raw Data'!DI37="","",'Raw Data'!DI37)</f>
        <v/>
      </c>
      <c r="DV57" s="15" t="str">
        <f>IF('Raw Data'!DJ37="","",'Raw Data'!DJ37)</f>
        <v/>
      </c>
      <c r="DW57" s="15" t="str">
        <f>IF('Raw Data'!DK37="","",'Raw Data'!DK37)</f>
        <v/>
      </c>
      <c r="DX57" s="15" t="str">
        <f>IF('Raw Data'!DL37="","",'Raw Data'!DL37)</f>
        <v/>
      </c>
      <c r="DY57" s="15" t="str">
        <f>IF('Raw Data'!DM37="","",'Raw Data'!DM37)</f>
        <v/>
      </c>
      <c r="DZ57" s="15" t="str">
        <f>IF('Raw Data'!DN37="","",'Raw Data'!DN37)</f>
        <v/>
      </c>
      <c r="EA57" s="15" t="str">
        <f>IF('Raw Data'!DO37="","",'Raw Data'!DO37)</f>
        <v/>
      </c>
      <c r="EB57" s="15" t="str">
        <f>IF('Raw Data'!DP37="","",'Raw Data'!DP37)</f>
        <v/>
      </c>
      <c r="EC57" s="15" t="str">
        <f>IF('Raw Data'!DQ37="","",'Raw Data'!DQ37)</f>
        <v/>
      </c>
      <c r="ED57" s="15" t="str">
        <f>IF('Raw Data'!DR37="","",'Raw Data'!DR37)</f>
        <v/>
      </c>
      <c r="EE57" s="15" t="str">
        <f>IF('Raw Data'!DS37="","",'Raw Data'!DS37)</f>
        <v/>
      </c>
      <c r="EF57" s="15" t="str">
        <f>IF('Raw Data'!DT37="","",'Raw Data'!DT37)</f>
        <v/>
      </c>
      <c r="EG57" s="15" t="str">
        <f>IF('Raw Data'!DU37="","",'Raw Data'!DU37)</f>
        <v/>
      </c>
      <c r="EH57" s="15" t="str">
        <f>IF('Raw Data'!DV37="","",'Raw Data'!DV37)</f>
        <v/>
      </c>
      <c r="EI57" s="15" t="str">
        <f>IF('Raw Data'!DW37="","",'Raw Data'!DW37)</f>
        <v/>
      </c>
      <c r="EJ57" s="15" t="str">
        <f>IF('Raw Data'!DX37="","",'Raw Data'!DX37)</f>
        <v/>
      </c>
      <c r="EK57" s="15" t="str">
        <f>IF('Raw Data'!DY37="","",'Raw Data'!DY37)</f>
        <v/>
      </c>
      <c r="EL57" s="15" t="str">
        <f>IF('Raw Data'!DZ37="","",'Raw Data'!DZ37)</f>
        <v>Integration_com_hote</v>
      </c>
      <c r="EM57" s="15" t="str">
        <f>IF('Raw Data'!EA37="","",'Raw Data'!EA37)</f>
        <v>0</v>
      </c>
      <c r="EN57" s="15" t="str">
        <f>IF('Raw Data'!EB37="","",'Raw Data'!EB37)</f>
        <v>1</v>
      </c>
      <c r="EO57" s="15" t="str">
        <f>IF('Raw Data'!EC37="","",'Raw Data'!EC37)</f>
        <v>0</v>
      </c>
      <c r="EP57" s="15" t="str">
        <f>IF('Raw Data'!ED37="","",'Raw Data'!ED37)</f>
        <v>0</v>
      </c>
      <c r="EQ57" s="15" t="str">
        <f>IF('Raw Data'!EE37="","",'Raw Data'!EE37)</f>
        <v>0</v>
      </c>
      <c r="ER57" s="15" t="str">
        <f>IF('Raw Data'!EF37="","",'Raw Data'!EF37)</f>
        <v>0</v>
      </c>
      <c r="ES57" s="15" t="str">
        <f>IF('Raw Data'!EG37="","",'Raw Data'!EG37)</f>
        <v>0</v>
      </c>
      <c r="ET57" s="15" t="str">
        <f>IF('Raw Data'!EH37="","",'Raw Data'!EH37)</f>
        <v>0</v>
      </c>
      <c r="EU57" s="15" t="str">
        <f>IF('Raw Data'!EI37="","",'Raw Data'!EI37)</f>
        <v>0</v>
      </c>
      <c r="EV57" s="15" t="str">
        <f>IF('Raw Data'!EJ37="","",'Raw Data'!EJ37)</f>
        <v/>
      </c>
      <c r="EW57" s="15" t="str">
        <f>IF('Raw Data'!EK37="","",'Raw Data'!EK37)</f>
        <v/>
      </c>
      <c r="EX57" s="15" t="str">
        <f>IF('Raw Data'!EL37="","",'Raw Data'!EL37)</f>
        <v>comite_protection</v>
      </c>
      <c r="EY57" s="15" t="str">
        <f>IF('Raw Data'!EM37="","",'Raw Data'!EM37)</f>
        <v>0</v>
      </c>
      <c r="EZ57" s="15" t="str">
        <f>IF('Raw Data'!EN37="","",'Raw Data'!EN37)</f>
        <v>1</v>
      </c>
      <c r="FA57" s="15" t="str">
        <f>IF('Raw Data'!EO37="","",'Raw Data'!EO37)</f>
        <v>0</v>
      </c>
      <c r="FB57" s="15" t="str">
        <f>IF('Raw Data'!EP37="","",'Raw Data'!EP37)</f>
        <v>0</v>
      </c>
      <c r="FC57" s="15" t="str">
        <f>IF('Raw Data'!EQ37="","",'Raw Data'!EQ37)</f>
        <v>0</v>
      </c>
      <c r="FD57" s="15" t="str">
        <f>IF('Raw Data'!ER37="","",'Raw Data'!ER37)</f>
        <v>0</v>
      </c>
      <c r="FE57" s="15" t="str">
        <f>IF('Raw Data'!ES37="","",'Raw Data'!ES37)</f>
        <v>0</v>
      </c>
      <c r="FF57" s="15" t="str">
        <f>IF('Raw Data'!ET37="","",'Raw Data'!ET37)</f>
        <v>0</v>
      </c>
      <c r="FG57" s="15" t="str">
        <f>IF('Raw Data'!EU37="","",'Raw Data'!EU37)</f>
        <v>0</v>
      </c>
      <c r="FH57" s="15" t="str">
        <f>IF('Raw Data'!EV37="","",'Raw Data'!EV37)</f>
        <v>0</v>
      </c>
      <c r="FI57" s="15" t="str">
        <f>IF('Raw Data'!EW37="","",'Raw Data'!EW37)</f>
        <v/>
      </c>
      <c r="FJ57" s="15" t="str">
        <f>IF('Raw Data'!EX37="","",'Raw Data'!EX37)</f>
        <v>oui</v>
      </c>
      <c r="FK57" s="15" t="str">
        <f>IF('Raw Data'!EY37="","",'Raw Data'!EY37)</f>
        <v>Radio_television manif_sociales famille_amis</v>
      </c>
      <c r="FL57" s="15" t="str">
        <f>IF('Raw Data'!EZ37="","",'Raw Data'!EZ37)</f>
        <v>1</v>
      </c>
      <c r="FM57" s="15" t="str">
        <f>IF('Raw Data'!FA37="","",'Raw Data'!FA37)</f>
        <v>0</v>
      </c>
      <c r="FN57" s="15" t="str">
        <f>IF('Raw Data'!FB37="","",'Raw Data'!FB37)</f>
        <v>0</v>
      </c>
      <c r="FO57" s="15" t="str">
        <f>IF('Raw Data'!FC37="","",'Raw Data'!FC37)</f>
        <v>1</v>
      </c>
      <c r="FP57" s="15" t="str">
        <f>IF('Raw Data'!FD37="","",'Raw Data'!FD37)</f>
        <v>0</v>
      </c>
      <c r="FQ57" s="15" t="str">
        <f>IF('Raw Data'!FE37="","",'Raw Data'!FE37)</f>
        <v>1</v>
      </c>
      <c r="FR57" s="15" t="str">
        <f>IF('Raw Data'!FF37="","",'Raw Data'!FF37)</f>
        <v>0</v>
      </c>
      <c r="FS57" s="15" t="str">
        <f>IF('Raw Data'!FG37="","",'Raw Data'!FG37)</f>
        <v>0</v>
      </c>
      <c r="FT57" s="15" t="str">
        <f>IF('Raw Data'!FH37="","",'Raw Data'!FH37)</f>
        <v>0</v>
      </c>
      <c r="FU57" s="15" t="str">
        <f>IF('Raw Data'!FI37="","",'Raw Data'!FI37)</f>
        <v>0</v>
      </c>
      <c r="FV57" s="15" t="str">
        <f>IF('Raw Data'!FJ37="","",'Raw Data'!FJ37)</f>
        <v>0</v>
      </c>
      <c r="FW57" s="15" t="str">
        <f>IF('Raw Data'!FK37="","",'Raw Data'!FK37)</f>
        <v>0</v>
      </c>
      <c r="FX57" s="15" t="str">
        <f>IF('Raw Data'!FL37="","",'Raw Data'!FL37)</f>
        <v>0</v>
      </c>
      <c r="FY57" s="15" t="str">
        <f>IF('Raw Data'!FM37="","",'Raw Data'!FM37)</f>
        <v>0</v>
      </c>
      <c r="FZ57" s="15" t="str">
        <f>IF('Raw Data'!FN37="","",'Raw Data'!FN37)</f>
        <v/>
      </c>
      <c r="GA57" s="15" t="str">
        <f>IF('Raw Data'!FO37="","",'Raw Data'!FO37)</f>
        <v>oui_ensemble</v>
      </c>
      <c r="GB57" s="15" t="str">
        <f>IF('Raw Data'!FP37="","",'Raw Data'!FP37)</f>
        <v>oui_ensemble</v>
      </c>
      <c r="GC57" s="15" t="str">
        <f>IF('Raw Data'!FQ37="","",'Raw Data'!FQ37)</f>
        <v/>
      </c>
      <c r="GD57" s="15" t="str">
        <f>IF('Raw Data'!FR37="","",'Raw Data'!FR37)</f>
        <v/>
      </c>
      <c r="GE57" s="15" t="str">
        <f>IF('Raw Data'!FS37="","",'Raw Data'!FS37)</f>
        <v/>
      </c>
      <c r="GF57" s="15" t="str">
        <f>IF('Raw Data'!FT37="","",'Raw Data'!FT37)</f>
        <v/>
      </c>
      <c r="GG57" s="15" t="str">
        <f>IF('Raw Data'!FU37="","",'Raw Data'!FU37)</f>
        <v/>
      </c>
      <c r="GH57" s="15" t="str">
        <f>IF('Raw Data'!FV37="","",'Raw Data'!FV37)</f>
        <v/>
      </c>
      <c r="GI57" s="15" t="str">
        <f>IF('Raw Data'!FW37="","",'Raw Data'!FW37)</f>
        <v/>
      </c>
      <c r="GJ57" s="15" t="str">
        <f>IF('Raw Data'!FX37="","",'Raw Data'!FX37)</f>
        <v/>
      </c>
      <c r="GK57" s="15" t="str">
        <f>IF('Raw Data'!FY37="","",'Raw Data'!FY37)</f>
        <v/>
      </c>
      <c r="GL57" s="15" t="str">
        <f>IF('Raw Data'!FZ37="","",'Raw Data'!FZ37)</f>
        <v/>
      </c>
      <c r="GM57" s="15" t="str">
        <f>IF('Raw Data'!GA37="","",'Raw Data'!GA37)</f>
        <v>ensemble</v>
      </c>
      <c r="GN57" s="15" t="str">
        <f>IF('Raw Data'!GB37="","",'Raw Data'!GB37)</f>
        <v>majorite</v>
      </c>
      <c r="GO57" s="15" t="str">
        <f>IF('Raw Data'!GC37="","",'Raw Data'!GC37)</f>
        <v>Services_de_sante Acces_aux_doc Suivi_judiciaire</v>
      </c>
      <c r="GP57" s="15" t="str">
        <f>IF('Raw Data'!GD37="","",'Raw Data'!GD37)</f>
        <v>0</v>
      </c>
      <c r="GQ57" s="15" t="str">
        <f>IF('Raw Data'!GE37="","",'Raw Data'!GE37)</f>
        <v>0</v>
      </c>
      <c r="GR57" s="15" t="str">
        <f>IF('Raw Data'!GF37="","",'Raw Data'!GF37)</f>
        <v>0</v>
      </c>
      <c r="GS57" s="15" t="str">
        <f>IF('Raw Data'!GG37="","",'Raw Data'!GG37)</f>
        <v>1</v>
      </c>
      <c r="GT57" s="15" t="str">
        <f>IF('Raw Data'!GH37="","",'Raw Data'!GH37)</f>
        <v>1</v>
      </c>
      <c r="GU57" s="15" t="str">
        <f>IF('Raw Data'!GI37="","",'Raw Data'!GI37)</f>
        <v>1</v>
      </c>
      <c r="GV57" s="15" t="str">
        <f>IF('Raw Data'!GJ37="","",'Raw Data'!GJ37)</f>
        <v>0</v>
      </c>
      <c r="GW57" s="15" t="str">
        <f>IF('Raw Data'!GK37="","",'Raw Data'!GK37)</f>
        <v>0</v>
      </c>
      <c r="GX57" s="15" t="str">
        <f>IF('Raw Data'!GL37="","",'Raw Data'!GL37)</f>
        <v>0</v>
      </c>
      <c r="GY57" s="15" t="str">
        <f>IF('Raw Data'!GM37="","",'Raw Data'!GM37)</f>
        <v/>
      </c>
      <c r="GZ57" s="15" t="str">
        <f>IF('Raw Data'!GN37="","",'Raw Data'!GN37)</f>
        <v>oui_majorite</v>
      </c>
      <c r="HA57" s="15" t="str">
        <f>IF('Raw Data'!GO37="","",'Raw Data'!GO37)</f>
        <v>oui_majorite</v>
      </c>
      <c r="HB57" s="15" t="str">
        <f>IF('Raw Data'!GP37="","",'Raw Data'!GP37)</f>
        <v>amelioration_futur repond_besoins_pop permet_obtenir_conseils</v>
      </c>
      <c r="HC57" s="15" t="str">
        <f>IF('Raw Data'!GQ37="","",'Raw Data'!GQ37)</f>
        <v>1</v>
      </c>
      <c r="HD57" s="15" t="str">
        <f>IF('Raw Data'!GR37="","",'Raw Data'!GR37)</f>
        <v>1</v>
      </c>
      <c r="HE57" s="15" t="str">
        <f>IF('Raw Data'!GS37="","",'Raw Data'!GS37)</f>
        <v>1</v>
      </c>
      <c r="HF57" s="15" t="str">
        <f>IF('Raw Data'!GT37="","",'Raw Data'!GT37)</f>
        <v>0</v>
      </c>
      <c r="HG57" s="15" t="str">
        <f>IF('Raw Data'!GU37="","",'Raw Data'!GU37)</f>
        <v>0</v>
      </c>
      <c r="HH57" s="15" t="str">
        <f>IF('Raw Data'!GV37="","",'Raw Data'!GV37)</f>
        <v>0</v>
      </c>
      <c r="HI57" s="15" t="str">
        <f>IF('Raw Data'!GW37="","",'Raw Data'!GW37)</f>
        <v>0</v>
      </c>
      <c r="HJ57" s="15" t="str">
        <f>IF('Raw Data'!GX37="","",'Raw Data'!GX37)</f>
        <v>0</v>
      </c>
      <c r="HK57" s="15" t="str">
        <f>IF('Raw Data'!GY37="","",'Raw Data'!GY37)</f>
        <v/>
      </c>
      <c r="HL57" s="15" t="str">
        <f>IF('Raw Data'!GZ37="","",'Raw Data'!GZ37)</f>
        <v>ne_contribue_pas ne_repond_pas</v>
      </c>
      <c r="HM57" s="15" t="str">
        <f>IF('Raw Data'!HA37="","",'Raw Data'!HA37)</f>
        <v>1</v>
      </c>
      <c r="HN57" s="15" t="str">
        <f>IF('Raw Data'!HB37="","",'Raw Data'!HB37)</f>
        <v>1</v>
      </c>
      <c r="HO57" s="15" t="str">
        <f>IF('Raw Data'!HC37="","",'Raw Data'!HC37)</f>
        <v>0</v>
      </c>
      <c r="HP57" s="15" t="str">
        <f>IF('Raw Data'!HD37="","",'Raw Data'!HD37)</f>
        <v>0</v>
      </c>
      <c r="HQ57" s="15" t="str">
        <f>IF('Raw Data'!HE37="","",'Raw Data'!HE37)</f>
        <v>0</v>
      </c>
      <c r="HR57" s="15" t="str">
        <f>IF('Raw Data'!HF37="","",'Raw Data'!HF37)</f>
        <v>0</v>
      </c>
      <c r="HS57" s="15" t="str">
        <f>IF('Raw Data'!HG37="","",'Raw Data'!HG37)</f>
        <v/>
      </c>
      <c r="HT57" s="15" t="str">
        <f>IF('Raw Data'!HH37="","",'Raw Data'!HH37)</f>
        <v/>
      </c>
      <c r="HU57" s="15" t="str">
        <f>IF('Raw Data'!HI37="","",'Raw Data'!HI37)</f>
        <v>oui_ensemble</v>
      </c>
      <c r="HV57" s="15" t="str">
        <f>IF('Raw Data'!HJ37="","",'Raw Data'!HJ37)</f>
        <v>autorite_locale_leaders ong_locale</v>
      </c>
      <c r="HW57" s="15" t="str">
        <f>IF('Raw Data'!HK37="","",'Raw Data'!HK37)</f>
        <v>0</v>
      </c>
      <c r="HX57" s="15" t="str">
        <f>IF('Raw Data'!HL37="","",'Raw Data'!HL37)</f>
        <v>0</v>
      </c>
      <c r="HY57" s="15" t="str">
        <f>IF('Raw Data'!HM37="","",'Raw Data'!HM37)</f>
        <v>1</v>
      </c>
      <c r="HZ57" s="15" t="str">
        <f>IF('Raw Data'!HN37="","",'Raw Data'!HN37)</f>
        <v>0</v>
      </c>
      <c r="IA57" s="15" t="str">
        <f>IF('Raw Data'!HO37="","",'Raw Data'!HO37)</f>
        <v>0</v>
      </c>
      <c r="IB57" s="15" t="str">
        <f>IF('Raw Data'!HP37="","",'Raw Data'!HP37)</f>
        <v>1</v>
      </c>
      <c r="IC57" s="15" t="str">
        <f>IF('Raw Data'!HQ37="","",'Raw Data'!HQ37)</f>
        <v>0</v>
      </c>
      <c r="ID57" s="15" t="str">
        <f>IF('Raw Data'!HR37="","",'Raw Data'!HR37)</f>
        <v>0</v>
      </c>
      <c r="IE57" s="15" t="str">
        <f>IF('Raw Data'!HS37="","",'Raw Data'!HS37)</f>
        <v>0</v>
      </c>
      <c r="IF57" s="15" t="str">
        <f>IF('Raw Data'!HT37="","",'Raw Data'!HT37)</f>
        <v>0</v>
      </c>
      <c r="IG57" s="15" t="str">
        <f>IF('Raw Data'!HU37="","",'Raw Data'!HU37)</f>
        <v/>
      </c>
      <c r="IH57" s="15" t="str">
        <f>IF('Raw Data'!HV37="","",'Raw Data'!HV37)</f>
        <v/>
      </c>
      <c r="II57" s="15" t="str">
        <f>IF('Raw Data'!HW37="","",'Raw Data'!HW37)</f>
        <v/>
      </c>
      <c r="IJ57" s="15" t="str">
        <f>IF('Raw Data'!HX37="","",'Raw Data'!HX37)</f>
        <v/>
      </c>
      <c r="IK57" s="15" t="str">
        <f>IF('Raw Data'!HY37="","",'Raw Data'!HY37)</f>
        <v/>
      </c>
      <c r="IL57" s="15" t="str">
        <f>IF('Raw Data'!HZ37="","",'Raw Data'!HZ37)</f>
        <v/>
      </c>
      <c r="IM57" s="15" t="str">
        <f>IF('Raw Data'!IA37="","",'Raw Data'!IA37)</f>
        <v/>
      </c>
      <c r="IN57" s="15" t="str">
        <f>IF('Raw Data'!IB37="","",'Raw Data'!IB37)</f>
        <v/>
      </c>
      <c r="IO57" s="15" t="str">
        <f>IF('Raw Data'!IC37="","",'Raw Data'!IC37)</f>
        <v/>
      </c>
      <c r="IP57" s="15" t="str">
        <f>IF('Raw Data'!ID37="","",'Raw Data'!ID37)</f>
        <v/>
      </c>
      <c r="IQ57" s="15" t="str">
        <f>IF('Raw Data'!IE37="","",'Raw Data'!IE37)</f>
        <v/>
      </c>
      <c r="IR57" s="15" t="str">
        <f>IF('Raw Data'!IF37="","",'Raw Data'!IF37)</f>
        <v/>
      </c>
      <c r="IS57" s="15" t="str">
        <f>IF('Raw Data'!IG37="","",'Raw Data'!IG37)</f>
        <v/>
      </c>
      <c r="IT57" s="15" t="str">
        <f>IF('Raw Data'!IH37="","",'Raw Data'!IH37)</f>
        <v/>
      </c>
      <c r="IU57" s="15" t="str">
        <f>IF('Raw Data'!II37="","",'Raw Data'!II37)</f>
        <v/>
      </c>
      <c r="IV57" s="15" t="str">
        <f>IF('Raw Data'!IJ37="","",'Raw Data'!IJ37)</f>
        <v/>
      </c>
      <c r="IW57" s="15" t="str">
        <f>IF('Raw Data'!IK37="","",'Raw Data'!IK37)</f>
        <v/>
      </c>
      <c r="IX57" s="15" t="str">
        <f>IF('Raw Data'!IL37="","",'Raw Data'!IL37)</f>
        <v/>
      </c>
      <c r="IY57" s="15" t="str">
        <f>IF('Raw Data'!IM37="","",'Raw Data'!IM37)</f>
        <v/>
      </c>
      <c r="IZ57" s="15" t="str">
        <f>IF('Raw Data'!IN37="","",'Raw Data'!IN37)</f>
        <v>3</v>
      </c>
      <c r="JA57" s="15" t="str">
        <f>IF('Raw Data'!IO37="","",'Raw Data'!IO37)</f>
        <v>Services_medicaux acces_docs service_judiciaire</v>
      </c>
      <c r="JB57" s="15" t="str">
        <f>IF('Raw Data'!IP37="","",'Raw Data'!IP37)</f>
        <v>0</v>
      </c>
      <c r="JC57" s="15" t="str">
        <f>IF('Raw Data'!IQ37="","",'Raw Data'!IQ37)</f>
        <v>1</v>
      </c>
      <c r="JD57" s="15" t="str">
        <f>IF('Raw Data'!IR37="","",'Raw Data'!IR37)</f>
        <v>0</v>
      </c>
      <c r="JE57" s="15" t="str">
        <f>IF('Raw Data'!IS37="","",'Raw Data'!IS37)</f>
        <v>0</v>
      </c>
      <c r="JF57" s="15" t="str">
        <f>IF('Raw Data'!IT37="","",'Raw Data'!IT37)</f>
        <v>1</v>
      </c>
      <c r="JG57" s="15" t="str">
        <f>IF('Raw Data'!IU37="","",'Raw Data'!IU37)</f>
        <v>1</v>
      </c>
      <c r="JH57" s="15" t="str">
        <f>IF('Raw Data'!IV37="","",'Raw Data'!IV37)</f>
        <v>0</v>
      </c>
      <c r="JI57" s="15" t="str">
        <f>IF('Raw Data'!IW37="","",'Raw Data'!IW37)</f>
        <v>0</v>
      </c>
      <c r="JJ57" s="15" t="str">
        <f>IF('Raw Data'!IX37="","",'Raw Data'!IX37)</f>
        <v>0</v>
      </c>
      <c r="JK57" s="15" t="str">
        <f>IF('Raw Data'!IY37="","",'Raw Data'!IY37)</f>
        <v>0</v>
      </c>
      <c r="JL57" s="15" t="str">
        <f>IF('Raw Data'!IZ37="","",'Raw Data'!IZ37)</f>
        <v/>
      </c>
      <c r="JM57" s="15" t="str">
        <f>IF('Raw Data'!JA37="","",'Raw Data'!JA37)</f>
        <v>reorientation signalement</v>
      </c>
      <c r="JN57" s="15" t="str">
        <f>IF('Raw Data'!JB37="","",'Raw Data'!JB37)</f>
        <v>0</v>
      </c>
      <c r="JO57" s="15" t="str">
        <f>IF('Raw Data'!JC37="","",'Raw Data'!JC37)</f>
        <v>1</v>
      </c>
      <c r="JP57" s="15" t="str">
        <f>IF('Raw Data'!JD37="","",'Raw Data'!JD37)</f>
        <v>1</v>
      </c>
      <c r="JQ57" s="15" t="str">
        <f>IF('Raw Data'!JE37="","",'Raw Data'!JE37)</f>
        <v>0</v>
      </c>
      <c r="JR57" s="15" t="str">
        <f>IF('Raw Data'!JF37="","",'Raw Data'!JF37)</f>
        <v>0</v>
      </c>
      <c r="JS57" s="15" t="str">
        <f>IF('Raw Data'!JG37="","",'Raw Data'!JG37)</f>
        <v>0</v>
      </c>
      <c r="JT57" s="15" t="str">
        <f>IF('Raw Data'!JH37="","",'Raw Data'!JH37)</f>
        <v/>
      </c>
      <c r="JU57" s="15" t="str">
        <f>IF('Raw Data'!JI37="","",'Raw Data'!JI37)</f>
        <v/>
      </c>
      <c r="JV57" s="15" t="str">
        <f>IF('Raw Data'!JJ37="","",'Raw Data'!JJ37)</f>
        <v/>
      </c>
      <c r="JW57" s="15" t="str">
        <f>IF('Raw Data'!JK37="","",'Raw Data'!JK37)</f>
        <v/>
      </c>
      <c r="JX57" s="15" t="str">
        <f>IF('Raw Data'!JL37="","",'Raw Data'!JL37)</f>
        <v/>
      </c>
      <c r="JY57" s="15" t="str">
        <f>IF('Raw Data'!JM37="","",'Raw Data'!JM37)</f>
        <v/>
      </c>
      <c r="JZ57" s="15" t="str">
        <f>IF('Raw Data'!JN37="","",'Raw Data'!JN37)</f>
        <v/>
      </c>
      <c r="KA57" s="15" t="str">
        <f>IF('Raw Data'!JO37="","",'Raw Data'!JO37)</f>
        <v/>
      </c>
      <c r="KB57" s="15" t="str">
        <f>IF('Raw Data'!JP37="","",'Raw Data'!JP37)</f>
        <v/>
      </c>
      <c r="KC57" s="15" t="str">
        <f>IF('Raw Data'!JQ37="","",'Raw Data'!JQ37)</f>
        <v/>
      </c>
      <c r="KD57" s="15" t="str">
        <f>IF('Raw Data'!JR37="","",'Raw Data'!JR37)</f>
        <v/>
      </c>
      <c r="KE57" s="15" t="str">
        <f>IF('Raw Data'!JS37="","",'Raw Data'!JS37)</f>
        <v/>
      </c>
      <c r="KF57" s="15" t="str">
        <f>IF('Raw Data'!JT37="","",'Raw Data'!JT37)</f>
        <v>medical point_ecoute juridique</v>
      </c>
      <c r="KG57" s="15" t="str">
        <f>IF('Raw Data'!JU37="","",'Raw Data'!JU37)</f>
        <v>1</v>
      </c>
      <c r="KH57" s="15" t="str">
        <f>IF('Raw Data'!JV37="","",'Raw Data'!JV37)</f>
        <v>0</v>
      </c>
      <c r="KI57" s="15" t="str">
        <f>IF('Raw Data'!JW37="","",'Raw Data'!JW37)</f>
        <v>1</v>
      </c>
      <c r="KJ57" s="15" t="str">
        <f>IF('Raw Data'!JX37="","",'Raw Data'!JX37)</f>
        <v>1</v>
      </c>
      <c r="KK57" s="15" t="str">
        <f>IF('Raw Data'!JY37="","",'Raw Data'!JY37)</f>
        <v>0</v>
      </c>
      <c r="KL57" s="15" t="str">
        <f>IF('Raw Data'!JZ37="","",'Raw Data'!JZ37)</f>
        <v>0</v>
      </c>
      <c r="KM57" s="15" t="str">
        <f>IF('Raw Data'!KA37="","",'Raw Data'!KA37)</f>
        <v>0</v>
      </c>
      <c r="KN57" s="15" t="str">
        <f>IF('Raw Data'!KB37="","",'Raw Data'!KB37)</f>
        <v>0</v>
      </c>
      <c r="KO57" s="15" t="str">
        <f>IF('Raw Data'!KC37="","",'Raw Data'!KC37)</f>
        <v>0</v>
      </c>
      <c r="KP57" s="15" t="str">
        <f>IF('Raw Data'!KD37="","",'Raw Data'!KD37)</f>
        <v/>
      </c>
      <c r="KQ57" s="15" t="str">
        <f>IF('Raw Data'!KE37="","",'Raw Data'!KE37)</f>
        <v/>
      </c>
      <c r="KR57" s="15" t="str">
        <f>IF('Raw Data'!KF37="","",'Raw Data'!KF37)</f>
        <v>oui</v>
      </c>
      <c r="KS57" s="15" t="str">
        <f>IF('Raw Data'!KG37="","",'Raw Data'!KG37)</f>
        <v>manque_moyens</v>
      </c>
      <c r="KT57" s="15" t="str">
        <f>IF('Raw Data'!KH37="","",'Raw Data'!KH37)</f>
        <v>1</v>
      </c>
      <c r="KU57" s="15" t="str">
        <f>IF('Raw Data'!KI37="","",'Raw Data'!KI37)</f>
        <v>0</v>
      </c>
      <c r="KV57" s="15" t="str">
        <f>IF('Raw Data'!KJ37="","",'Raw Data'!KJ37)</f>
        <v>0</v>
      </c>
      <c r="KW57" s="15" t="str">
        <f>IF('Raw Data'!KK37="","",'Raw Data'!KK37)</f>
        <v>0</v>
      </c>
      <c r="KX57" s="15" t="str">
        <f>IF('Raw Data'!KL37="","",'Raw Data'!KL37)</f>
        <v>0</v>
      </c>
      <c r="KY57" s="15" t="str">
        <f>IF('Raw Data'!KM37="","",'Raw Data'!KM37)</f>
        <v>0</v>
      </c>
      <c r="KZ57" s="15" t="str">
        <f>IF('Raw Data'!KN37="","",'Raw Data'!KN37)</f>
        <v>0</v>
      </c>
      <c r="LA57" s="15" t="str">
        <f>IF('Raw Data'!KO37="","",'Raw Data'!KO37)</f>
        <v>0</v>
      </c>
      <c r="LB57" s="15" t="str">
        <f>IF('Raw Data'!KP37="","",'Raw Data'!KP37)</f>
        <v>0</v>
      </c>
      <c r="LC57" s="15" t="str">
        <f>IF('Raw Data'!KQ37="","",'Raw Data'!KQ37)</f>
        <v>0</v>
      </c>
      <c r="LD57" s="15" t="str">
        <f>IF('Raw Data'!KR37="","",'Raw Data'!KR37)</f>
        <v>0</v>
      </c>
      <c r="LE57" s="15" t="str">
        <f>IF('Raw Data'!KS37="","",'Raw Data'!KS37)</f>
        <v/>
      </c>
      <c r="LF57" s="15" t="str">
        <f>IF('Raw Data'!KT37="","",'Raw Data'!KT37)</f>
        <v/>
      </c>
      <c r="LG57" s="15" t="str">
        <f>IF('Raw Data'!KU37="","",'Raw Data'!KU37)</f>
        <v/>
      </c>
      <c r="LH57" s="15" t="str">
        <f>IF('Raw Data'!KV37="","",'Raw Data'!KV37)</f>
        <v/>
      </c>
      <c r="LI57" s="15" t="str">
        <f>IF('Raw Data'!KW37="","",'Raw Data'!KW37)</f>
        <v/>
      </c>
      <c r="LJ57" s="15" t="str">
        <f>IF('Raw Data'!KX37="","",'Raw Data'!KX37)</f>
        <v/>
      </c>
      <c r="LK57" s="15" t="str">
        <f>IF('Raw Data'!KY37="","",'Raw Data'!KY37)</f>
        <v/>
      </c>
      <c r="LL57" s="15" t="str">
        <f>IF('Raw Data'!KZ37="","",'Raw Data'!KZ37)</f>
        <v/>
      </c>
      <c r="LM57" s="15" t="str">
        <f>IF('Raw Data'!LA37="","",'Raw Data'!LA37)</f>
        <v/>
      </c>
      <c r="LN57" s="15" t="str">
        <f>IF('Raw Data'!LB37="","",'Raw Data'!LB37)</f>
        <v>non</v>
      </c>
      <c r="LO57" s="15" t="str">
        <f>IF('Raw Data'!LC37="","",'Raw Data'!LC37)</f>
        <v/>
      </c>
      <c r="LP57" s="15" t="str">
        <f>IF('Raw Data'!LD37="","",'Raw Data'!LD37)</f>
        <v/>
      </c>
      <c r="LQ57" s="15" t="str">
        <f>IF('Raw Data'!LE37="","",'Raw Data'!LE37)</f>
        <v/>
      </c>
      <c r="LR57" s="15" t="str">
        <f>IF('Raw Data'!LF37="","",'Raw Data'!LF37)</f>
        <v/>
      </c>
      <c r="LS57" s="15" t="str">
        <f>IF('Raw Data'!LG37="","",'Raw Data'!LG37)</f>
        <v/>
      </c>
      <c r="LT57" s="15" t="str">
        <f>IF('Raw Data'!LH37="","",'Raw Data'!LH37)</f>
        <v/>
      </c>
      <c r="LU57" s="15" t="str">
        <f>IF('Raw Data'!LI37="","",'Raw Data'!LI37)</f>
        <v/>
      </c>
      <c r="LV57" s="15" t="str">
        <f>IF('Raw Data'!LJ37="","",'Raw Data'!LJ37)</f>
        <v/>
      </c>
      <c r="LW57" s="15" t="str">
        <f>IF('Raw Data'!LK37="","",'Raw Data'!LK37)</f>
        <v/>
      </c>
      <c r="LX57" s="15" t="str">
        <f>IF('Raw Data'!LL37="","",'Raw Data'!LL37)</f>
        <v/>
      </c>
      <c r="LY57" s="15" t="str">
        <f>IF('Raw Data'!LM37="","",'Raw Data'!LM37)</f>
        <v/>
      </c>
      <c r="LZ57" s="15" t="str">
        <f>IF('Raw Data'!LN37="","",'Raw Data'!LN37)</f>
        <v/>
      </c>
      <c r="MA57" s="15" t="str">
        <f>IF('Raw Data'!LO37="","",'Raw Data'!LO37)</f>
        <v/>
      </c>
      <c r="MB57" s="15" t="str">
        <f>IF('Raw Data'!LP37="","",'Raw Data'!LP37)</f>
        <v>oui</v>
      </c>
      <c r="MC57" s="15" t="str">
        <f>IF('Raw Data'!LQ37="","",'Raw Data'!LQ37)</f>
        <v/>
      </c>
      <c r="MD57" s="31"/>
      <c r="ME57" s="15">
        <f>IF('Raw Data'!LS37="","",'Raw Data'!LS37)</f>
        <v>169457767</v>
      </c>
      <c r="MF57" s="15" t="str">
        <f>IF('Raw Data'!LT37="","",'Raw Data'!LT37)</f>
        <v>b93e9e4f-6440-43a3-b03f-7c660be9549a</v>
      </c>
      <c r="MG57" s="15" t="str">
        <f>IF('Raw Data'!LU37="","",'Raw Data'!LU37)</f>
        <v>2021-04-03T14:04:01</v>
      </c>
      <c r="MH57" s="15" t="str">
        <f>IF('Raw Data'!LV37="","",'Raw Data'!LV37)</f>
        <v/>
      </c>
      <c r="MI57" s="15" t="str">
        <f>IF('Raw Data'!LW37="","",'Raw Data'!LW37)</f>
        <v>[]</v>
      </c>
      <c r="MJ57" s="15" t="str">
        <f>IF('Raw Data'!LX37="","",'Raw Data'!LX37)</f>
        <v>submitted_via_web</v>
      </c>
      <c r="MK57" s="15" t="str">
        <f>IF('Raw Data'!LY37="","",'Raw Data'!LY37)</f>
        <v>reach_niger</v>
      </c>
      <c r="ML57" s="15" t="str">
        <f>IF('Raw Data'!LZ37="","",'Raw Data'!LZ37)</f>
        <v/>
      </c>
      <c r="MM57" s="15">
        <f>IF('Raw Data'!MA37="","",'Raw Data'!MA37)</f>
        <v>38</v>
      </c>
    </row>
    <row r="58" spans="1:351" x14ac:dyDescent="0.3">
      <c r="A58" s="26" t="str">
        <f t="shared" si="4"/>
        <v>542d43a4-5e9b-4525-bfc7-6147f6b16cee</v>
      </c>
      <c r="B58" s="26" t="str">
        <f t="shared" si="5"/>
        <v>tera</v>
      </c>
      <c r="C58" s="26" t="str">
        <f t="shared" si="6"/>
        <v>L</v>
      </c>
      <c r="D58" s="14" t="str">
        <f>IF('Raw Data'!A30="","",'Raw Data'!A30)</f>
        <v>2021-04-01T09:27:46.077+01:00</v>
      </c>
      <c r="E58" s="14" t="str">
        <f>IF('Raw Data'!B30="","",'Raw Data'!B30)</f>
        <v>2021-04-01T10:08:27.449+01:00</v>
      </c>
      <c r="F58" s="30">
        <v>44287.394282407404</v>
      </c>
      <c r="G58" s="30">
        <v>44287.422534722224</v>
      </c>
      <c r="H58" s="29">
        <f>VLOOKUP(A58,Audit[#All],2,FALSE)</f>
        <v>40.69</v>
      </c>
      <c r="I58" s="29">
        <f>VLOOKUP(A58,Audit[#All],3,FALSE)</f>
        <v>27.6</v>
      </c>
      <c r="J58" s="29">
        <f>VLOOKUP(A58,Audit[#All],4,FALSE)</f>
        <v>23.08</v>
      </c>
      <c r="K58" s="29">
        <f>VLOOKUP(A58,nb_questions[#All],2,FALSE)</f>
        <v>84</v>
      </c>
      <c r="L58" s="29">
        <f t="shared" si="7"/>
        <v>171</v>
      </c>
      <c r="M58" s="14" t="str">
        <f>IF('Raw Data'!C30="","",'Raw Data'!C30)</f>
        <v>2021-04-01</v>
      </c>
      <c r="N58" s="14" t="str">
        <f>IF('Raw Data'!D30="","",'Raw Data'!D30)</f>
        <v/>
      </c>
      <c r="O58" s="14" t="str">
        <f>IF('Raw Data'!E30="","",'Raw Data'!E30)</f>
        <v/>
      </c>
      <c r="P58" s="29" t="str">
        <f>VLOOKUP(A58,code_enqueteurs[#All],3,FALSE)</f>
        <v>L</v>
      </c>
      <c r="Q58" s="29" t="s">
        <v>1647</v>
      </c>
      <c r="R58" s="14" t="str">
        <f>IF('Raw Data'!F30="","",'Raw Data'!F30)</f>
        <v>Homme</v>
      </c>
      <c r="S58" s="15" t="str">
        <f>IF('Raw Data'!G30="","",'Raw Data'!G30)</f>
        <v>tera</v>
      </c>
      <c r="T58" s="15" t="str">
        <f>IF('Raw Data'!H30="","",'Raw Data'!H30)</f>
        <v>tera</v>
      </c>
      <c r="U58" s="15" t="str">
        <f>IF('Raw Data'!I30="","",'Raw Data'!I30)</f>
        <v>tera</v>
      </c>
      <c r="V58" s="15" t="str">
        <f>IF('Raw Data'!J30="","",'Raw Data'!J30)</f>
        <v/>
      </c>
      <c r="W58" s="15" t="str">
        <f>IF('Raw Data'!K30="","",'Raw Data'!K30)</f>
        <v/>
      </c>
      <c r="X58" s="15" t="str">
        <f>IF('Raw Data'!L30="","",'Raw Data'!L30)</f>
        <v/>
      </c>
      <c r="Y58" s="15" t="str">
        <f>IF('Raw Data'!M30="","",'Raw Data'!M30)</f>
        <v/>
      </c>
      <c r="Z58" s="15" t="str">
        <f>IF('Raw Data'!N30="","",'Raw Data'!N30)</f>
        <v/>
      </c>
      <c r="AA58" s="15" t="str">
        <f>IF('Raw Data'!O30="","",'Raw Data'!O30)</f>
        <v/>
      </c>
      <c r="AB58" s="15" t="str">
        <f>IF('Raw Data'!P30="","",'Raw Data'!P30)</f>
        <v/>
      </c>
      <c r="AC58" s="15" t="str">
        <f>IF('Raw Data'!Q30="","",'Raw Data'!Q30)</f>
        <v/>
      </c>
      <c r="AD58" s="15" t="str">
        <f>IF('Raw Data'!R30="","",'Raw Data'!R30)</f>
        <v>Homme</v>
      </c>
      <c r="AE58" s="15" t="str">
        <f>IF('Raw Data'!S30="","",'Raw Data'!S30)</f>
        <v>29</v>
      </c>
      <c r="AF58" s="31" t="s">
        <v>503</v>
      </c>
      <c r="AG58" s="31"/>
      <c r="AH58" s="15" t="str">
        <f>IF('Raw Data'!V30="","",'Raw Data'!V30)</f>
        <v/>
      </c>
      <c r="AI58" s="15" t="str">
        <f>IF('Raw Data'!W30="","",'Raw Data'!W30)</f>
        <v/>
      </c>
      <c r="AJ58" s="15" t="str">
        <f>IF('Raw Data'!X30="","",'Raw Data'!X30)</f>
        <v/>
      </c>
      <c r="AK58" s="15" t="str">
        <f>IF('Raw Data'!Y30="","",'Raw Data'!Y30)</f>
        <v/>
      </c>
      <c r="AL58" s="15" t="str">
        <f>IF('Raw Data'!Z30="","",'Raw Data'!Z30)</f>
        <v/>
      </c>
      <c r="AM58" s="15" t="str">
        <f>IF('Raw Data'!AA30="","",'Raw Data'!AA30)</f>
        <v/>
      </c>
      <c r="AN58" s="15" t="str">
        <f>IF('Raw Data'!AB30="","",'Raw Data'!AB30)</f>
        <v/>
      </c>
      <c r="AO58" s="15" t="str">
        <f>IF('Raw Data'!AC30="","",'Raw Data'!AC30)</f>
        <v/>
      </c>
      <c r="AP58" s="15" t="str">
        <f>IF('Raw Data'!AD30="","",'Raw Data'!AD30)</f>
        <v/>
      </c>
      <c r="AQ58" s="15" t="str">
        <f>IF('Raw Data'!AE30="","",'Raw Data'!AE30)</f>
        <v/>
      </c>
      <c r="AR58" s="15" t="str">
        <f>IF('Raw Data'!AF30="","",'Raw Data'!AF30)</f>
        <v/>
      </c>
      <c r="AS58" s="15" t="str">
        <f>IF('Raw Data'!AG30="","",'Raw Data'!AG30)</f>
        <v>non</v>
      </c>
      <c r="AT58" s="15" t="str">
        <f>IF('Raw Data'!AH30="","",'Raw Data'!AH30)</f>
        <v/>
      </c>
      <c r="AU58" s="15" t="str">
        <f>IF('Raw Data'!AI30="","",'Raw Data'!AI30)</f>
        <v/>
      </c>
      <c r="AV58" s="15" t="str">
        <f>IF('Raw Data'!AJ30="","",'Raw Data'!AJ30)</f>
        <v/>
      </c>
      <c r="AW58" s="15" t="str">
        <f>IF('Raw Data'!AK30="","",'Raw Data'!AK30)</f>
        <v/>
      </c>
      <c r="AX58" s="15" t="str">
        <f>IF('Raw Data'!AL30="","",'Raw Data'!AL30)</f>
        <v/>
      </c>
      <c r="AY58" s="15" t="str">
        <f>IF('Raw Data'!AM30="","",'Raw Data'!AM30)</f>
        <v/>
      </c>
      <c r="AZ58" s="15" t="str">
        <f>IF('Raw Data'!AN30="","",'Raw Data'!AN30)</f>
        <v/>
      </c>
      <c r="BA58" s="15" t="str">
        <f>IF('Raw Data'!AO30="","",'Raw Data'!AO30)</f>
        <v/>
      </c>
      <c r="BB58" s="15" t="str">
        <f>IF('Raw Data'!AP30="","",'Raw Data'!AP30)</f>
        <v/>
      </c>
      <c r="BC58" s="15" t="str">
        <f>IF('Raw Data'!AQ30="","",'Raw Data'!AQ30)</f>
        <v/>
      </c>
      <c r="BD58" s="15" t="str">
        <f>IF('Raw Data'!AR30="","",'Raw Data'!AR30)</f>
        <v/>
      </c>
      <c r="BE58" s="15" t="str">
        <f>IF('Raw Data'!AS30="","",'Raw Data'!AS30)</f>
        <v/>
      </c>
      <c r="BF58" s="15" t="str">
        <f>IF('Raw Data'!AT30="","",'Raw Data'!AT30)</f>
        <v/>
      </c>
      <c r="BG58" s="15" t="str">
        <f>IF('Raw Data'!AU30="","",'Raw Data'!AU30)</f>
        <v/>
      </c>
      <c r="BH58" s="15" t="str">
        <f>IF('Raw Data'!AV30="","",'Raw Data'!AV30)</f>
        <v/>
      </c>
      <c r="BI58" s="15" t="str">
        <f>IF('Raw Data'!AW30="","",'Raw Data'!AW30)</f>
        <v/>
      </c>
      <c r="BJ58" s="15" t="str">
        <f>IF('Raw Data'!AX30="","",'Raw Data'!AX30)</f>
        <v/>
      </c>
      <c r="BK58" s="15" t="str">
        <f>IF('Raw Data'!AY30="","",'Raw Data'!AY30)</f>
        <v/>
      </c>
      <c r="BL58" s="15" t="str">
        <f>IF('Raw Data'!AZ30="","",'Raw Data'!AZ30)</f>
        <v/>
      </c>
      <c r="BM58" s="15" t="str">
        <f>IF('Raw Data'!BA30="","",'Raw Data'!BA30)</f>
        <v/>
      </c>
      <c r="BN58" s="15" t="str">
        <f>IF('Raw Data'!BB30="","",'Raw Data'!BB30)</f>
        <v/>
      </c>
      <c r="BO58" s="15" t="str">
        <f>IF('Raw Data'!BC30="","",'Raw Data'!BC30)</f>
        <v/>
      </c>
      <c r="BP58" s="15" t="str">
        <f>IF('Raw Data'!BD30="","",'Raw Data'!BD30)</f>
        <v/>
      </c>
      <c r="BQ58" s="15" t="str">
        <f>IF('Raw Data'!BE30="","",'Raw Data'!BE30)</f>
        <v/>
      </c>
      <c r="BR58" s="15" t="str">
        <f>IF('Raw Data'!BF30="","",'Raw Data'!BF30)</f>
        <v/>
      </c>
      <c r="BS58" s="15" t="str">
        <f>IF('Raw Data'!BG30="","",'Raw Data'!BG30)</f>
        <v/>
      </c>
      <c r="BT58" s="15" t="str">
        <f>IF('Raw Data'!BH30="","",'Raw Data'!BH30)</f>
        <v/>
      </c>
      <c r="BU58" s="15" t="str">
        <f>IF('Raw Data'!BI30="","",'Raw Data'!BI30)</f>
        <v/>
      </c>
      <c r="BV58" s="15" t="str">
        <f>IF('Raw Data'!BJ30="","",'Raw Data'!BJ30)</f>
        <v/>
      </c>
      <c r="BW58" s="15" t="str">
        <f>IF('Raw Data'!BK30="","",'Raw Data'!BK30)</f>
        <v/>
      </c>
      <c r="BX58" s="15" t="str">
        <f>IF('Raw Data'!BL30="","",'Raw Data'!BL30)</f>
        <v/>
      </c>
      <c r="BY58" s="15" t="str">
        <f>IF('Raw Data'!BM30="","",'Raw Data'!BM30)</f>
        <v/>
      </c>
      <c r="BZ58" s="15" t="str">
        <f>IF('Raw Data'!BN30="","",'Raw Data'!BN30)</f>
        <v/>
      </c>
      <c r="CA58" s="15" t="str">
        <f>IF('Raw Data'!BO30="","",'Raw Data'!BO30)</f>
        <v/>
      </c>
      <c r="CB58" s="15" t="str">
        <f>IF('Raw Data'!BP30="","",'Raw Data'!BP30)</f>
        <v/>
      </c>
      <c r="CC58" s="15" t="str">
        <f>IF('Raw Data'!BQ30="","",'Raw Data'!BQ30)</f>
        <v>non</v>
      </c>
      <c r="CD58" s="15" t="str">
        <f>IF('Raw Data'!BR30="","",'Raw Data'!BR30)</f>
        <v/>
      </c>
      <c r="CE58" s="15" t="str">
        <f>IF('Raw Data'!BS30="","",'Raw Data'!BS30)</f>
        <v/>
      </c>
      <c r="CF58" s="15" t="str">
        <f>IF('Raw Data'!BT30="","",'Raw Data'!BT30)</f>
        <v/>
      </c>
      <c r="CG58" s="15" t="str">
        <f>IF('Raw Data'!BU30="","",'Raw Data'!BU30)</f>
        <v/>
      </c>
      <c r="CH58" s="15" t="str">
        <f>IF('Raw Data'!BV30="","",'Raw Data'!BV30)</f>
        <v/>
      </c>
      <c r="CI58" s="15" t="str">
        <f>IF('Raw Data'!BW30="","",'Raw Data'!BW30)</f>
        <v/>
      </c>
      <c r="CJ58" s="15" t="str">
        <f>IF('Raw Data'!BX30="","",'Raw Data'!BX30)</f>
        <v/>
      </c>
      <c r="CK58" s="15" t="str">
        <f>IF('Raw Data'!BY30="","",'Raw Data'!BY30)</f>
        <v/>
      </c>
      <c r="CL58" s="15" t="str">
        <f>IF('Raw Data'!BZ30="","",'Raw Data'!BZ30)</f>
        <v/>
      </c>
      <c r="CM58" s="15" t="str">
        <f>IF('Raw Data'!CA30="","",'Raw Data'!CA30)</f>
        <v/>
      </c>
      <c r="CN58" s="15" t="str">
        <f>IF('Raw Data'!CB30="","",'Raw Data'!CB30)</f>
        <v/>
      </c>
      <c r="CO58" s="15" t="str">
        <f>IF('Raw Data'!CC30="","",'Raw Data'!CC30)</f>
        <v/>
      </c>
      <c r="CP58" s="15" t="str">
        <f>IF('Raw Data'!CD30="","",'Raw Data'!CD30)</f>
        <v/>
      </c>
      <c r="CQ58" s="15" t="str">
        <f>IF('Raw Data'!CE30="","",'Raw Data'!CE30)</f>
        <v/>
      </c>
      <c r="CR58" s="15" t="str">
        <f>IF('Raw Data'!CF30="","",'Raw Data'!CF30)</f>
        <v/>
      </c>
      <c r="CS58" s="15" t="str">
        <f>IF('Raw Data'!CG30="","",'Raw Data'!CG30)</f>
        <v/>
      </c>
      <c r="CT58" s="15" t="str">
        <f>IF('Raw Data'!CH30="","",'Raw Data'!CH30)</f>
        <v/>
      </c>
      <c r="CU58" s="15" t="str">
        <f>IF('Raw Data'!CI30="","",'Raw Data'!CI30)</f>
        <v/>
      </c>
      <c r="CV58" s="15" t="str">
        <f>IF('Raw Data'!CJ30="","",'Raw Data'!CJ30)</f>
        <v/>
      </c>
      <c r="CW58" s="15" t="str">
        <f>IF('Raw Data'!CK30="","",'Raw Data'!CK30)</f>
        <v/>
      </c>
      <c r="CX58" s="15" t="str">
        <f>IF('Raw Data'!CL30="","",'Raw Data'!CL30)</f>
        <v/>
      </c>
      <c r="CY58" s="15" t="str">
        <f>IF('Raw Data'!CM30="","",'Raw Data'!CM30)</f>
        <v/>
      </c>
      <c r="CZ58" s="15" t="str">
        <f>IF('Raw Data'!CN30="","",'Raw Data'!CN30)</f>
        <v/>
      </c>
      <c r="DA58" s="15" t="str">
        <f>IF('Raw Data'!CO30="","",'Raw Data'!CO30)</f>
        <v/>
      </c>
      <c r="DB58" s="15" t="str">
        <f>IF('Raw Data'!CP30="","",'Raw Data'!CP30)</f>
        <v/>
      </c>
      <c r="DC58" s="15" t="str">
        <f>IF('Raw Data'!CQ30="","",'Raw Data'!CQ30)</f>
        <v/>
      </c>
      <c r="DD58" s="15" t="str">
        <f>IF('Raw Data'!CR30="","",'Raw Data'!CR30)</f>
        <v/>
      </c>
      <c r="DE58" s="15" t="str">
        <f>IF('Raw Data'!CS30="","",'Raw Data'!CS30)</f>
        <v/>
      </c>
      <c r="DF58" s="15" t="str">
        <f>IF('Raw Data'!CT30="","",'Raw Data'!CT30)</f>
        <v/>
      </c>
      <c r="DG58" s="15" t="str">
        <f>IF('Raw Data'!CU30="","",'Raw Data'!CU30)</f>
        <v/>
      </c>
      <c r="DH58" s="15" t="str">
        <f>IF('Raw Data'!CV30="","",'Raw Data'!CV30)</f>
        <v/>
      </c>
      <c r="DI58" s="15" t="str">
        <f>IF('Raw Data'!CW30="","",'Raw Data'!CW30)</f>
        <v/>
      </c>
      <c r="DJ58" s="15" t="str">
        <f>IF('Raw Data'!CX30="","",'Raw Data'!CX30)</f>
        <v/>
      </c>
      <c r="DK58" s="15" t="str">
        <f>IF('Raw Data'!CY30="","",'Raw Data'!CY30)</f>
        <v/>
      </c>
      <c r="DL58" s="15" t="str">
        <f>IF('Raw Data'!CZ30="","",'Raw Data'!CZ30)</f>
        <v/>
      </c>
      <c r="DM58" s="15" t="str">
        <f>IF('Raw Data'!DA30="","",'Raw Data'!DA30)</f>
        <v/>
      </c>
      <c r="DN58" s="15" t="str">
        <f>IF('Raw Data'!DB30="","",'Raw Data'!DB30)</f>
        <v/>
      </c>
      <c r="DO58" s="15" t="str">
        <f>IF('Raw Data'!DC30="","",'Raw Data'!DC30)</f>
        <v/>
      </c>
      <c r="DP58" s="15" t="str">
        <f>IF('Raw Data'!DD30="","",'Raw Data'!DD30)</f>
        <v/>
      </c>
      <c r="DQ58" s="15" t="str">
        <f>IF('Raw Data'!DE30="","",'Raw Data'!DE30)</f>
        <v/>
      </c>
      <c r="DR58" s="15" t="str">
        <f>IF('Raw Data'!DF30="","",'Raw Data'!DF30)</f>
        <v/>
      </c>
      <c r="DS58" s="15" t="str">
        <f>IF('Raw Data'!DG30="","",'Raw Data'!DG30)</f>
        <v/>
      </c>
      <c r="DT58" s="15" t="str">
        <f>IF('Raw Data'!DH30="","",'Raw Data'!DH30)</f>
        <v/>
      </c>
      <c r="DU58" s="15" t="str">
        <f>IF('Raw Data'!DI30="","",'Raw Data'!DI30)</f>
        <v/>
      </c>
      <c r="DV58" s="15" t="str">
        <f>IF('Raw Data'!DJ30="","",'Raw Data'!DJ30)</f>
        <v/>
      </c>
      <c r="DW58" s="15" t="str">
        <f>IF('Raw Data'!DK30="","",'Raw Data'!DK30)</f>
        <v/>
      </c>
      <c r="DX58" s="15" t="str">
        <f>IF('Raw Data'!DL30="","",'Raw Data'!DL30)</f>
        <v/>
      </c>
      <c r="DY58" s="15" t="str">
        <f>IF('Raw Data'!DM30="","",'Raw Data'!DM30)</f>
        <v/>
      </c>
      <c r="DZ58" s="15" t="str">
        <f>IF('Raw Data'!DN30="","",'Raw Data'!DN30)</f>
        <v/>
      </c>
      <c r="EA58" s="15" t="str">
        <f>IF('Raw Data'!DO30="","",'Raw Data'!DO30)</f>
        <v/>
      </c>
      <c r="EB58" s="15" t="str">
        <f>IF('Raw Data'!DP30="","",'Raw Data'!DP30)</f>
        <v/>
      </c>
      <c r="EC58" s="15" t="str">
        <f>IF('Raw Data'!DQ30="","",'Raw Data'!DQ30)</f>
        <v/>
      </c>
      <c r="ED58" s="15" t="str">
        <f>IF('Raw Data'!DR30="","",'Raw Data'!DR30)</f>
        <v/>
      </c>
      <c r="EE58" s="15" t="str">
        <f>IF('Raw Data'!DS30="","",'Raw Data'!DS30)</f>
        <v/>
      </c>
      <c r="EF58" s="15" t="str">
        <f>IF('Raw Data'!DT30="","",'Raw Data'!DT30)</f>
        <v/>
      </c>
      <c r="EG58" s="15" t="str">
        <f>IF('Raw Data'!DU30="","",'Raw Data'!DU30)</f>
        <v/>
      </c>
      <c r="EH58" s="15" t="str">
        <f>IF('Raw Data'!DV30="","",'Raw Data'!DV30)</f>
        <v/>
      </c>
      <c r="EI58" s="15" t="str">
        <f>IF('Raw Data'!DW30="","",'Raw Data'!DW30)</f>
        <v/>
      </c>
      <c r="EJ58" s="15" t="str">
        <f>IF('Raw Data'!DX30="","",'Raw Data'!DX30)</f>
        <v/>
      </c>
      <c r="EK58" s="15" t="str">
        <f>IF('Raw Data'!DY30="","",'Raw Data'!DY30)</f>
        <v/>
      </c>
      <c r="EL58" s="15" t="str">
        <f>IF('Raw Data'!DZ30="","",'Raw Data'!DZ30)</f>
        <v>Soutien_psychosocial Integration_com_hote</v>
      </c>
      <c r="EM58" s="15" t="str">
        <f>IF('Raw Data'!EA30="","",'Raw Data'!EA30)</f>
        <v>0</v>
      </c>
      <c r="EN58" s="15" t="str">
        <f>IF('Raw Data'!EB30="","",'Raw Data'!EB30)</f>
        <v>1</v>
      </c>
      <c r="EO58" s="15" t="str">
        <f>IF('Raw Data'!EC30="","",'Raw Data'!EC30)</f>
        <v>0</v>
      </c>
      <c r="EP58" s="15" t="str">
        <f>IF('Raw Data'!ED30="","",'Raw Data'!ED30)</f>
        <v>0</v>
      </c>
      <c r="EQ58" s="15" t="str">
        <f>IF('Raw Data'!EE30="","",'Raw Data'!EE30)</f>
        <v>1</v>
      </c>
      <c r="ER58" s="15" t="str">
        <f>IF('Raw Data'!EF30="","",'Raw Data'!EF30)</f>
        <v>0</v>
      </c>
      <c r="ES58" s="15" t="str">
        <f>IF('Raw Data'!EG30="","",'Raw Data'!EG30)</f>
        <v>0</v>
      </c>
      <c r="ET58" s="15" t="str">
        <f>IF('Raw Data'!EH30="","",'Raw Data'!EH30)</f>
        <v>0</v>
      </c>
      <c r="EU58" s="15" t="str">
        <f>IF('Raw Data'!EI30="","",'Raw Data'!EI30)</f>
        <v>0</v>
      </c>
      <c r="EV58" s="15" t="str">
        <f>IF('Raw Data'!EJ30="","",'Raw Data'!EJ30)</f>
        <v/>
      </c>
      <c r="EW58" s="15" t="str">
        <f>IF('Raw Data'!EK30="","",'Raw Data'!EK30)</f>
        <v/>
      </c>
      <c r="EX58" s="15" t="str">
        <f>IF('Raw Data'!EL30="","",'Raw Data'!EL30)</f>
        <v>famille_accueil comite_protection comite_gestion_conflits</v>
      </c>
      <c r="EY58" s="15" t="str">
        <f>IF('Raw Data'!EM30="","",'Raw Data'!EM30)</f>
        <v>0</v>
      </c>
      <c r="EZ58" s="15" t="str">
        <f>IF('Raw Data'!EN30="","",'Raw Data'!EN30)</f>
        <v>1</v>
      </c>
      <c r="FA58" s="15" t="str">
        <f>IF('Raw Data'!EO30="","",'Raw Data'!EO30)</f>
        <v>1</v>
      </c>
      <c r="FB58" s="15" t="str">
        <f>IF('Raw Data'!EP30="","",'Raw Data'!EP30)</f>
        <v>0</v>
      </c>
      <c r="FC58" s="15" t="str">
        <f>IF('Raw Data'!EQ30="","",'Raw Data'!EQ30)</f>
        <v>0</v>
      </c>
      <c r="FD58" s="15" t="str">
        <f>IF('Raw Data'!ER30="","",'Raw Data'!ER30)</f>
        <v>1</v>
      </c>
      <c r="FE58" s="15" t="str">
        <f>IF('Raw Data'!ES30="","",'Raw Data'!ES30)</f>
        <v>0</v>
      </c>
      <c r="FF58" s="15" t="str">
        <f>IF('Raw Data'!ET30="","",'Raw Data'!ET30)</f>
        <v>0</v>
      </c>
      <c r="FG58" s="15" t="str">
        <f>IF('Raw Data'!EU30="","",'Raw Data'!EU30)</f>
        <v>0</v>
      </c>
      <c r="FH58" s="15" t="str">
        <f>IF('Raw Data'!EV30="","",'Raw Data'!EV30)</f>
        <v>0</v>
      </c>
      <c r="FI58" s="15" t="str">
        <f>IF('Raw Data'!EW30="","",'Raw Data'!EW30)</f>
        <v/>
      </c>
      <c r="FJ58" s="15" t="str">
        <f>IF('Raw Data'!EX30="","",'Raw Data'!EX30)</f>
        <v>oui</v>
      </c>
      <c r="FK58" s="15" t="str">
        <f>IF('Raw Data'!EY30="","",'Raw Data'!EY30)</f>
        <v>Radio_television Differents_comites_villageois Internet</v>
      </c>
      <c r="FL58" s="15" t="str">
        <f>IF('Raw Data'!EZ30="","",'Raw Data'!EZ30)</f>
        <v>1</v>
      </c>
      <c r="FM58" s="15" t="str">
        <f>IF('Raw Data'!FA30="","",'Raw Data'!FA30)</f>
        <v>0</v>
      </c>
      <c r="FN58" s="15" t="str">
        <f>IF('Raw Data'!FB30="","",'Raw Data'!FB30)</f>
        <v>1</v>
      </c>
      <c r="FO58" s="15" t="str">
        <f>IF('Raw Data'!FC30="","",'Raw Data'!FC30)</f>
        <v>0</v>
      </c>
      <c r="FP58" s="15" t="str">
        <f>IF('Raw Data'!FD30="","",'Raw Data'!FD30)</f>
        <v>0</v>
      </c>
      <c r="FQ58" s="15" t="str">
        <f>IF('Raw Data'!FE30="","",'Raw Data'!FE30)</f>
        <v>0</v>
      </c>
      <c r="FR58" s="15" t="str">
        <f>IF('Raw Data'!FF30="","",'Raw Data'!FF30)</f>
        <v>0</v>
      </c>
      <c r="FS58" s="15" t="str">
        <f>IF('Raw Data'!FG30="","",'Raw Data'!FG30)</f>
        <v>0</v>
      </c>
      <c r="FT58" s="15" t="str">
        <f>IF('Raw Data'!FH30="","",'Raw Data'!FH30)</f>
        <v>1</v>
      </c>
      <c r="FU58" s="15" t="str">
        <f>IF('Raw Data'!FI30="","",'Raw Data'!FI30)</f>
        <v>0</v>
      </c>
      <c r="FV58" s="15" t="str">
        <f>IF('Raw Data'!FJ30="","",'Raw Data'!FJ30)</f>
        <v>0</v>
      </c>
      <c r="FW58" s="15" t="str">
        <f>IF('Raw Data'!FK30="","",'Raw Data'!FK30)</f>
        <v>0</v>
      </c>
      <c r="FX58" s="15" t="str">
        <f>IF('Raw Data'!FL30="","",'Raw Data'!FL30)</f>
        <v>0</v>
      </c>
      <c r="FY58" s="15" t="str">
        <f>IF('Raw Data'!FM30="","",'Raw Data'!FM30)</f>
        <v>0</v>
      </c>
      <c r="FZ58" s="15" t="str">
        <f>IF('Raw Data'!FN30="","",'Raw Data'!FN30)</f>
        <v/>
      </c>
      <c r="GA58" s="15" t="str">
        <f>IF('Raw Data'!FO30="","",'Raw Data'!FO30)</f>
        <v>oui_majorite</v>
      </c>
      <c r="GB58" s="15" t="str">
        <f>IF('Raw Data'!FP30="","",'Raw Data'!FP30)</f>
        <v>oui_ensemble</v>
      </c>
      <c r="GC58" s="15" t="str">
        <f>IF('Raw Data'!FQ30="","",'Raw Data'!FQ30)</f>
        <v/>
      </c>
      <c r="GD58" s="15" t="str">
        <f>IF('Raw Data'!FR30="","",'Raw Data'!FR30)</f>
        <v/>
      </c>
      <c r="GE58" s="15" t="str">
        <f>IF('Raw Data'!FS30="","",'Raw Data'!FS30)</f>
        <v/>
      </c>
      <c r="GF58" s="15" t="str">
        <f>IF('Raw Data'!FT30="","",'Raw Data'!FT30)</f>
        <v/>
      </c>
      <c r="GG58" s="15" t="str">
        <f>IF('Raw Data'!FU30="","",'Raw Data'!FU30)</f>
        <v/>
      </c>
      <c r="GH58" s="15" t="str">
        <f>IF('Raw Data'!FV30="","",'Raw Data'!FV30)</f>
        <v/>
      </c>
      <c r="GI58" s="15" t="str">
        <f>IF('Raw Data'!FW30="","",'Raw Data'!FW30)</f>
        <v/>
      </c>
      <c r="GJ58" s="15" t="str">
        <f>IF('Raw Data'!FX30="","",'Raw Data'!FX30)</f>
        <v/>
      </c>
      <c r="GK58" s="15" t="str">
        <f>IF('Raw Data'!FY30="","",'Raw Data'!FY30)</f>
        <v/>
      </c>
      <c r="GL58" s="15" t="str">
        <f>IF('Raw Data'!FZ30="","",'Raw Data'!FZ30)</f>
        <v/>
      </c>
      <c r="GM58" s="15" t="str">
        <f>IF('Raw Data'!GA30="","",'Raw Data'!GA30)</f>
        <v>majorite</v>
      </c>
      <c r="GN58" s="15" t="str">
        <f>IF('Raw Data'!GB30="","",'Raw Data'!GB30)</f>
        <v>majorite</v>
      </c>
      <c r="GO58" s="15" t="str">
        <f>IF('Raw Data'!GC30="","",'Raw Data'!GC30)</f>
        <v>Appui_psychosocial Service_de_counseling Services_de_sante Acces_aux_doc Suivi_judiciaire</v>
      </c>
      <c r="GP58" s="15" t="str">
        <f>IF('Raw Data'!GD30="","",'Raw Data'!GD30)</f>
        <v>1</v>
      </c>
      <c r="GQ58" s="15" t="str">
        <f>IF('Raw Data'!GE30="","",'Raw Data'!GE30)</f>
        <v>0</v>
      </c>
      <c r="GR58" s="15" t="str">
        <f>IF('Raw Data'!GF30="","",'Raw Data'!GF30)</f>
        <v>1</v>
      </c>
      <c r="GS58" s="15" t="str">
        <f>IF('Raw Data'!GG30="","",'Raw Data'!GG30)</f>
        <v>1</v>
      </c>
      <c r="GT58" s="15" t="str">
        <f>IF('Raw Data'!GH30="","",'Raw Data'!GH30)</f>
        <v>1</v>
      </c>
      <c r="GU58" s="15" t="str">
        <f>IF('Raw Data'!GI30="","",'Raw Data'!GI30)</f>
        <v>1</v>
      </c>
      <c r="GV58" s="15" t="str">
        <f>IF('Raw Data'!GJ30="","",'Raw Data'!GJ30)</f>
        <v>0</v>
      </c>
      <c r="GW58" s="15" t="str">
        <f>IF('Raw Data'!GK30="","",'Raw Data'!GK30)</f>
        <v>0</v>
      </c>
      <c r="GX58" s="15" t="str">
        <f>IF('Raw Data'!GL30="","",'Raw Data'!GL30)</f>
        <v>0</v>
      </c>
      <c r="GY58" s="15" t="str">
        <f>IF('Raw Data'!GM30="","",'Raw Data'!GM30)</f>
        <v/>
      </c>
      <c r="GZ58" s="15" t="str">
        <f>IF('Raw Data'!GN30="","",'Raw Data'!GN30)</f>
        <v>oui_majorite</v>
      </c>
      <c r="HA58" s="15" t="str">
        <f>IF('Raw Data'!GO30="","",'Raw Data'!GO30)</f>
        <v>oui_majorite</v>
      </c>
      <c r="HB58" s="15" t="str">
        <f>IF('Raw Data'!GP30="","",'Raw Data'!GP30)</f>
        <v>amelioration_futur repond_besoins_pop permet_obtenir_conseils</v>
      </c>
      <c r="HC58" s="15" t="str">
        <f>IF('Raw Data'!GQ30="","",'Raw Data'!GQ30)</f>
        <v>1</v>
      </c>
      <c r="HD58" s="15" t="str">
        <f>IF('Raw Data'!GR30="","",'Raw Data'!GR30)</f>
        <v>1</v>
      </c>
      <c r="HE58" s="15" t="str">
        <f>IF('Raw Data'!GS30="","",'Raw Data'!GS30)</f>
        <v>1</v>
      </c>
      <c r="HF58" s="15" t="str">
        <f>IF('Raw Data'!GT30="","",'Raw Data'!GT30)</f>
        <v>0</v>
      </c>
      <c r="HG58" s="15" t="str">
        <f>IF('Raw Data'!GU30="","",'Raw Data'!GU30)</f>
        <v>0</v>
      </c>
      <c r="HH58" s="15" t="str">
        <f>IF('Raw Data'!GV30="","",'Raw Data'!GV30)</f>
        <v>0</v>
      </c>
      <c r="HI58" s="15" t="str">
        <f>IF('Raw Data'!GW30="","",'Raw Data'!GW30)</f>
        <v>0</v>
      </c>
      <c r="HJ58" s="15" t="str">
        <f>IF('Raw Data'!GX30="","",'Raw Data'!GX30)</f>
        <v>0</v>
      </c>
      <c r="HK58" s="15" t="str">
        <f>IF('Raw Data'!GY30="","",'Raw Data'!GY30)</f>
        <v/>
      </c>
      <c r="HL58" s="15" t="str">
        <f>IF('Raw Data'!GZ30="","",'Raw Data'!GZ30)</f>
        <v>Autre</v>
      </c>
      <c r="HM58" s="15" t="str">
        <f>IF('Raw Data'!HA30="","",'Raw Data'!HA30)</f>
        <v>0</v>
      </c>
      <c r="HN58" s="15" t="str">
        <f>IF('Raw Data'!HB30="","",'Raw Data'!HB30)</f>
        <v>0</v>
      </c>
      <c r="HO58" s="15" t="str">
        <f>IF('Raw Data'!HC30="","",'Raw Data'!HC30)</f>
        <v>0</v>
      </c>
      <c r="HP58" s="15" t="str">
        <f>IF('Raw Data'!HD30="","",'Raw Data'!HD30)</f>
        <v>0</v>
      </c>
      <c r="HQ58" s="15" t="str">
        <f>IF('Raw Data'!HE30="","",'Raw Data'!HE30)</f>
        <v>1</v>
      </c>
      <c r="HR58" s="15" t="str">
        <f>IF('Raw Data'!HF30="","",'Raw Data'!HF30)</f>
        <v>0</v>
      </c>
      <c r="HS58" s="31" t="s">
        <v>1617</v>
      </c>
      <c r="HT58" s="15" t="str">
        <f>IF('Raw Data'!HH30="","",'Raw Data'!HH30)</f>
        <v/>
      </c>
      <c r="HU58" s="15" t="str">
        <f>IF('Raw Data'!HI30="","",'Raw Data'!HI30)</f>
        <v>oui_majorite</v>
      </c>
      <c r="HV58" s="15" t="str">
        <f>IF('Raw Data'!HJ30="","",'Raw Data'!HJ30)</f>
        <v>autorite_locale_leaders famille_amis</v>
      </c>
      <c r="HW58" s="15" t="str">
        <f>IF('Raw Data'!HK30="","",'Raw Data'!HK30)</f>
        <v>0</v>
      </c>
      <c r="HX58" s="15" t="str">
        <f>IF('Raw Data'!HL30="","",'Raw Data'!HL30)</f>
        <v>0</v>
      </c>
      <c r="HY58" s="15" t="str">
        <f>IF('Raw Data'!HM30="","",'Raw Data'!HM30)</f>
        <v>1</v>
      </c>
      <c r="HZ58" s="15" t="str">
        <f>IF('Raw Data'!HN30="","",'Raw Data'!HN30)</f>
        <v>0</v>
      </c>
      <c r="IA58" s="15" t="str">
        <f>IF('Raw Data'!HO30="","",'Raw Data'!HO30)</f>
        <v>0</v>
      </c>
      <c r="IB58" s="15" t="str">
        <f>IF('Raw Data'!HP30="","",'Raw Data'!HP30)</f>
        <v>0</v>
      </c>
      <c r="IC58" s="15" t="str">
        <f>IF('Raw Data'!HQ30="","",'Raw Data'!HQ30)</f>
        <v>1</v>
      </c>
      <c r="ID58" s="15" t="str">
        <f>IF('Raw Data'!HR30="","",'Raw Data'!HR30)</f>
        <v>0</v>
      </c>
      <c r="IE58" s="15" t="str">
        <f>IF('Raw Data'!HS30="","",'Raw Data'!HS30)</f>
        <v>0</v>
      </c>
      <c r="IF58" s="15" t="str">
        <f>IF('Raw Data'!HT30="","",'Raw Data'!HT30)</f>
        <v>0</v>
      </c>
      <c r="IG58" s="15" t="str">
        <f>IF('Raw Data'!HU30="","",'Raw Data'!HU30)</f>
        <v/>
      </c>
      <c r="IH58" s="15" t="str">
        <f>IF('Raw Data'!HV30="","",'Raw Data'!HV30)</f>
        <v>oui</v>
      </c>
      <c r="II58" s="15" t="str">
        <f>IF('Raw Data'!HW30="","",'Raw Data'!HW30)</f>
        <v/>
      </c>
      <c r="IJ58" s="15" t="str">
        <f>IF('Raw Data'!HX30="","",'Raw Data'!HX30)</f>
        <v/>
      </c>
      <c r="IK58" s="15" t="str">
        <f>IF('Raw Data'!HY30="","",'Raw Data'!HY30)</f>
        <v/>
      </c>
      <c r="IL58" s="15" t="str">
        <f>IF('Raw Data'!HZ30="","",'Raw Data'!HZ30)</f>
        <v/>
      </c>
      <c r="IM58" s="15" t="str">
        <f>IF('Raw Data'!IA30="","",'Raw Data'!IA30)</f>
        <v/>
      </c>
      <c r="IN58" s="15" t="str">
        <f>IF('Raw Data'!IB30="","",'Raw Data'!IB30)</f>
        <v/>
      </c>
      <c r="IO58" s="15" t="str">
        <f>IF('Raw Data'!IC30="","",'Raw Data'!IC30)</f>
        <v/>
      </c>
      <c r="IP58" s="15" t="str">
        <f>IF('Raw Data'!ID30="","",'Raw Data'!ID30)</f>
        <v/>
      </c>
      <c r="IQ58" s="15" t="str">
        <f>IF('Raw Data'!IE30="","",'Raw Data'!IE30)</f>
        <v/>
      </c>
      <c r="IR58" s="15" t="str">
        <f>IF('Raw Data'!IF30="","",'Raw Data'!IF30)</f>
        <v/>
      </c>
      <c r="IS58" s="15" t="str">
        <f>IF('Raw Data'!IG30="","",'Raw Data'!IG30)</f>
        <v/>
      </c>
      <c r="IT58" s="15" t="str">
        <f>IF('Raw Data'!IH30="","",'Raw Data'!IH30)</f>
        <v/>
      </c>
      <c r="IU58" s="15" t="str">
        <f>IF('Raw Data'!II30="","",'Raw Data'!II30)</f>
        <v/>
      </c>
      <c r="IV58" s="15" t="str">
        <f>IF('Raw Data'!IJ30="","",'Raw Data'!IJ30)</f>
        <v/>
      </c>
      <c r="IW58" s="15" t="str">
        <f>IF('Raw Data'!IK30="","",'Raw Data'!IK30)</f>
        <v/>
      </c>
      <c r="IX58" s="15" t="str">
        <f>IF('Raw Data'!IL30="","",'Raw Data'!IL30)</f>
        <v/>
      </c>
      <c r="IY58" s="15" t="str">
        <f>IF('Raw Data'!IM30="","",'Raw Data'!IM30)</f>
        <v/>
      </c>
      <c r="IZ58" s="15" t="str">
        <f>IF('Raw Data'!IN30="","",'Raw Data'!IN30)</f>
        <v>2</v>
      </c>
      <c r="JA58" s="15" t="str">
        <f>IF('Raw Data'!IO30="","",'Raw Data'!IO30)</f>
        <v>Appui_psychosocial Services_medicaux Services_conseil service_judiciaire</v>
      </c>
      <c r="JB58" s="15" t="str">
        <f>IF('Raw Data'!IP30="","",'Raw Data'!IP30)</f>
        <v>1</v>
      </c>
      <c r="JC58" s="15" t="str">
        <f>IF('Raw Data'!IQ30="","",'Raw Data'!IQ30)</f>
        <v>1</v>
      </c>
      <c r="JD58" s="15" t="str">
        <f>IF('Raw Data'!IR30="","",'Raw Data'!IR30)</f>
        <v>0</v>
      </c>
      <c r="JE58" s="15" t="str">
        <f>IF('Raw Data'!IS30="","",'Raw Data'!IS30)</f>
        <v>1</v>
      </c>
      <c r="JF58" s="15" t="str">
        <f>IF('Raw Data'!IT30="","",'Raw Data'!IT30)</f>
        <v>0</v>
      </c>
      <c r="JG58" s="15" t="str">
        <f>IF('Raw Data'!IU30="","",'Raw Data'!IU30)</f>
        <v>1</v>
      </c>
      <c r="JH58" s="15" t="str">
        <f>IF('Raw Data'!IV30="","",'Raw Data'!IV30)</f>
        <v>0</v>
      </c>
      <c r="JI58" s="15" t="str">
        <f>IF('Raw Data'!IW30="","",'Raw Data'!IW30)</f>
        <v>0</v>
      </c>
      <c r="JJ58" s="15" t="str">
        <f>IF('Raw Data'!IX30="","",'Raw Data'!IX30)</f>
        <v>0</v>
      </c>
      <c r="JK58" s="15" t="str">
        <f>IF('Raw Data'!IY30="","",'Raw Data'!IY30)</f>
        <v>0</v>
      </c>
      <c r="JL58" s="15" t="str">
        <f>IF('Raw Data'!IZ30="","",'Raw Data'!IZ30)</f>
        <v/>
      </c>
      <c r="JM58" s="15" t="str">
        <f>IF('Raw Data'!JA30="","",'Raw Data'!JA30)</f>
        <v>prise_enchage reorientation signalement</v>
      </c>
      <c r="JN58" s="15" t="str">
        <f>IF('Raw Data'!JB30="","",'Raw Data'!JB30)</f>
        <v>1</v>
      </c>
      <c r="JO58" s="15" t="str">
        <f>IF('Raw Data'!JC30="","",'Raw Data'!JC30)</f>
        <v>1</v>
      </c>
      <c r="JP58" s="15" t="str">
        <f>IF('Raw Data'!JD30="","",'Raw Data'!JD30)</f>
        <v>1</v>
      </c>
      <c r="JQ58" s="15" t="str">
        <f>IF('Raw Data'!JE30="","",'Raw Data'!JE30)</f>
        <v>0</v>
      </c>
      <c r="JR58" s="15" t="str">
        <f>IF('Raw Data'!JF30="","",'Raw Data'!JF30)</f>
        <v>0</v>
      </c>
      <c r="JS58" s="15" t="str">
        <f>IF('Raw Data'!JG30="","",'Raw Data'!JG30)</f>
        <v>0</v>
      </c>
      <c r="JT58" s="15" t="str">
        <f>IF('Raw Data'!JH30="","",'Raw Data'!JH30)</f>
        <v/>
      </c>
      <c r="JU58" s="15" t="str">
        <f>IF('Raw Data'!JI30="","",'Raw Data'!JI30)</f>
        <v>medical Psychosocia juridique</v>
      </c>
      <c r="JV58" s="15" t="str">
        <f>IF('Raw Data'!JJ30="","",'Raw Data'!JJ30)</f>
        <v>1</v>
      </c>
      <c r="JW58" s="15" t="str">
        <f>IF('Raw Data'!JK30="","",'Raw Data'!JK30)</f>
        <v>1</v>
      </c>
      <c r="JX58" s="15" t="str">
        <f>IF('Raw Data'!JL30="","",'Raw Data'!JL30)</f>
        <v>0</v>
      </c>
      <c r="JY58" s="15" t="str">
        <f>IF('Raw Data'!JM30="","",'Raw Data'!JM30)</f>
        <v>1</v>
      </c>
      <c r="JZ58" s="15" t="str">
        <f>IF('Raw Data'!JN30="","",'Raw Data'!JN30)</f>
        <v>0</v>
      </c>
      <c r="KA58" s="15" t="str">
        <f>IF('Raw Data'!JO30="","",'Raw Data'!JO30)</f>
        <v>0</v>
      </c>
      <c r="KB58" s="15" t="str">
        <f>IF('Raw Data'!JP30="","",'Raw Data'!JP30)</f>
        <v>0</v>
      </c>
      <c r="KC58" s="15" t="str">
        <f>IF('Raw Data'!JQ30="","",'Raw Data'!JQ30)</f>
        <v>0</v>
      </c>
      <c r="KD58" s="15" t="str">
        <f>IF('Raw Data'!JR30="","",'Raw Data'!JR30)</f>
        <v>0</v>
      </c>
      <c r="KE58" s="15" t="str">
        <f>IF('Raw Data'!JS30="","",'Raw Data'!JS30)</f>
        <v/>
      </c>
      <c r="KF58" s="15" t="str">
        <f>IF('Raw Data'!JT30="","",'Raw Data'!JT30)</f>
        <v>medical Psychosocia juridique</v>
      </c>
      <c r="KG58" s="15" t="str">
        <f>IF('Raw Data'!JU30="","",'Raw Data'!JU30)</f>
        <v>1</v>
      </c>
      <c r="KH58" s="15" t="str">
        <f>IF('Raw Data'!JV30="","",'Raw Data'!JV30)</f>
        <v>1</v>
      </c>
      <c r="KI58" s="15" t="str">
        <f>IF('Raw Data'!JW30="","",'Raw Data'!JW30)</f>
        <v>0</v>
      </c>
      <c r="KJ58" s="15" t="str">
        <f>IF('Raw Data'!JX30="","",'Raw Data'!JX30)</f>
        <v>1</v>
      </c>
      <c r="KK58" s="15" t="str">
        <f>IF('Raw Data'!JY30="","",'Raw Data'!JY30)</f>
        <v>0</v>
      </c>
      <c r="KL58" s="15" t="str">
        <f>IF('Raw Data'!JZ30="","",'Raw Data'!JZ30)</f>
        <v>0</v>
      </c>
      <c r="KM58" s="15" t="str">
        <f>IF('Raw Data'!KA30="","",'Raw Data'!KA30)</f>
        <v>0</v>
      </c>
      <c r="KN58" s="15" t="str">
        <f>IF('Raw Data'!KB30="","",'Raw Data'!KB30)</f>
        <v>0</v>
      </c>
      <c r="KO58" s="15" t="str">
        <f>IF('Raw Data'!KC30="","",'Raw Data'!KC30)</f>
        <v>0</v>
      </c>
      <c r="KP58" s="15" t="str">
        <f>IF('Raw Data'!KD30="","",'Raw Data'!KD30)</f>
        <v/>
      </c>
      <c r="KQ58" s="15" t="str">
        <f>IF('Raw Data'!KE30="","",'Raw Data'!KE30)</f>
        <v/>
      </c>
      <c r="KR58" s="15" t="str">
        <f>IF('Raw Data'!KF30="","",'Raw Data'!KF30)</f>
        <v>non</v>
      </c>
      <c r="KS58" s="15" t="str">
        <f>IF('Raw Data'!KG30="","",'Raw Data'!KG30)</f>
        <v/>
      </c>
      <c r="KT58" s="15" t="str">
        <f>IF('Raw Data'!KH30="","",'Raw Data'!KH30)</f>
        <v/>
      </c>
      <c r="KU58" s="15" t="str">
        <f>IF('Raw Data'!KI30="","",'Raw Data'!KI30)</f>
        <v/>
      </c>
      <c r="KV58" s="15" t="str">
        <f>IF('Raw Data'!KJ30="","",'Raw Data'!KJ30)</f>
        <v/>
      </c>
      <c r="KW58" s="15" t="str">
        <f>IF('Raw Data'!KK30="","",'Raw Data'!KK30)</f>
        <v/>
      </c>
      <c r="KX58" s="15" t="str">
        <f>IF('Raw Data'!KL30="","",'Raw Data'!KL30)</f>
        <v/>
      </c>
      <c r="KY58" s="15" t="str">
        <f>IF('Raw Data'!KM30="","",'Raw Data'!KM30)</f>
        <v/>
      </c>
      <c r="KZ58" s="15" t="str">
        <f>IF('Raw Data'!KN30="","",'Raw Data'!KN30)</f>
        <v/>
      </c>
      <c r="LA58" s="15" t="str">
        <f>IF('Raw Data'!KO30="","",'Raw Data'!KO30)</f>
        <v/>
      </c>
      <c r="LB58" s="15" t="str">
        <f>IF('Raw Data'!KP30="","",'Raw Data'!KP30)</f>
        <v/>
      </c>
      <c r="LC58" s="15" t="str">
        <f>IF('Raw Data'!KQ30="","",'Raw Data'!KQ30)</f>
        <v/>
      </c>
      <c r="LD58" s="15" t="str">
        <f>IF('Raw Data'!KR30="","",'Raw Data'!KR30)</f>
        <v/>
      </c>
      <c r="LE58" s="15" t="str">
        <f>IF('Raw Data'!KS30="","",'Raw Data'!KS30)</f>
        <v/>
      </c>
      <c r="LF58" s="15" t="str">
        <f>IF('Raw Data'!KT30="","",'Raw Data'!KT30)</f>
        <v/>
      </c>
      <c r="LG58" s="15" t="str">
        <f>IF('Raw Data'!KU30="","",'Raw Data'!KU30)</f>
        <v/>
      </c>
      <c r="LH58" s="15" t="str">
        <f>IF('Raw Data'!KV30="","",'Raw Data'!KV30)</f>
        <v/>
      </c>
      <c r="LI58" s="15" t="str">
        <f>IF('Raw Data'!KW30="","",'Raw Data'!KW30)</f>
        <v/>
      </c>
      <c r="LJ58" s="15" t="str">
        <f>IF('Raw Data'!KX30="","",'Raw Data'!KX30)</f>
        <v/>
      </c>
      <c r="LK58" s="15" t="str">
        <f>IF('Raw Data'!KY30="","",'Raw Data'!KY30)</f>
        <v/>
      </c>
      <c r="LL58" s="15" t="str">
        <f>IF('Raw Data'!KZ30="","",'Raw Data'!KZ30)</f>
        <v/>
      </c>
      <c r="LM58" s="15" t="str">
        <f>IF('Raw Data'!LA30="","",'Raw Data'!LA30)</f>
        <v/>
      </c>
      <c r="LN58" s="15" t="str">
        <f>IF('Raw Data'!LB30="","",'Raw Data'!LB30)</f>
        <v>non</v>
      </c>
      <c r="LO58" s="15" t="str">
        <f>IF('Raw Data'!LC30="","",'Raw Data'!LC30)</f>
        <v/>
      </c>
      <c r="LP58" s="15" t="str">
        <f>IF('Raw Data'!LD30="","",'Raw Data'!LD30)</f>
        <v/>
      </c>
      <c r="LQ58" s="15" t="str">
        <f>IF('Raw Data'!LE30="","",'Raw Data'!LE30)</f>
        <v/>
      </c>
      <c r="LR58" s="15" t="str">
        <f>IF('Raw Data'!LF30="","",'Raw Data'!LF30)</f>
        <v/>
      </c>
      <c r="LS58" s="15" t="str">
        <f>IF('Raw Data'!LG30="","",'Raw Data'!LG30)</f>
        <v/>
      </c>
      <c r="LT58" s="15" t="str">
        <f>IF('Raw Data'!LH30="","",'Raw Data'!LH30)</f>
        <v/>
      </c>
      <c r="LU58" s="15" t="str">
        <f>IF('Raw Data'!LI30="","",'Raw Data'!LI30)</f>
        <v/>
      </c>
      <c r="LV58" s="15" t="str">
        <f>IF('Raw Data'!LJ30="","",'Raw Data'!LJ30)</f>
        <v/>
      </c>
      <c r="LW58" s="15" t="str">
        <f>IF('Raw Data'!LK30="","",'Raw Data'!LK30)</f>
        <v/>
      </c>
      <c r="LX58" s="15" t="str">
        <f>IF('Raw Data'!LL30="","",'Raw Data'!LL30)</f>
        <v/>
      </c>
      <c r="LY58" s="15" t="str">
        <f>IF('Raw Data'!LM30="","",'Raw Data'!LM30)</f>
        <v/>
      </c>
      <c r="LZ58" s="15" t="str">
        <f>IF('Raw Data'!LN30="","",'Raw Data'!LN30)</f>
        <v/>
      </c>
      <c r="MA58" s="15" t="str">
        <f>IF('Raw Data'!LO30="","",'Raw Data'!LO30)</f>
        <v/>
      </c>
      <c r="MB58" s="15" t="str">
        <f>IF('Raw Data'!LP30="","",'Raw Data'!LP30)</f>
        <v>oui</v>
      </c>
      <c r="MC58" s="15" t="str">
        <f>IF('Raw Data'!LQ30="","",'Raw Data'!LQ30)</f>
        <v/>
      </c>
      <c r="MD58" s="31"/>
      <c r="ME58" s="15">
        <f>IF('Raw Data'!LS30="","",'Raw Data'!LS30)</f>
        <v>169351706</v>
      </c>
      <c r="MF58" s="15" t="str">
        <f>IF('Raw Data'!LT30="","",'Raw Data'!LT30)</f>
        <v>542d43a4-5e9b-4525-bfc7-6147f6b16cee</v>
      </c>
      <c r="MG58" s="15" t="str">
        <f>IF('Raw Data'!LU30="","",'Raw Data'!LU30)</f>
        <v>2021-04-02T19:02:43</v>
      </c>
      <c r="MH58" s="15" t="str">
        <f>IF('Raw Data'!LV30="","",'Raw Data'!LV30)</f>
        <v/>
      </c>
      <c r="MI58" s="15" t="str">
        <f>IF('Raw Data'!LW30="","",'Raw Data'!LW30)</f>
        <v>[]</v>
      </c>
      <c r="MJ58" s="15" t="str">
        <f>IF('Raw Data'!LX30="","",'Raw Data'!LX30)</f>
        <v>submitted_via_web</v>
      </c>
      <c r="MK58" s="15" t="str">
        <f>IF('Raw Data'!LY30="","",'Raw Data'!LY30)</f>
        <v>reach_niger</v>
      </c>
      <c r="ML58" s="15" t="str">
        <f>IF('Raw Data'!LZ30="","",'Raw Data'!LZ30)</f>
        <v/>
      </c>
      <c r="MM58" s="15">
        <f>IF('Raw Data'!MA30="","",'Raw Data'!MA30)</f>
        <v>31</v>
      </c>
    </row>
    <row r="59" spans="1:351" x14ac:dyDescent="0.3">
      <c r="A59" s="26" t="str">
        <f t="shared" si="4"/>
        <v>54087329-f893-4f35-abab-9fd6e219334b</v>
      </c>
      <c r="B59" s="26" t="str">
        <f t="shared" si="5"/>
        <v>tera</v>
      </c>
      <c r="C59" s="26" t="str">
        <f t="shared" si="6"/>
        <v>L</v>
      </c>
      <c r="D59" s="14" t="str">
        <f>IF('Raw Data'!A9="","",'Raw Data'!A9)</f>
        <v>2021-03-30T11:17:51.425+01:00</v>
      </c>
      <c r="E59" s="14" t="str">
        <f>IF('Raw Data'!B9="","",'Raw Data'!B9)</f>
        <v>2021-03-31T12:22:35.794+01:00</v>
      </c>
      <c r="F59" s="30">
        <v>44285.470729166664</v>
      </c>
      <c r="G59" s="30">
        <v>44286.515682870369</v>
      </c>
      <c r="H59" s="29">
        <f>VLOOKUP(A59,Audit[#All],2,FALSE)</f>
        <v>1504.74</v>
      </c>
      <c r="I59" s="29">
        <f>VLOOKUP(A59,Audit[#All],3,FALSE)</f>
        <v>31.77</v>
      </c>
      <c r="J59" s="29">
        <f>VLOOKUP(A59,Audit[#All],4,FALSE)</f>
        <v>29.21</v>
      </c>
      <c r="K59" s="29">
        <f>VLOOKUP(A59,nb_questions[#All],2,FALSE)</f>
        <v>77</v>
      </c>
      <c r="L59" s="29">
        <f t="shared" si="7"/>
        <v>74</v>
      </c>
      <c r="M59" s="14" t="str">
        <f>IF('Raw Data'!C9="","",'Raw Data'!C9)</f>
        <v>2021-03-30</v>
      </c>
      <c r="N59" s="14" t="str">
        <f>IF('Raw Data'!D9="","",'Raw Data'!D9)</f>
        <v/>
      </c>
      <c r="O59" s="14" t="str">
        <f>IF('Raw Data'!E9="","",'Raw Data'!E9)</f>
        <v/>
      </c>
      <c r="P59" s="29" t="str">
        <f>VLOOKUP(A59,code_enqueteurs[#All],3,FALSE)</f>
        <v>L</v>
      </c>
      <c r="Q59" s="29" t="s">
        <v>1647</v>
      </c>
      <c r="R59" s="14" t="str">
        <f>IF('Raw Data'!F9="","",'Raw Data'!F9)</f>
        <v>Homme</v>
      </c>
      <c r="S59" s="15" t="str">
        <f>IF('Raw Data'!G9="","",'Raw Data'!G9)</f>
        <v>tera</v>
      </c>
      <c r="T59" s="15" t="str">
        <f>IF('Raw Data'!H9="","",'Raw Data'!H9)</f>
        <v>tera</v>
      </c>
      <c r="U59" s="31" t="s">
        <v>613</v>
      </c>
      <c r="V59" s="15" t="str">
        <f>IF('Raw Data'!J9="","",'Raw Data'!J9)</f>
        <v>Base</v>
      </c>
      <c r="W59" s="15" t="str">
        <f>IF('Raw Data'!K9="","",'Raw Data'!K9)</f>
        <v/>
      </c>
      <c r="X59" s="15" t="str">
        <f>IF('Raw Data'!L9="","",'Raw Data'!L9)</f>
        <v/>
      </c>
      <c r="Y59" s="15" t="str">
        <f>IF('Raw Data'!M9="","",'Raw Data'!M9)</f>
        <v/>
      </c>
      <c r="Z59" s="15" t="str">
        <f>IF('Raw Data'!N9="","",'Raw Data'!N9)</f>
        <v/>
      </c>
      <c r="AA59" s="15" t="str">
        <f>IF('Raw Data'!O9="","",'Raw Data'!O9)</f>
        <v/>
      </c>
      <c r="AB59" s="15" t="str">
        <f>IF('Raw Data'!P9="","",'Raw Data'!P9)</f>
        <v/>
      </c>
      <c r="AC59" s="15" t="str">
        <f>IF('Raw Data'!Q9="","",'Raw Data'!Q9)</f>
        <v/>
      </c>
      <c r="AD59" s="15" t="str">
        <f>IF('Raw Data'!R9="","",'Raw Data'!R9)</f>
        <v>Femme</v>
      </c>
      <c r="AE59" s="15" t="str">
        <f>IF('Raw Data'!S9="","",'Raw Data'!S9)</f>
        <v>40</v>
      </c>
      <c r="AF59" s="15" t="str">
        <f>IF('Raw Data'!T9="","",'Raw Data'!T9)</f>
        <v>deplace_interne</v>
      </c>
      <c r="AG59" s="15" t="str">
        <f>IF('Raw Data'!U9="","",'Raw Data'!U9)</f>
        <v/>
      </c>
      <c r="AH59" s="15" t="str">
        <f>IF('Raw Data'!V9="","",'Raw Data'!V9)</f>
        <v/>
      </c>
      <c r="AI59" s="15" t="str">
        <f>IF('Raw Data'!W9="","",'Raw Data'!W9)</f>
        <v/>
      </c>
      <c r="AJ59" s="15" t="str">
        <f>IF('Raw Data'!X9="","",'Raw Data'!X9)</f>
        <v/>
      </c>
      <c r="AK59" s="15" t="str">
        <f>IF('Raw Data'!Y9="","",'Raw Data'!Y9)</f>
        <v/>
      </c>
      <c r="AL59" s="15" t="str">
        <f>IF('Raw Data'!Z9="","",'Raw Data'!Z9)</f>
        <v>niger</v>
      </c>
      <c r="AM59" s="15" t="str">
        <f>IF('Raw Data'!AA9="","",'Raw Data'!AA9)</f>
        <v>tillaberi</v>
      </c>
      <c r="AN59" s="15" t="str">
        <f>IF('Raw Data'!AB9="","",'Raw Data'!AB9)</f>
        <v>tera</v>
      </c>
      <c r="AO59" s="15" t="str">
        <f>IF('Raw Data'!AC9="","",'Raw Data'!AC9)</f>
        <v/>
      </c>
      <c r="AP59" s="15" t="str">
        <f>IF('Raw Data'!AD9="","",'Raw Data'!AD9)</f>
        <v/>
      </c>
      <c r="AQ59" s="15" t="str">
        <f>IF('Raw Data'!AE9="","",'Raw Data'!AE9)</f>
        <v/>
      </c>
      <c r="AR59" s="15" t="str">
        <f>IF('Raw Data'!AF9="","",'Raw Data'!AF9)</f>
        <v/>
      </c>
      <c r="AS59" s="15" t="str">
        <f>IF('Raw Data'!AG9="","",'Raw Data'!AG9)</f>
        <v>oui</v>
      </c>
      <c r="AT59" s="15" t="str">
        <f>IF('Raw Data'!AH9="","",'Raw Data'!AH9)</f>
        <v>Violences_physique_civils</v>
      </c>
      <c r="AU59" s="15" t="str">
        <f>IF('Raw Data'!AI9="","",'Raw Data'!AI9)</f>
        <v>0</v>
      </c>
      <c r="AV59" s="15" t="str">
        <f>IF('Raw Data'!AJ9="","",'Raw Data'!AJ9)</f>
        <v>0</v>
      </c>
      <c r="AW59" s="15" t="str">
        <f>IF('Raw Data'!AK9="","",'Raw Data'!AK9)</f>
        <v>0</v>
      </c>
      <c r="AX59" s="15" t="str">
        <f>IF('Raw Data'!AL9="","",'Raw Data'!AL9)</f>
        <v>0</v>
      </c>
      <c r="AY59" s="15" t="str">
        <f>IF('Raw Data'!AM9="","",'Raw Data'!AM9)</f>
        <v>1</v>
      </c>
      <c r="AZ59" s="15" t="str">
        <f>IF('Raw Data'!AN9="","",'Raw Data'!AN9)</f>
        <v>0</v>
      </c>
      <c r="BA59" s="15" t="str">
        <f>IF('Raw Data'!AO9="","",'Raw Data'!AO9)</f>
        <v>0</v>
      </c>
      <c r="BB59" s="15" t="str">
        <f>IF('Raw Data'!AP9="","",'Raw Data'!AP9)</f>
        <v>0</v>
      </c>
      <c r="BC59" s="15" t="str">
        <f>IF('Raw Data'!AQ9="","",'Raw Data'!AQ9)</f>
        <v>0</v>
      </c>
      <c r="BD59" s="15" t="str">
        <f>IF('Raw Data'!AR9="","",'Raw Data'!AR9)</f>
        <v>0</v>
      </c>
      <c r="BE59" s="15" t="str">
        <f>IF('Raw Data'!AS9="","",'Raw Data'!AS9)</f>
        <v>0</v>
      </c>
      <c r="BF59" s="15" t="str">
        <f>IF('Raw Data'!AT9="","",'Raw Data'!AT9)</f>
        <v>0</v>
      </c>
      <c r="BG59" s="15" t="str">
        <f>IF('Raw Data'!AU9="","",'Raw Data'!AU9)</f>
        <v>0</v>
      </c>
      <c r="BH59" s="15" t="str">
        <f>IF('Raw Data'!AV9="","",'Raw Data'!AV9)</f>
        <v>0</v>
      </c>
      <c r="BI59" s="15" t="str">
        <f>IF('Raw Data'!AW9="","",'Raw Data'!AW9)</f>
        <v/>
      </c>
      <c r="BJ59" s="15" t="str">
        <f>IF('Raw Data'!AX9="","",'Raw Data'!AX9)</f>
        <v>Femmes</v>
      </c>
      <c r="BK59" s="15" t="str">
        <f>IF('Raw Data'!AY9="","",'Raw Data'!AY9)</f>
        <v>0</v>
      </c>
      <c r="BL59" s="15" t="str">
        <f>IF('Raw Data'!AZ9="","",'Raw Data'!AZ9)</f>
        <v>0</v>
      </c>
      <c r="BM59" s="15" t="str">
        <f>IF('Raw Data'!BA9="","",'Raw Data'!BA9)</f>
        <v>0</v>
      </c>
      <c r="BN59" s="15" t="str">
        <f>IF('Raw Data'!BB9="","",'Raw Data'!BB9)</f>
        <v>0</v>
      </c>
      <c r="BO59" s="15" t="str">
        <f>IF('Raw Data'!BC9="","",'Raw Data'!BC9)</f>
        <v>1</v>
      </c>
      <c r="BP59" s="15" t="str">
        <f>IF('Raw Data'!BD9="","",'Raw Data'!BD9)</f>
        <v>0</v>
      </c>
      <c r="BQ59" s="15" t="str">
        <f>IF('Raw Data'!BE9="","",'Raw Data'!BE9)</f>
        <v>0</v>
      </c>
      <c r="BR59" s="15" t="str">
        <f>IF('Raw Data'!BF9="","",'Raw Data'!BF9)</f>
        <v>0</v>
      </c>
      <c r="BS59" s="15" t="str">
        <f>IF('Raw Data'!BG9="","",'Raw Data'!BG9)</f>
        <v>0</v>
      </c>
      <c r="BT59" s="15" t="str">
        <f>IF('Raw Data'!BH9="","",'Raw Data'!BH9)</f>
        <v>0</v>
      </c>
      <c r="BU59" s="15" t="str">
        <f>IF('Raw Data'!BI9="","",'Raw Data'!BI9)</f>
        <v>0</v>
      </c>
      <c r="BV59" s="15" t="str">
        <f>IF('Raw Data'!BJ9="","",'Raw Data'!BJ9)</f>
        <v>0</v>
      </c>
      <c r="BW59" s="15" t="str">
        <f>IF('Raw Data'!BK9="","",'Raw Data'!BK9)</f>
        <v>0</v>
      </c>
      <c r="BX59" s="15" t="str">
        <f>IF('Raw Data'!BL9="","",'Raw Data'!BL9)</f>
        <v>0</v>
      </c>
      <c r="BY59" s="15" t="str">
        <f>IF('Raw Data'!BM9="","",'Raw Data'!BM9)</f>
        <v/>
      </c>
      <c r="BZ59" s="15" t="str">
        <f>IF('Raw Data'!BN9="","",'Raw Data'!BN9)</f>
        <v>3</v>
      </c>
      <c r="CA59" s="15" t="str">
        <f>IF('Raw Data'!BO9="","",'Raw Data'!BO9)</f>
        <v>stable</v>
      </c>
      <c r="CB59" s="15" t="str">
        <f>IF('Raw Data'!BP9="","",'Raw Data'!BP9)</f>
        <v/>
      </c>
      <c r="CC59" s="15" t="str">
        <f>IF('Raw Data'!BQ9="","",'Raw Data'!BQ9)</f>
        <v>oui</v>
      </c>
      <c r="CD59" s="15" t="str">
        <f>IF('Raw Data'!BR9="","",'Raw Data'!BR9)</f>
        <v>menace agression_physique</v>
      </c>
      <c r="CE59" s="15" t="str">
        <f>IF('Raw Data'!BS9="","",'Raw Data'!BS9)</f>
        <v>0</v>
      </c>
      <c r="CF59" s="15" t="str">
        <f>IF('Raw Data'!BT9="","",'Raw Data'!BT9)</f>
        <v>0</v>
      </c>
      <c r="CG59" s="15" t="str">
        <f>IF('Raw Data'!BU9="","",'Raw Data'!BU9)</f>
        <v>1</v>
      </c>
      <c r="CH59" s="15" t="str">
        <f>IF('Raw Data'!BV9="","",'Raw Data'!BV9)</f>
        <v>0</v>
      </c>
      <c r="CI59" s="15" t="str">
        <f>IF('Raw Data'!BW9="","",'Raw Data'!BW9)</f>
        <v>0</v>
      </c>
      <c r="CJ59" s="15" t="str">
        <f>IF('Raw Data'!BX9="","",'Raw Data'!BX9)</f>
        <v>0</v>
      </c>
      <c r="CK59" s="15" t="str">
        <f>IF('Raw Data'!BY9="","",'Raw Data'!BY9)</f>
        <v>0</v>
      </c>
      <c r="CL59" s="15" t="str">
        <f>IF('Raw Data'!BZ9="","",'Raw Data'!BZ9)</f>
        <v>0</v>
      </c>
      <c r="CM59" s="15" t="str">
        <f>IF('Raw Data'!CA9="","",'Raw Data'!CA9)</f>
        <v>0</v>
      </c>
      <c r="CN59" s="15" t="str">
        <f>IF('Raw Data'!CB9="","",'Raw Data'!CB9)</f>
        <v>0</v>
      </c>
      <c r="CO59" s="15" t="str">
        <f>IF('Raw Data'!CC9="","",'Raw Data'!CC9)</f>
        <v>1</v>
      </c>
      <c r="CP59" s="15" t="str">
        <f>IF('Raw Data'!CD9="","",'Raw Data'!CD9)</f>
        <v>0</v>
      </c>
      <c r="CQ59" s="15" t="str">
        <f>IF('Raw Data'!CE9="","",'Raw Data'!CE9)</f>
        <v>0</v>
      </c>
      <c r="CR59" s="15" t="str">
        <f>IF('Raw Data'!CF9="","",'Raw Data'!CF9)</f>
        <v>0</v>
      </c>
      <c r="CS59" s="15" t="str">
        <f>IF('Raw Data'!CG9="","",'Raw Data'!CG9)</f>
        <v>0</v>
      </c>
      <c r="CT59" s="15" t="str">
        <f>IF('Raw Data'!CH9="","",'Raw Data'!CH9)</f>
        <v/>
      </c>
      <c r="CU59" s="15" t="str">
        <f>IF('Raw Data'!CI9="","",'Raw Data'!CI9)</f>
        <v>Femmes Filles</v>
      </c>
      <c r="CV59" s="15" t="str">
        <f>IF('Raw Data'!CJ9="","",'Raw Data'!CJ9)</f>
        <v>0</v>
      </c>
      <c r="CW59" s="15" t="str">
        <f>IF('Raw Data'!CK9="","",'Raw Data'!CK9)</f>
        <v>0</v>
      </c>
      <c r="CX59" s="15" t="str">
        <f>IF('Raw Data'!CL9="","",'Raw Data'!CL9)</f>
        <v>1</v>
      </c>
      <c r="CY59" s="15" t="str">
        <f>IF('Raw Data'!CM9="","",'Raw Data'!CM9)</f>
        <v>0</v>
      </c>
      <c r="CZ59" s="15" t="str">
        <f>IF('Raw Data'!CN9="","",'Raw Data'!CN9)</f>
        <v>1</v>
      </c>
      <c r="DA59" s="15" t="str">
        <f>IF('Raw Data'!CO9="","",'Raw Data'!CO9)</f>
        <v>0</v>
      </c>
      <c r="DB59" s="15" t="str">
        <f>IF('Raw Data'!CP9="","",'Raw Data'!CP9)</f>
        <v>0</v>
      </c>
      <c r="DC59" s="15" t="str">
        <f>IF('Raw Data'!CQ9="","",'Raw Data'!CQ9)</f>
        <v>0</v>
      </c>
      <c r="DD59" s="15" t="str">
        <f>IF('Raw Data'!CR9="","",'Raw Data'!CR9)</f>
        <v>0</v>
      </c>
      <c r="DE59" s="15" t="str">
        <f>IF('Raw Data'!CS9="","",'Raw Data'!CS9)</f>
        <v>0</v>
      </c>
      <c r="DF59" s="15" t="str">
        <f>IF('Raw Data'!CT9="","",'Raw Data'!CT9)</f>
        <v>0</v>
      </c>
      <c r="DG59" s="15" t="str">
        <f>IF('Raw Data'!CU9="","",'Raw Data'!CU9)</f>
        <v>0</v>
      </c>
      <c r="DH59" s="15" t="str">
        <f>IF('Raw Data'!CV9="","",'Raw Data'!CV9)</f>
        <v>0</v>
      </c>
      <c r="DI59" s="15" t="str">
        <f>IF('Raw Data'!CW9="","",'Raw Data'!CW9)</f>
        <v>0</v>
      </c>
      <c r="DJ59" s="15" t="str">
        <f>IF('Raw Data'!CX9="","",'Raw Data'!CX9)</f>
        <v/>
      </c>
      <c r="DK59" s="15" t="str">
        <f>IF('Raw Data'!CY9="","",'Raw Data'!CY9)</f>
        <v>3</v>
      </c>
      <c r="DL59" s="15" t="str">
        <f>IF('Raw Data'!CZ9="","",'Raw Data'!CZ9)</f>
        <v>stable</v>
      </c>
      <c r="DM59" s="15" t="str">
        <f>IF('Raw Data'!DA9="","",'Raw Data'!DA9)</f>
        <v/>
      </c>
      <c r="DN59" s="15" t="str">
        <f>IF('Raw Data'!DB9="","",'Raw Data'!DB9)</f>
        <v/>
      </c>
      <c r="DO59" s="15" t="str">
        <f>IF('Raw Data'!DC9="","",'Raw Data'!DC9)</f>
        <v/>
      </c>
      <c r="DP59" s="15" t="str">
        <f>IF('Raw Data'!DD9="","",'Raw Data'!DD9)</f>
        <v/>
      </c>
      <c r="DQ59" s="15" t="str">
        <f>IF('Raw Data'!DE9="","",'Raw Data'!DE9)</f>
        <v/>
      </c>
      <c r="DR59" s="15" t="str">
        <f>IF('Raw Data'!DF9="","",'Raw Data'!DF9)</f>
        <v/>
      </c>
      <c r="DS59" s="15" t="str">
        <f>IF('Raw Data'!DG9="","",'Raw Data'!DG9)</f>
        <v/>
      </c>
      <c r="DT59" s="15" t="str">
        <f>IF('Raw Data'!DH9="","",'Raw Data'!DH9)</f>
        <v/>
      </c>
      <c r="DU59" s="15" t="str">
        <f>IF('Raw Data'!DI9="","",'Raw Data'!DI9)</f>
        <v/>
      </c>
      <c r="DV59" s="15" t="str">
        <f>IF('Raw Data'!DJ9="","",'Raw Data'!DJ9)</f>
        <v/>
      </c>
      <c r="DW59" s="15" t="str">
        <f>IF('Raw Data'!DK9="","",'Raw Data'!DK9)</f>
        <v/>
      </c>
      <c r="DX59" s="15" t="str">
        <f>IF('Raw Data'!DL9="","",'Raw Data'!DL9)</f>
        <v/>
      </c>
      <c r="DY59" s="15" t="str">
        <f>IF('Raw Data'!DM9="","",'Raw Data'!DM9)</f>
        <v/>
      </c>
      <c r="DZ59" s="15" t="str">
        <f>IF('Raw Data'!DN9="","",'Raw Data'!DN9)</f>
        <v/>
      </c>
      <c r="EA59" s="15" t="str">
        <f>IF('Raw Data'!DO9="","",'Raw Data'!DO9)</f>
        <v/>
      </c>
      <c r="EB59" s="15" t="str">
        <f>IF('Raw Data'!DP9="","",'Raw Data'!DP9)</f>
        <v/>
      </c>
      <c r="EC59" s="15" t="str">
        <f>IF('Raw Data'!DQ9="","",'Raw Data'!DQ9)</f>
        <v/>
      </c>
      <c r="ED59" s="15" t="str">
        <f>IF('Raw Data'!DR9="","",'Raw Data'!DR9)</f>
        <v/>
      </c>
      <c r="EE59" s="15" t="str">
        <f>IF('Raw Data'!DS9="","",'Raw Data'!DS9)</f>
        <v/>
      </c>
      <c r="EF59" s="15" t="str">
        <f>IF('Raw Data'!DT9="","",'Raw Data'!DT9)</f>
        <v/>
      </c>
      <c r="EG59" s="15" t="str">
        <f>IF('Raw Data'!DU9="","",'Raw Data'!DU9)</f>
        <v/>
      </c>
      <c r="EH59" s="15" t="str">
        <f>IF('Raw Data'!DV9="","",'Raw Data'!DV9)</f>
        <v/>
      </c>
      <c r="EI59" s="15" t="str">
        <f>IF('Raw Data'!DW9="","",'Raw Data'!DW9)</f>
        <v/>
      </c>
      <c r="EJ59" s="15" t="str">
        <f>IF('Raw Data'!DX9="","",'Raw Data'!DX9)</f>
        <v/>
      </c>
      <c r="EK59" s="15" t="str">
        <f>IF('Raw Data'!DY9="","",'Raw Data'!DY9)</f>
        <v/>
      </c>
      <c r="EL59" s="15" t="str">
        <f>IF('Raw Data'!DZ9="","",'Raw Data'!DZ9)</f>
        <v>dplct_abords_com Soutien_famille_amis</v>
      </c>
      <c r="EM59" s="15" t="str">
        <f>IF('Raw Data'!EA9="","",'Raw Data'!EA9)</f>
        <v>1</v>
      </c>
      <c r="EN59" s="15" t="str">
        <f>IF('Raw Data'!EB9="","",'Raw Data'!EB9)</f>
        <v>0</v>
      </c>
      <c r="EO59" s="15" t="str">
        <f>IF('Raw Data'!EC9="","",'Raw Data'!EC9)</f>
        <v>1</v>
      </c>
      <c r="EP59" s="15" t="str">
        <f>IF('Raw Data'!ED9="","",'Raw Data'!ED9)</f>
        <v>0</v>
      </c>
      <c r="EQ59" s="15" t="str">
        <f>IF('Raw Data'!EE9="","",'Raw Data'!EE9)</f>
        <v>0</v>
      </c>
      <c r="ER59" s="15" t="str">
        <f>IF('Raw Data'!EF9="","",'Raw Data'!EF9)</f>
        <v>0</v>
      </c>
      <c r="ES59" s="15" t="str">
        <f>IF('Raw Data'!EG9="","",'Raw Data'!EG9)</f>
        <v>0</v>
      </c>
      <c r="ET59" s="15" t="str">
        <f>IF('Raw Data'!EH9="","",'Raw Data'!EH9)</f>
        <v>0</v>
      </c>
      <c r="EU59" s="15" t="str">
        <f>IF('Raw Data'!EI9="","",'Raw Data'!EI9)</f>
        <v>0</v>
      </c>
      <c r="EV59" s="15" t="str">
        <f>IF('Raw Data'!EJ9="","",'Raw Data'!EJ9)</f>
        <v/>
      </c>
      <c r="EW59" s="15" t="str">
        <f>IF('Raw Data'!EK9="","",'Raw Data'!EK9)</f>
        <v/>
      </c>
      <c r="EX59" s="15" t="str">
        <f>IF('Raw Data'!EL9="","",'Raw Data'!EL9)</f>
        <v>femmes_elite comite_redevabilite</v>
      </c>
      <c r="EY59" s="15" t="str">
        <f>IF('Raw Data'!EM9="","",'Raw Data'!EM9)</f>
        <v>1</v>
      </c>
      <c r="EZ59" s="15" t="str">
        <f>IF('Raw Data'!EN9="","",'Raw Data'!EN9)</f>
        <v>0</v>
      </c>
      <c r="FA59" s="15" t="str">
        <f>IF('Raw Data'!EO9="","",'Raw Data'!EO9)</f>
        <v>0</v>
      </c>
      <c r="FB59" s="15" t="str">
        <f>IF('Raw Data'!EP9="","",'Raw Data'!EP9)</f>
        <v>0</v>
      </c>
      <c r="FC59" s="15" t="str">
        <f>IF('Raw Data'!EQ9="","",'Raw Data'!EQ9)</f>
        <v>1</v>
      </c>
      <c r="FD59" s="15" t="str">
        <f>IF('Raw Data'!ER9="","",'Raw Data'!ER9)</f>
        <v>0</v>
      </c>
      <c r="FE59" s="15" t="str">
        <f>IF('Raw Data'!ES9="","",'Raw Data'!ES9)</f>
        <v>0</v>
      </c>
      <c r="FF59" s="15" t="str">
        <f>IF('Raw Data'!ET9="","",'Raw Data'!ET9)</f>
        <v>0</v>
      </c>
      <c r="FG59" s="15" t="str">
        <f>IF('Raw Data'!EU9="","",'Raw Data'!EU9)</f>
        <v>0</v>
      </c>
      <c r="FH59" s="15" t="str">
        <f>IF('Raw Data'!EV9="","",'Raw Data'!EV9)</f>
        <v>0</v>
      </c>
      <c r="FI59" s="15" t="str">
        <f>IF('Raw Data'!EW9="","",'Raw Data'!EW9)</f>
        <v/>
      </c>
      <c r="FJ59" s="15" t="str">
        <f>IF('Raw Data'!EX9="","",'Raw Data'!EX9)</f>
        <v>oui</v>
      </c>
      <c r="FK59" s="15" t="str">
        <f>IF('Raw Data'!EY9="","",'Raw Data'!EY9)</f>
        <v>Radio_television Internet</v>
      </c>
      <c r="FL59" s="15" t="str">
        <f>IF('Raw Data'!EZ9="","",'Raw Data'!EZ9)</f>
        <v>1</v>
      </c>
      <c r="FM59" s="15" t="str">
        <f>IF('Raw Data'!FA9="","",'Raw Data'!FA9)</f>
        <v>0</v>
      </c>
      <c r="FN59" s="15" t="str">
        <f>IF('Raw Data'!FB9="","",'Raw Data'!FB9)</f>
        <v>1</v>
      </c>
      <c r="FO59" s="15" t="str">
        <f>IF('Raw Data'!FC9="","",'Raw Data'!FC9)</f>
        <v>0</v>
      </c>
      <c r="FP59" s="15" t="str">
        <f>IF('Raw Data'!FD9="","",'Raw Data'!FD9)</f>
        <v>0</v>
      </c>
      <c r="FQ59" s="15" t="str">
        <f>IF('Raw Data'!FE9="","",'Raw Data'!FE9)</f>
        <v>0</v>
      </c>
      <c r="FR59" s="15" t="str">
        <f>IF('Raw Data'!FF9="","",'Raw Data'!FF9)</f>
        <v>0</v>
      </c>
      <c r="FS59" s="15" t="str">
        <f>IF('Raw Data'!FG9="","",'Raw Data'!FG9)</f>
        <v>0</v>
      </c>
      <c r="FT59" s="15" t="str">
        <f>IF('Raw Data'!FH9="","",'Raw Data'!FH9)</f>
        <v>0</v>
      </c>
      <c r="FU59" s="15" t="str">
        <f>IF('Raw Data'!FI9="","",'Raw Data'!FI9)</f>
        <v>0</v>
      </c>
      <c r="FV59" s="15" t="str">
        <f>IF('Raw Data'!FJ9="","",'Raw Data'!FJ9)</f>
        <v>0</v>
      </c>
      <c r="FW59" s="15" t="str">
        <f>IF('Raw Data'!FK9="","",'Raw Data'!FK9)</f>
        <v>0</v>
      </c>
      <c r="FX59" s="15" t="str">
        <f>IF('Raw Data'!FL9="","",'Raw Data'!FL9)</f>
        <v>0</v>
      </c>
      <c r="FY59" s="15" t="str">
        <f>IF('Raw Data'!FM9="","",'Raw Data'!FM9)</f>
        <v>0</v>
      </c>
      <c r="FZ59" s="15" t="str">
        <f>IF('Raw Data'!FN9="","",'Raw Data'!FN9)</f>
        <v/>
      </c>
      <c r="GA59" s="15" t="str">
        <f>IF('Raw Data'!FO9="","",'Raw Data'!FO9)</f>
        <v>oui_majorite</v>
      </c>
      <c r="GB59" s="15" t="str">
        <f>IF('Raw Data'!FP9="","",'Raw Data'!FP9)</f>
        <v>oui_majorite</v>
      </c>
      <c r="GC59" s="15" t="str">
        <f>IF('Raw Data'!FQ9="","",'Raw Data'!FQ9)</f>
        <v>manque_info non_fonctionnelle</v>
      </c>
      <c r="GD59" s="15" t="str">
        <f>IF('Raw Data'!FR9="","",'Raw Data'!FR9)</f>
        <v>1</v>
      </c>
      <c r="GE59" s="15" t="str">
        <f>IF('Raw Data'!FS9="","",'Raw Data'!FS9)</f>
        <v>1</v>
      </c>
      <c r="GF59" s="15" t="str">
        <f>IF('Raw Data'!FT9="","",'Raw Data'!FT9)</f>
        <v>0</v>
      </c>
      <c r="GG59" s="15" t="str">
        <f>IF('Raw Data'!FU9="","",'Raw Data'!FU9)</f>
        <v>0</v>
      </c>
      <c r="GH59" s="15" t="str">
        <f>IF('Raw Data'!FV9="","",'Raw Data'!FV9)</f>
        <v>0</v>
      </c>
      <c r="GI59" s="15" t="str">
        <f>IF('Raw Data'!FW9="","",'Raw Data'!FW9)</f>
        <v>0</v>
      </c>
      <c r="GJ59" s="15" t="str">
        <f>IF('Raw Data'!FX9="","",'Raw Data'!FX9)</f>
        <v>0</v>
      </c>
      <c r="GK59" s="15" t="str">
        <f>IF('Raw Data'!FY9="","",'Raw Data'!FY9)</f>
        <v>0</v>
      </c>
      <c r="GL59" s="15" t="str">
        <f>IF('Raw Data'!FZ9="","",'Raw Data'!FZ9)</f>
        <v/>
      </c>
      <c r="GM59" s="15" t="str">
        <f>IF('Raw Data'!GA9="","",'Raw Data'!GA9)</f>
        <v>majorite</v>
      </c>
      <c r="GN59" s="15" t="str">
        <f>IF('Raw Data'!GB9="","",'Raw Data'!GB9)</f>
        <v>majorite</v>
      </c>
      <c r="GO59" s="15" t="str">
        <f>IF('Raw Data'!GC9="","",'Raw Data'!GC9)</f>
        <v>Service_de_counseling Services_de_sante Acces_aux_doc</v>
      </c>
      <c r="GP59" s="15" t="str">
        <f>IF('Raw Data'!GD9="","",'Raw Data'!GD9)</f>
        <v>0</v>
      </c>
      <c r="GQ59" s="15" t="str">
        <f>IF('Raw Data'!GE9="","",'Raw Data'!GE9)</f>
        <v>0</v>
      </c>
      <c r="GR59" s="15" t="str">
        <f>IF('Raw Data'!GF9="","",'Raw Data'!GF9)</f>
        <v>1</v>
      </c>
      <c r="GS59" s="15" t="str">
        <f>IF('Raw Data'!GG9="","",'Raw Data'!GG9)</f>
        <v>1</v>
      </c>
      <c r="GT59" s="15" t="str">
        <f>IF('Raw Data'!GH9="","",'Raw Data'!GH9)</f>
        <v>1</v>
      </c>
      <c r="GU59" s="15" t="str">
        <f>IF('Raw Data'!GI9="","",'Raw Data'!GI9)</f>
        <v>0</v>
      </c>
      <c r="GV59" s="15" t="str">
        <f>IF('Raw Data'!GJ9="","",'Raw Data'!GJ9)</f>
        <v>0</v>
      </c>
      <c r="GW59" s="15" t="str">
        <f>IF('Raw Data'!GK9="","",'Raw Data'!GK9)</f>
        <v>0</v>
      </c>
      <c r="GX59" s="15" t="str">
        <f>IF('Raw Data'!GL9="","",'Raw Data'!GL9)</f>
        <v>0</v>
      </c>
      <c r="GY59" s="15" t="str">
        <f>IF('Raw Data'!GM9="","",'Raw Data'!GM9)</f>
        <v/>
      </c>
      <c r="GZ59" s="15" t="str">
        <f>IF('Raw Data'!GN9="","",'Raw Data'!GN9)</f>
        <v>oui_majorite</v>
      </c>
      <c r="HA59" s="15" t="str">
        <f>IF('Raw Data'!GO9="","",'Raw Data'!GO9)</f>
        <v>oui_majorite</v>
      </c>
      <c r="HB59" s="15" t="str">
        <f>IF('Raw Data'!GP9="","",'Raw Data'!GP9)</f>
        <v>repond_besoins_pop amelioration_futur permet_obtenir_conseils</v>
      </c>
      <c r="HC59" s="15" t="str">
        <f>IF('Raw Data'!GQ9="","",'Raw Data'!GQ9)</f>
        <v>1</v>
      </c>
      <c r="HD59" s="15" t="str">
        <f>IF('Raw Data'!GR9="","",'Raw Data'!GR9)</f>
        <v>1</v>
      </c>
      <c r="HE59" s="15" t="str">
        <f>IF('Raw Data'!GS9="","",'Raw Data'!GS9)</f>
        <v>1</v>
      </c>
      <c r="HF59" s="15" t="str">
        <f>IF('Raw Data'!GT9="","",'Raw Data'!GT9)</f>
        <v>0</v>
      </c>
      <c r="HG59" s="15" t="str">
        <f>IF('Raw Data'!GU9="","",'Raw Data'!GU9)</f>
        <v>0</v>
      </c>
      <c r="HH59" s="15" t="str">
        <f>IF('Raw Data'!GV9="","",'Raw Data'!GV9)</f>
        <v>0</v>
      </c>
      <c r="HI59" s="15" t="str">
        <f>IF('Raw Data'!GW9="","",'Raw Data'!GW9)</f>
        <v>0</v>
      </c>
      <c r="HJ59" s="15" t="str">
        <f>IF('Raw Data'!GX9="","",'Raw Data'!GX9)</f>
        <v>0</v>
      </c>
      <c r="HK59" s="15" t="str">
        <f>IF('Raw Data'!GY9="","",'Raw Data'!GY9)</f>
        <v/>
      </c>
      <c r="HL59" s="15" t="str">
        <f>IF('Raw Data'!GZ9="","",'Raw Data'!GZ9)</f>
        <v>ne_contribue_pas ne_repond_pas</v>
      </c>
      <c r="HM59" s="15" t="str">
        <f>IF('Raw Data'!HA9="","",'Raw Data'!HA9)</f>
        <v>1</v>
      </c>
      <c r="HN59" s="15" t="str">
        <f>IF('Raw Data'!HB9="","",'Raw Data'!HB9)</f>
        <v>1</v>
      </c>
      <c r="HO59" s="15" t="str">
        <f>IF('Raw Data'!HC9="","",'Raw Data'!HC9)</f>
        <v>0</v>
      </c>
      <c r="HP59" s="15" t="str">
        <f>IF('Raw Data'!HD9="","",'Raw Data'!HD9)</f>
        <v>0</v>
      </c>
      <c r="HQ59" s="15" t="str">
        <f>IF('Raw Data'!HE9="","",'Raw Data'!HE9)</f>
        <v>0</v>
      </c>
      <c r="HR59" s="15" t="str">
        <f>IF('Raw Data'!HF9="","",'Raw Data'!HF9)</f>
        <v>0</v>
      </c>
      <c r="HS59" s="15" t="str">
        <f>IF('Raw Data'!HG9="","",'Raw Data'!HG9)</f>
        <v/>
      </c>
      <c r="HT59" s="15" t="str">
        <f>IF('Raw Data'!HH9="","",'Raw Data'!HH9)</f>
        <v/>
      </c>
      <c r="HU59" s="15" t="str">
        <f>IF('Raw Data'!HI9="","",'Raw Data'!HI9)</f>
        <v>oui_majorite</v>
      </c>
      <c r="HV59" s="15" t="str">
        <f>IF('Raw Data'!HJ9="","",'Raw Data'!HJ9)</f>
        <v>autorite_locale_leaders famille_amis</v>
      </c>
      <c r="HW59" s="15" t="str">
        <f>IF('Raw Data'!HK9="","",'Raw Data'!HK9)</f>
        <v>0</v>
      </c>
      <c r="HX59" s="15" t="str">
        <f>IF('Raw Data'!HL9="","",'Raw Data'!HL9)</f>
        <v>0</v>
      </c>
      <c r="HY59" s="15" t="str">
        <f>IF('Raw Data'!HM9="","",'Raw Data'!HM9)</f>
        <v>1</v>
      </c>
      <c r="HZ59" s="15" t="str">
        <f>IF('Raw Data'!HN9="","",'Raw Data'!HN9)</f>
        <v>0</v>
      </c>
      <c r="IA59" s="15" t="str">
        <f>IF('Raw Data'!HO9="","",'Raw Data'!HO9)</f>
        <v>0</v>
      </c>
      <c r="IB59" s="15" t="str">
        <f>IF('Raw Data'!HP9="","",'Raw Data'!HP9)</f>
        <v>0</v>
      </c>
      <c r="IC59" s="15" t="str">
        <f>IF('Raw Data'!HQ9="","",'Raw Data'!HQ9)</f>
        <v>1</v>
      </c>
      <c r="ID59" s="15" t="str">
        <f>IF('Raw Data'!HR9="","",'Raw Data'!HR9)</f>
        <v>0</v>
      </c>
      <c r="IE59" s="15" t="str">
        <f>IF('Raw Data'!HS9="","",'Raw Data'!HS9)</f>
        <v>0</v>
      </c>
      <c r="IF59" s="15" t="str">
        <f>IF('Raw Data'!HT9="","",'Raw Data'!HT9)</f>
        <v>0</v>
      </c>
      <c r="IG59" s="15" t="str">
        <f>IF('Raw Data'!HU9="","",'Raw Data'!HU9)</f>
        <v/>
      </c>
      <c r="IH59" s="15" t="str">
        <f>IF('Raw Data'!HV9="","",'Raw Data'!HV9)</f>
        <v>oui</v>
      </c>
      <c r="II59" s="15" t="str">
        <f>IF('Raw Data'!HW9="","",'Raw Data'!HW9)</f>
        <v/>
      </c>
      <c r="IJ59" s="15" t="str">
        <f>IF('Raw Data'!HX9="","",'Raw Data'!HX9)</f>
        <v>Femmes Femmes_agees Filles Garçons Toute_population</v>
      </c>
      <c r="IK59" s="15" t="str">
        <f>IF('Raw Data'!HY9="","",'Raw Data'!HY9)</f>
        <v>0</v>
      </c>
      <c r="IL59" s="15" t="str">
        <f>IF('Raw Data'!HZ9="","",'Raw Data'!HZ9)</f>
        <v>0</v>
      </c>
      <c r="IM59" s="15" t="str">
        <f>IF('Raw Data'!IA9="","",'Raw Data'!IA9)</f>
        <v>1</v>
      </c>
      <c r="IN59" s="15" t="str">
        <f>IF('Raw Data'!IB9="","",'Raw Data'!IB9)</f>
        <v>1</v>
      </c>
      <c r="IO59" s="15" t="str">
        <f>IF('Raw Data'!IC9="","",'Raw Data'!IC9)</f>
        <v>1</v>
      </c>
      <c r="IP59" s="15" t="str">
        <f>IF('Raw Data'!ID9="","",'Raw Data'!ID9)</f>
        <v>0</v>
      </c>
      <c r="IQ59" s="15" t="str">
        <f>IF('Raw Data'!IE9="","",'Raw Data'!IE9)</f>
        <v>1</v>
      </c>
      <c r="IR59" s="15" t="str">
        <f>IF('Raw Data'!IF9="","",'Raw Data'!IF9)</f>
        <v>0</v>
      </c>
      <c r="IS59" s="15" t="str">
        <f>IF('Raw Data'!IG9="","",'Raw Data'!IG9)</f>
        <v>0</v>
      </c>
      <c r="IT59" s="15" t="str">
        <f>IF('Raw Data'!IH9="","",'Raw Data'!IH9)</f>
        <v>0</v>
      </c>
      <c r="IU59" s="15" t="str">
        <f>IF('Raw Data'!II9="","",'Raw Data'!II9)</f>
        <v>1</v>
      </c>
      <c r="IV59" s="15" t="str">
        <f>IF('Raw Data'!IJ9="","",'Raw Data'!IJ9)</f>
        <v>0</v>
      </c>
      <c r="IW59" s="15" t="str">
        <f>IF('Raw Data'!IK9="","",'Raw Data'!IK9)</f>
        <v>0</v>
      </c>
      <c r="IX59" s="15" t="str">
        <f>IF('Raw Data'!IL9="","",'Raw Data'!IL9)</f>
        <v>0</v>
      </c>
      <c r="IY59" s="15" t="str">
        <f>IF('Raw Data'!IM9="","",'Raw Data'!IM9)</f>
        <v/>
      </c>
      <c r="IZ59" s="15" t="str">
        <f>IF('Raw Data'!IN9="","",'Raw Data'!IN9)</f>
        <v>3</v>
      </c>
      <c r="JA59" s="15" t="str">
        <f>IF('Raw Data'!IO9="","",'Raw Data'!IO9)</f>
        <v>Appui_psychosocial Services_conseil</v>
      </c>
      <c r="JB59" s="15" t="str">
        <f>IF('Raw Data'!IP9="","",'Raw Data'!IP9)</f>
        <v>1</v>
      </c>
      <c r="JC59" s="15" t="str">
        <f>IF('Raw Data'!IQ9="","",'Raw Data'!IQ9)</f>
        <v>0</v>
      </c>
      <c r="JD59" s="15" t="str">
        <f>IF('Raw Data'!IR9="","",'Raw Data'!IR9)</f>
        <v>0</v>
      </c>
      <c r="JE59" s="15" t="str">
        <f>IF('Raw Data'!IS9="","",'Raw Data'!IS9)</f>
        <v>1</v>
      </c>
      <c r="JF59" s="15" t="str">
        <f>IF('Raw Data'!IT9="","",'Raw Data'!IT9)</f>
        <v>0</v>
      </c>
      <c r="JG59" s="15" t="str">
        <f>IF('Raw Data'!IU9="","",'Raw Data'!IU9)</f>
        <v>0</v>
      </c>
      <c r="JH59" s="15" t="str">
        <f>IF('Raw Data'!IV9="","",'Raw Data'!IV9)</f>
        <v>0</v>
      </c>
      <c r="JI59" s="15" t="str">
        <f>IF('Raw Data'!IW9="","",'Raw Data'!IW9)</f>
        <v>0</v>
      </c>
      <c r="JJ59" s="15" t="str">
        <f>IF('Raw Data'!IX9="","",'Raw Data'!IX9)</f>
        <v>0</v>
      </c>
      <c r="JK59" s="15" t="str">
        <f>IF('Raw Data'!IY9="","",'Raw Data'!IY9)</f>
        <v>0</v>
      </c>
      <c r="JL59" s="15" t="str">
        <f>IF('Raw Data'!IZ9="","",'Raw Data'!IZ9)</f>
        <v/>
      </c>
      <c r="JM59" s="15" t="str">
        <f>IF('Raw Data'!JA9="","",'Raw Data'!JA9)</f>
        <v>reorientation</v>
      </c>
      <c r="JN59" s="15" t="str">
        <f>IF('Raw Data'!JB9="","",'Raw Data'!JB9)</f>
        <v>0</v>
      </c>
      <c r="JO59" s="15" t="str">
        <f>IF('Raw Data'!JC9="","",'Raw Data'!JC9)</f>
        <v>1</v>
      </c>
      <c r="JP59" s="15" t="str">
        <f>IF('Raw Data'!JD9="","",'Raw Data'!JD9)</f>
        <v>0</v>
      </c>
      <c r="JQ59" s="15" t="str">
        <f>IF('Raw Data'!JE9="","",'Raw Data'!JE9)</f>
        <v>0</v>
      </c>
      <c r="JR59" s="15" t="str">
        <f>IF('Raw Data'!JF9="","",'Raw Data'!JF9)</f>
        <v>0</v>
      </c>
      <c r="JS59" s="15" t="str">
        <f>IF('Raw Data'!JG9="","",'Raw Data'!JG9)</f>
        <v>0</v>
      </c>
      <c r="JT59" s="15" t="str">
        <f>IF('Raw Data'!JH9="","",'Raw Data'!JH9)</f>
        <v/>
      </c>
      <c r="JU59" s="15" t="str">
        <f>IF('Raw Data'!JI9="","",'Raw Data'!JI9)</f>
        <v/>
      </c>
      <c r="JV59" s="15" t="str">
        <f>IF('Raw Data'!JJ9="","",'Raw Data'!JJ9)</f>
        <v/>
      </c>
      <c r="JW59" s="15" t="str">
        <f>IF('Raw Data'!JK9="","",'Raw Data'!JK9)</f>
        <v/>
      </c>
      <c r="JX59" s="15" t="str">
        <f>IF('Raw Data'!JL9="","",'Raw Data'!JL9)</f>
        <v/>
      </c>
      <c r="JY59" s="15" t="str">
        <f>IF('Raw Data'!JM9="","",'Raw Data'!JM9)</f>
        <v/>
      </c>
      <c r="JZ59" s="15" t="str">
        <f>IF('Raw Data'!JN9="","",'Raw Data'!JN9)</f>
        <v/>
      </c>
      <c r="KA59" s="15" t="str">
        <f>IF('Raw Data'!JO9="","",'Raw Data'!JO9)</f>
        <v/>
      </c>
      <c r="KB59" s="15" t="str">
        <f>IF('Raw Data'!JP9="","",'Raw Data'!JP9)</f>
        <v/>
      </c>
      <c r="KC59" s="15" t="str">
        <f>IF('Raw Data'!JQ9="","",'Raw Data'!JQ9)</f>
        <v/>
      </c>
      <c r="KD59" s="15" t="str">
        <f>IF('Raw Data'!JR9="","",'Raw Data'!JR9)</f>
        <v/>
      </c>
      <c r="KE59" s="15" t="str">
        <f>IF('Raw Data'!JS9="","",'Raw Data'!JS9)</f>
        <v/>
      </c>
      <c r="KF59" s="15" t="str">
        <f>IF('Raw Data'!JT9="","",'Raw Data'!JT9)</f>
        <v>juridique medical</v>
      </c>
      <c r="KG59" s="15" t="str">
        <f>IF('Raw Data'!JU9="","",'Raw Data'!JU9)</f>
        <v>1</v>
      </c>
      <c r="KH59" s="15" t="str">
        <f>IF('Raw Data'!JV9="","",'Raw Data'!JV9)</f>
        <v>0</v>
      </c>
      <c r="KI59" s="15" t="str">
        <f>IF('Raw Data'!JW9="","",'Raw Data'!JW9)</f>
        <v>0</v>
      </c>
      <c r="KJ59" s="15" t="str">
        <f>IF('Raw Data'!JX9="","",'Raw Data'!JX9)</f>
        <v>1</v>
      </c>
      <c r="KK59" s="15" t="str">
        <f>IF('Raw Data'!JY9="","",'Raw Data'!JY9)</f>
        <v>0</v>
      </c>
      <c r="KL59" s="15" t="str">
        <f>IF('Raw Data'!JZ9="","",'Raw Data'!JZ9)</f>
        <v>0</v>
      </c>
      <c r="KM59" s="15" t="str">
        <f>IF('Raw Data'!KA9="","",'Raw Data'!KA9)</f>
        <v>0</v>
      </c>
      <c r="KN59" s="15" t="str">
        <f>IF('Raw Data'!KB9="","",'Raw Data'!KB9)</f>
        <v>0</v>
      </c>
      <c r="KO59" s="15" t="str">
        <f>IF('Raw Data'!KC9="","",'Raw Data'!KC9)</f>
        <v>0</v>
      </c>
      <c r="KP59" s="15" t="str">
        <f>IF('Raw Data'!KD9="","",'Raw Data'!KD9)</f>
        <v/>
      </c>
      <c r="KQ59" s="15" t="str">
        <f>IF('Raw Data'!KE9="","",'Raw Data'!KE9)</f>
        <v/>
      </c>
      <c r="KR59" s="15" t="str">
        <f>IF('Raw Data'!KF9="","",'Raw Data'!KF9)</f>
        <v>oui</v>
      </c>
      <c r="KS59" s="15" t="str">
        <f>IF('Raw Data'!KG9="","",'Raw Data'!KG9)</f>
        <v>manque_moyens probleme_orientation</v>
      </c>
      <c r="KT59" s="15" t="str">
        <f>IF('Raw Data'!KH9="","",'Raw Data'!KH9)</f>
        <v>1</v>
      </c>
      <c r="KU59" s="15" t="str">
        <f>IF('Raw Data'!KI9="","",'Raw Data'!KI9)</f>
        <v>0</v>
      </c>
      <c r="KV59" s="15" t="str">
        <f>IF('Raw Data'!KJ9="","",'Raw Data'!KJ9)</f>
        <v>0</v>
      </c>
      <c r="KW59" s="15" t="str">
        <f>IF('Raw Data'!KK9="","",'Raw Data'!KK9)</f>
        <v>1</v>
      </c>
      <c r="KX59" s="15" t="str">
        <f>IF('Raw Data'!KL9="","",'Raw Data'!KL9)</f>
        <v>0</v>
      </c>
      <c r="KY59" s="15" t="str">
        <f>IF('Raw Data'!KM9="","",'Raw Data'!KM9)</f>
        <v>0</v>
      </c>
      <c r="KZ59" s="15" t="str">
        <f>IF('Raw Data'!KN9="","",'Raw Data'!KN9)</f>
        <v>0</v>
      </c>
      <c r="LA59" s="15" t="str">
        <f>IF('Raw Data'!KO9="","",'Raw Data'!KO9)</f>
        <v>0</v>
      </c>
      <c r="LB59" s="15" t="str">
        <f>IF('Raw Data'!KP9="","",'Raw Data'!KP9)</f>
        <v>0</v>
      </c>
      <c r="LC59" s="15" t="str">
        <f>IF('Raw Data'!KQ9="","",'Raw Data'!KQ9)</f>
        <v>0</v>
      </c>
      <c r="LD59" s="15" t="str">
        <f>IF('Raw Data'!KR9="","",'Raw Data'!KR9)</f>
        <v>0</v>
      </c>
      <c r="LE59" s="15" t="str">
        <f>IF('Raw Data'!KS9="","",'Raw Data'!KS9)</f>
        <v/>
      </c>
      <c r="LF59" s="15" t="str">
        <f>IF('Raw Data'!KT9="","",'Raw Data'!KT9)</f>
        <v>pb_logistiques pb_secu</v>
      </c>
      <c r="LG59" s="15" t="str">
        <f>IF('Raw Data'!KU9="","",'Raw Data'!KU9)</f>
        <v>0</v>
      </c>
      <c r="LH59" s="15" t="str">
        <f>IF('Raw Data'!KV9="","",'Raw Data'!KV9)</f>
        <v>1</v>
      </c>
      <c r="LI59" s="15" t="str">
        <f>IF('Raw Data'!KW9="","",'Raw Data'!KW9)</f>
        <v>1</v>
      </c>
      <c r="LJ59" s="15" t="str">
        <f>IF('Raw Data'!KX9="","",'Raw Data'!KX9)</f>
        <v>0</v>
      </c>
      <c r="LK59" s="15" t="str">
        <f>IF('Raw Data'!KY9="","",'Raw Data'!KY9)</f>
        <v>0</v>
      </c>
      <c r="LL59" s="15" t="str">
        <f>IF('Raw Data'!KZ9="","",'Raw Data'!KZ9)</f>
        <v>0</v>
      </c>
      <c r="LM59" s="15" t="str">
        <f>IF('Raw Data'!LA9="","",'Raw Data'!LA9)</f>
        <v/>
      </c>
      <c r="LN59" s="15" t="str">
        <f>IF('Raw Data'!LB9="","",'Raw Data'!LB9)</f>
        <v>non</v>
      </c>
      <c r="LO59" s="15" t="str">
        <f>IF('Raw Data'!LC9="","",'Raw Data'!LC9)</f>
        <v/>
      </c>
      <c r="LP59" s="15" t="str">
        <f>IF('Raw Data'!LD9="","",'Raw Data'!LD9)</f>
        <v/>
      </c>
      <c r="LQ59" s="15" t="str">
        <f>IF('Raw Data'!LE9="","",'Raw Data'!LE9)</f>
        <v/>
      </c>
      <c r="LR59" s="15" t="str">
        <f>IF('Raw Data'!LF9="","",'Raw Data'!LF9)</f>
        <v/>
      </c>
      <c r="LS59" s="15" t="str">
        <f>IF('Raw Data'!LG9="","",'Raw Data'!LG9)</f>
        <v/>
      </c>
      <c r="LT59" s="15" t="str">
        <f>IF('Raw Data'!LH9="","",'Raw Data'!LH9)</f>
        <v/>
      </c>
      <c r="LU59" s="15" t="str">
        <f>IF('Raw Data'!LI9="","",'Raw Data'!LI9)</f>
        <v/>
      </c>
      <c r="LV59" s="15" t="str">
        <f>IF('Raw Data'!LJ9="","",'Raw Data'!LJ9)</f>
        <v/>
      </c>
      <c r="LW59" s="15" t="str">
        <f>IF('Raw Data'!LK9="","",'Raw Data'!LK9)</f>
        <v/>
      </c>
      <c r="LX59" s="15" t="str">
        <f>IF('Raw Data'!LL9="","",'Raw Data'!LL9)</f>
        <v/>
      </c>
      <c r="LY59" s="15" t="str">
        <f>IF('Raw Data'!LM9="","",'Raw Data'!LM9)</f>
        <v/>
      </c>
      <c r="LZ59" s="15" t="str">
        <f>IF('Raw Data'!LN9="","",'Raw Data'!LN9)</f>
        <v/>
      </c>
      <c r="MA59" s="15" t="str">
        <f>IF('Raw Data'!LO9="","",'Raw Data'!LO9)</f>
        <v/>
      </c>
      <c r="MB59" s="15" t="str">
        <f>IF('Raw Data'!LP9="","",'Raw Data'!LP9)</f>
        <v>oui</v>
      </c>
      <c r="MC59" s="15" t="str">
        <f>IF('Raw Data'!LQ9="","",'Raw Data'!LQ9)</f>
        <v/>
      </c>
      <c r="MD59" s="31"/>
      <c r="ME59" s="15">
        <f>IF('Raw Data'!LS9="","",'Raw Data'!LS9)</f>
        <v>168989897</v>
      </c>
      <c r="MF59" s="15" t="str">
        <f>IF('Raw Data'!LT9="","",'Raw Data'!LT9)</f>
        <v>54087329-f893-4f35-abab-9fd6e219334b</v>
      </c>
      <c r="MG59" s="15" t="str">
        <f>IF('Raw Data'!LU9="","",'Raw Data'!LU9)</f>
        <v>2021-03-31T22:12:33</v>
      </c>
      <c r="MH59" s="15" t="str">
        <f>IF('Raw Data'!LV9="","",'Raw Data'!LV9)</f>
        <v/>
      </c>
      <c r="MI59" s="15" t="str">
        <f>IF('Raw Data'!LW9="","",'Raw Data'!LW9)</f>
        <v>[]</v>
      </c>
      <c r="MJ59" s="15" t="str">
        <f>IF('Raw Data'!LX9="","",'Raw Data'!LX9)</f>
        <v>submitted_via_web</v>
      </c>
      <c r="MK59" s="15" t="str">
        <f>IF('Raw Data'!LY9="","",'Raw Data'!LY9)</f>
        <v>reach_niger</v>
      </c>
      <c r="ML59" s="15" t="str">
        <f>IF('Raw Data'!LZ9="","",'Raw Data'!LZ9)</f>
        <v/>
      </c>
      <c r="MM59" s="15">
        <f>IF('Raw Data'!MA9="","",'Raw Data'!MA9)</f>
        <v>8</v>
      </c>
    </row>
    <row r="60" spans="1:351" x14ac:dyDescent="0.3">
      <c r="A60" s="26" t="str">
        <f t="shared" si="4"/>
        <v>60625aaf-f58c-4940-86f6-874af488d0d6</v>
      </c>
      <c r="B60" s="26" t="str">
        <f t="shared" si="5"/>
        <v>bankilare</v>
      </c>
      <c r="C60" s="26" t="str">
        <f t="shared" si="6"/>
        <v>M</v>
      </c>
      <c r="D60" s="14" t="str">
        <f>IF('Raw Data'!A65="","",'Raw Data'!A65)</f>
        <v>2021-04-16T09:20:01.666+01:00</v>
      </c>
      <c r="E60" s="14" t="str">
        <f>IF('Raw Data'!B65="","",'Raw Data'!B65)</f>
        <v>2021-04-16T09:57:13.300+01:00</v>
      </c>
      <c r="F60" s="30">
        <v>44302.38890046296</v>
      </c>
      <c r="G60" s="30">
        <v>44302.414733796293</v>
      </c>
      <c r="H60" s="29">
        <f>VLOOKUP(A60,Audit[#All],2,FALSE)</f>
        <v>37.200000000000003</v>
      </c>
      <c r="I60" s="29">
        <f>VLOOKUP(A60,Audit[#All],3,FALSE)</f>
        <v>37.1</v>
      </c>
      <c r="J60" s="29">
        <f>VLOOKUP(A60,Audit[#All],4,FALSE)</f>
        <v>36.58</v>
      </c>
      <c r="K60" s="29">
        <f>VLOOKUP(A60,nb_questions[#All],2,FALSE)</f>
        <v>171</v>
      </c>
      <c r="L60" s="29">
        <f t="shared" si="7"/>
        <v>193</v>
      </c>
      <c r="M60" s="14" t="str">
        <f>IF('Raw Data'!C65="","",'Raw Data'!C65)</f>
        <v>2021-04-16</v>
      </c>
      <c r="N60" s="14" t="str">
        <f>IF('Raw Data'!D65="","",'Raw Data'!D65)</f>
        <v/>
      </c>
      <c r="O60" s="14" t="str">
        <f>IF('Raw Data'!E65="","",'Raw Data'!E65)</f>
        <v/>
      </c>
      <c r="P60" s="29" t="str">
        <f>VLOOKUP(A60,code_enqueteurs[#All],3,FALSE)</f>
        <v>M</v>
      </c>
      <c r="Q60" s="29" t="s">
        <v>1656</v>
      </c>
      <c r="R60" s="14" t="str">
        <f>IF('Raw Data'!F65="","",'Raw Data'!F65)</f>
        <v>Homme</v>
      </c>
      <c r="S60" s="15" t="str">
        <f>IF('Raw Data'!G65="","",'Raw Data'!G65)</f>
        <v>bankilare</v>
      </c>
      <c r="T60" s="15" t="str">
        <f>IF('Raw Data'!H65="","",'Raw Data'!H65)</f>
        <v>bankilare</v>
      </c>
      <c r="U60" s="31" t="s">
        <v>1540</v>
      </c>
      <c r="V60" s="15" t="str">
        <f>IF('Raw Data'!J65="","",'Raw Data'!J65)</f>
        <v>Fala</v>
      </c>
      <c r="W60" s="15" t="str">
        <f>IF('Raw Data'!K65="","",'Raw Data'!K65)</f>
        <v/>
      </c>
      <c r="X60" s="15" t="str">
        <f>IF('Raw Data'!L65="","",'Raw Data'!L65)</f>
        <v/>
      </c>
      <c r="Y60" s="15" t="str">
        <f>IF('Raw Data'!M65="","",'Raw Data'!M65)</f>
        <v/>
      </c>
      <c r="Z60" s="15" t="str">
        <f>IF('Raw Data'!N65="","",'Raw Data'!N65)</f>
        <v/>
      </c>
      <c r="AA60" s="15" t="str">
        <f>IF('Raw Data'!O65="","",'Raw Data'!O65)</f>
        <v/>
      </c>
      <c r="AB60" s="15" t="str">
        <f>IF('Raw Data'!P65="","",'Raw Data'!P65)</f>
        <v/>
      </c>
      <c r="AC60" s="15" t="str">
        <f>IF('Raw Data'!Q65="","",'Raw Data'!Q65)</f>
        <v/>
      </c>
      <c r="AD60" s="15" t="str">
        <f>IF('Raw Data'!R65="","",'Raw Data'!R65)</f>
        <v>Homme</v>
      </c>
      <c r="AE60" s="15" t="str">
        <f>IF('Raw Data'!S65="","",'Raw Data'!S65)</f>
        <v>55</v>
      </c>
      <c r="AF60" s="15" t="str">
        <f>IF('Raw Data'!T65="","",'Raw Data'!T65)</f>
        <v>deplace_interne</v>
      </c>
      <c r="AG60" s="15" t="str">
        <f>IF('Raw Data'!U65="","",'Raw Data'!U65)</f>
        <v/>
      </c>
      <c r="AH60" s="15" t="str">
        <f>IF('Raw Data'!V65="","",'Raw Data'!V65)</f>
        <v/>
      </c>
      <c r="AI60" s="15" t="str">
        <f>IF('Raw Data'!W65="","",'Raw Data'!W65)</f>
        <v/>
      </c>
      <c r="AJ60" s="15" t="str">
        <f>IF('Raw Data'!X65="","",'Raw Data'!X65)</f>
        <v/>
      </c>
      <c r="AK60" s="15" t="str">
        <f>IF('Raw Data'!Y65="","",'Raw Data'!Y65)</f>
        <v/>
      </c>
      <c r="AL60" s="15" t="str">
        <f>IF('Raw Data'!Z65="","",'Raw Data'!Z65)</f>
        <v>niger</v>
      </c>
      <c r="AM60" s="15" t="str">
        <f>IF('Raw Data'!AA65="","",'Raw Data'!AA65)</f>
        <v>tillaberi</v>
      </c>
      <c r="AN60" s="15" t="str">
        <f>IF('Raw Data'!AB65="","",'Raw Data'!AB65)</f>
        <v>bankilare</v>
      </c>
      <c r="AO60" s="15" t="str">
        <f>IF('Raw Data'!AC65="","",'Raw Data'!AC65)</f>
        <v/>
      </c>
      <c r="AP60" s="15" t="str">
        <f>IF('Raw Data'!AD65="","",'Raw Data'!AD65)</f>
        <v/>
      </c>
      <c r="AQ60" s="15" t="str">
        <f>IF('Raw Data'!AE65="","",'Raw Data'!AE65)</f>
        <v/>
      </c>
      <c r="AR60" s="15" t="str">
        <f>IF('Raw Data'!AF65="","",'Raw Data'!AF65)</f>
        <v/>
      </c>
      <c r="AS60" s="15" t="str">
        <f>IF('Raw Data'!AG65="","",'Raw Data'!AG65)</f>
        <v>non</v>
      </c>
      <c r="AT60" s="15" t="str">
        <f>IF('Raw Data'!AH65="","",'Raw Data'!AH65)</f>
        <v/>
      </c>
      <c r="AU60" s="15" t="str">
        <f>IF('Raw Data'!AI65="","",'Raw Data'!AI65)</f>
        <v/>
      </c>
      <c r="AV60" s="15" t="str">
        <f>IF('Raw Data'!AJ65="","",'Raw Data'!AJ65)</f>
        <v/>
      </c>
      <c r="AW60" s="15" t="str">
        <f>IF('Raw Data'!AK65="","",'Raw Data'!AK65)</f>
        <v/>
      </c>
      <c r="AX60" s="15" t="str">
        <f>IF('Raw Data'!AL65="","",'Raw Data'!AL65)</f>
        <v/>
      </c>
      <c r="AY60" s="15" t="str">
        <f>IF('Raw Data'!AM65="","",'Raw Data'!AM65)</f>
        <v/>
      </c>
      <c r="AZ60" s="15" t="str">
        <f>IF('Raw Data'!AN65="","",'Raw Data'!AN65)</f>
        <v/>
      </c>
      <c r="BA60" s="15" t="str">
        <f>IF('Raw Data'!AO65="","",'Raw Data'!AO65)</f>
        <v/>
      </c>
      <c r="BB60" s="15" t="str">
        <f>IF('Raw Data'!AP65="","",'Raw Data'!AP65)</f>
        <v/>
      </c>
      <c r="BC60" s="15" t="str">
        <f>IF('Raw Data'!AQ65="","",'Raw Data'!AQ65)</f>
        <v/>
      </c>
      <c r="BD60" s="15" t="str">
        <f>IF('Raw Data'!AR65="","",'Raw Data'!AR65)</f>
        <v/>
      </c>
      <c r="BE60" s="15" t="str">
        <f>IF('Raw Data'!AS65="","",'Raw Data'!AS65)</f>
        <v/>
      </c>
      <c r="BF60" s="15" t="str">
        <f>IF('Raw Data'!AT65="","",'Raw Data'!AT65)</f>
        <v/>
      </c>
      <c r="BG60" s="15" t="str">
        <f>IF('Raw Data'!AU65="","",'Raw Data'!AU65)</f>
        <v/>
      </c>
      <c r="BH60" s="15" t="str">
        <f>IF('Raw Data'!AV65="","",'Raw Data'!AV65)</f>
        <v/>
      </c>
      <c r="BI60" s="15" t="str">
        <f>IF('Raw Data'!AW65="","",'Raw Data'!AW65)</f>
        <v/>
      </c>
      <c r="BJ60" s="15" t="str">
        <f>IF('Raw Data'!AX65="","",'Raw Data'!AX65)</f>
        <v/>
      </c>
      <c r="BK60" s="15" t="str">
        <f>IF('Raw Data'!AY65="","",'Raw Data'!AY65)</f>
        <v/>
      </c>
      <c r="BL60" s="15" t="str">
        <f>IF('Raw Data'!AZ65="","",'Raw Data'!AZ65)</f>
        <v/>
      </c>
      <c r="BM60" s="15" t="str">
        <f>IF('Raw Data'!BA65="","",'Raw Data'!BA65)</f>
        <v/>
      </c>
      <c r="BN60" s="15" t="str">
        <f>IF('Raw Data'!BB65="","",'Raw Data'!BB65)</f>
        <v/>
      </c>
      <c r="BO60" s="15" t="str">
        <f>IF('Raw Data'!BC65="","",'Raw Data'!BC65)</f>
        <v/>
      </c>
      <c r="BP60" s="15" t="str">
        <f>IF('Raw Data'!BD65="","",'Raw Data'!BD65)</f>
        <v/>
      </c>
      <c r="BQ60" s="15" t="str">
        <f>IF('Raw Data'!BE65="","",'Raw Data'!BE65)</f>
        <v/>
      </c>
      <c r="BR60" s="15" t="str">
        <f>IF('Raw Data'!BF65="","",'Raw Data'!BF65)</f>
        <v/>
      </c>
      <c r="BS60" s="15" t="str">
        <f>IF('Raw Data'!BG65="","",'Raw Data'!BG65)</f>
        <v/>
      </c>
      <c r="BT60" s="15" t="str">
        <f>IF('Raw Data'!BH65="","",'Raw Data'!BH65)</f>
        <v/>
      </c>
      <c r="BU60" s="15" t="str">
        <f>IF('Raw Data'!BI65="","",'Raw Data'!BI65)</f>
        <v/>
      </c>
      <c r="BV60" s="15" t="str">
        <f>IF('Raw Data'!BJ65="","",'Raw Data'!BJ65)</f>
        <v/>
      </c>
      <c r="BW60" s="15" t="str">
        <f>IF('Raw Data'!BK65="","",'Raw Data'!BK65)</f>
        <v/>
      </c>
      <c r="BX60" s="15" t="str">
        <f>IF('Raw Data'!BL65="","",'Raw Data'!BL65)</f>
        <v/>
      </c>
      <c r="BY60" s="15" t="str">
        <f>IF('Raw Data'!BM65="","",'Raw Data'!BM65)</f>
        <v/>
      </c>
      <c r="BZ60" s="15" t="str">
        <f>IF('Raw Data'!BN65="","",'Raw Data'!BN65)</f>
        <v/>
      </c>
      <c r="CA60" s="15" t="str">
        <f>IF('Raw Data'!BO65="","",'Raw Data'!BO65)</f>
        <v/>
      </c>
      <c r="CB60" s="15" t="str">
        <f>IF('Raw Data'!BP65="","",'Raw Data'!BP65)</f>
        <v/>
      </c>
      <c r="CC60" s="15" t="str">
        <f>IF('Raw Data'!BQ65="","",'Raw Data'!BQ65)</f>
        <v>non</v>
      </c>
      <c r="CD60" s="15" t="str">
        <f>IF('Raw Data'!BR65="","",'Raw Data'!BR65)</f>
        <v/>
      </c>
      <c r="CE60" s="15" t="str">
        <f>IF('Raw Data'!BS65="","",'Raw Data'!BS65)</f>
        <v/>
      </c>
      <c r="CF60" s="15" t="str">
        <f>IF('Raw Data'!BT65="","",'Raw Data'!BT65)</f>
        <v/>
      </c>
      <c r="CG60" s="15" t="str">
        <f>IF('Raw Data'!BU65="","",'Raw Data'!BU65)</f>
        <v/>
      </c>
      <c r="CH60" s="15" t="str">
        <f>IF('Raw Data'!BV65="","",'Raw Data'!BV65)</f>
        <v/>
      </c>
      <c r="CI60" s="15" t="str">
        <f>IF('Raw Data'!BW65="","",'Raw Data'!BW65)</f>
        <v/>
      </c>
      <c r="CJ60" s="15" t="str">
        <f>IF('Raw Data'!BX65="","",'Raw Data'!BX65)</f>
        <v/>
      </c>
      <c r="CK60" s="15" t="str">
        <f>IF('Raw Data'!BY65="","",'Raw Data'!BY65)</f>
        <v/>
      </c>
      <c r="CL60" s="15" t="str">
        <f>IF('Raw Data'!BZ65="","",'Raw Data'!BZ65)</f>
        <v/>
      </c>
      <c r="CM60" s="15" t="str">
        <f>IF('Raw Data'!CA65="","",'Raw Data'!CA65)</f>
        <v/>
      </c>
      <c r="CN60" s="15" t="str">
        <f>IF('Raw Data'!CB65="","",'Raw Data'!CB65)</f>
        <v/>
      </c>
      <c r="CO60" s="15" t="str">
        <f>IF('Raw Data'!CC65="","",'Raw Data'!CC65)</f>
        <v/>
      </c>
      <c r="CP60" s="15" t="str">
        <f>IF('Raw Data'!CD65="","",'Raw Data'!CD65)</f>
        <v/>
      </c>
      <c r="CQ60" s="15" t="str">
        <f>IF('Raw Data'!CE65="","",'Raw Data'!CE65)</f>
        <v/>
      </c>
      <c r="CR60" s="15" t="str">
        <f>IF('Raw Data'!CF65="","",'Raw Data'!CF65)</f>
        <v/>
      </c>
      <c r="CS60" s="15" t="str">
        <f>IF('Raw Data'!CG65="","",'Raw Data'!CG65)</f>
        <v/>
      </c>
      <c r="CT60" s="15" t="str">
        <f>IF('Raw Data'!CH65="","",'Raw Data'!CH65)</f>
        <v/>
      </c>
      <c r="CU60" s="15" t="str">
        <f>IF('Raw Data'!CI65="","",'Raw Data'!CI65)</f>
        <v/>
      </c>
      <c r="CV60" s="15" t="str">
        <f>IF('Raw Data'!CJ65="","",'Raw Data'!CJ65)</f>
        <v/>
      </c>
      <c r="CW60" s="15" t="str">
        <f>IF('Raw Data'!CK65="","",'Raw Data'!CK65)</f>
        <v/>
      </c>
      <c r="CX60" s="15" t="str">
        <f>IF('Raw Data'!CL65="","",'Raw Data'!CL65)</f>
        <v/>
      </c>
      <c r="CY60" s="15" t="str">
        <f>IF('Raw Data'!CM65="","",'Raw Data'!CM65)</f>
        <v/>
      </c>
      <c r="CZ60" s="15" t="str">
        <f>IF('Raw Data'!CN65="","",'Raw Data'!CN65)</f>
        <v/>
      </c>
      <c r="DA60" s="15" t="str">
        <f>IF('Raw Data'!CO65="","",'Raw Data'!CO65)</f>
        <v/>
      </c>
      <c r="DB60" s="15" t="str">
        <f>IF('Raw Data'!CP65="","",'Raw Data'!CP65)</f>
        <v/>
      </c>
      <c r="DC60" s="15" t="str">
        <f>IF('Raw Data'!CQ65="","",'Raw Data'!CQ65)</f>
        <v/>
      </c>
      <c r="DD60" s="15" t="str">
        <f>IF('Raw Data'!CR65="","",'Raw Data'!CR65)</f>
        <v/>
      </c>
      <c r="DE60" s="15" t="str">
        <f>IF('Raw Data'!CS65="","",'Raw Data'!CS65)</f>
        <v/>
      </c>
      <c r="DF60" s="15" t="str">
        <f>IF('Raw Data'!CT65="","",'Raw Data'!CT65)</f>
        <v/>
      </c>
      <c r="DG60" s="15" t="str">
        <f>IF('Raw Data'!CU65="","",'Raw Data'!CU65)</f>
        <v/>
      </c>
      <c r="DH60" s="15" t="str">
        <f>IF('Raw Data'!CV65="","",'Raw Data'!CV65)</f>
        <v/>
      </c>
      <c r="DI60" s="15" t="str">
        <f>IF('Raw Data'!CW65="","",'Raw Data'!CW65)</f>
        <v/>
      </c>
      <c r="DJ60" s="15" t="str">
        <f>IF('Raw Data'!CX65="","",'Raw Data'!CX65)</f>
        <v/>
      </c>
      <c r="DK60" s="15" t="str">
        <f>IF('Raw Data'!CY65="","",'Raw Data'!CY65)</f>
        <v/>
      </c>
      <c r="DL60" s="15" t="str">
        <f>IF('Raw Data'!CZ65="","",'Raw Data'!CZ65)</f>
        <v/>
      </c>
      <c r="DM60" s="15" t="str">
        <f>IF('Raw Data'!DA65="","",'Raw Data'!DA65)</f>
        <v/>
      </c>
      <c r="DN60" s="15" t="str">
        <f>IF('Raw Data'!DB65="","",'Raw Data'!DB65)</f>
        <v/>
      </c>
      <c r="DO60" s="15" t="str">
        <f>IF('Raw Data'!DC65="","",'Raw Data'!DC65)</f>
        <v/>
      </c>
      <c r="DP60" s="15" t="str">
        <f>IF('Raw Data'!DD65="","",'Raw Data'!DD65)</f>
        <v/>
      </c>
      <c r="DQ60" s="15" t="str">
        <f>IF('Raw Data'!DE65="","",'Raw Data'!DE65)</f>
        <v/>
      </c>
      <c r="DR60" s="15" t="str">
        <f>IF('Raw Data'!DF65="","",'Raw Data'!DF65)</f>
        <v/>
      </c>
      <c r="DS60" s="15" t="str">
        <f>IF('Raw Data'!DG65="","",'Raw Data'!DG65)</f>
        <v/>
      </c>
      <c r="DT60" s="15" t="str">
        <f>IF('Raw Data'!DH65="","",'Raw Data'!DH65)</f>
        <v/>
      </c>
      <c r="DU60" s="15" t="str">
        <f>IF('Raw Data'!DI65="","",'Raw Data'!DI65)</f>
        <v/>
      </c>
      <c r="DV60" s="15" t="str">
        <f>IF('Raw Data'!DJ65="","",'Raw Data'!DJ65)</f>
        <v/>
      </c>
      <c r="DW60" s="15" t="str">
        <f>IF('Raw Data'!DK65="","",'Raw Data'!DK65)</f>
        <v/>
      </c>
      <c r="DX60" s="15" t="str">
        <f>IF('Raw Data'!DL65="","",'Raw Data'!DL65)</f>
        <v/>
      </c>
      <c r="DY60" s="15" t="str">
        <f>IF('Raw Data'!DM65="","",'Raw Data'!DM65)</f>
        <v/>
      </c>
      <c r="DZ60" s="15" t="str">
        <f>IF('Raw Data'!DN65="","",'Raw Data'!DN65)</f>
        <v/>
      </c>
      <c r="EA60" s="15" t="str">
        <f>IF('Raw Data'!DO65="","",'Raw Data'!DO65)</f>
        <v/>
      </c>
      <c r="EB60" s="15" t="str">
        <f>IF('Raw Data'!DP65="","",'Raw Data'!DP65)</f>
        <v/>
      </c>
      <c r="EC60" s="15" t="str">
        <f>IF('Raw Data'!DQ65="","",'Raw Data'!DQ65)</f>
        <v/>
      </c>
      <c r="ED60" s="15" t="str">
        <f>IF('Raw Data'!DR65="","",'Raw Data'!DR65)</f>
        <v/>
      </c>
      <c r="EE60" s="15" t="str">
        <f>IF('Raw Data'!DS65="","",'Raw Data'!DS65)</f>
        <v/>
      </c>
      <c r="EF60" s="15" t="str">
        <f>IF('Raw Data'!DT65="","",'Raw Data'!DT65)</f>
        <v/>
      </c>
      <c r="EG60" s="15" t="str">
        <f>IF('Raw Data'!DU65="","",'Raw Data'!DU65)</f>
        <v/>
      </c>
      <c r="EH60" s="15" t="str">
        <f>IF('Raw Data'!DV65="","",'Raw Data'!DV65)</f>
        <v/>
      </c>
      <c r="EI60" s="15" t="str">
        <f>IF('Raw Data'!DW65="","",'Raw Data'!DW65)</f>
        <v/>
      </c>
      <c r="EJ60" s="15" t="str">
        <f>IF('Raw Data'!DX65="","",'Raw Data'!DX65)</f>
        <v/>
      </c>
      <c r="EK60" s="15" t="str">
        <f>IF('Raw Data'!DY65="","",'Raw Data'!DY65)</f>
        <v/>
      </c>
      <c r="EL60" s="15" t="str">
        <f>IF('Raw Data'!DZ65="","",'Raw Data'!DZ65)</f>
        <v>Soutien_famille_amis Soutien_chef_village</v>
      </c>
      <c r="EM60" s="15" t="str">
        <f>IF('Raw Data'!EA65="","",'Raw Data'!EA65)</f>
        <v>0</v>
      </c>
      <c r="EN60" s="15" t="str">
        <f>IF('Raw Data'!EB65="","",'Raw Data'!EB65)</f>
        <v>0</v>
      </c>
      <c r="EO60" s="15" t="str">
        <f>IF('Raw Data'!EC65="","",'Raw Data'!EC65)</f>
        <v>1</v>
      </c>
      <c r="EP60" s="15" t="str">
        <f>IF('Raw Data'!ED65="","",'Raw Data'!ED65)</f>
        <v>1</v>
      </c>
      <c r="EQ60" s="15" t="str">
        <f>IF('Raw Data'!EE65="","",'Raw Data'!EE65)</f>
        <v>0</v>
      </c>
      <c r="ER60" s="15" t="str">
        <f>IF('Raw Data'!EF65="","",'Raw Data'!EF65)</f>
        <v>0</v>
      </c>
      <c r="ES60" s="15" t="str">
        <f>IF('Raw Data'!EG65="","",'Raw Data'!EG65)</f>
        <v>0</v>
      </c>
      <c r="ET60" s="15" t="str">
        <f>IF('Raw Data'!EH65="","",'Raw Data'!EH65)</f>
        <v>0</v>
      </c>
      <c r="EU60" s="15" t="str">
        <f>IF('Raw Data'!EI65="","",'Raw Data'!EI65)</f>
        <v>0</v>
      </c>
      <c r="EV60" s="15" t="str">
        <f>IF('Raw Data'!EJ65="","",'Raw Data'!EJ65)</f>
        <v/>
      </c>
      <c r="EW60" s="15" t="str">
        <f>IF('Raw Data'!EK65="","",'Raw Data'!EK65)</f>
        <v/>
      </c>
      <c r="EX60" s="15" t="str">
        <f>IF('Raw Data'!EL65="","",'Raw Data'!EL65)</f>
        <v>famille_accueil comite_protection</v>
      </c>
      <c r="EY60" s="15" t="str">
        <f>IF('Raw Data'!EM65="","",'Raw Data'!EM65)</f>
        <v>0</v>
      </c>
      <c r="EZ60" s="15" t="str">
        <f>IF('Raw Data'!EN65="","",'Raw Data'!EN65)</f>
        <v>1</v>
      </c>
      <c r="FA60" s="15" t="str">
        <f>IF('Raw Data'!EO65="","",'Raw Data'!EO65)</f>
        <v>1</v>
      </c>
      <c r="FB60" s="15" t="str">
        <f>IF('Raw Data'!EP65="","",'Raw Data'!EP65)</f>
        <v>0</v>
      </c>
      <c r="FC60" s="15" t="str">
        <f>IF('Raw Data'!EQ65="","",'Raw Data'!EQ65)</f>
        <v>0</v>
      </c>
      <c r="FD60" s="15" t="str">
        <f>IF('Raw Data'!ER65="","",'Raw Data'!ER65)</f>
        <v>0</v>
      </c>
      <c r="FE60" s="15" t="str">
        <f>IF('Raw Data'!ES65="","",'Raw Data'!ES65)</f>
        <v>0</v>
      </c>
      <c r="FF60" s="15" t="str">
        <f>IF('Raw Data'!ET65="","",'Raw Data'!ET65)</f>
        <v>0</v>
      </c>
      <c r="FG60" s="15" t="str">
        <f>IF('Raw Data'!EU65="","",'Raw Data'!EU65)</f>
        <v>0</v>
      </c>
      <c r="FH60" s="15" t="str">
        <f>IF('Raw Data'!EV65="","",'Raw Data'!EV65)</f>
        <v>0</v>
      </c>
      <c r="FI60" s="15" t="str">
        <f>IF('Raw Data'!EW65="","",'Raw Data'!EW65)</f>
        <v/>
      </c>
      <c r="FJ60" s="15" t="str">
        <f>IF('Raw Data'!EX65="","",'Raw Data'!EX65)</f>
        <v>oui</v>
      </c>
      <c r="FK60" s="15" t="str">
        <f>IF('Raw Data'!EY65="","",'Raw Data'!EY65)</f>
        <v>Chef_village Leaders_religieux Differents_comites_villageois</v>
      </c>
      <c r="FL60" s="15" t="str">
        <f>IF('Raw Data'!EZ65="","",'Raw Data'!EZ65)</f>
        <v>0</v>
      </c>
      <c r="FM60" s="15" t="str">
        <f>IF('Raw Data'!FA65="","",'Raw Data'!FA65)</f>
        <v>0</v>
      </c>
      <c r="FN60" s="15" t="str">
        <f>IF('Raw Data'!FB65="","",'Raw Data'!FB65)</f>
        <v>0</v>
      </c>
      <c r="FO60" s="15" t="str">
        <f>IF('Raw Data'!FC65="","",'Raw Data'!FC65)</f>
        <v>0</v>
      </c>
      <c r="FP60" s="15" t="str">
        <f>IF('Raw Data'!FD65="","",'Raw Data'!FD65)</f>
        <v>1</v>
      </c>
      <c r="FQ60" s="15" t="str">
        <f>IF('Raw Data'!FE65="","",'Raw Data'!FE65)</f>
        <v>0</v>
      </c>
      <c r="FR60" s="15" t="str">
        <f>IF('Raw Data'!FF65="","",'Raw Data'!FF65)</f>
        <v>1</v>
      </c>
      <c r="FS60" s="15" t="str">
        <f>IF('Raw Data'!FG65="","",'Raw Data'!FG65)</f>
        <v>0</v>
      </c>
      <c r="FT60" s="15" t="str">
        <f>IF('Raw Data'!FH65="","",'Raw Data'!FH65)</f>
        <v>1</v>
      </c>
      <c r="FU60" s="15" t="str">
        <f>IF('Raw Data'!FI65="","",'Raw Data'!FI65)</f>
        <v>0</v>
      </c>
      <c r="FV60" s="15" t="str">
        <f>IF('Raw Data'!FJ65="","",'Raw Data'!FJ65)</f>
        <v>0</v>
      </c>
      <c r="FW60" s="15" t="str">
        <f>IF('Raw Data'!FK65="","",'Raw Data'!FK65)</f>
        <v>0</v>
      </c>
      <c r="FX60" s="15" t="str">
        <f>IF('Raw Data'!FL65="","",'Raw Data'!FL65)</f>
        <v>0</v>
      </c>
      <c r="FY60" s="15" t="str">
        <f>IF('Raw Data'!FM65="","",'Raw Data'!FM65)</f>
        <v>0</v>
      </c>
      <c r="FZ60" s="15" t="str">
        <f>IF('Raw Data'!FN65="","",'Raw Data'!FN65)</f>
        <v/>
      </c>
      <c r="GA60" s="15" t="str">
        <f>IF('Raw Data'!FO65="","",'Raw Data'!FO65)</f>
        <v>oui_ensemble</v>
      </c>
      <c r="GB60" s="15" t="str">
        <f>IF('Raw Data'!FP65="","",'Raw Data'!FP65)</f>
        <v>oui_ensemble</v>
      </c>
      <c r="GC60" s="15" t="str">
        <f>IF('Raw Data'!FQ65="","",'Raw Data'!FQ65)</f>
        <v/>
      </c>
      <c r="GD60" s="15" t="str">
        <f>IF('Raw Data'!FR65="","",'Raw Data'!FR65)</f>
        <v/>
      </c>
      <c r="GE60" s="15" t="str">
        <f>IF('Raw Data'!FS65="","",'Raw Data'!FS65)</f>
        <v/>
      </c>
      <c r="GF60" s="15" t="str">
        <f>IF('Raw Data'!FT65="","",'Raw Data'!FT65)</f>
        <v/>
      </c>
      <c r="GG60" s="15" t="str">
        <f>IF('Raw Data'!FU65="","",'Raw Data'!FU65)</f>
        <v/>
      </c>
      <c r="GH60" s="15" t="str">
        <f>IF('Raw Data'!FV65="","",'Raw Data'!FV65)</f>
        <v/>
      </c>
      <c r="GI60" s="15" t="str">
        <f>IF('Raw Data'!FW65="","",'Raw Data'!FW65)</f>
        <v/>
      </c>
      <c r="GJ60" s="15" t="str">
        <f>IF('Raw Data'!FX65="","",'Raw Data'!FX65)</f>
        <v/>
      </c>
      <c r="GK60" s="15" t="str">
        <f>IF('Raw Data'!FY65="","",'Raw Data'!FY65)</f>
        <v/>
      </c>
      <c r="GL60" s="15" t="str">
        <f>IF('Raw Data'!FZ65="","",'Raw Data'!FZ65)</f>
        <v/>
      </c>
      <c r="GM60" s="15" t="str">
        <f>IF('Raw Data'!GA65="","",'Raw Data'!GA65)</f>
        <v>ensemble</v>
      </c>
      <c r="GN60" s="15" t="str">
        <f>IF('Raw Data'!GB65="","",'Raw Data'!GB65)</f>
        <v>ensemble</v>
      </c>
      <c r="GO60" s="15" t="str">
        <f>IF('Raw Data'!GC65="","",'Raw Data'!GC65)</f>
        <v>Education Services_de_sante Appui_psychosocial</v>
      </c>
      <c r="GP60" s="15" t="str">
        <f>IF('Raw Data'!GD65="","",'Raw Data'!GD65)</f>
        <v>1</v>
      </c>
      <c r="GQ60" s="15" t="str">
        <f>IF('Raw Data'!GE65="","",'Raw Data'!GE65)</f>
        <v>1</v>
      </c>
      <c r="GR60" s="15" t="str">
        <f>IF('Raw Data'!GF65="","",'Raw Data'!GF65)</f>
        <v>0</v>
      </c>
      <c r="GS60" s="15" t="str">
        <f>IF('Raw Data'!GG65="","",'Raw Data'!GG65)</f>
        <v>1</v>
      </c>
      <c r="GT60" s="15" t="str">
        <f>IF('Raw Data'!GH65="","",'Raw Data'!GH65)</f>
        <v>0</v>
      </c>
      <c r="GU60" s="15" t="str">
        <f>IF('Raw Data'!GI65="","",'Raw Data'!GI65)</f>
        <v>0</v>
      </c>
      <c r="GV60" s="15" t="str">
        <f>IF('Raw Data'!GJ65="","",'Raw Data'!GJ65)</f>
        <v>0</v>
      </c>
      <c r="GW60" s="15" t="str">
        <f>IF('Raw Data'!GK65="","",'Raw Data'!GK65)</f>
        <v>0</v>
      </c>
      <c r="GX60" s="15" t="str">
        <f>IF('Raw Data'!GL65="","",'Raw Data'!GL65)</f>
        <v>0</v>
      </c>
      <c r="GY60" s="15" t="str">
        <f>IF('Raw Data'!GM65="","",'Raw Data'!GM65)</f>
        <v/>
      </c>
      <c r="GZ60" s="15" t="str">
        <f>IF('Raw Data'!GN65="","",'Raw Data'!GN65)</f>
        <v>oui_majorite</v>
      </c>
      <c r="HA60" s="15" t="str">
        <f>IF('Raw Data'!GO65="","",'Raw Data'!GO65)</f>
        <v>oui_majorite</v>
      </c>
      <c r="HB60" s="15" t="str">
        <f>IF('Raw Data'!GP65="","",'Raw Data'!GP65)</f>
        <v>amelioration_futur repond_besoins_pop permet_obtenir_conseils</v>
      </c>
      <c r="HC60" s="15" t="str">
        <f>IF('Raw Data'!GQ65="","",'Raw Data'!GQ65)</f>
        <v>1</v>
      </c>
      <c r="HD60" s="15" t="str">
        <f>IF('Raw Data'!GR65="","",'Raw Data'!GR65)</f>
        <v>1</v>
      </c>
      <c r="HE60" s="15" t="str">
        <f>IF('Raw Data'!GS65="","",'Raw Data'!GS65)</f>
        <v>1</v>
      </c>
      <c r="HF60" s="15" t="str">
        <f>IF('Raw Data'!GT65="","",'Raw Data'!GT65)</f>
        <v>0</v>
      </c>
      <c r="HG60" s="15" t="str">
        <f>IF('Raw Data'!GU65="","",'Raw Data'!GU65)</f>
        <v>0</v>
      </c>
      <c r="HH60" s="15" t="str">
        <f>IF('Raw Data'!GV65="","",'Raw Data'!GV65)</f>
        <v>0</v>
      </c>
      <c r="HI60" s="15" t="str">
        <f>IF('Raw Data'!GW65="","",'Raw Data'!GW65)</f>
        <v>0</v>
      </c>
      <c r="HJ60" s="15" t="str">
        <f>IF('Raw Data'!GX65="","",'Raw Data'!GX65)</f>
        <v>0</v>
      </c>
      <c r="HK60" s="15" t="str">
        <f>IF('Raw Data'!GY65="","",'Raw Data'!GY65)</f>
        <v/>
      </c>
      <c r="HL60" s="15" t="str">
        <f>IF('Raw Data'!GZ65="","",'Raw Data'!GZ65)</f>
        <v>non_diminition_tension</v>
      </c>
      <c r="HM60" s="15" t="str">
        <f>IF('Raw Data'!HA65="","",'Raw Data'!HA65)</f>
        <v>0</v>
      </c>
      <c r="HN60" s="15" t="str">
        <f>IF('Raw Data'!HB65="","",'Raw Data'!HB65)</f>
        <v>0</v>
      </c>
      <c r="HO60" s="15" t="str">
        <f>IF('Raw Data'!HC65="","",'Raw Data'!HC65)</f>
        <v>0</v>
      </c>
      <c r="HP60" s="15" t="str">
        <f>IF('Raw Data'!HD65="","",'Raw Data'!HD65)</f>
        <v>1</v>
      </c>
      <c r="HQ60" s="15" t="str">
        <f>IF('Raw Data'!HE65="","",'Raw Data'!HE65)</f>
        <v>0</v>
      </c>
      <c r="HR60" s="15" t="str">
        <f>IF('Raw Data'!HF65="","",'Raw Data'!HF65)</f>
        <v>0</v>
      </c>
      <c r="HS60" s="15" t="str">
        <f>IF('Raw Data'!HG65="","",'Raw Data'!HG65)</f>
        <v/>
      </c>
      <c r="HT60" s="15" t="str">
        <f>IF('Raw Data'!HH65="","",'Raw Data'!HH65)</f>
        <v/>
      </c>
      <c r="HU60" s="15" t="str">
        <f>IF('Raw Data'!HI65="","",'Raw Data'!HI65)</f>
        <v>non</v>
      </c>
      <c r="HV60" s="15" t="str">
        <f>IF('Raw Data'!HJ65="","",'Raw Data'!HJ65)</f>
        <v/>
      </c>
      <c r="HW60" s="15" t="str">
        <f>IF('Raw Data'!HK65="","",'Raw Data'!HK65)</f>
        <v/>
      </c>
      <c r="HX60" s="15" t="str">
        <f>IF('Raw Data'!HL65="","",'Raw Data'!HL65)</f>
        <v/>
      </c>
      <c r="HY60" s="15" t="str">
        <f>IF('Raw Data'!HM65="","",'Raw Data'!HM65)</f>
        <v/>
      </c>
      <c r="HZ60" s="15" t="str">
        <f>IF('Raw Data'!HN65="","",'Raw Data'!HN65)</f>
        <v/>
      </c>
      <c r="IA60" s="15" t="str">
        <f>IF('Raw Data'!HO65="","",'Raw Data'!HO65)</f>
        <v/>
      </c>
      <c r="IB60" s="15" t="str">
        <f>IF('Raw Data'!HP65="","",'Raw Data'!HP65)</f>
        <v/>
      </c>
      <c r="IC60" s="15" t="str">
        <f>IF('Raw Data'!HQ65="","",'Raw Data'!HQ65)</f>
        <v/>
      </c>
      <c r="ID60" s="15" t="str">
        <f>IF('Raw Data'!HR65="","",'Raw Data'!HR65)</f>
        <v/>
      </c>
      <c r="IE60" s="15" t="str">
        <f>IF('Raw Data'!HS65="","",'Raw Data'!HS65)</f>
        <v/>
      </c>
      <c r="IF60" s="15" t="str">
        <f>IF('Raw Data'!HT65="","",'Raw Data'!HT65)</f>
        <v/>
      </c>
      <c r="IG60" s="15" t="str">
        <f>IF('Raw Data'!HU65="","",'Raw Data'!HU65)</f>
        <v/>
      </c>
      <c r="IH60" s="15" t="str">
        <f>IF('Raw Data'!HV65="","",'Raw Data'!HV65)</f>
        <v>oui</v>
      </c>
      <c r="II60" s="15" t="str">
        <f>IF('Raw Data'!HW65="","",'Raw Data'!HW65)</f>
        <v/>
      </c>
      <c r="IJ60" s="15" t="str">
        <f>IF('Raw Data'!HX65="","",'Raw Data'!HX65)</f>
        <v/>
      </c>
      <c r="IK60" s="15" t="str">
        <f>IF('Raw Data'!HY65="","",'Raw Data'!HY65)</f>
        <v/>
      </c>
      <c r="IL60" s="15" t="str">
        <f>IF('Raw Data'!HZ65="","",'Raw Data'!HZ65)</f>
        <v/>
      </c>
      <c r="IM60" s="15" t="str">
        <f>IF('Raw Data'!IA65="","",'Raw Data'!IA65)</f>
        <v/>
      </c>
      <c r="IN60" s="15" t="str">
        <f>IF('Raw Data'!IB65="","",'Raw Data'!IB65)</f>
        <v/>
      </c>
      <c r="IO60" s="15" t="str">
        <f>IF('Raw Data'!IC65="","",'Raw Data'!IC65)</f>
        <v/>
      </c>
      <c r="IP60" s="15" t="str">
        <f>IF('Raw Data'!ID65="","",'Raw Data'!ID65)</f>
        <v/>
      </c>
      <c r="IQ60" s="15" t="str">
        <f>IF('Raw Data'!IE65="","",'Raw Data'!IE65)</f>
        <v/>
      </c>
      <c r="IR60" s="15" t="str">
        <f>IF('Raw Data'!IF65="","",'Raw Data'!IF65)</f>
        <v/>
      </c>
      <c r="IS60" s="15" t="str">
        <f>IF('Raw Data'!IG65="","",'Raw Data'!IG65)</f>
        <v/>
      </c>
      <c r="IT60" s="15" t="str">
        <f>IF('Raw Data'!IH65="","",'Raw Data'!IH65)</f>
        <v/>
      </c>
      <c r="IU60" s="15" t="str">
        <f>IF('Raw Data'!II65="","",'Raw Data'!II65)</f>
        <v/>
      </c>
      <c r="IV60" s="15" t="str">
        <f>IF('Raw Data'!IJ65="","",'Raw Data'!IJ65)</f>
        <v/>
      </c>
      <c r="IW60" s="15" t="str">
        <f>IF('Raw Data'!IK65="","",'Raw Data'!IK65)</f>
        <v/>
      </c>
      <c r="IX60" s="15" t="str">
        <f>IF('Raw Data'!IL65="","",'Raw Data'!IL65)</f>
        <v/>
      </c>
      <c r="IY60" s="15" t="str">
        <f>IF('Raw Data'!IM65="","",'Raw Data'!IM65)</f>
        <v/>
      </c>
      <c r="IZ60" s="15" t="str">
        <f>IF('Raw Data'!IN65="","",'Raw Data'!IN65)</f>
        <v>85</v>
      </c>
      <c r="JA60" s="15" t="str">
        <f>IF('Raw Data'!IO65="","",'Raw Data'!IO65)</f>
        <v>Services_medicaux Services_educatifs acces_docs Appui_psychosocial</v>
      </c>
      <c r="JB60" s="15" t="str">
        <f>IF('Raw Data'!IP65="","",'Raw Data'!IP65)</f>
        <v>1</v>
      </c>
      <c r="JC60" s="15" t="str">
        <f>IF('Raw Data'!IQ65="","",'Raw Data'!IQ65)</f>
        <v>1</v>
      </c>
      <c r="JD60" s="15" t="str">
        <f>IF('Raw Data'!IR65="","",'Raw Data'!IR65)</f>
        <v>1</v>
      </c>
      <c r="JE60" s="15" t="str">
        <f>IF('Raw Data'!IS65="","",'Raw Data'!IS65)</f>
        <v>0</v>
      </c>
      <c r="JF60" s="15" t="str">
        <f>IF('Raw Data'!IT65="","",'Raw Data'!IT65)</f>
        <v>1</v>
      </c>
      <c r="JG60" s="15" t="str">
        <f>IF('Raw Data'!IU65="","",'Raw Data'!IU65)</f>
        <v>0</v>
      </c>
      <c r="JH60" s="15" t="str">
        <f>IF('Raw Data'!IV65="","",'Raw Data'!IV65)</f>
        <v>0</v>
      </c>
      <c r="JI60" s="15" t="str">
        <f>IF('Raw Data'!IW65="","",'Raw Data'!IW65)</f>
        <v>0</v>
      </c>
      <c r="JJ60" s="15" t="str">
        <f>IF('Raw Data'!IX65="","",'Raw Data'!IX65)</f>
        <v>0</v>
      </c>
      <c r="JK60" s="15" t="str">
        <f>IF('Raw Data'!IY65="","",'Raw Data'!IY65)</f>
        <v>0</v>
      </c>
      <c r="JL60" s="15" t="str">
        <f>IF('Raw Data'!IZ65="","",'Raw Data'!IZ65)</f>
        <v/>
      </c>
      <c r="JM60" s="15" t="str">
        <f>IF('Raw Data'!JA65="","",'Raw Data'!JA65)</f>
        <v>reorientation signalement</v>
      </c>
      <c r="JN60" s="15" t="str">
        <f>IF('Raw Data'!JB65="","",'Raw Data'!JB65)</f>
        <v>0</v>
      </c>
      <c r="JO60" s="15" t="str">
        <f>IF('Raw Data'!JC65="","",'Raw Data'!JC65)</f>
        <v>1</v>
      </c>
      <c r="JP60" s="15" t="str">
        <f>IF('Raw Data'!JD65="","",'Raw Data'!JD65)</f>
        <v>1</v>
      </c>
      <c r="JQ60" s="15" t="str">
        <f>IF('Raw Data'!JE65="","",'Raw Data'!JE65)</f>
        <v>0</v>
      </c>
      <c r="JR60" s="15" t="str">
        <f>IF('Raw Data'!JF65="","",'Raw Data'!JF65)</f>
        <v>0</v>
      </c>
      <c r="JS60" s="15" t="str">
        <f>IF('Raw Data'!JG65="","",'Raw Data'!JG65)</f>
        <v>0</v>
      </c>
      <c r="JT60" s="15" t="str">
        <f>IF('Raw Data'!JH65="","",'Raw Data'!JH65)</f>
        <v/>
      </c>
      <c r="JU60" s="15" t="str">
        <f>IF('Raw Data'!JI65="","",'Raw Data'!JI65)</f>
        <v/>
      </c>
      <c r="JV60" s="15" t="str">
        <f>IF('Raw Data'!JJ65="","",'Raw Data'!JJ65)</f>
        <v/>
      </c>
      <c r="JW60" s="15" t="str">
        <f>IF('Raw Data'!JK65="","",'Raw Data'!JK65)</f>
        <v/>
      </c>
      <c r="JX60" s="15" t="str">
        <f>IF('Raw Data'!JL65="","",'Raw Data'!JL65)</f>
        <v/>
      </c>
      <c r="JY60" s="15" t="str">
        <f>IF('Raw Data'!JM65="","",'Raw Data'!JM65)</f>
        <v/>
      </c>
      <c r="JZ60" s="15" t="str">
        <f>IF('Raw Data'!JN65="","",'Raw Data'!JN65)</f>
        <v/>
      </c>
      <c r="KA60" s="15" t="str">
        <f>IF('Raw Data'!JO65="","",'Raw Data'!JO65)</f>
        <v/>
      </c>
      <c r="KB60" s="15" t="str">
        <f>IF('Raw Data'!JP65="","",'Raw Data'!JP65)</f>
        <v/>
      </c>
      <c r="KC60" s="15" t="str">
        <f>IF('Raw Data'!JQ65="","",'Raw Data'!JQ65)</f>
        <v/>
      </c>
      <c r="KD60" s="15" t="str">
        <f>IF('Raw Data'!JR65="","",'Raw Data'!JR65)</f>
        <v/>
      </c>
      <c r="KE60" s="15" t="str">
        <f>IF('Raw Data'!JS65="","",'Raw Data'!JS65)</f>
        <v/>
      </c>
      <c r="KF60" s="15" t="str">
        <f>IF('Raw Data'!JT65="","",'Raw Data'!JT65)</f>
        <v>medical juridique reinsertion surete Psychosocia</v>
      </c>
      <c r="KG60" s="15" t="str">
        <f>IF('Raw Data'!JU65="","",'Raw Data'!JU65)</f>
        <v>1</v>
      </c>
      <c r="KH60" s="15" t="str">
        <f>IF('Raw Data'!JV65="","",'Raw Data'!JV65)</f>
        <v>1</v>
      </c>
      <c r="KI60" s="15" t="str">
        <f>IF('Raw Data'!JW65="","",'Raw Data'!JW65)</f>
        <v>0</v>
      </c>
      <c r="KJ60" s="15" t="str">
        <f>IF('Raw Data'!JX65="","",'Raw Data'!JX65)</f>
        <v>1</v>
      </c>
      <c r="KK60" s="15" t="str">
        <f>IF('Raw Data'!JY65="","",'Raw Data'!JY65)</f>
        <v>1</v>
      </c>
      <c r="KL60" s="15" t="str">
        <f>IF('Raw Data'!JZ65="","",'Raw Data'!JZ65)</f>
        <v>1</v>
      </c>
      <c r="KM60" s="15" t="str">
        <f>IF('Raw Data'!KA65="","",'Raw Data'!KA65)</f>
        <v>0</v>
      </c>
      <c r="KN60" s="15" t="str">
        <f>IF('Raw Data'!KB65="","",'Raw Data'!KB65)</f>
        <v>0</v>
      </c>
      <c r="KO60" s="15" t="str">
        <f>IF('Raw Data'!KC65="","",'Raw Data'!KC65)</f>
        <v>0</v>
      </c>
      <c r="KP60" s="15" t="str">
        <f>IF('Raw Data'!KD65="","",'Raw Data'!KD65)</f>
        <v/>
      </c>
      <c r="KQ60" s="15" t="str">
        <f>IF('Raw Data'!KE65="","",'Raw Data'!KE65)</f>
        <v/>
      </c>
      <c r="KR60" s="15" t="str">
        <f>IF('Raw Data'!KF65="","",'Raw Data'!KF65)</f>
        <v>non</v>
      </c>
      <c r="KS60" s="15" t="str">
        <f>IF('Raw Data'!KG65="","",'Raw Data'!KG65)</f>
        <v/>
      </c>
      <c r="KT60" s="15" t="str">
        <f>IF('Raw Data'!KH65="","",'Raw Data'!KH65)</f>
        <v/>
      </c>
      <c r="KU60" s="15" t="str">
        <f>IF('Raw Data'!KI65="","",'Raw Data'!KI65)</f>
        <v/>
      </c>
      <c r="KV60" s="15" t="str">
        <f>IF('Raw Data'!KJ65="","",'Raw Data'!KJ65)</f>
        <v/>
      </c>
      <c r="KW60" s="15" t="str">
        <f>IF('Raw Data'!KK65="","",'Raw Data'!KK65)</f>
        <v/>
      </c>
      <c r="KX60" s="15" t="str">
        <f>IF('Raw Data'!KL65="","",'Raw Data'!KL65)</f>
        <v/>
      </c>
      <c r="KY60" s="15" t="str">
        <f>IF('Raw Data'!KM65="","",'Raw Data'!KM65)</f>
        <v/>
      </c>
      <c r="KZ60" s="15" t="str">
        <f>IF('Raw Data'!KN65="","",'Raw Data'!KN65)</f>
        <v/>
      </c>
      <c r="LA60" s="15" t="str">
        <f>IF('Raw Data'!KO65="","",'Raw Data'!KO65)</f>
        <v/>
      </c>
      <c r="LB60" s="15" t="str">
        <f>IF('Raw Data'!KP65="","",'Raw Data'!KP65)</f>
        <v/>
      </c>
      <c r="LC60" s="15" t="str">
        <f>IF('Raw Data'!KQ65="","",'Raw Data'!KQ65)</f>
        <v/>
      </c>
      <c r="LD60" s="15" t="str">
        <f>IF('Raw Data'!KR65="","",'Raw Data'!KR65)</f>
        <v/>
      </c>
      <c r="LE60" s="15" t="str">
        <f>IF('Raw Data'!KS65="","",'Raw Data'!KS65)</f>
        <v/>
      </c>
      <c r="LF60" s="15" t="str">
        <f>IF('Raw Data'!KT65="","",'Raw Data'!KT65)</f>
        <v/>
      </c>
      <c r="LG60" s="15" t="str">
        <f>IF('Raw Data'!KU65="","",'Raw Data'!KU65)</f>
        <v/>
      </c>
      <c r="LH60" s="15" t="str">
        <f>IF('Raw Data'!KV65="","",'Raw Data'!KV65)</f>
        <v/>
      </c>
      <c r="LI60" s="15" t="str">
        <f>IF('Raw Data'!KW65="","",'Raw Data'!KW65)</f>
        <v/>
      </c>
      <c r="LJ60" s="15" t="str">
        <f>IF('Raw Data'!KX65="","",'Raw Data'!KX65)</f>
        <v/>
      </c>
      <c r="LK60" s="15" t="str">
        <f>IF('Raw Data'!KY65="","",'Raw Data'!KY65)</f>
        <v/>
      </c>
      <c r="LL60" s="15" t="str">
        <f>IF('Raw Data'!KZ65="","",'Raw Data'!KZ65)</f>
        <v/>
      </c>
      <c r="LM60" s="15" t="str">
        <f>IF('Raw Data'!LA65="","",'Raw Data'!LA65)</f>
        <v/>
      </c>
      <c r="LN60" s="15" t="str">
        <f>IF('Raw Data'!LB65="","",'Raw Data'!LB65)</f>
        <v>non</v>
      </c>
      <c r="LO60" s="15" t="str">
        <f>IF('Raw Data'!LC65="","",'Raw Data'!LC65)</f>
        <v/>
      </c>
      <c r="LP60" s="15" t="str">
        <f>IF('Raw Data'!LD65="","",'Raw Data'!LD65)</f>
        <v/>
      </c>
      <c r="LQ60" s="15" t="str">
        <f>IF('Raw Data'!LE65="","",'Raw Data'!LE65)</f>
        <v/>
      </c>
      <c r="LR60" s="15" t="str">
        <f>IF('Raw Data'!LF65="","",'Raw Data'!LF65)</f>
        <v/>
      </c>
      <c r="LS60" s="15" t="str">
        <f>IF('Raw Data'!LG65="","",'Raw Data'!LG65)</f>
        <v/>
      </c>
      <c r="LT60" s="15" t="str">
        <f>IF('Raw Data'!LH65="","",'Raw Data'!LH65)</f>
        <v/>
      </c>
      <c r="LU60" s="15" t="str">
        <f>IF('Raw Data'!LI65="","",'Raw Data'!LI65)</f>
        <v/>
      </c>
      <c r="LV60" s="15" t="str">
        <f>IF('Raw Data'!LJ65="","",'Raw Data'!LJ65)</f>
        <v/>
      </c>
      <c r="LW60" s="15" t="str">
        <f>IF('Raw Data'!LK65="","",'Raw Data'!LK65)</f>
        <v/>
      </c>
      <c r="LX60" s="15" t="str">
        <f>IF('Raw Data'!LL65="","",'Raw Data'!LL65)</f>
        <v/>
      </c>
      <c r="LY60" s="15" t="str">
        <f>IF('Raw Data'!LM65="","",'Raw Data'!LM65)</f>
        <v/>
      </c>
      <c r="LZ60" s="15" t="str">
        <f>IF('Raw Data'!LN65="","",'Raw Data'!LN65)</f>
        <v/>
      </c>
      <c r="MA60" s="15" t="str">
        <f>IF('Raw Data'!LO65="","",'Raw Data'!LO65)</f>
        <v/>
      </c>
      <c r="MB60" s="15" t="str">
        <f>IF('Raw Data'!LP65="","",'Raw Data'!LP65)</f>
        <v>oui</v>
      </c>
      <c r="MC60" s="15" t="str">
        <f>IF('Raw Data'!LQ65="","",'Raw Data'!LQ65)</f>
        <v/>
      </c>
      <c r="MD60" s="15" t="str">
        <f>IF('Raw Data'!LR65="","",'Raw Data'!LR65)</f>
        <v/>
      </c>
      <c r="ME60" s="15">
        <f>IF('Raw Data'!LS65="","",'Raw Data'!LS65)</f>
        <v>172010451</v>
      </c>
      <c r="MF60" s="15" t="str">
        <f>IF('Raw Data'!LT65="","",'Raw Data'!LT65)</f>
        <v>60625aaf-f58c-4940-86f6-874af488d0d6</v>
      </c>
      <c r="MG60" s="15" t="str">
        <f>IF('Raw Data'!LU65="","",'Raw Data'!LU65)</f>
        <v>2021-04-16T16:05:48</v>
      </c>
      <c r="MH60" s="15" t="str">
        <f>IF('Raw Data'!LV65="","",'Raw Data'!LV65)</f>
        <v/>
      </c>
      <c r="MI60" s="15" t="str">
        <f>IF('Raw Data'!LW65="","",'Raw Data'!LW65)</f>
        <v>[]</v>
      </c>
      <c r="MJ60" s="15" t="str">
        <f>IF('Raw Data'!LX65="","",'Raw Data'!LX65)</f>
        <v>submitted_via_web</v>
      </c>
      <c r="MK60" s="15" t="str">
        <f>IF('Raw Data'!LY65="","",'Raw Data'!LY65)</f>
        <v>reach_niger</v>
      </c>
      <c r="ML60" s="15" t="str">
        <f>IF('Raw Data'!LZ65="","",'Raw Data'!LZ65)</f>
        <v/>
      </c>
      <c r="MM60" s="15">
        <f>IF('Raw Data'!MA65="","",'Raw Data'!MA65)</f>
        <v>70</v>
      </c>
    </row>
    <row r="61" spans="1:351" x14ac:dyDescent="0.3">
      <c r="A61" s="26" t="str">
        <f t="shared" si="4"/>
        <v>0d68c4d2-8eb9-4e1a-90c2-5b734954eb98</v>
      </c>
      <c r="B61" s="26" t="str">
        <f t="shared" si="5"/>
        <v>torodi</v>
      </c>
      <c r="C61" s="26" t="str">
        <f t="shared" si="6"/>
        <v>M</v>
      </c>
      <c r="D61" s="14" t="str">
        <f>IF('Raw Data'!A62="","",'Raw Data'!A62)</f>
        <v>2021-04-15T14:36:25.820+01:00</v>
      </c>
      <c r="E61" s="14" t="str">
        <f>IF('Raw Data'!B62="","",'Raw Data'!B62)</f>
        <v>2021-04-15T15:13:39.718+01:00</v>
      </c>
      <c r="F61" s="30">
        <v>44301.608622685184</v>
      </c>
      <c r="G61" s="30">
        <v>44301.634479166663</v>
      </c>
      <c r="H61" s="29">
        <f>VLOOKUP(A61,Audit[#All],2,FALSE)</f>
        <v>37.229999999999997</v>
      </c>
      <c r="I61" s="29">
        <f>VLOOKUP(A61,Audit[#All],3,FALSE)</f>
        <v>37.17</v>
      </c>
      <c r="J61" s="29">
        <f>VLOOKUP(A61,Audit[#All],4,FALSE)</f>
        <v>35.96</v>
      </c>
      <c r="K61" s="29">
        <f>VLOOKUP(A61,nb_questions[#All],2,FALSE)</f>
        <v>139</v>
      </c>
      <c r="L61" s="29">
        <f t="shared" si="7"/>
        <v>213</v>
      </c>
      <c r="M61" s="14" t="str">
        <f>IF('Raw Data'!C62="","",'Raw Data'!C62)</f>
        <v>2021-04-15</v>
      </c>
      <c r="N61" s="14" t="str">
        <f>IF('Raw Data'!D62="","",'Raw Data'!D62)</f>
        <v/>
      </c>
      <c r="O61" s="14" t="str">
        <f>IF('Raw Data'!E62="","",'Raw Data'!E62)</f>
        <v/>
      </c>
      <c r="P61" s="29" t="str">
        <f>VLOOKUP(A61,code_enqueteurs[#All],3,FALSE)</f>
        <v>M</v>
      </c>
      <c r="Q61" s="29" t="s">
        <v>1656</v>
      </c>
      <c r="R61" s="14" t="str">
        <f>IF('Raw Data'!F62="","",'Raw Data'!F62)</f>
        <v>Homme</v>
      </c>
      <c r="S61" s="15" t="str">
        <f>IF('Raw Data'!G62="","",'Raw Data'!G62)</f>
        <v>torodi</v>
      </c>
      <c r="T61" s="15" t="str">
        <f>IF('Raw Data'!H62="","",'Raw Data'!H62)</f>
        <v>torodi</v>
      </c>
      <c r="U61" s="31" t="s">
        <v>1516</v>
      </c>
      <c r="V61" s="15" t="str">
        <f>IF('Raw Data'!J62="","",'Raw Data'!J62)</f>
        <v>Kobadjé</v>
      </c>
      <c r="W61" s="15" t="str">
        <f>IF('Raw Data'!K62="","",'Raw Data'!K62)</f>
        <v/>
      </c>
      <c r="X61" s="15" t="str">
        <f>IF('Raw Data'!L62="","",'Raw Data'!L62)</f>
        <v/>
      </c>
      <c r="Y61" s="15" t="str">
        <f>IF('Raw Data'!M62="","",'Raw Data'!M62)</f>
        <v/>
      </c>
      <c r="Z61" s="15" t="str">
        <f>IF('Raw Data'!N62="","",'Raw Data'!N62)</f>
        <v/>
      </c>
      <c r="AA61" s="15" t="str">
        <f>IF('Raw Data'!O62="","",'Raw Data'!O62)</f>
        <v/>
      </c>
      <c r="AB61" s="15" t="str">
        <f>IF('Raw Data'!P62="","",'Raw Data'!P62)</f>
        <v/>
      </c>
      <c r="AC61" s="15" t="str">
        <f>IF('Raw Data'!Q62="","",'Raw Data'!Q62)</f>
        <v/>
      </c>
      <c r="AD61" s="15" t="str">
        <f>IF('Raw Data'!R62="","",'Raw Data'!R62)</f>
        <v>Femme</v>
      </c>
      <c r="AE61" s="15" t="str">
        <f>IF('Raw Data'!S62="","",'Raw Data'!S62)</f>
        <v>51</v>
      </c>
      <c r="AF61" s="15" t="str">
        <f>IF('Raw Data'!T62="","",'Raw Data'!T62)</f>
        <v>deplace_interne</v>
      </c>
      <c r="AG61" s="15" t="str">
        <f>IF('Raw Data'!U62="","",'Raw Data'!U62)</f>
        <v/>
      </c>
      <c r="AH61" s="15" t="str">
        <f>IF('Raw Data'!V62="","",'Raw Data'!V62)</f>
        <v/>
      </c>
      <c r="AI61" s="15" t="str">
        <f>IF('Raw Data'!W62="","",'Raw Data'!W62)</f>
        <v/>
      </c>
      <c r="AJ61" s="15" t="str">
        <f>IF('Raw Data'!X62="","",'Raw Data'!X62)</f>
        <v/>
      </c>
      <c r="AK61" s="15" t="str">
        <f>IF('Raw Data'!Y62="","",'Raw Data'!Y62)</f>
        <v/>
      </c>
      <c r="AL61" s="15" t="str">
        <f>IF('Raw Data'!Z62="","",'Raw Data'!Z62)</f>
        <v>niger</v>
      </c>
      <c r="AM61" s="15" t="str">
        <f>IF('Raw Data'!AA62="","",'Raw Data'!AA62)</f>
        <v>tillaberi</v>
      </c>
      <c r="AN61" s="15" t="str">
        <f>IF('Raw Data'!AB62="","",'Raw Data'!AB62)</f>
        <v>torodi</v>
      </c>
      <c r="AO61" s="15" t="str">
        <f>IF('Raw Data'!AC62="","",'Raw Data'!AC62)</f>
        <v/>
      </c>
      <c r="AP61" s="15" t="str">
        <f>IF('Raw Data'!AD62="","",'Raw Data'!AD62)</f>
        <v/>
      </c>
      <c r="AQ61" s="15" t="str">
        <f>IF('Raw Data'!AE62="","",'Raw Data'!AE62)</f>
        <v/>
      </c>
      <c r="AR61" s="15" t="str">
        <f>IF('Raw Data'!AF62="","",'Raw Data'!AF62)</f>
        <v/>
      </c>
      <c r="AS61" s="15" t="str">
        <f>IF('Raw Data'!AG62="","",'Raw Data'!AG62)</f>
        <v>non</v>
      </c>
      <c r="AT61" s="15" t="str">
        <f>IF('Raw Data'!AH62="","",'Raw Data'!AH62)</f>
        <v/>
      </c>
      <c r="AU61" s="15" t="str">
        <f>IF('Raw Data'!AI62="","",'Raw Data'!AI62)</f>
        <v/>
      </c>
      <c r="AV61" s="15" t="str">
        <f>IF('Raw Data'!AJ62="","",'Raw Data'!AJ62)</f>
        <v/>
      </c>
      <c r="AW61" s="15" t="str">
        <f>IF('Raw Data'!AK62="","",'Raw Data'!AK62)</f>
        <v/>
      </c>
      <c r="AX61" s="15" t="str">
        <f>IF('Raw Data'!AL62="","",'Raw Data'!AL62)</f>
        <v/>
      </c>
      <c r="AY61" s="15" t="str">
        <f>IF('Raw Data'!AM62="","",'Raw Data'!AM62)</f>
        <v/>
      </c>
      <c r="AZ61" s="15" t="str">
        <f>IF('Raw Data'!AN62="","",'Raw Data'!AN62)</f>
        <v/>
      </c>
      <c r="BA61" s="15" t="str">
        <f>IF('Raw Data'!AO62="","",'Raw Data'!AO62)</f>
        <v/>
      </c>
      <c r="BB61" s="15" t="str">
        <f>IF('Raw Data'!AP62="","",'Raw Data'!AP62)</f>
        <v/>
      </c>
      <c r="BC61" s="15" t="str">
        <f>IF('Raw Data'!AQ62="","",'Raw Data'!AQ62)</f>
        <v/>
      </c>
      <c r="BD61" s="15" t="str">
        <f>IF('Raw Data'!AR62="","",'Raw Data'!AR62)</f>
        <v/>
      </c>
      <c r="BE61" s="15" t="str">
        <f>IF('Raw Data'!AS62="","",'Raw Data'!AS62)</f>
        <v/>
      </c>
      <c r="BF61" s="15" t="str">
        <f>IF('Raw Data'!AT62="","",'Raw Data'!AT62)</f>
        <v/>
      </c>
      <c r="BG61" s="15" t="str">
        <f>IF('Raw Data'!AU62="","",'Raw Data'!AU62)</f>
        <v/>
      </c>
      <c r="BH61" s="15" t="str">
        <f>IF('Raw Data'!AV62="","",'Raw Data'!AV62)</f>
        <v/>
      </c>
      <c r="BI61" s="15" t="str">
        <f>IF('Raw Data'!AW62="","",'Raw Data'!AW62)</f>
        <v/>
      </c>
      <c r="BJ61" s="15" t="str">
        <f>IF('Raw Data'!AX62="","",'Raw Data'!AX62)</f>
        <v/>
      </c>
      <c r="BK61" s="15" t="str">
        <f>IF('Raw Data'!AY62="","",'Raw Data'!AY62)</f>
        <v/>
      </c>
      <c r="BL61" s="15" t="str">
        <f>IF('Raw Data'!AZ62="","",'Raw Data'!AZ62)</f>
        <v/>
      </c>
      <c r="BM61" s="15" t="str">
        <f>IF('Raw Data'!BA62="","",'Raw Data'!BA62)</f>
        <v/>
      </c>
      <c r="BN61" s="15" t="str">
        <f>IF('Raw Data'!BB62="","",'Raw Data'!BB62)</f>
        <v/>
      </c>
      <c r="BO61" s="15" t="str">
        <f>IF('Raw Data'!BC62="","",'Raw Data'!BC62)</f>
        <v/>
      </c>
      <c r="BP61" s="15" t="str">
        <f>IF('Raw Data'!BD62="","",'Raw Data'!BD62)</f>
        <v/>
      </c>
      <c r="BQ61" s="15" t="str">
        <f>IF('Raw Data'!BE62="","",'Raw Data'!BE62)</f>
        <v/>
      </c>
      <c r="BR61" s="15" t="str">
        <f>IF('Raw Data'!BF62="","",'Raw Data'!BF62)</f>
        <v/>
      </c>
      <c r="BS61" s="15" t="str">
        <f>IF('Raw Data'!BG62="","",'Raw Data'!BG62)</f>
        <v/>
      </c>
      <c r="BT61" s="15" t="str">
        <f>IF('Raw Data'!BH62="","",'Raw Data'!BH62)</f>
        <v/>
      </c>
      <c r="BU61" s="15" t="str">
        <f>IF('Raw Data'!BI62="","",'Raw Data'!BI62)</f>
        <v/>
      </c>
      <c r="BV61" s="15" t="str">
        <f>IF('Raw Data'!BJ62="","",'Raw Data'!BJ62)</f>
        <v/>
      </c>
      <c r="BW61" s="15" t="str">
        <f>IF('Raw Data'!BK62="","",'Raw Data'!BK62)</f>
        <v/>
      </c>
      <c r="BX61" s="15" t="str">
        <f>IF('Raw Data'!BL62="","",'Raw Data'!BL62)</f>
        <v/>
      </c>
      <c r="BY61" s="15" t="str">
        <f>IF('Raw Data'!BM62="","",'Raw Data'!BM62)</f>
        <v/>
      </c>
      <c r="BZ61" s="15" t="str">
        <f>IF('Raw Data'!BN62="","",'Raw Data'!BN62)</f>
        <v/>
      </c>
      <c r="CA61" s="15" t="str">
        <f>IF('Raw Data'!BO62="","",'Raw Data'!BO62)</f>
        <v/>
      </c>
      <c r="CB61" s="15" t="str">
        <f>IF('Raw Data'!BP62="","",'Raw Data'!BP62)</f>
        <v/>
      </c>
      <c r="CC61" s="15" t="str">
        <f>IF('Raw Data'!BQ62="","",'Raw Data'!BQ62)</f>
        <v>non</v>
      </c>
      <c r="CD61" s="15" t="str">
        <f>IF('Raw Data'!BR62="","",'Raw Data'!BR62)</f>
        <v/>
      </c>
      <c r="CE61" s="15" t="str">
        <f>IF('Raw Data'!BS62="","",'Raw Data'!BS62)</f>
        <v/>
      </c>
      <c r="CF61" s="15" t="str">
        <f>IF('Raw Data'!BT62="","",'Raw Data'!BT62)</f>
        <v/>
      </c>
      <c r="CG61" s="15" t="str">
        <f>IF('Raw Data'!BU62="","",'Raw Data'!BU62)</f>
        <v/>
      </c>
      <c r="CH61" s="15" t="str">
        <f>IF('Raw Data'!BV62="","",'Raw Data'!BV62)</f>
        <v/>
      </c>
      <c r="CI61" s="15" t="str">
        <f>IF('Raw Data'!BW62="","",'Raw Data'!BW62)</f>
        <v/>
      </c>
      <c r="CJ61" s="15" t="str">
        <f>IF('Raw Data'!BX62="","",'Raw Data'!BX62)</f>
        <v/>
      </c>
      <c r="CK61" s="15" t="str">
        <f>IF('Raw Data'!BY62="","",'Raw Data'!BY62)</f>
        <v/>
      </c>
      <c r="CL61" s="15" t="str">
        <f>IF('Raw Data'!BZ62="","",'Raw Data'!BZ62)</f>
        <v/>
      </c>
      <c r="CM61" s="15" t="str">
        <f>IF('Raw Data'!CA62="","",'Raw Data'!CA62)</f>
        <v/>
      </c>
      <c r="CN61" s="15" t="str">
        <f>IF('Raw Data'!CB62="","",'Raw Data'!CB62)</f>
        <v/>
      </c>
      <c r="CO61" s="15" t="str">
        <f>IF('Raw Data'!CC62="","",'Raw Data'!CC62)</f>
        <v/>
      </c>
      <c r="CP61" s="15" t="str">
        <f>IF('Raw Data'!CD62="","",'Raw Data'!CD62)</f>
        <v/>
      </c>
      <c r="CQ61" s="15" t="str">
        <f>IF('Raw Data'!CE62="","",'Raw Data'!CE62)</f>
        <v/>
      </c>
      <c r="CR61" s="15" t="str">
        <f>IF('Raw Data'!CF62="","",'Raw Data'!CF62)</f>
        <v/>
      </c>
      <c r="CS61" s="15" t="str">
        <f>IF('Raw Data'!CG62="","",'Raw Data'!CG62)</f>
        <v/>
      </c>
      <c r="CT61" s="15" t="str">
        <f>IF('Raw Data'!CH62="","",'Raw Data'!CH62)</f>
        <v/>
      </c>
      <c r="CU61" s="15" t="str">
        <f>IF('Raw Data'!CI62="","",'Raw Data'!CI62)</f>
        <v/>
      </c>
      <c r="CV61" s="15" t="str">
        <f>IF('Raw Data'!CJ62="","",'Raw Data'!CJ62)</f>
        <v/>
      </c>
      <c r="CW61" s="15" t="str">
        <f>IF('Raw Data'!CK62="","",'Raw Data'!CK62)</f>
        <v/>
      </c>
      <c r="CX61" s="15" t="str">
        <f>IF('Raw Data'!CL62="","",'Raw Data'!CL62)</f>
        <v/>
      </c>
      <c r="CY61" s="15" t="str">
        <f>IF('Raw Data'!CM62="","",'Raw Data'!CM62)</f>
        <v/>
      </c>
      <c r="CZ61" s="15" t="str">
        <f>IF('Raw Data'!CN62="","",'Raw Data'!CN62)</f>
        <v/>
      </c>
      <c r="DA61" s="15" t="str">
        <f>IF('Raw Data'!CO62="","",'Raw Data'!CO62)</f>
        <v/>
      </c>
      <c r="DB61" s="15" t="str">
        <f>IF('Raw Data'!CP62="","",'Raw Data'!CP62)</f>
        <v/>
      </c>
      <c r="DC61" s="15" t="str">
        <f>IF('Raw Data'!CQ62="","",'Raw Data'!CQ62)</f>
        <v/>
      </c>
      <c r="DD61" s="15" t="str">
        <f>IF('Raw Data'!CR62="","",'Raw Data'!CR62)</f>
        <v/>
      </c>
      <c r="DE61" s="15" t="str">
        <f>IF('Raw Data'!CS62="","",'Raw Data'!CS62)</f>
        <v/>
      </c>
      <c r="DF61" s="15" t="str">
        <f>IF('Raw Data'!CT62="","",'Raw Data'!CT62)</f>
        <v/>
      </c>
      <c r="DG61" s="15" t="str">
        <f>IF('Raw Data'!CU62="","",'Raw Data'!CU62)</f>
        <v/>
      </c>
      <c r="DH61" s="15" t="str">
        <f>IF('Raw Data'!CV62="","",'Raw Data'!CV62)</f>
        <v/>
      </c>
      <c r="DI61" s="15" t="str">
        <f>IF('Raw Data'!CW62="","",'Raw Data'!CW62)</f>
        <v/>
      </c>
      <c r="DJ61" s="15" t="str">
        <f>IF('Raw Data'!CX62="","",'Raw Data'!CX62)</f>
        <v/>
      </c>
      <c r="DK61" s="15" t="str">
        <f>IF('Raw Data'!CY62="","",'Raw Data'!CY62)</f>
        <v/>
      </c>
      <c r="DL61" s="15" t="str">
        <f>IF('Raw Data'!CZ62="","",'Raw Data'!CZ62)</f>
        <v/>
      </c>
      <c r="DM61" s="15" t="str">
        <f>IF('Raw Data'!DA62="","",'Raw Data'!DA62)</f>
        <v/>
      </c>
      <c r="DN61" s="15" t="str">
        <f>IF('Raw Data'!DB62="","",'Raw Data'!DB62)</f>
        <v/>
      </c>
      <c r="DO61" s="15" t="str">
        <f>IF('Raw Data'!DC62="","",'Raw Data'!DC62)</f>
        <v/>
      </c>
      <c r="DP61" s="15" t="str">
        <f>IF('Raw Data'!DD62="","",'Raw Data'!DD62)</f>
        <v/>
      </c>
      <c r="DQ61" s="15" t="str">
        <f>IF('Raw Data'!DE62="","",'Raw Data'!DE62)</f>
        <v/>
      </c>
      <c r="DR61" s="15" t="str">
        <f>IF('Raw Data'!DF62="","",'Raw Data'!DF62)</f>
        <v/>
      </c>
      <c r="DS61" s="15" t="str">
        <f>IF('Raw Data'!DG62="","",'Raw Data'!DG62)</f>
        <v/>
      </c>
      <c r="DT61" s="15" t="str">
        <f>IF('Raw Data'!DH62="","",'Raw Data'!DH62)</f>
        <v/>
      </c>
      <c r="DU61" s="15" t="str">
        <f>IF('Raw Data'!DI62="","",'Raw Data'!DI62)</f>
        <v/>
      </c>
      <c r="DV61" s="15" t="str">
        <f>IF('Raw Data'!DJ62="","",'Raw Data'!DJ62)</f>
        <v/>
      </c>
      <c r="DW61" s="15" t="str">
        <f>IF('Raw Data'!DK62="","",'Raw Data'!DK62)</f>
        <v/>
      </c>
      <c r="DX61" s="15" t="str">
        <f>IF('Raw Data'!DL62="","",'Raw Data'!DL62)</f>
        <v/>
      </c>
      <c r="DY61" s="15" t="str">
        <f>IF('Raw Data'!DM62="","",'Raw Data'!DM62)</f>
        <v/>
      </c>
      <c r="DZ61" s="15" t="str">
        <f>IF('Raw Data'!DN62="","",'Raw Data'!DN62)</f>
        <v/>
      </c>
      <c r="EA61" s="15" t="str">
        <f>IF('Raw Data'!DO62="","",'Raw Data'!DO62)</f>
        <v/>
      </c>
      <c r="EB61" s="15" t="str">
        <f>IF('Raw Data'!DP62="","",'Raw Data'!DP62)</f>
        <v/>
      </c>
      <c r="EC61" s="15" t="str">
        <f>IF('Raw Data'!DQ62="","",'Raw Data'!DQ62)</f>
        <v/>
      </c>
      <c r="ED61" s="15" t="str">
        <f>IF('Raw Data'!DR62="","",'Raw Data'!DR62)</f>
        <v/>
      </c>
      <c r="EE61" s="15" t="str">
        <f>IF('Raw Data'!DS62="","",'Raw Data'!DS62)</f>
        <v/>
      </c>
      <c r="EF61" s="15" t="str">
        <f>IF('Raw Data'!DT62="","",'Raw Data'!DT62)</f>
        <v/>
      </c>
      <c r="EG61" s="15" t="str">
        <f>IF('Raw Data'!DU62="","",'Raw Data'!DU62)</f>
        <v/>
      </c>
      <c r="EH61" s="15" t="str">
        <f>IF('Raw Data'!DV62="","",'Raw Data'!DV62)</f>
        <v/>
      </c>
      <c r="EI61" s="15" t="str">
        <f>IF('Raw Data'!DW62="","",'Raw Data'!DW62)</f>
        <v/>
      </c>
      <c r="EJ61" s="15" t="str">
        <f>IF('Raw Data'!DX62="","",'Raw Data'!DX62)</f>
        <v/>
      </c>
      <c r="EK61" s="15" t="str">
        <f>IF('Raw Data'!DY62="","",'Raw Data'!DY62)</f>
        <v/>
      </c>
      <c r="EL61" s="15" t="str">
        <f>IF('Raw Data'!DZ62="","",'Raw Data'!DZ62)</f>
        <v>dplct_abords_com Integration_com_hote Soutien_en_AGR</v>
      </c>
      <c r="EM61" s="15" t="str">
        <f>IF('Raw Data'!EA62="","",'Raw Data'!EA62)</f>
        <v>1</v>
      </c>
      <c r="EN61" s="15" t="str">
        <f>IF('Raw Data'!EB62="","",'Raw Data'!EB62)</f>
        <v>1</v>
      </c>
      <c r="EO61" s="15" t="str">
        <f>IF('Raw Data'!EC62="","",'Raw Data'!EC62)</f>
        <v>0</v>
      </c>
      <c r="EP61" s="15" t="str">
        <f>IF('Raw Data'!ED62="","",'Raw Data'!ED62)</f>
        <v>0</v>
      </c>
      <c r="EQ61" s="15" t="str">
        <f>IF('Raw Data'!EE62="","",'Raw Data'!EE62)</f>
        <v>0</v>
      </c>
      <c r="ER61" s="15" t="str">
        <f>IF('Raw Data'!EF62="","",'Raw Data'!EF62)</f>
        <v>1</v>
      </c>
      <c r="ES61" s="15" t="str">
        <f>IF('Raw Data'!EG62="","",'Raw Data'!EG62)</f>
        <v>0</v>
      </c>
      <c r="ET61" s="15" t="str">
        <f>IF('Raw Data'!EH62="","",'Raw Data'!EH62)</f>
        <v>0</v>
      </c>
      <c r="EU61" s="15" t="str">
        <f>IF('Raw Data'!EI62="","",'Raw Data'!EI62)</f>
        <v>0</v>
      </c>
      <c r="EV61" s="15" t="str">
        <f>IF('Raw Data'!EJ62="","",'Raw Data'!EJ62)</f>
        <v/>
      </c>
      <c r="EW61" s="15" t="str">
        <f>IF('Raw Data'!EK62="","",'Raw Data'!EK62)</f>
        <v/>
      </c>
      <c r="EX61" s="15" t="str">
        <f>IF('Raw Data'!EL62="","",'Raw Data'!EL62)</f>
        <v>famille_accueil comite_protection</v>
      </c>
      <c r="EY61" s="15" t="str">
        <f>IF('Raw Data'!EM62="","",'Raw Data'!EM62)</f>
        <v>0</v>
      </c>
      <c r="EZ61" s="15" t="str">
        <f>IF('Raw Data'!EN62="","",'Raw Data'!EN62)</f>
        <v>1</v>
      </c>
      <c r="FA61" s="15" t="str">
        <f>IF('Raw Data'!EO62="","",'Raw Data'!EO62)</f>
        <v>1</v>
      </c>
      <c r="FB61" s="15" t="str">
        <f>IF('Raw Data'!EP62="","",'Raw Data'!EP62)</f>
        <v>0</v>
      </c>
      <c r="FC61" s="15" t="str">
        <f>IF('Raw Data'!EQ62="","",'Raw Data'!EQ62)</f>
        <v>0</v>
      </c>
      <c r="FD61" s="15" t="str">
        <f>IF('Raw Data'!ER62="","",'Raw Data'!ER62)</f>
        <v>0</v>
      </c>
      <c r="FE61" s="15" t="str">
        <f>IF('Raw Data'!ES62="","",'Raw Data'!ES62)</f>
        <v>0</v>
      </c>
      <c r="FF61" s="15" t="str">
        <f>IF('Raw Data'!ET62="","",'Raw Data'!ET62)</f>
        <v>0</v>
      </c>
      <c r="FG61" s="15" t="str">
        <f>IF('Raw Data'!EU62="","",'Raw Data'!EU62)</f>
        <v>0</v>
      </c>
      <c r="FH61" s="15" t="str">
        <f>IF('Raw Data'!EV62="","",'Raw Data'!EV62)</f>
        <v>0</v>
      </c>
      <c r="FI61" s="15" t="str">
        <f>IF('Raw Data'!EW62="","",'Raw Data'!EW62)</f>
        <v/>
      </c>
      <c r="FJ61" s="15" t="str">
        <f>IF('Raw Data'!EX62="","",'Raw Data'!EX62)</f>
        <v>oui</v>
      </c>
      <c r="FK61" s="15" t="str">
        <f>IF('Raw Data'!EY62="","",'Raw Data'!EY62)</f>
        <v>Radio_television famille_amis Groupement_femmes</v>
      </c>
      <c r="FL61" s="15" t="str">
        <f>IF('Raw Data'!EZ62="","",'Raw Data'!EZ62)</f>
        <v>1</v>
      </c>
      <c r="FM61" s="15" t="str">
        <f>IF('Raw Data'!FA62="","",'Raw Data'!FA62)</f>
        <v>0</v>
      </c>
      <c r="FN61" s="15" t="str">
        <f>IF('Raw Data'!FB62="","",'Raw Data'!FB62)</f>
        <v>0</v>
      </c>
      <c r="FO61" s="15" t="str">
        <f>IF('Raw Data'!FC62="","",'Raw Data'!FC62)</f>
        <v>0</v>
      </c>
      <c r="FP61" s="15" t="str">
        <f>IF('Raw Data'!FD62="","",'Raw Data'!FD62)</f>
        <v>0</v>
      </c>
      <c r="FQ61" s="15" t="str">
        <f>IF('Raw Data'!FE62="","",'Raw Data'!FE62)</f>
        <v>1</v>
      </c>
      <c r="FR61" s="15" t="str">
        <f>IF('Raw Data'!FF62="","",'Raw Data'!FF62)</f>
        <v>0</v>
      </c>
      <c r="FS61" s="15" t="str">
        <f>IF('Raw Data'!FG62="","",'Raw Data'!FG62)</f>
        <v>1</v>
      </c>
      <c r="FT61" s="15" t="str">
        <f>IF('Raw Data'!FH62="","",'Raw Data'!FH62)</f>
        <v>0</v>
      </c>
      <c r="FU61" s="15" t="str">
        <f>IF('Raw Data'!FI62="","",'Raw Data'!FI62)</f>
        <v>0</v>
      </c>
      <c r="FV61" s="15" t="str">
        <f>IF('Raw Data'!FJ62="","",'Raw Data'!FJ62)</f>
        <v>0</v>
      </c>
      <c r="FW61" s="15" t="str">
        <f>IF('Raw Data'!FK62="","",'Raw Data'!FK62)</f>
        <v>0</v>
      </c>
      <c r="FX61" s="15" t="str">
        <f>IF('Raw Data'!FL62="","",'Raw Data'!FL62)</f>
        <v>0</v>
      </c>
      <c r="FY61" s="15" t="str">
        <f>IF('Raw Data'!FM62="","",'Raw Data'!FM62)</f>
        <v>0</v>
      </c>
      <c r="FZ61" s="15" t="str">
        <f>IF('Raw Data'!FN62="","",'Raw Data'!FN62)</f>
        <v/>
      </c>
      <c r="GA61" s="15" t="str">
        <f>IF('Raw Data'!FO62="","",'Raw Data'!FO62)</f>
        <v>oui_ensemble</v>
      </c>
      <c r="GB61" s="15" t="str">
        <f>IF('Raw Data'!FP62="","",'Raw Data'!FP62)</f>
        <v>oui_ensemble</v>
      </c>
      <c r="GC61" s="15" t="str">
        <f>IF('Raw Data'!FQ62="","",'Raw Data'!FQ62)</f>
        <v/>
      </c>
      <c r="GD61" s="15" t="str">
        <f>IF('Raw Data'!FR62="","",'Raw Data'!FR62)</f>
        <v/>
      </c>
      <c r="GE61" s="15" t="str">
        <f>IF('Raw Data'!FS62="","",'Raw Data'!FS62)</f>
        <v/>
      </c>
      <c r="GF61" s="15" t="str">
        <f>IF('Raw Data'!FT62="","",'Raw Data'!FT62)</f>
        <v/>
      </c>
      <c r="GG61" s="15" t="str">
        <f>IF('Raw Data'!FU62="","",'Raw Data'!FU62)</f>
        <v/>
      </c>
      <c r="GH61" s="15" t="str">
        <f>IF('Raw Data'!FV62="","",'Raw Data'!FV62)</f>
        <v/>
      </c>
      <c r="GI61" s="15" t="str">
        <f>IF('Raw Data'!FW62="","",'Raw Data'!FW62)</f>
        <v/>
      </c>
      <c r="GJ61" s="15" t="str">
        <f>IF('Raw Data'!FX62="","",'Raw Data'!FX62)</f>
        <v/>
      </c>
      <c r="GK61" s="15" t="str">
        <f>IF('Raw Data'!FY62="","",'Raw Data'!FY62)</f>
        <v/>
      </c>
      <c r="GL61" s="15" t="str">
        <f>IF('Raw Data'!FZ62="","",'Raw Data'!FZ62)</f>
        <v/>
      </c>
      <c r="GM61" s="15" t="str">
        <f>IF('Raw Data'!GA62="","",'Raw Data'!GA62)</f>
        <v>ensemble</v>
      </c>
      <c r="GN61" s="15" t="str">
        <f>IF('Raw Data'!GB62="","",'Raw Data'!GB62)</f>
        <v>majorite</v>
      </c>
      <c r="GO61" s="15" t="str">
        <f>IF('Raw Data'!GC62="","",'Raw Data'!GC62)</f>
        <v>Appui_psychosocial Education Services_de_sante Acces_aux_doc</v>
      </c>
      <c r="GP61" s="15" t="str">
        <f>IF('Raw Data'!GD62="","",'Raw Data'!GD62)</f>
        <v>1</v>
      </c>
      <c r="GQ61" s="15" t="str">
        <f>IF('Raw Data'!GE62="","",'Raw Data'!GE62)</f>
        <v>1</v>
      </c>
      <c r="GR61" s="15" t="str">
        <f>IF('Raw Data'!GF62="","",'Raw Data'!GF62)</f>
        <v>0</v>
      </c>
      <c r="GS61" s="15" t="str">
        <f>IF('Raw Data'!GG62="","",'Raw Data'!GG62)</f>
        <v>1</v>
      </c>
      <c r="GT61" s="15" t="str">
        <f>IF('Raw Data'!GH62="","",'Raw Data'!GH62)</f>
        <v>1</v>
      </c>
      <c r="GU61" s="15" t="str">
        <f>IF('Raw Data'!GI62="","",'Raw Data'!GI62)</f>
        <v>0</v>
      </c>
      <c r="GV61" s="15" t="str">
        <f>IF('Raw Data'!GJ62="","",'Raw Data'!GJ62)</f>
        <v>0</v>
      </c>
      <c r="GW61" s="15" t="str">
        <f>IF('Raw Data'!GK62="","",'Raw Data'!GK62)</f>
        <v>0</v>
      </c>
      <c r="GX61" s="15" t="str">
        <f>IF('Raw Data'!GL62="","",'Raw Data'!GL62)</f>
        <v>0</v>
      </c>
      <c r="GY61" s="15" t="str">
        <f>IF('Raw Data'!GM62="","",'Raw Data'!GM62)</f>
        <v/>
      </c>
      <c r="GZ61" s="15" t="str">
        <f>IF('Raw Data'!GN62="","",'Raw Data'!GN62)</f>
        <v>oui_majorite</v>
      </c>
      <c r="HA61" s="15" t="str">
        <f>IF('Raw Data'!GO62="","",'Raw Data'!GO62)</f>
        <v>oui_majorite</v>
      </c>
      <c r="HB61" s="15" t="str">
        <f>IF('Raw Data'!GP62="","",'Raw Data'!GP62)</f>
        <v>amelioration_futur repond_besoins_pop permet_obtenir_conseils</v>
      </c>
      <c r="HC61" s="15" t="str">
        <f>IF('Raw Data'!GQ62="","",'Raw Data'!GQ62)</f>
        <v>1</v>
      </c>
      <c r="HD61" s="15" t="str">
        <f>IF('Raw Data'!GR62="","",'Raw Data'!GR62)</f>
        <v>1</v>
      </c>
      <c r="HE61" s="15" t="str">
        <f>IF('Raw Data'!GS62="","",'Raw Data'!GS62)</f>
        <v>1</v>
      </c>
      <c r="HF61" s="15" t="str">
        <f>IF('Raw Data'!GT62="","",'Raw Data'!GT62)</f>
        <v>0</v>
      </c>
      <c r="HG61" s="15" t="str">
        <f>IF('Raw Data'!GU62="","",'Raw Data'!GU62)</f>
        <v>0</v>
      </c>
      <c r="HH61" s="15" t="str">
        <f>IF('Raw Data'!GV62="","",'Raw Data'!GV62)</f>
        <v>0</v>
      </c>
      <c r="HI61" s="15" t="str">
        <f>IF('Raw Data'!GW62="","",'Raw Data'!GW62)</f>
        <v>0</v>
      </c>
      <c r="HJ61" s="15" t="str">
        <f>IF('Raw Data'!GX62="","",'Raw Data'!GX62)</f>
        <v>0</v>
      </c>
      <c r="HK61" s="15" t="str">
        <f>IF('Raw Data'!GY62="","",'Raw Data'!GY62)</f>
        <v/>
      </c>
      <c r="HL61" s="15" t="str">
        <f>IF('Raw Data'!GZ62="","",'Raw Data'!GZ62)</f>
        <v>Ne_sait_pas</v>
      </c>
      <c r="HM61" s="15" t="str">
        <f>IF('Raw Data'!HA62="","",'Raw Data'!HA62)</f>
        <v>0</v>
      </c>
      <c r="HN61" s="15" t="str">
        <f>IF('Raw Data'!HB62="","",'Raw Data'!HB62)</f>
        <v>0</v>
      </c>
      <c r="HO61" s="15" t="str">
        <f>IF('Raw Data'!HC62="","",'Raw Data'!HC62)</f>
        <v>0</v>
      </c>
      <c r="HP61" s="15" t="str">
        <f>IF('Raw Data'!HD62="","",'Raw Data'!HD62)</f>
        <v>0</v>
      </c>
      <c r="HQ61" s="15" t="str">
        <f>IF('Raw Data'!HE62="","",'Raw Data'!HE62)</f>
        <v>0</v>
      </c>
      <c r="HR61" s="15" t="str">
        <f>IF('Raw Data'!HF62="","",'Raw Data'!HF62)</f>
        <v>1</v>
      </c>
      <c r="HS61" s="15" t="str">
        <f>IF('Raw Data'!HG62="","",'Raw Data'!HG62)</f>
        <v/>
      </c>
      <c r="HT61" s="15" t="str">
        <f>IF('Raw Data'!HH62="","",'Raw Data'!HH62)</f>
        <v/>
      </c>
      <c r="HU61" s="15" t="str">
        <f>IF('Raw Data'!HI62="","",'Raw Data'!HI62)</f>
        <v>oui_majorite</v>
      </c>
      <c r="HV61" s="15" t="str">
        <f>IF('Raw Data'!HJ62="","",'Raw Data'!HJ62)</f>
        <v>ne_sait_pas</v>
      </c>
      <c r="HW61" s="15" t="str">
        <f>IF('Raw Data'!HK62="","",'Raw Data'!HK62)</f>
        <v>0</v>
      </c>
      <c r="HX61" s="15" t="str">
        <f>IF('Raw Data'!HL62="","",'Raw Data'!HL62)</f>
        <v>0</v>
      </c>
      <c r="HY61" s="15" t="str">
        <f>IF('Raw Data'!HM62="","",'Raw Data'!HM62)</f>
        <v>0</v>
      </c>
      <c r="HZ61" s="15" t="str">
        <f>IF('Raw Data'!HN62="","",'Raw Data'!HN62)</f>
        <v>0</v>
      </c>
      <c r="IA61" s="15" t="str">
        <f>IF('Raw Data'!HO62="","",'Raw Data'!HO62)</f>
        <v>0</v>
      </c>
      <c r="IB61" s="15" t="str">
        <f>IF('Raw Data'!HP62="","",'Raw Data'!HP62)</f>
        <v>0</v>
      </c>
      <c r="IC61" s="15" t="str">
        <f>IF('Raw Data'!HQ62="","",'Raw Data'!HQ62)</f>
        <v>0</v>
      </c>
      <c r="ID61" s="15" t="str">
        <f>IF('Raw Data'!HR62="","",'Raw Data'!HR62)</f>
        <v>1</v>
      </c>
      <c r="IE61" s="15" t="str">
        <f>IF('Raw Data'!HS62="","",'Raw Data'!HS62)</f>
        <v>0</v>
      </c>
      <c r="IF61" s="15" t="str">
        <f>IF('Raw Data'!HT62="","",'Raw Data'!HT62)</f>
        <v>0</v>
      </c>
      <c r="IG61" s="15" t="str">
        <f>IF('Raw Data'!HU62="","",'Raw Data'!HU62)</f>
        <v/>
      </c>
      <c r="IH61" s="15" t="str">
        <f>IF('Raw Data'!HV62="","",'Raw Data'!HV62)</f>
        <v>oui</v>
      </c>
      <c r="II61" s="15" t="str">
        <f>IF('Raw Data'!HW62="","",'Raw Data'!HW62)</f>
        <v/>
      </c>
      <c r="IJ61" s="15" t="str">
        <f>IF('Raw Data'!HX62="","",'Raw Data'!HX62)</f>
        <v/>
      </c>
      <c r="IK61" s="15" t="str">
        <f>IF('Raw Data'!HY62="","",'Raw Data'!HY62)</f>
        <v/>
      </c>
      <c r="IL61" s="15" t="str">
        <f>IF('Raw Data'!HZ62="","",'Raw Data'!HZ62)</f>
        <v/>
      </c>
      <c r="IM61" s="15" t="str">
        <f>IF('Raw Data'!IA62="","",'Raw Data'!IA62)</f>
        <v/>
      </c>
      <c r="IN61" s="15" t="str">
        <f>IF('Raw Data'!IB62="","",'Raw Data'!IB62)</f>
        <v/>
      </c>
      <c r="IO61" s="15" t="str">
        <f>IF('Raw Data'!IC62="","",'Raw Data'!IC62)</f>
        <v/>
      </c>
      <c r="IP61" s="15" t="str">
        <f>IF('Raw Data'!ID62="","",'Raw Data'!ID62)</f>
        <v/>
      </c>
      <c r="IQ61" s="15" t="str">
        <f>IF('Raw Data'!IE62="","",'Raw Data'!IE62)</f>
        <v/>
      </c>
      <c r="IR61" s="15" t="str">
        <f>IF('Raw Data'!IF62="","",'Raw Data'!IF62)</f>
        <v/>
      </c>
      <c r="IS61" s="15" t="str">
        <f>IF('Raw Data'!IG62="","",'Raw Data'!IG62)</f>
        <v/>
      </c>
      <c r="IT61" s="15" t="str">
        <f>IF('Raw Data'!IH62="","",'Raw Data'!IH62)</f>
        <v/>
      </c>
      <c r="IU61" s="15" t="str">
        <f>IF('Raw Data'!II62="","",'Raw Data'!II62)</f>
        <v/>
      </c>
      <c r="IV61" s="15" t="str">
        <f>IF('Raw Data'!IJ62="","",'Raw Data'!IJ62)</f>
        <v/>
      </c>
      <c r="IW61" s="15" t="str">
        <f>IF('Raw Data'!IK62="","",'Raw Data'!IK62)</f>
        <v/>
      </c>
      <c r="IX61" s="15" t="str">
        <f>IF('Raw Data'!IL62="","",'Raw Data'!IL62)</f>
        <v/>
      </c>
      <c r="IY61" s="15" t="str">
        <f>IF('Raw Data'!IM62="","",'Raw Data'!IM62)</f>
        <v/>
      </c>
      <c r="IZ61" s="31"/>
      <c r="JA61" s="31"/>
      <c r="JB61" s="31"/>
      <c r="JC61" s="31"/>
      <c r="JD61" s="31"/>
      <c r="JE61" s="31"/>
      <c r="JF61" s="31"/>
      <c r="JG61" s="31"/>
      <c r="JH61" s="31"/>
      <c r="JI61" s="31"/>
      <c r="JJ61" s="31"/>
      <c r="JK61" s="31"/>
      <c r="JL61" s="15" t="str">
        <f>IF('Raw Data'!IZ62="","",'Raw Data'!IZ62)</f>
        <v/>
      </c>
      <c r="JM61" s="31"/>
      <c r="JN61" s="31"/>
      <c r="JO61" s="31"/>
      <c r="JP61" s="31"/>
      <c r="JQ61" s="31"/>
      <c r="JR61" s="31"/>
      <c r="JS61" s="31"/>
      <c r="JT61" s="15" t="str">
        <f>IF('Raw Data'!JH62="","",'Raw Data'!JH62)</f>
        <v/>
      </c>
      <c r="JU61" s="15" t="str">
        <f>IF('Raw Data'!JI62="","",'Raw Data'!JI62)</f>
        <v/>
      </c>
      <c r="JV61" s="15" t="str">
        <f>IF('Raw Data'!JJ62="","",'Raw Data'!JJ62)</f>
        <v/>
      </c>
      <c r="JW61" s="15" t="str">
        <f>IF('Raw Data'!JK62="","",'Raw Data'!JK62)</f>
        <v/>
      </c>
      <c r="JX61" s="15" t="str">
        <f>IF('Raw Data'!JL62="","",'Raw Data'!JL62)</f>
        <v/>
      </c>
      <c r="JY61" s="15" t="str">
        <f>IF('Raw Data'!JM62="","",'Raw Data'!JM62)</f>
        <v/>
      </c>
      <c r="JZ61" s="15" t="str">
        <f>IF('Raw Data'!JN62="","",'Raw Data'!JN62)</f>
        <v/>
      </c>
      <c r="KA61" s="15" t="str">
        <f>IF('Raw Data'!JO62="","",'Raw Data'!JO62)</f>
        <v/>
      </c>
      <c r="KB61" s="15" t="str">
        <f>IF('Raw Data'!JP62="","",'Raw Data'!JP62)</f>
        <v/>
      </c>
      <c r="KC61" s="15" t="str">
        <f>IF('Raw Data'!JQ62="","",'Raw Data'!JQ62)</f>
        <v/>
      </c>
      <c r="KD61" s="15" t="str">
        <f>IF('Raw Data'!JR62="","",'Raw Data'!JR62)</f>
        <v/>
      </c>
      <c r="KE61" s="15" t="str">
        <f>IF('Raw Data'!JS62="","",'Raw Data'!JS62)</f>
        <v/>
      </c>
      <c r="KF61" s="31"/>
      <c r="KG61" s="31"/>
      <c r="KH61" s="31"/>
      <c r="KI61" s="31"/>
      <c r="KJ61" s="31"/>
      <c r="KK61" s="31"/>
      <c r="KL61" s="31"/>
      <c r="KM61" s="31"/>
      <c r="KN61" s="31"/>
      <c r="KO61" s="31"/>
      <c r="KP61" s="15" t="str">
        <f>IF('Raw Data'!KD62="","",'Raw Data'!KD62)</f>
        <v/>
      </c>
      <c r="KQ61" s="15" t="str">
        <f>IF('Raw Data'!KE62="","",'Raw Data'!KE62)</f>
        <v/>
      </c>
      <c r="KR61" s="31"/>
      <c r="KS61" s="15" t="str">
        <f>IF('Raw Data'!KG62="","",'Raw Data'!KG62)</f>
        <v/>
      </c>
      <c r="KT61" s="15" t="str">
        <f>IF('Raw Data'!KH62="","",'Raw Data'!KH62)</f>
        <v/>
      </c>
      <c r="KU61" s="15" t="str">
        <f>IF('Raw Data'!KI62="","",'Raw Data'!KI62)</f>
        <v/>
      </c>
      <c r="KV61" s="15" t="str">
        <f>IF('Raw Data'!KJ62="","",'Raw Data'!KJ62)</f>
        <v/>
      </c>
      <c r="KW61" s="15" t="str">
        <f>IF('Raw Data'!KK62="","",'Raw Data'!KK62)</f>
        <v/>
      </c>
      <c r="KX61" s="15" t="str">
        <f>IF('Raw Data'!KL62="","",'Raw Data'!KL62)</f>
        <v/>
      </c>
      <c r="KY61" s="15" t="str">
        <f>IF('Raw Data'!KM62="","",'Raw Data'!KM62)</f>
        <v/>
      </c>
      <c r="KZ61" s="15" t="str">
        <f>IF('Raw Data'!KN62="","",'Raw Data'!KN62)</f>
        <v/>
      </c>
      <c r="LA61" s="15" t="str">
        <f>IF('Raw Data'!KO62="","",'Raw Data'!KO62)</f>
        <v/>
      </c>
      <c r="LB61" s="15" t="str">
        <f>IF('Raw Data'!KP62="","",'Raw Data'!KP62)</f>
        <v/>
      </c>
      <c r="LC61" s="15" t="str">
        <f>IF('Raw Data'!KQ62="","",'Raw Data'!KQ62)</f>
        <v/>
      </c>
      <c r="LD61" s="15" t="str">
        <f>IF('Raw Data'!KR62="","",'Raw Data'!KR62)</f>
        <v/>
      </c>
      <c r="LE61" s="15" t="str">
        <f>IF('Raw Data'!KS62="","",'Raw Data'!KS62)</f>
        <v/>
      </c>
      <c r="LF61" s="15" t="str">
        <f>IF('Raw Data'!KT62="","",'Raw Data'!KT62)</f>
        <v/>
      </c>
      <c r="LG61" s="15" t="str">
        <f>IF('Raw Data'!KU62="","",'Raw Data'!KU62)</f>
        <v/>
      </c>
      <c r="LH61" s="15" t="str">
        <f>IF('Raw Data'!KV62="","",'Raw Data'!KV62)</f>
        <v/>
      </c>
      <c r="LI61" s="15" t="str">
        <f>IF('Raw Data'!KW62="","",'Raw Data'!KW62)</f>
        <v/>
      </c>
      <c r="LJ61" s="15" t="str">
        <f>IF('Raw Data'!KX62="","",'Raw Data'!KX62)</f>
        <v/>
      </c>
      <c r="LK61" s="15" t="str">
        <f>IF('Raw Data'!KY62="","",'Raw Data'!KY62)</f>
        <v/>
      </c>
      <c r="LL61" s="15" t="str">
        <f>IF('Raw Data'!KZ62="","",'Raw Data'!KZ62)</f>
        <v/>
      </c>
      <c r="LM61" s="15" t="str">
        <f>IF('Raw Data'!LA62="","",'Raw Data'!LA62)</f>
        <v/>
      </c>
      <c r="LN61" s="31"/>
      <c r="LO61" s="15" t="str">
        <f>IF('Raw Data'!LC62="","",'Raw Data'!LC62)</f>
        <v/>
      </c>
      <c r="LP61" s="15" t="str">
        <f>IF('Raw Data'!LD62="","",'Raw Data'!LD62)</f>
        <v/>
      </c>
      <c r="LQ61" s="15" t="str">
        <f>IF('Raw Data'!LE62="","",'Raw Data'!LE62)</f>
        <v/>
      </c>
      <c r="LR61" s="15" t="str">
        <f>IF('Raw Data'!LF62="","",'Raw Data'!LF62)</f>
        <v/>
      </c>
      <c r="LS61" s="15" t="str">
        <f>IF('Raw Data'!LG62="","",'Raw Data'!LG62)</f>
        <v/>
      </c>
      <c r="LT61" s="15" t="str">
        <f>IF('Raw Data'!LH62="","",'Raw Data'!LH62)</f>
        <v/>
      </c>
      <c r="LU61" s="15" t="str">
        <f>IF('Raw Data'!LI62="","",'Raw Data'!LI62)</f>
        <v/>
      </c>
      <c r="LV61" s="15" t="str">
        <f>IF('Raw Data'!LJ62="","",'Raw Data'!LJ62)</f>
        <v/>
      </c>
      <c r="LW61" s="15" t="str">
        <f>IF('Raw Data'!LK62="","",'Raw Data'!LK62)</f>
        <v/>
      </c>
      <c r="LX61" s="15" t="str">
        <f>IF('Raw Data'!LL62="","",'Raw Data'!LL62)</f>
        <v/>
      </c>
      <c r="LY61" s="15" t="str">
        <f>IF('Raw Data'!LM62="","",'Raw Data'!LM62)</f>
        <v/>
      </c>
      <c r="LZ61" s="15" t="str">
        <f>IF('Raw Data'!LN62="","",'Raw Data'!LN62)</f>
        <v/>
      </c>
      <c r="MA61" s="15" t="str">
        <f>IF('Raw Data'!LO62="","",'Raw Data'!LO62)</f>
        <v/>
      </c>
      <c r="MB61" s="15" t="str">
        <f>IF('Raw Data'!LP62="","",'Raw Data'!LP62)</f>
        <v>non</v>
      </c>
      <c r="MC61" s="15" t="str">
        <f>IF('Raw Data'!LQ62="","",'Raw Data'!LQ62)</f>
        <v/>
      </c>
      <c r="MD61" s="15" t="str">
        <f>IF('Raw Data'!LR62="","",'Raw Data'!LR62)</f>
        <v/>
      </c>
      <c r="ME61" s="15">
        <f>IF('Raw Data'!LS62="","",'Raw Data'!LS62)</f>
        <v>171852744</v>
      </c>
      <c r="MF61" s="15" t="str">
        <f>IF('Raw Data'!LT62="","",'Raw Data'!LT62)</f>
        <v>0d68c4d2-8eb9-4e1a-90c2-5b734954eb98</v>
      </c>
      <c r="MG61" s="15" t="str">
        <f>IF('Raw Data'!LU62="","",'Raw Data'!LU62)</f>
        <v>2021-04-15T18:50:11</v>
      </c>
      <c r="MH61" s="15" t="str">
        <f>IF('Raw Data'!LV62="","",'Raw Data'!LV62)</f>
        <v/>
      </c>
      <c r="MI61" s="15" t="str">
        <f>IF('Raw Data'!LW62="","",'Raw Data'!LW62)</f>
        <v>[]</v>
      </c>
      <c r="MJ61" s="15" t="str">
        <f>IF('Raw Data'!LX62="","",'Raw Data'!LX62)</f>
        <v>submitted_via_web</v>
      </c>
      <c r="MK61" s="15" t="str">
        <f>IF('Raw Data'!LY62="","",'Raw Data'!LY62)</f>
        <v>reach_niger</v>
      </c>
      <c r="ML61" s="15" t="str">
        <f>IF('Raw Data'!LZ62="","",'Raw Data'!LZ62)</f>
        <v/>
      </c>
      <c r="MM61" s="15">
        <f>IF('Raw Data'!MA62="","",'Raw Data'!MA62)</f>
        <v>67</v>
      </c>
    </row>
    <row r="62" spans="1:351" x14ac:dyDescent="0.3">
      <c r="A62" s="26" t="str">
        <f t="shared" si="4"/>
        <v>36016775-8b32-4563-b0aa-31f0c9e19495</v>
      </c>
      <c r="B62" s="26" t="str">
        <f t="shared" si="5"/>
        <v>torodi</v>
      </c>
      <c r="C62" s="26" t="str">
        <f t="shared" si="6"/>
        <v>M</v>
      </c>
      <c r="D62" s="14" t="str">
        <f>IF('Raw Data'!A66="","",'Raw Data'!A66)</f>
        <v>2021-04-16T11:25:21.284+01:00</v>
      </c>
      <c r="E62" s="14" t="str">
        <f>IF('Raw Data'!B66="","",'Raw Data'!B66)</f>
        <v>2021-04-16T12:02:13.666+01:00</v>
      </c>
      <c r="F62" s="30">
        <v>44302.475937499999</v>
      </c>
      <c r="G62" s="30">
        <v>44302.501539351855</v>
      </c>
      <c r="H62" s="29">
        <f>VLOOKUP(A62,Audit[#All],2,FALSE)</f>
        <v>36.869999999999997</v>
      </c>
      <c r="I62" s="29">
        <f>VLOOKUP(A62,Audit[#All],3,FALSE)</f>
        <v>31.7</v>
      </c>
      <c r="J62" s="29">
        <f>VLOOKUP(A62,Audit[#All],4,FALSE)</f>
        <v>31.54</v>
      </c>
      <c r="K62" s="29">
        <f>VLOOKUP(A62,nb_questions[#All],2,FALSE)</f>
        <v>70</v>
      </c>
      <c r="L62" s="29">
        <f t="shared" si="7"/>
        <v>125</v>
      </c>
      <c r="M62" s="14" t="str">
        <f>IF('Raw Data'!C66="","",'Raw Data'!C66)</f>
        <v>2021-04-16</v>
      </c>
      <c r="N62" s="14" t="str">
        <f>IF('Raw Data'!D66="","",'Raw Data'!D66)</f>
        <v/>
      </c>
      <c r="O62" s="14" t="str">
        <f>IF('Raw Data'!E66="","",'Raw Data'!E66)</f>
        <v/>
      </c>
      <c r="P62" s="29" t="str">
        <f>VLOOKUP(A62,code_enqueteurs[#All],3,FALSE)</f>
        <v>M</v>
      </c>
      <c r="Q62" s="29" t="s">
        <v>1656</v>
      </c>
      <c r="R62" s="14" t="str">
        <f>IF('Raw Data'!F66="","",'Raw Data'!F66)</f>
        <v>Homme</v>
      </c>
      <c r="S62" s="15" t="str">
        <f>IF('Raw Data'!G66="","",'Raw Data'!G66)</f>
        <v>torodi</v>
      </c>
      <c r="T62" s="15" t="str">
        <f>IF('Raw Data'!H66="","",'Raw Data'!H66)</f>
        <v>torodi</v>
      </c>
      <c r="U62" s="15" t="str">
        <f>IF('Raw Data'!I66="","",'Raw Data'!I66)</f>
        <v>torodi</v>
      </c>
      <c r="V62" s="15" t="str">
        <f>IF('Raw Data'!J66="","",'Raw Data'!J66)</f>
        <v/>
      </c>
      <c r="W62" s="15" t="str">
        <f>IF('Raw Data'!K66="","",'Raw Data'!K66)</f>
        <v/>
      </c>
      <c r="X62" s="15" t="str">
        <f>IF('Raw Data'!L66="","",'Raw Data'!L66)</f>
        <v/>
      </c>
      <c r="Y62" s="15" t="str">
        <f>IF('Raw Data'!M66="","",'Raw Data'!M66)</f>
        <v/>
      </c>
      <c r="Z62" s="15" t="str">
        <f>IF('Raw Data'!N66="","",'Raw Data'!N66)</f>
        <v/>
      </c>
      <c r="AA62" s="15" t="str">
        <f>IF('Raw Data'!O66="","",'Raw Data'!O66)</f>
        <v/>
      </c>
      <c r="AB62" s="15" t="str">
        <f>IF('Raw Data'!P66="","",'Raw Data'!P66)</f>
        <v/>
      </c>
      <c r="AC62" s="15" t="str">
        <f>IF('Raw Data'!Q66="","",'Raw Data'!Q66)</f>
        <v/>
      </c>
      <c r="AD62" s="15" t="str">
        <f>IF('Raw Data'!R66="","",'Raw Data'!R66)</f>
        <v>Homme</v>
      </c>
      <c r="AE62" s="15" t="str">
        <f>IF('Raw Data'!S66="","",'Raw Data'!S66)</f>
        <v>54</v>
      </c>
      <c r="AF62" s="15" t="str">
        <f>IF('Raw Data'!T66="","",'Raw Data'!T66)</f>
        <v>deplace_interne</v>
      </c>
      <c r="AG62" s="15" t="str">
        <f>IF('Raw Data'!U66="","",'Raw Data'!U66)</f>
        <v/>
      </c>
      <c r="AH62" s="15" t="str">
        <f>IF('Raw Data'!V66="","",'Raw Data'!V66)</f>
        <v/>
      </c>
      <c r="AI62" s="15" t="str">
        <f>IF('Raw Data'!W66="","",'Raw Data'!W66)</f>
        <v/>
      </c>
      <c r="AJ62" s="15" t="str">
        <f>IF('Raw Data'!X66="","",'Raw Data'!X66)</f>
        <v/>
      </c>
      <c r="AK62" s="15" t="str">
        <f>IF('Raw Data'!Y66="","",'Raw Data'!Y66)</f>
        <v/>
      </c>
      <c r="AL62" s="15" t="str">
        <f>IF('Raw Data'!Z66="","",'Raw Data'!Z66)</f>
        <v>niger</v>
      </c>
      <c r="AM62" s="15" t="str">
        <f>IF('Raw Data'!AA66="","",'Raw Data'!AA66)</f>
        <v>tillaberi</v>
      </c>
      <c r="AN62" s="15" t="str">
        <f>IF('Raw Data'!AB66="","",'Raw Data'!AB66)</f>
        <v>tillaberi</v>
      </c>
      <c r="AO62" s="15" t="str">
        <f>IF('Raw Data'!AC66="","",'Raw Data'!AC66)</f>
        <v/>
      </c>
      <c r="AP62" s="15" t="str">
        <f>IF('Raw Data'!AD66="","",'Raw Data'!AD66)</f>
        <v/>
      </c>
      <c r="AQ62" s="15" t="str">
        <f>IF('Raw Data'!AE66="","",'Raw Data'!AE66)</f>
        <v/>
      </c>
      <c r="AR62" s="15" t="str">
        <f>IF('Raw Data'!AF66="","",'Raw Data'!AF66)</f>
        <v/>
      </c>
      <c r="AS62" s="15" t="str">
        <f>IF('Raw Data'!AG66="","",'Raw Data'!AG66)</f>
        <v>oui</v>
      </c>
      <c r="AT62" s="15" t="str">
        <f>IF('Raw Data'!AH66="","",'Raw Data'!AH66)</f>
        <v>Vols_braquages Violences_physique_civils Attaques_ecoles_sante</v>
      </c>
      <c r="AU62" s="15" t="str">
        <f>IF('Raw Data'!AI66="","",'Raw Data'!AI66)</f>
        <v>0</v>
      </c>
      <c r="AV62" s="15" t="str">
        <f>IF('Raw Data'!AJ66="","",'Raw Data'!AJ66)</f>
        <v>0</v>
      </c>
      <c r="AW62" s="15" t="str">
        <f>IF('Raw Data'!AK66="","",'Raw Data'!AK66)</f>
        <v>1</v>
      </c>
      <c r="AX62" s="15" t="str">
        <f>IF('Raw Data'!AL66="","",'Raw Data'!AL66)</f>
        <v>0</v>
      </c>
      <c r="AY62" s="15" t="str">
        <f>IF('Raw Data'!AM66="","",'Raw Data'!AM66)</f>
        <v>1</v>
      </c>
      <c r="AZ62" s="15" t="str">
        <f>IF('Raw Data'!AN66="","",'Raw Data'!AN66)</f>
        <v>0</v>
      </c>
      <c r="BA62" s="15" t="str">
        <f>IF('Raw Data'!AO66="","",'Raw Data'!AO66)</f>
        <v>0</v>
      </c>
      <c r="BB62" s="15" t="str">
        <f>IF('Raw Data'!AP66="","",'Raw Data'!AP66)</f>
        <v>1</v>
      </c>
      <c r="BC62" s="15" t="str">
        <f>IF('Raw Data'!AQ66="","",'Raw Data'!AQ66)</f>
        <v>0</v>
      </c>
      <c r="BD62" s="15" t="str">
        <f>IF('Raw Data'!AR66="","",'Raw Data'!AR66)</f>
        <v>0</v>
      </c>
      <c r="BE62" s="15" t="str">
        <f>IF('Raw Data'!AS66="","",'Raw Data'!AS66)</f>
        <v>0</v>
      </c>
      <c r="BF62" s="15" t="str">
        <f>IF('Raw Data'!AT66="","",'Raw Data'!AT66)</f>
        <v>0</v>
      </c>
      <c r="BG62" s="15" t="str">
        <f>IF('Raw Data'!AU66="","",'Raw Data'!AU66)</f>
        <v>0</v>
      </c>
      <c r="BH62" s="15" t="str">
        <f>IF('Raw Data'!AV66="","",'Raw Data'!AV66)</f>
        <v>0</v>
      </c>
      <c r="BI62" s="15" t="str">
        <f>IF('Raw Data'!AW66="","",'Raw Data'!AW66)</f>
        <v/>
      </c>
      <c r="BJ62" s="15" t="str">
        <f>IF('Raw Data'!AX66="","",'Raw Data'!AX66)</f>
        <v>Femmes_agees Hommes Femmes Garçons Hommes_ages</v>
      </c>
      <c r="BK62" s="15" t="str">
        <f>IF('Raw Data'!AY66="","",'Raw Data'!AY66)</f>
        <v>0</v>
      </c>
      <c r="BL62" s="15" t="str">
        <f>IF('Raw Data'!AZ66="","",'Raw Data'!AZ66)</f>
        <v>0</v>
      </c>
      <c r="BM62" s="15" t="str">
        <f>IF('Raw Data'!BA66="","",'Raw Data'!BA66)</f>
        <v>0</v>
      </c>
      <c r="BN62" s="15" t="str">
        <f>IF('Raw Data'!BB66="","",'Raw Data'!BB66)</f>
        <v>1</v>
      </c>
      <c r="BO62" s="15" t="str">
        <f>IF('Raw Data'!BC66="","",'Raw Data'!BC66)</f>
        <v>1</v>
      </c>
      <c r="BP62" s="15" t="str">
        <f>IF('Raw Data'!BD66="","",'Raw Data'!BD66)</f>
        <v>1</v>
      </c>
      <c r="BQ62" s="15" t="str">
        <f>IF('Raw Data'!BE66="","",'Raw Data'!BE66)</f>
        <v>1</v>
      </c>
      <c r="BR62" s="15" t="str">
        <f>IF('Raw Data'!BF66="","",'Raw Data'!BF66)</f>
        <v>1</v>
      </c>
      <c r="BS62" s="15" t="str">
        <f>IF('Raw Data'!BG66="","",'Raw Data'!BG66)</f>
        <v>0</v>
      </c>
      <c r="BT62" s="15" t="str">
        <f>IF('Raw Data'!BH66="","",'Raw Data'!BH66)</f>
        <v>0</v>
      </c>
      <c r="BU62" s="15" t="str">
        <f>IF('Raw Data'!BI66="","",'Raw Data'!BI66)</f>
        <v>0</v>
      </c>
      <c r="BV62" s="15" t="str">
        <f>IF('Raw Data'!BJ66="","",'Raw Data'!BJ66)</f>
        <v>0</v>
      </c>
      <c r="BW62" s="15" t="str">
        <f>IF('Raw Data'!BK66="","",'Raw Data'!BK66)</f>
        <v>0</v>
      </c>
      <c r="BX62" s="15" t="str">
        <f>IF('Raw Data'!BL66="","",'Raw Data'!BL66)</f>
        <v>0</v>
      </c>
      <c r="BY62" s="15" t="str">
        <f>IF('Raw Data'!BM66="","",'Raw Data'!BM66)</f>
        <v/>
      </c>
      <c r="BZ62" s="15" t="str">
        <f>IF('Raw Data'!BN66="","",'Raw Data'!BN66)</f>
        <v>4</v>
      </c>
      <c r="CA62" s="15" t="str">
        <f>IF('Raw Data'!BO66="","",'Raw Data'!BO66)</f>
        <v>augmente</v>
      </c>
      <c r="CB62" s="15" t="str">
        <f>IF('Raw Data'!BP66="","",'Raw Data'!BP66)</f>
        <v/>
      </c>
      <c r="CC62" s="15" t="str">
        <f>IF('Raw Data'!BQ66="","",'Raw Data'!BQ66)</f>
        <v>non</v>
      </c>
      <c r="CD62" s="15" t="str">
        <f>IF('Raw Data'!BR66="","",'Raw Data'!BR66)</f>
        <v/>
      </c>
      <c r="CE62" s="15" t="str">
        <f>IF('Raw Data'!BS66="","",'Raw Data'!BS66)</f>
        <v/>
      </c>
      <c r="CF62" s="15" t="str">
        <f>IF('Raw Data'!BT66="","",'Raw Data'!BT66)</f>
        <v/>
      </c>
      <c r="CG62" s="15" t="str">
        <f>IF('Raw Data'!BU66="","",'Raw Data'!BU66)</f>
        <v/>
      </c>
      <c r="CH62" s="15" t="str">
        <f>IF('Raw Data'!BV66="","",'Raw Data'!BV66)</f>
        <v/>
      </c>
      <c r="CI62" s="15" t="str">
        <f>IF('Raw Data'!BW66="","",'Raw Data'!BW66)</f>
        <v/>
      </c>
      <c r="CJ62" s="15" t="str">
        <f>IF('Raw Data'!BX66="","",'Raw Data'!BX66)</f>
        <v/>
      </c>
      <c r="CK62" s="15" t="str">
        <f>IF('Raw Data'!BY66="","",'Raw Data'!BY66)</f>
        <v/>
      </c>
      <c r="CL62" s="15" t="str">
        <f>IF('Raw Data'!BZ66="","",'Raw Data'!BZ66)</f>
        <v/>
      </c>
      <c r="CM62" s="15" t="str">
        <f>IF('Raw Data'!CA66="","",'Raw Data'!CA66)</f>
        <v/>
      </c>
      <c r="CN62" s="15" t="str">
        <f>IF('Raw Data'!CB66="","",'Raw Data'!CB66)</f>
        <v/>
      </c>
      <c r="CO62" s="15" t="str">
        <f>IF('Raw Data'!CC66="","",'Raw Data'!CC66)</f>
        <v/>
      </c>
      <c r="CP62" s="15" t="str">
        <f>IF('Raw Data'!CD66="","",'Raw Data'!CD66)</f>
        <v/>
      </c>
      <c r="CQ62" s="15" t="str">
        <f>IF('Raw Data'!CE66="","",'Raw Data'!CE66)</f>
        <v/>
      </c>
      <c r="CR62" s="15" t="str">
        <f>IF('Raw Data'!CF66="","",'Raw Data'!CF66)</f>
        <v/>
      </c>
      <c r="CS62" s="15" t="str">
        <f>IF('Raw Data'!CG66="","",'Raw Data'!CG66)</f>
        <v/>
      </c>
      <c r="CT62" s="15" t="str">
        <f>IF('Raw Data'!CH66="","",'Raw Data'!CH66)</f>
        <v/>
      </c>
      <c r="CU62" s="15" t="str">
        <f>IF('Raw Data'!CI66="","",'Raw Data'!CI66)</f>
        <v/>
      </c>
      <c r="CV62" s="15" t="str">
        <f>IF('Raw Data'!CJ66="","",'Raw Data'!CJ66)</f>
        <v/>
      </c>
      <c r="CW62" s="15" t="str">
        <f>IF('Raw Data'!CK66="","",'Raw Data'!CK66)</f>
        <v/>
      </c>
      <c r="CX62" s="15" t="str">
        <f>IF('Raw Data'!CL66="","",'Raw Data'!CL66)</f>
        <v/>
      </c>
      <c r="CY62" s="15" t="str">
        <f>IF('Raw Data'!CM66="","",'Raw Data'!CM66)</f>
        <v/>
      </c>
      <c r="CZ62" s="15" t="str">
        <f>IF('Raw Data'!CN66="","",'Raw Data'!CN66)</f>
        <v/>
      </c>
      <c r="DA62" s="15" t="str">
        <f>IF('Raw Data'!CO66="","",'Raw Data'!CO66)</f>
        <v/>
      </c>
      <c r="DB62" s="15" t="str">
        <f>IF('Raw Data'!CP66="","",'Raw Data'!CP66)</f>
        <v/>
      </c>
      <c r="DC62" s="15" t="str">
        <f>IF('Raw Data'!CQ66="","",'Raw Data'!CQ66)</f>
        <v/>
      </c>
      <c r="DD62" s="15" t="str">
        <f>IF('Raw Data'!CR66="","",'Raw Data'!CR66)</f>
        <v/>
      </c>
      <c r="DE62" s="15" t="str">
        <f>IF('Raw Data'!CS66="","",'Raw Data'!CS66)</f>
        <v/>
      </c>
      <c r="DF62" s="15" t="str">
        <f>IF('Raw Data'!CT66="","",'Raw Data'!CT66)</f>
        <v/>
      </c>
      <c r="DG62" s="15" t="str">
        <f>IF('Raw Data'!CU66="","",'Raw Data'!CU66)</f>
        <v/>
      </c>
      <c r="DH62" s="15" t="str">
        <f>IF('Raw Data'!CV66="","",'Raw Data'!CV66)</f>
        <v/>
      </c>
      <c r="DI62" s="15" t="str">
        <f>IF('Raw Data'!CW66="","",'Raw Data'!CW66)</f>
        <v/>
      </c>
      <c r="DJ62" s="15" t="str">
        <f>IF('Raw Data'!CX66="","",'Raw Data'!CX66)</f>
        <v/>
      </c>
      <c r="DK62" s="15" t="str">
        <f>IF('Raw Data'!CY66="","",'Raw Data'!CY66)</f>
        <v/>
      </c>
      <c r="DL62" s="15" t="str">
        <f>IF('Raw Data'!CZ66="","",'Raw Data'!CZ66)</f>
        <v/>
      </c>
      <c r="DM62" s="15" t="str">
        <f>IF('Raw Data'!DA66="","",'Raw Data'!DA66)</f>
        <v/>
      </c>
      <c r="DN62" s="15" t="str">
        <f>IF('Raw Data'!DB66="","",'Raw Data'!DB66)</f>
        <v>deterioration_acces_service_base diminution_moyens_existence hausse_nbr_groupes_armees</v>
      </c>
      <c r="DO62" s="15" t="str">
        <f>IF('Raw Data'!DC66="","",'Raw Data'!DC66)</f>
        <v>1</v>
      </c>
      <c r="DP62" s="15" t="str">
        <f>IF('Raw Data'!DD66="","",'Raw Data'!DD66)</f>
        <v>0</v>
      </c>
      <c r="DQ62" s="15" t="str">
        <f>IF('Raw Data'!DE66="","",'Raw Data'!DE66)</f>
        <v>1</v>
      </c>
      <c r="DR62" s="15" t="str">
        <f>IF('Raw Data'!DF66="","",'Raw Data'!DF66)</f>
        <v>0</v>
      </c>
      <c r="DS62" s="15" t="str">
        <f>IF('Raw Data'!DG66="","",'Raw Data'!DG66)</f>
        <v>1</v>
      </c>
      <c r="DT62" s="15" t="str">
        <f>IF('Raw Data'!DH66="","",'Raw Data'!DH66)</f>
        <v>0</v>
      </c>
      <c r="DU62" s="15" t="str">
        <f>IF('Raw Data'!DI66="","",'Raw Data'!DI66)</f>
        <v>0</v>
      </c>
      <c r="DV62" s="15" t="str">
        <f>IF('Raw Data'!DJ66="","",'Raw Data'!DJ66)</f>
        <v>0</v>
      </c>
      <c r="DW62" s="15" t="str">
        <f>IF('Raw Data'!DK66="","",'Raw Data'!DK66)</f>
        <v>0</v>
      </c>
      <c r="DX62" s="15" t="str">
        <f>IF('Raw Data'!DL66="","",'Raw Data'!DL66)</f>
        <v>0</v>
      </c>
      <c r="DY62" s="15" t="str">
        <f>IF('Raw Data'!DM66="","",'Raw Data'!DM66)</f>
        <v/>
      </c>
      <c r="DZ62" s="15" t="str">
        <f>IF('Raw Data'!DN66="","",'Raw Data'!DN66)</f>
        <v/>
      </c>
      <c r="EA62" s="15" t="str">
        <f>IF('Raw Data'!DO66="","",'Raw Data'!DO66)</f>
        <v/>
      </c>
      <c r="EB62" s="15" t="str">
        <f>IF('Raw Data'!DP66="","",'Raw Data'!DP66)</f>
        <v/>
      </c>
      <c r="EC62" s="15" t="str">
        <f>IF('Raw Data'!DQ66="","",'Raw Data'!DQ66)</f>
        <v/>
      </c>
      <c r="ED62" s="15" t="str">
        <f>IF('Raw Data'!DR66="","",'Raw Data'!DR66)</f>
        <v/>
      </c>
      <c r="EE62" s="15" t="str">
        <f>IF('Raw Data'!DS66="","",'Raw Data'!DS66)</f>
        <v/>
      </c>
      <c r="EF62" s="15" t="str">
        <f>IF('Raw Data'!DT66="","",'Raw Data'!DT66)</f>
        <v/>
      </c>
      <c r="EG62" s="15" t="str">
        <f>IF('Raw Data'!DU66="","",'Raw Data'!DU66)</f>
        <v/>
      </c>
      <c r="EH62" s="15" t="str">
        <f>IF('Raw Data'!DV66="","",'Raw Data'!DV66)</f>
        <v/>
      </c>
      <c r="EI62" s="15" t="str">
        <f>IF('Raw Data'!DW66="","",'Raw Data'!DW66)</f>
        <v/>
      </c>
      <c r="EJ62" s="15" t="str">
        <f>IF('Raw Data'!DX66="","",'Raw Data'!DX66)</f>
        <v/>
      </c>
      <c r="EK62" s="15" t="str">
        <f>IF('Raw Data'!DY66="","",'Raw Data'!DY66)</f>
        <v/>
      </c>
      <c r="EL62" s="15" t="str">
        <f>IF('Raw Data'!DZ66="","",'Raw Data'!DZ66)</f>
        <v>Soutien_famille_amis Soutien_chef_village Integration_com_hote</v>
      </c>
      <c r="EM62" s="15" t="str">
        <f>IF('Raw Data'!EA66="","",'Raw Data'!EA66)</f>
        <v>0</v>
      </c>
      <c r="EN62" s="15" t="str">
        <f>IF('Raw Data'!EB66="","",'Raw Data'!EB66)</f>
        <v>1</v>
      </c>
      <c r="EO62" s="15" t="str">
        <f>IF('Raw Data'!EC66="","",'Raw Data'!EC66)</f>
        <v>1</v>
      </c>
      <c r="EP62" s="15" t="str">
        <f>IF('Raw Data'!ED66="","",'Raw Data'!ED66)</f>
        <v>1</v>
      </c>
      <c r="EQ62" s="15" t="str">
        <f>IF('Raw Data'!EE66="","",'Raw Data'!EE66)</f>
        <v>0</v>
      </c>
      <c r="ER62" s="15" t="str">
        <f>IF('Raw Data'!EF66="","",'Raw Data'!EF66)</f>
        <v>0</v>
      </c>
      <c r="ES62" s="15" t="str">
        <f>IF('Raw Data'!EG66="","",'Raw Data'!EG66)</f>
        <v>0</v>
      </c>
      <c r="ET62" s="15" t="str">
        <f>IF('Raw Data'!EH66="","",'Raw Data'!EH66)</f>
        <v>0</v>
      </c>
      <c r="EU62" s="15" t="str">
        <f>IF('Raw Data'!EI66="","",'Raw Data'!EI66)</f>
        <v>0</v>
      </c>
      <c r="EV62" s="15" t="str">
        <f>IF('Raw Data'!EJ66="","",'Raw Data'!EJ66)</f>
        <v/>
      </c>
      <c r="EW62" s="15" t="str">
        <f>IF('Raw Data'!EK66="","",'Raw Data'!EK66)</f>
        <v/>
      </c>
      <c r="EX62" s="15" t="str">
        <f>IF('Raw Data'!EL66="","",'Raw Data'!EL66)</f>
        <v>comite_protection</v>
      </c>
      <c r="EY62" s="15" t="str">
        <f>IF('Raw Data'!EM66="","",'Raw Data'!EM66)</f>
        <v>0</v>
      </c>
      <c r="EZ62" s="15" t="str">
        <f>IF('Raw Data'!EN66="","",'Raw Data'!EN66)</f>
        <v>1</v>
      </c>
      <c r="FA62" s="15" t="str">
        <f>IF('Raw Data'!EO66="","",'Raw Data'!EO66)</f>
        <v>0</v>
      </c>
      <c r="FB62" s="15" t="str">
        <f>IF('Raw Data'!EP66="","",'Raw Data'!EP66)</f>
        <v>0</v>
      </c>
      <c r="FC62" s="15" t="str">
        <f>IF('Raw Data'!EQ66="","",'Raw Data'!EQ66)</f>
        <v>0</v>
      </c>
      <c r="FD62" s="15" t="str">
        <f>IF('Raw Data'!ER66="","",'Raw Data'!ER66)</f>
        <v>0</v>
      </c>
      <c r="FE62" s="15" t="str">
        <f>IF('Raw Data'!ES66="","",'Raw Data'!ES66)</f>
        <v>0</v>
      </c>
      <c r="FF62" s="15" t="str">
        <f>IF('Raw Data'!ET66="","",'Raw Data'!ET66)</f>
        <v>0</v>
      </c>
      <c r="FG62" s="15" t="str">
        <f>IF('Raw Data'!EU66="","",'Raw Data'!EU66)</f>
        <v>0</v>
      </c>
      <c r="FH62" s="15" t="str">
        <f>IF('Raw Data'!EV66="","",'Raw Data'!EV66)</f>
        <v>0</v>
      </c>
      <c r="FI62" s="15" t="str">
        <f>IF('Raw Data'!EW66="","",'Raw Data'!EW66)</f>
        <v/>
      </c>
      <c r="FJ62" s="15" t="str">
        <f>IF('Raw Data'!EX66="","",'Raw Data'!EX66)</f>
        <v>oui</v>
      </c>
      <c r="FK62" s="15" t="str">
        <f>IF('Raw Data'!EY66="","",'Raw Data'!EY66)</f>
        <v>Radio_television Chef_village Leaders_religieux famille_amis</v>
      </c>
      <c r="FL62" s="15" t="str">
        <f>IF('Raw Data'!EZ66="","",'Raw Data'!EZ66)</f>
        <v>1</v>
      </c>
      <c r="FM62" s="15" t="str">
        <f>IF('Raw Data'!FA66="","",'Raw Data'!FA66)</f>
        <v>0</v>
      </c>
      <c r="FN62" s="15" t="str">
        <f>IF('Raw Data'!FB66="","",'Raw Data'!FB66)</f>
        <v>0</v>
      </c>
      <c r="FO62" s="15" t="str">
        <f>IF('Raw Data'!FC66="","",'Raw Data'!FC66)</f>
        <v>0</v>
      </c>
      <c r="FP62" s="15" t="str">
        <f>IF('Raw Data'!FD66="","",'Raw Data'!FD66)</f>
        <v>1</v>
      </c>
      <c r="FQ62" s="15" t="str">
        <f>IF('Raw Data'!FE66="","",'Raw Data'!FE66)</f>
        <v>1</v>
      </c>
      <c r="FR62" s="15" t="str">
        <f>IF('Raw Data'!FF66="","",'Raw Data'!FF66)</f>
        <v>1</v>
      </c>
      <c r="FS62" s="15" t="str">
        <f>IF('Raw Data'!FG66="","",'Raw Data'!FG66)</f>
        <v>0</v>
      </c>
      <c r="FT62" s="15" t="str">
        <f>IF('Raw Data'!FH66="","",'Raw Data'!FH66)</f>
        <v>0</v>
      </c>
      <c r="FU62" s="15" t="str">
        <f>IF('Raw Data'!FI66="","",'Raw Data'!FI66)</f>
        <v>0</v>
      </c>
      <c r="FV62" s="15" t="str">
        <f>IF('Raw Data'!FJ66="","",'Raw Data'!FJ66)</f>
        <v>0</v>
      </c>
      <c r="FW62" s="15" t="str">
        <f>IF('Raw Data'!FK66="","",'Raw Data'!FK66)</f>
        <v>0</v>
      </c>
      <c r="FX62" s="15" t="str">
        <f>IF('Raw Data'!FL66="","",'Raw Data'!FL66)</f>
        <v>0</v>
      </c>
      <c r="FY62" s="15" t="str">
        <f>IF('Raw Data'!FM66="","",'Raw Data'!FM66)</f>
        <v>0</v>
      </c>
      <c r="FZ62" s="15" t="str">
        <f>IF('Raw Data'!FN66="","",'Raw Data'!FN66)</f>
        <v/>
      </c>
      <c r="GA62" s="15" t="str">
        <f>IF('Raw Data'!FO66="","",'Raw Data'!FO66)</f>
        <v>oui_majorite</v>
      </c>
      <c r="GB62" s="15" t="str">
        <f>IF('Raw Data'!FP66="","",'Raw Data'!FP66)</f>
        <v>oui_ensemble</v>
      </c>
      <c r="GC62" s="15" t="str">
        <f>IF('Raw Data'!FQ66="","",'Raw Data'!FQ66)</f>
        <v/>
      </c>
      <c r="GD62" s="15" t="str">
        <f>IF('Raw Data'!FR66="","",'Raw Data'!FR66)</f>
        <v/>
      </c>
      <c r="GE62" s="15" t="str">
        <f>IF('Raw Data'!FS66="","",'Raw Data'!FS66)</f>
        <v/>
      </c>
      <c r="GF62" s="15" t="str">
        <f>IF('Raw Data'!FT66="","",'Raw Data'!FT66)</f>
        <v/>
      </c>
      <c r="GG62" s="15" t="str">
        <f>IF('Raw Data'!FU66="","",'Raw Data'!FU66)</f>
        <v/>
      </c>
      <c r="GH62" s="15" t="str">
        <f>IF('Raw Data'!FV66="","",'Raw Data'!FV66)</f>
        <v/>
      </c>
      <c r="GI62" s="15" t="str">
        <f>IF('Raw Data'!FW66="","",'Raw Data'!FW66)</f>
        <v/>
      </c>
      <c r="GJ62" s="15" t="str">
        <f>IF('Raw Data'!FX66="","",'Raw Data'!FX66)</f>
        <v/>
      </c>
      <c r="GK62" s="15" t="str">
        <f>IF('Raw Data'!FY66="","",'Raw Data'!FY66)</f>
        <v/>
      </c>
      <c r="GL62" s="15" t="str">
        <f>IF('Raw Data'!FZ66="","",'Raw Data'!FZ66)</f>
        <v/>
      </c>
      <c r="GM62" s="15" t="str">
        <f>IF('Raw Data'!GA66="","",'Raw Data'!GA66)</f>
        <v>ensemble</v>
      </c>
      <c r="GN62" s="15" t="str">
        <f>IF('Raw Data'!GB66="","",'Raw Data'!GB66)</f>
        <v>ensemble</v>
      </c>
      <c r="GO62" s="15" t="str">
        <f>IF('Raw Data'!GC66="","",'Raw Data'!GC66)</f>
        <v>Education Services_de_sante Acces_aux_doc</v>
      </c>
      <c r="GP62" s="15" t="str">
        <f>IF('Raw Data'!GD66="","",'Raw Data'!GD66)</f>
        <v>0</v>
      </c>
      <c r="GQ62" s="15" t="str">
        <f>IF('Raw Data'!GE66="","",'Raw Data'!GE66)</f>
        <v>1</v>
      </c>
      <c r="GR62" s="15" t="str">
        <f>IF('Raw Data'!GF66="","",'Raw Data'!GF66)</f>
        <v>0</v>
      </c>
      <c r="GS62" s="15" t="str">
        <f>IF('Raw Data'!GG66="","",'Raw Data'!GG66)</f>
        <v>1</v>
      </c>
      <c r="GT62" s="15" t="str">
        <f>IF('Raw Data'!GH66="","",'Raw Data'!GH66)</f>
        <v>1</v>
      </c>
      <c r="GU62" s="15" t="str">
        <f>IF('Raw Data'!GI66="","",'Raw Data'!GI66)</f>
        <v>0</v>
      </c>
      <c r="GV62" s="15" t="str">
        <f>IF('Raw Data'!GJ66="","",'Raw Data'!GJ66)</f>
        <v>0</v>
      </c>
      <c r="GW62" s="15" t="str">
        <f>IF('Raw Data'!GK66="","",'Raw Data'!GK66)</f>
        <v>0</v>
      </c>
      <c r="GX62" s="15" t="str">
        <f>IF('Raw Data'!GL66="","",'Raw Data'!GL66)</f>
        <v>0</v>
      </c>
      <c r="GY62" s="15" t="str">
        <f>IF('Raw Data'!GM66="","",'Raw Data'!GM66)</f>
        <v/>
      </c>
      <c r="GZ62" s="15" t="str">
        <f>IF('Raw Data'!GN66="","",'Raw Data'!GN66)</f>
        <v>oui_majorite</v>
      </c>
      <c r="HA62" s="15" t="str">
        <f>IF('Raw Data'!GO66="","",'Raw Data'!GO66)</f>
        <v>oui_ensemble</v>
      </c>
      <c r="HB62" s="15" t="str">
        <f>IF('Raw Data'!GP66="","",'Raw Data'!GP66)</f>
        <v>repond_besoins_pop permet_obtenir_conseils</v>
      </c>
      <c r="HC62" s="15" t="str">
        <f>IF('Raw Data'!GQ66="","",'Raw Data'!GQ66)</f>
        <v>0</v>
      </c>
      <c r="HD62" s="15" t="str">
        <f>IF('Raw Data'!GR66="","",'Raw Data'!GR66)</f>
        <v>1</v>
      </c>
      <c r="HE62" s="15" t="str">
        <f>IF('Raw Data'!GS66="","",'Raw Data'!GS66)</f>
        <v>1</v>
      </c>
      <c r="HF62" s="15" t="str">
        <f>IF('Raw Data'!GT66="","",'Raw Data'!GT66)</f>
        <v>0</v>
      </c>
      <c r="HG62" s="15" t="str">
        <f>IF('Raw Data'!GU66="","",'Raw Data'!GU66)</f>
        <v>0</v>
      </c>
      <c r="HH62" s="15" t="str">
        <f>IF('Raw Data'!GV66="","",'Raw Data'!GV66)</f>
        <v>0</v>
      </c>
      <c r="HI62" s="15" t="str">
        <f>IF('Raw Data'!GW66="","",'Raw Data'!GW66)</f>
        <v>0</v>
      </c>
      <c r="HJ62" s="15" t="str">
        <f>IF('Raw Data'!GX66="","",'Raw Data'!GX66)</f>
        <v>0</v>
      </c>
      <c r="HK62" s="15" t="str">
        <f>IF('Raw Data'!GY66="","",'Raw Data'!GY66)</f>
        <v/>
      </c>
      <c r="HL62" s="15" t="str">
        <f>IF('Raw Data'!GZ66="","",'Raw Data'!GZ66)</f>
        <v>ne_contribue_pas</v>
      </c>
      <c r="HM62" s="15" t="str">
        <f>IF('Raw Data'!HA66="","",'Raw Data'!HA66)</f>
        <v>1</v>
      </c>
      <c r="HN62" s="15" t="str">
        <f>IF('Raw Data'!HB66="","",'Raw Data'!HB66)</f>
        <v>0</v>
      </c>
      <c r="HO62" s="15" t="str">
        <f>IF('Raw Data'!HC66="","",'Raw Data'!HC66)</f>
        <v>0</v>
      </c>
      <c r="HP62" s="15" t="str">
        <f>IF('Raw Data'!HD66="","",'Raw Data'!HD66)</f>
        <v>0</v>
      </c>
      <c r="HQ62" s="15" t="str">
        <f>IF('Raw Data'!HE66="","",'Raw Data'!HE66)</f>
        <v>0</v>
      </c>
      <c r="HR62" s="15" t="str">
        <f>IF('Raw Data'!HF66="","",'Raw Data'!HF66)</f>
        <v>0</v>
      </c>
      <c r="HS62" s="15" t="str">
        <f>IF('Raw Data'!HG66="","",'Raw Data'!HG66)</f>
        <v/>
      </c>
      <c r="HT62" s="15" t="str">
        <f>IF('Raw Data'!HH66="","",'Raw Data'!HH66)</f>
        <v/>
      </c>
      <c r="HU62" s="15" t="str">
        <f>IF('Raw Data'!HI66="","",'Raw Data'!HI66)</f>
        <v>oui_ensemble</v>
      </c>
      <c r="HV62" s="15" t="str">
        <f>IF('Raw Data'!HJ66="","",'Raw Data'!HJ66)</f>
        <v>ingo fds_arme gvt</v>
      </c>
      <c r="HW62" s="15" t="str">
        <f>IF('Raw Data'!HK66="","",'Raw Data'!HK66)</f>
        <v>1</v>
      </c>
      <c r="HX62" s="15" t="str">
        <f>IF('Raw Data'!HL66="","",'Raw Data'!HL66)</f>
        <v>1</v>
      </c>
      <c r="HY62" s="15" t="str">
        <f>IF('Raw Data'!HM66="","",'Raw Data'!HM66)</f>
        <v>0</v>
      </c>
      <c r="HZ62" s="15" t="str">
        <f>IF('Raw Data'!HN66="","",'Raw Data'!HN66)</f>
        <v>0</v>
      </c>
      <c r="IA62" s="15" t="str">
        <f>IF('Raw Data'!HO66="","",'Raw Data'!HO66)</f>
        <v>1</v>
      </c>
      <c r="IB62" s="15" t="str">
        <f>IF('Raw Data'!HP66="","",'Raw Data'!HP66)</f>
        <v>0</v>
      </c>
      <c r="IC62" s="15" t="str">
        <f>IF('Raw Data'!HQ66="","",'Raw Data'!HQ66)</f>
        <v>0</v>
      </c>
      <c r="ID62" s="15" t="str">
        <f>IF('Raw Data'!HR66="","",'Raw Data'!HR66)</f>
        <v>0</v>
      </c>
      <c r="IE62" s="15" t="str">
        <f>IF('Raw Data'!HS66="","",'Raw Data'!HS66)</f>
        <v>0</v>
      </c>
      <c r="IF62" s="15" t="str">
        <f>IF('Raw Data'!HT66="","",'Raw Data'!HT66)</f>
        <v>0</v>
      </c>
      <c r="IG62" s="15" t="str">
        <f>IF('Raw Data'!HU66="","",'Raw Data'!HU66)</f>
        <v/>
      </c>
      <c r="IH62" s="15" t="str">
        <f>IF('Raw Data'!HV66="","",'Raw Data'!HV66)</f>
        <v/>
      </c>
      <c r="II62" s="15" t="str">
        <f>IF('Raw Data'!HW66="","",'Raw Data'!HW66)</f>
        <v/>
      </c>
      <c r="IJ62" s="15" t="str">
        <f>IF('Raw Data'!HX66="","",'Raw Data'!HX66)</f>
        <v>Filles Garçons Femmes Femmes_agees handicap_physique</v>
      </c>
      <c r="IK62" s="15" t="str">
        <f>IF('Raw Data'!HY66="","",'Raw Data'!HY66)</f>
        <v>0</v>
      </c>
      <c r="IL62" s="15" t="str">
        <f>IF('Raw Data'!HZ66="","",'Raw Data'!HZ66)</f>
        <v>0</v>
      </c>
      <c r="IM62" s="15" t="str">
        <f>IF('Raw Data'!IA66="","",'Raw Data'!IA66)</f>
        <v>1</v>
      </c>
      <c r="IN62" s="15" t="str">
        <f>IF('Raw Data'!IB66="","",'Raw Data'!IB66)</f>
        <v>1</v>
      </c>
      <c r="IO62" s="15" t="str">
        <f>IF('Raw Data'!IC66="","",'Raw Data'!IC66)</f>
        <v>1</v>
      </c>
      <c r="IP62" s="15" t="str">
        <f>IF('Raw Data'!ID66="","",'Raw Data'!ID66)</f>
        <v>0</v>
      </c>
      <c r="IQ62" s="15" t="str">
        <f>IF('Raw Data'!IE66="","",'Raw Data'!IE66)</f>
        <v>1</v>
      </c>
      <c r="IR62" s="15" t="str">
        <f>IF('Raw Data'!IF66="","",'Raw Data'!IF66)</f>
        <v>0</v>
      </c>
      <c r="IS62" s="15" t="str">
        <f>IF('Raw Data'!IG66="","",'Raw Data'!IG66)</f>
        <v>1</v>
      </c>
      <c r="IT62" s="15" t="str">
        <f>IF('Raw Data'!IH66="","",'Raw Data'!IH66)</f>
        <v>0</v>
      </c>
      <c r="IU62" s="15" t="str">
        <f>IF('Raw Data'!II66="","",'Raw Data'!II66)</f>
        <v>0</v>
      </c>
      <c r="IV62" s="15" t="str">
        <f>IF('Raw Data'!IJ66="","",'Raw Data'!IJ66)</f>
        <v>0</v>
      </c>
      <c r="IW62" s="15" t="str">
        <f>IF('Raw Data'!IK66="","",'Raw Data'!IK66)</f>
        <v>0</v>
      </c>
      <c r="IX62" s="15" t="str">
        <f>IF('Raw Data'!IL66="","",'Raw Data'!IL66)</f>
        <v>0</v>
      </c>
      <c r="IY62" s="15" t="str">
        <f>IF('Raw Data'!IM66="","",'Raw Data'!IM66)</f>
        <v/>
      </c>
      <c r="IZ62" s="15" t="str">
        <f>IF('Raw Data'!IN66="","",'Raw Data'!IN66)</f>
        <v>100</v>
      </c>
      <c r="JA62" s="15" t="str">
        <f>IF('Raw Data'!IO66="","",'Raw Data'!IO66)</f>
        <v>Appui_psychosocial Services_medicaux Services_conseil acces_docs</v>
      </c>
      <c r="JB62" s="15" t="str">
        <f>IF('Raw Data'!IP66="","",'Raw Data'!IP66)</f>
        <v>1</v>
      </c>
      <c r="JC62" s="15" t="str">
        <f>IF('Raw Data'!IQ66="","",'Raw Data'!IQ66)</f>
        <v>1</v>
      </c>
      <c r="JD62" s="15" t="str">
        <f>IF('Raw Data'!IR66="","",'Raw Data'!IR66)</f>
        <v>0</v>
      </c>
      <c r="JE62" s="15" t="str">
        <f>IF('Raw Data'!IS66="","",'Raw Data'!IS66)</f>
        <v>1</v>
      </c>
      <c r="JF62" s="15" t="str">
        <f>IF('Raw Data'!IT66="","",'Raw Data'!IT66)</f>
        <v>1</v>
      </c>
      <c r="JG62" s="15" t="str">
        <f>IF('Raw Data'!IU66="","",'Raw Data'!IU66)</f>
        <v>0</v>
      </c>
      <c r="JH62" s="15" t="str">
        <f>IF('Raw Data'!IV66="","",'Raw Data'!IV66)</f>
        <v>0</v>
      </c>
      <c r="JI62" s="15" t="str">
        <f>IF('Raw Data'!IW66="","",'Raw Data'!IW66)</f>
        <v>0</v>
      </c>
      <c r="JJ62" s="15" t="str">
        <f>IF('Raw Data'!IX66="","",'Raw Data'!IX66)</f>
        <v>0</v>
      </c>
      <c r="JK62" s="15" t="str">
        <f>IF('Raw Data'!IY66="","",'Raw Data'!IY66)</f>
        <v>0</v>
      </c>
      <c r="JL62" s="15" t="str">
        <f>IF('Raw Data'!IZ66="","",'Raw Data'!IZ66)</f>
        <v/>
      </c>
      <c r="JM62" s="15" t="str">
        <f>IF('Raw Data'!JA66="","",'Raw Data'!JA66)</f>
        <v>reorientation signalement</v>
      </c>
      <c r="JN62" s="15" t="str">
        <f>IF('Raw Data'!JB66="","",'Raw Data'!JB66)</f>
        <v>0</v>
      </c>
      <c r="JO62" s="15" t="str">
        <f>IF('Raw Data'!JC66="","",'Raw Data'!JC66)</f>
        <v>1</v>
      </c>
      <c r="JP62" s="15" t="str">
        <f>IF('Raw Data'!JD66="","",'Raw Data'!JD66)</f>
        <v>1</v>
      </c>
      <c r="JQ62" s="15" t="str">
        <f>IF('Raw Data'!JE66="","",'Raw Data'!JE66)</f>
        <v>0</v>
      </c>
      <c r="JR62" s="15" t="str">
        <f>IF('Raw Data'!JF66="","",'Raw Data'!JF66)</f>
        <v>0</v>
      </c>
      <c r="JS62" s="15" t="str">
        <f>IF('Raw Data'!JG66="","",'Raw Data'!JG66)</f>
        <v>0</v>
      </c>
      <c r="JT62" s="15" t="str">
        <f>IF('Raw Data'!JH66="","",'Raw Data'!JH66)</f>
        <v/>
      </c>
      <c r="JU62" s="15" t="str">
        <f>IF('Raw Data'!JI66="","",'Raw Data'!JI66)</f>
        <v/>
      </c>
      <c r="JV62" s="15" t="str">
        <f>IF('Raw Data'!JJ66="","",'Raw Data'!JJ66)</f>
        <v/>
      </c>
      <c r="JW62" s="15" t="str">
        <f>IF('Raw Data'!JK66="","",'Raw Data'!JK66)</f>
        <v/>
      </c>
      <c r="JX62" s="15" t="str">
        <f>IF('Raw Data'!JL66="","",'Raw Data'!JL66)</f>
        <v/>
      </c>
      <c r="JY62" s="15" t="str">
        <f>IF('Raw Data'!JM66="","",'Raw Data'!JM66)</f>
        <v/>
      </c>
      <c r="JZ62" s="15" t="str">
        <f>IF('Raw Data'!JN66="","",'Raw Data'!JN66)</f>
        <v/>
      </c>
      <c r="KA62" s="15" t="str">
        <f>IF('Raw Data'!JO66="","",'Raw Data'!JO66)</f>
        <v/>
      </c>
      <c r="KB62" s="15" t="str">
        <f>IF('Raw Data'!JP66="","",'Raw Data'!JP66)</f>
        <v/>
      </c>
      <c r="KC62" s="15" t="str">
        <f>IF('Raw Data'!JQ66="","",'Raw Data'!JQ66)</f>
        <v/>
      </c>
      <c r="KD62" s="15" t="str">
        <f>IF('Raw Data'!JR66="","",'Raw Data'!JR66)</f>
        <v/>
      </c>
      <c r="KE62" s="15" t="str">
        <f>IF('Raw Data'!JS66="","",'Raw Data'!JS66)</f>
        <v/>
      </c>
      <c r="KF62" s="15" t="str">
        <f>IF('Raw Data'!JT66="","",'Raw Data'!JT66)</f>
        <v>medical surete Psychosocia</v>
      </c>
      <c r="KG62" s="15" t="str">
        <f>IF('Raw Data'!JU66="","",'Raw Data'!JU66)</f>
        <v>1</v>
      </c>
      <c r="KH62" s="15" t="str">
        <f>IF('Raw Data'!JV66="","",'Raw Data'!JV66)</f>
        <v>1</v>
      </c>
      <c r="KI62" s="15" t="str">
        <f>IF('Raw Data'!JW66="","",'Raw Data'!JW66)</f>
        <v>0</v>
      </c>
      <c r="KJ62" s="15" t="str">
        <f>IF('Raw Data'!JX66="","",'Raw Data'!JX66)</f>
        <v>0</v>
      </c>
      <c r="KK62" s="15" t="str">
        <f>IF('Raw Data'!JY66="","",'Raw Data'!JY66)</f>
        <v>1</v>
      </c>
      <c r="KL62" s="15" t="str">
        <f>IF('Raw Data'!JZ66="","",'Raw Data'!JZ66)</f>
        <v>0</v>
      </c>
      <c r="KM62" s="15" t="str">
        <f>IF('Raw Data'!KA66="","",'Raw Data'!KA66)</f>
        <v>0</v>
      </c>
      <c r="KN62" s="15" t="str">
        <f>IF('Raw Data'!KB66="","",'Raw Data'!KB66)</f>
        <v>0</v>
      </c>
      <c r="KO62" s="15" t="str">
        <f>IF('Raw Data'!KC66="","",'Raw Data'!KC66)</f>
        <v>0</v>
      </c>
      <c r="KP62" s="15" t="str">
        <f>IF('Raw Data'!KD66="","",'Raw Data'!KD66)</f>
        <v/>
      </c>
      <c r="KQ62" s="15" t="str">
        <f>IF('Raw Data'!KE66="","",'Raw Data'!KE66)</f>
        <v/>
      </c>
      <c r="KR62" s="15" t="str">
        <f>IF('Raw Data'!KF66="","",'Raw Data'!KF66)</f>
        <v>non</v>
      </c>
      <c r="KS62" s="15" t="str">
        <f>IF('Raw Data'!KG66="","",'Raw Data'!KG66)</f>
        <v/>
      </c>
      <c r="KT62" s="15" t="str">
        <f>IF('Raw Data'!KH66="","",'Raw Data'!KH66)</f>
        <v/>
      </c>
      <c r="KU62" s="15" t="str">
        <f>IF('Raw Data'!KI66="","",'Raw Data'!KI66)</f>
        <v/>
      </c>
      <c r="KV62" s="15" t="str">
        <f>IF('Raw Data'!KJ66="","",'Raw Data'!KJ66)</f>
        <v/>
      </c>
      <c r="KW62" s="15" t="str">
        <f>IF('Raw Data'!KK66="","",'Raw Data'!KK66)</f>
        <v/>
      </c>
      <c r="KX62" s="15" t="str">
        <f>IF('Raw Data'!KL66="","",'Raw Data'!KL66)</f>
        <v/>
      </c>
      <c r="KY62" s="15" t="str">
        <f>IF('Raw Data'!KM66="","",'Raw Data'!KM66)</f>
        <v/>
      </c>
      <c r="KZ62" s="15" t="str">
        <f>IF('Raw Data'!KN66="","",'Raw Data'!KN66)</f>
        <v/>
      </c>
      <c r="LA62" s="15" t="str">
        <f>IF('Raw Data'!KO66="","",'Raw Data'!KO66)</f>
        <v/>
      </c>
      <c r="LB62" s="15" t="str">
        <f>IF('Raw Data'!KP66="","",'Raw Data'!KP66)</f>
        <v/>
      </c>
      <c r="LC62" s="15" t="str">
        <f>IF('Raw Data'!KQ66="","",'Raw Data'!KQ66)</f>
        <v/>
      </c>
      <c r="LD62" s="15" t="str">
        <f>IF('Raw Data'!KR66="","",'Raw Data'!KR66)</f>
        <v/>
      </c>
      <c r="LE62" s="15" t="str">
        <f>IF('Raw Data'!KS66="","",'Raw Data'!KS66)</f>
        <v/>
      </c>
      <c r="LF62" s="15" t="str">
        <f>IF('Raw Data'!KT66="","",'Raw Data'!KT66)</f>
        <v/>
      </c>
      <c r="LG62" s="15" t="str">
        <f>IF('Raw Data'!KU66="","",'Raw Data'!KU66)</f>
        <v/>
      </c>
      <c r="LH62" s="15" t="str">
        <f>IF('Raw Data'!KV66="","",'Raw Data'!KV66)</f>
        <v/>
      </c>
      <c r="LI62" s="15" t="str">
        <f>IF('Raw Data'!KW66="","",'Raw Data'!KW66)</f>
        <v/>
      </c>
      <c r="LJ62" s="15" t="str">
        <f>IF('Raw Data'!KX66="","",'Raw Data'!KX66)</f>
        <v/>
      </c>
      <c r="LK62" s="15" t="str">
        <f>IF('Raw Data'!KY66="","",'Raw Data'!KY66)</f>
        <v/>
      </c>
      <c r="LL62" s="15" t="str">
        <f>IF('Raw Data'!KZ66="","",'Raw Data'!KZ66)</f>
        <v/>
      </c>
      <c r="LM62" s="15" t="str">
        <f>IF('Raw Data'!LA66="","",'Raw Data'!LA66)</f>
        <v/>
      </c>
      <c r="LN62" s="15" t="str">
        <f>IF('Raw Data'!LB66="","",'Raw Data'!LB66)</f>
        <v>non</v>
      </c>
      <c r="LO62" s="15" t="str">
        <f>IF('Raw Data'!LC66="","",'Raw Data'!LC66)</f>
        <v/>
      </c>
      <c r="LP62" s="15" t="str">
        <f>IF('Raw Data'!LD66="","",'Raw Data'!LD66)</f>
        <v/>
      </c>
      <c r="LQ62" s="15" t="str">
        <f>IF('Raw Data'!LE66="","",'Raw Data'!LE66)</f>
        <v/>
      </c>
      <c r="LR62" s="15" t="str">
        <f>IF('Raw Data'!LF66="","",'Raw Data'!LF66)</f>
        <v/>
      </c>
      <c r="LS62" s="15" t="str">
        <f>IF('Raw Data'!LG66="","",'Raw Data'!LG66)</f>
        <v/>
      </c>
      <c r="LT62" s="15" t="str">
        <f>IF('Raw Data'!LH66="","",'Raw Data'!LH66)</f>
        <v/>
      </c>
      <c r="LU62" s="15" t="str">
        <f>IF('Raw Data'!LI66="","",'Raw Data'!LI66)</f>
        <v/>
      </c>
      <c r="LV62" s="15" t="str">
        <f>IF('Raw Data'!LJ66="","",'Raw Data'!LJ66)</f>
        <v/>
      </c>
      <c r="LW62" s="15" t="str">
        <f>IF('Raw Data'!LK66="","",'Raw Data'!LK66)</f>
        <v/>
      </c>
      <c r="LX62" s="15" t="str">
        <f>IF('Raw Data'!LL66="","",'Raw Data'!LL66)</f>
        <v/>
      </c>
      <c r="LY62" s="15" t="str">
        <f>IF('Raw Data'!LM66="","",'Raw Data'!LM66)</f>
        <v/>
      </c>
      <c r="LZ62" s="15" t="str">
        <f>IF('Raw Data'!LN66="","",'Raw Data'!LN66)</f>
        <v/>
      </c>
      <c r="MA62" s="15" t="str">
        <f>IF('Raw Data'!LO66="","",'Raw Data'!LO66)</f>
        <v/>
      </c>
      <c r="MB62" s="15" t="str">
        <f>IF('Raw Data'!LP66="","",'Raw Data'!LP66)</f>
        <v>oui</v>
      </c>
      <c r="MC62" s="15" t="str">
        <f>IF('Raw Data'!LQ66="","",'Raw Data'!LQ66)</f>
        <v/>
      </c>
      <c r="MD62" s="15" t="str">
        <f>IF('Raw Data'!LR66="","",'Raw Data'!LR66)</f>
        <v/>
      </c>
      <c r="ME62" s="15">
        <f>IF('Raw Data'!LS66="","",'Raw Data'!LS66)</f>
        <v>172010456</v>
      </c>
      <c r="MF62" s="15" t="str">
        <f>IF('Raw Data'!LT66="","",'Raw Data'!LT66)</f>
        <v>36016775-8b32-4563-b0aa-31f0c9e19495</v>
      </c>
      <c r="MG62" s="15" t="str">
        <f>IF('Raw Data'!LU66="","",'Raw Data'!LU66)</f>
        <v>2021-04-16T16:05:52</v>
      </c>
      <c r="MH62" s="15" t="str">
        <f>IF('Raw Data'!LV66="","",'Raw Data'!LV66)</f>
        <v/>
      </c>
      <c r="MI62" s="15" t="str">
        <f>IF('Raw Data'!LW66="","",'Raw Data'!LW66)</f>
        <v>[]</v>
      </c>
      <c r="MJ62" s="15" t="str">
        <f>IF('Raw Data'!LX66="","",'Raw Data'!LX66)</f>
        <v>submitted_via_web</v>
      </c>
      <c r="MK62" s="15" t="str">
        <f>IF('Raw Data'!LY66="","",'Raw Data'!LY66)</f>
        <v>reach_niger</v>
      </c>
      <c r="ML62" s="15" t="str">
        <f>IF('Raw Data'!LZ66="","",'Raw Data'!LZ66)</f>
        <v/>
      </c>
      <c r="MM62" s="15">
        <f>IF('Raw Data'!MA66="","",'Raw Data'!MA66)</f>
        <v>71</v>
      </c>
    </row>
    <row r="63" spans="1:351" x14ac:dyDescent="0.3">
      <c r="A63" s="26" t="str">
        <f t="shared" si="4"/>
        <v>e4637649-0063-4a76-9787-dc8b6a13cd2f</v>
      </c>
      <c r="B63" s="26" t="str">
        <f t="shared" si="5"/>
        <v>banibangou</v>
      </c>
      <c r="C63" s="26" t="str">
        <f t="shared" si="6"/>
        <v>O</v>
      </c>
      <c r="D63" s="14" t="str">
        <f>IF('Raw Data'!A60="","",'Raw Data'!A60)</f>
        <v>2021-04-09T10:31:29.990+01:00</v>
      </c>
      <c r="E63" s="14" t="str">
        <f>IF('Raw Data'!B60="","",'Raw Data'!B60)</f>
        <v>2021-04-09T11:55:51.514+01:00</v>
      </c>
      <c r="F63" s="30">
        <v>44295.438530092593</v>
      </c>
      <c r="G63" s="30">
        <v>44295.497118055559</v>
      </c>
      <c r="H63" s="29">
        <f>VLOOKUP(A63,Audit[#All],2,FALSE)</f>
        <v>85.85</v>
      </c>
      <c r="I63" s="29">
        <f>VLOOKUP(A63,Audit[#All],3,FALSE)</f>
        <v>39.770000000000003</v>
      </c>
      <c r="J63" s="29">
        <f>VLOOKUP(A63,Audit[#All],4,FALSE)</f>
        <v>38.440000000000012</v>
      </c>
      <c r="K63" s="29">
        <f>VLOOKUP(A63,nb_questions[#All],2,FALSE)</f>
        <v>143</v>
      </c>
      <c r="L63" s="29">
        <f t="shared" si="7"/>
        <v>171</v>
      </c>
      <c r="M63" s="14" t="str">
        <f>IF('Raw Data'!C60="","",'Raw Data'!C60)</f>
        <v>2021-04-09</v>
      </c>
      <c r="N63" s="14" t="str">
        <f>IF('Raw Data'!D60="","",'Raw Data'!D60)</f>
        <v/>
      </c>
      <c r="O63" s="14" t="str">
        <f>IF('Raw Data'!E60="","",'Raw Data'!E60)</f>
        <v/>
      </c>
      <c r="P63" s="29" t="str">
        <f>VLOOKUP(A63,code_enqueteurs[#All],3,FALSE)</f>
        <v>O</v>
      </c>
      <c r="Q63" s="29" t="s">
        <v>1657</v>
      </c>
      <c r="R63" s="14" t="str">
        <f>IF('Raw Data'!F60="","",'Raw Data'!F60)</f>
        <v>Homme</v>
      </c>
      <c r="S63" s="15" t="str">
        <f>IF('Raw Data'!G60="","",'Raw Data'!G60)</f>
        <v>banibangou</v>
      </c>
      <c r="T63" s="15" t="str">
        <f>IF('Raw Data'!H60="","",'Raw Data'!H60)</f>
        <v>banibangou</v>
      </c>
      <c r="U63" s="31" t="s">
        <v>427</v>
      </c>
      <c r="V63" s="31" t="s">
        <v>1642</v>
      </c>
      <c r="W63" s="15" t="str">
        <f>IF('Raw Data'!K60="","",'Raw Data'!K60)</f>
        <v/>
      </c>
      <c r="X63" s="15" t="str">
        <f>IF('Raw Data'!L60="","",'Raw Data'!L60)</f>
        <v/>
      </c>
      <c r="Y63" s="15" t="str">
        <f>IF('Raw Data'!M60="","",'Raw Data'!M60)</f>
        <v/>
      </c>
      <c r="Z63" s="15" t="str">
        <f>IF('Raw Data'!N60="","",'Raw Data'!N60)</f>
        <v/>
      </c>
      <c r="AA63" s="15" t="str">
        <f>IF('Raw Data'!O60="","",'Raw Data'!O60)</f>
        <v/>
      </c>
      <c r="AB63" s="15" t="str">
        <f>IF('Raw Data'!P60="","",'Raw Data'!P60)</f>
        <v/>
      </c>
      <c r="AC63" s="15" t="str">
        <f>IF('Raw Data'!Q60="","",'Raw Data'!Q60)</f>
        <v/>
      </c>
      <c r="AD63" s="15" t="str">
        <f>IF('Raw Data'!R60="","",'Raw Data'!R60)</f>
        <v>Homme</v>
      </c>
      <c r="AE63" s="15" t="str">
        <f>IF('Raw Data'!S60="","",'Raw Data'!S60)</f>
        <v>55</v>
      </c>
      <c r="AF63" s="15" t="str">
        <f>IF('Raw Data'!T60="","",'Raw Data'!T60)</f>
        <v>Hote</v>
      </c>
      <c r="AG63" s="15" t="str">
        <f>IF('Raw Data'!U60="","",'Raw Data'!U60)</f>
        <v/>
      </c>
      <c r="AH63" s="15" t="str">
        <f>IF('Raw Data'!V60="","",'Raw Data'!V60)</f>
        <v/>
      </c>
      <c r="AI63" s="15" t="str">
        <f>IF('Raw Data'!W60="","",'Raw Data'!W60)</f>
        <v/>
      </c>
      <c r="AJ63" s="15" t="str">
        <f>IF('Raw Data'!X60="","",'Raw Data'!X60)</f>
        <v/>
      </c>
      <c r="AK63" s="15" t="str">
        <f>IF('Raw Data'!Y60="","",'Raw Data'!Y60)</f>
        <v/>
      </c>
      <c r="AL63" s="15" t="str">
        <f>IF('Raw Data'!Z60="","",'Raw Data'!Z60)</f>
        <v/>
      </c>
      <c r="AM63" s="15" t="str">
        <f>IF('Raw Data'!AA60="","",'Raw Data'!AA60)</f>
        <v/>
      </c>
      <c r="AN63" s="15" t="str">
        <f>IF('Raw Data'!AB60="","",'Raw Data'!AB60)</f>
        <v/>
      </c>
      <c r="AO63" s="15" t="str">
        <f>IF('Raw Data'!AC60="","",'Raw Data'!AC60)</f>
        <v/>
      </c>
      <c r="AP63" s="15" t="str">
        <f>IF('Raw Data'!AD60="","",'Raw Data'!AD60)</f>
        <v/>
      </c>
      <c r="AQ63" s="15" t="str">
        <f>IF('Raw Data'!AE60="","",'Raw Data'!AE60)</f>
        <v/>
      </c>
      <c r="AR63" s="15" t="str">
        <f>IF('Raw Data'!AF60="","",'Raw Data'!AF60)</f>
        <v/>
      </c>
      <c r="AS63" s="15" t="str">
        <f>IF('Raw Data'!AG60="","",'Raw Data'!AG60)</f>
        <v>non</v>
      </c>
      <c r="AT63" s="15" t="str">
        <f>IF('Raw Data'!AH60="","",'Raw Data'!AH60)</f>
        <v/>
      </c>
      <c r="AU63" s="15" t="str">
        <f>IF('Raw Data'!AI60="","",'Raw Data'!AI60)</f>
        <v/>
      </c>
      <c r="AV63" s="15" t="str">
        <f>IF('Raw Data'!AJ60="","",'Raw Data'!AJ60)</f>
        <v/>
      </c>
      <c r="AW63" s="15" t="str">
        <f>IF('Raw Data'!AK60="","",'Raw Data'!AK60)</f>
        <v/>
      </c>
      <c r="AX63" s="15" t="str">
        <f>IF('Raw Data'!AL60="","",'Raw Data'!AL60)</f>
        <v/>
      </c>
      <c r="AY63" s="15" t="str">
        <f>IF('Raw Data'!AM60="","",'Raw Data'!AM60)</f>
        <v/>
      </c>
      <c r="AZ63" s="15" t="str">
        <f>IF('Raw Data'!AN60="","",'Raw Data'!AN60)</f>
        <v/>
      </c>
      <c r="BA63" s="15" t="str">
        <f>IF('Raw Data'!AO60="","",'Raw Data'!AO60)</f>
        <v/>
      </c>
      <c r="BB63" s="15" t="str">
        <f>IF('Raw Data'!AP60="","",'Raw Data'!AP60)</f>
        <v/>
      </c>
      <c r="BC63" s="15" t="str">
        <f>IF('Raw Data'!AQ60="","",'Raw Data'!AQ60)</f>
        <v/>
      </c>
      <c r="BD63" s="15" t="str">
        <f>IF('Raw Data'!AR60="","",'Raw Data'!AR60)</f>
        <v/>
      </c>
      <c r="BE63" s="15" t="str">
        <f>IF('Raw Data'!AS60="","",'Raw Data'!AS60)</f>
        <v/>
      </c>
      <c r="BF63" s="15" t="str">
        <f>IF('Raw Data'!AT60="","",'Raw Data'!AT60)</f>
        <v/>
      </c>
      <c r="BG63" s="15" t="str">
        <f>IF('Raw Data'!AU60="","",'Raw Data'!AU60)</f>
        <v/>
      </c>
      <c r="BH63" s="15" t="str">
        <f>IF('Raw Data'!AV60="","",'Raw Data'!AV60)</f>
        <v/>
      </c>
      <c r="BI63" s="15" t="str">
        <f>IF('Raw Data'!AW60="","",'Raw Data'!AW60)</f>
        <v/>
      </c>
      <c r="BJ63" s="15" t="str">
        <f>IF('Raw Data'!AX60="","",'Raw Data'!AX60)</f>
        <v/>
      </c>
      <c r="BK63" s="15" t="str">
        <f>IF('Raw Data'!AY60="","",'Raw Data'!AY60)</f>
        <v/>
      </c>
      <c r="BL63" s="15" t="str">
        <f>IF('Raw Data'!AZ60="","",'Raw Data'!AZ60)</f>
        <v/>
      </c>
      <c r="BM63" s="15" t="str">
        <f>IF('Raw Data'!BA60="","",'Raw Data'!BA60)</f>
        <v/>
      </c>
      <c r="BN63" s="15" t="str">
        <f>IF('Raw Data'!BB60="","",'Raw Data'!BB60)</f>
        <v/>
      </c>
      <c r="BO63" s="15" t="str">
        <f>IF('Raw Data'!BC60="","",'Raw Data'!BC60)</f>
        <v/>
      </c>
      <c r="BP63" s="15" t="str">
        <f>IF('Raw Data'!BD60="","",'Raw Data'!BD60)</f>
        <v/>
      </c>
      <c r="BQ63" s="15" t="str">
        <f>IF('Raw Data'!BE60="","",'Raw Data'!BE60)</f>
        <v/>
      </c>
      <c r="BR63" s="15" t="str">
        <f>IF('Raw Data'!BF60="","",'Raw Data'!BF60)</f>
        <v/>
      </c>
      <c r="BS63" s="15" t="str">
        <f>IF('Raw Data'!BG60="","",'Raw Data'!BG60)</f>
        <v/>
      </c>
      <c r="BT63" s="15" t="str">
        <f>IF('Raw Data'!BH60="","",'Raw Data'!BH60)</f>
        <v/>
      </c>
      <c r="BU63" s="15" t="str">
        <f>IF('Raw Data'!BI60="","",'Raw Data'!BI60)</f>
        <v/>
      </c>
      <c r="BV63" s="15" t="str">
        <f>IF('Raw Data'!BJ60="","",'Raw Data'!BJ60)</f>
        <v/>
      </c>
      <c r="BW63" s="15" t="str">
        <f>IF('Raw Data'!BK60="","",'Raw Data'!BK60)</f>
        <v/>
      </c>
      <c r="BX63" s="15" t="str">
        <f>IF('Raw Data'!BL60="","",'Raw Data'!BL60)</f>
        <v/>
      </c>
      <c r="BY63" s="15" t="str">
        <f>IF('Raw Data'!BM60="","",'Raw Data'!BM60)</f>
        <v/>
      </c>
      <c r="BZ63" s="15" t="str">
        <f>IF('Raw Data'!BN60="","",'Raw Data'!BN60)</f>
        <v/>
      </c>
      <c r="CA63" s="15" t="str">
        <f>IF('Raw Data'!BO60="","",'Raw Data'!BO60)</f>
        <v/>
      </c>
      <c r="CB63" s="15" t="str">
        <f>IF('Raw Data'!BP60="","",'Raw Data'!BP60)</f>
        <v/>
      </c>
      <c r="CC63" s="15" t="str">
        <f>IF('Raw Data'!BQ60="","",'Raw Data'!BQ60)</f>
        <v>non</v>
      </c>
      <c r="CD63" s="15" t="str">
        <f>IF('Raw Data'!BR60="","",'Raw Data'!BR60)</f>
        <v/>
      </c>
      <c r="CE63" s="15" t="str">
        <f>IF('Raw Data'!BS60="","",'Raw Data'!BS60)</f>
        <v/>
      </c>
      <c r="CF63" s="15" t="str">
        <f>IF('Raw Data'!BT60="","",'Raw Data'!BT60)</f>
        <v/>
      </c>
      <c r="CG63" s="15" t="str">
        <f>IF('Raw Data'!BU60="","",'Raw Data'!BU60)</f>
        <v/>
      </c>
      <c r="CH63" s="15" t="str">
        <f>IF('Raw Data'!BV60="","",'Raw Data'!BV60)</f>
        <v/>
      </c>
      <c r="CI63" s="15" t="str">
        <f>IF('Raw Data'!BW60="","",'Raw Data'!BW60)</f>
        <v/>
      </c>
      <c r="CJ63" s="15" t="str">
        <f>IF('Raw Data'!BX60="","",'Raw Data'!BX60)</f>
        <v/>
      </c>
      <c r="CK63" s="15" t="str">
        <f>IF('Raw Data'!BY60="","",'Raw Data'!BY60)</f>
        <v/>
      </c>
      <c r="CL63" s="15" t="str">
        <f>IF('Raw Data'!BZ60="","",'Raw Data'!BZ60)</f>
        <v/>
      </c>
      <c r="CM63" s="15" t="str">
        <f>IF('Raw Data'!CA60="","",'Raw Data'!CA60)</f>
        <v/>
      </c>
      <c r="CN63" s="15" t="str">
        <f>IF('Raw Data'!CB60="","",'Raw Data'!CB60)</f>
        <v/>
      </c>
      <c r="CO63" s="15" t="str">
        <f>IF('Raw Data'!CC60="","",'Raw Data'!CC60)</f>
        <v/>
      </c>
      <c r="CP63" s="15" t="str">
        <f>IF('Raw Data'!CD60="","",'Raw Data'!CD60)</f>
        <v/>
      </c>
      <c r="CQ63" s="15" t="str">
        <f>IF('Raw Data'!CE60="","",'Raw Data'!CE60)</f>
        <v/>
      </c>
      <c r="CR63" s="15" t="str">
        <f>IF('Raw Data'!CF60="","",'Raw Data'!CF60)</f>
        <v/>
      </c>
      <c r="CS63" s="15" t="str">
        <f>IF('Raw Data'!CG60="","",'Raw Data'!CG60)</f>
        <v/>
      </c>
      <c r="CT63" s="15" t="str">
        <f>IF('Raw Data'!CH60="","",'Raw Data'!CH60)</f>
        <v/>
      </c>
      <c r="CU63" s="15" t="str">
        <f>IF('Raw Data'!CI60="","",'Raw Data'!CI60)</f>
        <v/>
      </c>
      <c r="CV63" s="15" t="str">
        <f>IF('Raw Data'!CJ60="","",'Raw Data'!CJ60)</f>
        <v/>
      </c>
      <c r="CW63" s="15" t="str">
        <f>IF('Raw Data'!CK60="","",'Raw Data'!CK60)</f>
        <v/>
      </c>
      <c r="CX63" s="15" t="str">
        <f>IF('Raw Data'!CL60="","",'Raw Data'!CL60)</f>
        <v/>
      </c>
      <c r="CY63" s="15" t="str">
        <f>IF('Raw Data'!CM60="","",'Raw Data'!CM60)</f>
        <v/>
      </c>
      <c r="CZ63" s="15" t="str">
        <f>IF('Raw Data'!CN60="","",'Raw Data'!CN60)</f>
        <v/>
      </c>
      <c r="DA63" s="15" t="str">
        <f>IF('Raw Data'!CO60="","",'Raw Data'!CO60)</f>
        <v/>
      </c>
      <c r="DB63" s="15" t="str">
        <f>IF('Raw Data'!CP60="","",'Raw Data'!CP60)</f>
        <v/>
      </c>
      <c r="DC63" s="15" t="str">
        <f>IF('Raw Data'!CQ60="","",'Raw Data'!CQ60)</f>
        <v/>
      </c>
      <c r="DD63" s="15" t="str">
        <f>IF('Raw Data'!CR60="","",'Raw Data'!CR60)</f>
        <v/>
      </c>
      <c r="DE63" s="15" t="str">
        <f>IF('Raw Data'!CS60="","",'Raw Data'!CS60)</f>
        <v/>
      </c>
      <c r="DF63" s="15" t="str">
        <f>IF('Raw Data'!CT60="","",'Raw Data'!CT60)</f>
        <v/>
      </c>
      <c r="DG63" s="15" t="str">
        <f>IF('Raw Data'!CU60="","",'Raw Data'!CU60)</f>
        <v/>
      </c>
      <c r="DH63" s="15" t="str">
        <f>IF('Raw Data'!CV60="","",'Raw Data'!CV60)</f>
        <v/>
      </c>
      <c r="DI63" s="15" t="str">
        <f>IF('Raw Data'!CW60="","",'Raw Data'!CW60)</f>
        <v/>
      </c>
      <c r="DJ63" s="15" t="str">
        <f>IF('Raw Data'!CX60="","",'Raw Data'!CX60)</f>
        <v/>
      </c>
      <c r="DK63" s="15" t="str">
        <f>IF('Raw Data'!CY60="","",'Raw Data'!CY60)</f>
        <v/>
      </c>
      <c r="DL63" s="15" t="str">
        <f>IF('Raw Data'!CZ60="","",'Raw Data'!CZ60)</f>
        <v/>
      </c>
      <c r="DM63" s="15" t="str">
        <f>IF('Raw Data'!DA60="","",'Raw Data'!DA60)</f>
        <v/>
      </c>
      <c r="DN63" s="15" t="str">
        <f>IF('Raw Data'!DB60="","",'Raw Data'!DB60)</f>
        <v/>
      </c>
      <c r="DO63" s="15" t="str">
        <f>IF('Raw Data'!DC60="","",'Raw Data'!DC60)</f>
        <v/>
      </c>
      <c r="DP63" s="15" t="str">
        <f>IF('Raw Data'!DD60="","",'Raw Data'!DD60)</f>
        <v/>
      </c>
      <c r="DQ63" s="15" t="str">
        <f>IF('Raw Data'!DE60="","",'Raw Data'!DE60)</f>
        <v/>
      </c>
      <c r="DR63" s="15" t="str">
        <f>IF('Raw Data'!DF60="","",'Raw Data'!DF60)</f>
        <v/>
      </c>
      <c r="DS63" s="15" t="str">
        <f>IF('Raw Data'!DG60="","",'Raw Data'!DG60)</f>
        <v/>
      </c>
      <c r="DT63" s="15" t="str">
        <f>IF('Raw Data'!DH60="","",'Raw Data'!DH60)</f>
        <v/>
      </c>
      <c r="DU63" s="15" t="str">
        <f>IF('Raw Data'!DI60="","",'Raw Data'!DI60)</f>
        <v/>
      </c>
      <c r="DV63" s="15" t="str">
        <f>IF('Raw Data'!DJ60="","",'Raw Data'!DJ60)</f>
        <v/>
      </c>
      <c r="DW63" s="15" t="str">
        <f>IF('Raw Data'!DK60="","",'Raw Data'!DK60)</f>
        <v/>
      </c>
      <c r="DX63" s="15" t="str">
        <f>IF('Raw Data'!DL60="","",'Raw Data'!DL60)</f>
        <v/>
      </c>
      <c r="DY63" s="15" t="str">
        <f>IF('Raw Data'!DM60="","",'Raw Data'!DM60)</f>
        <v/>
      </c>
      <c r="DZ63" s="15" t="str">
        <f>IF('Raw Data'!DN60="","",'Raw Data'!DN60)</f>
        <v/>
      </c>
      <c r="EA63" s="15" t="str">
        <f>IF('Raw Data'!DO60="","",'Raw Data'!DO60)</f>
        <v/>
      </c>
      <c r="EB63" s="15" t="str">
        <f>IF('Raw Data'!DP60="","",'Raw Data'!DP60)</f>
        <v/>
      </c>
      <c r="EC63" s="15" t="str">
        <f>IF('Raw Data'!DQ60="","",'Raw Data'!DQ60)</f>
        <v/>
      </c>
      <c r="ED63" s="15" t="str">
        <f>IF('Raw Data'!DR60="","",'Raw Data'!DR60)</f>
        <v/>
      </c>
      <c r="EE63" s="15" t="str">
        <f>IF('Raw Data'!DS60="","",'Raw Data'!DS60)</f>
        <v/>
      </c>
      <c r="EF63" s="15" t="str">
        <f>IF('Raw Data'!DT60="","",'Raw Data'!DT60)</f>
        <v/>
      </c>
      <c r="EG63" s="15" t="str">
        <f>IF('Raw Data'!DU60="","",'Raw Data'!DU60)</f>
        <v/>
      </c>
      <c r="EH63" s="15" t="str">
        <f>IF('Raw Data'!DV60="","",'Raw Data'!DV60)</f>
        <v/>
      </c>
      <c r="EI63" s="15" t="str">
        <f>IF('Raw Data'!DW60="","",'Raw Data'!DW60)</f>
        <v/>
      </c>
      <c r="EJ63" s="15" t="str">
        <f>IF('Raw Data'!DX60="","",'Raw Data'!DX60)</f>
        <v/>
      </c>
      <c r="EK63" s="15" t="str">
        <f>IF('Raw Data'!DY60="","",'Raw Data'!DY60)</f>
        <v/>
      </c>
      <c r="EL63" s="15" t="str">
        <f>IF('Raw Data'!DZ60="","",'Raw Data'!DZ60)</f>
        <v>dplct_abords_com Integration_com_hote Soutien_famille_amis</v>
      </c>
      <c r="EM63" s="15" t="str">
        <f>IF('Raw Data'!EA60="","",'Raw Data'!EA60)</f>
        <v>1</v>
      </c>
      <c r="EN63" s="15" t="str">
        <f>IF('Raw Data'!EB60="","",'Raw Data'!EB60)</f>
        <v>1</v>
      </c>
      <c r="EO63" s="15" t="str">
        <f>IF('Raw Data'!EC60="","",'Raw Data'!EC60)</f>
        <v>1</v>
      </c>
      <c r="EP63" s="15" t="str">
        <f>IF('Raw Data'!ED60="","",'Raw Data'!ED60)</f>
        <v>0</v>
      </c>
      <c r="EQ63" s="15" t="str">
        <f>IF('Raw Data'!EE60="","",'Raw Data'!EE60)</f>
        <v>0</v>
      </c>
      <c r="ER63" s="15" t="str">
        <f>IF('Raw Data'!EF60="","",'Raw Data'!EF60)</f>
        <v>0</v>
      </c>
      <c r="ES63" s="15" t="str">
        <f>IF('Raw Data'!EG60="","",'Raw Data'!EG60)</f>
        <v>0</v>
      </c>
      <c r="ET63" s="15" t="str">
        <f>IF('Raw Data'!EH60="","",'Raw Data'!EH60)</f>
        <v>0</v>
      </c>
      <c r="EU63" s="15" t="str">
        <f>IF('Raw Data'!EI60="","",'Raw Data'!EI60)</f>
        <v>0</v>
      </c>
      <c r="EV63" s="15" t="str">
        <f>IF('Raw Data'!EJ60="","",'Raw Data'!EJ60)</f>
        <v/>
      </c>
      <c r="EW63" s="15" t="str">
        <f>IF('Raw Data'!EK60="","",'Raw Data'!EK60)</f>
        <v/>
      </c>
      <c r="EX63" s="15" t="str">
        <f>IF('Raw Data'!EL60="","",'Raw Data'!EL60)</f>
        <v>famille_accueil comite_redevabilite comite_gestion_conflits comite_protection</v>
      </c>
      <c r="EY63" s="15" t="str">
        <f>IF('Raw Data'!EM60="","",'Raw Data'!EM60)</f>
        <v>0</v>
      </c>
      <c r="EZ63" s="15" t="str">
        <f>IF('Raw Data'!EN60="","",'Raw Data'!EN60)</f>
        <v>1</v>
      </c>
      <c r="FA63" s="15" t="str">
        <f>IF('Raw Data'!EO60="","",'Raw Data'!EO60)</f>
        <v>1</v>
      </c>
      <c r="FB63" s="15" t="str">
        <f>IF('Raw Data'!EP60="","",'Raw Data'!EP60)</f>
        <v>0</v>
      </c>
      <c r="FC63" s="15" t="str">
        <f>IF('Raw Data'!EQ60="","",'Raw Data'!EQ60)</f>
        <v>1</v>
      </c>
      <c r="FD63" s="15" t="str">
        <f>IF('Raw Data'!ER60="","",'Raw Data'!ER60)</f>
        <v>1</v>
      </c>
      <c r="FE63" s="15" t="str">
        <f>IF('Raw Data'!ES60="","",'Raw Data'!ES60)</f>
        <v>0</v>
      </c>
      <c r="FF63" s="15" t="str">
        <f>IF('Raw Data'!ET60="","",'Raw Data'!ET60)</f>
        <v>0</v>
      </c>
      <c r="FG63" s="15" t="str">
        <f>IF('Raw Data'!EU60="","",'Raw Data'!EU60)</f>
        <v>0</v>
      </c>
      <c r="FH63" s="15" t="str">
        <f>IF('Raw Data'!EV60="","",'Raw Data'!EV60)</f>
        <v>0</v>
      </c>
      <c r="FI63" s="15" t="str">
        <f>IF('Raw Data'!EW60="","",'Raw Data'!EW60)</f>
        <v/>
      </c>
      <c r="FJ63" s="15" t="str">
        <f>IF('Raw Data'!EX60="","",'Raw Data'!EX60)</f>
        <v>oui</v>
      </c>
      <c r="FK63" s="15" t="str">
        <f>IF('Raw Data'!EY60="","",'Raw Data'!EY60)</f>
        <v>Autre</v>
      </c>
      <c r="FL63" s="15" t="str">
        <f>IF('Raw Data'!EZ60="","",'Raw Data'!EZ60)</f>
        <v>0</v>
      </c>
      <c r="FM63" s="15" t="str">
        <f>IF('Raw Data'!FA60="","",'Raw Data'!FA60)</f>
        <v>0</v>
      </c>
      <c r="FN63" s="15" t="str">
        <f>IF('Raw Data'!FB60="","",'Raw Data'!FB60)</f>
        <v>0</v>
      </c>
      <c r="FO63" s="15" t="str">
        <f>IF('Raw Data'!FC60="","",'Raw Data'!FC60)</f>
        <v>0</v>
      </c>
      <c r="FP63" s="15" t="str">
        <f>IF('Raw Data'!FD60="","",'Raw Data'!FD60)</f>
        <v>0</v>
      </c>
      <c r="FQ63" s="31">
        <v>1</v>
      </c>
      <c r="FR63" s="15" t="str">
        <f>IF('Raw Data'!FF60="","",'Raw Data'!FF60)</f>
        <v>0</v>
      </c>
      <c r="FS63" s="15" t="str">
        <f>IF('Raw Data'!FG60="","",'Raw Data'!FG60)</f>
        <v>0</v>
      </c>
      <c r="FT63" s="15" t="str">
        <f>IF('Raw Data'!FH60="","",'Raw Data'!FH60)</f>
        <v>0</v>
      </c>
      <c r="FU63" s="15" t="str">
        <f>IF('Raw Data'!FI60="","",'Raw Data'!FI60)</f>
        <v>0</v>
      </c>
      <c r="FV63" s="15" t="str">
        <f>IF('Raw Data'!FJ60="","",'Raw Data'!FJ60)</f>
        <v>0</v>
      </c>
      <c r="FW63" s="15" t="str">
        <f>IF('Raw Data'!FK60="","",'Raw Data'!FK60)</f>
        <v>0</v>
      </c>
      <c r="FX63" s="31">
        <v>0</v>
      </c>
      <c r="FY63" s="15" t="str">
        <f>IF('Raw Data'!FM60="","",'Raw Data'!FM60)</f>
        <v>0</v>
      </c>
      <c r="FZ63" s="31"/>
      <c r="GA63" s="15" t="str">
        <f>IF('Raw Data'!FO60="","",'Raw Data'!FO60)</f>
        <v>oui_moitie</v>
      </c>
      <c r="GB63" s="15" t="str">
        <f>IF('Raw Data'!FP60="","",'Raw Data'!FP60)</f>
        <v>oui_ensemble</v>
      </c>
      <c r="GC63" s="15" t="str">
        <f>IF('Raw Data'!FQ60="","",'Raw Data'!FQ60)</f>
        <v/>
      </c>
      <c r="GD63" s="15" t="str">
        <f>IF('Raw Data'!FR60="","",'Raw Data'!FR60)</f>
        <v/>
      </c>
      <c r="GE63" s="15" t="str">
        <f>IF('Raw Data'!FS60="","",'Raw Data'!FS60)</f>
        <v/>
      </c>
      <c r="GF63" s="15" t="str">
        <f>IF('Raw Data'!FT60="","",'Raw Data'!FT60)</f>
        <v/>
      </c>
      <c r="GG63" s="15" t="str">
        <f>IF('Raw Data'!FU60="","",'Raw Data'!FU60)</f>
        <v/>
      </c>
      <c r="GH63" s="15" t="str">
        <f>IF('Raw Data'!FV60="","",'Raw Data'!FV60)</f>
        <v/>
      </c>
      <c r="GI63" s="15" t="str">
        <f>IF('Raw Data'!FW60="","",'Raw Data'!FW60)</f>
        <v/>
      </c>
      <c r="GJ63" s="15" t="str">
        <f>IF('Raw Data'!FX60="","",'Raw Data'!FX60)</f>
        <v/>
      </c>
      <c r="GK63" s="15" t="str">
        <f>IF('Raw Data'!FY60="","",'Raw Data'!FY60)</f>
        <v/>
      </c>
      <c r="GL63" s="15" t="str">
        <f>IF('Raw Data'!FZ60="","",'Raw Data'!FZ60)</f>
        <v/>
      </c>
      <c r="GM63" s="15" t="str">
        <f>IF('Raw Data'!GA60="","",'Raw Data'!GA60)</f>
        <v>majorite</v>
      </c>
      <c r="GN63" s="15" t="str">
        <f>IF('Raw Data'!GB60="","",'Raw Data'!GB60)</f>
        <v>moitie</v>
      </c>
      <c r="GO63" s="15" t="str">
        <f>IF('Raw Data'!GC60="","",'Raw Data'!GC60)</f>
        <v>Appui_psychosocial Education Services_de_sante Acces_aux_doc</v>
      </c>
      <c r="GP63" s="15" t="str">
        <f>IF('Raw Data'!GD60="","",'Raw Data'!GD60)</f>
        <v>1</v>
      </c>
      <c r="GQ63" s="15" t="str">
        <f>IF('Raw Data'!GE60="","",'Raw Data'!GE60)</f>
        <v>1</v>
      </c>
      <c r="GR63" s="15" t="str">
        <f>IF('Raw Data'!GF60="","",'Raw Data'!GF60)</f>
        <v>0</v>
      </c>
      <c r="GS63" s="15" t="str">
        <f>IF('Raw Data'!GG60="","",'Raw Data'!GG60)</f>
        <v>1</v>
      </c>
      <c r="GT63" s="15" t="str">
        <f>IF('Raw Data'!GH60="","",'Raw Data'!GH60)</f>
        <v>1</v>
      </c>
      <c r="GU63" s="15" t="str">
        <f>IF('Raw Data'!GI60="","",'Raw Data'!GI60)</f>
        <v>0</v>
      </c>
      <c r="GV63" s="15" t="str">
        <f>IF('Raw Data'!GJ60="","",'Raw Data'!GJ60)</f>
        <v>0</v>
      </c>
      <c r="GW63" s="15" t="str">
        <f>IF('Raw Data'!GK60="","",'Raw Data'!GK60)</f>
        <v>0</v>
      </c>
      <c r="GX63" s="15" t="str">
        <f>IF('Raw Data'!GL60="","",'Raw Data'!GL60)</f>
        <v>0</v>
      </c>
      <c r="GY63" s="15" t="str">
        <f>IF('Raw Data'!GM60="","",'Raw Data'!GM60)</f>
        <v/>
      </c>
      <c r="GZ63" s="15" t="str">
        <f>IF('Raw Data'!GN60="","",'Raw Data'!GN60)</f>
        <v>oui_ensemble</v>
      </c>
      <c r="HA63" s="15" t="str">
        <f>IF('Raw Data'!GO60="","",'Raw Data'!GO60)</f>
        <v>oui_ensemble</v>
      </c>
      <c r="HB63" s="15" t="str">
        <f>IF('Raw Data'!GP60="","",'Raw Data'!GP60)</f>
        <v>repond_besoins_pop permet_eviter_conflits diminution_tensions</v>
      </c>
      <c r="HC63" s="15" t="str">
        <f>IF('Raw Data'!GQ60="","",'Raw Data'!GQ60)</f>
        <v>0</v>
      </c>
      <c r="HD63" s="15" t="str">
        <f>IF('Raw Data'!GR60="","",'Raw Data'!GR60)</f>
        <v>1</v>
      </c>
      <c r="HE63" s="15" t="str">
        <f>IF('Raw Data'!GS60="","",'Raw Data'!GS60)</f>
        <v>0</v>
      </c>
      <c r="HF63" s="15" t="str">
        <f>IF('Raw Data'!GT60="","",'Raw Data'!GT60)</f>
        <v>1</v>
      </c>
      <c r="HG63" s="15" t="str">
        <f>IF('Raw Data'!GU60="","",'Raw Data'!GU60)</f>
        <v>0</v>
      </c>
      <c r="HH63" s="15" t="str">
        <f>IF('Raw Data'!GV60="","",'Raw Data'!GV60)</f>
        <v>1</v>
      </c>
      <c r="HI63" s="15" t="str">
        <f>IF('Raw Data'!GW60="","",'Raw Data'!GW60)</f>
        <v>0</v>
      </c>
      <c r="HJ63" s="15" t="str">
        <f>IF('Raw Data'!GX60="","",'Raw Data'!GX60)</f>
        <v>0</v>
      </c>
      <c r="HK63" s="15" t="str">
        <f>IF('Raw Data'!GY60="","",'Raw Data'!GY60)</f>
        <v/>
      </c>
      <c r="HL63" s="31"/>
      <c r="HM63" s="31"/>
      <c r="HN63" s="31"/>
      <c r="HO63" s="31"/>
      <c r="HP63" s="31"/>
      <c r="HQ63" s="31"/>
      <c r="HR63" s="31"/>
      <c r="HS63" s="31"/>
      <c r="HT63" s="15" t="str">
        <f>IF('Raw Data'!HH60="","",'Raw Data'!HH60)</f>
        <v/>
      </c>
      <c r="HU63" s="15" t="str">
        <f>IF('Raw Data'!HI60="","",'Raw Data'!HI60)</f>
        <v>oui_ensemble</v>
      </c>
      <c r="HV63" s="15" t="str">
        <f>IF('Raw Data'!HJ60="","",'Raw Data'!HJ60)</f>
        <v>gvt fds_arme autorite_locale_leaders</v>
      </c>
      <c r="HW63" s="15" t="str">
        <f>IF('Raw Data'!HK60="","",'Raw Data'!HK60)</f>
        <v>1</v>
      </c>
      <c r="HX63" s="15" t="str">
        <f>IF('Raw Data'!HL60="","",'Raw Data'!HL60)</f>
        <v>1</v>
      </c>
      <c r="HY63" s="15" t="str">
        <f>IF('Raw Data'!HM60="","",'Raw Data'!HM60)</f>
        <v>1</v>
      </c>
      <c r="HZ63" s="15" t="str">
        <f>IF('Raw Data'!HN60="","",'Raw Data'!HN60)</f>
        <v>0</v>
      </c>
      <c r="IA63" s="15" t="str">
        <f>IF('Raw Data'!HO60="","",'Raw Data'!HO60)</f>
        <v>0</v>
      </c>
      <c r="IB63" s="15" t="str">
        <f>IF('Raw Data'!HP60="","",'Raw Data'!HP60)</f>
        <v>0</v>
      </c>
      <c r="IC63" s="15" t="str">
        <f>IF('Raw Data'!HQ60="","",'Raw Data'!HQ60)</f>
        <v>0</v>
      </c>
      <c r="ID63" s="15" t="str">
        <f>IF('Raw Data'!HR60="","",'Raw Data'!HR60)</f>
        <v>0</v>
      </c>
      <c r="IE63" s="15" t="str">
        <f>IF('Raw Data'!HS60="","",'Raw Data'!HS60)</f>
        <v>0</v>
      </c>
      <c r="IF63" s="15" t="str">
        <f>IF('Raw Data'!HT60="","",'Raw Data'!HT60)</f>
        <v>0</v>
      </c>
      <c r="IG63" s="15" t="str">
        <f>IF('Raw Data'!HU60="","",'Raw Data'!HU60)</f>
        <v/>
      </c>
      <c r="IH63" s="15" t="str">
        <f>IF('Raw Data'!HV60="","",'Raw Data'!HV60)</f>
        <v/>
      </c>
      <c r="II63" s="15" t="str">
        <f>IF('Raw Data'!HW60="","",'Raw Data'!HW60)</f>
        <v/>
      </c>
      <c r="IJ63" s="15" t="str">
        <f>IF('Raw Data'!HX60="","",'Raw Data'!HX60)</f>
        <v/>
      </c>
      <c r="IK63" s="15" t="str">
        <f>IF('Raw Data'!HY60="","",'Raw Data'!HY60)</f>
        <v/>
      </c>
      <c r="IL63" s="15" t="str">
        <f>IF('Raw Data'!HZ60="","",'Raw Data'!HZ60)</f>
        <v/>
      </c>
      <c r="IM63" s="15" t="str">
        <f>IF('Raw Data'!IA60="","",'Raw Data'!IA60)</f>
        <v/>
      </c>
      <c r="IN63" s="15" t="str">
        <f>IF('Raw Data'!IB60="","",'Raw Data'!IB60)</f>
        <v/>
      </c>
      <c r="IO63" s="15" t="str">
        <f>IF('Raw Data'!IC60="","",'Raw Data'!IC60)</f>
        <v/>
      </c>
      <c r="IP63" s="15" t="str">
        <f>IF('Raw Data'!ID60="","",'Raw Data'!ID60)</f>
        <v/>
      </c>
      <c r="IQ63" s="15" t="str">
        <f>IF('Raw Data'!IE60="","",'Raw Data'!IE60)</f>
        <v/>
      </c>
      <c r="IR63" s="15" t="str">
        <f>IF('Raw Data'!IF60="","",'Raw Data'!IF60)</f>
        <v/>
      </c>
      <c r="IS63" s="15" t="str">
        <f>IF('Raw Data'!IG60="","",'Raw Data'!IG60)</f>
        <v/>
      </c>
      <c r="IT63" s="15" t="str">
        <f>IF('Raw Data'!IH60="","",'Raw Data'!IH60)</f>
        <v/>
      </c>
      <c r="IU63" s="15" t="str">
        <f>IF('Raw Data'!II60="","",'Raw Data'!II60)</f>
        <v/>
      </c>
      <c r="IV63" s="15" t="str">
        <f>IF('Raw Data'!IJ60="","",'Raw Data'!IJ60)</f>
        <v/>
      </c>
      <c r="IW63" s="15" t="str">
        <f>IF('Raw Data'!IK60="","",'Raw Data'!IK60)</f>
        <v/>
      </c>
      <c r="IX63" s="15" t="str">
        <f>IF('Raw Data'!IL60="","",'Raw Data'!IL60)</f>
        <v/>
      </c>
      <c r="IY63" s="15" t="str">
        <f>IF('Raw Data'!IM60="","",'Raw Data'!IM60)</f>
        <v/>
      </c>
      <c r="IZ63" s="15" t="str">
        <f>IF('Raw Data'!IN60="","",'Raw Data'!IN60)</f>
        <v>5</v>
      </c>
      <c r="JA63" s="15" t="str">
        <f>IF('Raw Data'!IO60="","",'Raw Data'!IO60)</f>
        <v>Appui_psychosocial Services_medicaux Services_conseil</v>
      </c>
      <c r="JB63" s="15" t="str">
        <f>IF('Raw Data'!IP60="","",'Raw Data'!IP60)</f>
        <v>1</v>
      </c>
      <c r="JC63" s="15" t="str">
        <f>IF('Raw Data'!IQ60="","",'Raw Data'!IQ60)</f>
        <v>1</v>
      </c>
      <c r="JD63" s="15" t="str">
        <f>IF('Raw Data'!IR60="","",'Raw Data'!IR60)</f>
        <v>0</v>
      </c>
      <c r="JE63" s="15" t="str">
        <f>IF('Raw Data'!IS60="","",'Raw Data'!IS60)</f>
        <v>1</v>
      </c>
      <c r="JF63" s="15" t="str">
        <f>IF('Raw Data'!IT60="","",'Raw Data'!IT60)</f>
        <v>0</v>
      </c>
      <c r="JG63" s="15" t="str">
        <f>IF('Raw Data'!IU60="","",'Raw Data'!IU60)</f>
        <v>0</v>
      </c>
      <c r="JH63" s="15" t="str">
        <f>IF('Raw Data'!IV60="","",'Raw Data'!IV60)</f>
        <v>0</v>
      </c>
      <c r="JI63" s="15" t="str">
        <f>IF('Raw Data'!IW60="","",'Raw Data'!IW60)</f>
        <v>0</v>
      </c>
      <c r="JJ63" s="15" t="str">
        <f>IF('Raw Data'!IX60="","",'Raw Data'!IX60)</f>
        <v>0</v>
      </c>
      <c r="JK63" s="15" t="str">
        <f>IF('Raw Data'!IY60="","",'Raw Data'!IY60)</f>
        <v>0</v>
      </c>
      <c r="JL63" s="15" t="str">
        <f>IF('Raw Data'!IZ60="","",'Raw Data'!IZ60)</f>
        <v/>
      </c>
      <c r="JM63" s="15" t="str">
        <f>IF('Raw Data'!JA60="","",'Raw Data'!JA60)</f>
        <v>signalement reorientation</v>
      </c>
      <c r="JN63" s="15" t="str">
        <f>IF('Raw Data'!JB60="","",'Raw Data'!JB60)</f>
        <v>0</v>
      </c>
      <c r="JO63" s="15" t="str">
        <f>IF('Raw Data'!JC60="","",'Raw Data'!JC60)</f>
        <v>1</v>
      </c>
      <c r="JP63" s="15" t="str">
        <f>IF('Raw Data'!JD60="","",'Raw Data'!JD60)</f>
        <v>1</v>
      </c>
      <c r="JQ63" s="15" t="str">
        <f>IF('Raw Data'!JE60="","",'Raw Data'!JE60)</f>
        <v>0</v>
      </c>
      <c r="JR63" s="15" t="str">
        <f>IF('Raw Data'!JF60="","",'Raw Data'!JF60)</f>
        <v>0</v>
      </c>
      <c r="JS63" s="15" t="str">
        <f>IF('Raw Data'!JG60="","",'Raw Data'!JG60)</f>
        <v>0</v>
      </c>
      <c r="JT63" s="15" t="str">
        <f>IF('Raw Data'!JH60="","",'Raw Data'!JH60)</f>
        <v/>
      </c>
      <c r="JU63" s="15" t="str">
        <f>IF('Raw Data'!JI60="","",'Raw Data'!JI60)</f>
        <v/>
      </c>
      <c r="JV63" s="15" t="str">
        <f>IF('Raw Data'!JJ60="","",'Raw Data'!JJ60)</f>
        <v/>
      </c>
      <c r="JW63" s="15" t="str">
        <f>IF('Raw Data'!JK60="","",'Raw Data'!JK60)</f>
        <v/>
      </c>
      <c r="JX63" s="15" t="str">
        <f>IF('Raw Data'!JL60="","",'Raw Data'!JL60)</f>
        <v/>
      </c>
      <c r="JY63" s="15" t="str">
        <f>IF('Raw Data'!JM60="","",'Raw Data'!JM60)</f>
        <v/>
      </c>
      <c r="JZ63" s="15" t="str">
        <f>IF('Raw Data'!JN60="","",'Raw Data'!JN60)</f>
        <v/>
      </c>
      <c r="KA63" s="15" t="str">
        <f>IF('Raw Data'!JO60="","",'Raw Data'!JO60)</f>
        <v/>
      </c>
      <c r="KB63" s="15" t="str">
        <f>IF('Raw Data'!JP60="","",'Raw Data'!JP60)</f>
        <v/>
      </c>
      <c r="KC63" s="15" t="str">
        <f>IF('Raw Data'!JQ60="","",'Raw Data'!JQ60)</f>
        <v/>
      </c>
      <c r="KD63" s="15" t="str">
        <f>IF('Raw Data'!JR60="","",'Raw Data'!JR60)</f>
        <v/>
      </c>
      <c r="KE63" s="15" t="str">
        <f>IF('Raw Data'!JS60="","",'Raw Data'!JS60)</f>
        <v/>
      </c>
      <c r="KF63" s="15" t="str">
        <f>IF('Raw Data'!JT60="","",'Raw Data'!JT60)</f>
        <v>medical surete point_ecoute</v>
      </c>
      <c r="KG63" s="15" t="str">
        <f>IF('Raw Data'!JU60="","",'Raw Data'!JU60)</f>
        <v>1</v>
      </c>
      <c r="KH63" s="15" t="str">
        <f>IF('Raw Data'!JV60="","",'Raw Data'!JV60)</f>
        <v>0</v>
      </c>
      <c r="KI63" s="15" t="str">
        <f>IF('Raw Data'!JW60="","",'Raw Data'!JW60)</f>
        <v>1</v>
      </c>
      <c r="KJ63" s="15" t="str">
        <f>IF('Raw Data'!JX60="","",'Raw Data'!JX60)</f>
        <v>0</v>
      </c>
      <c r="KK63" s="15" t="str">
        <f>IF('Raw Data'!JY60="","",'Raw Data'!JY60)</f>
        <v>1</v>
      </c>
      <c r="KL63" s="15" t="str">
        <f>IF('Raw Data'!JZ60="","",'Raw Data'!JZ60)</f>
        <v>0</v>
      </c>
      <c r="KM63" s="15" t="str">
        <f>IF('Raw Data'!KA60="","",'Raw Data'!KA60)</f>
        <v>0</v>
      </c>
      <c r="KN63" s="15" t="str">
        <f>IF('Raw Data'!KB60="","",'Raw Data'!KB60)</f>
        <v>0</v>
      </c>
      <c r="KO63" s="15" t="str">
        <f>IF('Raw Data'!KC60="","",'Raw Data'!KC60)</f>
        <v>0</v>
      </c>
      <c r="KP63" s="15" t="str">
        <f>IF('Raw Data'!KD60="","",'Raw Data'!KD60)</f>
        <v/>
      </c>
      <c r="KQ63" s="15" t="str">
        <f>IF('Raw Data'!KE60="","",'Raw Data'!KE60)</f>
        <v/>
      </c>
      <c r="KR63" s="15" t="str">
        <f>IF('Raw Data'!KF60="","",'Raw Data'!KF60)</f>
        <v>oui</v>
      </c>
      <c r="KS63" s="15" t="str">
        <f>IF('Raw Data'!KG60="","",'Raw Data'!KG60)</f>
        <v>insecurite_zone manque_moyens probleme_orientation</v>
      </c>
      <c r="KT63" s="15" t="str">
        <f>IF('Raw Data'!KH60="","",'Raw Data'!KH60)</f>
        <v>1</v>
      </c>
      <c r="KU63" s="15" t="str">
        <f>IF('Raw Data'!KI60="","",'Raw Data'!KI60)</f>
        <v>0</v>
      </c>
      <c r="KV63" s="15" t="str">
        <f>IF('Raw Data'!KJ60="","",'Raw Data'!KJ60)</f>
        <v>0</v>
      </c>
      <c r="KW63" s="15" t="str">
        <f>IF('Raw Data'!KK60="","",'Raw Data'!KK60)</f>
        <v>1</v>
      </c>
      <c r="KX63" s="15" t="str">
        <f>IF('Raw Data'!KL60="","",'Raw Data'!KL60)</f>
        <v>1</v>
      </c>
      <c r="KY63" s="15" t="str">
        <f>IF('Raw Data'!KM60="","",'Raw Data'!KM60)</f>
        <v>0</v>
      </c>
      <c r="KZ63" s="15" t="str">
        <f>IF('Raw Data'!KN60="","",'Raw Data'!KN60)</f>
        <v>0</v>
      </c>
      <c r="LA63" s="15" t="str">
        <f>IF('Raw Data'!KO60="","",'Raw Data'!KO60)</f>
        <v>0</v>
      </c>
      <c r="LB63" s="15" t="str">
        <f>IF('Raw Data'!KP60="","",'Raw Data'!KP60)</f>
        <v>0</v>
      </c>
      <c r="LC63" s="15" t="str">
        <f>IF('Raw Data'!KQ60="","",'Raw Data'!KQ60)</f>
        <v>0</v>
      </c>
      <c r="LD63" s="15" t="str">
        <f>IF('Raw Data'!KR60="","",'Raw Data'!KR60)</f>
        <v>0</v>
      </c>
      <c r="LE63" s="15" t="str">
        <f>IF('Raw Data'!KS60="","",'Raw Data'!KS60)</f>
        <v/>
      </c>
      <c r="LF63" s="15" t="str">
        <f>IF('Raw Data'!KT60="","",'Raw Data'!KT60)</f>
        <v>pb_logistiques pb_secu pb_coordination</v>
      </c>
      <c r="LG63" s="15" t="str">
        <f>IF('Raw Data'!KU60="","",'Raw Data'!KU60)</f>
        <v>0</v>
      </c>
      <c r="LH63" s="15" t="str">
        <f>IF('Raw Data'!KV60="","",'Raw Data'!KV60)</f>
        <v>1</v>
      </c>
      <c r="LI63" s="15" t="str">
        <f>IF('Raw Data'!KW60="","",'Raw Data'!KW60)</f>
        <v>1</v>
      </c>
      <c r="LJ63" s="15" t="str">
        <f>IF('Raw Data'!KX60="","",'Raw Data'!KX60)</f>
        <v>1</v>
      </c>
      <c r="LK63" s="15" t="str">
        <f>IF('Raw Data'!KY60="","",'Raw Data'!KY60)</f>
        <v>0</v>
      </c>
      <c r="LL63" s="15" t="str">
        <f>IF('Raw Data'!KZ60="","",'Raw Data'!KZ60)</f>
        <v>0</v>
      </c>
      <c r="LM63" s="15" t="str">
        <f>IF('Raw Data'!LA60="","",'Raw Data'!LA60)</f>
        <v/>
      </c>
      <c r="LN63" s="15" t="str">
        <f>IF('Raw Data'!LB60="","",'Raw Data'!LB60)</f>
        <v>non</v>
      </c>
      <c r="LO63" s="15" t="str">
        <f>IF('Raw Data'!LC60="","",'Raw Data'!LC60)</f>
        <v/>
      </c>
      <c r="LP63" s="15" t="str">
        <f>IF('Raw Data'!LD60="","",'Raw Data'!LD60)</f>
        <v/>
      </c>
      <c r="LQ63" s="15" t="str">
        <f>IF('Raw Data'!LE60="","",'Raw Data'!LE60)</f>
        <v/>
      </c>
      <c r="LR63" s="15" t="str">
        <f>IF('Raw Data'!LF60="","",'Raw Data'!LF60)</f>
        <v/>
      </c>
      <c r="LS63" s="15" t="str">
        <f>IF('Raw Data'!LG60="","",'Raw Data'!LG60)</f>
        <v/>
      </c>
      <c r="LT63" s="15" t="str">
        <f>IF('Raw Data'!LH60="","",'Raw Data'!LH60)</f>
        <v/>
      </c>
      <c r="LU63" s="15" t="str">
        <f>IF('Raw Data'!LI60="","",'Raw Data'!LI60)</f>
        <v/>
      </c>
      <c r="LV63" s="15" t="str">
        <f>IF('Raw Data'!LJ60="","",'Raw Data'!LJ60)</f>
        <v/>
      </c>
      <c r="LW63" s="15" t="str">
        <f>IF('Raw Data'!LK60="","",'Raw Data'!LK60)</f>
        <v/>
      </c>
      <c r="LX63" s="15" t="str">
        <f>IF('Raw Data'!LL60="","",'Raw Data'!LL60)</f>
        <v/>
      </c>
      <c r="LY63" s="15" t="str">
        <f>IF('Raw Data'!LM60="","",'Raw Data'!LM60)</f>
        <v/>
      </c>
      <c r="LZ63" s="15" t="str">
        <f>IF('Raw Data'!LN60="","",'Raw Data'!LN60)</f>
        <v/>
      </c>
      <c r="MA63" s="15" t="str">
        <f>IF('Raw Data'!LO60="","",'Raw Data'!LO60)</f>
        <v/>
      </c>
      <c r="MB63" s="15" t="str">
        <f>IF('Raw Data'!LP60="","",'Raw Data'!LP60)</f>
        <v>oui</v>
      </c>
      <c r="MC63" s="15" t="str">
        <f>IF('Raw Data'!LQ60="","",'Raw Data'!LQ60)</f>
        <v/>
      </c>
      <c r="MD63" s="15" t="str">
        <f>IF('Raw Data'!LR60="","",'Raw Data'!LR60)</f>
        <v/>
      </c>
      <c r="ME63" s="15">
        <f>IF('Raw Data'!LS60="","",'Raw Data'!LS60)</f>
        <v>170684174</v>
      </c>
      <c r="MF63" s="15" t="str">
        <f>IF('Raw Data'!LT60="","",'Raw Data'!LT60)</f>
        <v>e4637649-0063-4a76-9787-dc8b6a13cd2f</v>
      </c>
      <c r="MG63" s="15" t="str">
        <f>IF('Raw Data'!LU60="","",'Raw Data'!LU60)</f>
        <v>2021-04-09T17:50:55</v>
      </c>
      <c r="MH63" s="15" t="str">
        <f>IF('Raw Data'!LV60="","",'Raw Data'!LV60)</f>
        <v/>
      </c>
      <c r="MI63" s="15" t="str">
        <f>IF('Raw Data'!LW60="","",'Raw Data'!LW60)</f>
        <v>[]</v>
      </c>
      <c r="MJ63" s="15" t="str">
        <f>IF('Raw Data'!LX60="","",'Raw Data'!LX60)</f>
        <v>submitted_via_web</v>
      </c>
      <c r="MK63" s="15" t="str">
        <f>IF('Raw Data'!LY60="","",'Raw Data'!LY60)</f>
        <v>reach_niger</v>
      </c>
      <c r="ML63" s="15" t="str">
        <f>IF('Raw Data'!LZ60="","",'Raw Data'!LZ60)</f>
        <v/>
      </c>
      <c r="MM63" s="15">
        <f>IF('Raw Data'!MA60="","",'Raw Data'!MA60)</f>
        <v>64</v>
      </c>
    </row>
    <row r="64" spans="1:351" x14ac:dyDescent="0.3">
      <c r="A64" s="26" t="str">
        <f t="shared" si="4"/>
        <v>76d87426-db08-4fc3-aaa5-2543b6b57761</v>
      </c>
      <c r="B64" s="26" t="str">
        <f t="shared" si="5"/>
        <v>ayerou</v>
      </c>
      <c r="C64" s="26" t="str">
        <f t="shared" si="6"/>
        <v>P</v>
      </c>
      <c r="D64" s="14" t="str">
        <f>IF('Raw Data'!A34="","",'Raw Data'!A34)</f>
        <v>2021-04-02T17:47:07.086+01:00</v>
      </c>
      <c r="E64" s="14" t="str">
        <f>IF('Raw Data'!B34="","",'Raw Data'!B34)</f>
        <v>2021-04-02T18:21:43.405+01:00</v>
      </c>
      <c r="F64" s="30">
        <v>44288.741053240738</v>
      </c>
      <c r="G64" s="30">
        <v>44288.765081018515</v>
      </c>
      <c r="H64" s="29">
        <f>VLOOKUP(A64,Audit[#All],2,FALSE)</f>
        <v>34.61</v>
      </c>
      <c r="I64" s="29">
        <f>VLOOKUP(A64,Audit[#All],3,FALSE)</f>
        <v>34.49</v>
      </c>
      <c r="J64" s="29">
        <f>VLOOKUP(A64,Audit[#All],4,FALSE)</f>
        <v>20.22</v>
      </c>
      <c r="K64" s="29">
        <f>VLOOKUP(A64,nb_questions[#All],2,FALSE)</f>
        <v>87</v>
      </c>
      <c r="L64" s="29">
        <f t="shared" si="7"/>
        <v>190</v>
      </c>
      <c r="M64" s="14" t="str">
        <f>IF('Raw Data'!C34="","",'Raw Data'!C34)</f>
        <v>2021-04-02</v>
      </c>
      <c r="N64" s="14" t="str">
        <f>IF('Raw Data'!D34="","",'Raw Data'!D34)</f>
        <v/>
      </c>
      <c r="O64" s="14" t="str">
        <f>IF('Raw Data'!E34="","",'Raw Data'!E34)</f>
        <v/>
      </c>
      <c r="P64" s="29" t="str">
        <f>VLOOKUP(A64,code_enqueteurs[#All],3,FALSE)</f>
        <v>P</v>
      </c>
      <c r="Q64" s="29" t="s">
        <v>1658</v>
      </c>
      <c r="R64" s="14" t="str">
        <f>IF('Raw Data'!F34="","",'Raw Data'!F34)</f>
        <v>Femme</v>
      </c>
      <c r="S64" s="15" t="str">
        <f>IF('Raw Data'!G34="","",'Raw Data'!G34)</f>
        <v>ayerou</v>
      </c>
      <c r="T64" s="15" t="str">
        <f>IF('Raw Data'!H34="","",'Raw Data'!H34)</f>
        <v>ayerou</v>
      </c>
      <c r="U64" s="15" t="str">
        <f>IF('Raw Data'!I34="","",'Raw Data'!I34)</f>
        <v>ayerou_ref</v>
      </c>
      <c r="V64" s="15" t="str">
        <f>IF('Raw Data'!J34="","",'Raw Data'!J34)</f>
        <v/>
      </c>
      <c r="W64" s="15" t="str">
        <f>IF('Raw Data'!K34="","",'Raw Data'!K34)</f>
        <v/>
      </c>
      <c r="X64" s="15" t="str">
        <f>IF('Raw Data'!L34="","",'Raw Data'!L34)</f>
        <v/>
      </c>
      <c r="Y64" s="15" t="str">
        <f>IF('Raw Data'!M34="","",'Raw Data'!M34)</f>
        <v/>
      </c>
      <c r="Z64" s="15" t="str">
        <f>IF('Raw Data'!N34="","",'Raw Data'!N34)</f>
        <v/>
      </c>
      <c r="AA64" s="15" t="str">
        <f>IF('Raw Data'!O34="","",'Raw Data'!O34)</f>
        <v/>
      </c>
      <c r="AB64" s="15" t="str">
        <f>IF('Raw Data'!P34="","",'Raw Data'!P34)</f>
        <v/>
      </c>
      <c r="AC64" s="15" t="str">
        <f>IF('Raw Data'!Q34="","",'Raw Data'!Q34)</f>
        <v/>
      </c>
      <c r="AD64" s="15" t="str">
        <f>IF('Raw Data'!R34="","",'Raw Data'!R34)</f>
        <v>Femme</v>
      </c>
      <c r="AE64" s="15" t="str">
        <f>IF('Raw Data'!S34="","",'Raw Data'!S34)</f>
        <v>30</v>
      </c>
      <c r="AF64" s="15" t="str">
        <f>IF('Raw Data'!T34="","",'Raw Data'!T34)</f>
        <v>deplace_interne</v>
      </c>
      <c r="AG64" s="15" t="str">
        <f>IF('Raw Data'!U34="","",'Raw Data'!U34)</f>
        <v/>
      </c>
      <c r="AH64" s="31" t="s">
        <v>544</v>
      </c>
      <c r="AI64" s="31" t="s">
        <v>1426</v>
      </c>
      <c r="AJ64" s="15" t="str">
        <f>IF('Raw Data'!X34="","",'Raw Data'!X34)</f>
        <v/>
      </c>
      <c r="AK64" s="15" t="str">
        <f>IF('Raw Data'!Y34="","",'Raw Data'!Y34)</f>
        <v/>
      </c>
      <c r="AL64" s="15" t="str">
        <f>IF('Raw Data'!Z34="","",'Raw Data'!Z34)</f>
        <v>niger</v>
      </c>
      <c r="AM64" s="15" t="str">
        <f>IF('Raw Data'!AA34="","",'Raw Data'!AA34)</f>
        <v>tillaberi</v>
      </c>
      <c r="AN64" s="15" t="str">
        <f>IF('Raw Data'!AB34="","",'Raw Data'!AB34)</f>
        <v>ayerou</v>
      </c>
      <c r="AO64" s="15" t="str">
        <f>IF('Raw Data'!AC34="","",'Raw Data'!AC34)</f>
        <v/>
      </c>
      <c r="AP64" s="15" t="str">
        <f>IF('Raw Data'!AD34="","",'Raw Data'!AD34)</f>
        <v/>
      </c>
      <c r="AQ64" s="15" t="str">
        <f>IF('Raw Data'!AE34="","",'Raw Data'!AE34)</f>
        <v/>
      </c>
      <c r="AR64" s="15" t="str">
        <f>IF('Raw Data'!AF34="","",'Raw Data'!AF34)</f>
        <v/>
      </c>
      <c r="AS64" s="15" t="str">
        <f>IF('Raw Data'!AG34="","",'Raw Data'!AG34)</f>
        <v>non</v>
      </c>
      <c r="AT64" s="15" t="str">
        <f>IF('Raw Data'!AH34="","",'Raw Data'!AH34)</f>
        <v/>
      </c>
      <c r="AU64" s="15" t="str">
        <f>IF('Raw Data'!AI34="","",'Raw Data'!AI34)</f>
        <v/>
      </c>
      <c r="AV64" s="15" t="str">
        <f>IF('Raw Data'!AJ34="","",'Raw Data'!AJ34)</f>
        <v/>
      </c>
      <c r="AW64" s="15" t="str">
        <f>IF('Raw Data'!AK34="","",'Raw Data'!AK34)</f>
        <v/>
      </c>
      <c r="AX64" s="15" t="str">
        <f>IF('Raw Data'!AL34="","",'Raw Data'!AL34)</f>
        <v/>
      </c>
      <c r="AY64" s="15" t="str">
        <f>IF('Raw Data'!AM34="","",'Raw Data'!AM34)</f>
        <v/>
      </c>
      <c r="AZ64" s="15" t="str">
        <f>IF('Raw Data'!AN34="","",'Raw Data'!AN34)</f>
        <v/>
      </c>
      <c r="BA64" s="15" t="str">
        <f>IF('Raw Data'!AO34="","",'Raw Data'!AO34)</f>
        <v/>
      </c>
      <c r="BB64" s="15" t="str">
        <f>IF('Raw Data'!AP34="","",'Raw Data'!AP34)</f>
        <v/>
      </c>
      <c r="BC64" s="15" t="str">
        <f>IF('Raw Data'!AQ34="","",'Raw Data'!AQ34)</f>
        <v/>
      </c>
      <c r="BD64" s="15" t="str">
        <f>IF('Raw Data'!AR34="","",'Raw Data'!AR34)</f>
        <v/>
      </c>
      <c r="BE64" s="15" t="str">
        <f>IF('Raw Data'!AS34="","",'Raw Data'!AS34)</f>
        <v/>
      </c>
      <c r="BF64" s="15" t="str">
        <f>IF('Raw Data'!AT34="","",'Raw Data'!AT34)</f>
        <v/>
      </c>
      <c r="BG64" s="15" t="str">
        <f>IF('Raw Data'!AU34="","",'Raw Data'!AU34)</f>
        <v/>
      </c>
      <c r="BH64" s="15" t="str">
        <f>IF('Raw Data'!AV34="","",'Raw Data'!AV34)</f>
        <v/>
      </c>
      <c r="BI64" s="15" t="str">
        <f>IF('Raw Data'!AW34="","",'Raw Data'!AW34)</f>
        <v/>
      </c>
      <c r="BJ64" s="15" t="str">
        <f>IF('Raw Data'!AX34="","",'Raw Data'!AX34)</f>
        <v/>
      </c>
      <c r="BK64" s="15" t="str">
        <f>IF('Raw Data'!AY34="","",'Raw Data'!AY34)</f>
        <v/>
      </c>
      <c r="BL64" s="15" t="str">
        <f>IF('Raw Data'!AZ34="","",'Raw Data'!AZ34)</f>
        <v/>
      </c>
      <c r="BM64" s="15" t="str">
        <f>IF('Raw Data'!BA34="","",'Raw Data'!BA34)</f>
        <v/>
      </c>
      <c r="BN64" s="15" t="str">
        <f>IF('Raw Data'!BB34="","",'Raw Data'!BB34)</f>
        <v/>
      </c>
      <c r="BO64" s="15" t="str">
        <f>IF('Raw Data'!BC34="","",'Raw Data'!BC34)</f>
        <v/>
      </c>
      <c r="BP64" s="15" t="str">
        <f>IF('Raw Data'!BD34="","",'Raw Data'!BD34)</f>
        <v/>
      </c>
      <c r="BQ64" s="15" t="str">
        <f>IF('Raw Data'!BE34="","",'Raw Data'!BE34)</f>
        <v/>
      </c>
      <c r="BR64" s="15" t="str">
        <f>IF('Raw Data'!BF34="","",'Raw Data'!BF34)</f>
        <v/>
      </c>
      <c r="BS64" s="15" t="str">
        <f>IF('Raw Data'!BG34="","",'Raw Data'!BG34)</f>
        <v/>
      </c>
      <c r="BT64" s="15" t="str">
        <f>IF('Raw Data'!BH34="","",'Raw Data'!BH34)</f>
        <v/>
      </c>
      <c r="BU64" s="15" t="str">
        <f>IF('Raw Data'!BI34="","",'Raw Data'!BI34)</f>
        <v/>
      </c>
      <c r="BV64" s="15" t="str">
        <f>IF('Raw Data'!BJ34="","",'Raw Data'!BJ34)</f>
        <v/>
      </c>
      <c r="BW64" s="15" t="str">
        <f>IF('Raw Data'!BK34="","",'Raw Data'!BK34)</f>
        <v/>
      </c>
      <c r="BX64" s="15" t="str">
        <f>IF('Raw Data'!BL34="","",'Raw Data'!BL34)</f>
        <v/>
      </c>
      <c r="BY64" s="15" t="str">
        <f>IF('Raw Data'!BM34="","",'Raw Data'!BM34)</f>
        <v/>
      </c>
      <c r="BZ64" s="15" t="str">
        <f>IF('Raw Data'!BN34="","",'Raw Data'!BN34)</f>
        <v/>
      </c>
      <c r="CA64" s="15" t="str">
        <f>IF('Raw Data'!BO34="","",'Raw Data'!BO34)</f>
        <v/>
      </c>
      <c r="CB64" s="15" t="str">
        <f>IF('Raw Data'!BP34="","",'Raw Data'!BP34)</f>
        <v/>
      </c>
      <c r="CC64" s="15" t="str">
        <f>IF('Raw Data'!BQ34="","",'Raw Data'!BQ34)</f>
        <v>non</v>
      </c>
      <c r="CD64" s="15" t="str">
        <f>IF('Raw Data'!BR34="","",'Raw Data'!BR34)</f>
        <v/>
      </c>
      <c r="CE64" s="15" t="str">
        <f>IF('Raw Data'!BS34="","",'Raw Data'!BS34)</f>
        <v/>
      </c>
      <c r="CF64" s="15" t="str">
        <f>IF('Raw Data'!BT34="","",'Raw Data'!BT34)</f>
        <v/>
      </c>
      <c r="CG64" s="15" t="str">
        <f>IF('Raw Data'!BU34="","",'Raw Data'!BU34)</f>
        <v/>
      </c>
      <c r="CH64" s="15" t="str">
        <f>IF('Raw Data'!BV34="","",'Raw Data'!BV34)</f>
        <v/>
      </c>
      <c r="CI64" s="15" t="str">
        <f>IF('Raw Data'!BW34="","",'Raw Data'!BW34)</f>
        <v/>
      </c>
      <c r="CJ64" s="15" t="str">
        <f>IF('Raw Data'!BX34="","",'Raw Data'!BX34)</f>
        <v/>
      </c>
      <c r="CK64" s="15" t="str">
        <f>IF('Raw Data'!BY34="","",'Raw Data'!BY34)</f>
        <v/>
      </c>
      <c r="CL64" s="15" t="str">
        <f>IF('Raw Data'!BZ34="","",'Raw Data'!BZ34)</f>
        <v/>
      </c>
      <c r="CM64" s="15" t="str">
        <f>IF('Raw Data'!CA34="","",'Raw Data'!CA34)</f>
        <v/>
      </c>
      <c r="CN64" s="15" t="str">
        <f>IF('Raw Data'!CB34="","",'Raw Data'!CB34)</f>
        <v/>
      </c>
      <c r="CO64" s="15" t="str">
        <f>IF('Raw Data'!CC34="","",'Raw Data'!CC34)</f>
        <v/>
      </c>
      <c r="CP64" s="15" t="str">
        <f>IF('Raw Data'!CD34="","",'Raw Data'!CD34)</f>
        <v/>
      </c>
      <c r="CQ64" s="15" t="str">
        <f>IF('Raw Data'!CE34="","",'Raw Data'!CE34)</f>
        <v/>
      </c>
      <c r="CR64" s="15" t="str">
        <f>IF('Raw Data'!CF34="","",'Raw Data'!CF34)</f>
        <v/>
      </c>
      <c r="CS64" s="15" t="str">
        <f>IF('Raw Data'!CG34="","",'Raw Data'!CG34)</f>
        <v/>
      </c>
      <c r="CT64" s="15" t="str">
        <f>IF('Raw Data'!CH34="","",'Raw Data'!CH34)</f>
        <v/>
      </c>
      <c r="CU64" s="15" t="str">
        <f>IF('Raw Data'!CI34="","",'Raw Data'!CI34)</f>
        <v/>
      </c>
      <c r="CV64" s="15" t="str">
        <f>IF('Raw Data'!CJ34="","",'Raw Data'!CJ34)</f>
        <v/>
      </c>
      <c r="CW64" s="15" t="str">
        <f>IF('Raw Data'!CK34="","",'Raw Data'!CK34)</f>
        <v/>
      </c>
      <c r="CX64" s="15" t="str">
        <f>IF('Raw Data'!CL34="","",'Raw Data'!CL34)</f>
        <v/>
      </c>
      <c r="CY64" s="15" t="str">
        <f>IF('Raw Data'!CM34="","",'Raw Data'!CM34)</f>
        <v/>
      </c>
      <c r="CZ64" s="15" t="str">
        <f>IF('Raw Data'!CN34="","",'Raw Data'!CN34)</f>
        <v/>
      </c>
      <c r="DA64" s="15" t="str">
        <f>IF('Raw Data'!CO34="","",'Raw Data'!CO34)</f>
        <v/>
      </c>
      <c r="DB64" s="15" t="str">
        <f>IF('Raw Data'!CP34="","",'Raw Data'!CP34)</f>
        <v/>
      </c>
      <c r="DC64" s="15" t="str">
        <f>IF('Raw Data'!CQ34="","",'Raw Data'!CQ34)</f>
        <v/>
      </c>
      <c r="DD64" s="15" t="str">
        <f>IF('Raw Data'!CR34="","",'Raw Data'!CR34)</f>
        <v/>
      </c>
      <c r="DE64" s="15" t="str">
        <f>IF('Raw Data'!CS34="","",'Raw Data'!CS34)</f>
        <v/>
      </c>
      <c r="DF64" s="15" t="str">
        <f>IF('Raw Data'!CT34="","",'Raw Data'!CT34)</f>
        <v/>
      </c>
      <c r="DG64" s="15" t="str">
        <f>IF('Raw Data'!CU34="","",'Raw Data'!CU34)</f>
        <v/>
      </c>
      <c r="DH64" s="15" t="str">
        <f>IF('Raw Data'!CV34="","",'Raw Data'!CV34)</f>
        <v/>
      </c>
      <c r="DI64" s="15" t="str">
        <f>IF('Raw Data'!CW34="","",'Raw Data'!CW34)</f>
        <v/>
      </c>
      <c r="DJ64" s="15" t="str">
        <f>IF('Raw Data'!CX34="","",'Raw Data'!CX34)</f>
        <v/>
      </c>
      <c r="DK64" s="15" t="str">
        <f>IF('Raw Data'!CY34="","",'Raw Data'!CY34)</f>
        <v/>
      </c>
      <c r="DL64" s="15" t="str">
        <f>IF('Raw Data'!CZ34="","",'Raw Data'!CZ34)</f>
        <v/>
      </c>
      <c r="DM64" s="15" t="str">
        <f>IF('Raw Data'!DA34="","",'Raw Data'!DA34)</f>
        <v/>
      </c>
      <c r="DN64" s="15" t="str">
        <f>IF('Raw Data'!DB34="","",'Raw Data'!DB34)</f>
        <v/>
      </c>
      <c r="DO64" s="15" t="str">
        <f>IF('Raw Data'!DC34="","",'Raw Data'!DC34)</f>
        <v/>
      </c>
      <c r="DP64" s="15" t="str">
        <f>IF('Raw Data'!DD34="","",'Raw Data'!DD34)</f>
        <v/>
      </c>
      <c r="DQ64" s="15" t="str">
        <f>IF('Raw Data'!DE34="","",'Raw Data'!DE34)</f>
        <v/>
      </c>
      <c r="DR64" s="15" t="str">
        <f>IF('Raw Data'!DF34="","",'Raw Data'!DF34)</f>
        <v/>
      </c>
      <c r="DS64" s="15" t="str">
        <f>IF('Raw Data'!DG34="","",'Raw Data'!DG34)</f>
        <v/>
      </c>
      <c r="DT64" s="15" t="str">
        <f>IF('Raw Data'!DH34="","",'Raw Data'!DH34)</f>
        <v/>
      </c>
      <c r="DU64" s="15" t="str">
        <f>IF('Raw Data'!DI34="","",'Raw Data'!DI34)</f>
        <v/>
      </c>
      <c r="DV64" s="15" t="str">
        <f>IF('Raw Data'!DJ34="","",'Raw Data'!DJ34)</f>
        <v/>
      </c>
      <c r="DW64" s="15" t="str">
        <f>IF('Raw Data'!DK34="","",'Raw Data'!DK34)</f>
        <v/>
      </c>
      <c r="DX64" s="15" t="str">
        <f>IF('Raw Data'!DL34="","",'Raw Data'!DL34)</f>
        <v/>
      </c>
      <c r="DY64" s="15" t="str">
        <f>IF('Raw Data'!DM34="","",'Raw Data'!DM34)</f>
        <v/>
      </c>
      <c r="DZ64" s="15" t="str">
        <f>IF('Raw Data'!DN34="","",'Raw Data'!DN34)</f>
        <v/>
      </c>
      <c r="EA64" s="15" t="str">
        <f>IF('Raw Data'!DO34="","",'Raw Data'!DO34)</f>
        <v/>
      </c>
      <c r="EB64" s="15" t="str">
        <f>IF('Raw Data'!DP34="","",'Raw Data'!DP34)</f>
        <v/>
      </c>
      <c r="EC64" s="15" t="str">
        <f>IF('Raw Data'!DQ34="","",'Raw Data'!DQ34)</f>
        <v/>
      </c>
      <c r="ED64" s="15" t="str">
        <f>IF('Raw Data'!DR34="","",'Raw Data'!DR34)</f>
        <v/>
      </c>
      <c r="EE64" s="15" t="str">
        <f>IF('Raw Data'!DS34="","",'Raw Data'!DS34)</f>
        <v/>
      </c>
      <c r="EF64" s="15" t="str">
        <f>IF('Raw Data'!DT34="","",'Raw Data'!DT34)</f>
        <v/>
      </c>
      <c r="EG64" s="15" t="str">
        <f>IF('Raw Data'!DU34="","",'Raw Data'!DU34)</f>
        <v/>
      </c>
      <c r="EH64" s="15" t="str">
        <f>IF('Raw Data'!DV34="","",'Raw Data'!DV34)</f>
        <v/>
      </c>
      <c r="EI64" s="15" t="str">
        <f>IF('Raw Data'!DW34="","",'Raw Data'!DW34)</f>
        <v/>
      </c>
      <c r="EJ64" s="15" t="str">
        <f>IF('Raw Data'!DX34="","",'Raw Data'!DX34)</f>
        <v/>
      </c>
      <c r="EK64" s="15" t="str">
        <f>IF('Raw Data'!DY34="","",'Raw Data'!DY34)</f>
        <v/>
      </c>
      <c r="EL64" s="15" t="str">
        <f>IF('Raw Data'!DZ34="","",'Raw Data'!DZ34)</f>
        <v>pas_de_mecanismes</v>
      </c>
      <c r="EM64" s="15" t="str">
        <f>IF('Raw Data'!EA34="","",'Raw Data'!EA34)</f>
        <v>0</v>
      </c>
      <c r="EN64" s="15" t="str">
        <f>IF('Raw Data'!EB34="","",'Raw Data'!EB34)</f>
        <v>0</v>
      </c>
      <c r="EO64" s="15" t="str">
        <f>IF('Raw Data'!EC34="","",'Raw Data'!EC34)</f>
        <v>0</v>
      </c>
      <c r="EP64" s="15" t="str">
        <f>IF('Raw Data'!ED34="","",'Raw Data'!ED34)</f>
        <v>0</v>
      </c>
      <c r="EQ64" s="15" t="str">
        <f>IF('Raw Data'!EE34="","",'Raw Data'!EE34)</f>
        <v>0</v>
      </c>
      <c r="ER64" s="15" t="str">
        <f>IF('Raw Data'!EF34="","",'Raw Data'!EF34)</f>
        <v>0</v>
      </c>
      <c r="ES64" s="15" t="str">
        <f>IF('Raw Data'!EG34="","",'Raw Data'!EG34)</f>
        <v>1</v>
      </c>
      <c r="ET64" s="15" t="str">
        <f>IF('Raw Data'!EH34="","",'Raw Data'!EH34)</f>
        <v>0</v>
      </c>
      <c r="EU64" s="15" t="str">
        <f>IF('Raw Data'!EI34="","",'Raw Data'!EI34)</f>
        <v>0</v>
      </c>
      <c r="EV64" s="15" t="str">
        <f>IF('Raw Data'!EJ34="","",'Raw Data'!EJ34)</f>
        <v/>
      </c>
      <c r="EW64" s="15" t="str">
        <f>IF('Raw Data'!EK34="","",'Raw Data'!EK34)</f>
        <v/>
      </c>
      <c r="EX64" s="15" t="str">
        <f>IF('Raw Data'!EL34="","",'Raw Data'!EL34)</f>
        <v>famille_accueil</v>
      </c>
      <c r="EY64" s="15" t="str">
        <f>IF('Raw Data'!EM34="","",'Raw Data'!EM34)</f>
        <v>0</v>
      </c>
      <c r="EZ64" s="15" t="str">
        <f>IF('Raw Data'!EN34="","",'Raw Data'!EN34)</f>
        <v>0</v>
      </c>
      <c r="FA64" s="15" t="str">
        <f>IF('Raw Data'!EO34="","",'Raw Data'!EO34)</f>
        <v>1</v>
      </c>
      <c r="FB64" s="15" t="str">
        <f>IF('Raw Data'!EP34="","",'Raw Data'!EP34)</f>
        <v>0</v>
      </c>
      <c r="FC64" s="15" t="str">
        <f>IF('Raw Data'!EQ34="","",'Raw Data'!EQ34)</f>
        <v>0</v>
      </c>
      <c r="FD64" s="15" t="str">
        <f>IF('Raw Data'!ER34="","",'Raw Data'!ER34)</f>
        <v>0</v>
      </c>
      <c r="FE64" s="15" t="str">
        <f>IF('Raw Data'!ES34="","",'Raw Data'!ES34)</f>
        <v>0</v>
      </c>
      <c r="FF64" s="15" t="str">
        <f>IF('Raw Data'!ET34="","",'Raw Data'!ET34)</f>
        <v>0</v>
      </c>
      <c r="FG64" s="15" t="str">
        <f>IF('Raw Data'!EU34="","",'Raw Data'!EU34)</f>
        <v>0</v>
      </c>
      <c r="FH64" s="15" t="str">
        <f>IF('Raw Data'!EV34="","",'Raw Data'!EV34)</f>
        <v>0</v>
      </c>
      <c r="FI64" s="15" t="str">
        <f>IF('Raw Data'!EW34="","",'Raw Data'!EW34)</f>
        <v/>
      </c>
      <c r="FJ64" s="15" t="str">
        <f>IF('Raw Data'!EX34="","",'Raw Data'!EX34)</f>
        <v>oui</v>
      </c>
      <c r="FK64" s="15" t="str">
        <f>IF('Raw Data'!EY34="","",'Raw Data'!EY34)</f>
        <v>famille_amis</v>
      </c>
      <c r="FL64" s="15" t="str">
        <f>IF('Raw Data'!EZ34="","",'Raw Data'!EZ34)</f>
        <v>0</v>
      </c>
      <c r="FM64" s="15" t="str">
        <f>IF('Raw Data'!FA34="","",'Raw Data'!FA34)</f>
        <v>0</v>
      </c>
      <c r="FN64" s="15" t="str">
        <f>IF('Raw Data'!FB34="","",'Raw Data'!FB34)</f>
        <v>0</v>
      </c>
      <c r="FO64" s="15" t="str">
        <f>IF('Raw Data'!FC34="","",'Raw Data'!FC34)</f>
        <v>0</v>
      </c>
      <c r="FP64" s="15" t="str">
        <f>IF('Raw Data'!FD34="","",'Raw Data'!FD34)</f>
        <v>0</v>
      </c>
      <c r="FQ64" s="15" t="str">
        <f>IF('Raw Data'!FE34="","",'Raw Data'!FE34)</f>
        <v>1</v>
      </c>
      <c r="FR64" s="15" t="str">
        <f>IF('Raw Data'!FF34="","",'Raw Data'!FF34)</f>
        <v>0</v>
      </c>
      <c r="FS64" s="15" t="str">
        <f>IF('Raw Data'!FG34="","",'Raw Data'!FG34)</f>
        <v>0</v>
      </c>
      <c r="FT64" s="15" t="str">
        <f>IF('Raw Data'!FH34="","",'Raw Data'!FH34)</f>
        <v>0</v>
      </c>
      <c r="FU64" s="15" t="str">
        <f>IF('Raw Data'!FI34="","",'Raw Data'!FI34)</f>
        <v>0</v>
      </c>
      <c r="FV64" s="15" t="str">
        <f>IF('Raw Data'!FJ34="","",'Raw Data'!FJ34)</f>
        <v>0</v>
      </c>
      <c r="FW64" s="15" t="str">
        <f>IF('Raw Data'!FK34="","",'Raw Data'!FK34)</f>
        <v>0</v>
      </c>
      <c r="FX64" s="15" t="str">
        <f>IF('Raw Data'!FL34="","",'Raw Data'!FL34)</f>
        <v>0</v>
      </c>
      <c r="FY64" s="15" t="str">
        <f>IF('Raw Data'!FM34="","",'Raw Data'!FM34)</f>
        <v>0</v>
      </c>
      <c r="FZ64" s="15" t="str">
        <f>IF('Raw Data'!FN34="","",'Raw Data'!FN34)</f>
        <v/>
      </c>
      <c r="GA64" s="15" t="str">
        <f>IF('Raw Data'!FO34="","",'Raw Data'!FO34)</f>
        <v>oui_majorite</v>
      </c>
      <c r="GB64" s="15" t="str">
        <f>IF('Raw Data'!FP34="","",'Raw Data'!FP34)</f>
        <v>oui_ensemble</v>
      </c>
      <c r="GC64" s="15" t="str">
        <f>IF('Raw Data'!FQ34="","",'Raw Data'!FQ34)</f>
        <v/>
      </c>
      <c r="GD64" s="15" t="str">
        <f>IF('Raw Data'!FR34="","",'Raw Data'!FR34)</f>
        <v/>
      </c>
      <c r="GE64" s="15" t="str">
        <f>IF('Raw Data'!FS34="","",'Raw Data'!FS34)</f>
        <v/>
      </c>
      <c r="GF64" s="15" t="str">
        <f>IF('Raw Data'!FT34="","",'Raw Data'!FT34)</f>
        <v/>
      </c>
      <c r="GG64" s="15" t="str">
        <f>IF('Raw Data'!FU34="","",'Raw Data'!FU34)</f>
        <v/>
      </c>
      <c r="GH64" s="15" t="str">
        <f>IF('Raw Data'!FV34="","",'Raw Data'!FV34)</f>
        <v/>
      </c>
      <c r="GI64" s="15" t="str">
        <f>IF('Raw Data'!FW34="","",'Raw Data'!FW34)</f>
        <v/>
      </c>
      <c r="GJ64" s="15" t="str">
        <f>IF('Raw Data'!FX34="","",'Raw Data'!FX34)</f>
        <v/>
      </c>
      <c r="GK64" s="15" t="str">
        <f>IF('Raw Data'!FY34="","",'Raw Data'!FY34)</f>
        <v/>
      </c>
      <c r="GL64" s="15" t="str">
        <f>IF('Raw Data'!FZ34="","",'Raw Data'!FZ34)</f>
        <v/>
      </c>
      <c r="GM64" s="15" t="str">
        <f>IF('Raw Data'!GA34="","",'Raw Data'!GA34)</f>
        <v>moitie</v>
      </c>
      <c r="GN64" s="15" t="str">
        <f>IF('Raw Data'!GB34="","",'Raw Data'!GB34)</f>
        <v>ensemble</v>
      </c>
      <c r="GO64" s="15" t="str">
        <f>IF('Raw Data'!GC34="","",'Raw Data'!GC34)</f>
        <v>Education Services_de_sante Acces_aux_doc</v>
      </c>
      <c r="GP64" s="15" t="str">
        <f>IF('Raw Data'!GD34="","",'Raw Data'!GD34)</f>
        <v>0</v>
      </c>
      <c r="GQ64" s="15" t="str">
        <f>IF('Raw Data'!GE34="","",'Raw Data'!GE34)</f>
        <v>1</v>
      </c>
      <c r="GR64" s="15" t="str">
        <f>IF('Raw Data'!GF34="","",'Raw Data'!GF34)</f>
        <v>0</v>
      </c>
      <c r="GS64" s="15" t="str">
        <f>IF('Raw Data'!GG34="","",'Raw Data'!GG34)</f>
        <v>1</v>
      </c>
      <c r="GT64" s="15" t="str">
        <f>IF('Raw Data'!GH34="","",'Raw Data'!GH34)</f>
        <v>1</v>
      </c>
      <c r="GU64" s="15" t="str">
        <f>IF('Raw Data'!GI34="","",'Raw Data'!GI34)</f>
        <v>0</v>
      </c>
      <c r="GV64" s="15" t="str">
        <f>IF('Raw Data'!GJ34="","",'Raw Data'!GJ34)</f>
        <v>0</v>
      </c>
      <c r="GW64" s="15" t="str">
        <f>IF('Raw Data'!GK34="","",'Raw Data'!GK34)</f>
        <v>0</v>
      </c>
      <c r="GX64" s="15" t="str">
        <f>IF('Raw Data'!GL34="","",'Raw Data'!GL34)</f>
        <v>0</v>
      </c>
      <c r="GY64" s="15" t="str">
        <f>IF('Raw Data'!GM34="","",'Raw Data'!GM34)</f>
        <v/>
      </c>
      <c r="GZ64" s="15" t="str">
        <f>IF('Raw Data'!GN34="","",'Raw Data'!GN34)</f>
        <v>oui_ensemble</v>
      </c>
      <c r="HA64" s="15" t="str">
        <f>IF('Raw Data'!GO34="","",'Raw Data'!GO34)</f>
        <v>oui_ensemble</v>
      </c>
      <c r="HB64" s="15" t="str">
        <f>IF('Raw Data'!GP34="","",'Raw Data'!GP34)</f>
        <v>repond_besoins_pop permet_obtenir_conseils permet_eviter_conflits</v>
      </c>
      <c r="HC64" s="15" t="str">
        <f>IF('Raw Data'!GQ34="","",'Raw Data'!GQ34)</f>
        <v>0</v>
      </c>
      <c r="HD64" s="15" t="str">
        <f>IF('Raw Data'!GR34="","",'Raw Data'!GR34)</f>
        <v>1</v>
      </c>
      <c r="HE64" s="15" t="str">
        <f>IF('Raw Data'!GS34="","",'Raw Data'!GS34)</f>
        <v>1</v>
      </c>
      <c r="HF64" s="15" t="str">
        <f>IF('Raw Data'!GT34="","",'Raw Data'!GT34)</f>
        <v>1</v>
      </c>
      <c r="HG64" s="15" t="str">
        <f>IF('Raw Data'!GU34="","",'Raw Data'!GU34)</f>
        <v>0</v>
      </c>
      <c r="HH64" s="15" t="str">
        <f>IF('Raw Data'!GV34="","",'Raw Data'!GV34)</f>
        <v>0</v>
      </c>
      <c r="HI64" s="15" t="str">
        <f>IF('Raw Data'!GW34="","",'Raw Data'!GW34)</f>
        <v>0</v>
      </c>
      <c r="HJ64" s="15" t="str">
        <f>IF('Raw Data'!GX34="","",'Raw Data'!GX34)</f>
        <v>0</v>
      </c>
      <c r="HK64" s="15" t="str">
        <f>IF('Raw Data'!GY34="","",'Raw Data'!GY34)</f>
        <v/>
      </c>
      <c r="HL64" s="31"/>
      <c r="HM64" s="31"/>
      <c r="HN64" s="31"/>
      <c r="HO64" s="31"/>
      <c r="HP64" s="31"/>
      <c r="HQ64" s="31"/>
      <c r="HR64" s="31"/>
      <c r="HS64" s="31"/>
      <c r="HT64" s="15" t="str">
        <f>IF('Raw Data'!HH34="","",'Raw Data'!HH34)</f>
        <v/>
      </c>
      <c r="HU64" s="15" t="str">
        <f>IF('Raw Data'!HI34="","",'Raw Data'!HI34)</f>
        <v>oui_ensemble</v>
      </c>
      <c r="HV64" s="15" t="str">
        <f>IF('Raw Data'!HJ34="","",'Raw Data'!HJ34)</f>
        <v>ingo</v>
      </c>
      <c r="HW64" s="15" t="str">
        <f>IF('Raw Data'!HK34="","",'Raw Data'!HK34)</f>
        <v>0</v>
      </c>
      <c r="HX64" s="15" t="str">
        <f>IF('Raw Data'!HL34="","",'Raw Data'!HL34)</f>
        <v>0</v>
      </c>
      <c r="HY64" s="15" t="str">
        <f>IF('Raw Data'!HM34="","",'Raw Data'!HM34)</f>
        <v>0</v>
      </c>
      <c r="HZ64" s="15" t="str">
        <f>IF('Raw Data'!HN34="","",'Raw Data'!HN34)</f>
        <v>0</v>
      </c>
      <c r="IA64" s="15" t="str">
        <f>IF('Raw Data'!HO34="","",'Raw Data'!HO34)</f>
        <v>1</v>
      </c>
      <c r="IB64" s="15" t="str">
        <f>IF('Raw Data'!HP34="","",'Raw Data'!HP34)</f>
        <v>0</v>
      </c>
      <c r="IC64" s="15" t="str">
        <f>IF('Raw Data'!HQ34="","",'Raw Data'!HQ34)</f>
        <v>0</v>
      </c>
      <c r="ID64" s="15" t="str">
        <f>IF('Raw Data'!HR34="","",'Raw Data'!HR34)</f>
        <v>0</v>
      </c>
      <c r="IE64" s="15" t="str">
        <f>IF('Raw Data'!HS34="","",'Raw Data'!HS34)</f>
        <v>0</v>
      </c>
      <c r="IF64" s="15" t="str">
        <f>IF('Raw Data'!HT34="","",'Raw Data'!HT34)</f>
        <v>0</v>
      </c>
      <c r="IG64" s="15" t="str">
        <f>IF('Raw Data'!HU34="","",'Raw Data'!HU34)</f>
        <v/>
      </c>
      <c r="IH64" s="15" t="str">
        <f>IF('Raw Data'!HV34="","",'Raw Data'!HV34)</f>
        <v/>
      </c>
      <c r="II64" s="15" t="str">
        <f>IF('Raw Data'!HW34="","",'Raw Data'!HW34)</f>
        <v/>
      </c>
      <c r="IJ64" s="15" t="str">
        <f>IF('Raw Data'!HX34="","",'Raw Data'!HX34)</f>
        <v/>
      </c>
      <c r="IK64" s="15" t="str">
        <f>IF('Raw Data'!HY34="","",'Raw Data'!HY34)</f>
        <v/>
      </c>
      <c r="IL64" s="15" t="str">
        <f>IF('Raw Data'!HZ34="","",'Raw Data'!HZ34)</f>
        <v/>
      </c>
      <c r="IM64" s="15" t="str">
        <f>IF('Raw Data'!IA34="","",'Raw Data'!IA34)</f>
        <v/>
      </c>
      <c r="IN64" s="15" t="str">
        <f>IF('Raw Data'!IB34="","",'Raw Data'!IB34)</f>
        <v/>
      </c>
      <c r="IO64" s="15" t="str">
        <f>IF('Raw Data'!IC34="","",'Raw Data'!IC34)</f>
        <v/>
      </c>
      <c r="IP64" s="15" t="str">
        <f>IF('Raw Data'!ID34="","",'Raw Data'!ID34)</f>
        <v/>
      </c>
      <c r="IQ64" s="15" t="str">
        <f>IF('Raw Data'!IE34="","",'Raw Data'!IE34)</f>
        <v/>
      </c>
      <c r="IR64" s="15" t="str">
        <f>IF('Raw Data'!IF34="","",'Raw Data'!IF34)</f>
        <v/>
      </c>
      <c r="IS64" s="15" t="str">
        <f>IF('Raw Data'!IG34="","",'Raw Data'!IG34)</f>
        <v/>
      </c>
      <c r="IT64" s="15" t="str">
        <f>IF('Raw Data'!IH34="","",'Raw Data'!IH34)</f>
        <v/>
      </c>
      <c r="IU64" s="15" t="str">
        <f>IF('Raw Data'!II34="","",'Raw Data'!II34)</f>
        <v/>
      </c>
      <c r="IV64" s="15" t="str">
        <f>IF('Raw Data'!IJ34="","",'Raw Data'!IJ34)</f>
        <v/>
      </c>
      <c r="IW64" s="15" t="str">
        <f>IF('Raw Data'!IK34="","",'Raw Data'!IK34)</f>
        <v/>
      </c>
      <c r="IX64" s="15" t="str">
        <f>IF('Raw Data'!IL34="","",'Raw Data'!IL34)</f>
        <v/>
      </c>
      <c r="IY64" s="15" t="str">
        <f>IF('Raw Data'!IM34="","",'Raw Data'!IM34)</f>
        <v/>
      </c>
      <c r="IZ64" s="15" t="str">
        <f>IF('Raw Data'!IN34="","",'Raw Data'!IN34)</f>
        <v>2</v>
      </c>
      <c r="JA64" s="15" t="str">
        <f>IF('Raw Data'!IO34="","",'Raw Data'!IO34)</f>
        <v>Services_medicaux Services_educatifs acces_docs</v>
      </c>
      <c r="JB64" s="15" t="str">
        <f>IF('Raw Data'!IP34="","",'Raw Data'!IP34)</f>
        <v>0</v>
      </c>
      <c r="JC64" s="15" t="str">
        <f>IF('Raw Data'!IQ34="","",'Raw Data'!IQ34)</f>
        <v>1</v>
      </c>
      <c r="JD64" s="15" t="str">
        <f>IF('Raw Data'!IR34="","",'Raw Data'!IR34)</f>
        <v>1</v>
      </c>
      <c r="JE64" s="15" t="str">
        <f>IF('Raw Data'!IS34="","",'Raw Data'!IS34)</f>
        <v>0</v>
      </c>
      <c r="JF64" s="15" t="str">
        <f>IF('Raw Data'!IT34="","",'Raw Data'!IT34)</f>
        <v>1</v>
      </c>
      <c r="JG64" s="15" t="str">
        <f>IF('Raw Data'!IU34="","",'Raw Data'!IU34)</f>
        <v>0</v>
      </c>
      <c r="JH64" s="15" t="str">
        <f>IF('Raw Data'!IV34="","",'Raw Data'!IV34)</f>
        <v>0</v>
      </c>
      <c r="JI64" s="15" t="str">
        <f>IF('Raw Data'!IW34="","",'Raw Data'!IW34)</f>
        <v>0</v>
      </c>
      <c r="JJ64" s="15" t="str">
        <f>IF('Raw Data'!IX34="","",'Raw Data'!IX34)</f>
        <v>0</v>
      </c>
      <c r="JK64" s="15" t="str">
        <f>IF('Raw Data'!IY34="","",'Raw Data'!IY34)</f>
        <v>0</v>
      </c>
      <c r="JL64" s="15" t="str">
        <f>IF('Raw Data'!IZ34="","",'Raw Data'!IZ34)</f>
        <v/>
      </c>
      <c r="JM64" s="15" t="str">
        <f>IF('Raw Data'!JA34="","",'Raw Data'!JA34)</f>
        <v>Autre</v>
      </c>
      <c r="JN64" s="15" t="str">
        <f>IF('Raw Data'!JB34="","",'Raw Data'!JB34)</f>
        <v>0</v>
      </c>
      <c r="JO64" s="15" t="str">
        <f>IF('Raw Data'!JC34="","",'Raw Data'!JC34)</f>
        <v>0</v>
      </c>
      <c r="JP64" s="15" t="str">
        <f>IF('Raw Data'!JD34="","",'Raw Data'!JD34)</f>
        <v>0</v>
      </c>
      <c r="JQ64" s="15" t="str">
        <f>IF('Raw Data'!JE34="","",'Raw Data'!JE34)</f>
        <v>1</v>
      </c>
      <c r="JR64" s="15" t="str">
        <f>IF('Raw Data'!JF34="","",'Raw Data'!JF34)</f>
        <v>0</v>
      </c>
      <c r="JS64" s="15" t="str">
        <f>IF('Raw Data'!JG34="","",'Raw Data'!JG34)</f>
        <v>0</v>
      </c>
      <c r="JT64" s="31"/>
      <c r="JU64" s="15" t="str">
        <f>IF('Raw Data'!JI34="","",'Raw Data'!JI34)</f>
        <v/>
      </c>
      <c r="JV64" s="15" t="str">
        <f>IF('Raw Data'!JJ34="","",'Raw Data'!JJ34)</f>
        <v/>
      </c>
      <c r="JW64" s="15" t="str">
        <f>IF('Raw Data'!JK34="","",'Raw Data'!JK34)</f>
        <v/>
      </c>
      <c r="JX64" s="15" t="str">
        <f>IF('Raw Data'!JL34="","",'Raw Data'!JL34)</f>
        <v/>
      </c>
      <c r="JY64" s="15" t="str">
        <f>IF('Raw Data'!JM34="","",'Raw Data'!JM34)</f>
        <v/>
      </c>
      <c r="JZ64" s="15" t="str">
        <f>IF('Raw Data'!JN34="","",'Raw Data'!JN34)</f>
        <v/>
      </c>
      <c r="KA64" s="15" t="str">
        <f>IF('Raw Data'!JO34="","",'Raw Data'!JO34)</f>
        <v/>
      </c>
      <c r="KB64" s="15" t="str">
        <f>IF('Raw Data'!JP34="","",'Raw Data'!JP34)</f>
        <v/>
      </c>
      <c r="KC64" s="15" t="str">
        <f>IF('Raw Data'!JQ34="","",'Raw Data'!JQ34)</f>
        <v/>
      </c>
      <c r="KD64" s="15" t="str">
        <f>IF('Raw Data'!JR34="","",'Raw Data'!JR34)</f>
        <v/>
      </c>
      <c r="KE64" s="15" t="str">
        <f>IF('Raw Data'!JS34="","",'Raw Data'!JS34)</f>
        <v/>
      </c>
      <c r="KF64" s="15" t="str">
        <f>IF('Raw Data'!JT34="","",'Raw Data'!JT34)</f>
        <v>Psychosocia medical point_ecoute</v>
      </c>
      <c r="KG64" s="15" t="str">
        <f>IF('Raw Data'!JU34="","",'Raw Data'!JU34)</f>
        <v>1</v>
      </c>
      <c r="KH64" s="15" t="str">
        <f>IF('Raw Data'!JV34="","",'Raw Data'!JV34)</f>
        <v>1</v>
      </c>
      <c r="KI64" s="15" t="str">
        <f>IF('Raw Data'!JW34="","",'Raw Data'!JW34)</f>
        <v>1</v>
      </c>
      <c r="KJ64" s="15" t="str">
        <f>IF('Raw Data'!JX34="","",'Raw Data'!JX34)</f>
        <v>0</v>
      </c>
      <c r="KK64" s="15" t="str">
        <f>IF('Raw Data'!JY34="","",'Raw Data'!JY34)</f>
        <v>0</v>
      </c>
      <c r="KL64" s="15" t="str">
        <f>IF('Raw Data'!JZ34="","",'Raw Data'!JZ34)</f>
        <v>0</v>
      </c>
      <c r="KM64" s="15" t="str">
        <f>IF('Raw Data'!KA34="","",'Raw Data'!KA34)</f>
        <v>0</v>
      </c>
      <c r="KN64" s="15" t="str">
        <f>IF('Raw Data'!KB34="","",'Raw Data'!KB34)</f>
        <v>0</v>
      </c>
      <c r="KO64" s="15" t="str">
        <f>IF('Raw Data'!KC34="","",'Raw Data'!KC34)</f>
        <v>0</v>
      </c>
      <c r="KP64" s="15" t="str">
        <f>IF('Raw Data'!KD34="","",'Raw Data'!KD34)</f>
        <v/>
      </c>
      <c r="KQ64" s="15" t="str">
        <f>IF('Raw Data'!KE34="","",'Raw Data'!KE34)</f>
        <v/>
      </c>
      <c r="KR64" s="15" t="str">
        <f>IF('Raw Data'!KF34="","",'Raw Data'!KF34)</f>
        <v>non</v>
      </c>
      <c r="KS64" s="15" t="str">
        <f>IF('Raw Data'!KG34="","",'Raw Data'!KG34)</f>
        <v/>
      </c>
      <c r="KT64" s="15" t="str">
        <f>IF('Raw Data'!KH34="","",'Raw Data'!KH34)</f>
        <v/>
      </c>
      <c r="KU64" s="15" t="str">
        <f>IF('Raw Data'!KI34="","",'Raw Data'!KI34)</f>
        <v/>
      </c>
      <c r="KV64" s="15" t="str">
        <f>IF('Raw Data'!KJ34="","",'Raw Data'!KJ34)</f>
        <v/>
      </c>
      <c r="KW64" s="15" t="str">
        <f>IF('Raw Data'!KK34="","",'Raw Data'!KK34)</f>
        <v/>
      </c>
      <c r="KX64" s="15" t="str">
        <f>IF('Raw Data'!KL34="","",'Raw Data'!KL34)</f>
        <v/>
      </c>
      <c r="KY64" s="15" t="str">
        <f>IF('Raw Data'!KM34="","",'Raw Data'!KM34)</f>
        <v/>
      </c>
      <c r="KZ64" s="15" t="str">
        <f>IF('Raw Data'!KN34="","",'Raw Data'!KN34)</f>
        <v/>
      </c>
      <c r="LA64" s="15" t="str">
        <f>IF('Raw Data'!KO34="","",'Raw Data'!KO34)</f>
        <v/>
      </c>
      <c r="LB64" s="15" t="str">
        <f>IF('Raw Data'!KP34="","",'Raw Data'!KP34)</f>
        <v/>
      </c>
      <c r="LC64" s="15" t="str">
        <f>IF('Raw Data'!KQ34="","",'Raw Data'!KQ34)</f>
        <v/>
      </c>
      <c r="LD64" s="15" t="str">
        <f>IF('Raw Data'!KR34="","",'Raw Data'!KR34)</f>
        <v/>
      </c>
      <c r="LE64" s="15" t="str">
        <f>IF('Raw Data'!KS34="","",'Raw Data'!KS34)</f>
        <v/>
      </c>
      <c r="LF64" s="15" t="str">
        <f>IF('Raw Data'!KT34="","",'Raw Data'!KT34)</f>
        <v/>
      </c>
      <c r="LG64" s="15" t="str">
        <f>IF('Raw Data'!KU34="","",'Raw Data'!KU34)</f>
        <v/>
      </c>
      <c r="LH64" s="15" t="str">
        <f>IF('Raw Data'!KV34="","",'Raw Data'!KV34)</f>
        <v/>
      </c>
      <c r="LI64" s="15" t="str">
        <f>IF('Raw Data'!KW34="","",'Raw Data'!KW34)</f>
        <v/>
      </c>
      <c r="LJ64" s="15" t="str">
        <f>IF('Raw Data'!KX34="","",'Raw Data'!KX34)</f>
        <v/>
      </c>
      <c r="LK64" s="15" t="str">
        <f>IF('Raw Data'!KY34="","",'Raw Data'!KY34)</f>
        <v/>
      </c>
      <c r="LL64" s="15" t="str">
        <f>IF('Raw Data'!KZ34="","",'Raw Data'!KZ34)</f>
        <v/>
      </c>
      <c r="LM64" s="15" t="str">
        <f>IF('Raw Data'!LA34="","",'Raw Data'!LA34)</f>
        <v/>
      </c>
      <c r="LN64" s="15" t="str">
        <f>IF('Raw Data'!LB34="","",'Raw Data'!LB34)</f>
        <v>non</v>
      </c>
      <c r="LO64" s="15" t="str">
        <f>IF('Raw Data'!LC34="","",'Raw Data'!LC34)</f>
        <v/>
      </c>
      <c r="LP64" s="15" t="str">
        <f>IF('Raw Data'!LD34="","",'Raw Data'!LD34)</f>
        <v/>
      </c>
      <c r="LQ64" s="15" t="str">
        <f>IF('Raw Data'!LE34="","",'Raw Data'!LE34)</f>
        <v/>
      </c>
      <c r="LR64" s="15" t="str">
        <f>IF('Raw Data'!LF34="","",'Raw Data'!LF34)</f>
        <v/>
      </c>
      <c r="LS64" s="15" t="str">
        <f>IF('Raw Data'!LG34="","",'Raw Data'!LG34)</f>
        <v/>
      </c>
      <c r="LT64" s="15" t="str">
        <f>IF('Raw Data'!LH34="","",'Raw Data'!LH34)</f>
        <v/>
      </c>
      <c r="LU64" s="15" t="str">
        <f>IF('Raw Data'!LI34="","",'Raw Data'!LI34)</f>
        <v/>
      </c>
      <c r="LV64" s="15" t="str">
        <f>IF('Raw Data'!LJ34="","",'Raw Data'!LJ34)</f>
        <v/>
      </c>
      <c r="LW64" s="15" t="str">
        <f>IF('Raw Data'!LK34="","",'Raw Data'!LK34)</f>
        <v/>
      </c>
      <c r="LX64" s="15" t="str">
        <f>IF('Raw Data'!LL34="","",'Raw Data'!LL34)</f>
        <v/>
      </c>
      <c r="LY64" s="15" t="str">
        <f>IF('Raw Data'!LM34="","",'Raw Data'!LM34)</f>
        <v/>
      </c>
      <c r="LZ64" s="15" t="str">
        <f>IF('Raw Data'!LN34="","",'Raw Data'!LN34)</f>
        <v/>
      </c>
      <c r="MA64" s="15" t="str">
        <f>IF('Raw Data'!LO34="","",'Raw Data'!LO34)</f>
        <v/>
      </c>
      <c r="MB64" s="15" t="str">
        <f>IF('Raw Data'!LP34="","",'Raw Data'!LP34)</f>
        <v>oui</v>
      </c>
      <c r="MC64" s="15" t="str">
        <f>IF('Raw Data'!LQ34="","",'Raw Data'!LQ34)</f>
        <v/>
      </c>
      <c r="MD64" s="31"/>
      <c r="ME64" s="15">
        <f>IF('Raw Data'!LS34="","",'Raw Data'!LS34)</f>
        <v>169365590</v>
      </c>
      <c r="MF64" s="15" t="str">
        <f>IF('Raw Data'!LT34="","",'Raw Data'!LT34)</f>
        <v>76d87426-db08-4fc3-aaa5-2543b6b57761</v>
      </c>
      <c r="MG64" s="15" t="str">
        <f>IF('Raw Data'!LU34="","",'Raw Data'!LU34)</f>
        <v>2021-04-03T00:04:39</v>
      </c>
      <c r="MH64" s="15" t="str">
        <f>IF('Raw Data'!LV34="","",'Raw Data'!LV34)</f>
        <v/>
      </c>
      <c r="MI64" s="15" t="str">
        <f>IF('Raw Data'!LW34="","",'Raw Data'!LW34)</f>
        <v>[]</v>
      </c>
      <c r="MJ64" s="15" t="str">
        <f>IF('Raw Data'!LX34="","",'Raw Data'!LX34)</f>
        <v>submitted_via_web</v>
      </c>
      <c r="MK64" s="15" t="str">
        <f>IF('Raw Data'!LY34="","",'Raw Data'!LY34)</f>
        <v>reach_niger</v>
      </c>
      <c r="ML64" s="15" t="str">
        <f>IF('Raw Data'!LZ34="","",'Raw Data'!LZ34)</f>
        <v/>
      </c>
      <c r="MM64" s="15">
        <f>IF('Raw Data'!MA34="","",'Raw Data'!MA34)</f>
        <v>35</v>
      </c>
    </row>
    <row r="65" spans="1:351" x14ac:dyDescent="0.3">
      <c r="A65" s="26" t="str">
        <f t="shared" si="4"/>
        <v>faceac5d-8ffc-4266-97a1-2f2498fdf6e1</v>
      </c>
      <c r="B65" s="26" t="str">
        <f t="shared" si="5"/>
        <v>banibangou</v>
      </c>
      <c r="C65" s="26" t="str">
        <f t="shared" si="6"/>
        <v>Q</v>
      </c>
      <c r="D65" s="14" t="str">
        <f>IF('Raw Data'!A58="","",'Raw Data'!A58)</f>
        <v>2021-04-08T19:34:32.483+01:00</v>
      </c>
      <c r="E65" s="14" t="str">
        <f>IF('Raw Data'!B58="","",'Raw Data'!B58)</f>
        <v>2021-04-08T19:51:31.225+01:00</v>
      </c>
      <c r="F65" s="30">
        <v>44294.815648148149</v>
      </c>
      <c r="G65" s="30">
        <v>44294.82744212963</v>
      </c>
      <c r="H65" s="29">
        <f>VLOOKUP(A65,Audit[#All],2,FALSE)</f>
        <v>16.98</v>
      </c>
      <c r="I65" s="29">
        <f>VLOOKUP(A65,Audit[#All],3,FALSE)</f>
        <v>16.95</v>
      </c>
      <c r="J65" s="29">
        <f>VLOOKUP(A65,Audit[#All],4,FALSE)</f>
        <v>15.69</v>
      </c>
      <c r="K65" s="29">
        <f>VLOOKUP(A65,nb_questions[#All],2,FALSE)</f>
        <v>116</v>
      </c>
      <c r="L65" s="29">
        <f t="shared" si="7"/>
        <v>189</v>
      </c>
      <c r="M65" s="14" t="str">
        <f>IF('Raw Data'!C58="","",'Raw Data'!C58)</f>
        <v>2021-04-08</v>
      </c>
      <c r="N65" s="14" t="str">
        <f>IF('Raw Data'!D58="","",'Raw Data'!D58)</f>
        <v/>
      </c>
      <c r="O65" s="14" t="str">
        <f>IF('Raw Data'!E58="","",'Raw Data'!E58)</f>
        <v/>
      </c>
      <c r="P65" s="29" t="str">
        <f>VLOOKUP(A65,code_enqueteurs[#All],3,FALSE)</f>
        <v>Q</v>
      </c>
      <c r="Q65" s="29" t="s">
        <v>1659</v>
      </c>
      <c r="R65" s="14" t="str">
        <f>IF('Raw Data'!F58="","",'Raw Data'!F58)</f>
        <v>Homme</v>
      </c>
      <c r="S65" s="15" t="str">
        <f>IF('Raw Data'!G58="","",'Raw Data'!G58)</f>
        <v>banibangou</v>
      </c>
      <c r="T65" s="15" t="str">
        <f>IF('Raw Data'!H58="","",'Raw Data'!H58)</f>
        <v>banibangou</v>
      </c>
      <c r="U65" s="31" t="s">
        <v>427</v>
      </c>
      <c r="V65" s="31" t="s">
        <v>1642</v>
      </c>
      <c r="W65" s="15" t="str">
        <f>IF('Raw Data'!K58="","",'Raw Data'!K58)</f>
        <v/>
      </c>
      <c r="X65" s="15" t="str">
        <f>IF('Raw Data'!L58="","",'Raw Data'!L58)</f>
        <v/>
      </c>
      <c r="Y65" s="15" t="str">
        <f>IF('Raw Data'!M58="","",'Raw Data'!M58)</f>
        <v/>
      </c>
      <c r="Z65" s="15" t="str">
        <f>IF('Raw Data'!N58="","",'Raw Data'!N58)</f>
        <v/>
      </c>
      <c r="AA65" s="15" t="str">
        <f>IF('Raw Data'!O58="","",'Raw Data'!O58)</f>
        <v/>
      </c>
      <c r="AB65" s="15" t="str">
        <f>IF('Raw Data'!P58="","",'Raw Data'!P58)</f>
        <v/>
      </c>
      <c r="AC65" s="15" t="str">
        <f>IF('Raw Data'!Q58="","",'Raw Data'!Q58)</f>
        <v/>
      </c>
      <c r="AD65" s="15" t="str">
        <f>IF('Raw Data'!R58="","",'Raw Data'!R58)</f>
        <v>Homme</v>
      </c>
      <c r="AE65" s="15" t="str">
        <f>IF('Raw Data'!S58="","",'Raw Data'!S58)</f>
        <v>49</v>
      </c>
      <c r="AF65" s="15" t="str">
        <f>IF('Raw Data'!T58="","",'Raw Data'!T58)</f>
        <v>deplace_interne</v>
      </c>
      <c r="AG65" s="15" t="str">
        <f>IF('Raw Data'!U58="","",'Raw Data'!U58)</f>
        <v/>
      </c>
      <c r="AH65" s="15" t="str">
        <f>IF('Raw Data'!V58="","",'Raw Data'!V58)</f>
        <v/>
      </c>
      <c r="AI65" s="15" t="str">
        <f>IF('Raw Data'!W58="","",'Raw Data'!W58)</f>
        <v/>
      </c>
      <c r="AJ65" s="15" t="str">
        <f>IF('Raw Data'!X58="","",'Raw Data'!X58)</f>
        <v/>
      </c>
      <c r="AK65" s="15" t="str">
        <f>IF('Raw Data'!Y58="","",'Raw Data'!Y58)</f>
        <v/>
      </c>
      <c r="AL65" s="15" t="str">
        <f>IF('Raw Data'!Z58="","",'Raw Data'!Z58)</f>
        <v>niger</v>
      </c>
      <c r="AM65" s="15" t="str">
        <f>IF('Raw Data'!AA58="","",'Raw Data'!AA58)</f>
        <v>tillaberi</v>
      </c>
      <c r="AN65" s="15" t="str">
        <f>IF('Raw Data'!AB58="","",'Raw Data'!AB58)</f>
        <v>banibangou</v>
      </c>
      <c r="AO65" s="15" t="str">
        <f>IF('Raw Data'!AC58="","",'Raw Data'!AC58)</f>
        <v/>
      </c>
      <c r="AP65" s="15" t="str">
        <f>IF('Raw Data'!AD58="","",'Raw Data'!AD58)</f>
        <v/>
      </c>
      <c r="AQ65" s="15" t="str">
        <f>IF('Raw Data'!AE58="","",'Raw Data'!AE58)</f>
        <v/>
      </c>
      <c r="AR65" s="15" t="str">
        <f>IF('Raw Data'!AF58="","",'Raw Data'!AF58)</f>
        <v/>
      </c>
      <c r="AS65" s="15" t="str">
        <f>IF('Raw Data'!AG58="","",'Raw Data'!AG58)</f>
        <v>non</v>
      </c>
      <c r="AT65" s="15" t="str">
        <f>IF('Raw Data'!AH58="","",'Raw Data'!AH58)</f>
        <v/>
      </c>
      <c r="AU65" s="15" t="str">
        <f>IF('Raw Data'!AI58="","",'Raw Data'!AI58)</f>
        <v/>
      </c>
      <c r="AV65" s="15" t="str">
        <f>IF('Raw Data'!AJ58="","",'Raw Data'!AJ58)</f>
        <v/>
      </c>
      <c r="AW65" s="15" t="str">
        <f>IF('Raw Data'!AK58="","",'Raw Data'!AK58)</f>
        <v/>
      </c>
      <c r="AX65" s="15" t="str">
        <f>IF('Raw Data'!AL58="","",'Raw Data'!AL58)</f>
        <v/>
      </c>
      <c r="AY65" s="15" t="str">
        <f>IF('Raw Data'!AM58="","",'Raw Data'!AM58)</f>
        <v/>
      </c>
      <c r="AZ65" s="15" t="str">
        <f>IF('Raw Data'!AN58="","",'Raw Data'!AN58)</f>
        <v/>
      </c>
      <c r="BA65" s="15" t="str">
        <f>IF('Raw Data'!AO58="","",'Raw Data'!AO58)</f>
        <v/>
      </c>
      <c r="BB65" s="15" t="str">
        <f>IF('Raw Data'!AP58="","",'Raw Data'!AP58)</f>
        <v/>
      </c>
      <c r="BC65" s="15" t="str">
        <f>IF('Raw Data'!AQ58="","",'Raw Data'!AQ58)</f>
        <v/>
      </c>
      <c r="BD65" s="15" t="str">
        <f>IF('Raw Data'!AR58="","",'Raw Data'!AR58)</f>
        <v/>
      </c>
      <c r="BE65" s="15" t="str">
        <f>IF('Raw Data'!AS58="","",'Raw Data'!AS58)</f>
        <v/>
      </c>
      <c r="BF65" s="15" t="str">
        <f>IF('Raw Data'!AT58="","",'Raw Data'!AT58)</f>
        <v/>
      </c>
      <c r="BG65" s="15" t="str">
        <f>IF('Raw Data'!AU58="","",'Raw Data'!AU58)</f>
        <v/>
      </c>
      <c r="BH65" s="15" t="str">
        <f>IF('Raw Data'!AV58="","",'Raw Data'!AV58)</f>
        <v/>
      </c>
      <c r="BI65" s="15" t="str">
        <f>IF('Raw Data'!AW58="","",'Raw Data'!AW58)</f>
        <v/>
      </c>
      <c r="BJ65" s="15" t="str">
        <f>IF('Raw Data'!AX58="","",'Raw Data'!AX58)</f>
        <v/>
      </c>
      <c r="BK65" s="15" t="str">
        <f>IF('Raw Data'!AY58="","",'Raw Data'!AY58)</f>
        <v/>
      </c>
      <c r="BL65" s="15" t="str">
        <f>IF('Raw Data'!AZ58="","",'Raw Data'!AZ58)</f>
        <v/>
      </c>
      <c r="BM65" s="15" t="str">
        <f>IF('Raw Data'!BA58="","",'Raw Data'!BA58)</f>
        <v/>
      </c>
      <c r="BN65" s="15" t="str">
        <f>IF('Raw Data'!BB58="","",'Raw Data'!BB58)</f>
        <v/>
      </c>
      <c r="BO65" s="15" t="str">
        <f>IF('Raw Data'!BC58="","",'Raw Data'!BC58)</f>
        <v/>
      </c>
      <c r="BP65" s="15" t="str">
        <f>IF('Raw Data'!BD58="","",'Raw Data'!BD58)</f>
        <v/>
      </c>
      <c r="BQ65" s="15" t="str">
        <f>IF('Raw Data'!BE58="","",'Raw Data'!BE58)</f>
        <v/>
      </c>
      <c r="BR65" s="15" t="str">
        <f>IF('Raw Data'!BF58="","",'Raw Data'!BF58)</f>
        <v/>
      </c>
      <c r="BS65" s="15" t="str">
        <f>IF('Raw Data'!BG58="","",'Raw Data'!BG58)</f>
        <v/>
      </c>
      <c r="BT65" s="15" t="str">
        <f>IF('Raw Data'!BH58="","",'Raw Data'!BH58)</f>
        <v/>
      </c>
      <c r="BU65" s="15" t="str">
        <f>IF('Raw Data'!BI58="","",'Raw Data'!BI58)</f>
        <v/>
      </c>
      <c r="BV65" s="15" t="str">
        <f>IF('Raw Data'!BJ58="","",'Raw Data'!BJ58)</f>
        <v/>
      </c>
      <c r="BW65" s="15" t="str">
        <f>IF('Raw Data'!BK58="","",'Raw Data'!BK58)</f>
        <v/>
      </c>
      <c r="BX65" s="15" t="str">
        <f>IF('Raw Data'!BL58="","",'Raw Data'!BL58)</f>
        <v/>
      </c>
      <c r="BY65" s="15" t="str">
        <f>IF('Raw Data'!BM58="","",'Raw Data'!BM58)</f>
        <v/>
      </c>
      <c r="BZ65" s="15" t="str">
        <f>IF('Raw Data'!BN58="","",'Raw Data'!BN58)</f>
        <v/>
      </c>
      <c r="CA65" s="15" t="str">
        <f>IF('Raw Data'!BO58="","",'Raw Data'!BO58)</f>
        <v/>
      </c>
      <c r="CB65" s="15" t="str">
        <f>IF('Raw Data'!BP58="","",'Raw Data'!BP58)</f>
        <v/>
      </c>
      <c r="CC65" s="15" t="str">
        <f>IF('Raw Data'!BQ58="","",'Raw Data'!BQ58)</f>
        <v>non</v>
      </c>
      <c r="CD65" s="15" t="str">
        <f>IF('Raw Data'!BR58="","",'Raw Data'!BR58)</f>
        <v/>
      </c>
      <c r="CE65" s="15" t="str">
        <f>IF('Raw Data'!BS58="","",'Raw Data'!BS58)</f>
        <v/>
      </c>
      <c r="CF65" s="15" t="str">
        <f>IF('Raw Data'!BT58="","",'Raw Data'!BT58)</f>
        <v/>
      </c>
      <c r="CG65" s="15" t="str">
        <f>IF('Raw Data'!BU58="","",'Raw Data'!BU58)</f>
        <v/>
      </c>
      <c r="CH65" s="15" t="str">
        <f>IF('Raw Data'!BV58="","",'Raw Data'!BV58)</f>
        <v/>
      </c>
      <c r="CI65" s="15" t="str">
        <f>IF('Raw Data'!BW58="","",'Raw Data'!BW58)</f>
        <v/>
      </c>
      <c r="CJ65" s="15" t="str">
        <f>IF('Raw Data'!BX58="","",'Raw Data'!BX58)</f>
        <v/>
      </c>
      <c r="CK65" s="15" t="str">
        <f>IF('Raw Data'!BY58="","",'Raw Data'!BY58)</f>
        <v/>
      </c>
      <c r="CL65" s="15" t="str">
        <f>IF('Raw Data'!BZ58="","",'Raw Data'!BZ58)</f>
        <v/>
      </c>
      <c r="CM65" s="15" t="str">
        <f>IF('Raw Data'!CA58="","",'Raw Data'!CA58)</f>
        <v/>
      </c>
      <c r="CN65" s="15" t="str">
        <f>IF('Raw Data'!CB58="","",'Raw Data'!CB58)</f>
        <v/>
      </c>
      <c r="CO65" s="15" t="str">
        <f>IF('Raw Data'!CC58="","",'Raw Data'!CC58)</f>
        <v/>
      </c>
      <c r="CP65" s="15" t="str">
        <f>IF('Raw Data'!CD58="","",'Raw Data'!CD58)</f>
        <v/>
      </c>
      <c r="CQ65" s="15" t="str">
        <f>IF('Raw Data'!CE58="","",'Raw Data'!CE58)</f>
        <v/>
      </c>
      <c r="CR65" s="15" t="str">
        <f>IF('Raw Data'!CF58="","",'Raw Data'!CF58)</f>
        <v/>
      </c>
      <c r="CS65" s="15" t="str">
        <f>IF('Raw Data'!CG58="","",'Raw Data'!CG58)</f>
        <v/>
      </c>
      <c r="CT65" s="15" t="str">
        <f>IF('Raw Data'!CH58="","",'Raw Data'!CH58)</f>
        <v/>
      </c>
      <c r="CU65" s="15" t="str">
        <f>IF('Raw Data'!CI58="","",'Raw Data'!CI58)</f>
        <v/>
      </c>
      <c r="CV65" s="15" t="str">
        <f>IF('Raw Data'!CJ58="","",'Raw Data'!CJ58)</f>
        <v/>
      </c>
      <c r="CW65" s="15" t="str">
        <f>IF('Raw Data'!CK58="","",'Raw Data'!CK58)</f>
        <v/>
      </c>
      <c r="CX65" s="15" t="str">
        <f>IF('Raw Data'!CL58="","",'Raw Data'!CL58)</f>
        <v/>
      </c>
      <c r="CY65" s="15" t="str">
        <f>IF('Raw Data'!CM58="","",'Raw Data'!CM58)</f>
        <v/>
      </c>
      <c r="CZ65" s="15" t="str">
        <f>IF('Raw Data'!CN58="","",'Raw Data'!CN58)</f>
        <v/>
      </c>
      <c r="DA65" s="15" t="str">
        <f>IF('Raw Data'!CO58="","",'Raw Data'!CO58)</f>
        <v/>
      </c>
      <c r="DB65" s="15" t="str">
        <f>IF('Raw Data'!CP58="","",'Raw Data'!CP58)</f>
        <v/>
      </c>
      <c r="DC65" s="15" t="str">
        <f>IF('Raw Data'!CQ58="","",'Raw Data'!CQ58)</f>
        <v/>
      </c>
      <c r="DD65" s="15" t="str">
        <f>IF('Raw Data'!CR58="","",'Raw Data'!CR58)</f>
        <v/>
      </c>
      <c r="DE65" s="15" t="str">
        <f>IF('Raw Data'!CS58="","",'Raw Data'!CS58)</f>
        <v/>
      </c>
      <c r="DF65" s="15" t="str">
        <f>IF('Raw Data'!CT58="","",'Raw Data'!CT58)</f>
        <v/>
      </c>
      <c r="DG65" s="15" t="str">
        <f>IF('Raw Data'!CU58="","",'Raw Data'!CU58)</f>
        <v/>
      </c>
      <c r="DH65" s="15" t="str">
        <f>IF('Raw Data'!CV58="","",'Raw Data'!CV58)</f>
        <v/>
      </c>
      <c r="DI65" s="15" t="str">
        <f>IF('Raw Data'!CW58="","",'Raw Data'!CW58)</f>
        <v/>
      </c>
      <c r="DJ65" s="15" t="str">
        <f>IF('Raw Data'!CX58="","",'Raw Data'!CX58)</f>
        <v/>
      </c>
      <c r="DK65" s="15" t="str">
        <f>IF('Raw Data'!CY58="","",'Raw Data'!CY58)</f>
        <v/>
      </c>
      <c r="DL65" s="15" t="str">
        <f>IF('Raw Data'!CZ58="","",'Raw Data'!CZ58)</f>
        <v/>
      </c>
      <c r="DM65" s="15" t="str">
        <f>IF('Raw Data'!DA58="","",'Raw Data'!DA58)</f>
        <v/>
      </c>
      <c r="DN65" s="15" t="str">
        <f>IF('Raw Data'!DB58="","",'Raw Data'!DB58)</f>
        <v/>
      </c>
      <c r="DO65" s="15" t="str">
        <f>IF('Raw Data'!DC58="","",'Raw Data'!DC58)</f>
        <v/>
      </c>
      <c r="DP65" s="15" t="str">
        <f>IF('Raw Data'!DD58="","",'Raw Data'!DD58)</f>
        <v/>
      </c>
      <c r="DQ65" s="15" t="str">
        <f>IF('Raw Data'!DE58="","",'Raw Data'!DE58)</f>
        <v/>
      </c>
      <c r="DR65" s="15" t="str">
        <f>IF('Raw Data'!DF58="","",'Raw Data'!DF58)</f>
        <v/>
      </c>
      <c r="DS65" s="15" t="str">
        <f>IF('Raw Data'!DG58="","",'Raw Data'!DG58)</f>
        <v/>
      </c>
      <c r="DT65" s="15" t="str">
        <f>IF('Raw Data'!DH58="","",'Raw Data'!DH58)</f>
        <v/>
      </c>
      <c r="DU65" s="15" t="str">
        <f>IF('Raw Data'!DI58="","",'Raw Data'!DI58)</f>
        <v/>
      </c>
      <c r="DV65" s="15" t="str">
        <f>IF('Raw Data'!DJ58="","",'Raw Data'!DJ58)</f>
        <v/>
      </c>
      <c r="DW65" s="15" t="str">
        <f>IF('Raw Data'!DK58="","",'Raw Data'!DK58)</f>
        <v/>
      </c>
      <c r="DX65" s="15" t="str">
        <f>IF('Raw Data'!DL58="","",'Raw Data'!DL58)</f>
        <v/>
      </c>
      <c r="DY65" s="15" t="str">
        <f>IF('Raw Data'!DM58="","",'Raw Data'!DM58)</f>
        <v/>
      </c>
      <c r="DZ65" s="15" t="str">
        <f>IF('Raw Data'!DN58="","",'Raw Data'!DN58)</f>
        <v/>
      </c>
      <c r="EA65" s="15" t="str">
        <f>IF('Raw Data'!DO58="","",'Raw Data'!DO58)</f>
        <v/>
      </c>
      <c r="EB65" s="15" t="str">
        <f>IF('Raw Data'!DP58="","",'Raw Data'!DP58)</f>
        <v/>
      </c>
      <c r="EC65" s="15" t="str">
        <f>IF('Raw Data'!DQ58="","",'Raw Data'!DQ58)</f>
        <v/>
      </c>
      <c r="ED65" s="15" t="str">
        <f>IF('Raw Data'!DR58="","",'Raw Data'!DR58)</f>
        <v/>
      </c>
      <c r="EE65" s="15" t="str">
        <f>IF('Raw Data'!DS58="","",'Raw Data'!DS58)</f>
        <v/>
      </c>
      <c r="EF65" s="15" t="str">
        <f>IF('Raw Data'!DT58="","",'Raw Data'!DT58)</f>
        <v/>
      </c>
      <c r="EG65" s="15" t="str">
        <f>IF('Raw Data'!DU58="","",'Raw Data'!DU58)</f>
        <v/>
      </c>
      <c r="EH65" s="15" t="str">
        <f>IF('Raw Data'!DV58="","",'Raw Data'!DV58)</f>
        <v/>
      </c>
      <c r="EI65" s="15" t="str">
        <f>IF('Raw Data'!DW58="","",'Raw Data'!DW58)</f>
        <v/>
      </c>
      <c r="EJ65" s="15" t="str">
        <f>IF('Raw Data'!DX58="","",'Raw Data'!DX58)</f>
        <v/>
      </c>
      <c r="EK65" s="15" t="str">
        <f>IF('Raw Data'!DY58="","",'Raw Data'!DY58)</f>
        <v/>
      </c>
      <c r="EL65" s="15" t="str">
        <f>IF('Raw Data'!DZ58="","",'Raw Data'!DZ58)</f>
        <v>dplct_abords_com Soutien_famille_amis</v>
      </c>
      <c r="EM65" s="15" t="str">
        <f>IF('Raw Data'!EA58="","",'Raw Data'!EA58)</f>
        <v>1</v>
      </c>
      <c r="EN65" s="15" t="str">
        <f>IF('Raw Data'!EB58="","",'Raw Data'!EB58)</f>
        <v>0</v>
      </c>
      <c r="EO65" s="15" t="str">
        <f>IF('Raw Data'!EC58="","",'Raw Data'!EC58)</f>
        <v>1</v>
      </c>
      <c r="EP65" s="15" t="str">
        <f>IF('Raw Data'!ED58="","",'Raw Data'!ED58)</f>
        <v>0</v>
      </c>
      <c r="EQ65" s="15" t="str">
        <f>IF('Raw Data'!EE58="","",'Raw Data'!EE58)</f>
        <v>0</v>
      </c>
      <c r="ER65" s="15" t="str">
        <f>IF('Raw Data'!EF58="","",'Raw Data'!EF58)</f>
        <v>0</v>
      </c>
      <c r="ES65" s="15" t="str">
        <f>IF('Raw Data'!EG58="","",'Raw Data'!EG58)</f>
        <v>0</v>
      </c>
      <c r="ET65" s="15" t="str">
        <f>IF('Raw Data'!EH58="","",'Raw Data'!EH58)</f>
        <v>0</v>
      </c>
      <c r="EU65" s="15" t="str">
        <f>IF('Raw Data'!EI58="","",'Raw Data'!EI58)</f>
        <v>0</v>
      </c>
      <c r="EV65" s="15" t="str">
        <f>IF('Raw Data'!EJ58="","",'Raw Data'!EJ58)</f>
        <v/>
      </c>
      <c r="EW65" s="15" t="str">
        <f>IF('Raw Data'!EK58="","",'Raw Data'!EK58)</f>
        <v/>
      </c>
      <c r="EX65" s="15" t="str">
        <f>IF('Raw Data'!EL58="","",'Raw Data'!EL58)</f>
        <v>comite_protection famille_accueil comite_alerte</v>
      </c>
      <c r="EY65" s="15" t="str">
        <f>IF('Raw Data'!EM58="","",'Raw Data'!EM58)</f>
        <v>0</v>
      </c>
      <c r="EZ65" s="15" t="str">
        <f>IF('Raw Data'!EN58="","",'Raw Data'!EN58)</f>
        <v>1</v>
      </c>
      <c r="FA65" s="15" t="str">
        <f>IF('Raw Data'!EO58="","",'Raw Data'!EO58)</f>
        <v>1</v>
      </c>
      <c r="FB65" s="15" t="str">
        <f>IF('Raw Data'!EP58="","",'Raw Data'!EP58)</f>
        <v>1</v>
      </c>
      <c r="FC65" s="15" t="str">
        <f>IF('Raw Data'!EQ58="","",'Raw Data'!EQ58)</f>
        <v>0</v>
      </c>
      <c r="FD65" s="15" t="str">
        <f>IF('Raw Data'!ER58="","",'Raw Data'!ER58)</f>
        <v>0</v>
      </c>
      <c r="FE65" s="15" t="str">
        <f>IF('Raw Data'!ES58="","",'Raw Data'!ES58)</f>
        <v>0</v>
      </c>
      <c r="FF65" s="15" t="str">
        <f>IF('Raw Data'!ET58="","",'Raw Data'!ET58)</f>
        <v>0</v>
      </c>
      <c r="FG65" s="15" t="str">
        <f>IF('Raw Data'!EU58="","",'Raw Data'!EU58)</f>
        <v>0</v>
      </c>
      <c r="FH65" s="15" t="str">
        <f>IF('Raw Data'!EV58="","",'Raw Data'!EV58)</f>
        <v>0</v>
      </c>
      <c r="FI65" s="15" t="str">
        <f>IF('Raw Data'!EW58="","",'Raw Data'!EW58)</f>
        <v/>
      </c>
      <c r="FJ65" s="15" t="str">
        <f>IF('Raw Data'!EX58="","",'Raw Data'!EX58)</f>
        <v>oui</v>
      </c>
      <c r="FK65" s="31" t="s">
        <v>1475</v>
      </c>
      <c r="FL65" s="15" t="str">
        <f>IF('Raw Data'!EZ58="","",'Raw Data'!EZ58)</f>
        <v>0</v>
      </c>
      <c r="FM65" s="15" t="str">
        <f>IF('Raw Data'!FA58="","",'Raw Data'!FA58)</f>
        <v>0</v>
      </c>
      <c r="FN65" s="15" t="str">
        <f>IF('Raw Data'!FB58="","",'Raw Data'!FB58)</f>
        <v>0</v>
      </c>
      <c r="FO65" s="15" t="str">
        <f>IF('Raw Data'!FC58="","",'Raw Data'!FC58)</f>
        <v>1</v>
      </c>
      <c r="FP65" s="15" t="str">
        <f>IF('Raw Data'!FD58="","",'Raw Data'!FD58)</f>
        <v>0</v>
      </c>
      <c r="FQ65" s="15" t="str">
        <f>IF('Raw Data'!FE58="","",'Raw Data'!FE58)</f>
        <v>1</v>
      </c>
      <c r="FR65" s="15" t="str">
        <f>IF('Raw Data'!FF58="","",'Raw Data'!FF58)</f>
        <v>0</v>
      </c>
      <c r="FS65" s="15" t="str">
        <f>IF('Raw Data'!FG58="","",'Raw Data'!FG58)</f>
        <v>0</v>
      </c>
      <c r="FT65" s="15" t="str">
        <f>IF('Raw Data'!FH58="","",'Raw Data'!FH58)</f>
        <v>0</v>
      </c>
      <c r="FU65" s="15" t="str">
        <f>IF('Raw Data'!FI58="","",'Raw Data'!FI58)</f>
        <v>0</v>
      </c>
      <c r="FV65" s="15" t="str">
        <f>IF('Raw Data'!FJ58="","",'Raw Data'!FJ58)</f>
        <v>1</v>
      </c>
      <c r="FW65" s="15" t="str">
        <f>IF('Raw Data'!FK58="","",'Raw Data'!FK58)</f>
        <v>0</v>
      </c>
      <c r="FX65" s="31">
        <v>0</v>
      </c>
      <c r="FY65" s="15" t="str">
        <f>IF('Raw Data'!FM58="","",'Raw Data'!FM58)</f>
        <v>0</v>
      </c>
      <c r="FZ65" s="31"/>
      <c r="GA65" s="15" t="str">
        <f>IF('Raw Data'!FO58="","",'Raw Data'!FO58)</f>
        <v>oui_ensemble</v>
      </c>
      <c r="GB65" s="15" t="str">
        <f>IF('Raw Data'!FP58="","",'Raw Data'!FP58)</f>
        <v>oui_ensemble</v>
      </c>
      <c r="GC65" s="15" t="str">
        <f>IF('Raw Data'!FQ58="","",'Raw Data'!FQ58)</f>
        <v/>
      </c>
      <c r="GD65" s="15" t="str">
        <f>IF('Raw Data'!FR58="","",'Raw Data'!FR58)</f>
        <v/>
      </c>
      <c r="GE65" s="15" t="str">
        <f>IF('Raw Data'!FS58="","",'Raw Data'!FS58)</f>
        <v/>
      </c>
      <c r="GF65" s="15" t="str">
        <f>IF('Raw Data'!FT58="","",'Raw Data'!FT58)</f>
        <v/>
      </c>
      <c r="GG65" s="15" t="str">
        <f>IF('Raw Data'!FU58="","",'Raw Data'!FU58)</f>
        <v/>
      </c>
      <c r="GH65" s="15" t="str">
        <f>IF('Raw Data'!FV58="","",'Raw Data'!FV58)</f>
        <v/>
      </c>
      <c r="GI65" s="15" t="str">
        <f>IF('Raw Data'!FW58="","",'Raw Data'!FW58)</f>
        <v/>
      </c>
      <c r="GJ65" s="15" t="str">
        <f>IF('Raw Data'!FX58="","",'Raw Data'!FX58)</f>
        <v/>
      </c>
      <c r="GK65" s="15" t="str">
        <f>IF('Raw Data'!FY58="","",'Raw Data'!FY58)</f>
        <v/>
      </c>
      <c r="GL65" s="15" t="str">
        <f>IF('Raw Data'!FZ58="","",'Raw Data'!FZ58)</f>
        <v/>
      </c>
      <c r="GM65" s="15" t="str">
        <f>IF('Raw Data'!GA58="","",'Raw Data'!GA58)</f>
        <v>ensemble</v>
      </c>
      <c r="GN65" s="15" t="str">
        <f>IF('Raw Data'!GB58="","",'Raw Data'!GB58)</f>
        <v>ensemble</v>
      </c>
      <c r="GO65" s="15" t="str">
        <f>IF('Raw Data'!GC58="","",'Raw Data'!GC58)</f>
        <v>Education Services_de_sante Appui_psychosocial</v>
      </c>
      <c r="GP65" s="15" t="str">
        <f>IF('Raw Data'!GD58="","",'Raw Data'!GD58)</f>
        <v>1</v>
      </c>
      <c r="GQ65" s="15" t="str">
        <f>IF('Raw Data'!GE58="","",'Raw Data'!GE58)</f>
        <v>1</v>
      </c>
      <c r="GR65" s="15" t="str">
        <f>IF('Raw Data'!GF58="","",'Raw Data'!GF58)</f>
        <v>0</v>
      </c>
      <c r="GS65" s="15" t="str">
        <f>IF('Raw Data'!GG58="","",'Raw Data'!GG58)</f>
        <v>1</v>
      </c>
      <c r="GT65" s="15" t="str">
        <f>IF('Raw Data'!GH58="","",'Raw Data'!GH58)</f>
        <v>0</v>
      </c>
      <c r="GU65" s="15" t="str">
        <f>IF('Raw Data'!GI58="","",'Raw Data'!GI58)</f>
        <v>0</v>
      </c>
      <c r="GV65" s="15" t="str">
        <f>IF('Raw Data'!GJ58="","",'Raw Data'!GJ58)</f>
        <v>0</v>
      </c>
      <c r="GW65" s="15" t="str">
        <f>IF('Raw Data'!GK58="","",'Raw Data'!GK58)</f>
        <v>0</v>
      </c>
      <c r="GX65" s="15" t="str">
        <f>IF('Raw Data'!GL58="","",'Raw Data'!GL58)</f>
        <v>0</v>
      </c>
      <c r="GY65" s="15" t="str">
        <f>IF('Raw Data'!GM58="","",'Raw Data'!GM58)</f>
        <v/>
      </c>
      <c r="GZ65" s="15" t="str">
        <f>IF('Raw Data'!GN58="","",'Raw Data'!GN58)</f>
        <v>oui_ensemble</v>
      </c>
      <c r="HA65" s="15" t="str">
        <f>IF('Raw Data'!GO58="","",'Raw Data'!GO58)</f>
        <v>oui_ensemble</v>
      </c>
      <c r="HB65" s="15" t="str">
        <f>IF('Raw Data'!GP58="","",'Raw Data'!GP58)</f>
        <v>repond_besoins_pop amelioration_futur</v>
      </c>
      <c r="HC65" s="15" t="str">
        <f>IF('Raw Data'!GQ58="","",'Raw Data'!GQ58)</f>
        <v>1</v>
      </c>
      <c r="HD65" s="15" t="str">
        <f>IF('Raw Data'!GR58="","",'Raw Data'!GR58)</f>
        <v>1</v>
      </c>
      <c r="HE65" s="15" t="str">
        <f>IF('Raw Data'!GS58="","",'Raw Data'!GS58)</f>
        <v>0</v>
      </c>
      <c r="HF65" s="15" t="str">
        <f>IF('Raw Data'!GT58="","",'Raw Data'!GT58)</f>
        <v>0</v>
      </c>
      <c r="HG65" s="15" t="str">
        <f>IF('Raw Data'!GU58="","",'Raw Data'!GU58)</f>
        <v>0</v>
      </c>
      <c r="HH65" s="15" t="str">
        <f>IF('Raw Data'!GV58="","",'Raw Data'!GV58)</f>
        <v>0</v>
      </c>
      <c r="HI65" s="15" t="str">
        <f>IF('Raw Data'!GW58="","",'Raw Data'!GW58)</f>
        <v>0</v>
      </c>
      <c r="HJ65" s="15" t="str">
        <f>IF('Raw Data'!GX58="","",'Raw Data'!GX58)</f>
        <v>0</v>
      </c>
      <c r="HK65" s="15" t="str">
        <f>IF('Raw Data'!GY58="","",'Raw Data'!GY58)</f>
        <v/>
      </c>
      <c r="HL65" s="31"/>
      <c r="HM65" s="31"/>
      <c r="HN65" s="31"/>
      <c r="HO65" s="31"/>
      <c r="HP65" s="31"/>
      <c r="HQ65" s="31"/>
      <c r="HR65" s="31"/>
      <c r="HS65" s="31"/>
      <c r="HT65" s="15" t="str">
        <f>IF('Raw Data'!HH58="","",'Raw Data'!HH58)</f>
        <v/>
      </c>
      <c r="HU65" s="15" t="str">
        <f>IF('Raw Data'!HI58="","",'Raw Data'!HI58)</f>
        <v>non</v>
      </c>
      <c r="HV65" s="15" t="str">
        <f>IF('Raw Data'!HJ58="","",'Raw Data'!HJ58)</f>
        <v/>
      </c>
      <c r="HW65" s="15" t="str">
        <f>IF('Raw Data'!HK58="","",'Raw Data'!HK58)</f>
        <v/>
      </c>
      <c r="HX65" s="15" t="str">
        <f>IF('Raw Data'!HL58="","",'Raw Data'!HL58)</f>
        <v/>
      </c>
      <c r="HY65" s="15" t="str">
        <f>IF('Raw Data'!HM58="","",'Raw Data'!HM58)</f>
        <v/>
      </c>
      <c r="HZ65" s="15" t="str">
        <f>IF('Raw Data'!HN58="","",'Raw Data'!HN58)</f>
        <v/>
      </c>
      <c r="IA65" s="15" t="str">
        <f>IF('Raw Data'!HO58="","",'Raw Data'!HO58)</f>
        <v/>
      </c>
      <c r="IB65" s="15" t="str">
        <f>IF('Raw Data'!HP58="","",'Raw Data'!HP58)</f>
        <v/>
      </c>
      <c r="IC65" s="15" t="str">
        <f>IF('Raw Data'!HQ58="","",'Raw Data'!HQ58)</f>
        <v/>
      </c>
      <c r="ID65" s="15" t="str">
        <f>IF('Raw Data'!HR58="","",'Raw Data'!HR58)</f>
        <v/>
      </c>
      <c r="IE65" s="15" t="str">
        <f>IF('Raw Data'!HS58="","",'Raw Data'!HS58)</f>
        <v/>
      </c>
      <c r="IF65" s="15" t="str">
        <f>IF('Raw Data'!HT58="","",'Raw Data'!HT58)</f>
        <v/>
      </c>
      <c r="IG65" s="15" t="str">
        <f>IF('Raw Data'!HU58="","",'Raw Data'!HU58)</f>
        <v/>
      </c>
      <c r="IH65" s="15" t="str">
        <f>IF('Raw Data'!HV58="","",'Raw Data'!HV58)</f>
        <v>oui</v>
      </c>
      <c r="II65" s="15" t="str">
        <f>IF('Raw Data'!HW58="","",'Raw Data'!HW58)</f>
        <v/>
      </c>
      <c r="IJ65" s="15" t="str">
        <f>IF('Raw Data'!HX58="","",'Raw Data'!HX58)</f>
        <v/>
      </c>
      <c r="IK65" s="15" t="str">
        <f>IF('Raw Data'!HY58="","",'Raw Data'!HY58)</f>
        <v/>
      </c>
      <c r="IL65" s="15" t="str">
        <f>IF('Raw Data'!HZ58="","",'Raw Data'!HZ58)</f>
        <v/>
      </c>
      <c r="IM65" s="15" t="str">
        <f>IF('Raw Data'!IA58="","",'Raw Data'!IA58)</f>
        <v/>
      </c>
      <c r="IN65" s="15" t="str">
        <f>IF('Raw Data'!IB58="","",'Raw Data'!IB58)</f>
        <v/>
      </c>
      <c r="IO65" s="15" t="str">
        <f>IF('Raw Data'!IC58="","",'Raw Data'!IC58)</f>
        <v/>
      </c>
      <c r="IP65" s="15" t="str">
        <f>IF('Raw Data'!ID58="","",'Raw Data'!ID58)</f>
        <v/>
      </c>
      <c r="IQ65" s="15" t="str">
        <f>IF('Raw Data'!IE58="","",'Raw Data'!IE58)</f>
        <v/>
      </c>
      <c r="IR65" s="15" t="str">
        <f>IF('Raw Data'!IF58="","",'Raw Data'!IF58)</f>
        <v/>
      </c>
      <c r="IS65" s="15" t="str">
        <f>IF('Raw Data'!IG58="","",'Raw Data'!IG58)</f>
        <v/>
      </c>
      <c r="IT65" s="15" t="str">
        <f>IF('Raw Data'!IH58="","",'Raw Data'!IH58)</f>
        <v/>
      </c>
      <c r="IU65" s="15" t="str">
        <f>IF('Raw Data'!II58="","",'Raw Data'!II58)</f>
        <v/>
      </c>
      <c r="IV65" s="15" t="str">
        <f>IF('Raw Data'!IJ58="","",'Raw Data'!IJ58)</f>
        <v/>
      </c>
      <c r="IW65" s="15" t="str">
        <f>IF('Raw Data'!IK58="","",'Raw Data'!IK58)</f>
        <v/>
      </c>
      <c r="IX65" s="15" t="str">
        <f>IF('Raw Data'!IL58="","",'Raw Data'!IL58)</f>
        <v/>
      </c>
      <c r="IY65" s="15" t="str">
        <f>IF('Raw Data'!IM58="","",'Raw Data'!IM58)</f>
        <v/>
      </c>
      <c r="IZ65" s="15" t="str">
        <f>IF('Raw Data'!IN58="","",'Raw Data'!IN58)</f>
        <v>4</v>
      </c>
      <c r="JA65" s="15" t="str">
        <f>IF('Raw Data'!IO58="","",'Raw Data'!IO58)</f>
        <v>Services_educatifs</v>
      </c>
      <c r="JB65" s="15" t="str">
        <f>IF('Raw Data'!IP58="","",'Raw Data'!IP58)</f>
        <v>0</v>
      </c>
      <c r="JC65" s="15" t="str">
        <f>IF('Raw Data'!IQ58="","",'Raw Data'!IQ58)</f>
        <v>0</v>
      </c>
      <c r="JD65" s="15" t="str">
        <f>IF('Raw Data'!IR58="","",'Raw Data'!IR58)</f>
        <v>1</v>
      </c>
      <c r="JE65" s="15" t="str">
        <f>IF('Raw Data'!IS58="","",'Raw Data'!IS58)</f>
        <v>0</v>
      </c>
      <c r="JF65" s="15" t="str">
        <f>IF('Raw Data'!IT58="","",'Raw Data'!IT58)</f>
        <v>0</v>
      </c>
      <c r="JG65" s="15" t="str">
        <f>IF('Raw Data'!IU58="","",'Raw Data'!IU58)</f>
        <v>0</v>
      </c>
      <c r="JH65" s="15" t="str">
        <f>IF('Raw Data'!IV58="","",'Raw Data'!IV58)</f>
        <v>0</v>
      </c>
      <c r="JI65" s="15" t="str">
        <f>IF('Raw Data'!IW58="","",'Raw Data'!IW58)</f>
        <v>0</v>
      </c>
      <c r="JJ65" s="15" t="str">
        <f>IF('Raw Data'!IX58="","",'Raw Data'!IX58)</f>
        <v>0</v>
      </c>
      <c r="JK65" s="15" t="str">
        <f>IF('Raw Data'!IY58="","",'Raw Data'!IY58)</f>
        <v>0</v>
      </c>
      <c r="JL65" s="15" t="str">
        <f>IF('Raw Data'!IZ58="","",'Raw Data'!IZ58)</f>
        <v/>
      </c>
      <c r="JM65" s="15" t="str">
        <f>IF('Raw Data'!JA58="","",'Raw Data'!JA58)</f>
        <v>prise_enchage reorientation</v>
      </c>
      <c r="JN65" s="15" t="str">
        <f>IF('Raw Data'!JB58="","",'Raw Data'!JB58)</f>
        <v>1</v>
      </c>
      <c r="JO65" s="15" t="str">
        <f>IF('Raw Data'!JC58="","",'Raw Data'!JC58)</f>
        <v>1</v>
      </c>
      <c r="JP65" s="15" t="str">
        <f>IF('Raw Data'!JD58="","",'Raw Data'!JD58)</f>
        <v>0</v>
      </c>
      <c r="JQ65" s="15" t="str">
        <f>IF('Raw Data'!JE58="","",'Raw Data'!JE58)</f>
        <v>0</v>
      </c>
      <c r="JR65" s="15" t="str">
        <f>IF('Raw Data'!JF58="","",'Raw Data'!JF58)</f>
        <v>0</v>
      </c>
      <c r="JS65" s="15" t="str">
        <f>IF('Raw Data'!JG58="","",'Raw Data'!JG58)</f>
        <v>0</v>
      </c>
      <c r="JT65" s="15" t="str">
        <f>IF('Raw Data'!JH58="","",'Raw Data'!JH58)</f>
        <v/>
      </c>
      <c r="JU65" s="15" t="str">
        <f>IF('Raw Data'!JI58="","",'Raw Data'!JI58)</f>
        <v>point_ecoute Autre</v>
      </c>
      <c r="JV65" s="15" t="str">
        <f>IF('Raw Data'!JJ58="","",'Raw Data'!JJ58)</f>
        <v>0</v>
      </c>
      <c r="JW65" s="15" t="str">
        <f>IF('Raw Data'!JK58="","",'Raw Data'!JK58)</f>
        <v>0</v>
      </c>
      <c r="JX65" s="15" t="str">
        <f>IF('Raw Data'!JL58="","",'Raw Data'!JL58)</f>
        <v>1</v>
      </c>
      <c r="JY65" s="15" t="str">
        <f>IF('Raw Data'!JM58="","",'Raw Data'!JM58)</f>
        <v>0</v>
      </c>
      <c r="JZ65" s="15" t="str">
        <f>IF('Raw Data'!JN58="","",'Raw Data'!JN58)</f>
        <v>0</v>
      </c>
      <c r="KA65" s="15" t="str">
        <f>IF('Raw Data'!JO58="","",'Raw Data'!JO58)</f>
        <v>0</v>
      </c>
      <c r="KB65" s="15" t="str">
        <f>IF('Raw Data'!JP58="","",'Raw Data'!JP58)</f>
        <v>0</v>
      </c>
      <c r="KC65" s="15" t="str">
        <f>IF('Raw Data'!JQ58="","",'Raw Data'!JQ58)</f>
        <v>1</v>
      </c>
      <c r="KD65" s="15" t="str">
        <f>IF('Raw Data'!JR58="","",'Raw Data'!JR58)</f>
        <v>0</v>
      </c>
      <c r="KE65" s="15" t="str">
        <f>IF('Raw Data'!JS58="","",'Raw Data'!JS58)</f>
        <v xml:space="preserve">Inscription dans une école </v>
      </c>
      <c r="KF65" s="15" t="str">
        <f>IF('Raw Data'!JT58="","",'Raw Data'!JT58)</f>
        <v>medical</v>
      </c>
      <c r="KG65" s="15" t="str">
        <f>IF('Raw Data'!JU58="","",'Raw Data'!JU58)</f>
        <v>1</v>
      </c>
      <c r="KH65" s="15" t="str">
        <f>IF('Raw Data'!JV58="","",'Raw Data'!JV58)</f>
        <v>0</v>
      </c>
      <c r="KI65" s="15" t="str">
        <f>IF('Raw Data'!JW58="","",'Raw Data'!JW58)</f>
        <v>0</v>
      </c>
      <c r="KJ65" s="15" t="str">
        <f>IF('Raw Data'!JX58="","",'Raw Data'!JX58)</f>
        <v>0</v>
      </c>
      <c r="KK65" s="15" t="str">
        <f>IF('Raw Data'!JY58="","",'Raw Data'!JY58)</f>
        <v>0</v>
      </c>
      <c r="KL65" s="15" t="str">
        <f>IF('Raw Data'!JZ58="","",'Raw Data'!JZ58)</f>
        <v>0</v>
      </c>
      <c r="KM65" s="15" t="str">
        <f>IF('Raw Data'!KA58="","",'Raw Data'!KA58)</f>
        <v>0</v>
      </c>
      <c r="KN65" s="15" t="str">
        <f>IF('Raw Data'!KB58="","",'Raw Data'!KB58)</f>
        <v>0</v>
      </c>
      <c r="KO65" s="15" t="str">
        <f>IF('Raw Data'!KC58="","",'Raw Data'!KC58)</f>
        <v>0</v>
      </c>
      <c r="KP65" s="15" t="str">
        <f>IF('Raw Data'!KD58="","",'Raw Data'!KD58)</f>
        <v/>
      </c>
      <c r="KQ65" s="15" t="str">
        <f>IF('Raw Data'!KE58="","",'Raw Data'!KE58)</f>
        <v/>
      </c>
      <c r="KR65" s="15" t="str">
        <f>IF('Raw Data'!KF58="","",'Raw Data'!KF58)</f>
        <v>non</v>
      </c>
      <c r="KS65" s="15" t="str">
        <f>IF('Raw Data'!KG58="","",'Raw Data'!KG58)</f>
        <v/>
      </c>
      <c r="KT65" s="15" t="str">
        <f>IF('Raw Data'!KH58="","",'Raw Data'!KH58)</f>
        <v/>
      </c>
      <c r="KU65" s="15" t="str">
        <f>IF('Raw Data'!KI58="","",'Raw Data'!KI58)</f>
        <v/>
      </c>
      <c r="KV65" s="15" t="str">
        <f>IF('Raw Data'!KJ58="","",'Raw Data'!KJ58)</f>
        <v/>
      </c>
      <c r="KW65" s="15" t="str">
        <f>IF('Raw Data'!KK58="","",'Raw Data'!KK58)</f>
        <v/>
      </c>
      <c r="KX65" s="15" t="str">
        <f>IF('Raw Data'!KL58="","",'Raw Data'!KL58)</f>
        <v/>
      </c>
      <c r="KY65" s="15" t="str">
        <f>IF('Raw Data'!KM58="","",'Raw Data'!KM58)</f>
        <v/>
      </c>
      <c r="KZ65" s="15" t="str">
        <f>IF('Raw Data'!KN58="","",'Raw Data'!KN58)</f>
        <v/>
      </c>
      <c r="LA65" s="15" t="str">
        <f>IF('Raw Data'!KO58="","",'Raw Data'!KO58)</f>
        <v/>
      </c>
      <c r="LB65" s="15" t="str">
        <f>IF('Raw Data'!KP58="","",'Raw Data'!KP58)</f>
        <v/>
      </c>
      <c r="LC65" s="15" t="str">
        <f>IF('Raw Data'!KQ58="","",'Raw Data'!KQ58)</f>
        <v/>
      </c>
      <c r="LD65" s="15" t="str">
        <f>IF('Raw Data'!KR58="","",'Raw Data'!KR58)</f>
        <v/>
      </c>
      <c r="LE65" s="15" t="str">
        <f>IF('Raw Data'!KS58="","",'Raw Data'!KS58)</f>
        <v/>
      </c>
      <c r="LF65" s="15" t="str">
        <f>IF('Raw Data'!KT58="","",'Raw Data'!KT58)</f>
        <v/>
      </c>
      <c r="LG65" s="15" t="str">
        <f>IF('Raw Data'!KU58="","",'Raw Data'!KU58)</f>
        <v/>
      </c>
      <c r="LH65" s="15" t="str">
        <f>IF('Raw Data'!KV58="","",'Raw Data'!KV58)</f>
        <v/>
      </c>
      <c r="LI65" s="15" t="str">
        <f>IF('Raw Data'!KW58="","",'Raw Data'!KW58)</f>
        <v/>
      </c>
      <c r="LJ65" s="15" t="str">
        <f>IF('Raw Data'!KX58="","",'Raw Data'!KX58)</f>
        <v/>
      </c>
      <c r="LK65" s="15" t="str">
        <f>IF('Raw Data'!KY58="","",'Raw Data'!KY58)</f>
        <v/>
      </c>
      <c r="LL65" s="15" t="str">
        <f>IF('Raw Data'!KZ58="","",'Raw Data'!KZ58)</f>
        <v/>
      </c>
      <c r="LM65" s="15" t="str">
        <f>IF('Raw Data'!LA58="","",'Raw Data'!LA58)</f>
        <v/>
      </c>
      <c r="LN65" s="15" t="str">
        <f>IF('Raw Data'!LB58="","",'Raw Data'!LB58)</f>
        <v>non</v>
      </c>
      <c r="LO65" s="15" t="str">
        <f>IF('Raw Data'!LC58="","",'Raw Data'!LC58)</f>
        <v/>
      </c>
      <c r="LP65" s="15" t="str">
        <f>IF('Raw Data'!LD58="","",'Raw Data'!LD58)</f>
        <v/>
      </c>
      <c r="LQ65" s="15" t="str">
        <f>IF('Raw Data'!LE58="","",'Raw Data'!LE58)</f>
        <v/>
      </c>
      <c r="LR65" s="15" t="str">
        <f>IF('Raw Data'!LF58="","",'Raw Data'!LF58)</f>
        <v/>
      </c>
      <c r="LS65" s="15" t="str">
        <f>IF('Raw Data'!LG58="","",'Raw Data'!LG58)</f>
        <v/>
      </c>
      <c r="LT65" s="15" t="str">
        <f>IF('Raw Data'!LH58="","",'Raw Data'!LH58)</f>
        <v/>
      </c>
      <c r="LU65" s="15" t="str">
        <f>IF('Raw Data'!LI58="","",'Raw Data'!LI58)</f>
        <v/>
      </c>
      <c r="LV65" s="15" t="str">
        <f>IF('Raw Data'!LJ58="","",'Raw Data'!LJ58)</f>
        <v/>
      </c>
      <c r="LW65" s="15" t="str">
        <f>IF('Raw Data'!LK58="","",'Raw Data'!LK58)</f>
        <v/>
      </c>
      <c r="LX65" s="15" t="str">
        <f>IF('Raw Data'!LL58="","",'Raw Data'!LL58)</f>
        <v/>
      </c>
      <c r="LY65" s="15" t="str">
        <f>IF('Raw Data'!LM58="","",'Raw Data'!LM58)</f>
        <v/>
      </c>
      <c r="LZ65" s="15" t="str">
        <f>IF('Raw Data'!LN58="","",'Raw Data'!LN58)</f>
        <v/>
      </c>
      <c r="MA65" s="15" t="str">
        <f>IF('Raw Data'!LO58="","",'Raw Data'!LO58)</f>
        <v/>
      </c>
      <c r="MB65" s="15" t="str">
        <f>IF('Raw Data'!LP58="","",'Raw Data'!LP58)</f>
        <v>oui</v>
      </c>
      <c r="MC65" s="15" t="str">
        <f>IF('Raw Data'!LQ58="","",'Raw Data'!LQ58)</f>
        <v/>
      </c>
      <c r="MD65" s="15" t="str">
        <f>IF('Raw Data'!LR58="","",'Raw Data'!LR58)</f>
        <v/>
      </c>
      <c r="ME65" s="15">
        <f>IF('Raw Data'!LS58="","",'Raw Data'!LS58)</f>
        <v>170683435</v>
      </c>
      <c r="MF65" s="15" t="str">
        <f>IF('Raw Data'!LT58="","",'Raw Data'!LT58)</f>
        <v>faceac5d-8ffc-4266-97a1-2f2498fdf6e1</v>
      </c>
      <c r="MG65" s="15" t="str">
        <f>IF('Raw Data'!LU58="","",'Raw Data'!LU58)</f>
        <v>2021-04-09T17:45:15</v>
      </c>
      <c r="MH65" s="15" t="str">
        <f>IF('Raw Data'!LV58="","",'Raw Data'!LV58)</f>
        <v/>
      </c>
      <c r="MI65" s="15" t="str">
        <f>IF('Raw Data'!LW58="","",'Raw Data'!LW58)</f>
        <v>[]</v>
      </c>
      <c r="MJ65" s="15" t="str">
        <f>IF('Raw Data'!LX58="","",'Raw Data'!LX58)</f>
        <v>submitted_via_web</v>
      </c>
      <c r="MK65" s="15" t="str">
        <f>IF('Raw Data'!LY58="","",'Raw Data'!LY58)</f>
        <v>reach_niger</v>
      </c>
      <c r="ML65" s="15" t="str">
        <f>IF('Raw Data'!LZ58="","",'Raw Data'!LZ58)</f>
        <v/>
      </c>
      <c r="MM65" s="15">
        <f>IF('Raw Data'!MA58="","",'Raw Data'!MA58)</f>
        <v>62</v>
      </c>
    </row>
    <row r="66" spans="1:351" x14ac:dyDescent="0.3">
      <c r="A66" s="26" t="str">
        <f t="shared" si="4"/>
        <v>ef27d705-c50b-4f20-be5e-024bee3b2a34</v>
      </c>
      <c r="B66" s="26" t="str">
        <f t="shared" si="5"/>
        <v>makalondi</v>
      </c>
      <c r="C66" s="26" t="str">
        <f t="shared" si="6"/>
        <v>Q</v>
      </c>
      <c r="D66" s="14" t="str">
        <f>IF('Raw Data'!A43="","",'Raw Data'!A43)</f>
        <v>2021-04-06T13:53:39.692+01:00</v>
      </c>
      <c r="E66" s="14" t="str">
        <f>IF('Raw Data'!B43="","",'Raw Data'!B43)</f>
        <v>2021-04-06T14:15:40.696+01:00</v>
      </c>
      <c r="F66" s="30">
        <v>44292.578923611109</v>
      </c>
      <c r="G66" s="30">
        <v>44292.594212962962</v>
      </c>
      <c r="H66" s="29">
        <f>VLOOKUP(A66,Audit[#All],2,FALSE)</f>
        <v>22.02</v>
      </c>
      <c r="I66" s="29">
        <f>VLOOKUP(A66,Audit[#All],3,FALSE)</f>
        <v>21.8</v>
      </c>
      <c r="J66" s="29">
        <f>VLOOKUP(A66,Audit[#All],4,FALSE)</f>
        <v>20.75</v>
      </c>
      <c r="K66" s="29">
        <f>VLOOKUP(A66,nb_questions[#All],2,FALSE)</f>
        <v>137</v>
      </c>
      <c r="L66" s="29">
        <f t="shared" si="7"/>
        <v>170</v>
      </c>
      <c r="M66" s="14" t="str">
        <f>IF('Raw Data'!C43="","",'Raw Data'!C43)</f>
        <v>2021-04-06</v>
      </c>
      <c r="N66" s="14" t="str">
        <f>IF('Raw Data'!D43="","",'Raw Data'!D43)</f>
        <v/>
      </c>
      <c r="O66" s="14" t="str">
        <f>IF('Raw Data'!E43="","",'Raw Data'!E43)</f>
        <v/>
      </c>
      <c r="P66" s="29" t="str">
        <f>VLOOKUP(A66,code_enqueteurs[#All],3,FALSE)</f>
        <v>Q</v>
      </c>
      <c r="Q66" s="29" t="s">
        <v>1659</v>
      </c>
      <c r="R66" s="14" t="str">
        <f>IF('Raw Data'!F43="","",'Raw Data'!F43)</f>
        <v>Homme</v>
      </c>
      <c r="S66" s="15" t="str">
        <f>IF('Raw Data'!G43="","",'Raw Data'!G43)</f>
        <v>torodi</v>
      </c>
      <c r="T66" s="15" t="str">
        <f>IF('Raw Data'!H43="","",'Raw Data'!H43)</f>
        <v>makalondi</v>
      </c>
      <c r="U66" s="15" t="str">
        <f>IF('Raw Data'!I43="","",'Raw Data'!I43)</f>
        <v>makalondi_ville</v>
      </c>
      <c r="V66" s="15" t="str">
        <f>IF('Raw Data'!J43="","",'Raw Data'!J43)</f>
        <v/>
      </c>
      <c r="W66" s="15" t="str">
        <f>IF('Raw Data'!K43="","",'Raw Data'!K43)</f>
        <v/>
      </c>
      <c r="X66" s="15" t="str">
        <f>IF('Raw Data'!L43="","",'Raw Data'!L43)</f>
        <v/>
      </c>
      <c r="Y66" s="15" t="str">
        <f>IF('Raw Data'!M43="","",'Raw Data'!M43)</f>
        <v/>
      </c>
      <c r="Z66" s="15" t="str">
        <f>IF('Raw Data'!N43="","",'Raw Data'!N43)</f>
        <v/>
      </c>
      <c r="AA66" s="15" t="str">
        <f>IF('Raw Data'!O43="","",'Raw Data'!O43)</f>
        <v/>
      </c>
      <c r="AB66" s="15" t="str">
        <f>IF('Raw Data'!P43="","",'Raw Data'!P43)</f>
        <v/>
      </c>
      <c r="AC66" s="15" t="str">
        <f>IF('Raw Data'!Q43="","",'Raw Data'!Q43)</f>
        <v/>
      </c>
      <c r="AD66" s="15" t="str">
        <f>IF('Raw Data'!R43="","",'Raw Data'!R43)</f>
        <v>Homme</v>
      </c>
      <c r="AE66" s="15" t="str">
        <f>IF('Raw Data'!S43="","",'Raw Data'!S43)</f>
        <v>43</v>
      </c>
      <c r="AF66" s="15" t="str">
        <f>IF('Raw Data'!T43="","",'Raw Data'!T43)</f>
        <v>deplace_interne</v>
      </c>
      <c r="AG66" s="15" t="str">
        <f>IF('Raw Data'!U43="","",'Raw Data'!U43)</f>
        <v/>
      </c>
      <c r="AH66" s="15" t="str">
        <f>IF('Raw Data'!V43="","",'Raw Data'!V43)</f>
        <v/>
      </c>
      <c r="AI66" s="15" t="str">
        <f>IF('Raw Data'!W43="","",'Raw Data'!W43)</f>
        <v/>
      </c>
      <c r="AJ66" s="15" t="str">
        <f>IF('Raw Data'!X43="","",'Raw Data'!X43)</f>
        <v/>
      </c>
      <c r="AK66" s="15" t="str">
        <f>IF('Raw Data'!Y43="","",'Raw Data'!Y43)</f>
        <v/>
      </c>
      <c r="AL66" s="15" t="str">
        <f>IF('Raw Data'!Z43="","",'Raw Data'!Z43)</f>
        <v>niger</v>
      </c>
      <c r="AM66" s="15" t="str">
        <f>IF('Raw Data'!AA43="","",'Raw Data'!AA43)</f>
        <v>tillaberi</v>
      </c>
      <c r="AN66" s="15" t="str">
        <f>IF('Raw Data'!AB43="","",'Raw Data'!AB43)</f>
        <v>torodi</v>
      </c>
      <c r="AO66" s="15" t="str">
        <f>IF('Raw Data'!AC43="","",'Raw Data'!AC43)</f>
        <v/>
      </c>
      <c r="AP66" s="15" t="str">
        <f>IF('Raw Data'!AD43="","",'Raw Data'!AD43)</f>
        <v/>
      </c>
      <c r="AQ66" s="15" t="str">
        <f>IF('Raw Data'!AE43="","",'Raw Data'!AE43)</f>
        <v/>
      </c>
      <c r="AR66" s="15" t="str">
        <f>IF('Raw Data'!AF43="","",'Raw Data'!AF43)</f>
        <v/>
      </c>
      <c r="AS66" s="15" t="str">
        <f>IF('Raw Data'!AG43="","",'Raw Data'!AG43)</f>
        <v>non</v>
      </c>
      <c r="AT66" s="15" t="str">
        <f>IF('Raw Data'!AH43="","",'Raw Data'!AH43)</f>
        <v/>
      </c>
      <c r="AU66" s="15" t="str">
        <f>IF('Raw Data'!AI43="","",'Raw Data'!AI43)</f>
        <v/>
      </c>
      <c r="AV66" s="15" t="str">
        <f>IF('Raw Data'!AJ43="","",'Raw Data'!AJ43)</f>
        <v/>
      </c>
      <c r="AW66" s="15" t="str">
        <f>IF('Raw Data'!AK43="","",'Raw Data'!AK43)</f>
        <v/>
      </c>
      <c r="AX66" s="15" t="str">
        <f>IF('Raw Data'!AL43="","",'Raw Data'!AL43)</f>
        <v/>
      </c>
      <c r="AY66" s="15" t="str">
        <f>IF('Raw Data'!AM43="","",'Raw Data'!AM43)</f>
        <v/>
      </c>
      <c r="AZ66" s="15" t="str">
        <f>IF('Raw Data'!AN43="","",'Raw Data'!AN43)</f>
        <v/>
      </c>
      <c r="BA66" s="15" t="str">
        <f>IF('Raw Data'!AO43="","",'Raw Data'!AO43)</f>
        <v/>
      </c>
      <c r="BB66" s="15" t="str">
        <f>IF('Raw Data'!AP43="","",'Raw Data'!AP43)</f>
        <v/>
      </c>
      <c r="BC66" s="15" t="str">
        <f>IF('Raw Data'!AQ43="","",'Raw Data'!AQ43)</f>
        <v/>
      </c>
      <c r="BD66" s="15" t="str">
        <f>IF('Raw Data'!AR43="","",'Raw Data'!AR43)</f>
        <v/>
      </c>
      <c r="BE66" s="15" t="str">
        <f>IF('Raw Data'!AS43="","",'Raw Data'!AS43)</f>
        <v/>
      </c>
      <c r="BF66" s="15" t="str">
        <f>IF('Raw Data'!AT43="","",'Raw Data'!AT43)</f>
        <v/>
      </c>
      <c r="BG66" s="15" t="str">
        <f>IF('Raw Data'!AU43="","",'Raw Data'!AU43)</f>
        <v/>
      </c>
      <c r="BH66" s="15" t="str">
        <f>IF('Raw Data'!AV43="","",'Raw Data'!AV43)</f>
        <v/>
      </c>
      <c r="BI66" s="15" t="str">
        <f>IF('Raw Data'!AW43="","",'Raw Data'!AW43)</f>
        <v/>
      </c>
      <c r="BJ66" s="15" t="str">
        <f>IF('Raw Data'!AX43="","",'Raw Data'!AX43)</f>
        <v/>
      </c>
      <c r="BK66" s="15" t="str">
        <f>IF('Raw Data'!AY43="","",'Raw Data'!AY43)</f>
        <v/>
      </c>
      <c r="BL66" s="15" t="str">
        <f>IF('Raw Data'!AZ43="","",'Raw Data'!AZ43)</f>
        <v/>
      </c>
      <c r="BM66" s="15" t="str">
        <f>IF('Raw Data'!BA43="","",'Raw Data'!BA43)</f>
        <v/>
      </c>
      <c r="BN66" s="15" t="str">
        <f>IF('Raw Data'!BB43="","",'Raw Data'!BB43)</f>
        <v/>
      </c>
      <c r="BO66" s="15" t="str">
        <f>IF('Raw Data'!BC43="","",'Raw Data'!BC43)</f>
        <v/>
      </c>
      <c r="BP66" s="15" t="str">
        <f>IF('Raw Data'!BD43="","",'Raw Data'!BD43)</f>
        <v/>
      </c>
      <c r="BQ66" s="15" t="str">
        <f>IF('Raw Data'!BE43="","",'Raw Data'!BE43)</f>
        <v/>
      </c>
      <c r="BR66" s="15" t="str">
        <f>IF('Raw Data'!BF43="","",'Raw Data'!BF43)</f>
        <v/>
      </c>
      <c r="BS66" s="15" t="str">
        <f>IF('Raw Data'!BG43="","",'Raw Data'!BG43)</f>
        <v/>
      </c>
      <c r="BT66" s="15" t="str">
        <f>IF('Raw Data'!BH43="","",'Raw Data'!BH43)</f>
        <v/>
      </c>
      <c r="BU66" s="15" t="str">
        <f>IF('Raw Data'!BI43="","",'Raw Data'!BI43)</f>
        <v/>
      </c>
      <c r="BV66" s="15" t="str">
        <f>IF('Raw Data'!BJ43="","",'Raw Data'!BJ43)</f>
        <v/>
      </c>
      <c r="BW66" s="15" t="str">
        <f>IF('Raw Data'!BK43="","",'Raw Data'!BK43)</f>
        <v/>
      </c>
      <c r="BX66" s="15" t="str">
        <f>IF('Raw Data'!BL43="","",'Raw Data'!BL43)</f>
        <v/>
      </c>
      <c r="BY66" s="15" t="str">
        <f>IF('Raw Data'!BM43="","",'Raw Data'!BM43)</f>
        <v/>
      </c>
      <c r="BZ66" s="15" t="str">
        <f>IF('Raw Data'!BN43="","",'Raw Data'!BN43)</f>
        <v/>
      </c>
      <c r="CA66" s="15" t="str">
        <f>IF('Raw Data'!BO43="","",'Raw Data'!BO43)</f>
        <v/>
      </c>
      <c r="CB66" s="15" t="str">
        <f>IF('Raw Data'!BP43="","",'Raw Data'!BP43)</f>
        <v/>
      </c>
      <c r="CC66" s="15" t="str">
        <f>IF('Raw Data'!BQ43="","",'Raw Data'!BQ43)</f>
        <v>non</v>
      </c>
      <c r="CD66" s="15" t="str">
        <f>IF('Raw Data'!BR43="","",'Raw Data'!BR43)</f>
        <v/>
      </c>
      <c r="CE66" s="15" t="str">
        <f>IF('Raw Data'!BS43="","",'Raw Data'!BS43)</f>
        <v/>
      </c>
      <c r="CF66" s="15" t="str">
        <f>IF('Raw Data'!BT43="","",'Raw Data'!BT43)</f>
        <v/>
      </c>
      <c r="CG66" s="15" t="str">
        <f>IF('Raw Data'!BU43="","",'Raw Data'!BU43)</f>
        <v/>
      </c>
      <c r="CH66" s="15" t="str">
        <f>IF('Raw Data'!BV43="","",'Raw Data'!BV43)</f>
        <v/>
      </c>
      <c r="CI66" s="15" t="str">
        <f>IF('Raw Data'!BW43="","",'Raw Data'!BW43)</f>
        <v/>
      </c>
      <c r="CJ66" s="15" t="str">
        <f>IF('Raw Data'!BX43="","",'Raw Data'!BX43)</f>
        <v/>
      </c>
      <c r="CK66" s="15" t="str">
        <f>IF('Raw Data'!BY43="","",'Raw Data'!BY43)</f>
        <v/>
      </c>
      <c r="CL66" s="15" t="str">
        <f>IF('Raw Data'!BZ43="","",'Raw Data'!BZ43)</f>
        <v/>
      </c>
      <c r="CM66" s="15" t="str">
        <f>IF('Raw Data'!CA43="","",'Raw Data'!CA43)</f>
        <v/>
      </c>
      <c r="CN66" s="15" t="str">
        <f>IF('Raw Data'!CB43="","",'Raw Data'!CB43)</f>
        <v/>
      </c>
      <c r="CO66" s="15" t="str">
        <f>IF('Raw Data'!CC43="","",'Raw Data'!CC43)</f>
        <v/>
      </c>
      <c r="CP66" s="15" t="str">
        <f>IF('Raw Data'!CD43="","",'Raw Data'!CD43)</f>
        <v/>
      </c>
      <c r="CQ66" s="15" t="str">
        <f>IF('Raw Data'!CE43="","",'Raw Data'!CE43)</f>
        <v/>
      </c>
      <c r="CR66" s="15" t="str">
        <f>IF('Raw Data'!CF43="","",'Raw Data'!CF43)</f>
        <v/>
      </c>
      <c r="CS66" s="15" t="str">
        <f>IF('Raw Data'!CG43="","",'Raw Data'!CG43)</f>
        <v/>
      </c>
      <c r="CT66" s="15" t="str">
        <f>IF('Raw Data'!CH43="","",'Raw Data'!CH43)</f>
        <v/>
      </c>
      <c r="CU66" s="15" t="str">
        <f>IF('Raw Data'!CI43="","",'Raw Data'!CI43)</f>
        <v/>
      </c>
      <c r="CV66" s="15" t="str">
        <f>IF('Raw Data'!CJ43="","",'Raw Data'!CJ43)</f>
        <v/>
      </c>
      <c r="CW66" s="15" t="str">
        <f>IF('Raw Data'!CK43="","",'Raw Data'!CK43)</f>
        <v/>
      </c>
      <c r="CX66" s="15" t="str">
        <f>IF('Raw Data'!CL43="","",'Raw Data'!CL43)</f>
        <v/>
      </c>
      <c r="CY66" s="15" t="str">
        <f>IF('Raw Data'!CM43="","",'Raw Data'!CM43)</f>
        <v/>
      </c>
      <c r="CZ66" s="15" t="str">
        <f>IF('Raw Data'!CN43="","",'Raw Data'!CN43)</f>
        <v/>
      </c>
      <c r="DA66" s="15" t="str">
        <f>IF('Raw Data'!CO43="","",'Raw Data'!CO43)</f>
        <v/>
      </c>
      <c r="DB66" s="15" t="str">
        <f>IF('Raw Data'!CP43="","",'Raw Data'!CP43)</f>
        <v/>
      </c>
      <c r="DC66" s="15" t="str">
        <f>IF('Raw Data'!CQ43="","",'Raw Data'!CQ43)</f>
        <v/>
      </c>
      <c r="DD66" s="15" t="str">
        <f>IF('Raw Data'!CR43="","",'Raw Data'!CR43)</f>
        <v/>
      </c>
      <c r="DE66" s="15" t="str">
        <f>IF('Raw Data'!CS43="","",'Raw Data'!CS43)</f>
        <v/>
      </c>
      <c r="DF66" s="15" t="str">
        <f>IF('Raw Data'!CT43="","",'Raw Data'!CT43)</f>
        <v/>
      </c>
      <c r="DG66" s="15" t="str">
        <f>IF('Raw Data'!CU43="","",'Raw Data'!CU43)</f>
        <v/>
      </c>
      <c r="DH66" s="15" t="str">
        <f>IF('Raw Data'!CV43="","",'Raw Data'!CV43)</f>
        <v/>
      </c>
      <c r="DI66" s="15" t="str">
        <f>IF('Raw Data'!CW43="","",'Raw Data'!CW43)</f>
        <v/>
      </c>
      <c r="DJ66" s="15" t="str">
        <f>IF('Raw Data'!CX43="","",'Raw Data'!CX43)</f>
        <v/>
      </c>
      <c r="DK66" s="15" t="str">
        <f>IF('Raw Data'!CY43="","",'Raw Data'!CY43)</f>
        <v/>
      </c>
      <c r="DL66" s="15" t="str">
        <f>IF('Raw Data'!CZ43="","",'Raw Data'!CZ43)</f>
        <v/>
      </c>
      <c r="DM66" s="15" t="str">
        <f>IF('Raw Data'!DA43="","",'Raw Data'!DA43)</f>
        <v/>
      </c>
      <c r="DN66" s="15" t="str">
        <f>IF('Raw Data'!DB43="","",'Raw Data'!DB43)</f>
        <v/>
      </c>
      <c r="DO66" s="15" t="str">
        <f>IF('Raw Data'!DC43="","",'Raw Data'!DC43)</f>
        <v/>
      </c>
      <c r="DP66" s="15" t="str">
        <f>IF('Raw Data'!DD43="","",'Raw Data'!DD43)</f>
        <v/>
      </c>
      <c r="DQ66" s="15" t="str">
        <f>IF('Raw Data'!DE43="","",'Raw Data'!DE43)</f>
        <v/>
      </c>
      <c r="DR66" s="15" t="str">
        <f>IF('Raw Data'!DF43="","",'Raw Data'!DF43)</f>
        <v/>
      </c>
      <c r="DS66" s="15" t="str">
        <f>IF('Raw Data'!DG43="","",'Raw Data'!DG43)</f>
        <v/>
      </c>
      <c r="DT66" s="15" t="str">
        <f>IF('Raw Data'!DH43="","",'Raw Data'!DH43)</f>
        <v/>
      </c>
      <c r="DU66" s="15" t="str">
        <f>IF('Raw Data'!DI43="","",'Raw Data'!DI43)</f>
        <v/>
      </c>
      <c r="DV66" s="15" t="str">
        <f>IF('Raw Data'!DJ43="","",'Raw Data'!DJ43)</f>
        <v/>
      </c>
      <c r="DW66" s="15" t="str">
        <f>IF('Raw Data'!DK43="","",'Raw Data'!DK43)</f>
        <v/>
      </c>
      <c r="DX66" s="15" t="str">
        <f>IF('Raw Data'!DL43="","",'Raw Data'!DL43)</f>
        <v/>
      </c>
      <c r="DY66" s="15" t="str">
        <f>IF('Raw Data'!DM43="","",'Raw Data'!DM43)</f>
        <v/>
      </c>
      <c r="DZ66" s="15" t="str">
        <f>IF('Raw Data'!DN43="","",'Raw Data'!DN43)</f>
        <v/>
      </c>
      <c r="EA66" s="15" t="str">
        <f>IF('Raw Data'!DO43="","",'Raw Data'!DO43)</f>
        <v/>
      </c>
      <c r="EB66" s="15" t="str">
        <f>IF('Raw Data'!DP43="","",'Raw Data'!DP43)</f>
        <v/>
      </c>
      <c r="EC66" s="15" t="str">
        <f>IF('Raw Data'!DQ43="","",'Raw Data'!DQ43)</f>
        <v/>
      </c>
      <c r="ED66" s="15" t="str">
        <f>IF('Raw Data'!DR43="","",'Raw Data'!DR43)</f>
        <v/>
      </c>
      <c r="EE66" s="15" t="str">
        <f>IF('Raw Data'!DS43="","",'Raw Data'!DS43)</f>
        <v/>
      </c>
      <c r="EF66" s="15" t="str">
        <f>IF('Raw Data'!DT43="","",'Raw Data'!DT43)</f>
        <v/>
      </c>
      <c r="EG66" s="15" t="str">
        <f>IF('Raw Data'!DU43="","",'Raw Data'!DU43)</f>
        <v/>
      </c>
      <c r="EH66" s="15" t="str">
        <f>IF('Raw Data'!DV43="","",'Raw Data'!DV43)</f>
        <v/>
      </c>
      <c r="EI66" s="15" t="str">
        <f>IF('Raw Data'!DW43="","",'Raw Data'!DW43)</f>
        <v/>
      </c>
      <c r="EJ66" s="15" t="str">
        <f>IF('Raw Data'!DX43="","",'Raw Data'!DX43)</f>
        <v/>
      </c>
      <c r="EK66" s="15" t="str">
        <f>IF('Raw Data'!DY43="","",'Raw Data'!DY43)</f>
        <v/>
      </c>
      <c r="EL66" s="15" t="str">
        <f>IF('Raw Data'!DZ43="","",'Raw Data'!DZ43)</f>
        <v>dplct_abords_com Integration_com_hote Soutien_famille_amis</v>
      </c>
      <c r="EM66" s="15" t="str">
        <f>IF('Raw Data'!EA43="","",'Raw Data'!EA43)</f>
        <v>1</v>
      </c>
      <c r="EN66" s="15" t="str">
        <f>IF('Raw Data'!EB43="","",'Raw Data'!EB43)</f>
        <v>1</v>
      </c>
      <c r="EO66" s="15" t="str">
        <f>IF('Raw Data'!EC43="","",'Raw Data'!EC43)</f>
        <v>1</v>
      </c>
      <c r="EP66" s="15" t="str">
        <f>IF('Raw Data'!ED43="","",'Raw Data'!ED43)</f>
        <v>0</v>
      </c>
      <c r="EQ66" s="15" t="str">
        <f>IF('Raw Data'!EE43="","",'Raw Data'!EE43)</f>
        <v>0</v>
      </c>
      <c r="ER66" s="15" t="str">
        <f>IF('Raw Data'!EF43="","",'Raw Data'!EF43)</f>
        <v>0</v>
      </c>
      <c r="ES66" s="15" t="str">
        <f>IF('Raw Data'!EG43="","",'Raw Data'!EG43)</f>
        <v>0</v>
      </c>
      <c r="ET66" s="15" t="str">
        <f>IF('Raw Data'!EH43="","",'Raw Data'!EH43)</f>
        <v>0</v>
      </c>
      <c r="EU66" s="15" t="str">
        <f>IF('Raw Data'!EI43="","",'Raw Data'!EI43)</f>
        <v>0</v>
      </c>
      <c r="EV66" s="15" t="str">
        <f>IF('Raw Data'!EJ43="","",'Raw Data'!EJ43)</f>
        <v/>
      </c>
      <c r="EW66" s="15" t="str">
        <f>IF('Raw Data'!EK43="","",'Raw Data'!EK43)</f>
        <v/>
      </c>
      <c r="EX66" s="15" t="str">
        <f>IF('Raw Data'!EL43="","",'Raw Data'!EL43)</f>
        <v>comite_alerte famille_accueil comite_protection comite_gestion_conflits</v>
      </c>
      <c r="EY66" s="15" t="str">
        <f>IF('Raw Data'!EM43="","",'Raw Data'!EM43)</f>
        <v>0</v>
      </c>
      <c r="EZ66" s="15" t="str">
        <f>IF('Raw Data'!EN43="","",'Raw Data'!EN43)</f>
        <v>1</v>
      </c>
      <c r="FA66" s="15" t="str">
        <f>IF('Raw Data'!EO43="","",'Raw Data'!EO43)</f>
        <v>1</v>
      </c>
      <c r="FB66" s="15" t="str">
        <f>IF('Raw Data'!EP43="","",'Raw Data'!EP43)</f>
        <v>1</v>
      </c>
      <c r="FC66" s="15" t="str">
        <f>IF('Raw Data'!EQ43="","",'Raw Data'!EQ43)</f>
        <v>0</v>
      </c>
      <c r="FD66" s="15" t="str">
        <f>IF('Raw Data'!ER43="","",'Raw Data'!ER43)</f>
        <v>1</v>
      </c>
      <c r="FE66" s="15" t="str">
        <f>IF('Raw Data'!ES43="","",'Raw Data'!ES43)</f>
        <v>0</v>
      </c>
      <c r="FF66" s="15" t="str">
        <f>IF('Raw Data'!ET43="","",'Raw Data'!ET43)</f>
        <v>0</v>
      </c>
      <c r="FG66" s="15" t="str">
        <f>IF('Raw Data'!EU43="","",'Raw Data'!EU43)</f>
        <v>0</v>
      </c>
      <c r="FH66" s="15" t="str">
        <f>IF('Raw Data'!EV43="","",'Raw Data'!EV43)</f>
        <v>0</v>
      </c>
      <c r="FI66" s="15" t="str">
        <f>IF('Raw Data'!EW43="","",'Raw Data'!EW43)</f>
        <v/>
      </c>
      <c r="FJ66" s="15" t="str">
        <f>IF('Raw Data'!EX43="","",'Raw Data'!EX43)</f>
        <v>oui</v>
      </c>
      <c r="FK66" s="31" t="s">
        <v>1477</v>
      </c>
      <c r="FL66" s="15" t="str">
        <f>IF('Raw Data'!EZ43="","",'Raw Data'!EZ43)</f>
        <v>0</v>
      </c>
      <c r="FM66" s="15" t="str">
        <f>IF('Raw Data'!FA43="","",'Raw Data'!FA43)</f>
        <v>0</v>
      </c>
      <c r="FN66" s="15" t="str">
        <f>IF('Raw Data'!FB43="","",'Raw Data'!FB43)</f>
        <v>0</v>
      </c>
      <c r="FO66" s="15" t="str">
        <f>IF('Raw Data'!FC43="","",'Raw Data'!FC43)</f>
        <v>1</v>
      </c>
      <c r="FP66" s="15" t="str">
        <f>IF('Raw Data'!FD43="","",'Raw Data'!FD43)</f>
        <v>0</v>
      </c>
      <c r="FQ66" s="15" t="str">
        <f>IF('Raw Data'!FE43="","",'Raw Data'!FE43)</f>
        <v>1</v>
      </c>
      <c r="FR66" s="15" t="str">
        <f>IF('Raw Data'!FF43="","",'Raw Data'!FF43)</f>
        <v>0</v>
      </c>
      <c r="FS66" s="15" t="str">
        <f>IF('Raw Data'!FG43="","",'Raw Data'!FG43)</f>
        <v>0</v>
      </c>
      <c r="FT66" s="15" t="str">
        <f>IF('Raw Data'!FH43="","",'Raw Data'!FH43)</f>
        <v>0</v>
      </c>
      <c r="FU66" s="15" t="str">
        <f>IF('Raw Data'!FI43="","",'Raw Data'!FI43)</f>
        <v>0</v>
      </c>
      <c r="FV66" s="15" t="str">
        <f>IF('Raw Data'!FJ43="","",'Raw Data'!FJ43)</f>
        <v>1</v>
      </c>
      <c r="FW66" s="15" t="str">
        <f>IF('Raw Data'!FK43="","",'Raw Data'!FK43)</f>
        <v>0</v>
      </c>
      <c r="FX66" s="31">
        <v>0</v>
      </c>
      <c r="FY66" s="15" t="str">
        <f>IF('Raw Data'!FM43="","",'Raw Data'!FM43)</f>
        <v>0</v>
      </c>
      <c r="FZ66" s="31"/>
      <c r="GA66" s="15" t="str">
        <f>IF('Raw Data'!FO43="","",'Raw Data'!FO43)</f>
        <v>oui_ensemble</v>
      </c>
      <c r="GB66" s="15" t="str">
        <f>IF('Raw Data'!FP43="","",'Raw Data'!FP43)</f>
        <v>oui_ensemble</v>
      </c>
      <c r="GC66" s="15" t="str">
        <f>IF('Raw Data'!FQ43="","",'Raw Data'!FQ43)</f>
        <v/>
      </c>
      <c r="GD66" s="15" t="str">
        <f>IF('Raw Data'!FR43="","",'Raw Data'!FR43)</f>
        <v/>
      </c>
      <c r="GE66" s="15" t="str">
        <f>IF('Raw Data'!FS43="","",'Raw Data'!FS43)</f>
        <v/>
      </c>
      <c r="GF66" s="15" t="str">
        <f>IF('Raw Data'!FT43="","",'Raw Data'!FT43)</f>
        <v/>
      </c>
      <c r="GG66" s="15" t="str">
        <f>IF('Raw Data'!FU43="","",'Raw Data'!FU43)</f>
        <v/>
      </c>
      <c r="GH66" s="15" t="str">
        <f>IF('Raw Data'!FV43="","",'Raw Data'!FV43)</f>
        <v/>
      </c>
      <c r="GI66" s="15" t="str">
        <f>IF('Raw Data'!FW43="","",'Raw Data'!FW43)</f>
        <v/>
      </c>
      <c r="GJ66" s="15" t="str">
        <f>IF('Raw Data'!FX43="","",'Raw Data'!FX43)</f>
        <v/>
      </c>
      <c r="GK66" s="15" t="str">
        <f>IF('Raw Data'!FY43="","",'Raw Data'!FY43)</f>
        <v/>
      </c>
      <c r="GL66" s="15" t="str">
        <f>IF('Raw Data'!FZ43="","",'Raw Data'!FZ43)</f>
        <v/>
      </c>
      <c r="GM66" s="15" t="str">
        <f>IF('Raw Data'!GA43="","",'Raw Data'!GA43)</f>
        <v>majorite</v>
      </c>
      <c r="GN66" s="15" t="str">
        <f>IF('Raw Data'!GB43="","",'Raw Data'!GB43)</f>
        <v>moitie</v>
      </c>
      <c r="GO66" s="15" t="str">
        <f>IF('Raw Data'!GC43="","",'Raw Data'!GC43)</f>
        <v>Services_de_sante Acces_aux_doc Appui_psychosocial</v>
      </c>
      <c r="GP66" s="15" t="str">
        <f>IF('Raw Data'!GD43="","",'Raw Data'!GD43)</f>
        <v>1</v>
      </c>
      <c r="GQ66" s="15" t="str">
        <f>IF('Raw Data'!GE43="","",'Raw Data'!GE43)</f>
        <v>0</v>
      </c>
      <c r="GR66" s="15" t="str">
        <f>IF('Raw Data'!GF43="","",'Raw Data'!GF43)</f>
        <v>0</v>
      </c>
      <c r="GS66" s="15" t="str">
        <f>IF('Raw Data'!GG43="","",'Raw Data'!GG43)</f>
        <v>1</v>
      </c>
      <c r="GT66" s="15" t="str">
        <f>IF('Raw Data'!GH43="","",'Raw Data'!GH43)</f>
        <v>1</v>
      </c>
      <c r="GU66" s="15" t="str">
        <f>IF('Raw Data'!GI43="","",'Raw Data'!GI43)</f>
        <v>0</v>
      </c>
      <c r="GV66" s="15" t="str">
        <f>IF('Raw Data'!GJ43="","",'Raw Data'!GJ43)</f>
        <v>0</v>
      </c>
      <c r="GW66" s="15" t="str">
        <f>IF('Raw Data'!GK43="","",'Raw Data'!GK43)</f>
        <v>0</v>
      </c>
      <c r="GX66" s="15" t="str">
        <f>IF('Raw Data'!GL43="","",'Raw Data'!GL43)</f>
        <v>0</v>
      </c>
      <c r="GY66" s="15" t="str">
        <f>IF('Raw Data'!GM43="","",'Raw Data'!GM43)</f>
        <v/>
      </c>
      <c r="GZ66" s="15" t="str">
        <f>IF('Raw Data'!GN43="","",'Raw Data'!GN43)</f>
        <v>oui_ensemble</v>
      </c>
      <c r="HA66" s="15" t="str">
        <f>IF('Raw Data'!GO43="","",'Raw Data'!GO43)</f>
        <v>oui_ensemble</v>
      </c>
      <c r="HB66" s="15" t="str">
        <f>IF('Raw Data'!GP43="","",'Raw Data'!GP43)</f>
        <v>repond_besoins_pop amelioration_futur</v>
      </c>
      <c r="HC66" s="15" t="str">
        <f>IF('Raw Data'!GQ43="","",'Raw Data'!GQ43)</f>
        <v>1</v>
      </c>
      <c r="HD66" s="15" t="str">
        <f>IF('Raw Data'!GR43="","",'Raw Data'!GR43)</f>
        <v>1</v>
      </c>
      <c r="HE66" s="15" t="str">
        <f>IF('Raw Data'!GS43="","",'Raw Data'!GS43)</f>
        <v>0</v>
      </c>
      <c r="HF66" s="15" t="str">
        <f>IF('Raw Data'!GT43="","",'Raw Data'!GT43)</f>
        <v>0</v>
      </c>
      <c r="HG66" s="15" t="str">
        <f>IF('Raw Data'!GU43="","",'Raw Data'!GU43)</f>
        <v>0</v>
      </c>
      <c r="HH66" s="15" t="str">
        <f>IF('Raw Data'!GV43="","",'Raw Data'!GV43)</f>
        <v>0</v>
      </c>
      <c r="HI66" s="15" t="str">
        <f>IF('Raw Data'!GW43="","",'Raw Data'!GW43)</f>
        <v>0</v>
      </c>
      <c r="HJ66" s="15" t="str">
        <f>IF('Raw Data'!GX43="","",'Raw Data'!GX43)</f>
        <v>0</v>
      </c>
      <c r="HK66" s="15" t="str">
        <f>IF('Raw Data'!GY43="","",'Raw Data'!GY43)</f>
        <v/>
      </c>
      <c r="HL66" s="31"/>
      <c r="HM66" s="31"/>
      <c r="HN66" s="31"/>
      <c r="HO66" s="31"/>
      <c r="HP66" s="31"/>
      <c r="HQ66" s="31"/>
      <c r="HR66" s="31"/>
      <c r="HS66" s="31"/>
      <c r="HT66" s="15" t="str">
        <f>IF('Raw Data'!HH43="","",'Raw Data'!HH43)</f>
        <v/>
      </c>
      <c r="HU66" s="15" t="str">
        <f>IF('Raw Data'!HI43="","",'Raw Data'!HI43)</f>
        <v>oui_minorite</v>
      </c>
      <c r="HV66" s="15" t="str">
        <f>IF('Raw Data'!HJ43="","",'Raw Data'!HJ43)</f>
        <v>ingo</v>
      </c>
      <c r="HW66" s="15" t="str">
        <f>IF('Raw Data'!HK43="","",'Raw Data'!HK43)</f>
        <v>0</v>
      </c>
      <c r="HX66" s="15" t="str">
        <f>IF('Raw Data'!HL43="","",'Raw Data'!HL43)</f>
        <v>0</v>
      </c>
      <c r="HY66" s="15" t="str">
        <f>IF('Raw Data'!HM43="","",'Raw Data'!HM43)</f>
        <v>0</v>
      </c>
      <c r="HZ66" s="15" t="str">
        <f>IF('Raw Data'!HN43="","",'Raw Data'!HN43)</f>
        <v>0</v>
      </c>
      <c r="IA66" s="15" t="str">
        <f>IF('Raw Data'!HO43="","",'Raw Data'!HO43)</f>
        <v>1</v>
      </c>
      <c r="IB66" s="15" t="str">
        <f>IF('Raw Data'!HP43="","",'Raw Data'!HP43)</f>
        <v>0</v>
      </c>
      <c r="IC66" s="15" t="str">
        <f>IF('Raw Data'!HQ43="","",'Raw Data'!HQ43)</f>
        <v>0</v>
      </c>
      <c r="ID66" s="15" t="str">
        <f>IF('Raw Data'!HR43="","",'Raw Data'!HR43)</f>
        <v>0</v>
      </c>
      <c r="IE66" s="15" t="str">
        <f>IF('Raw Data'!HS43="","",'Raw Data'!HS43)</f>
        <v>0</v>
      </c>
      <c r="IF66" s="15" t="str">
        <f>IF('Raw Data'!HT43="","",'Raw Data'!HT43)</f>
        <v>0</v>
      </c>
      <c r="IG66" s="15" t="str">
        <f>IF('Raw Data'!HU43="","",'Raw Data'!HU43)</f>
        <v/>
      </c>
      <c r="IH66" s="15" t="str">
        <f>IF('Raw Data'!HV43="","",'Raw Data'!HV43)</f>
        <v>oui</v>
      </c>
      <c r="II66" s="15" t="str">
        <f>IF('Raw Data'!HW43="","",'Raw Data'!HW43)</f>
        <v/>
      </c>
      <c r="IJ66" s="15" t="str">
        <f>IF('Raw Data'!HX43="","",'Raw Data'!HX43)</f>
        <v/>
      </c>
      <c r="IK66" s="15" t="str">
        <f>IF('Raw Data'!HY43="","",'Raw Data'!HY43)</f>
        <v/>
      </c>
      <c r="IL66" s="15" t="str">
        <f>IF('Raw Data'!HZ43="","",'Raw Data'!HZ43)</f>
        <v/>
      </c>
      <c r="IM66" s="15" t="str">
        <f>IF('Raw Data'!IA43="","",'Raw Data'!IA43)</f>
        <v/>
      </c>
      <c r="IN66" s="15" t="str">
        <f>IF('Raw Data'!IB43="","",'Raw Data'!IB43)</f>
        <v/>
      </c>
      <c r="IO66" s="15" t="str">
        <f>IF('Raw Data'!IC43="","",'Raw Data'!IC43)</f>
        <v/>
      </c>
      <c r="IP66" s="15" t="str">
        <f>IF('Raw Data'!ID43="","",'Raw Data'!ID43)</f>
        <v/>
      </c>
      <c r="IQ66" s="15" t="str">
        <f>IF('Raw Data'!IE43="","",'Raw Data'!IE43)</f>
        <v/>
      </c>
      <c r="IR66" s="15" t="str">
        <f>IF('Raw Data'!IF43="","",'Raw Data'!IF43)</f>
        <v/>
      </c>
      <c r="IS66" s="15" t="str">
        <f>IF('Raw Data'!IG43="","",'Raw Data'!IG43)</f>
        <v/>
      </c>
      <c r="IT66" s="15" t="str">
        <f>IF('Raw Data'!IH43="","",'Raw Data'!IH43)</f>
        <v/>
      </c>
      <c r="IU66" s="15" t="str">
        <f>IF('Raw Data'!II43="","",'Raw Data'!II43)</f>
        <v/>
      </c>
      <c r="IV66" s="15" t="str">
        <f>IF('Raw Data'!IJ43="","",'Raw Data'!IJ43)</f>
        <v/>
      </c>
      <c r="IW66" s="15" t="str">
        <f>IF('Raw Data'!IK43="","",'Raw Data'!IK43)</f>
        <v/>
      </c>
      <c r="IX66" s="15" t="str">
        <f>IF('Raw Data'!IL43="","",'Raw Data'!IL43)</f>
        <v/>
      </c>
      <c r="IY66" s="15" t="str">
        <f>IF('Raw Data'!IM43="","",'Raw Data'!IM43)</f>
        <v/>
      </c>
      <c r="IZ66" s="15" t="str">
        <f>IF('Raw Data'!IN43="","",'Raw Data'!IN43)</f>
        <v>70</v>
      </c>
      <c r="JA66" s="15" t="str">
        <f>IF('Raw Data'!IO43="","",'Raw Data'!IO43)</f>
        <v>Services_medicaux</v>
      </c>
      <c r="JB66" s="15" t="str">
        <f>IF('Raw Data'!IP43="","",'Raw Data'!IP43)</f>
        <v>0</v>
      </c>
      <c r="JC66" s="15" t="str">
        <f>IF('Raw Data'!IQ43="","",'Raw Data'!IQ43)</f>
        <v>1</v>
      </c>
      <c r="JD66" s="15" t="str">
        <f>IF('Raw Data'!IR43="","",'Raw Data'!IR43)</f>
        <v>0</v>
      </c>
      <c r="JE66" s="15" t="str">
        <f>IF('Raw Data'!IS43="","",'Raw Data'!IS43)</f>
        <v>0</v>
      </c>
      <c r="JF66" s="15" t="str">
        <f>IF('Raw Data'!IT43="","",'Raw Data'!IT43)</f>
        <v>0</v>
      </c>
      <c r="JG66" s="15" t="str">
        <f>IF('Raw Data'!IU43="","",'Raw Data'!IU43)</f>
        <v>0</v>
      </c>
      <c r="JH66" s="15" t="str">
        <f>IF('Raw Data'!IV43="","",'Raw Data'!IV43)</f>
        <v>0</v>
      </c>
      <c r="JI66" s="15" t="str">
        <f>IF('Raw Data'!IW43="","",'Raw Data'!IW43)</f>
        <v>0</v>
      </c>
      <c r="JJ66" s="15" t="str">
        <f>IF('Raw Data'!IX43="","",'Raw Data'!IX43)</f>
        <v>0</v>
      </c>
      <c r="JK66" s="15" t="str">
        <f>IF('Raw Data'!IY43="","",'Raw Data'!IY43)</f>
        <v>0</v>
      </c>
      <c r="JL66" s="15" t="str">
        <f>IF('Raw Data'!IZ43="","",'Raw Data'!IZ43)</f>
        <v/>
      </c>
      <c r="JM66" s="15" t="str">
        <f>IF('Raw Data'!JA43="","",'Raw Data'!JA43)</f>
        <v>signalement reorientation</v>
      </c>
      <c r="JN66" s="15" t="str">
        <f>IF('Raw Data'!JB43="","",'Raw Data'!JB43)</f>
        <v>0</v>
      </c>
      <c r="JO66" s="15" t="str">
        <f>IF('Raw Data'!JC43="","",'Raw Data'!JC43)</f>
        <v>1</v>
      </c>
      <c r="JP66" s="15" t="str">
        <f>IF('Raw Data'!JD43="","",'Raw Data'!JD43)</f>
        <v>1</v>
      </c>
      <c r="JQ66" s="15" t="str">
        <f>IF('Raw Data'!JE43="","",'Raw Data'!JE43)</f>
        <v>0</v>
      </c>
      <c r="JR66" s="15" t="str">
        <f>IF('Raw Data'!JF43="","",'Raw Data'!JF43)</f>
        <v>0</v>
      </c>
      <c r="JS66" s="15" t="str">
        <f>IF('Raw Data'!JG43="","",'Raw Data'!JG43)</f>
        <v>0</v>
      </c>
      <c r="JT66" s="15" t="str">
        <f>IF('Raw Data'!JH43="","",'Raw Data'!JH43)</f>
        <v/>
      </c>
      <c r="JU66" s="15" t="str">
        <f>IF('Raw Data'!JI43="","",'Raw Data'!JI43)</f>
        <v/>
      </c>
      <c r="JV66" s="15" t="str">
        <f>IF('Raw Data'!JJ43="","",'Raw Data'!JJ43)</f>
        <v/>
      </c>
      <c r="JW66" s="15" t="str">
        <f>IF('Raw Data'!JK43="","",'Raw Data'!JK43)</f>
        <v/>
      </c>
      <c r="JX66" s="15" t="str">
        <f>IF('Raw Data'!JL43="","",'Raw Data'!JL43)</f>
        <v/>
      </c>
      <c r="JY66" s="15" t="str">
        <f>IF('Raw Data'!JM43="","",'Raw Data'!JM43)</f>
        <v/>
      </c>
      <c r="JZ66" s="15" t="str">
        <f>IF('Raw Data'!JN43="","",'Raw Data'!JN43)</f>
        <v/>
      </c>
      <c r="KA66" s="15" t="str">
        <f>IF('Raw Data'!JO43="","",'Raw Data'!JO43)</f>
        <v/>
      </c>
      <c r="KB66" s="15" t="str">
        <f>IF('Raw Data'!JP43="","",'Raw Data'!JP43)</f>
        <v/>
      </c>
      <c r="KC66" s="15" t="str">
        <f>IF('Raw Data'!JQ43="","",'Raw Data'!JQ43)</f>
        <v/>
      </c>
      <c r="KD66" s="15" t="str">
        <f>IF('Raw Data'!JR43="","",'Raw Data'!JR43)</f>
        <v/>
      </c>
      <c r="KE66" s="15" t="str">
        <f>IF('Raw Data'!JS43="","",'Raw Data'!JS43)</f>
        <v/>
      </c>
      <c r="KF66" s="15" t="str">
        <f>IF('Raw Data'!JT43="","",'Raw Data'!JT43)</f>
        <v>medical Psychosocia point_ecoute</v>
      </c>
      <c r="KG66" s="15" t="str">
        <f>IF('Raw Data'!JU43="","",'Raw Data'!JU43)</f>
        <v>1</v>
      </c>
      <c r="KH66" s="15" t="str">
        <f>IF('Raw Data'!JV43="","",'Raw Data'!JV43)</f>
        <v>1</v>
      </c>
      <c r="KI66" s="15" t="str">
        <f>IF('Raw Data'!JW43="","",'Raw Data'!JW43)</f>
        <v>1</v>
      </c>
      <c r="KJ66" s="15" t="str">
        <f>IF('Raw Data'!JX43="","",'Raw Data'!JX43)</f>
        <v>0</v>
      </c>
      <c r="KK66" s="15" t="str">
        <f>IF('Raw Data'!JY43="","",'Raw Data'!JY43)</f>
        <v>0</v>
      </c>
      <c r="KL66" s="15" t="str">
        <f>IF('Raw Data'!JZ43="","",'Raw Data'!JZ43)</f>
        <v>0</v>
      </c>
      <c r="KM66" s="15" t="str">
        <f>IF('Raw Data'!KA43="","",'Raw Data'!KA43)</f>
        <v>0</v>
      </c>
      <c r="KN66" s="15" t="str">
        <f>IF('Raw Data'!KB43="","",'Raw Data'!KB43)</f>
        <v>0</v>
      </c>
      <c r="KO66" s="15" t="str">
        <f>IF('Raw Data'!KC43="","",'Raw Data'!KC43)</f>
        <v>0</v>
      </c>
      <c r="KP66" s="15" t="str">
        <f>IF('Raw Data'!KD43="","",'Raw Data'!KD43)</f>
        <v/>
      </c>
      <c r="KQ66" s="15" t="str">
        <f>IF('Raw Data'!KE43="","",'Raw Data'!KE43)</f>
        <v/>
      </c>
      <c r="KR66" s="15" t="str">
        <f>IF('Raw Data'!KF43="","",'Raw Data'!KF43)</f>
        <v>oui</v>
      </c>
      <c r="KS66" s="15" t="str">
        <f>IF('Raw Data'!KG43="","",'Raw Data'!KG43)</f>
        <v>probleme_orientation manque_cordination</v>
      </c>
      <c r="KT66" s="15" t="str">
        <f>IF('Raw Data'!KH43="","",'Raw Data'!KH43)</f>
        <v>0</v>
      </c>
      <c r="KU66" s="15" t="str">
        <f>IF('Raw Data'!KI43="","",'Raw Data'!KI43)</f>
        <v>0</v>
      </c>
      <c r="KV66" s="15" t="str">
        <f>IF('Raw Data'!KJ43="","",'Raw Data'!KJ43)</f>
        <v>0</v>
      </c>
      <c r="KW66" s="15" t="str">
        <f>IF('Raw Data'!KK43="","",'Raw Data'!KK43)</f>
        <v>1</v>
      </c>
      <c r="KX66" s="15" t="str">
        <f>IF('Raw Data'!KL43="","",'Raw Data'!KL43)</f>
        <v>0</v>
      </c>
      <c r="KY66" s="15" t="str">
        <f>IF('Raw Data'!KM43="","",'Raw Data'!KM43)</f>
        <v>0</v>
      </c>
      <c r="KZ66" s="15" t="str">
        <f>IF('Raw Data'!KN43="","",'Raw Data'!KN43)</f>
        <v>1</v>
      </c>
      <c r="LA66" s="15" t="str">
        <f>IF('Raw Data'!KO43="","",'Raw Data'!KO43)</f>
        <v>0</v>
      </c>
      <c r="LB66" s="15" t="str">
        <f>IF('Raw Data'!KP43="","",'Raw Data'!KP43)</f>
        <v>0</v>
      </c>
      <c r="LC66" s="15" t="str">
        <f>IF('Raw Data'!KQ43="","",'Raw Data'!KQ43)</f>
        <v>0</v>
      </c>
      <c r="LD66" s="15" t="str">
        <f>IF('Raw Data'!KR43="","",'Raw Data'!KR43)</f>
        <v>0</v>
      </c>
      <c r="LE66" s="15" t="str">
        <f>IF('Raw Data'!KS43="","",'Raw Data'!KS43)</f>
        <v/>
      </c>
      <c r="LF66" s="15" t="str">
        <f>IF('Raw Data'!KT43="","",'Raw Data'!KT43)</f>
        <v>pb_coordination</v>
      </c>
      <c r="LG66" s="15" t="str">
        <f>IF('Raw Data'!KU43="","",'Raw Data'!KU43)</f>
        <v>0</v>
      </c>
      <c r="LH66" s="15" t="str">
        <f>IF('Raw Data'!KV43="","",'Raw Data'!KV43)</f>
        <v>0</v>
      </c>
      <c r="LI66" s="15" t="str">
        <f>IF('Raw Data'!KW43="","",'Raw Data'!KW43)</f>
        <v>0</v>
      </c>
      <c r="LJ66" s="15" t="str">
        <f>IF('Raw Data'!KX43="","",'Raw Data'!KX43)</f>
        <v>1</v>
      </c>
      <c r="LK66" s="15" t="str">
        <f>IF('Raw Data'!KY43="","",'Raw Data'!KY43)</f>
        <v>0</v>
      </c>
      <c r="LL66" s="15" t="str">
        <f>IF('Raw Data'!KZ43="","",'Raw Data'!KZ43)</f>
        <v>0</v>
      </c>
      <c r="LM66" s="15" t="str">
        <f>IF('Raw Data'!LA43="","",'Raw Data'!LA43)</f>
        <v/>
      </c>
      <c r="LN66" s="15" t="str">
        <f>IF('Raw Data'!LB43="","",'Raw Data'!LB43)</f>
        <v>non</v>
      </c>
      <c r="LO66" s="15" t="str">
        <f>IF('Raw Data'!LC43="","",'Raw Data'!LC43)</f>
        <v/>
      </c>
      <c r="LP66" s="15" t="str">
        <f>IF('Raw Data'!LD43="","",'Raw Data'!LD43)</f>
        <v/>
      </c>
      <c r="LQ66" s="15" t="str">
        <f>IF('Raw Data'!LE43="","",'Raw Data'!LE43)</f>
        <v/>
      </c>
      <c r="LR66" s="15" t="str">
        <f>IF('Raw Data'!LF43="","",'Raw Data'!LF43)</f>
        <v/>
      </c>
      <c r="LS66" s="15" t="str">
        <f>IF('Raw Data'!LG43="","",'Raw Data'!LG43)</f>
        <v/>
      </c>
      <c r="LT66" s="15" t="str">
        <f>IF('Raw Data'!LH43="","",'Raw Data'!LH43)</f>
        <v/>
      </c>
      <c r="LU66" s="15" t="str">
        <f>IF('Raw Data'!LI43="","",'Raw Data'!LI43)</f>
        <v/>
      </c>
      <c r="LV66" s="15" t="str">
        <f>IF('Raw Data'!LJ43="","",'Raw Data'!LJ43)</f>
        <v/>
      </c>
      <c r="LW66" s="15" t="str">
        <f>IF('Raw Data'!LK43="","",'Raw Data'!LK43)</f>
        <v/>
      </c>
      <c r="LX66" s="15" t="str">
        <f>IF('Raw Data'!LL43="","",'Raw Data'!LL43)</f>
        <v/>
      </c>
      <c r="LY66" s="15" t="str">
        <f>IF('Raw Data'!LM43="","",'Raw Data'!LM43)</f>
        <v/>
      </c>
      <c r="LZ66" s="15" t="str">
        <f>IF('Raw Data'!LN43="","",'Raw Data'!LN43)</f>
        <v/>
      </c>
      <c r="MA66" s="15" t="str">
        <f>IF('Raw Data'!LO43="","",'Raw Data'!LO43)</f>
        <v/>
      </c>
      <c r="MB66" s="15" t="str">
        <f>IF('Raw Data'!LP43="","",'Raw Data'!LP43)</f>
        <v>oui</v>
      </c>
      <c r="MC66" s="15" t="str">
        <f>IF('Raw Data'!LQ43="","",'Raw Data'!LQ43)</f>
        <v/>
      </c>
      <c r="MD66" s="15" t="str">
        <f>IF('Raw Data'!LR43="","",'Raw Data'!LR43)</f>
        <v/>
      </c>
      <c r="ME66" s="15">
        <f>IF('Raw Data'!LS43="","",'Raw Data'!LS43)</f>
        <v>170013259</v>
      </c>
      <c r="MF66" s="15" t="str">
        <f>IF('Raw Data'!LT43="","",'Raw Data'!LT43)</f>
        <v>ef27d705-c50b-4f20-be5e-024bee3b2a34</v>
      </c>
      <c r="MG66" s="15" t="str">
        <f>IF('Raw Data'!LU43="","",'Raw Data'!LU43)</f>
        <v>2021-04-06T16:53:21</v>
      </c>
      <c r="MH66" s="15" t="str">
        <f>IF('Raw Data'!LV43="","",'Raw Data'!LV43)</f>
        <v/>
      </c>
      <c r="MI66" s="15" t="str">
        <f>IF('Raw Data'!LW43="","",'Raw Data'!LW43)</f>
        <v>[]</v>
      </c>
      <c r="MJ66" s="15" t="str">
        <f>IF('Raw Data'!LX43="","",'Raw Data'!LX43)</f>
        <v>submitted_via_web</v>
      </c>
      <c r="MK66" s="15" t="str">
        <f>IF('Raw Data'!LY43="","",'Raw Data'!LY43)</f>
        <v>reach_niger</v>
      </c>
      <c r="ML66" s="15" t="str">
        <f>IF('Raw Data'!LZ43="","",'Raw Data'!LZ43)</f>
        <v/>
      </c>
      <c r="MM66" s="15">
        <f>IF('Raw Data'!MA43="","",'Raw Data'!MA43)</f>
        <v>47</v>
      </c>
    </row>
    <row r="67" spans="1:351" x14ac:dyDescent="0.3">
      <c r="A67" s="26" t="str">
        <f t="shared" si="4"/>
        <v>15efca70-22e4-434f-809d-688e31692d1c</v>
      </c>
      <c r="B67" s="26" t="str">
        <f t="shared" si="5"/>
        <v>makalondi</v>
      </c>
      <c r="C67" s="26" t="str">
        <f t="shared" si="6"/>
        <v>Q</v>
      </c>
      <c r="D67" s="14" t="str">
        <f>IF('Raw Data'!A47="","",'Raw Data'!A47)</f>
        <v>2021-04-07T14:04:06.950+01:00</v>
      </c>
      <c r="E67" s="14" t="str">
        <f>IF('Raw Data'!B47="","",'Raw Data'!B47)</f>
        <v>2021-04-07T14:26:03.118+01:00</v>
      </c>
      <c r="F67" s="30">
        <v>44293.586180555554</v>
      </c>
      <c r="G67" s="30">
        <v>44293.601423611108</v>
      </c>
      <c r="H67" s="29">
        <f>VLOOKUP(A67,Audit[#All],2,FALSE)</f>
        <v>21.94</v>
      </c>
      <c r="I67" s="29">
        <f>VLOOKUP(A67,Audit[#All],3,FALSE)</f>
        <v>21.9</v>
      </c>
      <c r="J67" s="29">
        <f>VLOOKUP(A67,Audit[#All],4,FALSE)</f>
        <v>20.39</v>
      </c>
      <c r="K67" s="29">
        <f>VLOOKUP(A67,nb_questions[#All],2,FALSE)</f>
        <v>115</v>
      </c>
      <c r="L67" s="29">
        <f t="shared" si="7"/>
        <v>112</v>
      </c>
      <c r="M67" s="14" t="str">
        <f>IF('Raw Data'!C47="","",'Raw Data'!C47)</f>
        <v>2021-04-07</v>
      </c>
      <c r="N67" s="14" t="str">
        <f>IF('Raw Data'!D47="","",'Raw Data'!D47)</f>
        <v/>
      </c>
      <c r="O67" s="14" t="str">
        <f>IF('Raw Data'!E47="","",'Raw Data'!E47)</f>
        <v/>
      </c>
      <c r="P67" s="29" t="str">
        <f>VLOOKUP(A67,code_enqueteurs[#All],3,FALSE)</f>
        <v>Q</v>
      </c>
      <c r="Q67" s="29" t="s">
        <v>1659</v>
      </c>
      <c r="R67" s="14" t="str">
        <f>IF('Raw Data'!F47="","",'Raw Data'!F47)</f>
        <v>Homme</v>
      </c>
      <c r="S67" s="15" t="str">
        <f>IF('Raw Data'!G47="","",'Raw Data'!G47)</f>
        <v>torodi</v>
      </c>
      <c r="T67" s="15" t="str">
        <f>IF('Raw Data'!H47="","",'Raw Data'!H47)</f>
        <v>makalondi</v>
      </c>
      <c r="U67" s="15" t="str">
        <f>IF('Raw Data'!I47="","",'Raw Data'!I47)</f>
        <v>autre</v>
      </c>
      <c r="V67" s="31" t="s">
        <v>1642</v>
      </c>
      <c r="W67" s="15" t="str">
        <f>IF('Raw Data'!K47="","",'Raw Data'!K47)</f>
        <v/>
      </c>
      <c r="X67" s="15" t="str">
        <f>IF('Raw Data'!L47="","",'Raw Data'!L47)</f>
        <v/>
      </c>
      <c r="Y67" s="15" t="str">
        <f>IF('Raw Data'!M47="","",'Raw Data'!M47)</f>
        <v/>
      </c>
      <c r="Z67" s="15" t="str">
        <f>IF('Raw Data'!N47="","",'Raw Data'!N47)</f>
        <v/>
      </c>
      <c r="AA67" s="15" t="str">
        <f>IF('Raw Data'!O47="","",'Raw Data'!O47)</f>
        <v/>
      </c>
      <c r="AB67" s="15" t="str">
        <f>IF('Raw Data'!P47="","",'Raw Data'!P47)</f>
        <v/>
      </c>
      <c r="AC67" s="15" t="str">
        <f>IF('Raw Data'!Q47="","",'Raw Data'!Q47)</f>
        <v/>
      </c>
      <c r="AD67" s="15" t="str">
        <f>IF('Raw Data'!R47="","",'Raw Data'!R47)</f>
        <v>Homme</v>
      </c>
      <c r="AE67" s="15" t="str">
        <f>IF('Raw Data'!S47="","",'Raw Data'!S47)</f>
        <v>42</v>
      </c>
      <c r="AF67" s="15" t="str">
        <f>IF('Raw Data'!T47="","",'Raw Data'!T47)</f>
        <v>deplace_interne</v>
      </c>
      <c r="AG67" s="15" t="str">
        <f>IF('Raw Data'!U47="","",'Raw Data'!U47)</f>
        <v/>
      </c>
      <c r="AH67" s="15" t="str">
        <f>IF('Raw Data'!V47="","",'Raw Data'!V47)</f>
        <v/>
      </c>
      <c r="AI67" s="15" t="str">
        <f>IF('Raw Data'!W47="","",'Raw Data'!W47)</f>
        <v/>
      </c>
      <c r="AJ67" s="15" t="str">
        <f>IF('Raw Data'!X47="","",'Raw Data'!X47)</f>
        <v/>
      </c>
      <c r="AK67" s="15" t="str">
        <f>IF('Raw Data'!Y47="","",'Raw Data'!Y47)</f>
        <v/>
      </c>
      <c r="AL67" s="15" t="str">
        <f>IF('Raw Data'!Z47="","",'Raw Data'!Z47)</f>
        <v>niger</v>
      </c>
      <c r="AM67" s="15" t="str">
        <f>IF('Raw Data'!AA47="","",'Raw Data'!AA47)</f>
        <v>tillaberi</v>
      </c>
      <c r="AN67" s="15" t="str">
        <f>IF('Raw Data'!AB47="","",'Raw Data'!AB47)</f>
        <v>torodi</v>
      </c>
      <c r="AO67" s="15" t="str">
        <f>IF('Raw Data'!AC47="","",'Raw Data'!AC47)</f>
        <v/>
      </c>
      <c r="AP67" s="15" t="str">
        <f>IF('Raw Data'!AD47="","",'Raw Data'!AD47)</f>
        <v/>
      </c>
      <c r="AQ67" s="15" t="str">
        <f>IF('Raw Data'!AE47="","",'Raw Data'!AE47)</f>
        <v/>
      </c>
      <c r="AR67" s="15" t="str">
        <f>IF('Raw Data'!AF47="","",'Raw Data'!AF47)</f>
        <v/>
      </c>
      <c r="AS67" s="15" t="str">
        <f>IF('Raw Data'!AG47="","",'Raw Data'!AG47)</f>
        <v>non</v>
      </c>
      <c r="AT67" s="15" t="str">
        <f>IF('Raw Data'!AH47="","",'Raw Data'!AH47)</f>
        <v/>
      </c>
      <c r="AU67" s="15" t="str">
        <f>IF('Raw Data'!AI47="","",'Raw Data'!AI47)</f>
        <v/>
      </c>
      <c r="AV67" s="15" t="str">
        <f>IF('Raw Data'!AJ47="","",'Raw Data'!AJ47)</f>
        <v/>
      </c>
      <c r="AW67" s="15" t="str">
        <f>IF('Raw Data'!AK47="","",'Raw Data'!AK47)</f>
        <v/>
      </c>
      <c r="AX67" s="15" t="str">
        <f>IF('Raw Data'!AL47="","",'Raw Data'!AL47)</f>
        <v/>
      </c>
      <c r="AY67" s="15" t="str">
        <f>IF('Raw Data'!AM47="","",'Raw Data'!AM47)</f>
        <v/>
      </c>
      <c r="AZ67" s="15" t="str">
        <f>IF('Raw Data'!AN47="","",'Raw Data'!AN47)</f>
        <v/>
      </c>
      <c r="BA67" s="15" t="str">
        <f>IF('Raw Data'!AO47="","",'Raw Data'!AO47)</f>
        <v/>
      </c>
      <c r="BB67" s="15" t="str">
        <f>IF('Raw Data'!AP47="","",'Raw Data'!AP47)</f>
        <v/>
      </c>
      <c r="BC67" s="15" t="str">
        <f>IF('Raw Data'!AQ47="","",'Raw Data'!AQ47)</f>
        <v/>
      </c>
      <c r="BD67" s="15" t="str">
        <f>IF('Raw Data'!AR47="","",'Raw Data'!AR47)</f>
        <v/>
      </c>
      <c r="BE67" s="15" t="str">
        <f>IF('Raw Data'!AS47="","",'Raw Data'!AS47)</f>
        <v/>
      </c>
      <c r="BF67" s="15" t="str">
        <f>IF('Raw Data'!AT47="","",'Raw Data'!AT47)</f>
        <v/>
      </c>
      <c r="BG67" s="15" t="str">
        <f>IF('Raw Data'!AU47="","",'Raw Data'!AU47)</f>
        <v/>
      </c>
      <c r="BH67" s="15" t="str">
        <f>IF('Raw Data'!AV47="","",'Raw Data'!AV47)</f>
        <v/>
      </c>
      <c r="BI67" s="15" t="str">
        <f>IF('Raw Data'!AW47="","",'Raw Data'!AW47)</f>
        <v/>
      </c>
      <c r="BJ67" s="15" t="str">
        <f>IF('Raw Data'!AX47="","",'Raw Data'!AX47)</f>
        <v/>
      </c>
      <c r="BK67" s="15" t="str">
        <f>IF('Raw Data'!AY47="","",'Raw Data'!AY47)</f>
        <v/>
      </c>
      <c r="BL67" s="15" t="str">
        <f>IF('Raw Data'!AZ47="","",'Raw Data'!AZ47)</f>
        <v/>
      </c>
      <c r="BM67" s="15" t="str">
        <f>IF('Raw Data'!BA47="","",'Raw Data'!BA47)</f>
        <v/>
      </c>
      <c r="BN67" s="15" t="str">
        <f>IF('Raw Data'!BB47="","",'Raw Data'!BB47)</f>
        <v/>
      </c>
      <c r="BO67" s="15" t="str">
        <f>IF('Raw Data'!BC47="","",'Raw Data'!BC47)</f>
        <v/>
      </c>
      <c r="BP67" s="15" t="str">
        <f>IF('Raw Data'!BD47="","",'Raw Data'!BD47)</f>
        <v/>
      </c>
      <c r="BQ67" s="15" t="str">
        <f>IF('Raw Data'!BE47="","",'Raw Data'!BE47)</f>
        <v/>
      </c>
      <c r="BR67" s="15" t="str">
        <f>IF('Raw Data'!BF47="","",'Raw Data'!BF47)</f>
        <v/>
      </c>
      <c r="BS67" s="15" t="str">
        <f>IF('Raw Data'!BG47="","",'Raw Data'!BG47)</f>
        <v/>
      </c>
      <c r="BT67" s="15" t="str">
        <f>IF('Raw Data'!BH47="","",'Raw Data'!BH47)</f>
        <v/>
      </c>
      <c r="BU67" s="15" t="str">
        <f>IF('Raw Data'!BI47="","",'Raw Data'!BI47)</f>
        <v/>
      </c>
      <c r="BV67" s="15" t="str">
        <f>IF('Raw Data'!BJ47="","",'Raw Data'!BJ47)</f>
        <v/>
      </c>
      <c r="BW67" s="15" t="str">
        <f>IF('Raw Data'!BK47="","",'Raw Data'!BK47)</f>
        <v/>
      </c>
      <c r="BX67" s="15" t="str">
        <f>IF('Raw Data'!BL47="","",'Raw Data'!BL47)</f>
        <v/>
      </c>
      <c r="BY67" s="15" t="str">
        <f>IF('Raw Data'!BM47="","",'Raw Data'!BM47)</f>
        <v/>
      </c>
      <c r="BZ67" s="15" t="str">
        <f>IF('Raw Data'!BN47="","",'Raw Data'!BN47)</f>
        <v/>
      </c>
      <c r="CA67" s="15" t="str">
        <f>IF('Raw Data'!BO47="","",'Raw Data'!BO47)</f>
        <v/>
      </c>
      <c r="CB67" s="15" t="str">
        <f>IF('Raw Data'!BP47="","",'Raw Data'!BP47)</f>
        <v/>
      </c>
      <c r="CC67" s="15" t="str">
        <f>IF('Raw Data'!BQ47="","",'Raw Data'!BQ47)</f>
        <v>oui</v>
      </c>
      <c r="CD67" s="15" t="str">
        <f>IF('Raw Data'!BR47="","",'Raw Data'!BR47)</f>
        <v>travail_force</v>
      </c>
      <c r="CE67" s="15" t="str">
        <f>IF('Raw Data'!BS47="","",'Raw Data'!BS47)</f>
        <v>0</v>
      </c>
      <c r="CF67" s="15" t="str">
        <f>IF('Raw Data'!BT47="","",'Raw Data'!BT47)</f>
        <v>0</v>
      </c>
      <c r="CG67" s="15" t="str">
        <f>IF('Raw Data'!BU47="","",'Raw Data'!BU47)</f>
        <v>0</v>
      </c>
      <c r="CH67" s="15" t="str">
        <f>IF('Raw Data'!BV47="","",'Raw Data'!BV47)</f>
        <v>0</v>
      </c>
      <c r="CI67" s="15" t="str">
        <f>IF('Raw Data'!BW47="","",'Raw Data'!BW47)</f>
        <v>0</v>
      </c>
      <c r="CJ67" s="15" t="str">
        <f>IF('Raw Data'!BX47="","",'Raw Data'!BX47)</f>
        <v>0</v>
      </c>
      <c r="CK67" s="15" t="str">
        <f>IF('Raw Data'!BY47="","",'Raw Data'!BY47)</f>
        <v>1</v>
      </c>
      <c r="CL67" s="15" t="str">
        <f>IF('Raw Data'!BZ47="","",'Raw Data'!BZ47)</f>
        <v>0</v>
      </c>
      <c r="CM67" s="15" t="str">
        <f>IF('Raw Data'!CA47="","",'Raw Data'!CA47)</f>
        <v>0</v>
      </c>
      <c r="CN67" s="15" t="str">
        <f>IF('Raw Data'!CB47="","",'Raw Data'!CB47)</f>
        <v>0</v>
      </c>
      <c r="CO67" s="15" t="str">
        <f>IF('Raw Data'!CC47="","",'Raw Data'!CC47)</f>
        <v>0</v>
      </c>
      <c r="CP67" s="15" t="str">
        <f>IF('Raw Data'!CD47="","",'Raw Data'!CD47)</f>
        <v>0</v>
      </c>
      <c r="CQ67" s="15" t="str">
        <f>IF('Raw Data'!CE47="","",'Raw Data'!CE47)</f>
        <v>0</v>
      </c>
      <c r="CR67" s="15" t="str">
        <f>IF('Raw Data'!CF47="","",'Raw Data'!CF47)</f>
        <v>0</v>
      </c>
      <c r="CS67" s="15" t="str">
        <f>IF('Raw Data'!CG47="","",'Raw Data'!CG47)</f>
        <v>0</v>
      </c>
      <c r="CT67" s="15" t="str">
        <f>IF('Raw Data'!CH47="","",'Raw Data'!CH47)</f>
        <v/>
      </c>
      <c r="CU67" s="15" t="str">
        <f>IF('Raw Data'!CI47="","",'Raw Data'!CI47)</f>
        <v>Garçons</v>
      </c>
      <c r="CV67" s="15" t="str">
        <f>IF('Raw Data'!CJ47="","",'Raw Data'!CJ47)</f>
        <v>0</v>
      </c>
      <c r="CW67" s="15" t="str">
        <f>IF('Raw Data'!CK47="","",'Raw Data'!CK47)</f>
        <v>0</v>
      </c>
      <c r="CX67" s="15" t="str">
        <f>IF('Raw Data'!CL47="","",'Raw Data'!CL47)</f>
        <v>0</v>
      </c>
      <c r="CY67" s="15" t="str">
        <f>IF('Raw Data'!CM47="","",'Raw Data'!CM47)</f>
        <v>1</v>
      </c>
      <c r="CZ67" s="15" t="str">
        <f>IF('Raw Data'!CN47="","",'Raw Data'!CN47)</f>
        <v>0</v>
      </c>
      <c r="DA67" s="15" t="str">
        <f>IF('Raw Data'!CO47="","",'Raw Data'!CO47)</f>
        <v>0</v>
      </c>
      <c r="DB67" s="15" t="str">
        <f>IF('Raw Data'!CP47="","",'Raw Data'!CP47)</f>
        <v>0</v>
      </c>
      <c r="DC67" s="15" t="str">
        <f>IF('Raw Data'!CQ47="","",'Raw Data'!CQ47)</f>
        <v>0</v>
      </c>
      <c r="DD67" s="15" t="str">
        <f>IF('Raw Data'!CR47="","",'Raw Data'!CR47)</f>
        <v>0</v>
      </c>
      <c r="DE67" s="15" t="str">
        <f>IF('Raw Data'!CS47="","",'Raw Data'!CS47)</f>
        <v>0</v>
      </c>
      <c r="DF67" s="15" t="str">
        <f>IF('Raw Data'!CT47="","",'Raw Data'!CT47)</f>
        <v>0</v>
      </c>
      <c r="DG67" s="15" t="str">
        <f>IF('Raw Data'!CU47="","",'Raw Data'!CU47)</f>
        <v>0</v>
      </c>
      <c r="DH67" s="15" t="str">
        <f>IF('Raw Data'!CV47="","",'Raw Data'!CV47)</f>
        <v>0</v>
      </c>
      <c r="DI67" s="15" t="str">
        <f>IF('Raw Data'!CW47="","",'Raw Data'!CW47)</f>
        <v>0</v>
      </c>
      <c r="DJ67" s="15" t="str">
        <f>IF('Raw Data'!CX47="","",'Raw Data'!CX47)</f>
        <v/>
      </c>
      <c r="DK67" s="15" t="str">
        <f>IF('Raw Data'!CY47="","",'Raw Data'!CY47)</f>
        <v>1</v>
      </c>
      <c r="DL67" s="15" t="str">
        <f>IF('Raw Data'!CZ47="","",'Raw Data'!CZ47)</f>
        <v>augmente</v>
      </c>
      <c r="DM67" s="15" t="str">
        <f>IF('Raw Data'!DA47="","",'Raw Data'!DA47)</f>
        <v/>
      </c>
      <c r="DN67" s="15" t="str">
        <f>IF('Raw Data'!DB47="","",'Raw Data'!DB47)</f>
        <v>diminution_moyens_existence deterioration_acces_service_base</v>
      </c>
      <c r="DO67" s="15" t="str">
        <f>IF('Raw Data'!DC47="","",'Raw Data'!DC47)</f>
        <v>1</v>
      </c>
      <c r="DP67" s="15" t="str">
        <f>IF('Raw Data'!DD47="","",'Raw Data'!DD47)</f>
        <v>0</v>
      </c>
      <c r="DQ67" s="15" t="str">
        <f>IF('Raw Data'!DE47="","",'Raw Data'!DE47)</f>
        <v>1</v>
      </c>
      <c r="DR67" s="15" t="str">
        <f>IF('Raw Data'!DF47="","",'Raw Data'!DF47)</f>
        <v>0</v>
      </c>
      <c r="DS67" s="15" t="str">
        <f>IF('Raw Data'!DG47="","",'Raw Data'!DG47)</f>
        <v>0</v>
      </c>
      <c r="DT67" s="15" t="str">
        <f>IF('Raw Data'!DH47="","",'Raw Data'!DH47)</f>
        <v>0</v>
      </c>
      <c r="DU67" s="15" t="str">
        <f>IF('Raw Data'!DI47="","",'Raw Data'!DI47)</f>
        <v>0</v>
      </c>
      <c r="DV67" s="15" t="str">
        <f>IF('Raw Data'!DJ47="","",'Raw Data'!DJ47)</f>
        <v>0</v>
      </c>
      <c r="DW67" s="15" t="str">
        <f>IF('Raw Data'!DK47="","",'Raw Data'!DK47)</f>
        <v>0</v>
      </c>
      <c r="DX67" s="15" t="str">
        <f>IF('Raw Data'!DL47="","",'Raw Data'!DL47)</f>
        <v>0</v>
      </c>
      <c r="DY67" s="15" t="str">
        <f>IF('Raw Data'!DM47="","",'Raw Data'!DM47)</f>
        <v/>
      </c>
      <c r="DZ67" s="15" t="str">
        <f>IF('Raw Data'!DN47="","",'Raw Data'!DN47)</f>
        <v/>
      </c>
      <c r="EA67" s="15" t="str">
        <f>IF('Raw Data'!DO47="","",'Raw Data'!DO47)</f>
        <v/>
      </c>
      <c r="EB67" s="15" t="str">
        <f>IF('Raw Data'!DP47="","",'Raw Data'!DP47)</f>
        <v/>
      </c>
      <c r="EC67" s="15" t="str">
        <f>IF('Raw Data'!DQ47="","",'Raw Data'!DQ47)</f>
        <v/>
      </c>
      <c r="ED67" s="15" t="str">
        <f>IF('Raw Data'!DR47="","",'Raw Data'!DR47)</f>
        <v/>
      </c>
      <c r="EE67" s="15" t="str">
        <f>IF('Raw Data'!DS47="","",'Raw Data'!DS47)</f>
        <v/>
      </c>
      <c r="EF67" s="15" t="str">
        <f>IF('Raw Data'!DT47="","",'Raw Data'!DT47)</f>
        <v/>
      </c>
      <c r="EG67" s="15" t="str">
        <f>IF('Raw Data'!DU47="","",'Raw Data'!DU47)</f>
        <v/>
      </c>
      <c r="EH67" s="15" t="str">
        <f>IF('Raw Data'!DV47="","",'Raw Data'!DV47)</f>
        <v/>
      </c>
      <c r="EI67" s="15" t="str">
        <f>IF('Raw Data'!DW47="","",'Raw Data'!DW47)</f>
        <v/>
      </c>
      <c r="EJ67" s="15" t="str">
        <f>IF('Raw Data'!DX47="","",'Raw Data'!DX47)</f>
        <v/>
      </c>
      <c r="EK67" s="15" t="str">
        <f>IF('Raw Data'!DY47="","",'Raw Data'!DY47)</f>
        <v/>
      </c>
      <c r="EL67" s="15" t="str">
        <f>IF('Raw Data'!DZ47="","",'Raw Data'!DZ47)</f>
        <v>dplct_abords_com Integration_com_hote</v>
      </c>
      <c r="EM67" s="15" t="str">
        <f>IF('Raw Data'!EA47="","",'Raw Data'!EA47)</f>
        <v>1</v>
      </c>
      <c r="EN67" s="15" t="str">
        <f>IF('Raw Data'!EB47="","",'Raw Data'!EB47)</f>
        <v>1</v>
      </c>
      <c r="EO67" s="15" t="str">
        <f>IF('Raw Data'!EC47="","",'Raw Data'!EC47)</f>
        <v>0</v>
      </c>
      <c r="EP67" s="15" t="str">
        <f>IF('Raw Data'!ED47="","",'Raw Data'!ED47)</f>
        <v>0</v>
      </c>
      <c r="EQ67" s="15" t="str">
        <f>IF('Raw Data'!EE47="","",'Raw Data'!EE47)</f>
        <v>0</v>
      </c>
      <c r="ER67" s="15" t="str">
        <f>IF('Raw Data'!EF47="","",'Raw Data'!EF47)</f>
        <v>0</v>
      </c>
      <c r="ES67" s="15" t="str">
        <f>IF('Raw Data'!EG47="","",'Raw Data'!EG47)</f>
        <v>0</v>
      </c>
      <c r="ET67" s="15" t="str">
        <f>IF('Raw Data'!EH47="","",'Raw Data'!EH47)</f>
        <v>0</v>
      </c>
      <c r="EU67" s="15" t="str">
        <f>IF('Raw Data'!EI47="","",'Raw Data'!EI47)</f>
        <v>0</v>
      </c>
      <c r="EV67" s="15" t="str">
        <f>IF('Raw Data'!EJ47="","",'Raw Data'!EJ47)</f>
        <v/>
      </c>
      <c r="EW67" s="15" t="str">
        <f>IF('Raw Data'!EK47="","",'Raw Data'!EK47)</f>
        <v/>
      </c>
      <c r="EX67" s="15" t="str">
        <f>IF('Raw Data'!EL47="","",'Raw Data'!EL47)</f>
        <v>comite_protection comite_gestion_conflits comite_alerte</v>
      </c>
      <c r="EY67" s="15" t="str">
        <f>IF('Raw Data'!EM47="","",'Raw Data'!EM47)</f>
        <v>0</v>
      </c>
      <c r="EZ67" s="15" t="str">
        <f>IF('Raw Data'!EN47="","",'Raw Data'!EN47)</f>
        <v>1</v>
      </c>
      <c r="FA67" s="15" t="str">
        <f>IF('Raw Data'!EO47="","",'Raw Data'!EO47)</f>
        <v>0</v>
      </c>
      <c r="FB67" s="15" t="str">
        <f>IF('Raw Data'!EP47="","",'Raw Data'!EP47)</f>
        <v>1</v>
      </c>
      <c r="FC67" s="15" t="str">
        <f>IF('Raw Data'!EQ47="","",'Raw Data'!EQ47)</f>
        <v>0</v>
      </c>
      <c r="FD67" s="15" t="str">
        <f>IF('Raw Data'!ER47="","",'Raw Data'!ER47)</f>
        <v>1</v>
      </c>
      <c r="FE67" s="15" t="str">
        <f>IF('Raw Data'!ES47="","",'Raw Data'!ES47)</f>
        <v>0</v>
      </c>
      <c r="FF67" s="15" t="str">
        <f>IF('Raw Data'!ET47="","",'Raw Data'!ET47)</f>
        <v>0</v>
      </c>
      <c r="FG67" s="15" t="str">
        <f>IF('Raw Data'!EU47="","",'Raw Data'!EU47)</f>
        <v>0</v>
      </c>
      <c r="FH67" s="15" t="str">
        <f>IF('Raw Data'!EV47="","",'Raw Data'!EV47)</f>
        <v>0</v>
      </c>
      <c r="FI67" s="15" t="str">
        <f>IF('Raw Data'!EW47="","",'Raw Data'!EW47)</f>
        <v/>
      </c>
      <c r="FJ67" s="15" t="str">
        <f>IF('Raw Data'!EX47="","",'Raw Data'!EX47)</f>
        <v>oui</v>
      </c>
      <c r="FK67" s="15" t="str">
        <f>IF('Raw Data'!EY47="","",'Raw Data'!EY47)</f>
        <v>Autre Travailleurs_sociaux/hum</v>
      </c>
      <c r="FL67" s="15" t="str">
        <f>IF('Raw Data'!EZ47="","",'Raw Data'!EZ47)</f>
        <v>0</v>
      </c>
      <c r="FM67" s="15" t="str">
        <f>IF('Raw Data'!FA47="","",'Raw Data'!FA47)</f>
        <v>0</v>
      </c>
      <c r="FN67" s="15" t="str">
        <f>IF('Raw Data'!FB47="","",'Raw Data'!FB47)</f>
        <v>0</v>
      </c>
      <c r="FO67" s="15" t="str">
        <f>IF('Raw Data'!FC47="","",'Raw Data'!FC47)</f>
        <v>0</v>
      </c>
      <c r="FP67" s="15" t="str">
        <f>IF('Raw Data'!FD47="","",'Raw Data'!FD47)</f>
        <v>0</v>
      </c>
      <c r="FQ67" s="31">
        <v>1</v>
      </c>
      <c r="FR67" s="15" t="str">
        <f>IF('Raw Data'!FF47="","",'Raw Data'!FF47)</f>
        <v>0</v>
      </c>
      <c r="FS67" s="15" t="str">
        <f>IF('Raw Data'!FG47="","",'Raw Data'!FG47)</f>
        <v>0</v>
      </c>
      <c r="FT67" s="15" t="str">
        <f>IF('Raw Data'!FH47="","",'Raw Data'!FH47)</f>
        <v>0</v>
      </c>
      <c r="FU67" s="15" t="str">
        <f>IF('Raw Data'!FI47="","",'Raw Data'!FI47)</f>
        <v>0</v>
      </c>
      <c r="FV67" s="15" t="str">
        <f>IF('Raw Data'!FJ47="","",'Raw Data'!FJ47)</f>
        <v>1</v>
      </c>
      <c r="FW67" s="15" t="str">
        <f>IF('Raw Data'!FK47="","",'Raw Data'!FK47)</f>
        <v>0</v>
      </c>
      <c r="FX67" s="31">
        <v>0</v>
      </c>
      <c r="FY67" s="15" t="str">
        <f>IF('Raw Data'!FM47="","",'Raw Data'!FM47)</f>
        <v>0</v>
      </c>
      <c r="FZ67" s="31"/>
      <c r="GA67" s="15" t="str">
        <f>IF('Raw Data'!FO47="","",'Raw Data'!FO47)</f>
        <v>oui_ensemble</v>
      </c>
      <c r="GB67" s="15" t="str">
        <f>IF('Raw Data'!FP47="","",'Raw Data'!FP47)</f>
        <v>oui_ensemble</v>
      </c>
      <c r="GC67" s="15" t="str">
        <f>IF('Raw Data'!FQ47="","",'Raw Data'!FQ47)</f>
        <v/>
      </c>
      <c r="GD67" s="15" t="str">
        <f>IF('Raw Data'!FR47="","",'Raw Data'!FR47)</f>
        <v/>
      </c>
      <c r="GE67" s="15" t="str">
        <f>IF('Raw Data'!FS47="","",'Raw Data'!FS47)</f>
        <v/>
      </c>
      <c r="GF67" s="15" t="str">
        <f>IF('Raw Data'!FT47="","",'Raw Data'!FT47)</f>
        <v/>
      </c>
      <c r="GG67" s="15" t="str">
        <f>IF('Raw Data'!FU47="","",'Raw Data'!FU47)</f>
        <v/>
      </c>
      <c r="GH67" s="15" t="str">
        <f>IF('Raw Data'!FV47="","",'Raw Data'!FV47)</f>
        <v/>
      </c>
      <c r="GI67" s="15" t="str">
        <f>IF('Raw Data'!FW47="","",'Raw Data'!FW47)</f>
        <v/>
      </c>
      <c r="GJ67" s="15" t="str">
        <f>IF('Raw Data'!FX47="","",'Raw Data'!FX47)</f>
        <v/>
      </c>
      <c r="GK67" s="15" t="str">
        <f>IF('Raw Data'!FY47="","",'Raw Data'!FY47)</f>
        <v/>
      </c>
      <c r="GL67" s="15" t="str">
        <f>IF('Raw Data'!FZ47="","",'Raw Data'!FZ47)</f>
        <v/>
      </c>
      <c r="GM67" s="15" t="str">
        <f>IF('Raw Data'!GA47="","",'Raw Data'!GA47)</f>
        <v>majorite</v>
      </c>
      <c r="GN67" s="15" t="str">
        <f>IF('Raw Data'!GB47="","",'Raw Data'!GB47)</f>
        <v>aucun</v>
      </c>
      <c r="GO67" s="15" t="str">
        <f>IF('Raw Data'!GC47="","",'Raw Data'!GC47)</f>
        <v>Appui_psychosocial Services_de_sante Education Acces_aux_doc</v>
      </c>
      <c r="GP67" s="15" t="str">
        <f>IF('Raw Data'!GD47="","",'Raw Data'!GD47)</f>
        <v>1</v>
      </c>
      <c r="GQ67" s="15" t="str">
        <f>IF('Raw Data'!GE47="","",'Raw Data'!GE47)</f>
        <v>1</v>
      </c>
      <c r="GR67" s="15" t="str">
        <f>IF('Raw Data'!GF47="","",'Raw Data'!GF47)</f>
        <v>0</v>
      </c>
      <c r="GS67" s="15" t="str">
        <f>IF('Raw Data'!GG47="","",'Raw Data'!GG47)</f>
        <v>1</v>
      </c>
      <c r="GT67" s="15" t="str">
        <f>IF('Raw Data'!GH47="","",'Raw Data'!GH47)</f>
        <v>1</v>
      </c>
      <c r="GU67" s="15" t="str">
        <f>IF('Raw Data'!GI47="","",'Raw Data'!GI47)</f>
        <v>0</v>
      </c>
      <c r="GV67" s="15" t="str">
        <f>IF('Raw Data'!GJ47="","",'Raw Data'!GJ47)</f>
        <v>0</v>
      </c>
      <c r="GW67" s="15" t="str">
        <f>IF('Raw Data'!GK47="","",'Raw Data'!GK47)</f>
        <v>0</v>
      </c>
      <c r="GX67" s="15" t="str">
        <f>IF('Raw Data'!GL47="","",'Raw Data'!GL47)</f>
        <v>0</v>
      </c>
      <c r="GY67" s="15" t="str">
        <f>IF('Raw Data'!GM47="","",'Raw Data'!GM47)</f>
        <v/>
      </c>
      <c r="GZ67" s="15" t="str">
        <f>IF('Raw Data'!GN47="","",'Raw Data'!GN47)</f>
        <v>oui_majorite</v>
      </c>
      <c r="HA67" s="15" t="str">
        <f>IF('Raw Data'!GO47="","",'Raw Data'!GO47)</f>
        <v>non</v>
      </c>
      <c r="HB67" s="15" t="str">
        <f>IF('Raw Data'!GP47="","",'Raw Data'!GP47)</f>
        <v>repond_besoins_pop permet_obtenir_conseils amelioration_futur</v>
      </c>
      <c r="HC67" s="15" t="str">
        <f>IF('Raw Data'!GQ47="","",'Raw Data'!GQ47)</f>
        <v>1</v>
      </c>
      <c r="HD67" s="15" t="str">
        <f>IF('Raw Data'!GR47="","",'Raw Data'!GR47)</f>
        <v>1</v>
      </c>
      <c r="HE67" s="15" t="str">
        <f>IF('Raw Data'!GS47="","",'Raw Data'!GS47)</f>
        <v>1</v>
      </c>
      <c r="HF67" s="15" t="str">
        <f>IF('Raw Data'!GT47="","",'Raw Data'!GT47)</f>
        <v>0</v>
      </c>
      <c r="HG67" s="15" t="str">
        <f>IF('Raw Data'!GU47="","",'Raw Data'!GU47)</f>
        <v>0</v>
      </c>
      <c r="HH67" s="15" t="str">
        <f>IF('Raw Data'!GV47="","",'Raw Data'!GV47)</f>
        <v>0</v>
      </c>
      <c r="HI67" s="15" t="str">
        <f>IF('Raw Data'!GW47="","",'Raw Data'!GW47)</f>
        <v>0</v>
      </c>
      <c r="HJ67" s="15" t="str">
        <f>IF('Raw Data'!GX47="","",'Raw Data'!GX47)</f>
        <v>0</v>
      </c>
      <c r="HK67" s="15" t="str">
        <f>IF('Raw Data'!GY47="","",'Raw Data'!GY47)</f>
        <v/>
      </c>
      <c r="HL67" s="15" t="str">
        <f>IF('Raw Data'!GZ47="","",'Raw Data'!GZ47)</f>
        <v>ne_repond_pas</v>
      </c>
      <c r="HM67" s="15" t="str">
        <f>IF('Raw Data'!HA47="","",'Raw Data'!HA47)</f>
        <v>0</v>
      </c>
      <c r="HN67" s="15" t="str">
        <f>IF('Raw Data'!HB47="","",'Raw Data'!HB47)</f>
        <v>1</v>
      </c>
      <c r="HO67" s="15" t="str">
        <f>IF('Raw Data'!HC47="","",'Raw Data'!HC47)</f>
        <v>0</v>
      </c>
      <c r="HP67" s="15" t="str">
        <f>IF('Raw Data'!HD47="","",'Raw Data'!HD47)</f>
        <v>0</v>
      </c>
      <c r="HQ67" s="15" t="str">
        <f>IF('Raw Data'!HE47="","",'Raw Data'!HE47)</f>
        <v>0</v>
      </c>
      <c r="HR67" s="15" t="str">
        <f>IF('Raw Data'!HF47="","",'Raw Data'!HF47)</f>
        <v>0</v>
      </c>
      <c r="HS67" s="15" t="str">
        <f>IF('Raw Data'!HG47="","",'Raw Data'!HG47)</f>
        <v/>
      </c>
      <c r="HT67" s="15" t="str">
        <f>IF('Raw Data'!HH47="","",'Raw Data'!HH47)</f>
        <v/>
      </c>
      <c r="HU67" s="15" t="str">
        <f>IF('Raw Data'!HI47="","",'Raw Data'!HI47)</f>
        <v>non</v>
      </c>
      <c r="HV67" s="15" t="str">
        <f>IF('Raw Data'!HJ47="","",'Raw Data'!HJ47)</f>
        <v/>
      </c>
      <c r="HW67" s="15" t="str">
        <f>IF('Raw Data'!HK47="","",'Raw Data'!HK47)</f>
        <v/>
      </c>
      <c r="HX67" s="15" t="str">
        <f>IF('Raw Data'!HL47="","",'Raw Data'!HL47)</f>
        <v/>
      </c>
      <c r="HY67" s="15" t="str">
        <f>IF('Raw Data'!HM47="","",'Raw Data'!HM47)</f>
        <v/>
      </c>
      <c r="HZ67" s="15" t="str">
        <f>IF('Raw Data'!HN47="","",'Raw Data'!HN47)</f>
        <v/>
      </c>
      <c r="IA67" s="15" t="str">
        <f>IF('Raw Data'!HO47="","",'Raw Data'!HO47)</f>
        <v/>
      </c>
      <c r="IB67" s="15" t="str">
        <f>IF('Raw Data'!HP47="","",'Raw Data'!HP47)</f>
        <v/>
      </c>
      <c r="IC67" s="15" t="str">
        <f>IF('Raw Data'!HQ47="","",'Raw Data'!HQ47)</f>
        <v/>
      </c>
      <c r="ID67" s="15" t="str">
        <f>IF('Raw Data'!HR47="","",'Raw Data'!HR47)</f>
        <v/>
      </c>
      <c r="IE67" s="15" t="str">
        <f>IF('Raw Data'!HS47="","",'Raw Data'!HS47)</f>
        <v/>
      </c>
      <c r="IF67" s="15" t="str">
        <f>IF('Raw Data'!HT47="","",'Raw Data'!HT47)</f>
        <v/>
      </c>
      <c r="IG67" s="15" t="str">
        <f>IF('Raw Data'!HU47="","",'Raw Data'!HU47)</f>
        <v/>
      </c>
      <c r="IH67" s="15" t="str">
        <f>IF('Raw Data'!HV47="","",'Raw Data'!HV47)</f>
        <v>oui</v>
      </c>
      <c r="II67" s="15" t="str">
        <f>IF('Raw Data'!HW47="","",'Raw Data'!HW47)</f>
        <v/>
      </c>
      <c r="IJ67" s="15" t="str">
        <f>IF('Raw Data'!HX47="","",'Raw Data'!HX47)</f>
        <v>Garçons</v>
      </c>
      <c r="IK67" s="15" t="str">
        <f>IF('Raw Data'!HY47="","",'Raw Data'!HY47)</f>
        <v>0</v>
      </c>
      <c r="IL67" s="15" t="str">
        <f>IF('Raw Data'!HZ47="","",'Raw Data'!HZ47)</f>
        <v>0</v>
      </c>
      <c r="IM67" s="15" t="str">
        <f>IF('Raw Data'!IA47="","",'Raw Data'!IA47)</f>
        <v>0</v>
      </c>
      <c r="IN67" s="15" t="str">
        <f>IF('Raw Data'!IB47="","",'Raw Data'!IB47)</f>
        <v>1</v>
      </c>
      <c r="IO67" s="15" t="str">
        <f>IF('Raw Data'!IC47="","",'Raw Data'!IC47)</f>
        <v>0</v>
      </c>
      <c r="IP67" s="15" t="str">
        <f>IF('Raw Data'!ID47="","",'Raw Data'!ID47)</f>
        <v>0</v>
      </c>
      <c r="IQ67" s="15" t="str">
        <f>IF('Raw Data'!IE47="","",'Raw Data'!IE47)</f>
        <v>0</v>
      </c>
      <c r="IR67" s="15" t="str">
        <f>IF('Raw Data'!IF47="","",'Raw Data'!IF47)</f>
        <v>0</v>
      </c>
      <c r="IS67" s="15" t="str">
        <f>IF('Raw Data'!IG47="","",'Raw Data'!IG47)</f>
        <v>0</v>
      </c>
      <c r="IT67" s="15" t="str">
        <f>IF('Raw Data'!IH47="","",'Raw Data'!IH47)</f>
        <v>0</v>
      </c>
      <c r="IU67" s="15" t="str">
        <f>IF('Raw Data'!II47="","",'Raw Data'!II47)</f>
        <v>0</v>
      </c>
      <c r="IV67" s="15" t="str">
        <f>IF('Raw Data'!IJ47="","",'Raw Data'!IJ47)</f>
        <v>0</v>
      </c>
      <c r="IW67" s="15" t="str">
        <f>IF('Raw Data'!IK47="","",'Raw Data'!IK47)</f>
        <v>0</v>
      </c>
      <c r="IX67" s="15" t="str">
        <f>IF('Raw Data'!IL47="","",'Raw Data'!IL47)</f>
        <v>0</v>
      </c>
      <c r="IY67" s="15" t="str">
        <f>IF('Raw Data'!IM47="","",'Raw Data'!IM47)</f>
        <v/>
      </c>
      <c r="IZ67" s="15" t="str">
        <f>IF('Raw Data'!IN47="","",'Raw Data'!IN47)</f>
        <v>20</v>
      </c>
      <c r="JA67" s="15" t="str">
        <f>IF('Raw Data'!IO47="","",'Raw Data'!IO47)</f>
        <v>points_ecoute Services_conseil Services_medicaux</v>
      </c>
      <c r="JB67" s="15" t="str">
        <f>IF('Raw Data'!IP47="","",'Raw Data'!IP47)</f>
        <v>0</v>
      </c>
      <c r="JC67" s="15" t="str">
        <f>IF('Raw Data'!IQ47="","",'Raw Data'!IQ47)</f>
        <v>1</v>
      </c>
      <c r="JD67" s="15" t="str">
        <f>IF('Raw Data'!IR47="","",'Raw Data'!IR47)</f>
        <v>0</v>
      </c>
      <c r="JE67" s="15" t="str">
        <f>IF('Raw Data'!IS47="","",'Raw Data'!IS47)</f>
        <v>1</v>
      </c>
      <c r="JF67" s="15" t="str">
        <f>IF('Raw Data'!IT47="","",'Raw Data'!IT47)</f>
        <v>0</v>
      </c>
      <c r="JG67" s="15" t="str">
        <f>IF('Raw Data'!IU47="","",'Raw Data'!IU47)</f>
        <v>0</v>
      </c>
      <c r="JH67" s="15" t="str">
        <f>IF('Raw Data'!IV47="","",'Raw Data'!IV47)</f>
        <v>0</v>
      </c>
      <c r="JI67" s="15" t="str">
        <f>IF('Raw Data'!IW47="","",'Raw Data'!IW47)</f>
        <v>1</v>
      </c>
      <c r="JJ67" s="15" t="str">
        <f>IF('Raw Data'!IX47="","",'Raw Data'!IX47)</f>
        <v>0</v>
      </c>
      <c r="JK67" s="15" t="str">
        <f>IF('Raw Data'!IY47="","",'Raw Data'!IY47)</f>
        <v>0</v>
      </c>
      <c r="JL67" s="15" t="str">
        <f>IF('Raw Data'!IZ47="","",'Raw Data'!IZ47)</f>
        <v/>
      </c>
      <c r="JM67" s="15" t="str">
        <f>IF('Raw Data'!JA47="","",'Raw Data'!JA47)</f>
        <v>prise_enchage reorientation signalement</v>
      </c>
      <c r="JN67" s="15" t="str">
        <f>IF('Raw Data'!JB47="","",'Raw Data'!JB47)</f>
        <v>1</v>
      </c>
      <c r="JO67" s="15" t="str">
        <f>IF('Raw Data'!JC47="","",'Raw Data'!JC47)</f>
        <v>1</v>
      </c>
      <c r="JP67" s="15" t="str">
        <f>IF('Raw Data'!JD47="","",'Raw Data'!JD47)</f>
        <v>1</v>
      </c>
      <c r="JQ67" s="15" t="str">
        <f>IF('Raw Data'!JE47="","",'Raw Data'!JE47)</f>
        <v>0</v>
      </c>
      <c r="JR67" s="15" t="str">
        <f>IF('Raw Data'!JF47="","",'Raw Data'!JF47)</f>
        <v>0</v>
      </c>
      <c r="JS67" s="15" t="str">
        <f>IF('Raw Data'!JG47="","",'Raw Data'!JG47)</f>
        <v>0</v>
      </c>
      <c r="JT67" s="15" t="str">
        <f>IF('Raw Data'!JH47="","",'Raw Data'!JH47)</f>
        <v/>
      </c>
      <c r="JU67" s="15" t="str">
        <f>IF('Raw Data'!JI47="","",'Raw Data'!JI47)</f>
        <v>point_ecoute medical Psychosocia</v>
      </c>
      <c r="JV67" s="15" t="str">
        <f>IF('Raw Data'!JJ47="","",'Raw Data'!JJ47)</f>
        <v>1</v>
      </c>
      <c r="JW67" s="15" t="str">
        <f>IF('Raw Data'!JK47="","",'Raw Data'!JK47)</f>
        <v>1</v>
      </c>
      <c r="JX67" s="15" t="str">
        <f>IF('Raw Data'!JL47="","",'Raw Data'!JL47)</f>
        <v>1</v>
      </c>
      <c r="JY67" s="15" t="str">
        <f>IF('Raw Data'!JM47="","",'Raw Data'!JM47)</f>
        <v>0</v>
      </c>
      <c r="JZ67" s="15" t="str">
        <f>IF('Raw Data'!JN47="","",'Raw Data'!JN47)</f>
        <v>0</v>
      </c>
      <c r="KA67" s="15" t="str">
        <f>IF('Raw Data'!JO47="","",'Raw Data'!JO47)</f>
        <v>0</v>
      </c>
      <c r="KB67" s="15" t="str">
        <f>IF('Raw Data'!JP47="","",'Raw Data'!JP47)</f>
        <v>0</v>
      </c>
      <c r="KC67" s="15" t="str">
        <f>IF('Raw Data'!JQ47="","",'Raw Data'!JQ47)</f>
        <v>0</v>
      </c>
      <c r="KD67" s="15" t="str">
        <f>IF('Raw Data'!JR47="","",'Raw Data'!JR47)</f>
        <v>0</v>
      </c>
      <c r="KE67" s="15" t="str">
        <f>IF('Raw Data'!JS47="","",'Raw Data'!JS47)</f>
        <v/>
      </c>
      <c r="KF67" s="15" t="str">
        <f>IF('Raw Data'!JT47="","",'Raw Data'!JT47)</f>
        <v>medical Psychosocia</v>
      </c>
      <c r="KG67" s="15" t="str">
        <f>IF('Raw Data'!JU47="","",'Raw Data'!JU47)</f>
        <v>1</v>
      </c>
      <c r="KH67" s="15" t="str">
        <f>IF('Raw Data'!JV47="","",'Raw Data'!JV47)</f>
        <v>1</v>
      </c>
      <c r="KI67" s="15" t="str">
        <f>IF('Raw Data'!JW47="","",'Raw Data'!JW47)</f>
        <v>0</v>
      </c>
      <c r="KJ67" s="15" t="str">
        <f>IF('Raw Data'!JX47="","",'Raw Data'!JX47)</f>
        <v>0</v>
      </c>
      <c r="KK67" s="15" t="str">
        <f>IF('Raw Data'!JY47="","",'Raw Data'!JY47)</f>
        <v>0</v>
      </c>
      <c r="KL67" s="15" t="str">
        <f>IF('Raw Data'!JZ47="","",'Raw Data'!JZ47)</f>
        <v>0</v>
      </c>
      <c r="KM67" s="15" t="str">
        <f>IF('Raw Data'!KA47="","",'Raw Data'!KA47)</f>
        <v>0</v>
      </c>
      <c r="KN67" s="15" t="str">
        <f>IF('Raw Data'!KB47="","",'Raw Data'!KB47)</f>
        <v>0</v>
      </c>
      <c r="KO67" s="15" t="str">
        <f>IF('Raw Data'!KC47="","",'Raw Data'!KC47)</f>
        <v>0</v>
      </c>
      <c r="KP67" s="15" t="str">
        <f>IF('Raw Data'!KD47="","",'Raw Data'!KD47)</f>
        <v/>
      </c>
      <c r="KQ67" s="15" t="str">
        <f>IF('Raw Data'!KE47="","",'Raw Data'!KE47)</f>
        <v/>
      </c>
      <c r="KR67" s="15" t="str">
        <f>IF('Raw Data'!KF47="","",'Raw Data'!KF47)</f>
        <v>oui</v>
      </c>
      <c r="KS67" s="15" t="str">
        <f>IF('Raw Data'!KG47="","",'Raw Data'!KG47)</f>
        <v>manque_d'information manque_moyens</v>
      </c>
      <c r="KT67" s="15" t="str">
        <f>IF('Raw Data'!KH47="","",'Raw Data'!KH47)</f>
        <v>1</v>
      </c>
      <c r="KU67" s="15" t="str">
        <f>IF('Raw Data'!KI47="","",'Raw Data'!KI47)</f>
        <v>0</v>
      </c>
      <c r="KV67" s="15" t="str">
        <f>IF('Raw Data'!KJ47="","",'Raw Data'!KJ47)</f>
        <v>1</v>
      </c>
      <c r="KW67" s="15" t="str">
        <f>IF('Raw Data'!KK47="","",'Raw Data'!KK47)</f>
        <v>0</v>
      </c>
      <c r="KX67" s="15" t="str">
        <f>IF('Raw Data'!KL47="","",'Raw Data'!KL47)</f>
        <v>0</v>
      </c>
      <c r="KY67" s="15" t="str">
        <f>IF('Raw Data'!KM47="","",'Raw Data'!KM47)</f>
        <v>0</v>
      </c>
      <c r="KZ67" s="15" t="str">
        <f>IF('Raw Data'!KN47="","",'Raw Data'!KN47)</f>
        <v>0</v>
      </c>
      <c r="LA67" s="15" t="str">
        <f>IF('Raw Data'!KO47="","",'Raw Data'!KO47)</f>
        <v>0</v>
      </c>
      <c r="LB67" s="15" t="str">
        <f>IF('Raw Data'!KP47="","",'Raw Data'!KP47)</f>
        <v>0</v>
      </c>
      <c r="LC67" s="15" t="str">
        <f>IF('Raw Data'!KQ47="","",'Raw Data'!KQ47)</f>
        <v>0</v>
      </c>
      <c r="LD67" s="15" t="str">
        <f>IF('Raw Data'!KR47="","",'Raw Data'!KR47)</f>
        <v>0</v>
      </c>
      <c r="LE67" s="15" t="str">
        <f>IF('Raw Data'!KS47="","",'Raw Data'!KS47)</f>
        <v/>
      </c>
      <c r="LF67" s="15" t="str">
        <f>IF('Raw Data'!KT47="","",'Raw Data'!KT47)</f>
        <v/>
      </c>
      <c r="LG67" s="15" t="str">
        <f>IF('Raw Data'!KU47="","",'Raw Data'!KU47)</f>
        <v/>
      </c>
      <c r="LH67" s="15" t="str">
        <f>IF('Raw Data'!KV47="","",'Raw Data'!KV47)</f>
        <v/>
      </c>
      <c r="LI67" s="15" t="str">
        <f>IF('Raw Data'!KW47="","",'Raw Data'!KW47)</f>
        <v/>
      </c>
      <c r="LJ67" s="15" t="str">
        <f>IF('Raw Data'!KX47="","",'Raw Data'!KX47)</f>
        <v/>
      </c>
      <c r="LK67" s="15" t="str">
        <f>IF('Raw Data'!KY47="","",'Raw Data'!KY47)</f>
        <v/>
      </c>
      <c r="LL67" s="15" t="str">
        <f>IF('Raw Data'!KZ47="","",'Raw Data'!KZ47)</f>
        <v/>
      </c>
      <c r="LM67" s="15" t="str">
        <f>IF('Raw Data'!LA47="","",'Raw Data'!LA47)</f>
        <v/>
      </c>
      <c r="LN67" s="15" t="str">
        <f>IF('Raw Data'!LB47="","",'Raw Data'!LB47)</f>
        <v>non</v>
      </c>
      <c r="LO67" s="15" t="str">
        <f>IF('Raw Data'!LC47="","",'Raw Data'!LC47)</f>
        <v/>
      </c>
      <c r="LP67" s="15" t="str">
        <f>IF('Raw Data'!LD47="","",'Raw Data'!LD47)</f>
        <v/>
      </c>
      <c r="LQ67" s="15" t="str">
        <f>IF('Raw Data'!LE47="","",'Raw Data'!LE47)</f>
        <v/>
      </c>
      <c r="LR67" s="15" t="str">
        <f>IF('Raw Data'!LF47="","",'Raw Data'!LF47)</f>
        <v/>
      </c>
      <c r="LS67" s="15" t="str">
        <f>IF('Raw Data'!LG47="","",'Raw Data'!LG47)</f>
        <v/>
      </c>
      <c r="LT67" s="15" t="str">
        <f>IF('Raw Data'!LH47="","",'Raw Data'!LH47)</f>
        <v/>
      </c>
      <c r="LU67" s="15" t="str">
        <f>IF('Raw Data'!LI47="","",'Raw Data'!LI47)</f>
        <v/>
      </c>
      <c r="LV67" s="15" t="str">
        <f>IF('Raw Data'!LJ47="","",'Raw Data'!LJ47)</f>
        <v/>
      </c>
      <c r="LW67" s="15" t="str">
        <f>IF('Raw Data'!LK47="","",'Raw Data'!LK47)</f>
        <v/>
      </c>
      <c r="LX67" s="15" t="str">
        <f>IF('Raw Data'!LL47="","",'Raw Data'!LL47)</f>
        <v/>
      </c>
      <c r="LY67" s="15" t="str">
        <f>IF('Raw Data'!LM47="","",'Raw Data'!LM47)</f>
        <v/>
      </c>
      <c r="LZ67" s="15" t="str">
        <f>IF('Raw Data'!LN47="","",'Raw Data'!LN47)</f>
        <v/>
      </c>
      <c r="MA67" s="15" t="str">
        <f>IF('Raw Data'!LO47="","",'Raw Data'!LO47)</f>
        <v/>
      </c>
      <c r="MB67" s="15" t="str">
        <f>IF('Raw Data'!LP47="","",'Raw Data'!LP47)</f>
        <v>oui</v>
      </c>
      <c r="MC67" s="15" t="str">
        <f>IF('Raw Data'!LQ47="","",'Raw Data'!LQ47)</f>
        <v/>
      </c>
      <c r="MD67" s="15" t="str">
        <f>IF('Raw Data'!LR47="","",'Raw Data'!LR47)</f>
        <v/>
      </c>
      <c r="ME67" s="15">
        <f>IF('Raw Data'!LS47="","",'Raw Data'!LS47)</f>
        <v>170254163</v>
      </c>
      <c r="MF67" s="15" t="str">
        <f>IF('Raw Data'!LT47="","",'Raw Data'!LT47)</f>
        <v>15efca70-22e4-434f-809d-688e31692d1c</v>
      </c>
      <c r="MG67" s="15" t="str">
        <f>IF('Raw Data'!LU47="","",'Raw Data'!LU47)</f>
        <v>2021-04-07T16:30:57</v>
      </c>
      <c r="MH67" s="15" t="str">
        <f>IF('Raw Data'!LV47="","",'Raw Data'!LV47)</f>
        <v/>
      </c>
      <c r="MI67" s="15" t="str">
        <f>IF('Raw Data'!LW47="","",'Raw Data'!LW47)</f>
        <v>[]</v>
      </c>
      <c r="MJ67" s="15" t="str">
        <f>IF('Raw Data'!LX47="","",'Raw Data'!LX47)</f>
        <v>submitted_via_web</v>
      </c>
      <c r="MK67" s="15" t="str">
        <f>IF('Raw Data'!LY47="","",'Raw Data'!LY47)</f>
        <v>reach_niger</v>
      </c>
      <c r="ML67" s="15" t="str">
        <f>IF('Raw Data'!LZ47="","",'Raw Data'!LZ47)</f>
        <v/>
      </c>
      <c r="MM67" s="15">
        <f>IF('Raw Data'!MA47="","",'Raw Data'!MA47)</f>
        <v>51</v>
      </c>
    </row>
    <row r="68" spans="1:351" x14ac:dyDescent="0.3">
      <c r="A68" s="26" t="str">
        <f t="shared" si="4"/>
        <v>c02e3a07-cabd-4b66-9aa3-541f62026c49</v>
      </c>
      <c r="B68" s="26" t="str">
        <f t="shared" si="5"/>
        <v>makalondi</v>
      </c>
      <c r="C68" s="26" t="str">
        <f t="shared" si="6"/>
        <v>Q</v>
      </c>
      <c r="D68" s="14" t="str">
        <f>IF('Raw Data'!A16="","",'Raw Data'!A16)</f>
        <v>2021-04-01T10:45:13.711+01:00</v>
      </c>
      <c r="E68" s="14" t="str">
        <f>IF('Raw Data'!B16="","",'Raw Data'!B16)</f>
        <v>2021-04-01T17:55:30.277+01:00</v>
      </c>
      <c r="F68" s="30">
        <v>44287.448067129626</v>
      </c>
      <c r="G68" s="30">
        <v>44287.746874999997</v>
      </c>
      <c r="H68" s="29">
        <f>VLOOKUP(A68,Audit[#All],2,FALSE)</f>
        <v>430.28</v>
      </c>
      <c r="I68" s="29">
        <f>VLOOKUP(A68,Audit[#All],3,FALSE)</f>
        <v>36.130000000000003</v>
      </c>
      <c r="J68" s="29">
        <f>VLOOKUP(A68,Audit[#All],4,FALSE)</f>
        <v>34.6</v>
      </c>
      <c r="K68" s="29">
        <f>VLOOKUP(A68,nb_questions[#All],2,FALSE)</f>
        <v>129</v>
      </c>
      <c r="L68" s="29">
        <f t="shared" si="7"/>
        <v>102</v>
      </c>
      <c r="M68" s="14" t="str">
        <f>IF('Raw Data'!C16="","",'Raw Data'!C16)</f>
        <v>2021-04-01</v>
      </c>
      <c r="N68" s="14" t="str">
        <f>IF('Raw Data'!D16="","",'Raw Data'!D16)</f>
        <v/>
      </c>
      <c r="O68" s="14" t="str">
        <f>IF('Raw Data'!E16="","",'Raw Data'!E16)</f>
        <v/>
      </c>
      <c r="P68" s="29" t="str">
        <f>VLOOKUP(A68,code_enqueteurs[#All],3,FALSE)</f>
        <v>Q</v>
      </c>
      <c r="Q68" s="29" t="s">
        <v>1659</v>
      </c>
      <c r="R68" s="14" t="str">
        <f>IF('Raw Data'!F16="","",'Raw Data'!F16)</f>
        <v>Homme</v>
      </c>
      <c r="S68" s="15" t="str">
        <f>IF('Raw Data'!G16="","",'Raw Data'!G16)</f>
        <v>torodi</v>
      </c>
      <c r="T68" s="15" t="str">
        <f>IF('Raw Data'!H16="","",'Raw Data'!H16)</f>
        <v>makalondi</v>
      </c>
      <c r="U68" s="15" t="str">
        <f>IF('Raw Data'!I16="","",'Raw Data'!I16)</f>
        <v>autre</v>
      </c>
      <c r="V68" s="31" t="s">
        <v>1642</v>
      </c>
      <c r="W68" s="15" t="str">
        <f>IF('Raw Data'!K16="","",'Raw Data'!K16)</f>
        <v/>
      </c>
      <c r="X68" s="15" t="str">
        <f>IF('Raw Data'!L16="","",'Raw Data'!L16)</f>
        <v/>
      </c>
      <c r="Y68" s="15" t="str">
        <f>IF('Raw Data'!M16="","",'Raw Data'!M16)</f>
        <v/>
      </c>
      <c r="Z68" s="15" t="str">
        <f>IF('Raw Data'!N16="","",'Raw Data'!N16)</f>
        <v/>
      </c>
      <c r="AA68" s="15" t="str">
        <f>IF('Raw Data'!O16="","",'Raw Data'!O16)</f>
        <v/>
      </c>
      <c r="AB68" s="15" t="str">
        <f>IF('Raw Data'!P16="","",'Raw Data'!P16)</f>
        <v/>
      </c>
      <c r="AC68" s="15" t="str">
        <f>IF('Raw Data'!Q16="","",'Raw Data'!Q16)</f>
        <v/>
      </c>
      <c r="AD68" s="15" t="str">
        <f>IF('Raw Data'!R16="","",'Raw Data'!R16)</f>
        <v>Homme</v>
      </c>
      <c r="AE68" s="15" t="str">
        <f>IF('Raw Data'!S16="","",'Raw Data'!S16)</f>
        <v>26</v>
      </c>
      <c r="AF68" s="31" t="s">
        <v>503</v>
      </c>
      <c r="AG68" s="31"/>
      <c r="AH68" s="15" t="str">
        <f>IF('Raw Data'!V16="","",'Raw Data'!V16)</f>
        <v/>
      </c>
      <c r="AI68" s="15" t="str">
        <f>IF('Raw Data'!W16="","",'Raw Data'!W16)</f>
        <v/>
      </c>
      <c r="AJ68" s="15" t="str">
        <f>IF('Raw Data'!X16="","",'Raw Data'!X16)</f>
        <v/>
      </c>
      <c r="AK68" s="15" t="str">
        <f>IF('Raw Data'!Y16="","",'Raw Data'!Y16)</f>
        <v/>
      </c>
      <c r="AL68" s="15" t="str">
        <f>IF('Raw Data'!Z16="","",'Raw Data'!Z16)</f>
        <v/>
      </c>
      <c r="AM68" s="15" t="str">
        <f>IF('Raw Data'!AA16="","",'Raw Data'!AA16)</f>
        <v/>
      </c>
      <c r="AN68" s="15" t="str">
        <f>IF('Raw Data'!AB16="","",'Raw Data'!AB16)</f>
        <v/>
      </c>
      <c r="AO68" s="15" t="str">
        <f>IF('Raw Data'!AC16="","",'Raw Data'!AC16)</f>
        <v/>
      </c>
      <c r="AP68" s="15" t="str">
        <f>IF('Raw Data'!AD16="","",'Raw Data'!AD16)</f>
        <v/>
      </c>
      <c r="AQ68" s="15" t="str">
        <f>IF('Raw Data'!AE16="","",'Raw Data'!AE16)</f>
        <v/>
      </c>
      <c r="AR68" s="15" t="str">
        <f>IF('Raw Data'!AF16="","",'Raw Data'!AF16)</f>
        <v/>
      </c>
      <c r="AS68" s="15" t="str">
        <f>IF('Raw Data'!AG16="","",'Raw Data'!AG16)</f>
        <v>oui</v>
      </c>
      <c r="AT68" s="15" t="str">
        <f>IF('Raw Data'!AH16="","",'Raw Data'!AH16)</f>
        <v>Kidnapping_Disparitions_forcees Violences_physique_civils</v>
      </c>
      <c r="AU68" s="15" t="str">
        <f>IF('Raw Data'!AI16="","",'Raw Data'!AI16)</f>
        <v>0</v>
      </c>
      <c r="AV68" s="15" t="str">
        <f>IF('Raw Data'!AJ16="","",'Raw Data'!AJ16)</f>
        <v>0</v>
      </c>
      <c r="AW68" s="15" t="str">
        <f>IF('Raw Data'!AK16="","",'Raw Data'!AK16)</f>
        <v>0</v>
      </c>
      <c r="AX68" s="15" t="str">
        <f>IF('Raw Data'!AL16="","",'Raw Data'!AL16)</f>
        <v>0</v>
      </c>
      <c r="AY68" s="15" t="str">
        <f>IF('Raw Data'!AM16="","",'Raw Data'!AM16)</f>
        <v>1</v>
      </c>
      <c r="AZ68" s="15" t="str">
        <f>IF('Raw Data'!AN16="","",'Raw Data'!AN16)</f>
        <v>1</v>
      </c>
      <c r="BA68" s="15" t="str">
        <f>IF('Raw Data'!AO16="","",'Raw Data'!AO16)</f>
        <v>0</v>
      </c>
      <c r="BB68" s="15" t="str">
        <f>IF('Raw Data'!AP16="","",'Raw Data'!AP16)</f>
        <v>0</v>
      </c>
      <c r="BC68" s="15" t="str">
        <f>IF('Raw Data'!AQ16="","",'Raw Data'!AQ16)</f>
        <v>0</v>
      </c>
      <c r="BD68" s="15" t="str">
        <f>IF('Raw Data'!AR16="","",'Raw Data'!AR16)</f>
        <v>0</v>
      </c>
      <c r="BE68" s="15" t="str">
        <f>IF('Raw Data'!AS16="","",'Raw Data'!AS16)</f>
        <v>0</v>
      </c>
      <c r="BF68" s="15" t="str">
        <f>IF('Raw Data'!AT16="","",'Raw Data'!AT16)</f>
        <v>0</v>
      </c>
      <c r="BG68" s="15" t="str">
        <f>IF('Raw Data'!AU16="","",'Raw Data'!AU16)</f>
        <v>0</v>
      </c>
      <c r="BH68" s="15" t="str">
        <f>IF('Raw Data'!AV16="","",'Raw Data'!AV16)</f>
        <v>0</v>
      </c>
      <c r="BI68" s="15" t="str">
        <f>IF('Raw Data'!AW16="","",'Raw Data'!AW16)</f>
        <v/>
      </c>
      <c r="BJ68" s="15" t="str">
        <f>IF('Raw Data'!AX16="","",'Raw Data'!AX16)</f>
        <v>Hommes Femmes Hommes_ages</v>
      </c>
      <c r="BK68" s="15" t="str">
        <f>IF('Raw Data'!AY16="","",'Raw Data'!AY16)</f>
        <v>0</v>
      </c>
      <c r="BL68" s="15" t="str">
        <f>IF('Raw Data'!AZ16="","",'Raw Data'!AZ16)</f>
        <v>0</v>
      </c>
      <c r="BM68" s="15" t="str">
        <f>IF('Raw Data'!BA16="","",'Raw Data'!BA16)</f>
        <v>0</v>
      </c>
      <c r="BN68" s="15" t="str">
        <f>IF('Raw Data'!BB16="","",'Raw Data'!BB16)</f>
        <v>0</v>
      </c>
      <c r="BO68" s="15" t="str">
        <f>IF('Raw Data'!BC16="","",'Raw Data'!BC16)</f>
        <v>1</v>
      </c>
      <c r="BP68" s="15" t="str">
        <f>IF('Raw Data'!BD16="","",'Raw Data'!BD16)</f>
        <v>1</v>
      </c>
      <c r="BQ68" s="15" t="str">
        <f>IF('Raw Data'!BE16="","",'Raw Data'!BE16)</f>
        <v>0</v>
      </c>
      <c r="BR68" s="15" t="str">
        <f>IF('Raw Data'!BF16="","",'Raw Data'!BF16)</f>
        <v>1</v>
      </c>
      <c r="BS68" s="15" t="str">
        <f>IF('Raw Data'!BG16="","",'Raw Data'!BG16)</f>
        <v>0</v>
      </c>
      <c r="BT68" s="15" t="str">
        <f>IF('Raw Data'!BH16="","",'Raw Data'!BH16)</f>
        <v>0</v>
      </c>
      <c r="BU68" s="15" t="str">
        <f>IF('Raw Data'!BI16="","",'Raw Data'!BI16)</f>
        <v>0</v>
      </c>
      <c r="BV68" s="15" t="str">
        <f>IF('Raw Data'!BJ16="","",'Raw Data'!BJ16)</f>
        <v>0</v>
      </c>
      <c r="BW68" s="15" t="str">
        <f>IF('Raw Data'!BK16="","",'Raw Data'!BK16)</f>
        <v>0</v>
      </c>
      <c r="BX68" s="15" t="str">
        <f>IF('Raw Data'!BL16="","",'Raw Data'!BL16)</f>
        <v>0</v>
      </c>
      <c r="BY68" s="15" t="str">
        <f>IF('Raw Data'!BM16="","",'Raw Data'!BM16)</f>
        <v/>
      </c>
      <c r="BZ68" s="15" t="str">
        <f>IF('Raw Data'!BN16="","",'Raw Data'!BN16)</f>
        <v>plusde5</v>
      </c>
      <c r="CA68" s="15" t="str">
        <f>IF('Raw Data'!BO16="","",'Raw Data'!BO16)</f>
        <v>diminue</v>
      </c>
      <c r="CB68" s="15" t="str">
        <f>IF('Raw Data'!BP16="","",'Raw Data'!BP16)</f>
        <v/>
      </c>
      <c r="CC68" s="15" t="str">
        <f>IF('Raw Data'!BQ16="","",'Raw Data'!BQ16)</f>
        <v>non</v>
      </c>
      <c r="CD68" s="15" t="str">
        <f>IF('Raw Data'!BR16="","",'Raw Data'!BR16)</f>
        <v/>
      </c>
      <c r="CE68" s="15" t="str">
        <f>IF('Raw Data'!BS16="","",'Raw Data'!BS16)</f>
        <v/>
      </c>
      <c r="CF68" s="15" t="str">
        <f>IF('Raw Data'!BT16="","",'Raw Data'!BT16)</f>
        <v/>
      </c>
      <c r="CG68" s="15" t="str">
        <f>IF('Raw Data'!BU16="","",'Raw Data'!BU16)</f>
        <v/>
      </c>
      <c r="CH68" s="15" t="str">
        <f>IF('Raw Data'!BV16="","",'Raw Data'!BV16)</f>
        <v/>
      </c>
      <c r="CI68" s="15" t="str">
        <f>IF('Raw Data'!BW16="","",'Raw Data'!BW16)</f>
        <v/>
      </c>
      <c r="CJ68" s="15" t="str">
        <f>IF('Raw Data'!BX16="","",'Raw Data'!BX16)</f>
        <v/>
      </c>
      <c r="CK68" s="15" t="str">
        <f>IF('Raw Data'!BY16="","",'Raw Data'!BY16)</f>
        <v/>
      </c>
      <c r="CL68" s="15" t="str">
        <f>IF('Raw Data'!BZ16="","",'Raw Data'!BZ16)</f>
        <v/>
      </c>
      <c r="CM68" s="15" t="str">
        <f>IF('Raw Data'!CA16="","",'Raw Data'!CA16)</f>
        <v/>
      </c>
      <c r="CN68" s="15" t="str">
        <f>IF('Raw Data'!CB16="","",'Raw Data'!CB16)</f>
        <v/>
      </c>
      <c r="CO68" s="15" t="str">
        <f>IF('Raw Data'!CC16="","",'Raw Data'!CC16)</f>
        <v/>
      </c>
      <c r="CP68" s="15" t="str">
        <f>IF('Raw Data'!CD16="","",'Raw Data'!CD16)</f>
        <v/>
      </c>
      <c r="CQ68" s="15" t="str">
        <f>IF('Raw Data'!CE16="","",'Raw Data'!CE16)</f>
        <v/>
      </c>
      <c r="CR68" s="15" t="str">
        <f>IF('Raw Data'!CF16="","",'Raw Data'!CF16)</f>
        <v/>
      </c>
      <c r="CS68" s="15" t="str">
        <f>IF('Raw Data'!CG16="","",'Raw Data'!CG16)</f>
        <v/>
      </c>
      <c r="CT68" s="15" t="str">
        <f>IF('Raw Data'!CH16="","",'Raw Data'!CH16)</f>
        <v/>
      </c>
      <c r="CU68" s="15" t="str">
        <f>IF('Raw Data'!CI16="","",'Raw Data'!CI16)</f>
        <v/>
      </c>
      <c r="CV68" s="15" t="str">
        <f>IF('Raw Data'!CJ16="","",'Raw Data'!CJ16)</f>
        <v/>
      </c>
      <c r="CW68" s="15" t="str">
        <f>IF('Raw Data'!CK16="","",'Raw Data'!CK16)</f>
        <v/>
      </c>
      <c r="CX68" s="15" t="str">
        <f>IF('Raw Data'!CL16="","",'Raw Data'!CL16)</f>
        <v/>
      </c>
      <c r="CY68" s="15" t="str">
        <f>IF('Raw Data'!CM16="","",'Raw Data'!CM16)</f>
        <v/>
      </c>
      <c r="CZ68" s="15" t="str">
        <f>IF('Raw Data'!CN16="","",'Raw Data'!CN16)</f>
        <v/>
      </c>
      <c r="DA68" s="15" t="str">
        <f>IF('Raw Data'!CO16="","",'Raw Data'!CO16)</f>
        <v/>
      </c>
      <c r="DB68" s="15" t="str">
        <f>IF('Raw Data'!CP16="","",'Raw Data'!CP16)</f>
        <v/>
      </c>
      <c r="DC68" s="15" t="str">
        <f>IF('Raw Data'!CQ16="","",'Raw Data'!CQ16)</f>
        <v/>
      </c>
      <c r="DD68" s="15" t="str">
        <f>IF('Raw Data'!CR16="","",'Raw Data'!CR16)</f>
        <v/>
      </c>
      <c r="DE68" s="15" t="str">
        <f>IF('Raw Data'!CS16="","",'Raw Data'!CS16)</f>
        <v/>
      </c>
      <c r="DF68" s="15" t="str">
        <f>IF('Raw Data'!CT16="","",'Raw Data'!CT16)</f>
        <v/>
      </c>
      <c r="DG68" s="15" t="str">
        <f>IF('Raw Data'!CU16="","",'Raw Data'!CU16)</f>
        <v/>
      </c>
      <c r="DH68" s="15" t="str">
        <f>IF('Raw Data'!CV16="","",'Raw Data'!CV16)</f>
        <v/>
      </c>
      <c r="DI68" s="15" t="str">
        <f>IF('Raw Data'!CW16="","",'Raw Data'!CW16)</f>
        <v/>
      </c>
      <c r="DJ68" s="15" t="str">
        <f>IF('Raw Data'!CX16="","",'Raw Data'!CX16)</f>
        <v/>
      </c>
      <c r="DK68" s="15" t="str">
        <f>IF('Raw Data'!CY16="","",'Raw Data'!CY16)</f>
        <v/>
      </c>
      <c r="DL68" s="15" t="str">
        <f>IF('Raw Data'!CZ16="","",'Raw Data'!CZ16)</f>
        <v/>
      </c>
      <c r="DM68" s="15" t="str">
        <f>IF('Raw Data'!DA16="","",'Raw Data'!DA16)</f>
        <v/>
      </c>
      <c r="DN68" s="15" t="str">
        <f>IF('Raw Data'!DB16="","",'Raw Data'!DB16)</f>
        <v/>
      </c>
      <c r="DO68" s="15" t="str">
        <f>IF('Raw Data'!DC16="","",'Raw Data'!DC16)</f>
        <v/>
      </c>
      <c r="DP68" s="15" t="str">
        <f>IF('Raw Data'!DD16="","",'Raw Data'!DD16)</f>
        <v/>
      </c>
      <c r="DQ68" s="15" t="str">
        <f>IF('Raw Data'!DE16="","",'Raw Data'!DE16)</f>
        <v/>
      </c>
      <c r="DR68" s="15" t="str">
        <f>IF('Raw Data'!DF16="","",'Raw Data'!DF16)</f>
        <v/>
      </c>
      <c r="DS68" s="15" t="str">
        <f>IF('Raw Data'!DG16="","",'Raw Data'!DG16)</f>
        <v/>
      </c>
      <c r="DT68" s="15" t="str">
        <f>IF('Raw Data'!DH16="","",'Raw Data'!DH16)</f>
        <v/>
      </c>
      <c r="DU68" s="15" t="str">
        <f>IF('Raw Data'!DI16="","",'Raw Data'!DI16)</f>
        <v/>
      </c>
      <c r="DV68" s="15" t="str">
        <f>IF('Raw Data'!DJ16="","",'Raw Data'!DJ16)</f>
        <v/>
      </c>
      <c r="DW68" s="15" t="str">
        <f>IF('Raw Data'!DK16="","",'Raw Data'!DK16)</f>
        <v/>
      </c>
      <c r="DX68" s="15" t="str">
        <f>IF('Raw Data'!DL16="","",'Raw Data'!DL16)</f>
        <v/>
      </c>
      <c r="DY68" s="15" t="str">
        <f>IF('Raw Data'!DM16="","",'Raw Data'!DM16)</f>
        <v/>
      </c>
      <c r="DZ68" s="15" t="str">
        <f>IF('Raw Data'!DN16="","",'Raw Data'!DN16)</f>
        <v>Ne_sait_pas</v>
      </c>
      <c r="EA68" s="15" t="str">
        <f>IF('Raw Data'!DO16="","",'Raw Data'!DO16)</f>
        <v>0</v>
      </c>
      <c r="EB68" s="15" t="str">
        <f>IF('Raw Data'!DP16="","",'Raw Data'!DP16)</f>
        <v>0</v>
      </c>
      <c r="EC68" s="15" t="str">
        <f>IF('Raw Data'!DQ16="","",'Raw Data'!DQ16)</f>
        <v>0</v>
      </c>
      <c r="ED68" s="15" t="str">
        <f>IF('Raw Data'!DR16="","",'Raw Data'!DR16)</f>
        <v>0</v>
      </c>
      <c r="EE68" s="15" t="str">
        <f>IF('Raw Data'!DS16="","",'Raw Data'!DS16)</f>
        <v>0</v>
      </c>
      <c r="EF68" s="15" t="str">
        <f>IF('Raw Data'!DT16="","",'Raw Data'!DT16)</f>
        <v>0</v>
      </c>
      <c r="EG68" s="15" t="str">
        <f>IF('Raw Data'!DU16="","",'Raw Data'!DU16)</f>
        <v>0</v>
      </c>
      <c r="EH68" s="15" t="str">
        <f>IF('Raw Data'!DV16="","",'Raw Data'!DV16)</f>
        <v>1</v>
      </c>
      <c r="EI68" s="15" t="str">
        <f>IF('Raw Data'!DW16="","",'Raw Data'!DW16)</f>
        <v>0</v>
      </c>
      <c r="EJ68" s="15" t="str">
        <f>IF('Raw Data'!DX16="","",'Raw Data'!DX16)</f>
        <v/>
      </c>
      <c r="EK68" s="15" t="str">
        <f>IF('Raw Data'!DY16="","",'Raw Data'!DY16)</f>
        <v/>
      </c>
      <c r="EL68" s="15" t="str">
        <f>IF('Raw Data'!DZ16="","",'Raw Data'!DZ16)</f>
        <v>dplct_abords_com</v>
      </c>
      <c r="EM68" s="15" t="str">
        <f>IF('Raw Data'!EA16="","",'Raw Data'!EA16)</f>
        <v>1</v>
      </c>
      <c r="EN68" s="15" t="str">
        <f>IF('Raw Data'!EB16="","",'Raw Data'!EB16)</f>
        <v>0</v>
      </c>
      <c r="EO68" s="15" t="str">
        <f>IF('Raw Data'!EC16="","",'Raw Data'!EC16)</f>
        <v>0</v>
      </c>
      <c r="EP68" s="15" t="str">
        <f>IF('Raw Data'!ED16="","",'Raw Data'!ED16)</f>
        <v>0</v>
      </c>
      <c r="EQ68" s="15" t="str">
        <f>IF('Raw Data'!EE16="","",'Raw Data'!EE16)</f>
        <v>0</v>
      </c>
      <c r="ER68" s="15" t="str">
        <f>IF('Raw Data'!EF16="","",'Raw Data'!EF16)</f>
        <v>0</v>
      </c>
      <c r="ES68" s="15" t="str">
        <f>IF('Raw Data'!EG16="","",'Raw Data'!EG16)</f>
        <v>0</v>
      </c>
      <c r="ET68" s="15" t="str">
        <f>IF('Raw Data'!EH16="","",'Raw Data'!EH16)</f>
        <v>0</v>
      </c>
      <c r="EU68" s="15" t="str">
        <f>IF('Raw Data'!EI16="","",'Raw Data'!EI16)</f>
        <v>0</v>
      </c>
      <c r="EV68" s="15" t="str">
        <f>IF('Raw Data'!EJ16="","",'Raw Data'!EJ16)</f>
        <v/>
      </c>
      <c r="EW68" s="15" t="str">
        <f>IF('Raw Data'!EK16="","",'Raw Data'!EK16)</f>
        <v/>
      </c>
      <c r="EX68" s="15" t="str">
        <f>IF('Raw Data'!EL16="","",'Raw Data'!EL16)</f>
        <v>famille_accueil comite_protection comite_alerte</v>
      </c>
      <c r="EY68" s="15" t="str">
        <f>IF('Raw Data'!EM16="","",'Raw Data'!EM16)</f>
        <v>0</v>
      </c>
      <c r="EZ68" s="15" t="str">
        <f>IF('Raw Data'!EN16="","",'Raw Data'!EN16)</f>
        <v>1</v>
      </c>
      <c r="FA68" s="15" t="str">
        <f>IF('Raw Data'!EO16="","",'Raw Data'!EO16)</f>
        <v>1</v>
      </c>
      <c r="FB68" s="15" t="str">
        <f>IF('Raw Data'!EP16="","",'Raw Data'!EP16)</f>
        <v>1</v>
      </c>
      <c r="FC68" s="15" t="str">
        <f>IF('Raw Data'!EQ16="","",'Raw Data'!EQ16)</f>
        <v>0</v>
      </c>
      <c r="FD68" s="15" t="str">
        <f>IF('Raw Data'!ER16="","",'Raw Data'!ER16)</f>
        <v>0</v>
      </c>
      <c r="FE68" s="15" t="str">
        <f>IF('Raw Data'!ES16="","",'Raw Data'!ES16)</f>
        <v>0</v>
      </c>
      <c r="FF68" s="15" t="str">
        <f>IF('Raw Data'!ET16="","",'Raw Data'!ET16)</f>
        <v>0</v>
      </c>
      <c r="FG68" s="15" t="str">
        <f>IF('Raw Data'!EU16="","",'Raw Data'!EU16)</f>
        <v>0</v>
      </c>
      <c r="FH68" s="15" t="str">
        <f>IF('Raw Data'!EV16="","",'Raw Data'!EV16)</f>
        <v>0</v>
      </c>
      <c r="FI68" s="15" t="str">
        <f>IF('Raw Data'!EW16="","",'Raw Data'!EW16)</f>
        <v/>
      </c>
      <c r="FJ68" s="15" t="str">
        <f>IF('Raw Data'!EX16="","",'Raw Data'!EX16)</f>
        <v>oui</v>
      </c>
      <c r="FK68" s="15" t="str">
        <f>IF('Raw Data'!EY16="","",'Raw Data'!EY16)</f>
        <v>Differents_comites_villageois Travailleurs_sociaux/hum</v>
      </c>
      <c r="FL68" s="15" t="str">
        <f>IF('Raw Data'!EZ16="","",'Raw Data'!EZ16)</f>
        <v>0</v>
      </c>
      <c r="FM68" s="15" t="str">
        <f>IF('Raw Data'!FA16="","",'Raw Data'!FA16)</f>
        <v>0</v>
      </c>
      <c r="FN68" s="15" t="str">
        <f>IF('Raw Data'!FB16="","",'Raw Data'!FB16)</f>
        <v>0</v>
      </c>
      <c r="FO68" s="15" t="str">
        <f>IF('Raw Data'!FC16="","",'Raw Data'!FC16)</f>
        <v>0</v>
      </c>
      <c r="FP68" s="15" t="str">
        <f>IF('Raw Data'!FD16="","",'Raw Data'!FD16)</f>
        <v>0</v>
      </c>
      <c r="FQ68" s="15" t="str">
        <f>IF('Raw Data'!FE16="","",'Raw Data'!FE16)</f>
        <v>0</v>
      </c>
      <c r="FR68" s="15" t="str">
        <f>IF('Raw Data'!FF16="","",'Raw Data'!FF16)</f>
        <v>0</v>
      </c>
      <c r="FS68" s="15" t="str">
        <f>IF('Raw Data'!FG16="","",'Raw Data'!FG16)</f>
        <v>0</v>
      </c>
      <c r="FT68" s="15" t="str">
        <f>IF('Raw Data'!FH16="","",'Raw Data'!FH16)</f>
        <v>1</v>
      </c>
      <c r="FU68" s="15" t="str">
        <f>IF('Raw Data'!FI16="","",'Raw Data'!FI16)</f>
        <v>0</v>
      </c>
      <c r="FV68" s="15" t="str">
        <f>IF('Raw Data'!FJ16="","",'Raw Data'!FJ16)</f>
        <v>1</v>
      </c>
      <c r="FW68" s="15" t="str">
        <f>IF('Raw Data'!FK16="","",'Raw Data'!FK16)</f>
        <v>0</v>
      </c>
      <c r="FX68" s="15" t="str">
        <f>IF('Raw Data'!FL16="","",'Raw Data'!FL16)</f>
        <v>0</v>
      </c>
      <c r="FY68" s="15" t="str">
        <f>IF('Raw Data'!FM16="","",'Raw Data'!FM16)</f>
        <v>0</v>
      </c>
      <c r="FZ68" s="15" t="str">
        <f>IF('Raw Data'!FN16="","",'Raw Data'!FN16)</f>
        <v/>
      </c>
      <c r="GA68" s="15" t="str">
        <f>IF('Raw Data'!FO16="","",'Raw Data'!FO16)</f>
        <v>oui_ensemble</v>
      </c>
      <c r="GB68" s="15" t="str">
        <f>IF('Raw Data'!FP16="","",'Raw Data'!FP16)</f>
        <v>oui_ensemble</v>
      </c>
      <c r="GC68" s="15" t="str">
        <f>IF('Raw Data'!FQ16="","",'Raw Data'!FQ16)</f>
        <v/>
      </c>
      <c r="GD68" s="15" t="str">
        <f>IF('Raw Data'!FR16="","",'Raw Data'!FR16)</f>
        <v/>
      </c>
      <c r="GE68" s="15" t="str">
        <f>IF('Raw Data'!FS16="","",'Raw Data'!FS16)</f>
        <v/>
      </c>
      <c r="GF68" s="15" t="str">
        <f>IF('Raw Data'!FT16="","",'Raw Data'!FT16)</f>
        <v/>
      </c>
      <c r="GG68" s="15" t="str">
        <f>IF('Raw Data'!FU16="","",'Raw Data'!FU16)</f>
        <v/>
      </c>
      <c r="GH68" s="15" t="str">
        <f>IF('Raw Data'!FV16="","",'Raw Data'!FV16)</f>
        <v/>
      </c>
      <c r="GI68" s="15" t="str">
        <f>IF('Raw Data'!FW16="","",'Raw Data'!FW16)</f>
        <v/>
      </c>
      <c r="GJ68" s="15" t="str">
        <f>IF('Raw Data'!FX16="","",'Raw Data'!FX16)</f>
        <v/>
      </c>
      <c r="GK68" s="15" t="str">
        <f>IF('Raw Data'!FY16="","",'Raw Data'!FY16)</f>
        <v/>
      </c>
      <c r="GL68" s="15" t="str">
        <f>IF('Raw Data'!FZ16="","",'Raw Data'!FZ16)</f>
        <v/>
      </c>
      <c r="GM68" s="15" t="str">
        <f>IF('Raw Data'!GA16="","",'Raw Data'!GA16)</f>
        <v>ensemble</v>
      </c>
      <c r="GN68" s="15" t="str">
        <f>IF('Raw Data'!GB16="","",'Raw Data'!GB16)</f>
        <v>ensemble</v>
      </c>
      <c r="GO68" s="15" t="str">
        <f>IF('Raw Data'!GC16="","",'Raw Data'!GC16)</f>
        <v>Appui_psychosocial Services_de_sante Education</v>
      </c>
      <c r="GP68" s="15" t="str">
        <f>IF('Raw Data'!GD16="","",'Raw Data'!GD16)</f>
        <v>1</v>
      </c>
      <c r="GQ68" s="15" t="str">
        <f>IF('Raw Data'!GE16="","",'Raw Data'!GE16)</f>
        <v>1</v>
      </c>
      <c r="GR68" s="15" t="str">
        <f>IF('Raw Data'!GF16="","",'Raw Data'!GF16)</f>
        <v>0</v>
      </c>
      <c r="GS68" s="15" t="str">
        <f>IF('Raw Data'!GG16="","",'Raw Data'!GG16)</f>
        <v>1</v>
      </c>
      <c r="GT68" s="15" t="str">
        <f>IF('Raw Data'!GH16="","",'Raw Data'!GH16)</f>
        <v>0</v>
      </c>
      <c r="GU68" s="15" t="str">
        <f>IF('Raw Data'!GI16="","",'Raw Data'!GI16)</f>
        <v>0</v>
      </c>
      <c r="GV68" s="15" t="str">
        <f>IF('Raw Data'!GJ16="","",'Raw Data'!GJ16)</f>
        <v>0</v>
      </c>
      <c r="GW68" s="15" t="str">
        <f>IF('Raw Data'!GK16="","",'Raw Data'!GK16)</f>
        <v>0</v>
      </c>
      <c r="GX68" s="15" t="str">
        <f>IF('Raw Data'!GL16="","",'Raw Data'!GL16)</f>
        <v>0</v>
      </c>
      <c r="GY68" s="15" t="str">
        <f>IF('Raw Data'!GM16="","",'Raw Data'!GM16)</f>
        <v/>
      </c>
      <c r="GZ68" s="15" t="str">
        <f>IF('Raw Data'!GN16="","",'Raw Data'!GN16)</f>
        <v>oui_ensemble</v>
      </c>
      <c r="HA68" s="15" t="str">
        <f>IF('Raw Data'!GO16="","",'Raw Data'!GO16)</f>
        <v>oui_ensemble</v>
      </c>
      <c r="HB68" s="15" t="str">
        <f>IF('Raw Data'!GP16="","",'Raw Data'!GP16)</f>
        <v>repond_besoins_pop amelioration_futur permet_obtenir_conseils</v>
      </c>
      <c r="HC68" s="15" t="str">
        <f>IF('Raw Data'!GQ16="","",'Raw Data'!GQ16)</f>
        <v>1</v>
      </c>
      <c r="HD68" s="15" t="str">
        <f>IF('Raw Data'!GR16="","",'Raw Data'!GR16)</f>
        <v>1</v>
      </c>
      <c r="HE68" s="15" t="str">
        <f>IF('Raw Data'!GS16="","",'Raw Data'!GS16)</f>
        <v>1</v>
      </c>
      <c r="HF68" s="15" t="str">
        <f>IF('Raw Data'!GT16="","",'Raw Data'!GT16)</f>
        <v>0</v>
      </c>
      <c r="HG68" s="15" t="str">
        <f>IF('Raw Data'!GU16="","",'Raw Data'!GU16)</f>
        <v>0</v>
      </c>
      <c r="HH68" s="15" t="str">
        <f>IF('Raw Data'!GV16="","",'Raw Data'!GV16)</f>
        <v>0</v>
      </c>
      <c r="HI68" s="15" t="str">
        <f>IF('Raw Data'!GW16="","",'Raw Data'!GW16)</f>
        <v>0</v>
      </c>
      <c r="HJ68" s="15" t="str">
        <f>IF('Raw Data'!GX16="","",'Raw Data'!GX16)</f>
        <v>0</v>
      </c>
      <c r="HK68" s="15" t="str">
        <f>IF('Raw Data'!GY16="","",'Raw Data'!GY16)</f>
        <v/>
      </c>
      <c r="HL68" s="31"/>
      <c r="HM68" s="31"/>
      <c r="HN68" s="31"/>
      <c r="HO68" s="31"/>
      <c r="HP68" s="31"/>
      <c r="HQ68" s="31"/>
      <c r="HR68" s="31"/>
      <c r="HS68" s="31"/>
      <c r="HT68" s="15" t="str">
        <f>IF('Raw Data'!HH16="","",'Raw Data'!HH16)</f>
        <v/>
      </c>
      <c r="HU68" s="15" t="str">
        <f>IF('Raw Data'!HI16="","",'Raw Data'!HI16)</f>
        <v>oui_majorite</v>
      </c>
      <c r="HV68" s="15" t="str">
        <f>IF('Raw Data'!HJ16="","",'Raw Data'!HJ16)</f>
        <v>ingo</v>
      </c>
      <c r="HW68" s="15" t="str">
        <f>IF('Raw Data'!HK16="","",'Raw Data'!HK16)</f>
        <v>0</v>
      </c>
      <c r="HX68" s="15" t="str">
        <f>IF('Raw Data'!HL16="","",'Raw Data'!HL16)</f>
        <v>0</v>
      </c>
      <c r="HY68" s="15" t="str">
        <f>IF('Raw Data'!HM16="","",'Raw Data'!HM16)</f>
        <v>0</v>
      </c>
      <c r="HZ68" s="15" t="str">
        <f>IF('Raw Data'!HN16="","",'Raw Data'!HN16)</f>
        <v>0</v>
      </c>
      <c r="IA68" s="15" t="str">
        <f>IF('Raw Data'!HO16="","",'Raw Data'!HO16)</f>
        <v>1</v>
      </c>
      <c r="IB68" s="15" t="str">
        <f>IF('Raw Data'!HP16="","",'Raw Data'!HP16)</f>
        <v>0</v>
      </c>
      <c r="IC68" s="15" t="str">
        <f>IF('Raw Data'!HQ16="","",'Raw Data'!HQ16)</f>
        <v>0</v>
      </c>
      <c r="ID68" s="15" t="str">
        <f>IF('Raw Data'!HR16="","",'Raw Data'!HR16)</f>
        <v>0</v>
      </c>
      <c r="IE68" s="15" t="str">
        <f>IF('Raw Data'!HS16="","",'Raw Data'!HS16)</f>
        <v>0</v>
      </c>
      <c r="IF68" s="15" t="str">
        <f>IF('Raw Data'!HT16="","",'Raw Data'!HT16)</f>
        <v>0</v>
      </c>
      <c r="IG68" s="15" t="str">
        <f>IF('Raw Data'!HU16="","",'Raw Data'!HU16)</f>
        <v/>
      </c>
      <c r="IH68" s="15" t="str">
        <f>IF('Raw Data'!HV16="","",'Raw Data'!HV16)</f>
        <v>oui</v>
      </c>
      <c r="II68" s="15" t="str">
        <f>IF('Raw Data'!HW16="","",'Raw Data'!HW16)</f>
        <v/>
      </c>
      <c r="IJ68" s="15" t="str">
        <f>IF('Raw Data'!HX16="","",'Raw Data'!HX16)</f>
        <v>Enfants Filles Femmes Hommes Hommes_ages</v>
      </c>
      <c r="IK68" s="15" t="str">
        <f>IF('Raw Data'!HY16="","",'Raw Data'!HY16)</f>
        <v>0</v>
      </c>
      <c r="IL68" s="15" t="str">
        <f>IF('Raw Data'!HZ16="","",'Raw Data'!HZ16)</f>
        <v>1</v>
      </c>
      <c r="IM68" s="15" t="str">
        <f>IF('Raw Data'!IA16="","",'Raw Data'!IA16)</f>
        <v>1</v>
      </c>
      <c r="IN68" s="15" t="str">
        <f>IF('Raw Data'!IB16="","",'Raw Data'!IB16)</f>
        <v>0</v>
      </c>
      <c r="IO68" s="15" t="str">
        <f>IF('Raw Data'!IC16="","",'Raw Data'!IC16)</f>
        <v>1</v>
      </c>
      <c r="IP68" s="15" t="str">
        <f>IF('Raw Data'!ID16="","",'Raw Data'!ID16)</f>
        <v>1</v>
      </c>
      <c r="IQ68" s="15" t="str">
        <f>IF('Raw Data'!IE16="","",'Raw Data'!IE16)</f>
        <v>0</v>
      </c>
      <c r="IR68" s="15" t="str">
        <f>IF('Raw Data'!IF16="","",'Raw Data'!IF16)</f>
        <v>1</v>
      </c>
      <c r="IS68" s="15" t="str">
        <f>IF('Raw Data'!IG16="","",'Raw Data'!IG16)</f>
        <v>0</v>
      </c>
      <c r="IT68" s="15" t="str">
        <f>IF('Raw Data'!IH16="","",'Raw Data'!IH16)</f>
        <v>0</v>
      </c>
      <c r="IU68" s="15" t="str">
        <f>IF('Raw Data'!II16="","",'Raw Data'!II16)</f>
        <v>0</v>
      </c>
      <c r="IV68" s="15" t="str">
        <f>IF('Raw Data'!IJ16="","",'Raw Data'!IJ16)</f>
        <v>0</v>
      </c>
      <c r="IW68" s="15" t="str">
        <f>IF('Raw Data'!IK16="","",'Raw Data'!IK16)</f>
        <v>0</v>
      </c>
      <c r="IX68" s="15" t="str">
        <f>IF('Raw Data'!IL16="","",'Raw Data'!IL16)</f>
        <v>0</v>
      </c>
      <c r="IY68" s="15" t="str">
        <f>IF('Raw Data'!IM16="","",'Raw Data'!IM16)</f>
        <v/>
      </c>
      <c r="IZ68" s="15" t="str">
        <f>IF('Raw Data'!IN16="","",'Raw Data'!IN16)</f>
        <v>30</v>
      </c>
      <c r="JA68" s="15" t="str">
        <f>IF('Raw Data'!IO16="","",'Raw Data'!IO16)</f>
        <v>points_ecoute</v>
      </c>
      <c r="JB68" s="15" t="str">
        <f>IF('Raw Data'!IP16="","",'Raw Data'!IP16)</f>
        <v>0</v>
      </c>
      <c r="JC68" s="15" t="str">
        <f>IF('Raw Data'!IQ16="","",'Raw Data'!IQ16)</f>
        <v>0</v>
      </c>
      <c r="JD68" s="15" t="str">
        <f>IF('Raw Data'!IR16="","",'Raw Data'!IR16)</f>
        <v>0</v>
      </c>
      <c r="JE68" s="15" t="str">
        <f>IF('Raw Data'!IS16="","",'Raw Data'!IS16)</f>
        <v>0</v>
      </c>
      <c r="JF68" s="15" t="str">
        <f>IF('Raw Data'!IT16="","",'Raw Data'!IT16)</f>
        <v>0</v>
      </c>
      <c r="JG68" s="15" t="str">
        <f>IF('Raw Data'!IU16="","",'Raw Data'!IU16)</f>
        <v>0</v>
      </c>
      <c r="JH68" s="15" t="str">
        <f>IF('Raw Data'!IV16="","",'Raw Data'!IV16)</f>
        <v>0</v>
      </c>
      <c r="JI68" s="15" t="str">
        <f>IF('Raw Data'!IW16="","",'Raw Data'!IW16)</f>
        <v>1</v>
      </c>
      <c r="JJ68" s="15" t="str">
        <f>IF('Raw Data'!IX16="","",'Raw Data'!IX16)</f>
        <v>0</v>
      </c>
      <c r="JK68" s="15" t="str">
        <f>IF('Raw Data'!IY16="","",'Raw Data'!IY16)</f>
        <v>0</v>
      </c>
      <c r="JL68" s="15" t="str">
        <f>IF('Raw Data'!IZ16="","",'Raw Data'!IZ16)</f>
        <v/>
      </c>
      <c r="JM68" s="15" t="str">
        <f>IF('Raw Data'!JA16="","",'Raw Data'!JA16)</f>
        <v>prise_enchage signalement reorientation</v>
      </c>
      <c r="JN68" s="15" t="str">
        <f>IF('Raw Data'!JB16="","",'Raw Data'!JB16)</f>
        <v>1</v>
      </c>
      <c r="JO68" s="15" t="str">
        <f>IF('Raw Data'!JC16="","",'Raw Data'!JC16)</f>
        <v>1</v>
      </c>
      <c r="JP68" s="15" t="str">
        <f>IF('Raw Data'!JD16="","",'Raw Data'!JD16)</f>
        <v>1</v>
      </c>
      <c r="JQ68" s="15" t="str">
        <f>IF('Raw Data'!JE16="","",'Raw Data'!JE16)</f>
        <v>0</v>
      </c>
      <c r="JR68" s="15" t="str">
        <f>IF('Raw Data'!JF16="","",'Raw Data'!JF16)</f>
        <v>0</v>
      </c>
      <c r="JS68" s="15" t="str">
        <f>IF('Raw Data'!JG16="","",'Raw Data'!JG16)</f>
        <v>0</v>
      </c>
      <c r="JT68" s="15" t="str">
        <f>IF('Raw Data'!JH16="","",'Raw Data'!JH16)</f>
        <v/>
      </c>
      <c r="JU68" s="31" t="s">
        <v>1409</v>
      </c>
      <c r="JV68" s="15" t="str">
        <f>IF('Raw Data'!JJ16="","",'Raw Data'!JJ16)</f>
        <v>0</v>
      </c>
      <c r="JW68" s="15" t="str">
        <f>IF('Raw Data'!JK16="","",'Raw Data'!JK16)</f>
        <v>0</v>
      </c>
      <c r="JX68" s="15" t="str">
        <f>IF('Raw Data'!JL16="","",'Raw Data'!JL16)</f>
        <v>1</v>
      </c>
      <c r="JY68" s="15" t="str">
        <f>IF('Raw Data'!JM16="","",'Raw Data'!JM16)</f>
        <v>0</v>
      </c>
      <c r="JZ68" s="15" t="str">
        <f>IF('Raw Data'!JN16="","",'Raw Data'!JN16)</f>
        <v>1</v>
      </c>
      <c r="KA68" s="15" t="str">
        <f>IF('Raw Data'!JO16="","",'Raw Data'!JO16)</f>
        <v>0</v>
      </c>
      <c r="KB68" s="15" t="str">
        <f>IF('Raw Data'!JP16="","",'Raw Data'!JP16)</f>
        <v>0</v>
      </c>
      <c r="KC68" s="31">
        <v>0</v>
      </c>
      <c r="KD68" s="15" t="str">
        <f>IF('Raw Data'!JR16="","",'Raw Data'!JR16)</f>
        <v>0</v>
      </c>
      <c r="KE68" s="31"/>
      <c r="KF68" s="15" t="str">
        <f>IF('Raw Data'!JT16="","",'Raw Data'!JT16)</f>
        <v>medical Psychosocia point_ecoute juridique</v>
      </c>
      <c r="KG68" s="15" t="str">
        <f>IF('Raw Data'!JU16="","",'Raw Data'!JU16)</f>
        <v>1</v>
      </c>
      <c r="KH68" s="15" t="str">
        <f>IF('Raw Data'!JV16="","",'Raw Data'!JV16)</f>
        <v>1</v>
      </c>
      <c r="KI68" s="15" t="str">
        <f>IF('Raw Data'!JW16="","",'Raw Data'!JW16)</f>
        <v>1</v>
      </c>
      <c r="KJ68" s="15" t="str">
        <f>IF('Raw Data'!JX16="","",'Raw Data'!JX16)</f>
        <v>1</v>
      </c>
      <c r="KK68" s="15" t="str">
        <f>IF('Raw Data'!JY16="","",'Raw Data'!JY16)</f>
        <v>0</v>
      </c>
      <c r="KL68" s="15" t="str">
        <f>IF('Raw Data'!JZ16="","",'Raw Data'!JZ16)</f>
        <v>0</v>
      </c>
      <c r="KM68" s="15" t="str">
        <f>IF('Raw Data'!KA16="","",'Raw Data'!KA16)</f>
        <v>0</v>
      </c>
      <c r="KN68" s="15" t="str">
        <f>IF('Raw Data'!KB16="","",'Raw Data'!KB16)</f>
        <v>0</v>
      </c>
      <c r="KO68" s="15" t="str">
        <f>IF('Raw Data'!KC16="","",'Raw Data'!KC16)</f>
        <v>0</v>
      </c>
      <c r="KP68" s="15" t="str">
        <f>IF('Raw Data'!KD16="","",'Raw Data'!KD16)</f>
        <v/>
      </c>
      <c r="KQ68" s="15" t="str">
        <f>IF('Raw Data'!KE16="","",'Raw Data'!KE16)</f>
        <v/>
      </c>
      <c r="KR68" s="15" t="str">
        <f>IF('Raw Data'!KF16="","",'Raw Data'!KF16)</f>
        <v>oui</v>
      </c>
      <c r="KS68" s="15" t="str">
        <f>IF('Raw Data'!KG16="","",'Raw Data'!KG16)</f>
        <v>probleme_orientation manque_cordination</v>
      </c>
      <c r="KT68" s="15" t="str">
        <f>IF('Raw Data'!KH16="","",'Raw Data'!KH16)</f>
        <v>0</v>
      </c>
      <c r="KU68" s="15" t="str">
        <f>IF('Raw Data'!KI16="","",'Raw Data'!KI16)</f>
        <v>0</v>
      </c>
      <c r="KV68" s="15" t="str">
        <f>IF('Raw Data'!KJ16="","",'Raw Data'!KJ16)</f>
        <v>0</v>
      </c>
      <c r="KW68" s="15" t="str">
        <f>IF('Raw Data'!KK16="","",'Raw Data'!KK16)</f>
        <v>1</v>
      </c>
      <c r="KX68" s="15" t="str">
        <f>IF('Raw Data'!KL16="","",'Raw Data'!KL16)</f>
        <v>0</v>
      </c>
      <c r="KY68" s="15" t="str">
        <f>IF('Raw Data'!KM16="","",'Raw Data'!KM16)</f>
        <v>0</v>
      </c>
      <c r="KZ68" s="15" t="str">
        <f>IF('Raw Data'!KN16="","",'Raw Data'!KN16)</f>
        <v>1</v>
      </c>
      <c r="LA68" s="15" t="str">
        <f>IF('Raw Data'!KO16="","",'Raw Data'!KO16)</f>
        <v>0</v>
      </c>
      <c r="LB68" s="15" t="str">
        <f>IF('Raw Data'!KP16="","",'Raw Data'!KP16)</f>
        <v>0</v>
      </c>
      <c r="LC68" s="15" t="str">
        <f>IF('Raw Data'!KQ16="","",'Raw Data'!KQ16)</f>
        <v>0</v>
      </c>
      <c r="LD68" s="15" t="str">
        <f>IF('Raw Data'!KR16="","",'Raw Data'!KR16)</f>
        <v>0</v>
      </c>
      <c r="LE68" s="15" t="str">
        <f>IF('Raw Data'!KS16="","",'Raw Data'!KS16)</f>
        <v/>
      </c>
      <c r="LF68" s="15" t="str">
        <f>IF('Raw Data'!KT16="","",'Raw Data'!KT16)</f>
        <v>pb_logistiques pb_coordination</v>
      </c>
      <c r="LG68" s="15" t="str">
        <f>IF('Raw Data'!KU16="","",'Raw Data'!KU16)</f>
        <v>0</v>
      </c>
      <c r="LH68" s="15" t="str">
        <f>IF('Raw Data'!KV16="","",'Raw Data'!KV16)</f>
        <v>1</v>
      </c>
      <c r="LI68" s="15" t="str">
        <f>IF('Raw Data'!KW16="","",'Raw Data'!KW16)</f>
        <v>0</v>
      </c>
      <c r="LJ68" s="15" t="str">
        <f>IF('Raw Data'!KX16="","",'Raw Data'!KX16)</f>
        <v>1</v>
      </c>
      <c r="LK68" s="15" t="str">
        <f>IF('Raw Data'!KY16="","",'Raw Data'!KY16)</f>
        <v>0</v>
      </c>
      <c r="LL68" s="15" t="str">
        <f>IF('Raw Data'!KZ16="","",'Raw Data'!KZ16)</f>
        <v>0</v>
      </c>
      <c r="LM68" s="15" t="str">
        <f>IF('Raw Data'!LA16="","",'Raw Data'!LA16)</f>
        <v/>
      </c>
      <c r="LN68" s="15" t="str">
        <f>IF('Raw Data'!LB16="","",'Raw Data'!LB16)</f>
        <v>non</v>
      </c>
      <c r="LO68" s="15" t="str">
        <f>IF('Raw Data'!LC16="","",'Raw Data'!LC16)</f>
        <v/>
      </c>
      <c r="LP68" s="15" t="str">
        <f>IF('Raw Data'!LD16="","",'Raw Data'!LD16)</f>
        <v/>
      </c>
      <c r="LQ68" s="15" t="str">
        <f>IF('Raw Data'!LE16="","",'Raw Data'!LE16)</f>
        <v/>
      </c>
      <c r="LR68" s="15" t="str">
        <f>IF('Raw Data'!LF16="","",'Raw Data'!LF16)</f>
        <v/>
      </c>
      <c r="LS68" s="15" t="str">
        <f>IF('Raw Data'!LG16="","",'Raw Data'!LG16)</f>
        <v/>
      </c>
      <c r="LT68" s="15" t="str">
        <f>IF('Raw Data'!LH16="","",'Raw Data'!LH16)</f>
        <v/>
      </c>
      <c r="LU68" s="15" t="str">
        <f>IF('Raw Data'!LI16="","",'Raw Data'!LI16)</f>
        <v/>
      </c>
      <c r="LV68" s="15" t="str">
        <f>IF('Raw Data'!LJ16="","",'Raw Data'!LJ16)</f>
        <v/>
      </c>
      <c r="LW68" s="15" t="str">
        <f>IF('Raw Data'!LK16="","",'Raw Data'!LK16)</f>
        <v/>
      </c>
      <c r="LX68" s="15" t="str">
        <f>IF('Raw Data'!LL16="","",'Raw Data'!LL16)</f>
        <v/>
      </c>
      <c r="LY68" s="15" t="str">
        <f>IF('Raw Data'!LM16="","",'Raw Data'!LM16)</f>
        <v/>
      </c>
      <c r="LZ68" s="15" t="str">
        <f>IF('Raw Data'!LN16="","",'Raw Data'!LN16)</f>
        <v/>
      </c>
      <c r="MA68" s="15" t="str">
        <f>IF('Raw Data'!LO16="","",'Raw Data'!LO16)</f>
        <v/>
      </c>
      <c r="MB68" s="15" t="str">
        <f>IF('Raw Data'!LP16="","",'Raw Data'!LP16)</f>
        <v>oui</v>
      </c>
      <c r="MC68" s="15" t="str">
        <f>IF('Raw Data'!LQ16="","",'Raw Data'!LQ16)</f>
        <v/>
      </c>
      <c r="MD68" s="15" t="str">
        <f>IF('Raw Data'!LR16="","",'Raw Data'!LR16)</f>
        <v>Les incidents cités par l'IC sont liés aux sites de déplacés dont nous n'avons pas accès</v>
      </c>
      <c r="ME68" s="15">
        <f>IF('Raw Data'!LS16="","",'Raw Data'!LS16)</f>
        <v>169204105</v>
      </c>
      <c r="MF68" s="15" t="str">
        <f>IF('Raw Data'!LT16="","",'Raw Data'!LT16)</f>
        <v>c02e3a07-cabd-4b66-9aa3-541f62026c49</v>
      </c>
      <c r="MG68" s="15" t="str">
        <f>IF('Raw Data'!LU16="","",'Raw Data'!LU16)</f>
        <v>2021-04-01T17:43:16</v>
      </c>
      <c r="MH68" s="15" t="str">
        <f>IF('Raw Data'!LV16="","",'Raw Data'!LV16)</f>
        <v/>
      </c>
      <c r="MI68" s="15" t="str">
        <f>IF('Raw Data'!LW16="","",'Raw Data'!LW16)</f>
        <v>[]</v>
      </c>
      <c r="MJ68" s="15" t="str">
        <f>IF('Raw Data'!LX16="","",'Raw Data'!LX16)</f>
        <v>submitted_via_web</v>
      </c>
      <c r="MK68" s="15" t="str">
        <f>IF('Raw Data'!LY16="","",'Raw Data'!LY16)</f>
        <v>reach_niger</v>
      </c>
      <c r="ML68" s="15" t="str">
        <f>IF('Raw Data'!LZ16="","",'Raw Data'!LZ16)</f>
        <v/>
      </c>
      <c r="MM68" s="15">
        <f>IF('Raw Data'!MA16="","",'Raw Data'!MA16)</f>
        <v>15</v>
      </c>
    </row>
    <row r="69" spans="1:351" x14ac:dyDescent="0.3">
      <c r="A69" s="26" t="str">
        <f t="shared" si="4"/>
        <v>58aa5639-76bd-4e1d-ba1c-4b1486d5ac7a</v>
      </c>
      <c r="B69" s="26" t="str">
        <f t="shared" si="5"/>
        <v>makalondi</v>
      </c>
      <c r="C69" s="26" t="str">
        <f t="shared" si="6"/>
        <v>Q</v>
      </c>
      <c r="D69" s="14" t="str">
        <f>IF('Raw Data'!A8="","",'Raw Data'!A8)</f>
        <v>2021-03-31T09:24:31.654+01:00</v>
      </c>
      <c r="E69" s="14" t="str">
        <f>IF('Raw Data'!B8="","",'Raw Data'!B8)</f>
        <v>2021-03-31T10:22:43.671+01:00</v>
      </c>
      <c r="F69" s="30">
        <v>44286.392025462963</v>
      </c>
      <c r="G69" s="30">
        <v>44286.432442129626</v>
      </c>
      <c r="H69" s="29">
        <f>VLOOKUP(A69,Audit[#All],2,FALSE)</f>
        <v>58.2</v>
      </c>
      <c r="I69" s="29">
        <f>VLOOKUP(A69,Audit[#All],3,FALSE)</f>
        <v>57.99</v>
      </c>
      <c r="J69" s="29">
        <f>VLOOKUP(A69,Audit[#All],4,FALSE)</f>
        <v>55.150000000000013</v>
      </c>
      <c r="K69" s="29">
        <f>VLOOKUP(A69,nb_questions[#All],2,FALSE)</f>
        <v>222</v>
      </c>
      <c r="L69" s="29">
        <f t="shared" si="7"/>
        <v>78</v>
      </c>
      <c r="M69" s="14" t="str">
        <f>IF('Raw Data'!C8="","",'Raw Data'!C8)</f>
        <v>2021-03-31</v>
      </c>
      <c r="N69" s="14" t="str">
        <f>IF('Raw Data'!D8="","",'Raw Data'!D8)</f>
        <v/>
      </c>
      <c r="O69" s="14" t="str">
        <f>IF('Raw Data'!E8="","",'Raw Data'!E8)</f>
        <v/>
      </c>
      <c r="P69" s="29" t="str">
        <f>VLOOKUP(A69,code_enqueteurs[#All],3,FALSE)</f>
        <v>Q</v>
      </c>
      <c r="Q69" s="29" t="s">
        <v>1659</v>
      </c>
      <c r="R69" s="14" t="str">
        <f>IF('Raw Data'!F8="","",'Raw Data'!F8)</f>
        <v>Homme</v>
      </c>
      <c r="S69" s="15" t="str">
        <f>IF('Raw Data'!G8="","",'Raw Data'!G8)</f>
        <v>torodi</v>
      </c>
      <c r="T69" s="15" t="str">
        <f>IF('Raw Data'!H8="","",'Raw Data'!H8)</f>
        <v>makalondi</v>
      </c>
      <c r="U69" s="15" t="str">
        <f>IF('Raw Data'!I8="","",'Raw Data'!I8)</f>
        <v>autre</v>
      </c>
      <c r="V69" s="31" t="s">
        <v>1642</v>
      </c>
      <c r="W69" s="15" t="str">
        <f>IF('Raw Data'!K8="","",'Raw Data'!K8)</f>
        <v/>
      </c>
      <c r="X69" s="15" t="str">
        <f>IF('Raw Data'!L8="","",'Raw Data'!L8)</f>
        <v/>
      </c>
      <c r="Y69" s="15" t="str">
        <f>IF('Raw Data'!M8="","",'Raw Data'!M8)</f>
        <v/>
      </c>
      <c r="Z69" s="15" t="str">
        <f>IF('Raw Data'!N8="","",'Raw Data'!N8)</f>
        <v/>
      </c>
      <c r="AA69" s="15" t="str">
        <f>IF('Raw Data'!O8="","",'Raw Data'!O8)</f>
        <v/>
      </c>
      <c r="AB69" s="15" t="str">
        <f>IF('Raw Data'!P8="","",'Raw Data'!P8)</f>
        <v/>
      </c>
      <c r="AC69" s="15" t="str">
        <f>IF('Raw Data'!Q8="","",'Raw Data'!Q8)</f>
        <v/>
      </c>
      <c r="AD69" s="15" t="str">
        <f>IF('Raw Data'!R8="","",'Raw Data'!R8)</f>
        <v>Homme</v>
      </c>
      <c r="AE69" s="15" t="str">
        <f>IF('Raw Data'!S8="","",'Raw Data'!S8)</f>
        <v>39</v>
      </c>
      <c r="AF69" s="31" t="s">
        <v>503</v>
      </c>
      <c r="AG69" s="31"/>
      <c r="AH69" s="15" t="str">
        <f>IF('Raw Data'!V8="","",'Raw Data'!V8)</f>
        <v/>
      </c>
      <c r="AI69" s="15" t="str">
        <f>IF('Raw Data'!W8="","",'Raw Data'!W8)</f>
        <v/>
      </c>
      <c r="AJ69" s="15" t="str">
        <f>IF('Raw Data'!X8="","",'Raw Data'!X8)</f>
        <v/>
      </c>
      <c r="AK69" s="15" t="str">
        <f>IF('Raw Data'!Y8="","",'Raw Data'!Y8)</f>
        <v/>
      </c>
      <c r="AL69" s="15" t="str">
        <f>IF('Raw Data'!Z8="","",'Raw Data'!Z8)</f>
        <v/>
      </c>
      <c r="AM69" s="15" t="str">
        <f>IF('Raw Data'!AA8="","",'Raw Data'!AA8)</f>
        <v/>
      </c>
      <c r="AN69" s="15" t="str">
        <f>IF('Raw Data'!AB8="","",'Raw Data'!AB8)</f>
        <v/>
      </c>
      <c r="AO69" s="15" t="str">
        <f>IF('Raw Data'!AC8="","",'Raw Data'!AC8)</f>
        <v/>
      </c>
      <c r="AP69" s="15" t="str">
        <f>IF('Raw Data'!AD8="","",'Raw Data'!AD8)</f>
        <v/>
      </c>
      <c r="AQ69" s="15" t="str">
        <f>IF('Raw Data'!AE8="","",'Raw Data'!AE8)</f>
        <v/>
      </c>
      <c r="AR69" s="15" t="str">
        <f>IF('Raw Data'!AF8="","",'Raw Data'!AF8)</f>
        <v/>
      </c>
      <c r="AS69" s="15" t="str">
        <f>IF('Raw Data'!AG8="","",'Raw Data'!AG8)</f>
        <v>oui</v>
      </c>
      <c r="AT69" s="15" t="str">
        <f>IF('Raw Data'!AH8="","",'Raw Data'!AH8)</f>
        <v>Kidnapping_Disparitions_forcees</v>
      </c>
      <c r="AU69" s="15" t="str">
        <f>IF('Raw Data'!AI8="","",'Raw Data'!AI8)</f>
        <v>0</v>
      </c>
      <c r="AV69" s="15" t="str">
        <f>IF('Raw Data'!AJ8="","",'Raw Data'!AJ8)</f>
        <v>0</v>
      </c>
      <c r="AW69" s="15" t="str">
        <f>IF('Raw Data'!AK8="","",'Raw Data'!AK8)</f>
        <v>0</v>
      </c>
      <c r="AX69" s="15" t="str">
        <f>IF('Raw Data'!AL8="","",'Raw Data'!AL8)</f>
        <v>0</v>
      </c>
      <c r="AY69" s="15" t="str">
        <f>IF('Raw Data'!AM8="","",'Raw Data'!AM8)</f>
        <v>0</v>
      </c>
      <c r="AZ69" s="15" t="str">
        <f>IF('Raw Data'!AN8="","",'Raw Data'!AN8)</f>
        <v>1</v>
      </c>
      <c r="BA69" s="15" t="str">
        <f>IF('Raw Data'!AO8="","",'Raw Data'!AO8)</f>
        <v>0</v>
      </c>
      <c r="BB69" s="15" t="str">
        <f>IF('Raw Data'!AP8="","",'Raw Data'!AP8)</f>
        <v>0</v>
      </c>
      <c r="BC69" s="15" t="str">
        <f>IF('Raw Data'!AQ8="","",'Raw Data'!AQ8)</f>
        <v>0</v>
      </c>
      <c r="BD69" s="15" t="str">
        <f>IF('Raw Data'!AR8="","",'Raw Data'!AR8)</f>
        <v>0</v>
      </c>
      <c r="BE69" s="15" t="str">
        <f>IF('Raw Data'!AS8="","",'Raw Data'!AS8)</f>
        <v>0</v>
      </c>
      <c r="BF69" s="15" t="str">
        <f>IF('Raw Data'!AT8="","",'Raw Data'!AT8)</f>
        <v>0</v>
      </c>
      <c r="BG69" s="15" t="str">
        <f>IF('Raw Data'!AU8="","",'Raw Data'!AU8)</f>
        <v>0</v>
      </c>
      <c r="BH69" s="15" t="str">
        <f>IF('Raw Data'!AV8="","",'Raw Data'!AV8)</f>
        <v>0</v>
      </c>
      <c r="BI69" s="15" t="str">
        <f>IF('Raw Data'!AW8="","",'Raw Data'!AW8)</f>
        <v/>
      </c>
      <c r="BJ69" s="15" t="str">
        <f>IF('Raw Data'!AX8="","",'Raw Data'!AX8)</f>
        <v>Garçons Hommes</v>
      </c>
      <c r="BK69" s="15" t="str">
        <f>IF('Raw Data'!AY8="","",'Raw Data'!AY8)</f>
        <v>0</v>
      </c>
      <c r="BL69" s="15" t="str">
        <f>IF('Raw Data'!AZ8="","",'Raw Data'!AZ8)</f>
        <v>0</v>
      </c>
      <c r="BM69" s="15" t="str">
        <f>IF('Raw Data'!BA8="","",'Raw Data'!BA8)</f>
        <v>0</v>
      </c>
      <c r="BN69" s="15" t="str">
        <f>IF('Raw Data'!BB8="","",'Raw Data'!BB8)</f>
        <v>1</v>
      </c>
      <c r="BO69" s="15" t="str">
        <f>IF('Raw Data'!BC8="","",'Raw Data'!BC8)</f>
        <v>0</v>
      </c>
      <c r="BP69" s="15" t="str">
        <f>IF('Raw Data'!BD8="","",'Raw Data'!BD8)</f>
        <v>1</v>
      </c>
      <c r="BQ69" s="15" t="str">
        <f>IF('Raw Data'!BE8="","",'Raw Data'!BE8)</f>
        <v>0</v>
      </c>
      <c r="BR69" s="15" t="str">
        <f>IF('Raw Data'!BF8="","",'Raw Data'!BF8)</f>
        <v>0</v>
      </c>
      <c r="BS69" s="15" t="str">
        <f>IF('Raw Data'!BG8="","",'Raw Data'!BG8)</f>
        <v>0</v>
      </c>
      <c r="BT69" s="15" t="str">
        <f>IF('Raw Data'!BH8="","",'Raw Data'!BH8)</f>
        <v>0</v>
      </c>
      <c r="BU69" s="15" t="str">
        <f>IF('Raw Data'!BI8="","",'Raw Data'!BI8)</f>
        <v>0</v>
      </c>
      <c r="BV69" s="15" t="str">
        <f>IF('Raw Data'!BJ8="","",'Raw Data'!BJ8)</f>
        <v>0</v>
      </c>
      <c r="BW69" s="15" t="str">
        <f>IF('Raw Data'!BK8="","",'Raw Data'!BK8)</f>
        <v>0</v>
      </c>
      <c r="BX69" s="15" t="str">
        <f>IF('Raw Data'!BL8="","",'Raw Data'!BL8)</f>
        <v>0</v>
      </c>
      <c r="BY69" s="15" t="str">
        <f>IF('Raw Data'!BM8="","",'Raw Data'!BM8)</f>
        <v/>
      </c>
      <c r="BZ69" s="15" t="str">
        <f>IF('Raw Data'!BN8="","",'Raw Data'!BN8)</f>
        <v>3</v>
      </c>
      <c r="CA69" s="15" t="str">
        <f>IF('Raw Data'!BO8="","",'Raw Data'!BO8)</f>
        <v>augmente</v>
      </c>
      <c r="CB69" s="15" t="str">
        <f>IF('Raw Data'!BP8="","",'Raw Data'!BP8)</f>
        <v/>
      </c>
      <c r="CC69" s="15" t="str">
        <f>IF('Raw Data'!BQ8="","",'Raw Data'!BQ8)</f>
        <v>oui</v>
      </c>
      <c r="CD69" s="15" t="str">
        <f>IF('Raw Data'!BR8="","",'Raw Data'!BR8)</f>
        <v>viol</v>
      </c>
      <c r="CE69" s="15" t="str">
        <f>IF('Raw Data'!BS8="","",'Raw Data'!BS8)</f>
        <v>1</v>
      </c>
      <c r="CF69" s="15" t="str">
        <f>IF('Raw Data'!BT8="","",'Raw Data'!BT8)</f>
        <v>0</v>
      </c>
      <c r="CG69" s="15" t="str">
        <f>IF('Raw Data'!BU8="","",'Raw Data'!BU8)</f>
        <v>0</v>
      </c>
      <c r="CH69" s="15" t="str">
        <f>IF('Raw Data'!BV8="","",'Raw Data'!BV8)</f>
        <v>0</v>
      </c>
      <c r="CI69" s="15" t="str">
        <f>IF('Raw Data'!BW8="","",'Raw Data'!BW8)</f>
        <v>0</v>
      </c>
      <c r="CJ69" s="15" t="str">
        <f>IF('Raw Data'!BX8="","",'Raw Data'!BX8)</f>
        <v>0</v>
      </c>
      <c r="CK69" s="15" t="str">
        <f>IF('Raw Data'!BY8="","",'Raw Data'!BY8)</f>
        <v>0</v>
      </c>
      <c r="CL69" s="15" t="str">
        <f>IF('Raw Data'!BZ8="","",'Raw Data'!BZ8)</f>
        <v>0</v>
      </c>
      <c r="CM69" s="15" t="str">
        <f>IF('Raw Data'!CA8="","",'Raw Data'!CA8)</f>
        <v>0</v>
      </c>
      <c r="CN69" s="15" t="str">
        <f>IF('Raw Data'!CB8="","",'Raw Data'!CB8)</f>
        <v>0</v>
      </c>
      <c r="CO69" s="15" t="str">
        <f>IF('Raw Data'!CC8="","",'Raw Data'!CC8)</f>
        <v>0</v>
      </c>
      <c r="CP69" s="15" t="str">
        <f>IF('Raw Data'!CD8="","",'Raw Data'!CD8)</f>
        <v>0</v>
      </c>
      <c r="CQ69" s="15" t="str">
        <f>IF('Raw Data'!CE8="","",'Raw Data'!CE8)</f>
        <v>0</v>
      </c>
      <c r="CR69" s="15" t="str">
        <f>IF('Raw Data'!CF8="","",'Raw Data'!CF8)</f>
        <v>0</v>
      </c>
      <c r="CS69" s="15" t="str">
        <f>IF('Raw Data'!CG8="","",'Raw Data'!CG8)</f>
        <v>0</v>
      </c>
      <c r="CT69" s="15" t="str">
        <f>IF('Raw Data'!CH8="","",'Raw Data'!CH8)</f>
        <v/>
      </c>
      <c r="CU69" s="15" t="str">
        <f>IF('Raw Data'!CI8="","",'Raw Data'!CI8)</f>
        <v>Filles Femmes</v>
      </c>
      <c r="CV69" s="15" t="str">
        <f>IF('Raw Data'!CJ8="","",'Raw Data'!CJ8)</f>
        <v>0</v>
      </c>
      <c r="CW69" s="15" t="str">
        <f>IF('Raw Data'!CK8="","",'Raw Data'!CK8)</f>
        <v>0</v>
      </c>
      <c r="CX69" s="15" t="str">
        <f>IF('Raw Data'!CL8="","",'Raw Data'!CL8)</f>
        <v>1</v>
      </c>
      <c r="CY69" s="15" t="str">
        <f>IF('Raw Data'!CM8="","",'Raw Data'!CM8)</f>
        <v>0</v>
      </c>
      <c r="CZ69" s="15" t="str">
        <f>IF('Raw Data'!CN8="","",'Raw Data'!CN8)</f>
        <v>1</v>
      </c>
      <c r="DA69" s="15" t="str">
        <f>IF('Raw Data'!CO8="","",'Raw Data'!CO8)</f>
        <v>0</v>
      </c>
      <c r="DB69" s="15" t="str">
        <f>IF('Raw Data'!CP8="","",'Raw Data'!CP8)</f>
        <v>0</v>
      </c>
      <c r="DC69" s="15" t="str">
        <f>IF('Raw Data'!CQ8="","",'Raw Data'!CQ8)</f>
        <v>0</v>
      </c>
      <c r="DD69" s="15" t="str">
        <f>IF('Raw Data'!CR8="","",'Raw Data'!CR8)</f>
        <v>0</v>
      </c>
      <c r="DE69" s="15" t="str">
        <f>IF('Raw Data'!CS8="","",'Raw Data'!CS8)</f>
        <v>0</v>
      </c>
      <c r="DF69" s="15" t="str">
        <f>IF('Raw Data'!CT8="","",'Raw Data'!CT8)</f>
        <v>0</v>
      </c>
      <c r="DG69" s="15" t="str">
        <f>IF('Raw Data'!CU8="","",'Raw Data'!CU8)</f>
        <v>0</v>
      </c>
      <c r="DH69" s="15" t="str">
        <f>IF('Raw Data'!CV8="","",'Raw Data'!CV8)</f>
        <v>0</v>
      </c>
      <c r="DI69" s="15" t="str">
        <f>IF('Raw Data'!CW8="","",'Raw Data'!CW8)</f>
        <v>0</v>
      </c>
      <c r="DJ69" s="15" t="str">
        <f>IF('Raw Data'!CX8="","",'Raw Data'!CX8)</f>
        <v/>
      </c>
      <c r="DK69" s="15" t="str">
        <f>IF('Raw Data'!CY8="","",'Raw Data'!CY8)</f>
        <v>1</v>
      </c>
      <c r="DL69" s="15" t="str">
        <f>IF('Raw Data'!CZ8="","",'Raw Data'!CZ8)</f>
        <v>diminue</v>
      </c>
      <c r="DM69" s="15" t="str">
        <f>IF('Raw Data'!DA8="","",'Raw Data'!DA8)</f>
        <v/>
      </c>
      <c r="DN69" s="15" t="str">
        <f>IF('Raw Data'!DB8="","",'Raw Data'!DB8)</f>
        <v>Ne_sait_pas</v>
      </c>
      <c r="DO69" s="15" t="str">
        <f>IF('Raw Data'!DC8="","",'Raw Data'!DC8)</f>
        <v>0</v>
      </c>
      <c r="DP69" s="15" t="str">
        <f>IF('Raw Data'!DD8="","",'Raw Data'!DD8)</f>
        <v>0</v>
      </c>
      <c r="DQ69" s="15" t="str">
        <f>IF('Raw Data'!DE8="","",'Raw Data'!DE8)</f>
        <v>0</v>
      </c>
      <c r="DR69" s="15" t="str">
        <f>IF('Raw Data'!DF8="","",'Raw Data'!DF8)</f>
        <v>0</v>
      </c>
      <c r="DS69" s="15" t="str">
        <f>IF('Raw Data'!DG8="","",'Raw Data'!DG8)</f>
        <v>0</v>
      </c>
      <c r="DT69" s="15" t="str">
        <f>IF('Raw Data'!DH8="","",'Raw Data'!DH8)</f>
        <v>0</v>
      </c>
      <c r="DU69" s="15" t="str">
        <f>IF('Raw Data'!DI8="","",'Raw Data'!DI8)</f>
        <v>0</v>
      </c>
      <c r="DV69" s="15" t="str">
        <f>IF('Raw Data'!DJ8="","",'Raw Data'!DJ8)</f>
        <v>0</v>
      </c>
      <c r="DW69" s="15" t="str">
        <f>IF('Raw Data'!DK8="","",'Raw Data'!DK8)</f>
        <v>1</v>
      </c>
      <c r="DX69" s="15" t="str">
        <f>IF('Raw Data'!DL8="","",'Raw Data'!DL8)</f>
        <v>0</v>
      </c>
      <c r="DY69" s="15" t="str">
        <f>IF('Raw Data'!DM8="","",'Raw Data'!DM8)</f>
        <v/>
      </c>
      <c r="DZ69" s="15" t="str">
        <f>IF('Raw Data'!DN8="","",'Raw Data'!DN8)</f>
        <v>amelioration_acces_service_base stabilisation_aug_moyen_existence</v>
      </c>
      <c r="EA69" s="15" t="str">
        <f>IF('Raw Data'!DO8="","",'Raw Data'!DO8)</f>
        <v>1</v>
      </c>
      <c r="EB69" s="15" t="str">
        <f>IF('Raw Data'!DP8="","",'Raw Data'!DP8)</f>
        <v>0</v>
      </c>
      <c r="EC69" s="15" t="str">
        <f>IF('Raw Data'!DQ8="","",'Raw Data'!DQ8)</f>
        <v>1</v>
      </c>
      <c r="ED69" s="15" t="str">
        <f>IF('Raw Data'!DR8="","",'Raw Data'!DR8)</f>
        <v>0</v>
      </c>
      <c r="EE69" s="15" t="str">
        <f>IF('Raw Data'!DS8="","",'Raw Data'!DS8)</f>
        <v>0</v>
      </c>
      <c r="EF69" s="15" t="str">
        <f>IF('Raw Data'!DT8="","",'Raw Data'!DT8)</f>
        <v>0</v>
      </c>
      <c r="EG69" s="15" t="str">
        <f>IF('Raw Data'!DU8="","",'Raw Data'!DU8)</f>
        <v>0</v>
      </c>
      <c r="EH69" s="15" t="str">
        <f>IF('Raw Data'!DV8="","",'Raw Data'!DV8)</f>
        <v>0</v>
      </c>
      <c r="EI69" s="15" t="str">
        <f>IF('Raw Data'!DW8="","",'Raw Data'!DW8)</f>
        <v>0</v>
      </c>
      <c r="EJ69" s="15" t="str">
        <f>IF('Raw Data'!DX8="","",'Raw Data'!DX8)</f>
        <v/>
      </c>
      <c r="EK69" s="15" t="str">
        <f>IF('Raw Data'!DY8="","",'Raw Data'!DY8)</f>
        <v/>
      </c>
      <c r="EL69" s="15" t="str">
        <f>IF('Raw Data'!DZ8="","",'Raw Data'!DZ8)</f>
        <v>Integration_com_hote</v>
      </c>
      <c r="EM69" s="15" t="str">
        <f>IF('Raw Data'!EA8="","",'Raw Data'!EA8)</f>
        <v>0</v>
      </c>
      <c r="EN69" s="15" t="str">
        <f>IF('Raw Data'!EB8="","",'Raw Data'!EB8)</f>
        <v>1</v>
      </c>
      <c r="EO69" s="15" t="str">
        <f>IF('Raw Data'!EC8="","",'Raw Data'!EC8)</f>
        <v>0</v>
      </c>
      <c r="EP69" s="15" t="str">
        <f>IF('Raw Data'!ED8="","",'Raw Data'!ED8)</f>
        <v>0</v>
      </c>
      <c r="EQ69" s="15" t="str">
        <f>IF('Raw Data'!EE8="","",'Raw Data'!EE8)</f>
        <v>0</v>
      </c>
      <c r="ER69" s="15" t="str">
        <f>IF('Raw Data'!EF8="","",'Raw Data'!EF8)</f>
        <v>0</v>
      </c>
      <c r="ES69" s="15" t="str">
        <f>IF('Raw Data'!EG8="","",'Raw Data'!EG8)</f>
        <v>0</v>
      </c>
      <c r="ET69" s="15" t="str">
        <f>IF('Raw Data'!EH8="","",'Raw Data'!EH8)</f>
        <v>0</v>
      </c>
      <c r="EU69" s="15" t="str">
        <f>IF('Raw Data'!EI8="","",'Raw Data'!EI8)</f>
        <v>0</v>
      </c>
      <c r="EV69" s="15" t="str">
        <f>IF('Raw Data'!EJ8="","",'Raw Data'!EJ8)</f>
        <v/>
      </c>
      <c r="EW69" s="15" t="str">
        <f>IF('Raw Data'!EK8="","",'Raw Data'!EK8)</f>
        <v/>
      </c>
      <c r="EX69" s="15" t="str">
        <f>IF('Raw Data'!EL8="","",'Raw Data'!EL8)</f>
        <v>femmes_elite comite_protection famille_accueil comite_alerte comite_gestion_conflits</v>
      </c>
      <c r="EY69" s="15" t="str">
        <f>IF('Raw Data'!EM8="","",'Raw Data'!EM8)</f>
        <v>1</v>
      </c>
      <c r="EZ69" s="15" t="str">
        <f>IF('Raw Data'!EN8="","",'Raw Data'!EN8)</f>
        <v>1</v>
      </c>
      <c r="FA69" s="15" t="str">
        <f>IF('Raw Data'!EO8="","",'Raw Data'!EO8)</f>
        <v>1</v>
      </c>
      <c r="FB69" s="15" t="str">
        <f>IF('Raw Data'!EP8="","",'Raw Data'!EP8)</f>
        <v>1</v>
      </c>
      <c r="FC69" s="15" t="str">
        <f>IF('Raw Data'!EQ8="","",'Raw Data'!EQ8)</f>
        <v>0</v>
      </c>
      <c r="FD69" s="15" t="str">
        <f>IF('Raw Data'!ER8="","",'Raw Data'!ER8)</f>
        <v>1</v>
      </c>
      <c r="FE69" s="15" t="str">
        <f>IF('Raw Data'!ES8="","",'Raw Data'!ES8)</f>
        <v>0</v>
      </c>
      <c r="FF69" s="15" t="str">
        <f>IF('Raw Data'!ET8="","",'Raw Data'!ET8)</f>
        <v>0</v>
      </c>
      <c r="FG69" s="15" t="str">
        <f>IF('Raw Data'!EU8="","",'Raw Data'!EU8)</f>
        <v>0</v>
      </c>
      <c r="FH69" s="15" t="str">
        <f>IF('Raw Data'!EV8="","",'Raw Data'!EV8)</f>
        <v>0</v>
      </c>
      <c r="FI69" s="15" t="str">
        <f>IF('Raw Data'!EW8="","",'Raw Data'!EW8)</f>
        <v/>
      </c>
      <c r="FJ69" s="15" t="str">
        <f>IF('Raw Data'!EX8="","",'Raw Data'!EX8)</f>
        <v>oui</v>
      </c>
      <c r="FK69" s="15" t="str">
        <f>IF('Raw Data'!EY8="","",'Raw Data'!EY8)</f>
        <v>Travailleurs_sociaux/hum</v>
      </c>
      <c r="FL69" s="15" t="str">
        <f>IF('Raw Data'!EZ8="","",'Raw Data'!EZ8)</f>
        <v>0</v>
      </c>
      <c r="FM69" s="15" t="str">
        <f>IF('Raw Data'!FA8="","",'Raw Data'!FA8)</f>
        <v>0</v>
      </c>
      <c r="FN69" s="15" t="str">
        <f>IF('Raw Data'!FB8="","",'Raw Data'!FB8)</f>
        <v>0</v>
      </c>
      <c r="FO69" s="15" t="str">
        <f>IF('Raw Data'!FC8="","",'Raw Data'!FC8)</f>
        <v>0</v>
      </c>
      <c r="FP69" s="15" t="str">
        <f>IF('Raw Data'!FD8="","",'Raw Data'!FD8)</f>
        <v>0</v>
      </c>
      <c r="FQ69" s="15" t="str">
        <f>IF('Raw Data'!FE8="","",'Raw Data'!FE8)</f>
        <v>0</v>
      </c>
      <c r="FR69" s="15" t="str">
        <f>IF('Raw Data'!FF8="","",'Raw Data'!FF8)</f>
        <v>0</v>
      </c>
      <c r="FS69" s="15" t="str">
        <f>IF('Raw Data'!FG8="","",'Raw Data'!FG8)</f>
        <v>0</v>
      </c>
      <c r="FT69" s="15" t="str">
        <f>IF('Raw Data'!FH8="","",'Raw Data'!FH8)</f>
        <v>0</v>
      </c>
      <c r="FU69" s="15" t="str">
        <f>IF('Raw Data'!FI8="","",'Raw Data'!FI8)</f>
        <v>0</v>
      </c>
      <c r="FV69" s="15" t="str">
        <f>IF('Raw Data'!FJ8="","",'Raw Data'!FJ8)</f>
        <v>1</v>
      </c>
      <c r="FW69" s="15" t="str">
        <f>IF('Raw Data'!FK8="","",'Raw Data'!FK8)</f>
        <v>0</v>
      </c>
      <c r="FX69" s="15" t="str">
        <f>IF('Raw Data'!FL8="","",'Raw Data'!FL8)</f>
        <v>0</v>
      </c>
      <c r="FY69" s="15" t="str">
        <f>IF('Raw Data'!FM8="","",'Raw Data'!FM8)</f>
        <v>0</v>
      </c>
      <c r="FZ69" s="15" t="str">
        <f>IF('Raw Data'!FN8="","",'Raw Data'!FN8)</f>
        <v/>
      </c>
      <c r="GA69" s="15" t="str">
        <f>IF('Raw Data'!FO8="","",'Raw Data'!FO8)</f>
        <v>oui_ensemble</v>
      </c>
      <c r="GB69" s="15" t="str">
        <f>IF('Raw Data'!FP8="","",'Raw Data'!FP8)</f>
        <v>oui_ensemble</v>
      </c>
      <c r="GC69" s="15" t="str">
        <f>IF('Raw Data'!FQ8="","",'Raw Data'!FQ8)</f>
        <v/>
      </c>
      <c r="GD69" s="15" t="str">
        <f>IF('Raw Data'!FR8="","",'Raw Data'!FR8)</f>
        <v/>
      </c>
      <c r="GE69" s="15" t="str">
        <f>IF('Raw Data'!FS8="","",'Raw Data'!FS8)</f>
        <v/>
      </c>
      <c r="GF69" s="15" t="str">
        <f>IF('Raw Data'!FT8="","",'Raw Data'!FT8)</f>
        <v/>
      </c>
      <c r="GG69" s="15" t="str">
        <f>IF('Raw Data'!FU8="","",'Raw Data'!FU8)</f>
        <v/>
      </c>
      <c r="GH69" s="15" t="str">
        <f>IF('Raw Data'!FV8="","",'Raw Data'!FV8)</f>
        <v/>
      </c>
      <c r="GI69" s="15" t="str">
        <f>IF('Raw Data'!FW8="","",'Raw Data'!FW8)</f>
        <v/>
      </c>
      <c r="GJ69" s="15" t="str">
        <f>IF('Raw Data'!FX8="","",'Raw Data'!FX8)</f>
        <v/>
      </c>
      <c r="GK69" s="15" t="str">
        <f>IF('Raw Data'!FY8="","",'Raw Data'!FY8)</f>
        <v/>
      </c>
      <c r="GL69" s="15" t="str">
        <f>IF('Raw Data'!FZ8="","",'Raw Data'!FZ8)</f>
        <v/>
      </c>
      <c r="GM69" s="15" t="str">
        <f>IF('Raw Data'!GA8="","",'Raw Data'!GA8)</f>
        <v>ensemble</v>
      </c>
      <c r="GN69" s="15" t="str">
        <f>IF('Raw Data'!GB8="","",'Raw Data'!GB8)</f>
        <v>ensemble</v>
      </c>
      <c r="GO69" s="15" t="str">
        <f>IF('Raw Data'!GC8="","",'Raw Data'!GC8)</f>
        <v>Acces_aux_doc Services_de_sante Education Appui_psychosocial</v>
      </c>
      <c r="GP69" s="15" t="str">
        <f>IF('Raw Data'!GD8="","",'Raw Data'!GD8)</f>
        <v>1</v>
      </c>
      <c r="GQ69" s="15" t="str">
        <f>IF('Raw Data'!GE8="","",'Raw Data'!GE8)</f>
        <v>1</v>
      </c>
      <c r="GR69" s="15" t="str">
        <f>IF('Raw Data'!GF8="","",'Raw Data'!GF8)</f>
        <v>0</v>
      </c>
      <c r="GS69" s="15" t="str">
        <f>IF('Raw Data'!GG8="","",'Raw Data'!GG8)</f>
        <v>1</v>
      </c>
      <c r="GT69" s="15" t="str">
        <f>IF('Raw Data'!GH8="","",'Raw Data'!GH8)</f>
        <v>1</v>
      </c>
      <c r="GU69" s="15" t="str">
        <f>IF('Raw Data'!GI8="","",'Raw Data'!GI8)</f>
        <v>0</v>
      </c>
      <c r="GV69" s="15" t="str">
        <f>IF('Raw Data'!GJ8="","",'Raw Data'!GJ8)</f>
        <v>0</v>
      </c>
      <c r="GW69" s="15" t="str">
        <f>IF('Raw Data'!GK8="","",'Raw Data'!GK8)</f>
        <v>0</v>
      </c>
      <c r="GX69" s="15" t="str">
        <f>IF('Raw Data'!GL8="","",'Raw Data'!GL8)</f>
        <v>0</v>
      </c>
      <c r="GY69" s="15" t="str">
        <f>IF('Raw Data'!GM8="","",'Raw Data'!GM8)</f>
        <v/>
      </c>
      <c r="GZ69" s="15" t="str">
        <f>IF('Raw Data'!GN8="","",'Raw Data'!GN8)</f>
        <v>oui_ensemble</v>
      </c>
      <c r="HA69" s="15" t="str">
        <f>IF('Raw Data'!GO8="","",'Raw Data'!GO8)</f>
        <v>oui_ensemble</v>
      </c>
      <c r="HB69" s="15" t="str">
        <f>IF('Raw Data'!GP8="","",'Raw Data'!GP8)</f>
        <v>repond_besoins_pop amelioration_futur permet_eviter_conflits</v>
      </c>
      <c r="HC69" s="15" t="str">
        <f>IF('Raw Data'!GQ8="","",'Raw Data'!GQ8)</f>
        <v>1</v>
      </c>
      <c r="HD69" s="15" t="str">
        <f>IF('Raw Data'!GR8="","",'Raw Data'!GR8)</f>
        <v>1</v>
      </c>
      <c r="HE69" s="15" t="str">
        <f>IF('Raw Data'!GS8="","",'Raw Data'!GS8)</f>
        <v>0</v>
      </c>
      <c r="HF69" s="15" t="str">
        <f>IF('Raw Data'!GT8="","",'Raw Data'!GT8)</f>
        <v>1</v>
      </c>
      <c r="HG69" s="15" t="str">
        <f>IF('Raw Data'!GU8="","",'Raw Data'!GU8)</f>
        <v>0</v>
      </c>
      <c r="HH69" s="15" t="str">
        <f>IF('Raw Data'!GV8="","",'Raw Data'!GV8)</f>
        <v>0</v>
      </c>
      <c r="HI69" s="15" t="str">
        <f>IF('Raw Data'!GW8="","",'Raw Data'!GW8)</f>
        <v>0</v>
      </c>
      <c r="HJ69" s="15" t="str">
        <f>IF('Raw Data'!GX8="","",'Raw Data'!GX8)</f>
        <v>0</v>
      </c>
      <c r="HK69" s="15" t="str">
        <f>IF('Raw Data'!GY8="","",'Raw Data'!GY8)</f>
        <v/>
      </c>
      <c r="HL69" s="31"/>
      <c r="HM69" s="31"/>
      <c r="HN69" s="31"/>
      <c r="HO69" s="31"/>
      <c r="HP69" s="31"/>
      <c r="HQ69" s="31"/>
      <c r="HR69" s="31"/>
      <c r="HS69" s="31"/>
      <c r="HT69" s="15" t="str">
        <f>IF('Raw Data'!HH8="","",'Raw Data'!HH8)</f>
        <v/>
      </c>
      <c r="HU69" s="15" t="str">
        <f>IF('Raw Data'!HI8="","",'Raw Data'!HI8)</f>
        <v>oui_minorite</v>
      </c>
      <c r="HV69" s="15" t="str">
        <f>IF('Raw Data'!HJ8="","",'Raw Data'!HJ8)</f>
        <v>ingo</v>
      </c>
      <c r="HW69" s="15" t="str">
        <f>IF('Raw Data'!HK8="","",'Raw Data'!HK8)</f>
        <v>0</v>
      </c>
      <c r="HX69" s="15" t="str">
        <f>IF('Raw Data'!HL8="","",'Raw Data'!HL8)</f>
        <v>0</v>
      </c>
      <c r="HY69" s="15" t="str">
        <f>IF('Raw Data'!HM8="","",'Raw Data'!HM8)</f>
        <v>0</v>
      </c>
      <c r="HZ69" s="15" t="str">
        <f>IF('Raw Data'!HN8="","",'Raw Data'!HN8)</f>
        <v>0</v>
      </c>
      <c r="IA69" s="15" t="str">
        <f>IF('Raw Data'!HO8="","",'Raw Data'!HO8)</f>
        <v>1</v>
      </c>
      <c r="IB69" s="15" t="str">
        <f>IF('Raw Data'!HP8="","",'Raw Data'!HP8)</f>
        <v>0</v>
      </c>
      <c r="IC69" s="15" t="str">
        <f>IF('Raw Data'!HQ8="","",'Raw Data'!HQ8)</f>
        <v>0</v>
      </c>
      <c r="ID69" s="15" t="str">
        <f>IF('Raw Data'!HR8="","",'Raw Data'!HR8)</f>
        <v>0</v>
      </c>
      <c r="IE69" s="15" t="str">
        <f>IF('Raw Data'!HS8="","",'Raw Data'!HS8)</f>
        <v>0</v>
      </c>
      <c r="IF69" s="15" t="str">
        <f>IF('Raw Data'!HT8="","",'Raw Data'!HT8)</f>
        <v>0</v>
      </c>
      <c r="IG69" s="15" t="str">
        <f>IF('Raw Data'!HU8="","",'Raw Data'!HU8)</f>
        <v/>
      </c>
      <c r="IH69" s="15" t="str">
        <f>IF('Raw Data'!HV8="","",'Raw Data'!HV8)</f>
        <v>non</v>
      </c>
      <c r="II69" s="15" t="str">
        <f>IF('Raw Data'!HW8="","",'Raw Data'!HW8)</f>
        <v/>
      </c>
      <c r="IJ69" s="15" t="str">
        <f>IF('Raw Data'!HX8="","",'Raw Data'!HX8)</f>
        <v>Filles Femmes</v>
      </c>
      <c r="IK69" s="15" t="str">
        <f>IF('Raw Data'!HY8="","",'Raw Data'!HY8)</f>
        <v>0</v>
      </c>
      <c r="IL69" s="15" t="str">
        <f>IF('Raw Data'!HZ8="","",'Raw Data'!HZ8)</f>
        <v>0</v>
      </c>
      <c r="IM69" s="15" t="str">
        <f>IF('Raw Data'!IA8="","",'Raw Data'!IA8)</f>
        <v>1</v>
      </c>
      <c r="IN69" s="15" t="str">
        <f>IF('Raw Data'!IB8="","",'Raw Data'!IB8)</f>
        <v>0</v>
      </c>
      <c r="IO69" s="15" t="str">
        <f>IF('Raw Data'!IC8="","",'Raw Data'!IC8)</f>
        <v>1</v>
      </c>
      <c r="IP69" s="15" t="str">
        <f>IF('Raw Data'!ID8="","",'Raw Data'!ID8)</f>
        <v>0</v>
      </c>
      <c r="IQ69" s="15" t="str">
        <f>IF('Raw Data'!IE8="","",'Raw Data'!IE8)</f>
        <v>0</v>
      </c>
      <c r="IR69" s="15" t="str">
        <f>IF('Raw Data'!IF8="","",'Raw Data'!IF8)</f>
        <v>0</v>
      </c>
      <c r="IS69" s="15" t="str">
        <f>IF('Raw Data'!IG8="","",'Raw Data'!IG8)</f>
        <v>0</v>
      </c>
      <c r="IT69" s="15" t="str">
        <f>IF('Raw Data'!IH8="","",'Raw Data'!IH8)</f>
        <v>0</v>
      </c>
      <c r="IU69" s="15" t="str">
        <f>IF('Raw Data'!II8="","",'Raw Data'!II8)</f>
        <v>0</v>
      </c>
      <c r="IV69" s="15" t="str">
        <f>IF('Raw Data'!IJ8="","",'Raw Data'!IJ8)</f>
        <v>0</v>
      </c>
      <c r="IW69" s="15" t="str">
        <f>IF('Raw Data'!IK8="","",'Raw Data'!IK8)</f>
        <v>0</v>
      </c>
      <c r="IX69" s="15" t="str">
        <f>IF('Raw Data'!IL8="","",'Raw Data'!IL8)</f>
        <v>0</v>
      </c>
      <c r="IY69" s="15" t="str">
        <f>IF('Raw Data'!IM8="","",'Raw Data'!IM8)</f>
        <v/>
      </c>
      <c r="IZ69" s="15" t="str">
        <f>IF('Raw Data'!IN8="","",'Raw Data'!IN8)</f>
        <v>13</v>
      </c>
      <c r="JA69" s="15" t="str">
        <f>IF('Raw Data'!IO8="","",'Raw Data'!IO8)</f>
        <v>Appui_psychosocial acces_docs Services_conseil Services_educatifs Services_medicaux</v>
      </c>
      <c r="JB69" s="15" t="str">
        <f>IF('Raw Data'!IP8="","",'Raw Data'!IP8)</f>
        <v>1</v>
      </c>
      <c r="JC69" s="15" t="str">
        <f>IF('Raw Data'!IQ8="","",'Raw Data'!IQ8)</f>
        <v>1</v>
      </c>
      <c r="JD69" s="15" t="str">
        <f>IF('Raw Data'!IR8="","",'Raw Data'!IR8)</f>
        <v>1</v>
      </c>
      <c r="JE69" s="15" t="str">
        <f>IF('Raw Data'!IS8="","",'Raw Data'!IS8)</f>
        <v>1</v>
      </c>
      <c r="JF69" s="15" t="str">
        <f>IF('Raw Data'!IT8="","",'Raw Data'!IT8)</f>
        <v>1</v>
      </c>
      <c r="JG69" s="15" t="str">
        <f>IF('Raw Data'!IU8="","",'Raw Data'!IU8)</f>
        <v>0</v>
      </c>
      <c r="JH69" s="15" t="str">
        <f>IF('Raw Data'!IV8="","",'Raw Data'!IV8)</f>
        <v>0</v>
      </c>
      <c r="JI69" s="15" t="str">
        <f>IF('Raw Data'!IW8="","",'Raw Data'!IW8)</f>
        <v>0</v>
      </c>
      <c r="JJ69" s="15" t="str">
        <f>IF('Raw Data'!IX8="","",'Raw Data'!IX8)</f>
        <v>0</v>
      </c>
      <c r="JK69" s="15" t="str">
        <f>IF('Raw Data'!IY8="","",'Raw Data'!IY8)</f>
        <v>0</v>
      </c>
      <c r="JL69" s="15" t="str">
        <f>IF('Raw Data'!IZ8="","",'Raw Data'!IZ8)</f>
        <v/>
      </c>
      <c r="JM69" s="15" t="str">
        <f>IF('Raw Data'!JA8="","",'Raw Data'!JA8)</f>
        <v>prise_enchage reorientation signalement</v>
      </c>
      <c r="JN69" s="15" t="str">
        <f>IF('Raw Data'!JB8="","",'Raw Data'!JB8)</f>
        <v>1</v>
      </c>
      <c r="JO69" s="15" t="str">
        <f>IF('Raw Data'!JC8="","",'Raw Data'!JC8)</f>
        <v>1</v>
      </c>
      <c r="JP69" s="15" t="str">
        <f>IF('Raw Data'!JD8="","",'Raw Data'!JD8)</f>
        <v>1</v>
      </c>
      <c r="JQ69" s="15" t="str">
        <f>IF('Raw Data'!JE8="","",'Raw Data'!JE8)</f>
        <v>0</v>
      </c>
      <c r="JR69" s="15" t="str">
        <f>IF('Raw Data'!JF8="","",'Raw Data'!JF8)</f>
        <v>0</v>
      </c>
      <c r="JS69" s="15" t="str">
        <f>IF('Raw Data'!JG8="","",'Raw Data'!JG8)</f>
        <v>0</v>
      </c>
      <c r="JT69" s="15" t="str">
        <f>IF('Raw Data'!JH8="","",'Raw Data'!JH8)</f>
        <v/>
      </c>
      <c r="JU69" s="15" t="str">
        <f>IF('Raw Data'!JI8="","",'Raw Data'!JI8)</f>
        <v>medical Psychosocia point_ecoute</v>
      </c>
      <c r="JV69" s="15" t="str">
        <f>IF('Raw Data'!JJ8="","",'Raw Data'!JJ8)</f>
        <v>1</v>
      </c>
      <c r="JW69" s="15" t="str">
        <f>IF('Raw Data'!JK8="","",'Raw Data'!JK8)</f>
        <v>1</v>
      </c>
      <c r="JX69" s="15" t="str">
        <f>IF('Raw Data'!JL8="","",'Raw Data'!JL8)</f>
        <v>1</v>
      </c>
      <c r="JY69" s="15" t="str">
        <f>IF('Raw Data'!JM8="","",'Raw Data'!JM8)</f>
        <v>0</v>
      </c>
      <c r="JZ69" s="15" t="str">
        <f>IF('Raw Data'!JN8="","",'Raw Data'!JN8)</f>
        <v>0</v>
      </c>
      <c r="KA69" s="15" t="str">
        <f>IF('Raw Data'!JO8="","",'Raw Data'!JO8)</f>
        <v>0</v>
      </c>
      <c r="KB69" s="15" t="str">
        <f>IF('Raw Data'!JP8="","",'Raw Data'!JP8)</f>
        <v>0</v>
      </c>
      <c r="KC69" s="15" t="str">
        <f>IF('Raw Data'!JQ8="","",'Raw Data'!JQ8)</f>
        <v>0</v>
      </c>
      <c r="KD69" s="15" t="str">
        <f>IF('Raw Data'!JR8="","",'Raw Data'!JR8)</f>
        <v>0</v>
      </c>
      <c r="KE69" s="15" t="str">
        <f>IF('Raw Data'!JS8="","",'Raw Data'!JS8)</f>
        <v/>
      </c>
      <c r="KF69" s="15" t="str">
        <f>IF('Raw Data'!JT8="","",'Raw Data'!JT8)</f>
        <v>medical Psychosocia point_ecoute surete</v>
      </c>
      <c r="KG69" s="15" t="str">
        <f>IF('Raw Data'!JU8="","",'Raw Data'!JU8)</f>
        <v>1</v>
      </c>
      <c r="KH69" s="15" t="str">
        <f>IF('Raw Data'!JV8="","",'Raw Data'!JV8)</f>
        <v>1</v>
      </c>
      <c r="KI69" s="15" t="str">
        <f>IF('Raw Data'!JW8="","",'Raw Data'!JW8)</f>
        <v>1</v>
      </c>
      <c r="KJ69" s="15" t="str">
        <f>IF('Raw Data'!JX8="","",'Raw Data'!JX8)</f>
        <v>0</v>
      </c>
      <c r="KK69" s="15" t="str">
        <f>IF('Raw Data'!JY8="","",'Raw Data'!JY8)</f>
        <v>1</v>
      </c>
      <c r="KL69" s="15" t="str">
        <f>IF('Raw Data'!JZ8="","",'Raw Data'!JZ8)</f>
        <v>0</v>
      </c>
      <c r="KM69" s="15" t="str">
        <f>IF('Raw Data'!KA8="","",'Raw Data'!KA8)</f>
        <v>0</v>
      </c>
      <c r="KN69" s="15" t="str">
        <f>IF('Raw Data'!KB8="","",'Raw Data'!KB8)</f>
        <v>0</v>
      </c>
      <c r="KO69" s="15" t="str">
        <f>IF('Raw Data'!KC8="","",'Raw Data'!KC8)</f>
        <v>0</v>
      </c>
      <c r="KP69" s="15" t="str">
        <f>IF('Raw Data'!KD8="","",'Raw Data'!KD8)</f>
        <v/>
      </c>
      <c r="KQ69" s="15" t="str">
        <f>IF('Raw Data'!KE8="","",'Raw Data'!KE8)</f>
        <v/>
      </c>
      <c r="KR69" s="15" t="str">
        <f>IF('Raw Data'!KF8="","",'Raw Data'!KF8)</f>
        <v>non</v>
      </c>
      <c r="KS69" s="15" t="str">
        <f>IF('Raw Data'!KG8="","",'Raw Data'!KG8)</f>
        <v/>
      </c>
      <c r="KT69" s="15" t="str">
        <f>IF('Raw Data'!KH8="","",'Raw Data'!KH8)</f>
        <v/>
      </c>
      <c r="KU69" s="15" t="str">
        <f>IF('Raw Data'!KI8="","",'Raw Data'!KI8)</f>
        <v/>
      </c>
      <c r="KV69" s="15" t="str">
        <f>IF('Raw Data'!KJ8="","",'Raw Data'!KJ8)</f>
        <v/>
      </c>
      <c r="KW69" s="15" t="str">
        <f>IF('Raw Data'!KK8="","",'Raw Data'!KK8)</f>
        <v/>
      </c>
      <c r="KX69" s="15" t="str">
        <f>IF('Raw Data'!KL8="","",'Raw Data'!KL8)</f>
        <v/>
      </c>
      <c r="KY69" s="15" t="str">
        <f>IF('Raw Data'!KM8="","",'Raw Data'!KM8)</f>
        <v/>
      </c>
      <c r="KZ69" s="15" t="str">
        <f>IF('Raw Data'!KN8="","",'Raw Data'!KN8)</f>
        <v/>
      </c>
      <c r="LA69" s="15" t="str">
        <f>IF('Raw Data'!KO8="","",'Raw Data'!KO8)</f>
        <v/>
      </c>
      <c r="LB69" s="15" t="str">
        <f>IF('Raw Data'!KP8="","",'Raw Data'!KP8)</f>
        <v/>
      </c>
      <c r="LC69" s="15" t="str">
        <f>IF('Raw Data'!KQ8="","",'Raw Data'!KQ8)</f>
        <v/>
      </c>
      <c r="LD69" s="15" t="str">
        <f>IF('Raw Data'!KR8="","",'Raw Data'!KR8)</f>
        <v/>
      </c>
      <c r="LE69" s="15" t="str">
        <f>IF('Raw Data'!KS8="","",'Raw Data'!KS8)</f>
        <v/>
      </c>
      <c r="LF69" s="15" t="str">
        <f>IF('Raw Data'!KT8="","",'Raw Data'!KT8)</f>
        <v/>
      </c>
      <c r="LG69" s="15" t="str">
        <f>IF('Raw Data'!KU8="","",'Raw Data'!KU8)</f>
        <v/>
      </c>
      <c r="LH69" s="15" t="str">
        <f>IF('Raw Data'!KV8="","",'Raw Data'!KV8)</f>
        <v/>
      </c>
      <c r="LI69" s="15" t="str">
        <f>IF('Raw Data'!KW8="","",'Raw Data'!KW8)</f>
        <v/>
      </c>
      <c r="LJ69" s="15" t="str">
        <f>IF('Raw Data'!KX8="","",'Raw Data'!KX8)</f>
        <v/>
      </c>
      <c r="LK69" s="15" t="str">
        <f>IF('Raw Data'!KY8="","",'Raw Data'!KY8)</f>
        <v/>
      </c>
      <c r="LL69" s="15" t="str">
        <f>IF('Raw Data'!KZ8="","",'Raw Data'!KZ8)</f>
        <v/>
      </c>
      <c r="LM69" s="15" t="str">
        <f>IF('Raw Data'!LA8="","",'Raw Data'!LA8)</f>
        <v/>
      </c>
      <c r="LN69" s="15" t="str">
        <f>IF('Raw Data'!LB8="","",'Raw Data'!LB8)</f>
        <v>non</v>
      </c>
      <c r="LO69" s="15" t="str">
        <f>IF('Raw Data'!LC8="","",'Raw Data'!LC8)</f>
        <v/>
      </c>
      <c r="LP69" s="15" t="str">
        <f>IF('Raw Data'!LD8="","",'Raw Data'!LD8)</f>
        <v/>
      </c>
      <c r="LQ69" s="15" t="str">
        <f>IF('Raw Data'!LE8="","",'Raw Data'!LE8)</f>
        <v/>
      </c>
      <c r="LR69" s="15" t="str">
        <f>IF('Raw Data'!LF8="","",'Raw Data'!LF8)</f>
        <v/>
      </c>
      <c r="LS69" s="15" t="str">
        <f>IF('Raw Data'!LG8="","",'Raw Data'!LG8)</f>
        <v/>
      </c>
      <c r="LT69" s="15" t="str">
        <f>IF('Raw Data'!LH8="","",'Raw Data'!LH8)</f>
        <v/>
      </c>
      <c r="LU69" s="15" t="str">
        <f>IF('Raw Data'!LI8="","",'Raw Data'!LI8)</f>
        <v/>
      </c>
      <c r="LV69" s="15" t="str">
        <f>IF('Raw Data'!LJ8="","",'Raw Data'!LJ8)</f>
        <v/>
      </c>
      <c r="LW69" s="15" t="str">
        <f>IF('Raw Data'!LK8="","",'Raw Data'!LK8)</f>
        <v/>
      </c>
      <c r="LX69" s="15" t="str">
        <f>IF('Raw Data'!LL8="","",'Raw Data'!LL8)</f>
        <v/>
      </c>
      <c r="LY69" s="15" t="str">
        <f>IF('Raw Data'!LM8="","",'Raw Data'!LM8)</f>
        <v/>
      </c>
      <c r="LZ69" s="15" t="str">
        <f>IF('Raw Data'!LN8="","",'Raw Data'!LN8)</f>
        <v/>
      </c>
      <c r="MA69" s="15" t="str">
        <f>IF('Raw Data'!LO8="","",'Raw Data'!LO8)</f>
        <v/>
      </c>
      <c r="MB69" s="15" t="str">
        <f>IF('Raw Data'!LP8="","",'Raw Data'!LP8)</f>
        <v>oui</v>
      </c>
      <c r="MC69" s="15" t="str">
        <f>IF('Raw Data'!LQ8="","",'Raw Data'!LQ8)</f>
        <v/>
      </c>
      <c r="MD69" s="15" t="str">
        <f>IF('Raw Data'!LR8="","",'Raw Data'!LR8)</f>
        <v/>
      </c>
      <c r="ME69" s="15">
        <f>IF('Raw Data'!LS8="","",'Raw Data'!LS8)</f>
        <v>168950705</v>
      </c>
      <c r="MF69" s="15" t="str">
        <f>IF('Raw Data'!LT8="","",'Raw Data'!LT8)</f>
        <v>58aa5639-76bd-4e1d-ba1c-4b1486d5ac7a</v>
      </c>
      <c r="MG69" s="15" t="str">
        <f>IF('Raw Data'!LU8="","",'Raw Data'!LU8)</f>
        <v>2021-03-31T17:31:22</v>
      </c>
      <c r="MH69" s="15" t="str">
        <f>IF('Raw Data'!LV8="","",'Raw Data'!LV8)</f>
        <v/>
      </c>
      <c r="MI69" s="15" t="str">
        <f>IF('Raw Data'!LW8="","",'Raw Data'!LW8)</f>
        <v>[]</v>
      </c>
      <c r="MJ69" s="15" t="str">
        <f>IF('Raw Data'!LX8="","",'Raw Data'!LX8)</f>
        <v>submitted_via_web</v>
      </c>
      <c r="MK69" s="15" t="str">
        <f>IF('Raw Data'!LY8="","",'Raw Data'!LY8)</f>
        <v>reach_niger</v>
      </c>
      <c r="ML69" s="15" t="str">
        <f>IF('Raw Data'!LZ8="","",'Raw Data'!LZ8)</f>
        <v/>
      </c>
      <c r="MM69" s="15">
        <f>IF('Raw Data'!MA8="","",'Raw Data'!MA8)</f>
        <v>7</v>
      </c>
    </row>
  </sheetData>
  <autoFilter ref="A1:MM69">
    <sortState ref="A2:MM69">
      <sortCondition ref="C1:C69"/>
    </sortState>
  </autoFilter>
  <conditionalFormatting sqref="A2:C69">
    <cfRule type="expression" dxfId="6" priority="9">
      <formula>_xludf.ISBLANK(A2)</formula>
    </cfRule>
  </conditionalFormatting>
  <conditionalFormatting sqref="D2:MM69">
    <cfRule type="expression" dxfId="5" priority="1">
      <formula>_xludf.AND(_xludf.NOT(_xludf.ISFORMULA(D2)),_xludf.NOT(_xludf.ISBLANK(D2)))</formula>
    </cfRule>
    <cfRule type="expression" dxfId="4" priority="2">
      <formula>_xludf.SEARCH("CHECK_",D$1)=1</formula>
    </cfRule>
  </conditionalFormatting>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75"/>
  <sheetViews>
    <sheetView topLeftCell="A49" workbookViewId="0">
      <selection activeCell="C9" sqref="C9"/>
    </sheetView>
  </sheetViews>
  <sheetFormatPr baseColWidth="10" defaultColWidth="8.88671875" defaultRowHeight="14.4" x14ac:dyDescent="0.3"/>
  <cols>
    <col min="1" max="1" width="8.88671875" style="2"/>
    <col min="2" max="2" width="13.44140625" style="2" customWidth="1"/>
    <col min="3" max="3" width="19" style="2" customWidth="1"/>
    <col min="4" max="4" width="25" style="2" customWidth="1"/>
    <col min="5" max="5" width="8.88671875" style="2"/>
    <col min="6" max="6" width="11.5546875" style="2" customWidth="1"/>
    <col min="7" max="7" width="10.77734375" style="2" customWidth="1"/>
    <col min="8" max="8" width="10" style="2" customWidth="1"/>
    <col min="9" max="9" width="13.21875" style="2" customWidth="1"/>
    <col min="10" max="10" width="12.88671875" style="2" customWidth="1"/>
    <col min="11" max="11" width="10.77734375" style="2" customWidth="1"/>
    <col min="12" max="16384" width="8.88671875" style="2"/>
  </cols>
  <sheetData>
    <row r="1" spans="1:11" s="38" customFormat="1" x14ac:dyDescent="0.3">
      <c r="A1" s="38" t="s">
        <v>5</v>
      </c>
      <c r="B1" s="38" t="s">
        <v>1593</v>
      </c>
      <c r="C1" s="38" t="s">
        <v>1594</v>
      </c>
      <c r="D1" s="38" t="s">
        <v>1595</v>
      </c>
      <c r="E1" s="38" t="s">
        <v>1596</v>
      </c>
      <c r="F1" s="38" t="s">
        <v>1597</v>
      </c>
      <c r="G1" s="38" t="s">
        <v>1598</v>
      </c>
      <c r="H1" s="38" t="s">
        <v>1599</v>
      </c>
      <c r="I1" s="38" t="s">
        <v>1600</v>
      </c>
      <c r="J1" s="38" t="s">
        <v>1601</v>
      </c>
      <c r="K1" s="38" t="s">
        <v>1602</v>
      </c>
    </row>
    <row r="2" spans="1:11" x14ac:dyDescent="0.3">
      <c r="A2" s="2" t="s">
        <v>564</v>
      </c>
      <c r="B2" s="2">
        <v>21.42</v>
      </c>
      <c r="C2" s="2">
        <v>21.38</v>
      </c>
      <c r="D2" s="2">
        <v>19.53</v>
      </c>
      <c r="E2" s="2">
        <v>0</v>
      </c>
      <c r="F2" s="2">
        <v>1</v>
      </c>
      <c r="G2" s="2">
        <v>1</v>
      </c>
      <c r="H2" s="2">
        <v>1</v>
      </c>
      <c r="I2" s="2">
        <v>0</v>
      </c>
      <c r="J2" s="2">
        <v>1</v>
      </c>
      <c r="K2" s="2">
        <v>0</v>
      </c>
    </row>
    <row r="3" spans="1:11" x14ac:dyDescent="0.3">
      <c r="A3" s="2" t="s">
        <v>742</v>
      </c>
      <c r="B3" s="2">
        <v>175.06</v>
      </c>
      <c r="C3" s="2">
        <v>48.35</v>
      </c>
      <c r="D3" s="2">
        <v>42.97</v>
      </c>
      <c r="E3" s="2">
        <v>2</v>
      </c>
      <c r="F3" s="2">
        <v>2</v>
      </c>
      <c r="G3" s="2">
        <v>2</v>
      </c>
      <c r="H3" s="2">
        <v>2</v>
      </c>
      <c r="I3" s="2">
        <v>1</v>
      </c>
      <c r="J3" s="2">
        <v>1</v>
      </c>
      <c r="K3" s="2">
        <v>0</v>
      </c>
    </row>
    <row r="4" spans="1:11" x14ac:dyDescent="0.3">
      <c r="A4" s="2" t="s">
        <v>1521</v>
      </c>
      <c r="B4" s="2">
        <v>37.229999999999997</v>
      </c>
      <c r="C4" s="2">
        <v>37.17</v>
      </c>
      <c r="D4" s="2">
        <v>35.96</v>
      </c>
      <c r="E4" s="2">
        <v>0</v>
      </c>
      <c r="F4" s="2">
        <v>1</v>
      </c>
      <c r="G4" s="2">
        <v>1</v>
      </c>
      <c r="H4" s="2">
        <v>1</v>
      </c>
      <c r="I4" s="2">
        <v>0</v>
      </c>
      <c r="J4" s="2">
        <v>1</v>
      </c>
      <c r="K4" s="2">
        <v>0</v>
      </c>
    </row>
    <row r="5" spans="1:11" x14ac:dyDescent="0.3">
      <c r="A5" s="2" t="s">
        <v>1364</v>
      </c>
      <c r="B5" s="2">
        <v>45.89</v>
      </c>
      <c r="C5" s="2">
        <v>45.57</v>
      </c>
      <c r="D5" s="2">
        <v>28.63</v>
      </c>
      <c r="E5" s="2">
        <v>0</v>
      </c>
      <c r="F5" s="2">
        <v>1</v>
      </c>
      <c r="G5" s="2">
        <v>1</v>
      </c>
      <c r="H5" s="2">
        <v>1</v>
      </c>
      <c r="I5" s="2">
        <v>0</v>
      </c>
      <c r="J5" s="2">
        <v>1</v>
      </c>
      <c r="K5" s="2">
        <v>0</v>
      </c>
    </row>
    <row r="6" spans="1:11" x14ac:dyDescent="0.3">
      <c r="A6" s="2" t="s">
        <v>959</v>
      </c>
      <c r="B6" s="2">
        <v>29.7</v>
      </c>
      <c r="C6" s="2">
        <v>29.41</v>
      </c>
      <c r="D6" s="2">
        <v>23.61</v>
      </c>
      <c r="E6" s="2">
        <v>0</v>
      </c>
      <c r="F6" s="2">
        <v>2</v>
      </c>
      <c r="G6" s="2">
        <v>1</v>
      </c>
      <c r="H6" s="2">
        <v>1</v>
      </c>
      <c r="I6" s="2">
        <v>0</v>
      </c>
      <c r="J6" s="2">
        <v>1</v>
      </c>
      <c r="K6" s="2">
        <v>0</v>
      </c>
    </row>
    <row r="7" spans="1:11" x14ac:dyDescent="0.3">
      <c r="A7" s="2" t="s">
        <v>1165</v>
      </c>
      <c r="B7" s="2">
        <v>11.68</v>
      </c>
      <c r="C7" s="2">
        <v>11.65</v>
      </c>
      <c r="D7" s="2">
        <v>8.620000000000001</v>
      </c>
      <c r="E7" s="2">
        <v>0</v>
      </c>
      <c r="F7" s="2">
        <v>1</v>
      </c>
      <c r="G7" s="2">
        <v>1</v>
      </c>
      <c r="H7" s="2">
        <v>1</v>
      </c>
      <c r="I7" s="2">
        <v>0</v>
      </c>
      <c r="J7" s="2">
        <v>1</v>
      </c>
      <c r="K7" s="2">
        <v>0</v>
      </c>
    </row>
    <row r="8" spans="1:11" x14ac:dyDescent="0.3">
      <c r="A8" s="2" t="s">
        <v>1316</v>
      </c>
      <c r="B8" s="2">
        <v>21.94</v>
      </c>
      <c r="C8" s="2">
        <v>21.9</v>
      </c>
      <c r="D8" s="2">
        <v>20.39</v>
      </c>
      <c r="E8" s="2">
        <v>0</v>
      </c>
      <c r="F8" s="2">
        <v>1</v>
      </c>
      <c r="G8" s="2">
        <v>1</v>
      </c>
      <c r="H8" s="2">
        <v>1</v>
      </c>
      <c r="I8" s="2">
        <v>0</v>
      </c>
      <c r="J8" s="2">
        <v>1</v>
      </c>
      <c r="K8" s="2">
        <v>0</v>
      </c>
    </row>
    <row r="9" spans="1:11" x14ac:dyDescent="0.3">
      <c r="A9" s="2" t="s">
        <v>1379</v>
      </c>
      <c r="B9" s="2">
        <v>102.67</v>
      </c>
      <c r="C9" s="2">
        <v>41.75</v>
      </c>
      <c r="D9" s="2">
        <v>36.68</v>
      </c>
      <c r="E9" s="2">
        <v>1</v>
      </c>
      <c r="F9" s="2">
        <v>3</v>
      </c>
      <c r="G9" s="2">
        <v>2</v>
      </c>
      <c r="H9" s="2">
        <v>2</v>
      </c>
      <c r="I9" s="2">
        <v>1</v>
      </c>
      <c r="J9" s="2">
        <v>2</v>
      </c>
      <c r="K9" s="2">
        <v>0</v>
      </c>
    </row>
    <row r="10" spans="1:11" x14ac:dyDescent="0.3">
      <c r="A10" s="2" t="s">
        <v>1392</v>
      </c>
      <c r="B10" s="2">
        <v>32.909999999999997</v>
      </c>
      <c r="C10" s="2">
        <v>32.78</v>
      </c>
      <c r="D10" s="2">
        <v>29.39</v>
      </c>
      <c r="E10" s="2">
        <v>0</v>
      </c>
      <c r="F10" s="2">
        <v>2</v>
      </c>
      <c r="G10" s="2">
        <v>1</v>
      </c>
      <c r="H10" s="2">
        <v>1</v>
      </c>
      <c r="I10" s="2">
        <v>0</v>
      </c>
      <c r="J10" s="2">
        <v>1</v>
      </c>
      <c r="K10" s="2">
        <v>0</v>
      </c>
    </row>
    <row r="11" spans="1:11" x14ac:dyDescent="0.3">
      <c r="A11" s="2" t="s">
        <v>1445</v>
      </c>
      <c r="B11" s="2">
        <v>68.22</v>
      </c>
      <c r="C11" s="2">
        <v>39.799999999999997</v>
      </c>
      <c r="D11" s="2">
        <v>32.979999999999997</v>
      </c>
      <c r="E11" s="2">
        <v>3</v>
      </c>
      <c r="F11" s="2">
        <v>2</v>
      </c>
      <c r="G11" s="2">
        <v>2</v>
      </c>
      <c r="H11" s="2">
        <v>2</v>
      </c>
      <c r="I11" s="2">
        <v>1</v>
      </c>
      <c r="J11" s="2">
        <v>2</v>
      </c>
      <c r="K11" s="2">
        <v>0</v>
      </c>
    </row>
    <row r="12" spans="1:11" x14ac:dyDescent="0.3">
      <c r="A12" s="2" t="s">
        <v>1140</v>
      </c>
      <c r="B12" s="2">
        <v>17</v>
      </c>
      <c r="C12" s="2">
        <v>16.96</v>
      </c>
      <c r="D12" s="2">
        <v>15.69</v>
      </c>
      <c r="E12" s="2">
        <v>0</v>
      </c>
      <c r="F12" s="2">
        <v>1</v>
      </c>
      <c r="G12" s="2">
        <v>1</v>
      </c>
      <c r="H12" s="2">
        <v>1</v>
      </c>
      <c r="I12" s="2">
        <v>0</v>
      </c>
      <c r="J12" s="2">
        <v>1</v>
      </c>
      <c r="K12" s="2">
        <v>0</v>
      </c>
    </row>
    <row r="13" spans="1:11" x14ac:dyDescent="0.3">
      <c r="A13" s="2" t="s">
        <v>1096</v>
      </c>
      <c r="B13" s="2">
        <v>17.93</v>
      </c>
      <c r="C13" s="2">
        <v>17.87</v>
      </c>
      <c r="D13" s="2">
        <v>17.02</v>
      </c>
      <c r="E13" s="2">
        <v>0</v>
      </c>
      <c r="F13" s="2">
        <v>1</v>
      </c>
      <c r="G13" s="2">
        <v>1</v>
      </c>
      <c r="H13" s="2">
        <v>1</v>
      </c>
      <c r="I13" s="2">
        <v>0</v>
      </c>
      <c r="J13" s="2">
        <v>1</v>
      </c>
      <c r="K13" s="2">
        <v>0</v>
      </c>
    </row>
    <row r="14" spans="1:11" x14ac:dyDescent="0.3">
      <c r="A14" s="2" t="s">
        <v>1064</v>
      </c>
      <c r="B14" s="2">
        <v>49.77</v>
      </c>
      <c r="C14" s="2">
        <v>49.73</v>
      </c>
      <c r="D14" s="2">
        <v>44.58</v>
      </c>
      <c r="E14" s="2">
        <v>0</v>
      </c>
      <c r="F14" s="2">
        <v>1</v>
      </c>
      <c r="G14" s="2">
        <v>1</v>
      </c>
      <c r="H14" s="2">
        <v>1</v>
      </c>
      <c r="I14" s="2">
        <v>0</v>
      </c>
      <c r="J14" s="2">
        <v>1</v>
      </c>
      <c r="K14" s="2">
        <v>0</v>
      </c>
    </row>
    <row r="15" spans="1:11" x14ac:dyDescent="0.3">
      <c r="A15" s="2" t="s">
        <v>889</v>
      </c>
      <c r="B15" s="2">
        <v>34.92</v>
      </c>
      <c r="C15" s="2">
        <v>34.85</v>
      </c>
      <c r="D15" s="2">
        <v>28.56</v>
      </c>
      <c r="E15" s="2">
        <v>0</v>
      </c>
      <c r="F15" s="2">
        <v>1</v>
      </c>
      <c r="G15" s="2">
        <v>1</v>
      </c>
      <c r="H15" s="2">
        <v>1</v>
      </c>
      <c r="I15" s="2">
        <v>0</v>
      </c>
      <c r="J15" s="2">
        <v>1</v>
      </c>
      <c r="K15" s="2">
        <v>0</v>
      </c>
    </row>
    <row r="16" spans="1:11" x14ac:dyDescent="0.3">
      <c r="A16" s="2" t="s">
        <v>1225</v>
      </c>
      <c r="B16" s="2">
        <v>11.71</v>
      </c>
      <c r="C16" s="2">
        <v>11.67</v>
      </c>
      <c r="D16" s="2">
        <v>10.130000000000001</v>
      </c>
      <c r="E16" s="2">
        <v>0</v>
      </c>
      <c r="F16" s="2">
        <v>1</v>
      </c>
      <c r="G16" s="2">
        <v>1</v>
      </c>
      <c r="H16" s="2">
        <v>1</v>
      </c>
      <c r="I16" s="2">
        <v>0</v>
      </c>
      <c r="J16" s="2">
        <v>1</v>
      </c>
      <c r="K16" s="2">
        <v>0</v>
      </c>
    </row>
    <row r="17" spans="1:11" x14ac:dyDescent="0.3">
      <c r="A17" s="2" t="s">
        <v>1502</v>
      </c>
      <c r="B17" s="2">
        <v>23.72</v>
      </c>
      <c r="C17" s="2">
        <v>11.83</v>
      </c>
      <c r="D17" s="2">
        <v>11.36</v>
      </c>
      <c r="E17" s="2">
        <v>0</v>
      </c>
      <c r="F17" s="2">
        <v>1</v>
      </c>
      <c r="G17" s="2">
        <v>1</v>
      </c>
      <c r="H17" s="2">
        <v>1</v>
      </c>
      <c r="I17" s="2">
        <v>0</v>
      </c>
      <c r="J17" s="2">
        <v>1</v>
      </c>
      <c r="K17" s="2">
        <v>0</v>
      </c>
    </row>
    <row r="18" spans="1:11" x14ac:dyDescent="0.3">
      <c r="A18" s="2" t="s">
        <v>1560</v>
      </c>
      <c r="B18" s="2">
        <v>36.869999999999997</v>
      </c>
      <c r="C18" s="2">
        <v>31.7</v>
      </c>
      <c r="D18" s="2">
        <v>31.54</v>
      </c>
      <c r="E18" s="2">
        <v>0</v>
      </c>
      <c r="F18" s="2">
        <v>2</v>
      </c>
      <c r="G18" s="2">
        <v>1</v>
      </c>
      <c r="H18" s="2">
        <v>1</v>
      </c>
      <c r="I18" s="2">
        <v>0</v>
      </c>
      <c r="J18" s="2">
        <v>1</v>
      </c>
      <c r="K18" s="2">
        <v>0</v>
      </c>
    </row>
    <row r="19" spans="1:11" x14ac:dyDescent="0.3">
      <c r="A19" s="2" t="s">
        <v>691</v>
      </c>
      <c r="B19" s="2">
        <v>1007.23</v>
      </c>
      <c r="C19" s="2">
        <v>40.28</v>
      </c>
      <c r="D19" s="2">
        <v>37.090000000000003</v>
      </c>
      <c r="E19" s="2">
        <v>1</v>
      </c>
      <c r="F19" s="2">
        <v>2</v>
      </c>
      <c r="G19" s="2">
        <v>2</v>
      </c>
      <c r="H19" s="2">
        <v>2</v>
      </c>
      <c r="I19" s="2">
        <v>1</v>
      </c>
      <c r="J19" s="2">
        <v>1</v>
      </c>
      <c r="K19" s="2">
        <v>0</v>
      </c>
    </row>
    <row r="20" spans="1:11" x14ac:dyDescent="0.3">
      <c r="A20" s="2" t="s">
        <v>1513</v>
      </c>
      <c r="B20" s="2">
        <v>42.24</v>
      </c>
      <c r="C20" s="2">
        <v>42.06</v>
      </c>
      <c r="D20" s="2">
        <v>41.79</v>
      </c>
      <c r="E20" s="2">
        <v>0</v>
      </c>
      <c r="F20" s="2">
        <v>3</v>
      </c>
      <c r="G20" s="2">
        <v>1</v>
      </c>
      <c r="H20" s="2">
        <v>1</v>
      </c>
      <c r="I20" s="2">
        <v>0</v>
      </c>
      <c r="J20" s="2">
        <v>1</v>
      </c>
      <c r="K20" s="2">
        <v>0</v>
      </c>
    </row>
    <row r="21" spans="1:11" x14ac:dyDescent="0.3">
      <c r="A21" s="2" t="s">
        <v>667</v>
      </c>
      <c r="B21" s="2">
        <v>1183.8</v>
      </c>
      <c r="C21" s="2">
        <v>38.71</v>
      </c>
      <c r="D21" s="2">
        <v>34.840000000000003</v>
      </c>
      <c r="E21" s="2">
        <v>3</v>
      </c>
      <c r="F21" s="2">
        <v>2</v>
      </c>
      <c r="G21" s="2">
        <v>3</v>
      </c>
      <c r="H21" s="2">
        <v>4</v>
      </c>
      <c r="I21" s="2">
        <v>3</v>
      </c>
      <c r="J21" s="2">
        <v>1</v>
      </c>
      <c r="K21" s="2">
        <v>0</v>
      </c>
    </row>
    <row r="22" spans="1:11" x14ac:dyDescent="0.3">
      <c r="A22" s="2" t="s">
        <v>1273</v>
      </c>
      <c r="B22" s="2">
        <v>221.97</v>
      </c>
      <c r="C22" s="2">
        <v>80.27</v>
      </c>
      <c r="D22" s="2">
        <v>71.989999999999995</v>
      </c>
      <c r="E22" s="2">
        <v>4</v>
      </c>
      <c r="F22" s="2">
        <v>3</v>
      </c>
      <c r="G22" s="2">
        <v>2</v>
      </c>
      <c r="H22" s="2">
        <v>3</v>
      </c>
      <c r="I22" s="2">
        <v>2</v>
      </c>
      <c r="J22" s="2">
        <v>1</v>
      </c>
      <c r="K22" s="2">
        <v>0</v>
      </c>
    </row>
    <row r="23" spans="1:11" x14ac:dyDescent="0.3">
      <c r="A23" s="2" t="s">
        <v>717</v>
      </c>
      <c r="B23" s="2">
        <v>371.59</v>
      </c>
      <c r="C23" s="2">
        <v>60.72</v>
      </c>
      <c r="D23" s="2">
        <v>49.37</v>
      </c>
      <c r="E23" s="2">
        <v>3</v>
      </c>
      <c r="F23" s="2">
        <v>3</v>
      </c>
      <c r="G23" s="2">
        <v>3</v>
      </c>
      <c r="H23" s="2">
        <v>3</v>
      </c>
      <c r="I23" s="2">
        <v>2</v>
      </c>
      <c r="J23" s="2">
        <v>2</v>
      </c>
      <c r="K23" s="2">
        <v>0</v>
      </c>
    </row>
    <row r="24" spans="1:11" x14ac:dyDescent="0.3">
      <c r="A24" s="2" t="s">
        <v>629</v>
      </c>
      <c r="B24" s="2">
        <v>1504.74</v>
      </c>
      <c r="C24" s="2">
        <v>31.77</v>
      </c>
      <c r="D24" s="2">
        <v>29.21</v>
      </c>
      <c r="E24" s="2">
        <v>1</v>
      </c>
      <c r="F24" s="2">
        <v>1</v>
      </c>
      <c r="G24" s="2">
        <v>1</v>
      </c>
      <c r="H24" s="2">
        <v>1</v>
      </c>
      <c r="I24" s="2">
        <v>1</v>
      </c>
      <c r="J24" s="2">
        <v>1</v>
      </c>
      <c r="K24" s="2">
        <v>0</v>
      </c>
    </row>
    <row r="25" spans="1:11" x14ac:dyDescent="0.3">
      <c r="A25" s="2" t="s">
        <v>1042</v>
      </c>
      <c r="B25" s="2">
        <v>40.69</v>
      </c>
      <c r="C25" s="2">
        <v>27.6</v>
      </c>
      <c r="D25" s="2">
        <v>23.08</v>
      </c>
      <c r="E25" s="2">
        <v>2</v>
      </c>
      <c r="F25" s="2">
        <v>1</v>
      </c>
      <c r="G25" s="2">
        <v>3</v>
      </c>
      <c r="H25" s="2">
        <v>3</v>
      </c>
      <c r="I25" s="2">
        <v>2</v>
      </c>
      <c r="J25" s="2">
        <v>2</v>
      </c>
      <c r="K25" s="2">
        <v>0</v>
      </c>
    </row>
    <row r="26" spans="1:11" x14ac:dyDescent="0.3">
      <c r="A26" s="2" t="s">
        <v>825</v>
      </c>
      <c r="B26" s="2">
        <v>63.29</v>
      </c>
      <c r="C26" s="2">
        <v>30.64</v>
      </c>
      <c r="D26" s="2">
        <v>29.43</v>
      </c>
      <c r="E26" s="2">
        <v>0</v>
      </c>
      <c r="F26" s="2">
        <v>1</v>
      </c>
      <c r="G26" s="2">
        <v>1</v>
      </c>
      <c r="H26" s="2">
        <v>1</v>
      </c>
      <c r="I26" s="2">
        <v>0</v>
      </c>
      <c r="J26" s="2">
        <v>1</v>
      </c>
      <c r="K26" s="2">
        <v>0</v>
      </c>
    </row>
    <row r="27" spans="1:11" x14ac:dyDescent="0.3">
      <c r="A27" s="2" t="s">
        <v>609</v>
      </c>
      <c r="B27" s="2">
        <v>58.2</v>
      </c>
      <c r="C27" s="2">
        <v>57.99</v>
      </c>
      <c r="D27" s="2">
        <v>55.150000000000013</v>
      </c>
      <c r="E27" s="2">
        <v>2</v>
      </c>
      <c r="F27" s="2">
        <v>2</v>
      </c>
      <c r="G27" s="2">
        <v>1</v>
      </c>
      <c r="H27" s="2">
        <v>1</v>
      </c>
      <c r="I27" s="2">
        <v>0</v>
      </c>
      <c r="J27" s="2">
        <v>1</v>
      </c>
      <c r="K27" s="2">
        <v>0</v>
      </c>
    </row>
    <row r="28" spans="1:11" x14ac:dyDescent="0.3">
      <c r="A28" s="2" t="s">
        <v>1029</v>
      </c>
      <c r="B28" s="2">
        <v>18.36</v>
      </c>
      <c r="C28" s="2">
        <v>18.260000000000002</v>
      </c>
      <c r="D28" s="2">
        <v>17.11</v>
      </c>
      <c r="E28" s="2">
        <v>0</v>
      </c>
      <c r="F28" s="2">
        <v>2</v>
      </c>
      <c r="G28" s="2">
        <v>1</v>
      </c>
      <c r="H28" s="2">
        <v>1</v>
      </c>
      <c r="I28" s="2">
        <v>0</v>
      </c>
      <c r="J28" s="2">
        <v>1</v>
      </c>
      <c r="K28" s="2">
        <v>0</v>
      </c>
    </row>
    <row r="29" spans="1:11" x14ac:dyDescent="0.3">
      <c r="A29" s="2" t="s">
        <v>1536</v>
      </c>
      <c r="B29" s="2">
        <v>26.23</v>
      </c>
      <c r="C29" s="2">
        <v>26.18</v>
      </c>
      <c r="D29" s="2">
        <v>25.75</v>
      </c>
      <c r="E29" s="2">
        <v>0</v>
      </c>
      <c r="F29" s="2">
        <v>1</v>
      </c>
      <c r="G29" s="2">
        <v>1</v>
      </c>
      <c r="H29" s="2">
        <v>1</v>
      </c>
      <c r="I29" s="2">
        <v>0</v>
      </c>
      <c r="J29" s="2">
        <v>1</v>
      </c>
      <c r="K29" s="2">
        <v>0</v>
      </c>
    </row>
    <row r="30" spans="1:11" x14ac:dyDescent="0.3">
      <c r="A30" s="2" t="s">
        <v>458</v>
      </c>
      <c r="B30" s="2">
        <v>34.07</v>
      </c>
      <c r="C30" s="2">
        <v>34.01</v>
      </c>
      <c r="D30" s="2">
        <v>32.909999999999997</v>
      </c>
      <c r="E30" s="2">
        <v>0</v>
      </c>
      <c r="F30" s="2">
        <v>1</v>
      </c>
      <c r="G30" s="2">
        <v>1</v>
      </c>
      <c r="H30" s="2">
        <v>1</v>
      </c>
      <c r="I30" s="2">
        <v>0</v>
      </c>
      <c r="J30" s="2">
        <v>1</v>
      </c>
      <c r="K30" s="2">
        <v>0</v>
      </c>
    </row>
    <row r="31" spans="1:11" x14ac:dyDescent="0.3">
      <c r="A31" s="2" t="s">
        <v>1075</v>
      </c>
      <c r="B31" s="2">
        <v>32.43</v>
      </c>
      <c r="C31" s="2">
        <v>32.369999999999997</v>
      </c>
      <c r="D31" s="2">
        <v>30.85</v>
      </c>
      <c r="E31" s="2">
        <v>0</v>
      </c>
      <c r="F31" s="2">
        <v>1</v>
      </c>
      <c r="G31" s="2">
        <v>1</v>
      </c>
      <c r="H31" s="2">
        <v>1</v>
      </c>
      <c r="I31" s="2">
        <v>0</v>
      </c>
      <c r="J31" s="2">
        <v>1</v>
      </c>
      <c r="K31" s="2">
        <v>0</v>
      </c>
    </row>
    <row r="32" spans="1:11" x14ac:dyDescent="0.3">
      <c r="A32" s="2" t="s">
        <v>1422</v>
      </c>
      <c r="B32" s="2">
        <v>33.67</v>
      </c>
      <c r="C32" s="2">
        <v>29.83</v>
      </c>
      <c r="D32" s="2">
        <v>28.01</v>
      </c>
      <c r="E32" s="2">
        <v>0</v>
      </c>
      <c r="F32" s="2">
        <v>1</v>
      </c>
      <c r="G32" s="2">
        <v>1</v>
      </c>
      <c r="H32" s="2">
        <v>1</v>
      </c>
      <c r="I32" s="2">
        <v>0</v>
      </c>
      <c r="J32" s="2">
        <v>1</v>
      </c>
      <c r="K32" s="2">
        <v>0</v>
      </c>
    </row>
    <row r="33" spans="1:11" x14ac:dyDescent="0.3">
      <c r="A33" s="2" t="s">
        <v>1546</v>
      </c>
      <c r="B33" s="2">
        <v>37.200000000000003</v>
      </c>
      <c r="C33" s="2">
        <v>37.1</v>
      </c>
      <c r="D33" s="2">
        <v>36.58</v>
      </c>
      <c r="E33" s="2">
        <v>0</v>
      </c>
      <c r="F33" s="2">
        <v>2</v>
      </c>
      <c r="G33" s="2">
        <v>1</v>
      </c>
      <c r="H33" s="2">
        <v>1</v>
      </c>
      <c r="I33" s="2">
        <v>0</v>
      </c>
      <c r="J33" s="2">
        <v>1</v>
      </c>
      <c r="K33" s="2">
        <v>0</v>
      </c>
    </row>
    <row r="34" spans="1:11" x14ac:dyDescent="0.3">
      <c r="A34" s="2" t="s">
        <v>856</v>
      </c>
      <c r="B34" s="2">
        <v>140.65</v>
      </c>
      <c r="C34" s="2">
        <v>17.079999999999998</v>
      </c>
      <c r="D34" s="2">
        <v>16.02</v>
      </c>
      <c r="E34" s="2">
        <v>1</v>
      </c>
      <c r="F34" s="2">
        <v>1</v>
      </c>
      <c r="G34" s="2">
        <v>2</v>
      </c>
      <c r="H34" s="2">
        <v>2</v>
      </c>
      <c r="I34" s="2">
        <v>1</v>
      </c>
      <c r="J34" s="2">
        <v>2</v>
      </c>
      <c r="K34" s="2">
        <v>0</v>
      </c>
    </row>
    <row r="35" spans="1:11" x14ac:dyDescent="0.3">
      <c r="A35" s="2" t="s">
        <v>869</v>
      </c>
      <c r="B35" s="2">
        <v>9.83</v>
      </c>
      <c r="C35" s="2">
        <v>9.8000000000000007</v>
      </c>
      <c r="D35" s="2">
        <v>9.25</v>
      </c>
      <c r="E35" s="2">
        <v>0</v>
      </c>
      <c r="F35" s="2">
        <v>1</v>
      </c>
      <c r="G35" s="2">
        <v>1</v>
      </c>
      <c r="H35" s="2">
        <v>1</v>
      </c>
      <c r="I35" s="2">
        <v>0</v>
      </c>
      <c r="J35" s="2">
        <v>1</v>
      </c>
      <c r="K35" s="2">
        <v>0</v>
      </c>
    </row>
    <row r="36" spans="1:11" x14ac:dyDescent="0.3">
      <c r="A36" s="2" t="s">
        <v>1246</v>
      </c>
      <c r="B36" s="2">
        <v>41.7</v>
      </c>
      <c r="C36" s="2">
        <v>41.66</v>
      </c>
      <c r="D36" s="2">
        <v>39.15</v>
      </c>
      <c r="E36" s="2">
        <v>0</v>
      </c>
      <c r="F36" s="2">
        <v>1</v>
      </c>
      <c r="G36" s="2">
        <v>1</v>
      </c>
      <c r="H36" s="2">
        <v>1</v>
      </c>
      <c r="I36" s="2">
        <v>0</v>
      </c>
      <c r="J36" s="2">
        <v>1</v>
      </c>
      <c r="K36" s="2">
        <v>0</v>
      </c>
    </row>
    <row r="37" spans="1:11" x14ac:dyDescent="0.3">
      <c r="A37" s="2" t="s">
        <v>1211</v>
      </c>
      <c r="B37" s="2">
        <v>11.8</v>
      </c>
      <c r="C37" s="2">
        <v>11.76</v>
      </c>
      <c r="D37" s="2">
        <v>8.4499999999999993</v>
      </c>
      <c r="E37" s="2">
        <v>0</v>
      </c>
      <c r="F37" s="2">
        <v>1</v>
      </c>
      <c r="G37" s="2">
        <v>1</v>
      </c>
      <c r="H37" s="2">
        <v>1</v>
      </c>
      <c r="I37" s="2">
        <v>0</v>
      </c>
      <c r="J37" s="2">
        <v>1</v>
      </c>
      <c r="K37" s="2">
        <v>0</v>
      </c>
    </row>
    <row r="38" spans="1:11" x14ac:dyDescent="0.3">
      <c r="A38" s="2" t="s">
        <v>1082</v>
      </c>
      <c r="B38" s="2">
        <v>34.61</v>
      </c>
      <c r="C38" s="2">
        <v>34.49</v>
      </c>
      <c r="D38" s="2">
        <v>20.22</v>
      </c>
      <c r="E38" s="2">
        <v>0</v>
      </c>
      <c r="F38" s="2">
        <v>1</v>
      </c>
      <c r="G38" s="2">
        <v>1</v>
      </c>
      <c r="H38" s="2">
        <v>1</v>
      </c>
      <c r="I38" s="2">
        <v>0</v>
      </c>
      <c r="J38" s="2">
        <v>1</v>
      </c>
      <c r="K38" s="2">
        <v>0</v>
      </c>
    </row>
    <row r="39" spans="1:11" x14ac:dyDescent="0.3">
      <c r="A39" s="2" t="s">
        <v>1580</v>
      </c>
      <c r="B39" s="2">
        <v>41.23</v>
      </c>
      <c r="C39" s="2">
        <v>40.9</v>
      </c>
      <c r="D39" s="2">
        <v>40.4</v>
      </c>
      <c r="E39" s="2">
        <v>1</v>
      </c>
      <c r="F39" s="2">
        <v>3</v>
      </c>
      <c r="G39" s="2">
        <v>2</v>
      </c>
      <c r="H39" s="2">
        <v>2</v>
      </c>
      <c r="I39" s="2">
        <v>1</v>
      </c>
      <c r="J39" s="2">
        <v>1</v>
      </c>
      <c r="K39" s="2">
        <v>0</v>
      </c>
    </row>
    <row r="40" spans="1:11" x14ac:dyDescent="0.3">
      <c r="A40" s="2" t="s">
        <v>930</v>
      </c>
      <c r="B40" s="2">
        <v>29.38</v>
      </c>
      <c r="C40" s="2">
        <v>29.32</v>
      </c>
      <c r="D40" s="2">
        <v>12.55</v>
      </c>
      <c r="E40" s="2">
        <v>0</v>
      </c>
      <c r="F40" s="2">
        <v>1</v>
      </c>
      <c r="G40" s="2">
        <v>1</v>
      </c>
      <c r="H40" s="2">
        <v>1</v>
      </c>
      <c r="I40" s="2">
        <v>0</v>
      </c>
      <c r="J40" s="2">
        <v>1</v>
      </c>
      <c r="K40" s="2">
        <v>0</v>
      </c>
    </row>
    <row r="41" spans="1:11" x14ac:dyDescent="0.3">
      <c r="A41" s="2" t="s">
        <v>1326</v>
      </c>
      <c r="B41" s="2">
        <v>41.73</v>
      </c>
      <c r="C41" s="2">
        <v>41.25</v>
      </c>
      <c r="D41" s="2">
        <v>36.68</v>
      </c>
      <c r="E41" s="2">
        <v>1</v>
      </c>
      <c r="F41" s="2">
        <v>2</v>
      </c>
      <c r="G41" s="2">
        <v>1</v>
      </c>
      <c r="H41" s="2">
        <v>2</v>
      </c>
      <c r="I41" s="2">
        <v>1</v>
      </c>
      <c r="J41" s="2">
        <v>1</v>
      </c>
      <c r="K41" s="2">
        <v>0</v>
      </c>
    </row>
    <row r="42" spans="1:11" x14ac:dyDescent="0.3">
      <c r="A42" s="2" t="s">
        <v>1197</v>
      </c>
      <c r="B42" s="2">
        <v>25.99</v>
      </c>
      <c r="C42" s="2">
        <v>25.63</v>
      </c>
      <c r="D42" s="2">
        <v>22.44</v>
      </c>
      <c r="E42" s="2">
        <v>1</v>
      </c>
      <c r="F42" s="2">
        <v>1</v>
      </c>
      <c r="G42" s="2">
        <v>2</v>
      </c>
      <c r="H42" s="2">
        <v>2</v>
      </c>
      <c r="I42" s="2">
        <v>1</v>
      </c>
      <c r="J42" s="2">
        <v>2</v>
      </c>
      <c r="K42" s="2">
        <v>0</v>
      </c>
    </row>
    <row r="43" spans="1:11" x14ac:dyDescent="0.3">
      <c r="A43" s="2" t="s">
        <v>1154</v>
      </c>
      <c r="B43" s="2">
        <v>14.71</v>
      </c>
      <c r="C43" s="2">
        <v>14.68</v>
      </c>
      <c r="D43" s="2">
        <v>14.13</v>
      </c>
      <c r="E43" s="2">
        <v>0</v>
      </c>
      <c r="F43" s="2">
        <v>1</v>
      </c>
      <c r="G43" s="2">
        <v>1</v>
      </c>
      <c r="H43" s="2">
        <v>1</v>
      </c>
      <c r="I43" s="2">
        <v>0</v>
      </c>
      <c r="J43" s="2">
        <v>1</v>
      </c>
      <c r="K43" s="2">
        <v>0</v>
      </c>
    </row>
    <row r="44" spans="1:11" x14ac:dyDescent="0.3">
      <c r="A44" s="2" t="s">
        <v>496</v>
      </c>
      <c r="B44" s="2">
        <v>25.93</v>
      </c>
      <c r="C44" s="2">
        <v>25.8</v>
      </c>
      <c r="D44" s="2">
        <v>24</v>
      </c>
      <c r="E44" s="2">
        <v>0</v>
      </c>
      <c r="F44" s="2">
        <v>1</v>
      </c>
      <c r="G44" s="2">
        <v>1</v>
      </c>
      <c r="H44" s="2">
        <v>1</v>
      </c>
      <c r="I44" s="2">
        <v>0</v>
      </c>
      <c r="J44" s="2">
        <v>1</v>
      </c>
      <c r="K44" s="2">
        <v>0</v>
      </c>
    </row>
    <row r="45" spans="1:11" x14ac:dyDescent="0.3">
      <c r="A45" s="2" t="s">
        <v>844</v>
      </c>
      <c r="B45" s="2">
        <v>22.61</v>
      </c>
      <c r="C45" s="2">
        <v>22.55</v>
      </c>
      <c r="D45" s="2">
        <v>21.74</v>
      </c>
      <c r="E45" s="2">
        <v>0</v>
      </c>
      <c r="F45" s="2">
        <v>1</v>
      </c>
      <c r="G45" s="2">
        <v>1</v>
      </c>
      <c r="H45" s="2">
        <v>1</v>
      </c>
      <c r="I45" s="2">
        <v>0</v>
      </c>
      <c r="J45" s="2">
        <v>1</v>
      </c>
      <c r="K45" s="2">
        <v>0</v>
      </c>
    </row>
    <row r="46" spans="1:11" x14ac:dyDescent="0.3">
      <c r="A46" s="2" t="s">
        <v>945</v>
      </c>
      <c r="B46" s="2">
        <v>9.2200000000000006</v>
      </c>
      <c r="C46" s="2">
        <v>9.09</v>
      </c>
      <c r="D46" s="2">
        <v>8.44</v>
      </c>
      <c r="E46" s="2">
        <v>0</v>
      </c>
      <c r="F46" s="2">
        <v>2</v>
      </c>
      <c r="G46" s="2">
        <v>1</v>
      </c>
      <c r="H46" s="2">
        <v>1</v>
      </c>
      <c r="I46" s="2">
        <v>0</v>
      </c>
      <c r="J46" s="2">
        <v>1</v>
      </c>
      <c r="K46" s="2">
        <v>0</v>
      </c>
    </row>
    <row r="47" spans="1:11" x14ac:dyDescent="0.3">
      <c r="A47" s="2" t="s">
        <v>817</v>
      </c>
      <c r="B47" s="2">
        <v>46.52</v>
      </c>
      <c r="C47" s="2">
        <v>38.93</v>
      </c>
      <c r="D47" s="2">
        <v>36.89</v>
      </c>
      <c r="E47" s="2">
        <v>3</v>
      </c>
      <c r="F47" s="2">
        <v>3</v>
      </c>
      <c r="G47" s="2">
        <v>1</v>
      </c>
      <c r="H47" s="2">
        <v>1</v>
      </c>
      <c r="I47" s="2">
        <v>0</v>
      </c>
      <c r="J47" s="2">
        <v>1</v>
      </c>
      <c r="K47" s="2">
        <v>0</v>
      </c>
    </row>
    <row r="48" spans="1:11" x14ac:dyDescent="0.3">
      <c r="A48" s="2" t="s">
        <v>799</v>
      </c>
      <c r="B48" s="2">
        <v>130.44</v>
      </c>
      <c r="C48" s="2">
        <v>119.72</v>
      </c>
      <c r="D48" s="2">
        <v>80.78</v>
      </c>
      <c r="E48" s="2">
        <v>1</v>
      </c>
      <c r="F48" s="2">
        <v>3</v>
      </c>
      <c r="G48" s="2">
        <v>2</v>
      </c>
      <c r="H48" s="2">
        <v>2</v>
      </c>
      <c r="I48" s="2">
        <v>1</v>
      </c>
      <c r="J48" s="2">
        <v>2</v>
      </c>
      <c r="K48" s="2">
        <v>0</v>
      </c>
    </row>
    <row r="49" spans="1:11" x14ac:dyDescent="0.3">
      <c r="A49" s="2" t="s">
        <v>1013</v>
      </c>
      <c r="B49" s="2">
        <v>15.6</v>
      </c>
      <c r="C49" s="2">
        <v>15.5</v>
      </c>
      <c r="D49" s="2">
        <v>14.96</v>
      </c>
      <c r="E49" s="2">
        <v>0</v>
      </c>
      <c r="F49" s="2">
        <v>1</v>
      </c>
      <c r="G49" s="2">
        <v>1</v>
      </c>
      <c r="H49" s="2">
        <v>1</v>
      </c>
      <c r="I49" s="2">
        <v>0</v>
      </c>
      <c r="J49" s="2">
        <v>1</v>
      </c>
      <c r="K49" s="2">
        <v>0</v>
      </c>
    </row>
    <row r="50" spans="1:11" x14ac:dyDescent="0.3">
      <c r="A50" s="2" t="s">
        <v>1586</v>
      </c>
      <c r="B50" s="2">
        <v>19.39</v>
      </c>
      <c r="C50" s="2">
        <v>16.03</v>
      </c>
      <c r="D50" s="2">
        <v>15.39</v>
      </c>
      <c r="E50" s="2">
        <v>1</v>
      </c>
      <c r="F50" s="2">
        <v>1</v>
      </c>
      <c r="G50" s="2">
        <v>2</v>
      </c>
      <c r="H50" s="2">
        <v>2</v>
      </c>
      <c r="I50" s="2">
        <v>1</v>
      </c>
      <c r="J50" s="2">
        <v>1</v>
      </c>
      <c r="K50" s="2">
        <v>0</v>
      </c>
    </row>
    <row r="51" spans="1:11" x14ac:dyDescent="0.3">
      <c r="A51" s="2" t="s">
        <v>1287</v>
      </c>
      <c r="B51" s="2">
        <v>47.87</v>
      </c>
      <c r="C51" s="2">
        <v>47.83</v>
      </c>
      <c r="D51" s="2">
        <v>46.12</v>
      </c>
      <c r="E51" s="2">
        <v>0</v>
      </c>
      <c r="F51" s="2">
        <v>1</v>
      </c>
      <c r="G51" s="2">
        <v>1</v>
      </c>
      <c r="H51" s="2">
        <v>1</v>
      </c>
      <c r="I51" s="2">
        <v>0</v>
      </c>
      <c r="J51" s="2">
        <v>1</v>
      </c>
      <c r="K51" s="2">
        <v>0</v>
      </c>
    </row>
    <row r="52" spans="1:11" x14ac:dyDescent="0.3">
      <c r="A52" s="2" t="s">
        <v>1350</v>
      </c>
      <c r="B52" s="2">
        <v>49.05</v>
      </c>
      <c r="C52" s="2">
        <v>37.049999999999997</v>
      </c>
      <c r="D52" s="2">
        <v>34.83</v>
      </c>
      <c r="E52" s="2">
        <v>0</v>
      </c>
      <c r="F52" s="2">
        <v>4</v>
      </c>
      <c r="G52" s="2">
        <v>1</v>
      </c>
      <c r="H52" s="2">
        <v>1</v>
      </c>
      <c r="I52" s="2">
        <v>0</v>
      </c>
      <c r="J52" s="2">
        <v>1</v>
      </c>
      <c r="K52" s="2">
        <v>0</v>
      </c>
    </row>
    <row r="53" spans="1:11" x14ac:dyDescent="0.3">
      <c r="A53" s="2" t="s">
        <v>1121</v>
      </c>
      <c r="B53" s="2">
        <v>53.74</v>
      </c>
      <c r="C53" s="2">
        <v>45.76</v>
      </c>
      <c r="D53" s="2">
        <v>12.04</v>
      </c>
      <c r="E53" s="2">
        <v>1</v>
      </c>
      <c r="F53" s="2">
        <v>1</v>
      </c>
      <c r="G53" s="2">
        <v>2</v>
      </c>
      <c r="H53" s="2">
        <v>2</v>
      </c>
      <c r="I53" s="2">
        <v>1</v>
      </c>
      <c r="J53" s="2">
        <v>2</v>
      </c>
      <c r="K53" s="2">
        <v>0</v>
      </c>
    </row>
    <row r="54" spans="1:11" x14ac:dyDescent="0.3">
      <c r="A54" s="2" t="s">
        <v>779</v>
      </c>
      <c r="B54" s="2">
        <v>430.28</v>
      </c>
      <c r="C54" s="2">
        <v>36.130000000000003</v>
      </c>
      <c r="D54" s="2">
        <v>34.6</v>
      </c>
      <c r="E54" s="2">
        <v>10</v>
      </c>
      <c r="F54" s="2">
        <v>4</v>
      </c>
      <c r="G54" s="2">
        <v>2</v>
      </c>
      <c r="H54" s="2">
        <v>2</v>
      </c>
      <c r="I54" s="2">
        <v>1</v>
      </c>
      <c r="J54" s="2">
        <v>2</v>
      </c>
      <c r="K54" s="2">
        <v>0</v>
      </c>
    </row>
    <row r="55" spans="1:11" x14ac:dyDescent="0.3">
      <c r="A55" s="2" t="s">
        <v>1108</v>
      </c>
      <c r="B55" s="2">
        <v>16.87</v>
      </c>
      <c r="C55" s="2">
        <v>16.75</v>
      </c>
      <c r="D55" s="2">
        <v>15.18</v>
      </c>
      <c r="E55" s="2">
        <v>0</v>
      </c>
      <c r="F55" s="2">
        <v>1</v>
      </c>
      <c r="G55" s="2">
        <v>1</v>
      </c>
      <c r="H55" s="2">
        <v>1</v>
      </c>
      <c r="I55" s="2">
        <v>0</v>
      </c>
      <c r="J55" s="2">
        <v>1</v>
      </c>
      <c r="K55" s="2">
        <v>0</v>
      </c>
    </row>
    <row r="56" spans="1:11" x14ac:dyDescent="0.3">
      <c r="A56" s="2" t="s">
        <v>1133</v>
      </c>
      <c r="B56" s="2">
        <v>35.76</v>
      </c>
      <c r="C56" s="2">
        <v>35.71</v>
      </c>
      <c r="D56" s="2">
        <v>34.11</v>
      </c>
      <c r="E56" s="2">
        <v>0</v>
      </c>
      <c r="F56" s="2">
        <v>1</v>
      </c>
      <c r="G56" s="2">
        <v>1</v>
      </c>
      <c r="H56" s="2">
        <v>1</v>
      </c>
      <c r="I56" s="2">
        <v>0</v>
      </c>
      <c r="J56" s="2">
        <v>1</v>
      </c>
      <c r="K56" s="2">
        <v>0</v>
      </c>
    </row>
    <row r="57" spans="1:11" x14ac:dyDescent="0.3">
      <c r="A57" s="2" t="s">
        <v>1054</v>
      </c>
      <c r="B57" s="2">
        <v>38.42</v>
      </c>
      <c r="C57" s="2">
        <v>27.1</v>
      </c>
      <c r="D57" s="2">
        <v>16.41</v>
      </c>
      <c r="E57" s="2">
        <v>2</v>
      </c>
      <c r="F57" s="2">
        <v>1</v>
      </c>
      <c r="G57" s="2">
        <v>3</v>
      </c>
      <c r="H57" s="2">
        <v>3</v>
      </c>
      <c r="I57" s="2">
        <v>2</v>
      </c>
      <c r="J57" s="2">
        <v>3</v>
      </c>
      <c r="K57" s="2">
        <v>0</v>
      </c>
    </row>
    <row r="58" spans="1:11" x14ac:dyDescent="0.3">
      <c r="A58" s="2" t="s">
        <v>1529</v>
      </c>
      <c r="B58" s="2">
        <v>81.52</v>
      </c>
      <c r="C58" s="2">
        <v>81.47</v>
      </c>
      <c r="D58" s="2">
        <v>81</v>
      </c>
      <c r="E58" s="2">
        <v>0</v>
      </c>
      <c r="F58" s="2">
        <v>1</v>
      </c>
      <c r="G58" s="2">
        <v>1</v>
      </c>
      <c r="H58" s="2">
        <v>1</v>
      </c>
      <c r="I58" s="2">
        <v>0</v>
      </c>
      <c r="J58" s="2">
        <v>1</v>
      </c>
      <c r="K58" s="2">
        <v>0</v>
      </c>
    </row>
    <row r="59" spans="1:11" x14ac:dyDescent="0.3">
      <c r="A59" s="2" t="s">
        <v>1411</v>
      </c>
      <c r="B59" s="2">
        <v>31.58</v>
      </c>
      <c r="C59" s="2">
        <v>31.41</v>
      </c>
      <c r="D59" s="2">
        <v>29.66</v>
      </c>
      <c r="E59" s="2">
        <v>0</v>
      </c>
      <c r="F59" s="2">
        <v>1</v>
      </c>
      <c r="G59" s="2">
        <v>1</v>
      </c>
      <c r="H59" s="2">
        <v>1</v>
      </c>
      <c r="I59" s="2">
        <v>0</v>
      </c>
      <c r="J59" s="2">
        <v>1</v>
      </c>
      <c r="K59" s="2">
        <v>0</v>
      </c>
    </row>
    <row r="60" spans="1:11" x14ac:dyDescent="0.3">
      <c r="A60" s="2" t="s">
        <v>651</v>
      </c>
      <c r="B60" s="2">
        <v>202.17</v>
      </c>
      <c r="C60" s="2">
        <v>37.81</v>
      </c>
      <c r="D60" s="2">
        <v>34.409999999999997</v>
      </c>
      <c r="E60" s="2">
        <v>1</v>
      </c>
      <c r="F60" s="2">
        <v>1</v>
      </c>
      <c r="G60" s="2">
        <v>2</v>
      </c>
      <c r="H60" s="2">
        <v>2</v>
      </c>
      <c r="I60" s="2">
        <v>1</v>
      </c>
      <c r="J60" s="2">
        <v>2</v>
      </c>
      <c r="K60" s="2">
        <v>0</v>
      </c>
    </row>
    <row r="61" spans="1:11" x14ac:dyDescent="0.3">
      <c r="A61" s="2" t="s">
        <v>584</v>
      </c>
      <c r="B61" s="2">
        <v>261.12</v>
      </c>
      <c r="C61" s="2">
        <v>48.75</v>
      </c>
      <c r="D61" s="2">
        <v>47.68</v>
      </c>
      <c r="E61" s="2">
        <v>0</v>
      </c>
      <c r="F61" s="2">
        <v>1</v>
      </c>
      <c r="G61" s="2">
        <v>1</v>
      </c>
      <c r="H61" s="2">
        <v>1</v>
      </c>
      <c r="I61" s="2">
        <v>0</v>
      </c>
      <c r="J61" s="2">
        <v>1</v>
      </c>
      <c r="K61" s="2">
        <v>0</v>
      </c>
    </row>
    <row r="62" spans="1:11" x14ac:dyDescent="0.3">
      <c r="A62" s="2" t="s">
        <v>1333</v>
      </c>
      <c r="B62" s="2">
        <v>23.82</v>
      </c>
      <c r="C62" s="2">
        <v>23.79</v>
      </c>
      <c r="D62" s="2">
        <v>19.559999999999999</v>
      </c>
      <c r="E62" s="2">
        <v>0</v>
      </c>
      <c r="F62" s="2">
        <v>1</v>
      </c>
      <c r="G62" s="2">
        <v>1</v>
      </c>
      <c r="H62" s="2">
        <v>1</v>
      </c>
      <c r="I62" s="2">
        <v>0</v>
      </c>
      <c r="J62" s="2">
        <v>1</v>
      </c>
      <c r="K62" s="2">
        <v>0</v>
      </c>
    </row>
    <row r="63" spans="1:11" x14ac:dyDescent="0.3">
      <c r="A63" s="2" t="s">
        <v>1417</v>
      </c>
      <c r="B63" s="2">
        <v>33.82</v>
      </c>
      <c r="C63" s="2">
        <v>33.75</v>
      </c>
      <c r="D63" s="2">
        <v>30.31</v>
      </c>
      <c r="E63" s="2">
        <v>0</v>
      </c>
      <c r="F63" s="2">
        <v>1</v>
      </c>
      <c r="G63" s="2">
        <v>1</v>
      </c>
      <c r="H63" s="2">
        <v>1</v>
      </c>
      <c r="I63" s="2">
        <v>0</v>
      </c>
      <c r="J63" s="2">
        <v>1</v>
      </c>
      <c r="K63" s="2">
        <v>0</v>
      </c>
    </row>
    <row r="64" spans="1:11" x14ac:dyDescent="0.3">
      <c r="A64" s="2" t="s">
        <v>762</v>
      </c>
      <c r="B64" s="2">
        <v>322.18</v>
      </c>
      <c r="C64" s="2">
        <v>36.4</v>
      </c>
      <c r="D64" s="2">
        <v>30.58</v>
      </c>
      <c r="E64" s="2">
        <v>2</v>
      </c>
      <c r="F64" s="2">
        <v>2</v>
      </c>
      <c r="G64" s="2">
        <v>2</v>
      </c>
      <c r="H64" s="2">
        <v>3</v>
      </c>
      <c r="I64" s="2">
        <v>2</v>
      </c>
      <c r="J64" s="2">
        <v>2</v>
      </c>
      <c r="K64" s="2">
        <v>0</v>
      </c>
    </row>
    <row r="65" spans="1:11" x14ac:dyDescent="0.3">
      <c r="A65" s="2" t="s">
        <v>912</v>
      </c>
      <c r="B65" s="2">
        <v>17.37</v>
      </c>
      <c r="C65" s="2">
        <v>17.239999999999998</v>
      </c>
      <c r="D65" s="2">
        <v>16.43</v>
      </c>
      <c r="E65" s="2">
        <v>0</v>
      </c>
      <c r="F65" s="2">
        <v>1</v>
      </c>
      <c r="G65" s="2">
        <v>1</v>
      </c>
      <c r="H65" s="2">
        <v>1</v>
      </c>
      <c r="I65" s="2">
        <v>0</v>
      </c>
      <c r="J65" s="2">
        <v>1</v>
      </c>
      <c r="K65" s="2">
        <v>0</v>
      </c>
    </row>
    <row r="66" spans="1:11" x14ac:dyDescent="0.3">
      <c r="A66" s="2" t="s">
        <v>519</v>
      </c>
      <c r="B66" s="2">
        <v>400.19</v>
      </c>
      <c r="C66" s="2">
        <v>45.21</v>
      </c>
      <c r="D66" s="2">
        <v>43.57</v>
      </c>
      <c r="E66" s="2">
        <v>2</v>
      </c>
      <c r="F66" s="2">
        <v>2</v>
      </c>
      <c r="G66" s="2">
        <v>2</v>
      </c>
      <c r="H66" s="2">
        <v>2</v>
      </c>
      <c r="I66" s="2">
        <v>1</v>
      </c>
      <c r="J66" s="2">
        <v>2</v>
      </c>
      <c r="K66" s="2">
        <v>0</v>
      </c>
    </row>
    <row r="67" spans="1:11" x14ac:dyDescent="0.3">
      <c r="A67" s="2" t="s">
        <v>976</v>
      </c>
      <c r="B67" s="2">
        <v>12.69</v>
      </c>
      <c r="C67" s="2">
        <v>12.54</v>
      </c>
      <c r="D67" s="2">
        <v>12.04</v>
      </c>
      <c r="E67" s="2">
        <v>0</v>
      </c>
      <c r="F67" s="2">
        <v>1</v>
      </c>
      <c r="G67" s="2">
        <v>1</v>
      </c>
      <c r="H67" s="2">
        <v>1</v>
      </c>
      <c r="I67" s="2">
        <v>0</v>
      </c>
      <c r="J67" s="2">
        <v>1</v>
      </c>
      <c r="K67" s="2">
        <v>0</v>
      </c>
    </row>
    <row r="68" spans="1:11" x14ac:dyDescent="0.3">
      <c r="A68" s="2" t="s">
        <v>1456</v>
      </c>
      <c r="B68" s="2">
        <v>85.85</v>
      </c>
      <c r="C68" s="2">
        <v>39.770000000000003</v>
      </c>
      <c r="D68" s="2">
        <v>38.440000000000012</v>
      </c>
      <c r="E68" s="2">
        <v>5</v>
      </c>
      <c r="F68" s="2">
        <v>2</v>
      </c>
      <c r="G68" s="2">
        <v>2</v>
      </c>
      <c r="H68" s="2">
        <v>3</v>
      </c>
      <c r="I68" s="2">
        <v>2</v>
      </c>
      <c r="J68" s="2">
        <v>2</v>
      </c>
      <c r="K68" s="2">
        <v>0</v>
      </c>
    </row>
    <row r="69" spans="1:11" x14ac:dyDescent="0.3">
      <c r="A69" s="2" t="s">
        <v>1256</v>
      </c>
      <c r="B69" s="2">
        <v>22.02</v>
      </c>
      <c r="C69" s="2">
        <v>21.8</v>
      </c>
      <c r="D69" s="2">
        <v>20.75</v>
      </c>
      <c r="E69" s="2">
        <v>2</v>
      </c>
      <c r="F69" s="2">
        <v>1</v>
      </c>
      <c r="G69" s="2">
        <v>1</v>
      </c>
      <c r="H69" s="2">
        <v>1</v>
      </c>
      <c r="I69" s="2">
        <v>0</v>
      </c>
      <c r="J69" s="2">
        <v>1</v>
      </c>
      <c r="K69" s="2">
        <v>0</v>
      </c>
    </row>
    <row r="70" spans="1:11" x14ac:dyDescent="0.3">
      <c r="A70" s="2" t="s">
        <v>1402</v>
      </c>
      <c r="B70" s="2">
        <v>41.59</v>
      </c>
      <c r="C70" s="2">
        <v>41</v>
      </c>
      <c r="D70" s="2">
        <v>24.29</v>
      </c>
      <c r="E70" s="2">
        <v>0</v>
      </c>
      <c r="F70" s="2">
        <v>1</v>
      </c>
      <c r="G70" s="2">
        <v>1</v>
      </c>
      <c r="H70" s="2">
        <v>1</v>
      </c>
      <c r="I70" s="2">
        <v>0</v>
      </c>
      <c r="J70" s="2">
        <v>1</v>
      </c>
      <c r="K70" s="2">
        <v>0</v>
      </c>
    </row>
    <row r="71" spans="1:11" x14ac:dyDescent="0.3">
      <c r="A71" s="2" t="s">
        <v>1568</v>
      </c>
      <c r="B71" s="2">
        <v>44.73</v>
      </c>
      <c r="C71" s="2">
        <v>43.42</v>
      </c>
      <c r="D71" s="2">
        <v>42.55</v>
      </c>
      <c r="E71" s="2">
        <v>0</v>
      </c>
      <c r="F71" s="2">
        <v>2</v>
      </c>
      <c r="G71" s="2">
        <v>1</v>
      </c>
      <c r="H71" s="2">
        <v>1</v>
      </c>
      <c r="I71" s="2">
        <v>0</v>
      </c>
      <c r="J71" s="2">
        <v>1</v>
      </c>
      <c r="K71" s="2">
        <v>0</v>
      </c>
    </row>
    <row r="72" spans="1:11" x14ac:dyDescent="0.3">
      <c r="A72" s="2" t="s">
        <v>1435</v>
      </c>
      <c r="B72" s="2">
        <v>16.98</v>
      </c>
      <c r="C72" s="2">
        <v>16.95</v>
      </c>
      <c r="D72" s="2">
        <v>15.69</v>
      </c>
      <c r="E72" s="2">
        <v>0</v>
      </c>
      <c r="F72" s="2">
        <v>1</v>
      </c>
      <c r="G72" s="2">
        <v>1</v>
      </c>
      <c r="H72" s="2">
        <v>1</v>
      </c>
      <c r="I72" s="2">
        <v>0</v>
      </c>
      <c r="J72" s="2">
        <v>1</v>
      </c>
      <c r="K72" s="2">
        <v>0</v>
      </c>
    </row>
    <row r="73" spans="1:11" x14ac:dyDescent="0.3">
      <c r="A73" s="2" t="s">
        <v>996</v>
      </c>
      <c r="B73" s="2">
        <v>29.71</v>
      </c>
      <c r="C73" s="2">
        <v>29.55</v>
      </c>
      <c r="D73" s="2">
        <v>23.52</v>
      </c>
      <c r="E73" s="2">
        <v>0</v>
      </c>
      <c r="F73" s="2">
        <v>2</v>
      </c>
      <c r="G73" s="2">
        <v>1</v>
      </c>
      <c r="H73" s="2">
        <v>1</v>
      </c>
      <c r="I73" s="2">
        <v>0</v>
      </c>
      <c r="J73" s="2">
        <v>1</v>
      </c>
      <c r="K73" s="2">
        <v>0</v>
      </c>
    </row>
    <row r="74" spans="1:11" x14ac:dyDescent="0.3">
      <c r="A74" s="2" t="s">
        <v>1299</v>
      </c>
      <c r="B74" s="2">
        <v>47.84</v>
      </c>
      <c r="C74" s="2">
        <v>47.76</v>
      </c>
      <c r="D74" s="2">
        <v>45.57</v>
      </c>
      <c r="E74" s="2">
        <v>0</v>
      </c>
      <c r="F74" s="2">
        <v>1</v>
      </c>
      <c r="G74" s="2">
        <v>1</v>
      </c>
      <c r="H74" s="2">
        <v>1</v>
      </c>
      <c r="I74" s="2">
        <v>0</v>
      </c>
      <c r="J74" s="2">
        <v>1</v>
      </c>
      <c r="K74" s="2">
        <v>0</v>
      </c>
    </row>
    <row r="75" spans="1:11" x14ac:dyDescent="0.3">
      <c r="A75" s="2" t="s">
        <v>538</v>
      </c>
      <c r="B75" s="2">
        <v>28.28</v>
      </c>
      <c r="C75" s="2">
        <v>28.17</v>
      </c>
      <c r="D75" s="2">
        <v>26.72</v>
      </c>
      <c r="E75" s="2">
        <v>0</v>
      </c>
      <c r="F75" s="2">
        <v>1</v>
      </c>
      <c r="G75" s="2">
        <v>1</v>
      </c>
      <c r="H75" s="2">
        <v>1</v>
      </c>
      <c r="I75" s="2">
        <v>0</v>
      </c>
      <c r="J75" s="2">
        <v>1</v>
      </c>
      <c r="K75" s="2">
        <v>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75"/>
  <sheetViews>
    <sheetView topLeftCell="A49" workbookViewId="0">
      <selection sqref="A1:B75"/>
    </sheetView>
  </sheetViews>
  <sheetFormatPr baseColWidth="10" defaultColWidth="8.88671875" defaultRowHeight="14.4" x14ac:dyDescent="0.3"/>
  <cols>
    <col min="1" max="1" width="36.109375" style="2" bestFit="1" customWidth="1"/>
    <col min="2" max="2" width="14.21875" style="2" customWidth="1"/>
    <col min="3" max="16384" width="8.88671875" style="2"/>
  </cols>
  <sheetData>
    <row r="1" spans="1:2" s="39" customFormat="1" x14ac:dyDescent="0.3">
      <c r="A1" s="39" t="s">
        <v>5</v>
      </c>
      <c r="B1" s="39" t="s">
        <v>1619</v>
      </c>
    </row>
    <row r="2" spans="1:2" x14ac:dyDescent="0.3">
      <c r="A2" s="2" t="s">
        <v>564</v>
      </c>
      <c r="B2" s="2">
        <v>95</v>
      </c>
    </row>
    <row r="3" spans="1:2" x14ac:dyDescent="0.3">
      <c r="A3" s="2" t="s">
        <v>742</v>
      </c>
      <c r="B3" s="2">
        <v>103</v>
      </c>
    </row>
    <row r="4" spans="1:2" x14ac:dyDescent="0.3">
      <c r="A4" s="2" t="s">
        <v>1521</v>
      </c>
      <c r="B4" s="2">
        <v>139</v>
      </c>
    </row>
    <row r="5" spans="1:2" x14ac:dyDescent="0.3">
      <c r="A5" s="2" t="s">
        <v>1364</v>
      </c>
      <c r="B5" s="2">
        <v>75</v>
      </c>
    </row>
    <row r="6" spans="1:2" x14ac:dyDescent="0.3">
      <c r="A6" s="2" t="s">
        <v>959</v>
      </c>
      <c r="B6" s="2">
        <v>75</v>
      </c>
    </row>
    <row r="7" spans="1:2" x14ac:dyDescent="0.3">
      <c r="A7" s="2" t="s">
        <v>1165</v>
      </c>
      <c r="B7" s="2">
        <v>67</v>
      </c>
    </row>
    <row r="8" spans="1:2" x14ac:dyDescent="0.3">
      <c r="A8" s="2" t="s">
        <v>1316</v>
      </c>
      <c r="B8" s="2">
        <v>115</v>
      </c>
    </row>
    <row r="9" spans="1:2" x14ac:dyDescent="0.3">
      <c r="A9" s="2" t="s">
        <v>1379</v>
      </c>
      <c r="B9" s="2">
        <v>201</v>
      </c>
    </row>
    <row r="10" spans="1:2" x14ac:dyDescent="0.3">
      <c r="A10" s="2" t="s">
        <v>1392</v>
      </c>
      <c r="B10" s="2">
        <v>207</v>
      </c>
    </row>
    <row r="11" spans="1:2" x14ac:dyDescent="0.3">
      <c r="A11" s="2" t="s">
        <v>1445</v>
      </c>
      <c r="B11" s="2">
        <v>147</v>
      </c>
    </row>
    <row r="12" spans="1:2" x14ac:dyDescent="0.3">
      <c r="A12" s="2" t="s">
        <v>1140</v>
      </c>
      <c r="B12" s="2">
        <v>76</v>
      </c>
    </row>
    <row r="13" spans="1:2" x14ac:dyDescent="0.3">
      <c r="A13" s="2" t="s">
        <v>1096</v>
      </c>
      <c r="B13" s="2">
        <v>67</v>
      </c>
    </row>
    <row r="14" spans="1:2" x14ac:dyDescent="0.3">
      <c r="A14" s="2" t="s">
        <v>1064</v>
      </c>
      <c r="B14" s="2">
        <v>68</v>
      </c>
    </row>
    <row r="15" spans="1:2" x14ac:dyDescent="0.3">
      <c r="A15" s="2" t="s">
        <v>889</v>
      </c>
      <c r="B15" s="2">
        <v>76</v>
      </c>
    </row>
    <row r="16" spans="1:2" x14ac:dyDescent="0.3">
      <c r="A16" s="2" t="s">
        <v>1225</v>
      </c>
      <c r="B16" s="2">
        <v>77</v>
      </c>
    </row>
    <row r="17" spans="1:2" x14ac:dyDescent="0.3">
      <c r="A17" s="2" t="s">
        <v>1502</v>
      </c>
      <c r="B17" s="2">
        <v>78</v>
      </c>
    </row>
    <row r="18" spans="1:2" x14ac:dyDescent="0.3">
      <c r="A18" s="2" t="s">
        <v>1560</v>
      </c>
      <c r="B18" s="2">
        <v>70</v>
      </c>
    </row>
    <row r="19" spans="1:2" x14ac:dyDescent="0.3">
      <c r="A19" s="2" t="s">
        <v>691</v>
      </c>
      <c r="B19" s="2">
        <v>130</v>
      </c>
    </row>
    <row r="20" spans="1:2" x14ac:dyDescent="0.3">
      <c r="A20" s="2" t="s">
        <v>1513</v>
      </c>
      <c r="B20" s="2">
        <v>92</v>
      </c>
    </row>
    <row r="21" spans="1:2" x14ac:dyDescent="0.3">
      <c r="A21" s="2" t="s">
        <v>667</v>
      </c>
      <c r="B21" s="2">
        <v>170</v>
      </c>
    </row>
    <row r="22" spans="1:2" x14ac:dyDescent="0.3">
      <c r="A22" s="2" t="s">
        <v>1273</v>
      </c>
      <c r="B22" s="2">
        <v>120</v>
      </c>
    </row>
    <row r="23" spans="1:2" x14ac:dyDescent="0.3">
      <c r="A23" s="2" t="s">
        <v>717</v>
      </c>
      <c r="B23" s="2">
        <v>141</v>
      </c>
    </row>
    <row r="24" spans="1:2" x14ac:dyDescent="0.3">
      <c r="A24" s="2" t="s">
        <v>629</v>
      </c>
      <c r="B24" s="2">
        <v>77</v>
      </c>
    </row>
    <row r="25" spans="1:2" x14ac:dyDescent="0.3">
      <c r="A25" s="2" t="s">
        <v>1042</v>
      </c>
      <c r="B25" s="2">
        <v>84</v>
      </c>
    </row>
    <row r="26" spans="1:2" x14ac:dyDescent="0.3">
      <c r="A26" s="2" t="s">
        <v>825</v>
      </c>
      <c r="B26" s="2">
        <v>99</v>
      </c>
    </row>
    <row r="27" spans="1:2" x14ac:dyDescent="0.3">
      <c r="A27" s="2" t="s">
        <v>609</v>
      </c>
      <c r="B27" s="2">
        <v>222</v>
      </c>
    </row>
    <row r="28" spans="1:2" x14ac:dyDescent="0.3">
      <c r="A28" s="2" t="s">
        <v>1029</v>
      </c>
      <c r="B28" s="2">
        <v>155</v>
      </c>
    </row>
    <row r="29" spans="1:2" x14ac:dyDescent="0.3">
      <c r="A29" s="2" t="s">
        <v>1536</v>
      </c>
      <c r="B29" s="2">
        <v>57</v>
      </c>
    </row>
    <row r="30" spans="1:2" x14ac:dyDescent="0.3">
      <c r="A30" s="2" t="s">
        <v>458</v>
      </c>
      <c r="B30" s="2">
        <v>108</v>
      </c>
    </row>
    <row r="31" spans="1:2" x14ac:dyDescent="0.3">
      <c r="A31" s="2" t="s">
        <v>1075</v>
      </c>
      <c r="B31" s="2">
        <v>106</v>
      </c>
    </row>
    <row r="32" spans="1:2" x14ac:dyDescent="0.3">
      <c r="A32" s="2" t="s">
        <v>1422</v>
      </c>
      <c r="B32" s="2">
        <v>66</v>
      </c>
    </row>
    <row r="33" spans="1:2" x14ac:dyDescent="0.3">
      <c r="A33" s="2" t="s">
        <v>1546</v>
      </c>
      <c r="B33" s="2">
        <v>171</v>
      </c>
    </row>
    <row r="34" spans="1:2" x14ac:dyDescent="0.3">
      <c r="A34" s="2" t="s">
        <v>856</v>
      </c>
      <c r="B34" s="2">
        <v>66</v>
      </c>
    </row>
    <row r="35" spans="1:2" x14ac:dyDescent="0.3">
      <c r="A35" s="2" t="s">
        <v>869</v>
      </c>
      <c r="B35" s="2">
        <v>60</v>
      </c>
    </row>
    <row r="36" spans="1:2" x14ac:dyDescent="0.3">
      <c r="A36" s="2" t="s">
        <v>1246</v>
      </c>
      <c r="B36" s="2">
        <v>81</v>
      </c>
    </row>
    <row r="37" spans="1:2" x14ac:dyDescent="0.3">
      <c r="A37" s="2" t="s">
        <v>1211</v>
      </c>
      <c r="B37" s="2">
        <v>86</v>
      </c>
    </row>
    <row r="38" spans="1:2" x14ac:dyDescent="0.3">
      <c r="A38" s="2" t="s">
        <v>1082</v>
      </c>
      <c r="B38" s="2">
        <v>87</v>
      </c>
    </row>
    <row r="39" spans="1:2" x14ac:dyDescent="0.3">
      <c r="A39" s="2" t="s">
        <v>1580</v>
      </c>
      <c r="B39" s="2">
        <v>109</v>
      </c>
    </row>
    <row r="40" spans="1:2" x14ac:dyDescent="0.3">
      <c r="A40" s="2" t="s">
        <v>930</v>
      </c>
      <c r="B40" s="2">
        <v>68</v>
      </c>
    </row>
    <row r="41" spans="1:2" x14ac:dyDescent="0.3">
      <c r="A41" s="2" t="s">
        <v>1326</v>
      </c>
      <c r="B41" s="2">
        <v>77</v>
      </c>
    </row>
    <row r="42" spans="1:2" x14ac:dyDescent="0.3">
      <c r="A42" s="2" t="s">
        <v>1197</v>
      </c>
      <c r="B42" s="2">
        <v>147</v>
      </c>
    </row>
    <row r="43" spans="1:2" x14ac:dyDescent="0.3">
      <c r="A43" s="2" t="s">
        <v>1154</v>
      </c>
      <c r="B43" s="2">
        <v>67</v>
      </c>
    </row>
    <row r="44" spans="1:2" x14ac:dyDescent="0.3">
      <c r="A44" s="2" t="s">
        <v>496</v>
      </c>
      <c r="B44" s="2">
        <v>123</v>
      </c>
    </row>
    <row r="45" spans="1:2" x14ac:dyDescent="0.3">
      <c r="A45" s="2" t="s">
        <v>844</v>
      </c>
      <c r="B45" s="2">
        <v>83</v>
      </c>
    </row>
    <row r="46" spans="1:2" x14ac:dyDescent="0.3">
      <c r="A46" s="2" t="s">
        <v>945</v>
      </c>
      <c r="B46" s="2">
        <v>66</v>
      </c>
    </row>
    <row r="47" spans="1:2" x14ac:dyDescent="0.3">
      <c r="A47" s="2" t="s">
        <v>817</v>
      </c>
      <c r="B47" s="2">
        <v>211</v>
      </c>
    </row>
    <row r="48" spans="1:2" x14ac:dyDescent="0.3">
      <c r="A48" s="2" t="s">
        <v>799</v>
      </c>
      <c r="B48" s="2">
        <v>181</v>
      </c>
    </row>
    <row r="49" spans="1:2" x14ac:dyDescent="0.3">
      <c r="A49" s="2" t="s">
        <v>1013</v>
      </c>
      <c r="B49" s="2">
        <v>77</v>
      </c>
    </row>
    <row r="50" spans="1:2" x14ac:dyDescent="0.3">
      <c r="A50" s="2" t="s">
        <v>1586</v>
      </c>
      <c r="B50" s="2">
        <v>126</v>
      </c>
    </row>
    <row r="51" spans="1:2" x14ac:dyDescent="0.3">
      <c r="A51" s="2" t="s">
        <v>1287</v>
      </c>
      <c r="B51" s="2">
        <v>93</v>
      </c>
    </row>
    <row r="52" spans="1:2" x14ac:dyDescent="0.3">
      <c r="A52" s="2" t="s">
        <v>1350</v>
      </c>
      <c r="B52" s="2">
        <v>107</v>
      </c>
    </row>
    <row r="53" spans="1:2" x14ac:dyDescent="0.3">
      <c r="A53" s="2" t="s">
        <v>1121</v>
      </c>
      <c r="B53" s="2">
        <v>82</v>
      </c>
    </row>
    <row r="54" spans="1:2" x14ac:dyDescent="0.3">
      <c r="A54" s="2" t="s">
        <v>779</v>
      </c>
      <c r="B54" s="2">
        <v>129</v>
      </c>
    </row>
    <row r="55" spans="1:2" x14ac:dyDescent="0.3">
      <c r="A55" s="2" t="s">
        <v>1108</v>
      </c>
      <c r="B55" s="2">
        <v>88</v>
      </c>
    </row>
    <row r="56" spans="1:2" x14ac:dyDescent="0.3">
      <c r="A56" s="2" t="s">
        <v>1133</v>
      </c>
      <c r="B56" s="2">
        <v>85</v>
      </c>
    </row>
    <row r="57" spans="1:2" x14ac:dyDescent="0.3">
      <c r="A57" s="2" t="s">
        <v>1054</v>
      </c>
      <c r="B57" s="2">
        <v>78</v>
      </c>
    </row>
    <row r="58" spans="1:2" x14ac:dyDescent="0.3">
      <c r="A58" s="2" t="s">
        <v>1529</v>
      </c>
      <c r="B58" s="2">
        <v>74</v>
      </c>
    </row>
    <row r="59" spans="1:2" x14ac:dyDescent="0.3">
      <c r="A59" s="2" t="s">
        <v>1411</v>
      </c>
      <c r="B59" s="2">
        <v>84</v>
      </c>
    </row>
    <row r="60" spans="1:2" x14ac:dyDescent="0.3">
      <c r="A60" s="2" t="s">
        <v>651</v>
      </c>
      <c r="B60" s="2">
        <v>118</v>
      </c>
    </row>
    <row r="61" spans="1:2" x14ac:dyDescent="0.3">
      <c r="A61" s="2" t="s">
        <v>584</v>
      </c>
      <c r="B61" s="2">
        <v>99</v>
      </c>
    </row>
    <row r="62" spans="1:2" x14ac:dyDescent="0.3">
      <c r="A62" s="2" t="s">
        <v>1333</v>
      </c>
      <c r="B62" s="2">
        <v>59</v>
      </c>
    </row>
    <row r="63" spans="1:2" x14ac:dyDescent="0.3">
      <c r="A63" s="2" t="s">
        <v>1417</v>
      </c>
      <c r="B63" s="2">
        <v>84</v>
      </c>
    </row>
    <row r="64" spans="1:2" x14ac:dyDescent="0.3">
      <c r="A64" s="2" t="s">
        <v>762</v>
      </c>
      <c r="B64" s="2">
        <v>138</v>
      </c>
    </row>
    <row r="65" spans="1:2" x14ac:dyDescent="0.3">
      <c r="A65" s="2" t="s">
        <v>912</v>
      </c>
      <c r="B65" s="2">
        <v>71</v>
      </c>
    </row>
    <row r="66" spans="1:2" x14ac:dyDescent="0.3">
      <c r="A66" s="2" t="s">
        <v>519</v>
      </c>
      <c r="B66" s="2">
        <v>97</v>
      </c>
    </row>
    <row r="67" spans="1:2" x14ac:dyDescent="0.3">
      <c r="A67" s="2" t="s">
        <v>976</v>
      </c>
      <c r="B67" s="2">
        <v>90</v>
      </c>
    </row>
    <row r="68" spans="1:2" x14ac:dyDescent="0.3">
      <c r="A68" s="2" t="s">
        <v>1456</v>
      </c>
      <c r="B68" s="2">
        <v>143</v>
      </c>
    </row>
    <row r="69" spans="1:2" x14ac:dyDescent="0.3">
      <c r="A69" s="2" t="s">
        <v>1256</v>
      </c>
      <c r="B69" s="2">
        <v>137</v>
      </c>
    </row>
    <row r="70" spans="1:2" x14ac:dyDescent="0.3">
      <c r="A70" s="2" t="s">
        <v>1402</v>
      </c>
      <c r="B70" s="2">
        <v>62</v>
      </c>
    </row>
    <row r="71" spans="1:2" x14ac:dyDescent="0.3">
      <c r="A71" s="2" t="s">
        <v>1568</v>
      </c>
      <c r="B71" s="2">
        <v>217</v>
      </c>
    </row>
    <row r="72" spans="1:2" x14ac:dyDescent="0.3">
      <c r="A72" s="2" t="s">
        <v>1435</v>
      </c>
      <c r="B72" s="2">
        <v>116</v>
      </c>
    </row>
    <row r="73" spans="1:2" x14ac:dyDescent="0.3">
      <c r="A73" s="2" t="s">
        <v>996</v>
      </c>
      <c r="B73" s="2">
        <v>117</v>
      </c>
    </row>
    <row r="74" spans="1:2" x14ac:dyDescent="0.3">
      <c r="A74" s="2" t="s">
        <v>1299</v>
      </c>
      <c r="B74" s="2">
        <v>82</v>
      </c>
    </row>
    <row r="75" spans="1:2" x14ac:dyDescent="0.3">
      <c r="A75" s="2" t="s">
        <v>538</v>
      </c>
      <c r="B75" s="2">
        <v>79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75"/>
  <sheetViews>
    <sheetView workbookViewId="0">
      <selection activeCell="D20" sqref="D20"/>
    </sheetView>
  </sheetViews>
  <sheetFormatPr baseColWidth="10" defaultColWidth="8.88671875" defaultRowHeight="14.4" x14ac:dyDescent="0.3"/>
  <cols>
    <col min="1" max="1" width="19" style="2" customWidth="1"/>
    <col min="2" max="2" width="25.109375" style="2" customWidth="1"/>
    <col min="3" max="3" width="17" style="2" customWidth="1"/>
    <col min="4" max="16384" width="8.88671875" style="2"/>
  </cols>
  <sheetData>
    <row r="1" spans="1:3" x14ac:dyDescent="0.3">
      <c r="A1" s="2" t="s">
        <v>412</v>
      </c>
      <c r="B1" s="2" t="s">
        <v>85</v>
      </c>
      <c r="C1" s="2" t="s">
        <v>1643</v>
      </c>
    </row>
    <row r="2" spans="1:3" x14ac:dyDescent="0.3">
      <c r="A2" s="2" t="s">
        <v>717</v>
      </c>
      <c r="C2" s="2" t="s">
        <v>1644</v>
      </c>
    </row>
    <row r="3" spans="1:3" x14ac:dyDescent="0.3">
      <c r="A3" s="2" t="s">
        <v>742</v>
      </c>
      <c r="C3" s="2" t="s">
        <v>1644</v>
      </c>
    </row>
    <row r="4" spans="1:3" x14ac:dyDescent="0.3">
      <c r="A4" s="2" t="s">
        <v>1246</v>
      </c>
      <c r="C4" s="2" t="s">
        <v>1644</v>
      </c>
    </row>
    <row r="5" spans="1:3" x14ac:dyDescent="0.3">
      <c r="A5" s="2" t="s">
        <v>496</v>
      </c>
      <c r="C5" s="2" t="s">
        <v>1645</v>
      </c>
    </row>
    <row r="6" spans="1:3" x14ac:dyDescent="0.3">
      <c r="A6" s="2" t="s">
        <v>564</v>
      </c>
      <c r="C6" s="2" t="s">
        <v>1645</v>
      </c>
    </row>
    <row r="7" spans="1:3" x14ac:dyDescent="0.3">
      <c r="A7" s="2" t="s">
        <v>1197</v>
      </c>
      <c r="C7" s="2" t="s">
        <v>1645</v>
      </c>
    </row>
    <row r="8" spans="1:3" x14ac:dyDescent="0.3">
      <c r="A8" s="2" t="s">
        <v>1211</v>
      </c>
      <c r="C8" s="2" t="s">
        <v>1645</v>
      </c>
    </row>
    <row r="9" spans="1:3" x14ac:dyDescent="0.3">
      <c r="A9" s="2" t="s">
        <v>1225</v>
      </c>
      <c r="C9" s="2" t="s">
        <v>1645</v>
      </c>
    </row>
    <row r="10" spans="1:3" x14ac:dyDescent="0.3">
      <c r="A10" s="2" t="s">
        <v>1350</v>
      </c>
      <c r="C10" s="2" t="s">
        <v>1645</v>
      </c>
    </row>
    <row r="11" spans="1:3" x14ac:dyDescent="0.3">
      <c r="A11" s="2" t="s">
        <v>1379</v>
      </c>
      <c r="C11" s="2" t="s">
        <v>1645</v>
      </c>
    </row>
    <row r="12" spans="1:3" x14ac:dyDescent="0.3">
      <c r="A12" s="2" t="s">
        <v>1392</v>
      </c>
      <c r="C12" s="2" t="s">
        <v>1645</v>
      </c>
    </row>
    <row r="13" spans="1:3" x14ac:dyDescent="0.3">
      <c r="A13" s="2" t="s">
        <v>1502</v>
      </c>
      <c r="C13" s="2" t="s">
        <v>1645</v>
      </c>
    </row>
    <row r="14" spans="1:3" x14ac:dyDescent="0.3">
      <c r="A14" s="2" t="s">
        <v>1513</v>
      </c>
      <c r="C14" s="2" t="s">
        <v>1645</v>
      </c>
    </row>
    <row r="15" spans="1:3" x14ac:dyDescent="0.3">
      <c r="A15" s="2" t="s">
        <v>1108</v>
      </c>
      <c r="C15" s="2" t="s">
        <v>1648</v>
      </c>
    </row>
    <row r="16" spans="1:3" x14ac:dyDescent="0.3">
      <c r="A16" s="2" t="s">
        <v>651</v>
      </c>
      <c r="C16" s="2" t="s">
        <v>1649</v>
      </c>
    </row>
    <row r="17" spans="1:3" x14ac:dyDescent="0.3">
      <c r="A17" s="2" t="s">
        <v>844</v>
      </c>
      <c r="C17" s="2" t="s">
        <v>1649</v>
      </c>
    </row>
    <row r="18" spans="1:3" x14ac:dyDescent="0.3">
      <c r="A18" s="2" t="s">
        <v>856</v>
      </c>
      <c r="C18" s="2" t="s">
        <v>1649</v>
      </c>
    </row>
    <row r="19" spans="1:3" x14ac:dyDescent="0.3">
      <c r="A19" s="2" t="s">
        <v>869</v>
      </c>
      <c r="C19" s="2" t="s">
        <v>1649</v>
      </c>
    </row>
    <row r="20" spans="1:3" x14ac:dyDescent="0.3">
      <c r="A20" s="2" t="s">
        <v>1096</v>
      </c>
      <c r="C20" s="2" t="s">
        <v>1649</v>
      </c>
    </row>
    <row r="21" spans="1:3" x14ac:dyDescent="0.3">
      <c r="A21" s="2" t="s">
        <v>1154</v>
      </c>
      <c r="C21" s="2" t="s">
        <v>1649</v>
      </c>
    </row>
    <row r="22" spans="1:3" x14ac:dyDescent="0.3">
      <c r="A22" s="2" t="s">
        <v>1165</v>
      </c>
      <c r="C22" s="2" t="s">
        <v>1649</v>
      </c>
    </row>
    <row r="23" spans="1:3" x14ac:dyDescent="0.3">
      <c r="A23" s="2" t="s">
        <v>889</v>
      </c>
      <c r="C23" s="2" t="s">
        <v>1650</v>
      </c>
    </row>
    <row r="24" spans="1:3" x14ac:dyDescent="0.3">
      <c r="A24" s="2" t="s">
        <v>912</v>
      </c>
      <c r="C24" s="2" t="s">
        <v>1650</v>
      </c>
    </row>
    <row r="25" spans="1:3" x14ac:dyDescent="0.3">
      <c r="A25" s="2" t="s">
        <v>458</v>
      </c>
      <c r="C25" s="2" t="s">
        <v>1650</v>
      </c>
    </row>
    <row r="26" spans="1:3" x14ac:dyDescent="0.3">
      <c r="A26" s="2" t="s">
        <v>538</v>
      </c>
      <c r="C26" s="2" t="s">
        <v>1650</v>
      </c>
    </row>
    <row r="27" spans="1:3" x14ac:dyDescent="0.3">
      <c r="A27" s="2" t="s">
        <v>930</v>
      </c>
      <c r="C27" s="2" t="s">
        <v>1650</v>
      </c>
    </row>
    <row r="28" spans="1:3" x14ac:dyDescent="0.3">
      <c r="A28" s="2" t="s">
        <v>945</v>
      </c>
      <c r="C28" s="2" t="s">
        <v>1650</v>
      </c>
    </row>
    <row r="29" spans="1:3" x14ac:dyDescent="0.3">
      <c r="A29" s="2" t="s">
        <v>959</v>
      </c>
      <c r="C29" s="2" t="s">
        <v>1650</v>
      </c>
    </row>
    <row r="30" spans="1:3" x14ac:dyDescent="0.3">
      <c r="A30" s="2" t="s">
        <v>976</v>
      </c>
      <c r="C30" s="2" t="s">
        <v>1650</v>
      </c>
    </row>
    <row r="31" spans="1:3" x14ac:dyDescent="0.3">
      <c r="A31" s="2" t="s">
        <v>996</v>
      </c>
      <c r="C31" s="2" t="s">
        <v>1650</v>
      </c>
    </row>
    <row r="32" spans="1:3" x14ac:dyDescent="0.3">
      <c r="A32" s="2" t="s">
        <v>1013</v>
      </c>
      <c r="C32" s="2" t="s">
        <v>1650</v>
      </c>
    </row>
    <row r="33" spans="1:3" x14ac:dyDescent="0.3">
      <c r="A33" s="2" t="s">
        <v>1029</v>
      </c>
      <c r="C33" s="2" t="s">
        <v>1650</v>
      </c>
    </row>
    <row r="34" spans="1:3" x14ac:dyDescent="0.3">
      <c r="A34" s="2" t="s">
        <v>1529</v>
      </c>
      <c r="C34" s="2" t="s">
        <v>1651</v>
      </c>
    </row>
    <row r="35" spans="1:3" x14ac:dyDescent="0.3">
      <c r="A35" s="2" t="s">
        <v>1536</v>
      </c>
      <c r="C35" s="2" t="s">
        <v>1651</v>
      </c>
    </row>
    <row r="36" spans="1:3" x14ac:dyDescent="0.3">
      <c r="A36" s="2" t="s">
        <v>1568</v>
      </c>
      <c r="C36" s="2" t="s">
        <v>1646</v>
      </c>
    </row>
    <row r="37" spans="1:3" x14ac:dyDescent="0.3">
      <c r="A37" s="2" t="s">
        <v>1580</v>
      </c>
      <c r="C37" s="2" t="s">
        <v>1646</v>
      </c>
    </row>
    <row r="38" spans="1:3" x14ac:dyDescent="0.3">
      <c r="A38" s="2" t="s">
        <v>1586</v>
      </c>
      <c r="C38" s="2" t="s">
        <v>1646</v>
      </c>
    </row>
    <row r="39" spans="1:3" x14ac:dyDescent="0.3">
      <c r="A39" s="2" t="s">
        <v>799</v>
      </c>
      <c r="C39" s="2" t="s">
        <v>1652</v>
      </c>
    </row>
    <row r="40" spans="1:3" x14ac:dyDescent="0.3">
      <c r="A40" s="2" t="s">
        <v>1273</v>
      </c>
      <c r="C40" s="2" t="s">
        <v>1652</v>
      </c>
    </row>
    <row r="41" spans="1:3" x14ac:dyDescent="0.3">
      <c r="A41" s="2" t="s">
        <v>1287</v>
      </c>
      <c r="C41" s="2" t="s">
        <v>1652</v>
      </c>
    </row>
    <row r="42" spans="1:3" x14ac:dyDescent="0.3">
      <c r="A42" s="2" t="s">
        <v>1299</v>
      </c>
      <c r="C42" s="2" t="s">
        <v>1652</v>
      </c>
    </row>
    <row r="43" spans="1:3" x14ac:dyDescent="0.3">
      <c r="A43" s="2" t="s">
        <v>1326</v>
      </c>
      <c r="C43" s="2" t="s">
        <v>1652</v>
      </c>
    </row>
    <row r="44" spans="1:3" x14ac:dyDescent="0.3">
      <c r="A44" s="2" t="s">
        <v>1333</v>
      </c>
      <c r="C44" s="2" t="s">
        <v>1652</v>
      </c>
    </row>
    <row r="45" spans="1:3" x14ac:dyDescent="0.3">
      <c r="A45" s="2" t="s">
        <v>1364</v>
      </c>
      <c r="C45" s="2" t="s">
        <v>1652</v>
      </c>
    </row>
    <row r="46" spans="1:3" x14ac:dyDescent="0.3">
      <c r="A46" s="2" t="s">
        <v>1402</v>
      </c>
      <c r="C46" s="2" t="s">
        <v>1652</v>
      </c>
    </row>
    <row r="47" spans="1:3" x14ac:dyDescent="0.3">
      <c r="A47" s="2" t="s">
        <v>1411</v>
      </c>
      <c r="C47" s="2" t="s">
        <v>1652</v>
      </c>
    </row>
    <row r="48" spans="1:3" x14ac:dyDescent="0.3">
      <c r="A48" s="2" t="s">
        <v>1417</v>
      </c>
      <c r="C48" s="2" t="s">
        <v>1652</v>
      </c>
    </row>
    <row r="49" spans="1:3" x14ac:dyDescent="0.3">
      <c r="A49" s="2" t="s">
        <v>1422</v>
      </c>
      <c r="C49" s="2" t="s">
        <v>1652</v>
      </c>
    </row>
    <row r="50" spans="1:3" x14ac:dyDescent="0.3">
      <c r="A50" s="2" t="s">
        <v>1064</v>
      </c>
      <c r="C50" s="2" t="s">
        <v>1653</v>
      </c>
    </row>
    <row r="51" spans="1:3" x14ac:dyDescent="0.3">
      <c r="A51" s="2" t="s">
        <v>519</v>
      </c>
      <c r="C51" s="2" t="s">
        <v>1653</v>
      </c>
    </row>
    <row r="52" spans="1:3" x14ac:dyDescent="0.3">
      <c r="A52" s="2" t="s">
        <v>584</v>
      </c>
      <c r="C52" s="2" t="s">
        <v>1653</v>
      </c>
    </row>
    <row r="53" spans="1:3" x14ac:dyDescent="0.3">
      <c r="A53" s="2" t="s">
        <v>817</v>
      </c>
      <c r="C53" s="2" t="s">
        <v>1653</v>
      </c>
    </row>
    <row r="54" spans="1:3" x14ac:dyDescent="0.3">
      <c r="A54" s="2" t="s">
        <v>825</v>
      </c>
      <c r="C54" s="2" t="s">
        <v>1653</v>
      </c>
    </row>
    <row r="55" spans="1:3" x14ac:dyDescent="0.3">
      <c r="A55" s="2" t="s">
        <v>1075</v>
      </c>
      <c r="C55" s="2" t="s">
        <v>1653</v>
      </c>
    </row>
    <row r="56" spans="1:3" x14ac:dyDescent="0.3">
      <c r="A56" s="2" t="s">
        <v>1133</v>
      </c>
      <c r="C56" s="2" t="s">
        <v>1653</v>
      </c>
    </row>
    <row r="57" spans="1:3" x14ac:dyDescent="0.3">
      <c r="A57" s="2" t="s">
        <v>1140</v>
      </c>
      <c r="C57" s="2" t="s">
        <v>1653</v>
      </c>
    </row>
    <row r="58" spans="1:3" x14ac:dyDescent="0.3">
      <c r="A58" s="2" t="s">
        <v>667</v>
      </c>
      <c r="C58" s="2" t="s">
        <v>1654</v>
      </c>
    </row>
    <row r="59" spans="1:3" x14ac:dyDescent="0.3">
      <c r="A59" s="2" t="s">
        <v>691</v>
      </c>
      <c r="C59" s="2" t="s">
        <v>1654</v>
      </c>
    </row>
    <row r="60" spans="1:3" x14ac:dyDescent="0.3">
      <c r="A60" s="2" t="s">
        <v>762</v>
      </c>
      <c r="C60" s="2" t="s">
        <v>1655</v>
      </c>
    </row>
    <row r="61" spans="1:3" x14ac:dyDescent="0.3">
      <c r="A61" s="2" t="s">
        <v>1445</v>
      </c>
      <c r="C61" s="2" t="s">
        <v>1655</v>
      </c>
    </row>
    <row r="62" spans="1:3" x14ac:dyDescent="0.3">
      <c r="A62" s="2" t="s">
        <v>1042</v>
      </c>
      <c r="C62" s="2" t="s">
        <v>1647</v>
      </c>
    </row>
    <row r="63" spans="1:3" x14ac:dyDescent="0.3">
      <c r="A63" s="2" t="s">
        <v>1054</v>
      </c>
      <c r="C63" s="2" t="s">
        <v>1647</v>
      </c>
    </row>
    <row r="64" spans="1:3" x14ac:dyDescent="0.3">
      <c r="A64" s="2" t="s">
        <v>1121</v>
      </c>
      <c r="C64" s="2" t="s">
        <v>1647</v>
      </c>
    </row>
    <row r="65" spans="1:3" x14ac:dyDescent="0.3">
      <c r="A65" s="2" t="s">
        <v>629</v>
      </c>
      <c r="C65" s="2" t="s">
        <v>1647</v>
      </c>
    </row>
    <row r="66" spans="1:3" x14ac:dyDescent="0.3">
      <c r="A66" s="2" t="s">
        <v>1521</v>
      </c>
      <c r="C66" s="2" t="s">
        <v>1656</v>
      </c>
    </row>
    <row r="67" spans="1:3" x14ac:dyDescent="0.3">
      <c r="A67" s="2" t="s">
        <v>1546</v>
      </c>
      <c r="C67" s="2" t="s">
        <v>1656</v>
      </c>
    </row>
    <row r="68" spans="1:3" x14ac:dyDescent="0.3">
      <c r="A68" s="2" t="s">
        <v>1560</v>
      </c>
      <c r="C68" s="2" t="s">
        <v>1656</v>
      </c>
    </row>
    <row r="69" spans="1:3" x14ac:dyDescent="0.3">
      <c r="A69" s="2" t="s">
        <v>1456</v>
      </c>
      <c r="C69" s="2" t="s">
        <v>1657</v>
      </c>
    </row>
    <row r="70" spans="1:3" x14ac:dyDescent="0.3">
      <c r="A70" s="2" t="s">
        <v>1082</v>
      </c>
      <c r="C70" s="2" t="s">
        <v>1658</v>
      </c>
    </row>
    <row r="71" spans="1:3" x14ac:dyDescent="0.3">
      <c r="A71" s="2" t="s">
        <v>609</v>
      </c>
      <c r="C71" s="2" t="s">
        <v>1659</v>
      </c>
    </row>
    <row r="72" spans="1:3" x14ac:dyDescent="0.3">
      <c r="A72" s="2" t="s">
        <v>779</v>
      </c>
      <c r="C72" s="2" t="s">
        <v>1659</v>
      </c>
    </row>
    <row r="73" spans="1:3" x14ac:dyDescent="0.3">
      <c r="A73" s="2" t="s">
        <v>1256</v>
      </c>
      <c r="C73" s="2" t="s">
        <v>1659</v>
      </c>
    </row>
    <row r="74" spans="1:3" x14ac:dyDescent="0.3">
      <c r="A74" s="2" t="s">
        <v>1316</v>
      </c>
      <c r="C74" s="2" t="s">
        <v>1659</v>
      </c>
    </row>
    <row r="75" spans="1:3" x14ac:dyDescent="0.3">
      <c r="A75" s="2" t="s">
        <v>1435</v>
      </c>
      <c r="C75" s="2" t="s">
        <v>1659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MA69"/>
  <sheetViews>
    <sheetView tabSelected="1" topLeftCell="JY1" workbookViewId="0">
      <selection activeCell="KJ7" sqref="KJ7"/>
    </sheetView>
  </sheetViews>
  <sheetFormatPr baseColWidth="10" defaultColWidth="8.88671875" defaultRowHeight="14.4" x14ac:dyDescent="0.3"/>
  <cols>
    <col min="10" max="10" width="17.88671875" customWidth="1"/>
    <col min="296" max="296" width="39.5546875" customWidth="1"/>
  </cols>
  <sheetData>
    <row r="1" spans="1:339" x14ac:dyDescent="0.3">
      <c r="A1" t="str">
        <f>IF('Data Checking'!D1="","",'Data Checking'!D1)</f>
        <v>start</v>
      </c>
      <c r="B1" t="str">
        <f>IF('Data Checking'!E1="","",'Data Checking'!E1)</f>
        <v>end</v>
      </c>
      <c r="C1" t="str">
        <f>IF('Data Checking'!M1="","",'Data Checking'!M1)</f>
        <v>today</v>
      </c>
      <c r="D1" t="str">
        <f>IF('Data Checking'!N1="","",'Data Checking'!N1)</f>
        <v>audit</v>
      </c>
      <c r="E1" t="str">
        <f>IF('Data Checking'!O1="","",'Data Checking'!O1)</f>
        <v>enqueteur</v>
      </c>
      <c r="F1" t="str">
        <f>IF('Data Checking'!R1="","",'Data Checking'!R1)</f>
        <v>sexe_enqueteur</v>
      </c>
      <c r="G1" t="str">
        <f>IF('Data Checking'!S1="","",'Data Checking'!S1)</f>
        <v>departement</v>
      </c>
      <c r="H1" t="str">
        <f>IF('Data Checking'!T1="","",'Data Checking'!T1)</f>
        <v>commune</v>
      </c>
      <c r="I1" t="str">
        <f>IF('Data Checking'!U1="","",'Data Checking'!U1)</f>
        <v>localite</v>
      </c>
      <c r="J1" t="str">
        <f>IF('Data Checking'!V1="","",'Data Checking'!V1)</f>
        <v>localite_autre</v>
      </c>
      <c r="K1" t="str">
        <f>IF('Data Checking'!W1="","",'Data Checking'!W1)</f>
        <v>GPS</v>
      </c>
      <c r="L1" t="str">
        <f>IF('Data Checking'!X1="","",'Data Checking'!X1)</f>
        <v>_GPS_latitude</v>
      </c>
      <c r="M1" t="str">
        <f>IF('Data Checking'!Y1="","",'Data Checking'!Y1)</f>
        <v>_GPS_longitude</v>
      </c>
      <c r="N1" t="str">
        <f>IF('Data Checking'!Z1="","",'Data Checking'!Z1)</f>
        <v>_GPS_altitude</v>
      </c>
      <c r="O1" t="str">
        <f>IF('Data Checking'!AA1="","",'Data Checking'!AA1)</f>
        <v>_GPS_precision</v>
      </c>
      <c r="P1" t="str">
        <f>IF('Data Checking'!AB1="","",'Data Checking'!AB1)</f>
        <v>introduction</v>
      </c>
      <c r="Q1" t="str">
        <f>IF('Data Checking'!AC1="","",'Data Checking'!AC1)</f>
        <v>nomprenom</v>
      </c>
      <c r="R1" t="str">
        <f>IF('Data Checking'!AD1="","",'Data Checking'!AD1)</f>
        <v>sexe_enquete</v>
      </c>
      <c r="S1" t="str">
        <f>IF('Data Checking'!AE1="","",'Data Checking'!AE1)</f>
        <v>age</v>
      </c>
      <c r="T1" t="str">
        <f>IF('Data Checking'!AF1="","",'Data Checking'!AF1)</f>
        <v>statut</v>
      </c>
      <c r="U1" t="str">
        <f>IF('Data Checking'!AG1="","",'Data Checking'!AG1)</f>
        <v>statut_autre</v>
      </c>
      <c r="V1" t="str">
        <f>IF('Data Checking'!AH1="","",'Data Checking'!AH1)</f>
        <v>role</v>
      </c>
      <c r="W1" t="str">
        <f>IF('Data Checking'!AI1="","",'Data Checking'!AI1)</f>
        <v>autrerole</v>
      </c>
      <c r="X1" t="str">
        <f>IF('Data Checking'!AJ1="","",'Data Checking'!AJ1)</f>
        <v>fonction</v>
      </c>
      <c r="Y1" t="str">
        <f>IF('Data Checking'!AK1="","",'Data Checking'!AK1)</f>
        <v>autrefonction</v>
      </c>
      <c r="Z1" t="str">
        <f>IF('Data Checking'!AL1="","",'Data Checking'!AL1)</f>
        <v>pays_origine</v>
      </c>
      <c r="AA1" t="str">
        <f>IF('Data Checking'!AM1="","",'Data Checking'!AM1)</f>
        <v>region_origine</v>
      </c>
      <c r="AB1" t="str">
        <f>IF('Data Checking'!AN1="","",'Data Checking'!AN1)</f>
        <v>departement_origine</v>
      </c>
      <c r="AC1" t="str">
        <f>IF('Data Checking'!AO1="","",'Data Checking'!AO1)</f>
        <v>telephone</v>
      </c>
      <c r="AD1" t="str">
        <f>IF('Data Checking'!AP1="","",'Data Checking'!AP1)</f>
        <v>accord_telephone</v>
      </c>
      <c r="AE1" t="str">
        <f>IF('Data Checking'!AQ1="","",'Data Checking'!AQ1)</f>
        <v>confirmation_telephone</v>
      </c>
      <c r="AF1" t="str">
        <f>IF('Data Checking'!AR1="","",'Data Checking'!AR1)</f>
        <v>note1</v>
      </c>
      <c r="AG1" t="str">
        <f>IF('Data Checking'!AS1="","",'Data Checking'!AS1)</f>
        <v>incidentsecu</v>
      </c>
      <c r="AH1" t="str">
        <f>IF('Data Checking'!AT1="","",'Data Checking'!AT1)</f>
        <v>incidents_securitaires</v>
      </c>
      <c r="AI1" t="str">
        <f>IF('Data Checking'!AU1="","",'Data Checking'!AU1)</f>
        <v>incidents_securitaires/Combat_groupes_armes</v>
      </c>
      <c r="AJ1" t="str">
        <f>IF('Data Checking'!AV1="","",'Data Checking'!AV1)</f>
        <v>incidents_securitaires/Disputes_intercommunataires</v>
      </c>
      <c r="AK1" t="str">
        <f>IF('Data Checking'!AW1="","",'Data Checking'!AW1)</f>
        <v>incidents_securitaires/Vols_braquages</v>
      </c>
      <c r="AL1" t="str">
        <f>IF('Data Checking'!AX1="","",'Data Checking'!AX1)</f>
        <v>incidents_securitaires/extorsions</v>
      </c>
      <c r="AM1" t="str">
        <f>IF('Data Checking'!AY1="","",'Data Checking'!AY1)</f>
        <v>incidents_securitaires/Violences_physique_civils</v>
      </c>
      <c r="AN1" t="str">
        <f>IF('Data Checking'!AZ1="","",'Data Checking'!AZ1)</f>
        <v>incidents_securitaires/Kidnapping_Disparitions_forcees</v>
      </c>
      <c r="AO1" t="str">
        <f>IF('Data Checking'!BA1="","",'Data Checking'!BA1)</f>
        <v>incidents_securitaires/Recrutement_enfants</v>
      </c>
      <c r="AP1" t="str">
        <f>IF('Data Checking'!BB1="","",'Data Checking'!BB1)</f>
        <v>incidents_securitaires/Attaques_ecoles_sante</v>
      </c>
      <c r="AQ1" t="str">
        <f>IF('Data Checking'!BC1="","",'Data Checking'!BC1)</f>
        <v>incidents_securitaires/Arrestation_arbitraires</v>
      </c>
      <c r="AR1" t="str">
        <f>IF('Data Checking'!BD1="","",'Data Checking'!BD1)</f>
        <v>incidents_securitaires/Execution_sommaire</v>
      </c>
      <c r="AS1" t="str">
        <f>IF('Data Checking'!BE1="","",'Data Checking'!BE1)</f>
        <v>incidents_securitaires/attaques_engins_explosifs</v>
      </c>
      <c r="AT1" t="str">
        <f>IF('Data Checking'!BF1="","",'Data Checking'!BF1)</f>
        <v>incidents_securitaires/Autre</v>
      </c>
      <c r="AU1" t="str">
        <f>IF('Data Checking'!BG1="","",'Data Checking'!BG1)</f>
        <v>incidents_securitaires/Ne_sait_pas</v>
      </c>
      <c r="AV1" t="str">
        <f>IF('Data Checking'!BH1="","",'Data Checking'!BH1)</f>
        <v>incidents_securitaires/Refuse_de_repondre</v>
      </c>
      <c r="AW1" t="str">
        <f>IF('Data Checking'!BI1="","",'Data Checking'!BI1)</f>
        <v>incidents_securitaires_autre</v>
      </c>
      <c r="AX1" t="str">
        <f>IF('Data Checking'!BJ1="","",'Data Checking'!BJ1)</f>
        <v>personnes_affectees</v>
      </c>
      <c r="AY1" t="str">
        <f>IF('Data Checking'!BK1="","",'Data Checking'!BK1)</f>
        <v>personnes_affectees/Bebes/Bambins</v>
      </c>
      <c r="AZ1" t="str">
        <f>IF('Data Checking'!BL1="","",'Data Checking'!BL1)</f>
        <v>personnes_affectees/Enfants</v>
      </c>
      <c r="BA1" t="str">
        <f>IF('Data Checking'!BM1="","",'Data Checking'!BM1)</f>
        <v>personnes_affectees/Filles</v>
      </c>
      <c r="BB1" t="str">
        <f>IF('Data Checking'!BN1="","",'Data Checking'!BN1)</f>
        <v>personnes_affectees/Garçons</v>
      </c>
      <c r="BC1" t="str">
        <f>IF('Data Checking'!BO1="","",'Data Checking'!BO1)</f>
        <v>personnes_affectees/Femmes</v>
      </c>
      <c r="BD1" t="str">
        <f>IF('Data Checking'!BP1="","",'Data Checking'!BP1)</f>
        <v>personnes_affectees/Hommes</v>
      </c>
      <c r="BE1" t="str">
        <f>IF('Data Checking'!BQ1="","",'Data Checking'!BQ1)</f>
        <v>personnes_affectees/Femmes_agees</v>
      </c>
      <c r="BF1" t="str">
        <f>IF('Data Checking'!BR1="","",'Data Checking'!BR1)</f>
        <v>personnes_affectees/Hommes_ages</v>
      </c>
      <c r="BG1" t="str">
        <f>IF('Data Checking'!BS1="","",'Data Checking'!BS1)</f>
        <v>personnes_affectees/handicap_physique</v>
      </c>
      <c r="BH1" t="str">
        <f>IF('Data Checking'!BT1="","",'Data Checking'!BT1)</f>
        <v>personnes_affectees/handicap_mental</v>
      </c>
      <c r="BI1" t="str">
        <f>IF('Data Checking'!BU1="","",'Data Checking'!BU1)</f>
        <v>personnes_affectees/Toute_population</v>
      </c>
      <c r="BJ1" t="str">
        <f>IF('Data Checking'!BV1="","",'Data Checking'!BV1)</f>
        <v>personnes_affectees/Ne_sait_pas</v>
      </c>
      <c r="BK1" t="str">
        <f>IF('Data Checking'!BW1="","",'Data Checking'!BW1)</f>
        <v>personnes_affectees/Refuse_de_repondre</v>
      </c>
      <c r="BL1" t="str">
        <f>IF('Data Checking'!BX1="","",'Data Checking'!BX1)</f>
        <v>personnes_affectees/Autre</v>
      </c>
      <c r="BM1" t="str">
        <f>IF('Data Checking'!BY1="","",'Data Checking'!BY1)</f>
        <v>personnes_affectees_autre</v>
      </c>
      <c r="BN1" t="str">
        <f>IF('Data Checking'!BZ1="","",'Data Checking'!BZ1)</f>
        <v>nbre_incidents</v>
      </c>
      <c r="BO1" t="str">
        <f>IF('Data Checking'!CA1="","",'Data Checking'!CA1)</f>
        <v>evolutionsecu</v>
      </c>
      <c r="BP1" t="str">
        <f>IF('Data Checking'!CB1="","",'Data Checking'!CB1)</f>
        <v>note2</v>
      </c>
      <c r="BQ1" t="str">
        <f>IF('Data Checking'!CC1="","",'Data Checking'!CC1)</f>
        <v>atteintes_integrite</v>
      </c>
      <c r="BR1" t="str">
        <f>IF('Data Checking'!CD1="","",'Data Checking'!CD1)</f>
        <v>types_atteintes</v>
      </c>
      <c r="BS1" t="str">
        <f>IF('Data Checking'!CE1="","",'Data Checking'!CE1)</f>
        <v>types_atteintes/viol</v>
      </c>
      <c r="BT1" t="str">
        <f>IF('Data Checking'!CF1="","",'Data Checking'!CF1)</f>
        <v>types_atteintes/agression_sexuelle</v>
      </c>
      <c r="BU1" t="str">
        <f>IF('Data Checking'!CG1="","",'Data Checking'!CG1)</f>
        <v>types_atteintes/agression_physique</v>
      </c>
      <c r="BV1" t="str">
        <f>IF('Data Checking'!CH1="","",'Data Checking'!CH1)</f>
        <v>types_atteintes/deni_de_ressource</v>
      </c>
      <c r="BW1" t="str">
        <f>IF('Data Checking'!CI1="","",'Data Checking'!CI1)</f>
        <v>types_atteintes/agression_psychologique</v>
      </c>
      <c r="BX1" t="str">
        <f>IF('Data Checking'!CJ1="","",'Data Checking'!CJ1)</f>
        <v>types_atteintes/mariage_force</v>
      </c>
      <c r="BY1" t="str">
        <f>IF('Data Checking'!CK1="","",'Data Checking'!CK1)</f>
        <v>types_atteintes/travail_force</v>
      </c>
      <c r="BZ1" t="str">
        <f>IF('Data Checking'!CL1="","",'Data Checking'!CL1)</f>
        <v>types_atteintes/defus_de_acces_aide</v>
      </c>
      <c r="CA1" t="str">
        <f>IF('Data Checking'!CM1="","",'Data Checking'!CM1)</f>
        <v>types_atteintes/exploitations_enfant</v>
      </c>
      <c r="CB1" t="str">
        <f>IF('Data Checking'!CN1="","",'Data Checking'!CN1)</f>
        <v>types_atteintes/exploitations_sexuelles</v>
      </c>
      <c r="CC1" t="str">
        <f>IF('Data Checking'!CO1="","",'Data Checking'!CO1)</f>
        <v>types_atteintes/menace</v>
      </c>
      <c r="CD1" t="str">
        <f>IF('Data Checking'!CP1="","",'Data Checking'!CP1)</f>
        <v>types_atteintes/enscrimination_acces_services</v>
      </c>
      <c r="CE1" t="str">
        <f>IF('Data Checking'!CQ1="","",'Data Checking'!CQ1)</f>
        <v>types_atteintes/Autre</v>
      </c>
      <c r="CF1" t="str">
        <f>IF('Data Checking'!CR1="","",'Data Checking'!CR1)</f>
        <v>types_atteintes/Refuse_de_repondre</v>
      </c>
      <c r="CG1" t="str">
        <f>IF('Data Checking'!CS1="","",'Data Checking'!CS1)</f>
        <v>types_atteintes/Ne_sait_pas</v>
      </c>
      <c r="CH1" t="str">
        <f>IF('Data Checking'!CT1="","",'Data Checking'!CT1)</f>
        <v>types_atteintes_autre</v>
      </c>
      <c r="CI1" t="str">
        <f>IF('Data Checking'!CU1="","",'Data Checking'!CU1)</f>
        <v>pers_affectees</v>
      </c>
      <c r="CJ1" t="str">
        <f>IF('Data Checking'!CV1="","",'Data Checking'!CV1)</f>
        <v>pers_affectees/Bebes/Bambins</v>
      </c>
      <c r="CK1" t="str">
        <f>IF('Data Checking'!CW1="","",'Data Checking'!CW1)</f>
        <v>pers_affectees/Enfants</v>
      </c>
      <c r="CL1" t="str">
        <f>IF('Data Checking'!CX1="","",'Data Checking'!CX1)</f>
        <v>pers_affectees/Filles</v>
      </c>
      <c r="CM1" t="str">
        <f>IF('Data Checking'!CY1="","",'Data Checking'!CY1)</f>
        <v>pers_affectees/Garçons</v>
      </c>
      <c r="CN1" t="str">
        <f>IF('Data Checking'!CZ1="","",'Data Checking'!CZ1)</f>
        <v>pers_affectees/Femmes</v>
      </c>
      <c r="CO1" t="str">
        <f>IF('Data Checking'!DA1="","",'Data Checking'!DA1)</f>
        <v>pers_affectees/Hommes</v>
      </c>
      <c r="CP1" t="str">
        <f>IF('Data Checking'!DB1="","",'Data Checking'!DB1)</f>
        <v>pers_affectees/Femmes_agees</v>
      </c>
      <c r="CQ1" t="str">
        <f>IF('Data Checking'!DC1="","",'Data Checking'!DC1)</f>
        <v>pers_affectees/Hommes_ages</v>
      </c>
      <c r="CR1" t="str">
        <f>IF('Data Checking'!DD1="","",'Data Checking'!DD1)</f>
        <v>pers_affectees/handicap_physique</v>
      </c>
      <c r="CS1" t="str">
        <f>IF('Data Checking'!DE1="","",'Data Checking'!DE1)</f>
        <v>pers_affectees/handicap_mental</v>
      </c>
      <c r="CT1" t="str">
        <f>IF('Data Checking'!DF1="","",'Data Checking'!DF1)</f>
        <v>pers_affectees/Toute_population</v>
      </c>
      <c r="CU1" t="str">
        <f>IF('Data Checking'!DG1="","",'Data Checking'!DG1)</f>
        <v>pers_affectees/Ne_sait_pas</v>
      </c>
      <c r="CV1" t="str">
        <f>IF('Data Checking'!DH1="","",'Data Checking'!DH1)</f>
        <v>pers_affectees/Refuse_de_repondre</v>
      </c>
      <c r="CW1" t="str">
        <f>IF('Data Checking'!DI1="","",'Data Checking'!DI1)</f>
        <v>pers_affectees/Autre</v>
      </c>
      <c r="CX1" t="str">
        <f>IF('Data Checking'!DJ1="","",'Data Checking'!DJ1)</f>
        <v>pers_affectees_autre</v>
      </c>
      <c r="CY1" t="str">
        <f>IF('Data Checking'!DK1="","",'Data Checking'!DK1)</f>
        <v>nbre_incidents_integrite</v>
      </c>
      <c r="CZ1" t="str">
        <f>IF('Data Checking'!DL1="","",'Data Checking'!DL1)</f>
        <v>evolutionsecu_integrite</v>
      </c>
      <c r="DA1" t="str">
        <f>IF('Data Checking'!DM1="","",'Data Checking'!DM1)</f>
        <v>note3</v>
      </c>
      <c r="DB1" t="str">
        <f>IF('Data Checking'!DN1="","",'Data Checking'!DN1)</f>
        <v>cause_aug_incident</v>
      </c>
      <c r="DC1" t="str">
        <f>IF('Data Checking'!DO1="","",'Data Checking'!DO1)</f>
        <v>cause_aug_incident/diminution_moyens_existence</v>
      </c>
      <c r="DD1" t="str">
        <f>IF('Data Checking'!DP1="","",'Data Checking'!DP1)</f>
        <v>cause_aug_incident/deterioration_con_abris</v>
      </c>
      <c r="DE1" t="str">
        <f>IF('Data Checking'!DQ1="","",'Data Checking'!DQ1)</f>
        <v>cause_aug_incident/deterioration_acces_service_base</v>
      </c>
      <c r="DF1" t="str">
        <f>IF('Data Checking'!DR1="","",'Data Checking'!DR1)</f>
        <v>cause_aug_incident/hausse_tensions_intercomm</v>
      </c>
      <c r="DG1" t="str">
        <f>IF('Data Checking'!DS1="","",'Data Checking'!DS1)</f>
        <v>cause_aug_incident/hausse_nbr_groupes_armees</v>
      </c>
      <c r="DH1" t="str">
        <f>IF('Data Checking'!DT1="","",'Data Checking'!DT1)</f>
        <v>cause_aug_incident/hausse_dis_services_base</v>
      </c>
      <c r="DI1" t="str">
        <f>IF('Data Checking'!DU1="","",'Data Checking'!DU1)</f>
        <v>cause_aug_incident/hausse_chomeurs</v>
      </c>
      <c r="DJ1" t="str">
        <f>IF('Data Checking'!DV1="","",'Data Checking'!DV1)</f>
        <v>cause_aug_incident/autre</v>
      </c>
      <c r="DK1" t="str">
        <f>IF('Data Checking'!DW1="","",'Data Checking'!DW1)</f>
        <v>cause_aug_incident/Ne_sait_pas</v>
      </c>
      <c r="DL1" t="str">
        <f>IF('Data Checking'!DX1="","",'Data Checking'!DX1)</f>
        <v>cause_aug_incident/Refuse_de_repondre</v>
      </c>
      <c r="DM1" t="str">
        <f>IF('Data Checking'!DY1="","",'Data Checking'!DY1)</f>
        <v>cause_aug_incident_autre</v>
      </c>
      <c r="DN1" t="str">
        <f>IF('Data Checking'!DZ1="","",'Data Checking'!DZ1)</f>
        <v>cause_dim_incident</v>
      </c>
      <c r="DO1" t="str">
        <f>IF('Data Checking'!EA1="","",'Data Checking'!EA1)</f>
        <v>cause_dim_incident/stabilisation_aug_moyen_existence</v>
      </c>
      <c r="DP1" t="str">
        <f>IF('Data Checking'!EB1="","",'Data Checking'!EB1)</f>
        <v>cause_dim_incident/amelioration_cond_abris</v>
      </c>
      <c r="DQ1" t="str">
        <f>IF('Data Checking'!EC1="","",'Data Checking'!EC1)</f>
        <v>cause_dim_incident/amelioration_acces_service_base</v>
      </c>
      <c r="DR1" t="str">
        <f>IF('Data Checking'!ED1="","",'Data Checking'!ED1)</f>
        <v>cause_dim_incident/dim_tensions_intercomm</v>
      </c>
      <c r="DS1" t="str">
        <f>IF('Data Checking'!EE1="","",'Data Checking'!EE1)</f>
        <v>cause_dim_incident/baisse_dis_service_base</v>
      </c>
      <c r="DT1" t="str">
        <f>IF('Data Checking'!EF1="","",'Data Checking'!EF1)</f>
        <v>cause_dim_incident/dim_nbr_chomeurs</v>
      </c>
      <c r="DU1" t="str">
        <f>IF('Data Checking'!EG1="","",'Data Checking'!EG1)</f>
        <v>cause_dim_incident/autre</v>
      </c>
      <c r="DV1" t="str">
        <f>IF('Data Checking'!EH1="","",'Data Checking'!EH1)</f>
        <v>cause_dim_incident/Ne_sait_pas</v>
      </c>
      <c r="DW1" t="str">
        <f>IF('Data Checking'!EI1="","",'Data Checking'!EI1)</f>
        <v>cause_dim_incident/Refuse_de_repondre</v>
      </c>
      <c r="DX1" t="str">
        <f>IF('Data Checking'!EJ1="","",'Data Checking'!EJ1)</f>
        <v>cause_dim_incident_autre</v>
      </c>
      <c r="DY1" t="str">
        <f>IF('Data Checking'!EK1="","",'Data Checking'!EK1)</f>
        <v>note4</v>
      </c>
      <c r="DZ1" t="str">
        <f>IF('Data Checking'!EL1="","",'Data Checking'!EL1)</f>
        <v>soluincident</v>
      </c>
      <c r="EA1" t="str">
        <f>IF('Data Checking'!EM1="","",'Data Checking'!EM1)</f>
        <v>soluincident/dplct_abords_com</v>
      </c>
      <c r="EB1" t="str">
        <f>IF('Data Checking'!EN1="","",'Data Checking'!EN1)</f>
        <v>soluincident/Integration_com_hote</v>
      </c>
      <c r="EC1" t="str">
        <f>IF('Data Checking'!EO1="","",'Data Checking'!EO1)</f>
        <v>soluincident/Soutien_famille_amis</v>
      </c>
      <c r="ED1" t="str">
        <f>IF('Data Checking'!EP1="","",'Data Checking'!EP1)</f>
        <v>soluincident/Soutien_chef_village</v>
      </c>
      <c r="EE1" t="str">
        <f>IF('Data Checking'!EQ1="","",'Data Checking'!EQ1)</f>
        <v>soluincident/Soutien_psychosocial</v>
      </c>
      <c r="EF1" t="str">
        <f>IF('Data Checking'!ER1="","",'Data Checking'!ER1)</f>
        <v>soluincident/Soutien_en_AGR</v>
      </c>
      <c r="EG1" t="str">
        <f>IF('Data Checking'!ES1="","",'Data Checking'!ES1)</f>
        <v>soluincident/pas_de_mecanismes</v>
      </c>
      <c r="EH1" t="str">
        <f>IF('Data Checking'!ET1="","",'Data Checking'!ET1)</f>
        <v>soluincident/Autre</v>
      </c>
      <c r="EI1" t="str">
        <f>IF('Data Checking'!EU1="","",'Data Checking'!EU1)</f>
        <v>soluincident/Ne_sait_pas</v>
      </c>
      <c r="EJ1" t="str">
        <f>IF('Data Checking'!EV1="","",'Data Checking'!EV1)</f>
        <v>autresoluincident</v>
      </c>
      <c r="EK1" t="str">
        <f>IF('Data Checking'!EW1="","",'Data Checking'!EW1)</f>
        <v>note5</v>
      </c>
      <c r="EL1" t="str">
        <f>IF('Data Checking'!EX1="","",'Data Checking'!EX1)</f>
        <v>systeme_referencement</v>
      </c>
      <c r="EM1" t="str">
        <f>IF('Data Checking'!EY1="","",'Data Checking'!EY1)</f>
        <v>systeme_referencement/femmes_elite</v>
      </c>
      <c r="EN1" t="str">
        <f>IF('Data Checking'!EZ1="","",'Data Checking'!EZ1)</f>
        <v>systeme_referencement/comite_protection</v>
      </c>
      <c r="EO1" t="str">
        <f>IF('Data Checking'!FA1="","",'Data Checking'!FA1)</f>
        <v>systeme_referencement/famille_accueil</v>
      </c>
      <c r="EP1" t="str">
        <f>IF('Data Checking'!FB1="","",'Data Checking'!FB1)</f>
        <v>systeme_referencement/comite_alerte</v>
      </c>
      <c r="EQ1" t="str">
        <f>IF('Data Checking'!FC1="","",'Data Checking'!FC1)</f>
        <v>systeme_referencement/comite_redevabilite</v>
      </c>
      <c r="ER1" t="str">
        <f>IF('Data Checking'!FD1="","",'Data Checking'!FD1)</f>
        <v>systeme_referencement/comite_gestion_conflits</v>
      </c>
      <c r="ES1" t="str">
        <f>IF('Data Checking'!FE1="","",'Data Checking'!FE1)</f>
        <v>systeme_referencement/enfant_pairs</v>
      </c>
      <c r="ET1" t="str">
        <f>IF('Data Checking'!FF1="","",'Data Checking'!FF1)</f>
        <v>systeme_referencement/Autre</v>
      </c>
      <c r="EU1" t="str">
        <f>IF('Data Checking'!FG1="","",'Data Checking'!FG1)</f>
        <v>systeme_referencement/Ne_sait_pas</v>
      </c>
      <c r="EV1" t="str">
        <f>IF('Data Checking'!FH1="","",'Data Checking'!FH1)</f>
        <v>systeme_referencement/Aucun</v>
      </c>
      <c r="EW1" t="str">
        <f>IF('Data Checking'!FI1="","",'Data Checking'!FI1)</f>
        <v>systeme_referencement_autre</v>
      </c>
      <c r="EX1" t="str">
        <f>IF('Data Checking'!FJ1="","",'Data Checking'!FJ1)</f>
        <v>existence_voies_ref</v>
      </c>
      <c r="EY1" t="str">
        <f>IF('Data Checking'!FK1="","",'Data Checking'!FK1)</f>
        <v>communication_voies</v>
      </c>
      <c r="EZ1" t="str">
        <f>IF('Data Checking'!FL1="","",'Data Checking'!FL1)</f>
        <v>communication_voies/Radio_television</v>
      </c>
      <c r="FA1" t="str">
        <f>IF('Data Checking'!FM1="","",'Data Checking'!FM1)</f>
        <v>communication_voies/Journal</v>
      </c>
      <c r="FB1" t="str">
        <f>IF('Data Checking'!FN1="","",'Data Checking'!FN1)</f>
        <v>communication_voies/Internet</v>
      </c>
      <c r="FC1" t="str">
        <f>IF('Data Checking'!FO1="","",'Data Checking'!FO1)</f>
        <v>communication_voies/manif_sociales</v>
      </c>
      <c r="FD1" t="str">
        <f>IF('Data Checking'!FP1="","",'Data Checking'!FP1)</f>
        <v>communication_voies/Chef_village</v>
      </c>
      <c r="FE1" t="str">
        <f>IF('Data Checking'!FQ1="","",'Data Checking'!FQ1)</f>
        <v>communication_voies/famille_amis</v>
      </c>
      <c r="FF1" t="str">
        <f>IF('Data Checking'!FR1="","",'Data Checking'!FR1)</f>
        <v>communication_voies/Leaders_religieux</v>
      </c>
      <c r="FG1" t="str">
        <f>IF('Data Checking'!FS1="","",'Data Checking'!FS1)</f>
        <v>communication_voies/Groupement_femmes</v>
      </c>
      <c r="FH1" t="str">
        <f>IF('Data Checking'!FT1="","",'Data Checking'!FT1)</f>
        <v>communication_voies/Differents_comites_villageois</v>
      </c>
      <c r="FI1" t="str">
        <f>IF('Data Checking'!FU1="","",'Data Checking'!FU1)</f>
        <v>communication_voies/Gouvernement</v>
      </c>
      <c r="FJ1" t="str">
        <f>IF('Data Checking'!FV1="","",'Data Checking'!FV1)</f>
        <v>communication_voies/Travailleurs_sociaux/hum</v>
      </c>
      <c r="FK1" t="str">
        <f>IF('Data Checking'!FW1="","",'Data Checking'!FW1)</f>
        <v>communication_voies/Ecole</v>
      </c>
      <c r="FL1" t="str">
        <f>IF('Data Checking'!FX1="","",'Data Checking'!FX1)</f>
        <v>communication_voies/Autre</v>
      </c>
      <c r="FM1" t="str">
        <f>IF('Data Checking'!FY1="","",'Data Checking'!FY1)</f>
        <v>communication_voies/Ne_sait_pas</v>
      </c>
      <c r="FN1" t="str">
        <f>IF('Data Checking'!FZ1="","",'Data Checking'!FZ1)</f>
        <v>communication_voies_autre</v>
      </c>
      <c r="FO1" t="str">
        <f>IF('Data Checking'!GA1="","",'Data Checking'!GA1)</f>
        <v>connaissance_voies_ref</v>
      </c>
      <c r="FP1" t="str">
        <f>IF('Data Checking'!GB1="","",'Data Checking'!GB1)</f>
        <v>acces_voies_ref</v>
      </c>
      <c r="FQ1" t="str">
        <f>IF('Data Checking'!GC1="","",'Data Checking'!GC1)</f>
        <v>raison_voie_ref</v>
      </c>
      <c r="FR1" t="str">
        <f>IF('Data Checking'!GD1="","",'Data Checking'!GD1)</f>
        <v>raison_voie_ref/non_fonctionnelle</v>
      </c>
      <c r="FS1" t="str">
        <f>IF('Data Checking'!GE1="","",'Data Checking'!GE1)</f>
        <v>raison_voie_ref/manque_info</v>
      </c>
      <c r="FT1" t="str">
        <f>IF('Data Checking'!GF1="","",'Data Checking'!GF1)</f>
        <v>raison_voie_ref/discrimination</v>
      </c>
      <c r="FU1" t="str">
        <f>IF('Data Checking'!GG1="","",'Data Checking'!GG1)</f>
        <v>raison_voie_ref/non_utilisation</v>
      </c>
      <c r="FV1" t="str">
        <f>IF('Data Checking'!GH1="","",'Data Checking'!GH1)</f>
        <v>raison_voie_ref/trop_du_monde</v>
      </c>
      <c r="FW1" t="str">
        <f>IF('Data Checking'!GI1="","",'Data Checking'!GI1)</f>
        <v>raison_voie_ref/insecurite</v>
      </c>
      <c r="FX1" t="str">
        <f>IF('Data Checking'!GJ1="","",'Data Checking'!GJ1)</f>
        <v>raison_voie_ref/Ne_sait_pas</v>
      </c>
      <c r="FY1" t="str">
        <f>IF('Data Checking'!GK1="","",'Data Checking'!GK1)</f>
        <v>raison_voie_ref/Autre</v>
      </c>
      <c r="FZ1" t="str">
        <f>IF('Data Checking'!GL1="","",'Data Checking'!GL1)</f>
        <v>raison_voie_ref_autre</v>
      </c>
      <c r="GA1" t="str">
        <f>IF('Data Checking'!GM1="","",'Data Checking'!GM1)</f>
        <v>utilisation_voies_ref_deplaces</v>
      </c>
      <c r="GB1" t="str">
        <f>IF('Data Checking'!GN1="","",'Data Checking'!GN1)</f>
        <v>utilisation_voies_ref_hote</v>
      </c>
      <c r="GC1" t="str">
        <f>IF('Data Checking'!GO1="","",'Data Checking'!GO1)</f>
        <v>voies_ref</v>
      </c>
      <c r="GD1" t="str">
        <f>IF('Data Checking'!GP1="","",'Data Checking'!GP1)</f>
        <v>voies_ref/Appui_psychosocial</v>
      </c>
      <c r="GE1" t="str">
        <f>IF('Data Checking'!GQ1="","",'Data Checking'!GQ1)</f>
        <v>voies_ref/Education</v>
      </c>
      <c r="GF1" t="str">
        <f>IF('Data Checking'!GR1="","",'Data Checking'!GR1)</f>
        <v>voies_ref/Service_de_counseling</v>
      </c>
      <c r="GG1" t="str">
        <f>IF('Data Checking'!GS1="","",'Data Checking'!GS1)</f>
        <v>voies_ref/Services_de_sante</v>
      </c>
      <c r="GH1" t="str">
        <f>IF('Data Checking'!GT1="","",'Data Checking'!GT1)</f>
        <v>voies_ref/Acces_aux_doc</v>
      </c>
      <c r="GI1" t="str">
        <f>IF('Data Checking'!GU1="","",'Data Checking'!GU1)</f>
        <v>voies_ref/Suivi_judiciaire</v>
      </c>
      <c r="GJ1" t="str">
        <f>IF('Data Checking'!GV1="","",'Data Checking'!GV1)</f>
        <v>voies_ref/Programme_AGR</v>
      </c>
      <c r="GK1" t="str">
        <f>IF('Data Checking'!GW1="","",'Data Checking'!GW1)</f>
        <v>voies_ref/Autre</v>
      </c>
      <c r="GL1" t="str">
        <f>IF('Data Checking'!GX1="","",'Data Checking'!GX1)</f>
        <v>voies_ref/Ne_sait_pas</v>
      </c>
      <c r="GM1" t="str">
        <f>IF('Data Checking'!GY1="","",'Data Checking'!GY1)</f>
        <v>voies_referencement_autre</v>
      </c>
      <c r="GN1" t="str">
        <f>IF('Data Checking'!GZ1="","",'Data Checking'!GZ1)</f>
        <v>efficacite_voies_ref_deplace</v>
      </c>
      <c r="GO1" t="str">
        <f>IF('Data Checking'!HA1="","",'Data Checking'!HA1)</f>
        <v>efficacite_voies_ref_hote</v>
      </c>
      <c r="GP1" t="str">
        <f>IF('Data Checking'!HB1="","",'Data Checking'!HB1)</f>
        <v>raison_efficace_ref</v>
      </c>
      <c r="GQ1" t="str">
        <f>IF('Data Checking'!HC1="","",'Data Checking'!HC1)</f>
        <v>raison_efficace_ref/amelioration_futur</v>
      </c>
      <c r="GR1" t="str">
        <f>IF('Data Checking'!HD1="","",'Data Checking'!HD1)</f>
        <v>raison_efficace_ref/repond_besoins_pop</v>
      </c>
      <c r="GS1" t="str">
        <f>IF('Data Checking'!HE1="","",'Data Checking'!HE1)</f>
        <v>raison_efficace_ref/permet_obtenir_conseils</v>
      </c>
      <c r="GT1" t="str">
        <f>IF('Data Checking'!HF1="","",'Data Checking'!HF1)</f>
        <v>raison_efficace_ref/permet_eviter_conflits</v>
      </c>
      <c r="GU1" t="str">
        <f>IF('Data Checking'!HG1="","",'Data Checking'!HG1)</f>
        <v>raison_efficace_ref/permet_negociation</v>
      </c>
      <c r="GV1" t="str">
        <f>IF('Data Checking'!HH1="","",'Data Checking'!HH1)</f>
        <v>raison_efficace_ref/diminution_tensions</v>
      </c>
      <c r="GW1" t="str">
        <f>IF('Data Checking'!HI1="","",'Data Checking'!HI1)</f>
        <v>raison_efficace_ref/Autre</v>
      </c>
      <c r="GX1" t="str">
        <f>IF('Data Checking'!HJ1="","",'Data Checking'!HJ1)</f>
        <v>raison_efficace_ref/Ne_sait_pas</v>
      </c>
      <c r="GY1" t="str">
        <f>IF('Data Checking'!HK1="","",'Data Checking'!HK1)</f>
        <v>raison_efficace_ref_autre</v>
      </c>
      <c r="GZ1" t="str">
        <f>IF('Data Checking'!HL1="","",'Data Checking'!HL1)</f>
        <v>raison_inefficace_ref</v>
      </c>
      <c r="HA1" t="str">
        <f>IF('Data Checking'!HM1="","",'Data Checking'!HM1)</f>
        <v>raison_inefficace_ref/ne_contribue_pas</v>
      </c>
      <c r="HB1" t="str">
        <f>IF('Data Checking'!HN1="","",'Data Checking'!HN1)</f>
        <v>raison_inefficace_ref/ne_repond_pas</v>
      </c>
      <c r="HC1" t="str">
        <f>IF('Data Checking'!HO1="","",'Data Checking'!HO1)</f>
        <v>raison_inefficace_ref/non_obtention_info</v>
      </c>
      <c r="HD1" t="str">
        <f>IF('Data Checking'!HP1="","",'Data Checking'!HP1)</f>
        <v>raison_inefficace_ref/non_diminition_tension</v>
      </c>
      <c r="HE1" t="str">
        <f>IF('Data Checking'!HQ1="","",'Data Checking'!HQ1)</f>
        <v>raison_inefficace_ref/Autre</v>
      </c>
      <c r="HF1" t="str">
        <f>IF('Data Checking'!HR1="","",'Data Checking'!HR1)</f>
        <v>raison_inefficace_ref/Ne_sait_pas</v>
      </c>
      <c r="HG1" t="str">
        <f>IF('Data Checking'!HS1="","",'Data Checking'!HS1)</f>
        <v>raison_inefficace_ref_autre</v>
      </c>
      <c r="HH1" t="str">
        <f>IF('Data Checking'!HT1="","",'Data Checking'!HT1)</f>
        <v>note6</v>
      </c>
      <c r="HI1" t="str">
        <f>IF('Data Checking'!HU1="","",'Data Checking'!HU1)</f>
        <v>eei_sensibilisation</v>
      </c>
      <c r="HJ1" t="str">
        <f>IF('Data Checking'!HV1="","",'Data Checking'!HV1)</f>
        <v>eei_sensibilisation_acteurs</v>
      </c>
      <c r="HK1" t="str">
        <f>IF('Data Checking'!HW1="","",'Data Checking'!HW1)</f>
        <v>eei_sensibilisation_acteurs/gvt</v>
      </c>
      <c r="HL1" t="str">
        <f>IF('Data Checking'!HX1="","",'Data Checking'!HX1)</f>
        <v>eei_sensibilisation_acteurs/fds_arme</v>
      </c>
      <c r="HM1" t="str">
        <f>IF('Data Checking'!HY1="","",'Data Checking'!HY1)</f>
        <v>eei_sensibilisation_acteurs/autorite_locale_leaders</v>
      </c>
      <c r="HN1" t="str">
        <f>IF('Data Checking'!HZ1="","",'Data Checking'!HZ1)</f>
        <v>eei_sensibilisation_acteurs/un_agencies</v>
      </c>
      <c r="HO1" t="str">
        <f>IF('Data Checking'!IA1="","",'Data Checking'!IA1)</f>
        <v>eei_sensibilisation_acteurs/ingo</v>
      </c>
      <c r="HP1" t="str">
        <f>IF('Data Checking'!IB1="","",'Data Checking'!IB1)</f>
        <v>eei_sensibilisation_acteurs/ong_locale</v>
      </c>
      <c r="HQ1" t="str">
        <f>IF('Data Checking'!IC1="","",'Data Checking'!IC1)</f>
        <v>eei_sensibilisation_acteurs/famille_amis</v>
      </c>
      <c r="HR1" t="str">
        <f>IF('Data Checking'!ID1="","",'Data Checking'!ID1)</f>
        <v>eei_sensibilisation_acteurs/ne_sait_pas</v>
      </c>
      <c r="HS1" t="str">
        <f>IF('Data Checking'!IE1="","",'Data Checking'!IE1)</f>
        <v>eei_sensibilisation_acteurs/refuse_de_repondre</v>
      </c>
      <c r="HT1" t="str">
        <f>IF('Data Checking'!IF1="","",'Data Checking'!IF1)</f>
        <v>eei_sensibilisation_acteurs/autre</v>
      </c>
      <c r="HU1" t="str">
        <f>IF('Data Checking'!IG1="","",'Data Checking'!IG1)</f>
        <v>eei_sensibilisation_acteurs_autre</v>
      </c>
      <c r="HV1" t="str">
        <f>IF('Data Checking'!IH1="","",'Data Checking'!IH1)</f>
        <v>eei_sensibilisation_besoin</v>
      </c>
      <c r="HW1" t="str">
        <f>IF('Data Checking'!II1="","",'Data Checking'!II1)</f>
        <v>note7</v>
      </c>
      <c r="HX1" t="str">
        <f>IF('Data Checking'!IJ1="","",'Data Checking'!IJ1)</f>
        <v>pers_voies_ref</v>
      </c>
      <c r="HY1" t="str">
        <f>IF('Data Checking'!IK1="","",'Data Checking'!IK1)</f>
        <v>pers_voies_ref/Bebes/Bambins</v>
      </c>
      <c r="HZ1" t="str">
        <f>IF('Data Checking'!IL1="","",'Data Checking'!IL1)</f>
        <v>pers_voies_ref/Enfants</v>
      </c>
      <c r="IA1" t="str">
        <f>IF('Data Checking'!IM1="","",'Data Checking'!IM1)</f>
        <v>pers_voies_ref/Filles</v>
      </c>
      <c r="IB1" t="str">
        <f>IF('Data Checking'!IN1="","",'Data Checking'!IN1)</f>
        <v>pers_voies_ref/Garçons</v>
      </c>
      <c r="IC1" t="str">
        <f>IF('Data Checking'!IO1="","",'Data Checking'!IO1)</f>
        <v>pers_voies_ref/Femmes</v>
      </c>
      <c r="ID1" t="str">
        <f>IF('Data Checking'!IP1="","",'Data Checking'!IP1)</f>
        <v>pers_voies_ref/Hommes</v>
      </c>
      <c r="IE1" t="str">
        <f>IF('Data Checking'!IQ1="","",'Data Checking'!IQ1)</f>
        <v>pers_voies_ref/Femmes_agees</v>
      </c>
      <c r="IF1" t="str">
        <f>IF('Data Checking'!IR1="","",'Data Checking'!IR1)</f>
        <v>pers_voies_ref/Hommes_ages</v>
      </c>
      <c r="IG1" t="str">
        <f>IF('Data Checking'!IS1="","",'Data Checking'!IS1)</f>
        <v>pers_voies_ref/handicap_physique</v>
      </c>
      <c r="IH1" t="str">
        <f>IF('Data Checking'!IT1="","",'Data Checking'!IT1)</f>
        <v>pers_voies_ref/handicap_mental</v>
      </c>
      <c r="II1" t="str">
        <f>IF('Data Checking'!IU1="","",'Data Checking'!IU1)</f>
        <v>pers_voies_ref/Toute_population</v>
      </c>
      <c r="IJ1" t="str">
        <f>IF('Data Checking'!IV1="","",'Data Checking'!IV1)</f>
        <v>pers_voies_ref/Ne_sait_pas</v>
      </c>
      <c r="IK1" t="str">
        <f>IF('Data Checking'!IW1="","",'Data Checking'!IW1)</f>
        <v>pers_voies_ref/Refuse_de_repondre</v>
      </c>
      <c r="IL1" t="str">
        <f>IF('Data Checking'!IX1="","",'Data Checking'!IX1)</f>
        <v>pers_voies_ref/Autre</v>
      </c>
      <c r="IM1" t="str">
        <f>IF('Data Checking'!IY1="","",'Data Checking'!IY1)</f>
        <v>pers_voies_ref_autre</v>
      </c>
      <c r="IN1" t="str">
        <f>IF('Data Checking'!IZ1="","",'Data Checking'!IZ1)</f>
        <v>nombre_personnes</v>
      </c>
      <c r="IO1" t="str">
        <f>IF('Data Checking'!JA1="","",'Data Checking'!JA1)</f>
        <v>types_voies_ref</v>
      </c>
      <c r="IP1" t="str">
        <f>IF('Data Checking'!JB1="","",'Data Checking'!JB1)</f>
        <v>types_voies_ref/Appui_psychosocial</v>
      </c>
      <c r="IQ1" t="str">
        <f>IF('Data Checking'!JC1="","",'Data Checking'!JC1)</f>
        <v>types_voies_ref/Services_medicaux</v>
      </c>
      <c r="IR1" t="str">
        <f>IF('Data Checking'!JD1="","",'Data Checking'!JD1)</f>
        <v>types_voies_ref/Services_educatifs</v>
      </c>
      <c r="IS1" t="str">
        <f>IF('Data Checking'!JE1="","",'Data Checking'!JE1)</f>
        <v>types_voies_ref/Services_conseil</v>
      </c>
      <c r="IT1" t="str">
        <f>IF('Data Checking'!JF1="","",'Data Checking'!JF1)</f>
        <v>types_voies_ref/acces_docs</v>
      </c>
      <c r="IU1" t="str">
        <f>IF('Data Checking'!JG1="","",'Data Checking'!JG1)</f>
        <v>types_voies_ref/service_judiciaire</v>
      </c>
      <c r="IV1" t="str">
        <f>IF('Data Checking'!JH1="","",'Data Checking'!JH1)</f>
        <v>types_voies_ref/programme_agr</v>
      </c>
      <c r="IW1" t="str">
        <f>IF('Data Checking'!JI1="","",'Data Checking'!JI1)</f>
        <v>types_voies_ref/points_ecoute</v>
      </c>
      <c r="IX1" t="str">
        <f>IF('Data Checking'!JJ1="","",'Data Checking'!JJ1)</f>
        <v>types_voies_ref/reinsertion</v>
      </c>
      <c r="IY1" t="str">
        <f>IF('Data Checking'!JK1="","",'Data Checking'!JK1)</f>
        <v>types_voies_ref/centres_formation</v>
      </c>
      <c r="IZ1" t="str">
        <f>IF('Data Checking'!JL1="","",'Data Checking'!JL1)</f>
        <v>types_voies_ref_autre</v>
      </c>
      <c r="JA1" t="str">
        <f>IF('Data Checking'!JM1="","",'Data Checking'!JM1)</f>
        <v>procedure_en_place</v>
      </c>
      <c r="JB1" t="str">
        <f>IF('Data Checking'!JN1="","",'Data Checking'!JN1)</f>
        <v>procedure_en_place/prise_enchage</v>
      </c>
      <c r="JC1" t="str">
        <f>IF('Data Checking'!JO1="","",'Data Checking'!JO1)</f>
        <v>procedure_en_place/reorientation</v>
      </c>
      <c r="JD1" t="str">
        <f>IF('Data Checking'!JP1="","",'Data Checking'!JP1)</f>
        <v>procedure_en_place/signalement</v>
      </c>
      <c r="JE1" t="str">
        <f>IF('Data Checking'!JQ1="","",'Data Checking'!JQ1)</f>
        <v>procedure_en_place/Autre</v>
      </c>
      <c r="JF1" t="str">
        <f>IF('Data Checking'!JR1="","",'Data Checking'!JR1)</f>
        <v>procedure_en_place/Ne_sait_pas</v>
      </c>
      <c r="JG1" t="str">
        <f>IF('Data Checking'!JS1="","",'Data Checking'!JS1)</f>
        <v>procedure_en_place/Aucun</v>
      </c>
      <c r="JH1" t="str">
        <f>IF('Data Checking'!JT1="","",'Data Checking'!JT1)</f>
        <v>procedure_en_place_autre</v>
      </c>
      <c r="JI1" t="str">
        <f>IF('Data Checking'!JU1="","",'Data Checking'!JU1)</f>
        <v>prise_charge</v>
      </c>
      <c r="JJ1" t="str">
        <f>IF('Data Checking'!JV1="","",'Data Checking'!JV1)</f>
        <v>prise_charge/medical</v>
      </c>
      <c r="JK1" t="str">
        <f>IF('Data Checking'!JW1="","",'Data Checking'!JW1)</f>
        <v>prise_charge/Psychosocia</v>
      </c>
      <c r="JL1" t="str">
        <f>IF('Data Checking'!JX1="","",'Data Checking'!JX1)</f>
        <v>prise_charge/point_ecoute</v>
      </c>
      <c r="JM1" t="str">
        <f>IF('Data Checking'!JY1="","",'Data Checking'!JY1)</f>
        <v>prise_charge/juridique</v>
      </c>
      <c r="JN1" t="str">
        <f>IF('Data Checking'!JZ1="","",'Data Checking'!JZ1)</f>
        <v>prise_charge/surete</v>
      </c>
      <c r="JO1" t="str">
        <f>IF('Data Checking'!KA1="","",'Data Checking'!KA1)</f>
        <v>prise_charge/reinsertion</v>
      </c>
      <c r="JP1" t="str">
        <f>IF('Data Checking'!KB1="","",'Data Checking'!KB1)</f>
        <v>prise_charge/centre_formation</v>
      </c>
      <c r="JQ1" t="str">
        <f>IF('Data Checking'!KC1="","",'Data Checking'!KC1)</f>
        <v>prise_charge/Autre</v>
      </c>
      <c r="JR1" t="str">
        <f>IF('Data Checking'!KD1="","",'Data Checking'!KD1)</f>
        <v>prise_charge/Ne_sait_pas</v>
      </c>
      <c r="JS1" t="str">
        <f>IF('Data Checking'!KE1="","",'Data Checking'!KE1)</f>
        <v>prise_charge_autre</v>
      </c>
      <c r="JT1" t="str">
        <f>IF('Data Checking'!KF1="","",'Data Checking'!KF1)</f>
        <v>mecanismes</v>
      </c>
      <c r="JU1" t="str">
        <f>IF('Data Checking'!KG1="","",'Data Checking'!KG1)</f>
        <v>mecanismes/medical</v>
      </c>
      <c r="JV1" t="str">
        <f>IF('Data Checking'!KH1="","",'Data Checking'!KH1)</f>
        <v>mecanismes/Psychosocia</v>
      </c>
      <c r="JW1" t="str">
        <f>IF('Data Checking'!KI1="","",'Data Checking'!KI1)</f>
        <v>mecanismes/point_ecoute</v>
      </c>
      <c r="JX1" t="str">
        <f>IF('Data Checking'!KJ1="","",'Data Checking'!KJ1)</f>
        <v>mecanismes/juridique</v>
      </c>
      <c r="JY1" t="str">
        <f>IF('Data Checking'!KK1="","",'Data Checking'!KK1)</f>
        <v>mecanismes/surete</v>
      </c>
      <c r="JZ1" t="str">
        <f>IF('Data Checking'!KL1="","",'Data Checking'!KL1)</f>
        <v>mecanismes/reinsertion</v>
      </c>
      <c r="KA1" t="str">
        <f>IF('Data Checking'!KM1="","",'Data Checking'!KM1)</f>
        <v>mecanismes/centre_formation</v>
      </c>
      <c r="KB1" t="str">
        <f>IF('Data Checking'!KN1="","",'Data Checking'!KN1)</f>
        <v>mecanismes/Autre</v>
      </c>
      <c r="KC1" t="str">
        <f>IF('Data Checking'!KO1="","",'Data Checking'!KO1)</f>
        <v>mecanismes/Ne_sait_pas</v>
      </c>
      <c r="KD1" t="str">
        <f>IF('Data Checking'!KP1="","",'Data Checking'!KP1)</f>
        <v>mecanismes_autre</v>
      </c>
      <c r="KE1" t="str">
        <f>IF('Data Checking'!KQ1="","",'Data Checking'!KQ1)</f>
        <v>note8</v>
      </c>
      <c r="KF1" t="str">
        <f>IF('Data Checking'!KR1="","",'Data Checking'!KR1)</f>
        <v>difficultes</v>
      </c>
      <c r="KG1" t="str">
        <f>IF('Data Checking'!KS1="","",'Data Checking'!KS1)</f>
        <v>probleme_structure_ref</v>
      </c>
      <c r="KH1" t="str">
        <f>IF('Data Checking'!KT1="","",'Data Checking'!KT1)</f>
        <v>probleme_structure_ref/manque_moyens</v>
      </c>
      <c r="KI1" t="str">
        <f>IF('Data Checking'!KU1="","",'Data Checking'!KU1)</f>
        <v>probleme_structure_ref/manque_personnes</v>
      </c>
      <c r="KJ1" t="str">
        <f>IF('Data Checking'!KV1="","",'Data Checking'!KV1)</f>
        <v>probleme_structure_ref/manque_information</v>
      </c>
      <c r="KK1" t="str">
        <f>IF('Data Checking'!KW1="","",'Data Checking'!KW1)</f>
        <v>probleme_structure_ref/probleme_orientation</v>
      </c>
      <c r="KL1" t="str">
        <f>IF('Data Checking'!KX1="","",'Data Checking'!KX1)</f>
        <v>probleme_structure_ref/insecurite_zone</v>
      </c>
      <c r="KM1" t="str">
        <f>IF('Data Checking'!KY1="","",'Data Checking'!KY1)</f>
        <v>probleme_structure_ref/tensions_locales</v>
      </c>
      <c r="KN1" t="str">
        <f>IF('Data Checking'!KZ1="","",'Data Checking'!KZ1)</f>
        <v>probleme_structure_ref/manque_cordination</v>
      </c>
      <c r="KO1" t="str">
        <f>IF('Data Checking'!LA1="","",'Data Checking'!LA1)</f>
        <v>probleme_structure_ref/manque_definition</v>
      </c>
      <c r="KP1" t="str">
        <f>IF('Data Checking'!LB1="","",'Data Checking'!LB1)</f>
        <v>probleme_structure_ref/Autre</v>
      </c>
      <c r="KQ1" t="str">
        <f>IF('Data Checking'!LC1="","",'Data Checking'!LC1)</f>
        <v>probleme_structure_ref/Aucun</v>
      </c>
      <c r="KR1" t="str">
        <f>IF('Data Checking'!LD1="","",'Data Checking'!LD1)</f>
        <v>probleme_structure_ref/Ne_sait_pas</v>
      </c>
      <c r="KS1" t="str">
        <f>IF('Data Checking'!LE1="","",'Data Checking'!LE1)</f>
        <v>probleme_structure_ref_autre</v>
      </c>
      <c r="KT1" t="str">
        <f>IF('Data Checking'!LF1="","",'Data Checking'!LF1)</f>
        <v>probleme_reorientation_ref</v>
      </c>
      <c r="KU1" t="str">
        <f>IF('Data Checking'!LG1="","",'Data Checking'!LG1)</f>
        <v>probleme_reorientation_ref/pb_protection_donnee</v>
      </c>
      <c r="KV1" t="str">
        <f>IF('Data Checking'!LH1="","",'Data Checking'!LH1)</f>
        <v>probleme_reorientation_ref/pb_logistiques</v>
      </c>
      <c r="KW1" t="str">
        <f>IF('Data Checking'!LI1="","",'Data Checking'!LI1)</f>
        <v>probleme_reorientation_ref/pb_secu</v>
      </c>
      <c r="KX1" t="str">
        <f>IF('Data Checking'!LJ1="","",'Data Checking'!LJ1)</f>
        <v>probleme_reorientation_ref/pb_coordination</v>
      </c>
      <c r="KY1" t="str">
        <f>IF('Data Checking'!LK1="","",'Data Checking'!LK1)</f>
        <v>probleme_reorientation_ref/Ne_sait_pas</v>
      </c>
      <c r="KZ1" t="str">
        <f>IF('Data Checking'!LL1="","",'Data Checking'!LL1)</f>
        <v>probleme_reorientation_ref/Autre</v>
      </c>
      <c r="LA1" t="str">
        <f>IF('Data Checking'!LM1="","",'Data Checking'!LM1)</f>
        <v>probleme_reorientation_ref_autre</v>
      </c>
      <c r="LB1" t="str">
        <f>IF('Data Checking'!LN1="","",'Data Checking'!LN1)</f>
        <v>menace_secu</v>
      </c>
      <c r="LC1" t="str">
        <f>IF('Data Checking'!LO1="","",'Data Checking'!LO1)</f>
        <v>type_menace</v>
      </c>
      <c r="LD1" t="str">
        <f>IF('Data Checking'!LP1="","",'Data Checking'!LP1)</f>
        <v>type_menace/violence_physique</v>
      </c>
      <c r="LE1" t="str">
        <f>IF('Data Checking'!LQ1="","",'Data Checking'!LQ1)</f>
        <v>type_menace/violence_psycho</v>
      </c>
      <c r="LF1" t="str">
        <f>IF('Data Checking'!LR1="","",'Data Checking'!LR1)</f>
        <v>type_menace/message</v>
      </c>
      <c r="LG1" t="str">
        <f>IF('Data Checking'!LS1="","",'Data Checking'!LS1)</f>
        <v>type_menace/menace_entourage</v>
      </c>
      <c r="LH1" t="str">
        <f>IF('Data Checking'!LT1="","",'Data Checking'!LT1)</f>
        <v>type_menace/menace_mort</v>
      </c>
      <c r="LI1" t="str">
        <f>IF('Data Checking'!LU1="","",'Data Checking'!LU1)</f>
        <v>type_menace/menace_enlevement</v>
      </c>
      <c r="LJ1" t="str">
        <f>IF('Data Checking'!LV1="","",'Data Checking'!LV1)</f>
        <v>type_menace/suivi</v>
      </c>
      <c r="LK1" t="str">
        <f>IF('Data Checking'!LW1="","",'Data Checking'!LW1)</f>
        <v>type_menace/Autre</v>
      </c>
      <c r="LL1" t="str">
        <f>IF('Data Checking'!LX1="","",'Data Checking'!LX1)</f>
        <v>type_menace/Ne_sait_pas</v>
      </c>
      <c r="LM1" t="str">
        <f>IF('Data Checking'!LY1="","",'Data Checking'!LY1)</f>
        <v>type_menace/Refuse_de_repondre</v>
      </c>
      <c r="LN1" t="str">
        <f>IF('Data Checking'!LZ1="","",'Data Checking'!LZ1)</f>
        <v>type_menace_autre</v>
      </c>
      <c r="LO1" t="str">
        <f>IF('Data Checking'!MA1="","",'Data Checking'!MA1)</f>
        <v>remise_en_cause_engagement</v>
      </c>
      <c r="LP1" t="str">
        <f>IF('Data Checking'!MB1="","",'Data Checking'!MB1)</f>
        <v>accord_partage</v>
      </c>
      <c r="LQ1" t="str">
        <f>IF('Data Checking'!MC1="","",'Data Checking'!MC1)</f>
        <v>merci</v>
      </c>
      <c r="LR1" t="str">
        <f>IF('Data Checking'!MD1="","",'Data Checking'!MD1)</f>
        <v>observations</v>
      </c>
      <c r="LS1" t="str">
        <f>IF('Data Checking'!ME1="","",'Data Checking'!ME1)</f>
        <v>_id</v>
      </c>
      <c r="LT1" t="str">
        <f>IF('Data Checking'!MF1="","",'Data Checking'!MF1)</f>
        <v>_uuid</v>
      </c>
      <c r="LU1" t="str">
        <f>IF('Data Checking'!MG1="","",'Data Checking'!MG1)</f>
        <v>_submission_time</v>
      </c>
      <c r="LV1" t="str">
        <f>IF('Data Checking'!MH1="","",'Data Checking'!MH1)</f>
        <v>_validation_status</v>
      </c>
      <c r="LW1" t="str">
        <f>IF('Data Checking'!MI1="","",'Data Checking'!MI1)</f>
        <v>_notes</v>
      </c>
      <c r="LX1" t="str">
        <f>IF('Data Checking'!MJ1="","",'Data Checking'!MJ1)</f>
        <v>_status</v>
      </c>
      <c r="LY1" t="str">
        <f>IF('Data Checking'!MK1="","",'Data Checking'!MK1)</f>
        <v>_submitted_by</v>
      </c>
      <c r="LZ1" t="str">
        <f>IF('Data Checking'!ML1="","",'Data Checking'!ML1)</f>
        <v>_tags</v>
      </c>
      <c r="MA1" t="str">
        <f>IF('Data Checking'!MM1="","",'Data Checking'!MM1)</f>
        <v>_index</v>
      </c>
    </row>
    <row r="2" spans="1:339" x14ac:dyDescent="0.3">
      <c r="A2" t="str">
        <f>IF('Data Checking'!D2="","",'Data Checking'!D2)</f>
        <v>2021-04-06T13:55:30.569+01:00</v>
      </c>
      <c r="B2" t="str">
        <f>IF('Data Checking'!E2="","",'Data Checking'!E2)</f>
        <v>2021-04-06T14:37:12.398+01:00</v>
      </c>
      <c r="C2" t="str">
        <f>IF('Data Checking'!M2="","",'Data Checking'!M2)</f>
        <v>2021-04-06</v>
      </c>
      <c r="D2" t="str">
        <f>IF('Data Checking'!N2="","",'Data Checking'!N2)</f>
        <v/>
      </c>
      <c r="E2" t="str">
        <f>IF('Data Checking'!O2="","",'Data Checking'!O2)</f>
        <v/>
      </c>
      <c r="F2" t="str">
        <f>IF('Data Checking'!R2="","",'Data Checking'!R2)</f>
        <v>Homme</v>
      </c>
      <c r="G2" t="str">
        <f>IF('Data Checking'!S2="","",'Data Checking'!S2)</f>
        <v>torodi</v>
      </c>
      <c r="H2" t="str">
        <f>IF('Data Checking'!T2="","",'Data Checking'!T2)</f>
        <v>torodi</v>
      </c>
      <c r="I2" t="str">
        <f>IF('Data Checking'!U2="","",'Data Checking'!U2)</f>
        <v>sentier</v>
      </c>
      <c r="J2" t="str">
        <f>IF('Data Checking'!V2="","",'Data Checking'!V2)</f>
        <v/>
      </c>
      <c r="K2" t="str">
        <f>IF('Data Checking'!W2="","",'Data Checking'!W2)</f>
        <v/>
      </c>
      <c r="L2" t="str">
        <f>IF('Data Checking'!X2="","",'Data Checking'!X2)</f>
        <v/>
      </c>
      <c r="M2" t="str">
        <f>IF('Data Checking'!Y2="","",'Data Checking'!Y2)</f>
        <v/>
      </c>
      <c r="N2" t="str">
        <f>IF('Data Checking'!Z2="","",'Data Checking'!Z2)</f>
        <v/>
      </c>
      <c r="O2" t="str">
        <f>IF('Data Checking'!AA2="","",'Data Checking'!AA2)</f>
        <v/>
      </c>
      <c r="P2" t="str">
        <f>IF('Data Checking'!AB2="","",'Data Checking'!AB2)</f>
        <v/>
      </c>
      <c r="Q2" t="str">
        <f>IF('Data Checking'!AC2="","",'Data Checking'!AC2)</f>
        <v/>
      </c>
      <c r="R2" t="str">
        <f>IF('Data Checking'!AD2="","",'Data Checking'!AD2)</f>
        <v>Homme</v>
      </c>
      <c r="S2" t="str">
        <f>IF('Data Checking'!AE2="","",'Data Checking'!AE2)</f>
        <v>52</v>
      </c>
      <c r="T2" t="str">
        <f>IF('Data Checking'!AF2="","",'Data Checking'!AF2)</f>
        <v>deplace_interne</v>
      </c>
      <c r="U2" t="str">
        <f>IF('Data Checking'!AG2="","",'Data Checking'!AG2)</f>
        <v/>
      </c>
      <c r="V2" t="str">
        <f>IF('Data Checking'!AH2="","",'Data Checking'!AH2)</f>
        <v/>
      </c>
      <c r="W2" t="str">
        <f>IF('Data Checking'!AI2="","",'Data Checking'!AI2)</f>
        <v/>
      </c>
      <c r="X2" t="str">
        <f>IF('Data Checking'!AJ2="","",'Data Checking'!AJ2)</f>
        <v/>
      </c>
      <c r="Y2" t="str">
        <f>IF('Data Checking'!AK2="","",'Data Checking'!AK2)</f>
        <v/>
      </c>
      <c r="Z2" t="str">
        <f>IF('Data Checking'!AL2="","",'Data Checking'!AL2)</f>
        <v>niger</v>
      </c>
      <c r="AA2" t="str">
        <f>IF('Data Checking'!AM2="","",'Data Checking'!AM2)</f>
        <v>tahoua</v>
      </c>
      <c r="AB2" t="str">
        <f>IF('Data Checking'!AN2="","",'Data Checking'!AN2)</f>
        <v>tahoua</v>
      </c>
      <c r="AC2" t="str">
        <f>IF('Data Checking'!AO2="","",'Data Checking'!AO2)</f>
        <v/>
      </c>
      <c r="AD2" t="str">
        <f>IF('Data Checking'!AP2="","",'Data Checking'!AP2)</f>
        <v/>
      </c>
      <c r="AE2" t="str">
        <f>IF('Data Checking'!AQ2="","",'Data Checking'!AQ2)</f>
        <v/>
      </c>
      <c r="AF2" t="str">
        <f>IF('Data Checking'!AR2="","",'Data Checking'!AR2)</f>
        <v/>
      </c>
      <c r="AG2" t="str">
        <f>IF('Data Checking'!AS2="","",'Data Checking'!AS2)</f>
        <v>oui</v>
      </c>
      <c r="AH2" t="str">
        <f>IF('Data Checking'!AT2="","",'Data Checking'!AT2)</f>
        <v>Violences_physique_civils</v>
      </c>
      <c r="AI2" t="str">
        <f>IF('Data Checking'!AU2="","",'Data Checking'!AU2)</f>
        <v>0</v>
      </c>
      <c r="AJ2" t="str">
        <f>IF('Data Checking'!AV2="","",'Data Checking'!AV2)</f>
        <v>0</v>
      </c>
      <c r="AK2" t="str">
        <f>IF('Data Checking'!AW2="","",'Data Checking'!AW2)</f>
        <v>0</v>
      </c>
      <c r="AL2" t="str">
        <f>IF('Data Checking'!AX2="","",'Data Checking'!AX2)</f>
        <v>0</v>
      </c>
      <c r="AM2" t="str">
        <f>IF('Data Checking'!AY2="","",'Data Checking'!AY2)</f>
        <v>1</v>
      </c>
      <c r="AN2" t="str">
        <f>IF('Data Checking'!AZ2="","",'Data Checking'!AZ2)</f>
        <v>0</v>
      </c>
      <c r="AO2" t="str">
        <f>IF('Data Checking'!BA2="","",'Data Checking'!BA2)</f>
        <v>0</v>
      </c>
      <c r="AP2" t="str">
        <f>IF('Data Checking'!BB2="","",'Data Checking'!BB2)</f>
        <v>0</v>
      </c>
      <c r="AQ2" t="str">
        <f>IF('Data Checking'!BC2="","",'Data Checking'!BC2)</f>
        <v>0</v>
      </c>
      <c r="AR2" t="str">
        <f>IF('Data Checking'!BD2="","",'Data Checking'!BD2)</f>
        <v>0</v>
      </c>
      <c r="AS2" t="str">
        <f>IF('Data Checking'!BE2="","",'Data Checking'!BE2)</f>
        <v>0</v>
      </c>
      <c r="AT2" t="str">
        <f>IF('Data Checking'!BF2="","",'Data Checking'!BF2)</f>
        <v>0</v>
      </c>
      <c r="AU2" t="str">
        <f>IF('Data Checking'!BG2="","",'Data Checking'!BG2)</f>
        <v>0</v>
      </c>
      <c r="AV2" t="str">
        <f>IF('Data Checking'!BH2="","",'Data Checking'!BH2)</f>
        <v>0</v>
      </c>
      <c r="AW2" t="str">
        <f>IF('Data Checking'!BI2="","",'Data Checking'!BI2)</f>
        <v/>
      </c>
      <c r="AX2" t="str">
        <f>IF('Data Checking'!BJ2="","",'Data Checking'!BJ2)</f>
        <v>Femmes Garçons Filles Hommes_ages Femmes_agees</v>
      </c>
      <c r="AY2" t="str">
        <f>IF('Data Checking'!BK2="","",'Data Checking'!BK2)</f>
        <v>0</v>
      </c>
      <c r="AZ2" t="str">
        <f>IF('Data Checking'!BL2="","",'Data Checking'!BL2)</f>
        <v>0</v>
      </c>
      <c r="BA2" t="str">
        <f>IF('Data Checking'!BM2="","",'Data Checking'!BM2)</f>
        <v>1</v>
      </c>
      <c r="BB2" t="str">
        <f>IF('Data Checking'!BN2="","",'Data Checking'!BN2)</f>
        <v>1</v>
      </c>
      <c r="BC2" t="str">
        <f>IF('Data Checking'!BO2="","",'Data Checking'!BO2)</f>
        <v>1</v>
      </c>
      <c r="BD2" t="str">
        <f>IF('Data Checking'!BP2="","",'Data Checking'!BP2)</f>
        <v>0</v>
      </c>
      <c r="BE2" t="str">
        <f>IF('Data Checking'!BQ2="","",'Data Checking'!BQ2)</f>
        <v>1</v>
      </c>
      <c r="BF2" t="str">
        <f>IF('Data Checking'!BR2="","",'Data Checking'!BR2)</f>
        <v>1</v>
      </c>
      <c r="BG2" t="str">
        <f>IF('Data Checking'!BS2="","",'Data Checking'!BS2)</f>
        <v>0</v>
      </c>
      <c r="BH2" t="str">
        <f>IF('Data Checking'!BT2="","",'Data Checking'!BT2)</f>
        <v>0</v>
      </c>
      <c r="BI2" t="str">
        <f>IF('Data Checking'!BU2="","",'Data Checking'!BU2)</f>
        <v>0</v>
      </c>
      <c r="BJ2" t="str">
        <f>IF('Data Checking'!BV2="","",'Data Checking'!BV2)</f>
        <v>0</v>
      </c>
      <c r="BK2" t="str">
        <f>IF('Data Checking'!BW2="","",'Data Checking'!BW2)</f>
        <v>0</v>
      </c>
      <c r="BL2" t="str">
        <f>IF('Data Checking'!BX2="","",'Data Checking'!BX2)</f>
        <v>0</v>
      </c>
      <c r="BM2" t="str">
        <f>IF('Data Checking'!BY2="","",'Data Checking'!BY2)</f>
        <v/>
      </c>
      <c r="BN2" t="str">
        <f>IF('Data Checking'!BZ2="","",'Data Checking'!BZ2)</f>
        <v>2</v>
      </c>
      <c r="BO2" t="str">
        <f>IF('Data Checking'!CA2="","",'Data Checking'!CA2)</f>
        <v>augmente</v>
      </c>
      <c r="BP2" t="str">
        <f>IF('Data Checking'!CB2="","",'Data Checking'!CB2)</f>
        <v/>
      </c>
      <c r="BQ2" t="str">
        <f>IF('Data Checking'!CC2="","",'Data Checking'!CC2)</f>
        <v>oui</v>
      </c>
      <c r="BR2" t="str">
        <f>IF('Data Checking'!CD2="","",'Data Checking'!CD2)</f>
        <v>deni_de_ressource menace enscrimination_acces_services agression_physique</v>
      </c>
      <c r="BS2" t="str">
        <f>IF('Data Checking'!CE2="","",'Data Checking'!CE2)</f>
        <v>0</v>
      </c>
      <c r="BT2" t="str">
        <f>IF('Data Checking'!CF2="","",'Data Checking'!CF2)</f>
        <v>0</v>
      </c>
      <c r="BU2" t="str">
        <f>IF('Data Checking'!CG2="","",'Data Checking'!CG2)</f>
        <v>1</v>
      </c>
      <c r="BV2" t="str">
        <f>IF('Data Checking'!CH2="","",'Data Checking'!CH2)</f>
        <v>1</v>
      </c>
      <c r="BW2" t="str">
        <f>IF('Data Checking'!CI2="","",'Data Checking'!CI2)</f>
        <v>0</v>
      </c>
      <c r="BX2" t="str">
        <f>IF('Data Checking'!CJ2="","",'Data Checking'!CJ2)</f>
        <v>0</v>
      </c>
      <c r="BY2" t="str">
        <f>IF('Data Checking'!CK2="","",'Data Checking'!CK2)</f>
        <v>0</v>
      </c>
      <c r="BZ2" t="str">
        <f>IF('Data Checking'!CL2="","",'Data Checking'!CL2)</f>
        <v>0</v>
      </c>
      <c r="CA2" t="str">
        <f>IF('Data Checking'!CM2="","",'Data Checking'!CM2)</f>
        <v>0</v>
      </c>
      <c r="CB2" t="str">
        <f>IF('Data Checking'!CN2="","",'Data Checking'!CN2)</f>
        <v>0</v>
      </c>
      <c r="CC2" t="str">
        <f>IF('Data Checking'!CO2="","",'Data Checking'!CO2)</f>
        <v>1</v>
      </c>
      <c r="CD2" t="str">
        <f>IF('Data Checking'!CP2="","",'Data Checking'!CP2)</f>
        <v>1</v>
      </c>
      <c r="CE2" t="str">
        <f>IF('Data Checking'!CQ2="","",'Data Checking'!CQ2)</f>
        <v>0</v>
      </c>
      <c r="CF2" t="str">
        <f>IF('Data Checking'!CR2="","",'Data Checking'!CR2)</f>
        <v>0</v>
      </c>
      <c r="CG2" t="str">
        <f>IF('Data Checking'!CS2="","",'Data Checking'!CS2)</f>
        <v>0</v>
      </c>
      <c r="CH2" t="str">
        <f>IF('Data Checking'!CT2="","",'Data Checking'!CT2)</f>
        <v/>
      </c>
      <c r="CI2" t="str">
        <f>IF('Data Checking'!CU2="","",'Data Checking'!CU2)</f>
        <v>Garçons Filles Femmes Hommes Toute_population</v>
      </c>
      <c r="CJ2" t="str">
        <f>IF('Data Checking'!CV2="","",'Data Checking'!CV2)</f>
        <v>0</v>
      </c>
      <c r="CK2" t="str">
        <f>IF('Data Checking'!CW2="","",'Data Checking'!CW2)</f>
        <v>0</v>
      </c>
      <c r="CL2" t="str">
        <f>IF('Data Checking'!CX2="","",'Data Checking'!CX2)</f>
        <v>1</v>
      </c>
      <c r="CM2" t="str">
        <f>IF('Data Checking'!CY2="","",'Data Checking'!CY2)</f>
        <v>1</v>
      </c>
      <c r="CN2" t="str">
        <f>IF('Data Checking'!CZ2="","",'Data Checking'!CZ2)</f>
        <v>1</v>
      </c>
      <c r="CO2" t="str">
        <f>IF('Data Checking'!DA2="","",'Data Checking'!DA2)</f>
        <v>1</v>
      </c>
      <c r="CP2" t="str">
        <f>IF('Data Checking'!DB2="","",'Data Checking'!DB2)</f>
        <v>0</v>
      </c>
      <c r="CQ2" t="str">
        <f>IF('Data Checking'!DC2="","",'Data Checking'!DC2)</f>
        <v>0</v>
      </c>
      <c r="CR2" t="str">
        <f>IF('Data Checking'!DD2="","",'Data Checking'!DD2)</f>
        <v>0</v>
      </c>
      <c r="CS2" t="str">
        <f>IF('Data Checking'!DE2="","",'Data Checking'!DE2)</f>
        <v>0</v>
      </c>
      <c r="CT2" t="str">
        <f>IF('Data Checking'!DF2="","",'Data Checking'!DF2)</f>
        <v>1</v>
      </c>
      <c r="CU2" t="str">
        <f>IF('Data Checking'!DG2="","",'Data Checking'!DG2)</f>
        <v>0</v>
      </c>
      <c r="CV2" t="str">
        <f>IF('Data Checking'!DH2="","",'Data Checking'!DH2)</f>
        <v>0</v>
      </c>
      <c r="CW2" t="str">
        <f>IF('Data Checking'!DI2="","",'Data Checking'!DI2)</f>
        <v>0</v>
      </c>
      <c r="CX2" t="str">
        <f>IF('Data Checking'!DJ2="","",'Data Checking'!DJ2)</f>
        <v/>
      </c>
      <c r="CY2" t="str">
        <f>IF('Data Checking'!DK2="","",'Data Checking'!DK2)</f>
        <v>3</v>
      </c>
      <c r="CZ2" t="str">
        <f>IF('Data Checking'!DL2="","",'Data Checking'!DL2)</f>
        <v>augmente</v>
      </c>
      <c r="DA2" t="str">
        <f>IF('Data Checking'!DM2="","",'Data Checking'!DM2)</f>
        <v/>
      </c>
      <c r="DB2" t="str">
        <f>IF('Data Checking'!DN2="","",'Data Checking'!DN2)</f>
        <v>hausse_chomeurs deterioration_con_abris hausse_nbr_groupes_armees</v>
      </c>
      <c r="DC2" t="str">
        <f>IF('Data Checking'!DO2="","",'Data Checking'!DO2)</f>
        <v>0</v>
      </c>
      <c r="DD2" t="str">
        <f>IF('Data Checking'!DP2="","",'Data Checking'!DP2)</f>
        <v>1</v>
      </c>
      <c r="DE2" t="str">
        <f>IF('Data Checking'!DQ2="","",'Data Checking'!DQ2)</f>
        <v>0</v>
      </c>
      <c r="DF2" t="str">
        <f>IF('Data Checking'!DR2="","",'Data Checking'!DR2)</f>
        <v>0</v>
      </c>
      <c r="DG2" t="str">
        <f>IF('Data Checking'!DS2="","",'Data Checking'!DS2)</f>
        <v>1</v>
      </c>
      <c r="DH2" t="str">
        <f>IF('Data Checking'!DT2="","",'Data Checking'!DT2)</f>
        <v>0</v>
      </c>
      <c r="DI2" t="str">
        <f>IF('Data Checking'!DU2="","",'Data Checking'!DU2)</f>
        <v>1</v>
      </c>
      <c r="DJ2" t="str">
        <f>IF('Data Checking'!DV2="","",'Data Checking'!DV2)</f>
        <v>0</v>
      </c>
      <c r="DK2" t="str">
        <f>IF('Data Checking'!DW2="","",'Data Checking'!DW2)</f>
        <v>0</v>
      </c>
      <c r="DL2" t="str">
        <f>IF('Data Checking'!DX2="","",'Data Checking'!DX2)</f>
        <v>0</v>
      </c>
      <c r="DM2" t="str">
        <f>IF('Data Checking'!DY2="","",'Data Checking'!DY2)</f>
        <v/>
      </c>
      <c r="DN2" t="str">
        <f>IF('Data Checking'!DZ2="","",'Data Checking'!DZ2)</f>
        <v/>
      </c>
      <c r="DO2" t="str">
        <f>IF('Data Checking'!EA2="","",'Data Checking'!EA2)</f>
        <v/>
      </c>
      <c r="DP2" t="str">
        <f>IF('Data Checking'!EB2="","",'Data Checking'!EB2)</f>
        <v/>
      </c>
      <c r="DQ2" t="str">
        <f>IF('Data Checking'!EC2="","",'Data Checking'!EC2)</f>
        <v/>
      </c>
      <c r="DR2" t="str">
        <f>IF('Data Checking'!ED2="","",'Data Checking'!ED2)</f>
        <v/>
      </c>
      <c r="DS2" t="str">
        <f>IF('Data Checking'!EE2="","",'Data Checking'!EE2)</f>
        <v/>
      </c>
      <c r="DT2" t="str">
        <f>IF('Data Checking'!EF2="","",'Data Checking'!EF2)</f>
        <v/>
      </c>
      <c r="DU2" t="str">
        <f>IF('Data Checking'!EG2="","",'Data Checking'!EG2)</f>
        <v/>
      </c>
      <c r="DV2" t="str">
        <f>IF('Data Checking'!EH2="","",'Data Checking'!EH2)</f>
        <v/>
      </c>
      <c r="DW2" t="str">
        <f>IF('Data Checking'!EI2="","",'Data Checking'!EI2)</f>
        <v/>
      </c>
      <c r="DX2" t="str">
        <f>IF('Data Checking'!EJ2="","",'Data Checking'!EJ2)</f>
        <v/>
      </c>
      <c r="DY2" t="str">
        <f>IF('Data Checking'!EK2="","",'Data Checking'!EK2)</f>
        <v/>
      </c>
      <c r="DZ2" t="str">
        <f>IF('Data Checking'!EL2="","",'Data Checking'!EL2)</f>
        <v>Soutien_chef_village dplct_abords_com Integration_com_hote Soutien_famille_amis Soutien_psychosocial</v>
      </c>
      <c r="EA2" t="str">
        <f>IF('Data Checking'!EM2="","",'Data Checking'!EM2)</f>
        <v>1</v>
      </c>
      <c r="EB2" t="str">
        <f>IF('Data Checking'!EN2="","",'Data Checking'!EN2)</f>
        <v>1</v>
      </c>
      <c r="EC2" t="str">
        <f>IF('Data Checking'!EO2="","",'Data Checking'!EO2)</f>
        <v>1</v>
      </c>
      <c r="ED2" t="str">
        <f>IF('Data Checking'!EP2="","",'Data Checking'!EP2)</f>
        <v>1</v>
      </c>
      <c r="EE2" t="str">
        <f>IF('Data Checking'!EQ2="","",'Data Checking'!EQ2)</f>
        <v>1</v>
      </c>
      <c r="EF2" t="str">
        <f>IF('Data Checking'!ER2="","",'Data Checking'!ER2)</f>
        <v>0</v>
      </c>
      <c r="EG2" t="str">
        <f>IF('Data Checking'!ES2="","",'Data Checking'!ES2)</f>
        <v>0</v>
      </c>
      <c r="EH2" t="str">
        <f>IF('Data Checking'!ET2="","",'Data Checking'!ET2)</f>
        <v>0</v>
      </c>
      <c r="EI2" t="str">
        <f>IF('Data Checking'!EU2="","",'Data Checking'!EU2)</f>
        <v>0</v>
      </c>
      <c r="EJ2" t="str">
        <f>IF('Data Checking'!EV2="","",'Data Checking'!EV2)</f>
        <v/>
      </c>
      <c r="EK2" t="str">
        <f>IF('Data Checking'!EW2="","",'Data Checking'!EW2)</f>
        <v/>
      </c>
      <c r="EL2" t="str">
        <f>IF('Data Checking'!EX2="","",'Data Checking'!EX2)</f>
        <v>comite_protection femmes_elite famille_accueil comite_alerte comite_gestion_conflits enfant_pairs</v>
      </c>
      <c r="EM2" t="str">
        <f>IF('Data Checking'!EY2="","",'Data Checking'!EY2)</f>
        <v>1</v>
      </c>
      <c r="EN2" t="str">
        <f>IF('Data Checking'!EZ2="","",'Data Checking'!EZ2)</f>
        <v>1</v>
      </c>
      <c r="EO2" t="str">
        <f>IF('Data Checking'!FA2="","",'Data Checking'!FA2)</f>
        <v>1</v>
      </c>
      <c r="EP2" t="str">
        <f>IF('Data Checking'!FB2="","",'Data Checking'!FB2)</f>
        <v>1</v>
      </c>
      <c r="EQ2" t="str">
        <f>IF('Data Checking'!FC2="","",'Data Checking'!FC2)</f>
        <v>0</v>
      </c>
      <c r="ER2" t="str">
        <f>IF('Data Checking'!FD2="","",'Data Checking'!FD2)</f>
        <v>1</v>
      </c>
      <c r="ES2" t="str">
        <f>IF('Data Checking'!FE2="","",'Data Checking'!FE2)</f>
        <v>1</v>
      </c>
      <c r="ET2" t="str">
        <f>IF('Data Checking'!FF2="","",'Data Checking'!FF2)</f>
        <v>0</v>
      </c>
      <c r="EU2" t="str">
        <f>IF('Data Checking'!FG2="","",'Data Checking'!FG2)</f>
        <v>0</v>
      </c>
      <c r="EV2" t="str">
        <f>IF('Data Checking'!FH2="","",'Data Checking'!FH2)</f>
        <v>0</v>
      </c>
      <c r="EW2" t="str">
        <f>IF('Data Checking'!FI2="","",'Data Checking'!FI2)</f>
        <v/>
      </c>
      <c r="EX2" t="str">
        <f>IF('Data Checking'!FJ2="","",'Data Checking'!FJ2)</f>
        <v>oui</v>
      </c>
      <c r="EY2" t="str">
        <f>IF('Data Checking'!FK2="","",'Data Checking'!FK2)</f>
        <v>Radio_television manif_sociales Differents_comites_villageois famille_amis</v>
      </c>
      <c r="EZ2" t="str">
        <f>IF('Data Checking'!FL2="","",'Data Checking'!FL2)</f>
        <v>1</v>
      </c>
      <c r="FA2" t="str">
        <f>IF('Data Checking'!FM2="","",'Data Checking'!FM2)</f>
        <v>0</v>
      </c>
      <c r="FB2" t="str">
        <f>IF('Data Checking'!FN2="","",'Data Checking'!FN2)</f>
        <v>0</v>
      </c>
      <c r="FC2" t="str">
        <f>IF('Data Checking'!FO2="","",'Data Checking'!FO2)</f>
        <v>1</v>
      </c>
      <c r="FD2" t="str">
        <f>IF('Data Checking'!FP2="","",'Data Checking'!FP2)</f>
        <v>0</v>
      </c>
      <c r="FE2" t="str">
        <f>IF('Data Checking'!FQ2="","",'Data Checking'!FQ2)</f>
        <v>1</v>
      </c>
      <c r="FF2" t="str">
        <f>IF('Data Checking'!FR2="","",'Data Checking'!FR2)</f>
        <v>0</v>
      </c>
      <c r="FG2" t="str">
        <f>IF('Data Checking'!FS2="","",'Data Checking'!FS2)</f>
        <v>0</v>
      </c>
      <c r="FH2" t="str">
        <f>IF('Data Checking'!FT2="","",'Data Checking'!FT2)</f>
        <v>1</v>
      </c>
      <c r="FI2" t="str">
        <f>IF('Data Checking'!FU2="","",'Data Checking'!FU2)</f>
        <v>0</v>
      </c>
      <c r="FJ2" t="str">
        <f>IF('Data Checking'!FV2="","",'Data Checking'!FV2)</f>
        <v>0</v>
      </c>
      <c r="FK2" t="str">
        <f>IF('Data Checking'!FW2="","",'Data Checking'!FW2)</f>
        <v>0</v>
      </c>
      <c r="FL2" t="str">
        <f>IF('Data Checking'!FX2="","",'Data Checking'!FX2)</f>
        <v>0</v>
      </c>
      <c r="FM2" t="str">
        <f>IF('Data Checking'!FY2="","",'Data Checking'!FY2)</f>
        <v>0</v>
      </c>
      <c r="FN2" t="str">
        <f>IF('Data Checking'!FZ2="","",'Data Checking'!FZ2)</f>
        <v/>
      </c>
      <c r="FO2" t="str">
        <f>IF('Data Checking'!GA2="","",'Data Checking'!GA2)</f>
        <v>oui_majorite</v>
      </c>
      <c r="FP2" t="str">
        <f>IF('Data Checking'!GB2="","",'Data Checking'!GB2)</f>
        <v>oui_majorite</v>
      </c>
      <c r="FQ2" t="str">
        <f>IF('Data Checking'!GC2="","",'Data Checking'!GC2)</f>
        <v>manque_info non_utilisation trop_du_monde</v>
      </c>
      <c r="FR2" t="str">
        <f>IF('Data Checking'!GD2="","",'Data Checking'!GD2)</f>
        <v>0</v>
      </c>
      <c r="FS2" t="str">
        <f>IF('Data Checking'!GE2="","",'Data Checking'!GE2)</f>
        <v>1</v>
      </c>
      <c r="FT2" t="str">
        <f>IF('Data Checking'!GF2="","",'Data Checking'!GF2)</f>
        <v>0</v>
      </c>
      <c r="FU2" t="str">
        <f>IF('Data Checking'!GG2="","",'Data Checking'!GG2)</f>
        <v>1</v>
      </c>
      <c r="FV2" t="str">
        <f>IF('Data Checking'!GH2="","",'Data Checking'!GH2)</f>
        <v>1</v>
      </c>
      <c r="FW2" t="str">
        <f>IF('Data Checking'!GI2="","",'Data Checking'!GI2)</f>
        <v>0</v>
      </c>
      <c r="FX2" t="str">
        <f>IF('Data Checking'!GJ2="","",'Data Checking'!GJ2)</f>
        <v>0</v>
      </c>
      <c r="FY2" t="str">
        <f>IF('Data Checking'!GK2="","",'Data Checking'!GK2)</f>
        <v>0</v>
      </c>
      <c r="FZ2" t="str">
        <f>IF('Data Checking'!GL2="","",'Data Checking'!GL2)</f>
        <v/>
      </c>
      <c r="GA2" t="str">
        <f>IF('Data Checking'!GM2="","",'Data Checking'!GM2)</f>
        <v>moitie</v>
      </c>
      <c r="GB2" t="str">
        <f>IF('Data Checking'!GN2="","",'Data Checking'!GN2)</f>
        <v>moitie</v>
      </c>
      <c r="GC2" t="str">
        <f>IF('Data Checking'!GO2="","",'Data Checking'!GO2)</f>
        <v>Acces_aux_doc Appui_psychosocial Suivi_judiciaire Services_de_sante Education</v>
      </c>
      <c r="GD2" t="str">
        <f>IF('Data Checking'!GP2="","",'Data Checking'!GP2)</f>
        <v>1</v>
      </c>
      <c r="GE2" t="str">
        <f>IF('Data Checking'!GQ2="","",'Data Checking'!GQ2)</f>
        <v>1</v>
      </c>
      <c r="GF2" t="str">
        <f>IF('Data Checking'!GR2="","",'Data Checking'!GR2)</f>
        <v>0</v>
      </c>
      <c r="GG2" t="str">
        <f>IF('Data Checking'!GS2="","",'Data Checking'!GS2)</f>
        <v>1</v>
      </c>
      <c r="GH2" t="str">
        <f>IF('Data Checking'!GT2="","",'Data Checking'!GT2)</f>
        <v>1</v>
      </c>
      <c r="GI2" t="str">
        <f>IF('Data Checking'!GU2="","",'Data Checking'!GU2)</f>
        <v>1</v>
      </c>
      <c r="GJ2" t="str">
        <f>IF('Data Checking'!GV2="","",'Data Checking'!GV2)</f>
        <v>0</v>
      </c>
      <c r="GK2" t="str">
        <f>IF('Data Checking'!GW2="","",'Data Checking'!GW2)</f>
        <v>0</v>
      </c>
      <c r="GL2" t="str">
        <f>IF('Data Checking'!GX2="","",'Data Checking'!GX2)</f>
        <v>0</v>
      </c>
      <c r="GM2" t="str">
        <f>IF('Data Checking'!GY2="","",'Data Checking'!GY2)</f>
        <v/>
      </c>
      <c r="GN2" t="str">
        <f>IF('Data Checking'!GZ2="","",'Data Checking'!GZ2)</f>
        <v>oui_majorite</v>
      </c>
      <c r="GO2" t="str">
        <f>IF('Data Checking'!HA2="","",'Data Checking'!HA2)</f>
        <v>oui_majorite</v>
      </c>
      <c r="GP2" t="str">
        <f>IF('Data Checking'!HB2="","",'Data Checking'!HB2)</f>
        <v>repond_besoins_pop permet_eviter_conflits diminution_tensions</v>
      </c>
      <c r="GQ2" t="str">
        <f>IF('Data Checking'!HC2="","",'Data Checking'!HC2)</f>
        <v>0</v>
      </c>
      <c r="GR2" t="str">
        <f>IF('Data Checking'!HD2="","",'Data Checking'!HD2)</f>
        <v>1</v>
      </c>
      <c r="GS2" t="str">
        <f>IF('Data Checking'!HE2="","",'Data Checking'!HE2)</f>
        <v>0</v>
      </c>
      <c r="GT2" t="str">
        <f>IF('Data Checking'!HF2="","",'Data Checking'!HF2)</f>
        <v>1</v>
      </c>
      <c r="GU2" t="str">
        <f>IF('Data Checking'!HG2="","",'Data Checking'!HG2)</f>
        <v>0</v>
      </c>
      <c r="GV2" t="str">
        <f>IF('Data Checking'!HH2="","",'Data Checking'!HH2)</f>
        <v>1</v>
      </c>
      <c r="GW2" t="str">
        <f>IF('Data Checking'!HI2="","",'Data Checking'!HI2)</f>
        <v>0</v>
      </c>
      <c r="GX2" t="str">
        <f>IF('Data Checking'!HJ2="","",'Data Checking'!HJ2)</f>
        <v>0</v>
      </c>
      <c r="GY2" t="str">
        <f>IF('Data Checking'!HK2="","",'Data Checking'!HK2)</f>
        <v/>
      </c>
      <c r="GZ2" t="str">
        <f>IF('Data Checking'!HL2="","",'Data Checking'!HL2)</f>
        <v>ne_repond_pas</v>
      </c>
      <c r="HA2" t="str">
        <f>IF('Data Checking'!HM2="","",'Data Checking'!HM2)</f>
        <v>0</v>
      </c>
      <c r="HB2" t="str">
        <f>IF('Data Checking'!HN2="","",'Data Checking'!HN2)</f>
        <v>1</v>
      </c>
      <c r="HC2" t="str">
        <f>IF('Data Checking'!HO2="","",'Data Checking'!HO2)</f>
        <v>0</v>
      </c>
      <c r="HD2" t="str">
        <f>IF('Data Checking'!HP2="","",'Data Checking'!HP2)</f>
        <v>0</v>
      </c>
      <c r="HE2" t="str">
        <f>IF('Data Checking'!HQ2="","",'Data Checking'!HQ2)</f>
        <v>0</v>
      </c>
      <c r="HF2" t="str">
        <f>IF('Data Checking'!HR2="","",'Data Checking'!HR2)</f>
        <v>0</v>
      </c>
      <c r="HG2" t="str">
        <f>IF('Data Checking'!HS2="","",'Data Checking'!HS2)</f>
        <v/>
      </c>
      <c r="HH2" t="str">
        <f>IF('Data Checking'!HT2="","",'Data Checking'!HT2)</f>
        <v/>
      </c>
      <c r="HI2" t="str">
        <f>IF('Data Checking'!HU2="","",'Data Checking'!HU2)</f>
        <v>non</v>
      </c>
      <c r="HJ2" t="str">
        <f>IF('Data Checking'!HV2="","",'Data Checking'!HV2)</f>
        <v/>
      </c>
      <c r="HK2" t="str">
        <f>IF('Data Checking'!HW2="","",'Data Checking'!HW2)</f>
        <v/>
      </c>
      <c r="HL2" t="str">
        <f>IF('Data Checking'!HX2="","",'Data Checking'!HX2)</f>
        <v/>
      </c>
      <c r="HM2" t="str">
        <f>IF('Data Checking'!HY2="","",'Data Checking'!HY2)</f>
        <v/>
      </c>
      <c r="HN2" t="str">
        <f>IF('Data Checking'!HZ2="","",'Data Checking'!HZ2)</f>
        <v/>
      </c>
      <c r="HO2" t="str">
        <f>IF('Data Checking'!IA2="","",'Data Checking'!IA2)</f>
        <v/>
      </c>
      <c r="HP2" t="str">
        <f>IF('Data Checking'!IB2="","",'Data Checking'!IB2)</f>
        <v/>
      </c>
      <c r="HQ2" t="str">
        <f>IF('Data Checking'!IC2="","",'Data Checking'!IC2)</f>
        <v/>
      </c>
      <c r="HR2" t="str">
        <f>IF('Data Checking'!ID2="","",'Data Checking'!ID2)</f>
        <v/>
      </c>
      <c r="HS2" t="str">
        <f>IF('Data Checking'!IE2="","",'Data Checking'!IE2)</f>
        <v/>
      </c>
      <c r="HT2" t="str">
        <f>IF('Data Checking'!IF2="","",'Data Checking'!IF2)</f>
        <v/>
      </c>
      <c r="HU2" t="str">
        <f>IF('Data Checking'!IG2="","",'Data Checking'!IG2)</f>
        <v/>
      </c>
      <c r="HV2" t="str">
        <f>IF('Data Checking'!IH2="","",'Data Checking'!IH2)</f>
        <v>oui</v>
      </c>
      <c r="HW2" t="str">
        <f>IF('Data Checking'!II2="","",'Data Checking'!II2)</f>
        <v/>
      </c>
      <c r="HX2" t="str">
        <f>IF('Data Checking'!IJ2="","",'Data Checking'!IJ2)</f>
        <v/>
      </c>
      <c r="HY2" t="str">
        <f>IF('Data Checking'!IK2="","",'Data Checking'!IK2)</f>
        <v/>
      </c>
      <c r="HZ2" t="str">
        <f>IF('Data Checking'!IL2="","",'Data Checking'!IL2)</f>
        <v/>
      </c>
      <c r="IA2" t="str">
        <f>IF('Data Checking'!IM2="","",'Data Checking'!IM2)</f>
        <v/>
      </c>
      <c r="IB2" t="str">
        <f>IF('Data Checking'!IN2="","",'Data Checking'!IN2)</f>
        <v/>
      </c>
      <c r="IC2" t="str">
        <f>IF('Data Checking'!IO2="","",'Data Checking'!IO2)</f>
        <v/>
      </c>
      <c r="ID2" t="str">
        <f>IF('Data Checking'!IP2="","",'Data Checking'!IP2)</f>
        <v/>
      </c>
      <c r="IE2" t="str">
        <f>IF('Data Checking'!IQ2="","",'Data Checking'!IQ2)</f>
        <v/>
      </c>
      <c r="IF2" t="str">
        <f>IF('Data Checking'!IR2="","",'Data Checking'!IR2)</f>
        <v/>
      </c>
      <c r="IG2" t="str">
        <f>IF('Data Checking'!IS2="","",'Data Checking'!IS2)</f>
        <v/>
      </c>
      <c r="IH2" t="str">
        <f>IF('Data Checking'!IT2="","",'Data Checking'!IT2)</f>
        <v/>
      </c>
      <c r="II2" t="str">
        <f>IF('Data Checking'!IU2="","",'Data Checking'!IU2)</f>
        <v/>
      </c>
      <c r="IJ2" t="str">
        <f>IF('Data Checking'!IV2="","",'Data Checking'!IV2)</f>
        <v/>
      </c>
      <c r="IK2" t="str">
        <f>IF('Data Checking'!IW2="","",'Data Checking'!IW2)</f>
        <v/>
      </c>
      <c r="IL2" t="str">
        <f>IF('Data Checking'!IX2="","",'Data Checking'!IX2)</f>
        <v/>
      </c>
      <c r="IM2" t="str">
        <f>IF('Data Checking'!IY2="","",'Data Checking'!IY2)</f>
        <v/>
      </c>
      <c r="IN2" t="str">
        <f>IF('Data Checking'!IZ2="","",'Data Checking'!IZ2)</f>
        <v/>
      </c>
      <c r="IO2" t="str">
        <f>IF('Data Checking'!JA2="","",'Data Checking'!JA2)</f>
        <v/>
      </c>
      <c r="IP2" t="str">
        <f>IF('Data Checking'!JB2="","",'Data Checking'!JB2)</f>
        <v/>
      </c>
      <c r="IQ2" t="str">
        <f>IF('Data Checking'!JC2="","",'Data Checking'!JC2)</f>
        <v/>
      </c>
      <c r="IR2" t="str">
        <f>IF('Data Checking'!JD2="","",'Data Checking'!JD2)</f>
        <v/>
      </c>
      <c r="IS2" t="str">
        <f>IF('Data Checking'!JE2="","",'Data Checking'!JE2)</f>
        <v/>
      </c>
      <c r="IT2" t="str">
        <f>IF('Data Checking'!JF2="","",'Data Checking'!JF2)</f>
        <v/>
      </c>
      <c r="IU2" t="str">
        <f>IF('Data Checking'!JG2="","",'Data Checking'!JG2)</f>
        <v/>
      </c>
      <c r="IV2" t="str">
        <f>IF('Data Checking'!JH2="","",'Data Checking'!JH2)</f>
        <v/>
      </c>
      <c r="IW2" t="str">
        <f>IF('Data Checking'!JI2="","",'Data Checking'!JI2)</f>
        <v/>
      </c>
      <c r="IX2" t="str">
        <f>IF('Data Checking'!JJ2="","",'Data Checking'!JJ2)</f>
        <v/>
      </c>
      <c r="IY2" t="str">
        <f>IF('Data Checking'!JK2="","",'Data Checking'!JK2)</f>
        <v/>
      </c>
      <c r="IZ2" t="str">
        <f>IF('Data Checking'!JL2="","",'Data Checking'!JL2)</f>
        <v/>
      </c>
      <c r="JA2" t="str">
        <f>IF('Data Checking'!JM2="","",'Data Checking'!JM2)</f>
        <v/>
      </c>
      <c r="JB2" t="str">
        <f>IF('Data Checking'!JN2="","",'Data Checking'!JN2)</f>
        <v/>
      </c>
      <c r="JC2" t="str">
        <f>IF('Data Checking'!JO2="","",'Data Checking'!JO2)</f>
        <v/>
      </c>
      <c r="JD2" t="str">
        <f>IF('Data Checking'!JP2="","",'Data Checking'!JP2)</f>
        <v/>
      </c>
      <c r="JE2" t="str">
        <f>IF('Data Checking'!JQ2="","",'Data Checking'!JQ2)</f>
        <v/>
      </c>
      <c r="JF2" t="str">
        <f>IF('Data Checking'!JR2="","",'Data Checking'!JR2)</f>
        <v/>
      </c>
      <c r="JG2" t="str">
        <f>IF('Data Checking'!JS2="","",'Data Checking'!JS2)</f>
        <v/>
      </c>
      <c r="JH2" t="str">
        <f>IF('Data Checking'!JT2="","",'Data Checking'!JT2)</f>
        <v/>
      </c>
      <c r="JI2" t="str">
        <f>IF('Data Checking'!JU2="","",'Data Checking'!JU2)</f>
        <v/>
      </c>
      <c r="JJ2" t="str">
        <f>IF('Data Checking'!JV2="","",'Data Checking'!JV2)</f>
        <v/>
      </c>
      <c r="JK2" t="str">
        <f>IF('Data Checking'!JW2="","",'Data Checking'!JW2)</f>
        <v/>
      </c>
      <c r="JL2" t="str">
        <f>IF('Data Checking'!JX2="","",'Data Checking'!JX2)</f>
        <v/>
      </c>
      <c r="JM2" t="str">
        <f>IF('Data Checking'!JY2="","",'Data Checking'!JY2)</f>
        <v/>
      </c>
      <c r="JN2" t="str">
        <f>IF('Data Checking'!JZ2="","",'Data Checking'!JZ2)</f>
        <v/>
      </c>
      <c r="JO2" t="str">
        <f>IF('Data Checking'!KA2="","",'Data Checking'!KA2)</f>
        <v/>
      </c>
      <c r="JP2" t="str">
        <f>IF('Data Checking'!KB2="","",'Data Checking'!KB2)</f>
        <v/>
      </c>
      <c r="JQ2" t="str">
        <f>IF('Data Checking'!KC2="","",'Data Checking'!KC2)</f>
        <v/>
      </c>
      <c r="JR2" t="str">
        <f>IF('Data Checking'!KD2="","",'Data Checking'!KD2)</f>
        <v/>
      </c>
      <c r="JS2" t="str">
        <f>IF('Data Checking'!KE2="","",'Data Checking'!KE2)</f>
        <v/>
      </c>
      <c r="JT2" t="str">
        <f>IF('Data Checking'!KF2="","",'Data Checking'!KF2)</f>
        <v/>
      </c>
      <c r="JU2" t="str">
        <f>IF('Data Checking'!KG2="","",'Data Checking'!KG2)</f>
        <v/>
      </c>
      <c r="JV2" t="str">
        <f>IF('Data Checking'!KH2="","",'Data Checking'!KH2)</f>
        <v/>
      </c>
      <c r="JW2" t="str">
        <f>IF('Data Checking'!KI2="","",'Data Checking'!KI2)</f>
        <v/>
      </c>
      <c r="JX2" t="str">
        <f>IF('Data Checking'!KJ2="","",'Data Checking'!KJ2)</f>
        <v/>
      </c>
      <c r="JY2" t="str">
        <f>IF('Data Checking'!KK2="","",'Data Checking'!KK2)</f>
        <v/>
      </c>
      <c r="JZ2" t="str">
        <f>IF('Data Checking'!KL2="","",'Data Checking'!KL2)</f>
        <v/>
      </c>
      <c r="KA2" t="str">
        <f>IF('Data Checking'!KM2="","",'Data Checking'!KM2)</f>
        <v/>
      </c>
      <c r="KB2" t="str">
        <f>IF('Data Checking'!KN2="","",'Data Checking'!KN2)</f>
        <v/>
      </c>
      <c r="KC2" t="str">
        <f>IF('Data Checking'!KO2="","",'Data Checking'!KO2)</f>
        <v/>
      </c>
      <c r="KD2" t="str">
        <f>IF('Data Checking'!KP2="","",'Data Checking'!KP2)</f>
        <v/>
      </c>
      <c r="KE2" t="str">
        <f>IF('Data Checking'!KQ2="","",'Data Checking'!KQ2)</f>
        <v/>
      </c>
      <c r="KF2" t="str">
        <f>IF('Data Checking'!KR2="","",'Data Checking'!KR2)</f>
        <v/>
      </c>
      <c r="KG2" t="str">
        <f>IF('Data Checking'!KS2="","",'Data Checking'!KS2)</f>
        <v/>
      </c>
      <c r="KH2" t="str">
        <f>IF('Data Checking'!KT2="","",'Data Checking'!KT2)</f>
        <v/>
      </c>
      <c r="KI2" t="str">
        <f>IF('Data Checking'!KU2="","",'Data Checking'!KU2)</f>
        <v/>
      </c>
      <c r="KJ2" t="str">
        <f>IF('Data Checking'!KV2="","",'Data Checking'!KV2)</f>
        <v/>
      </c>
      <c r="KK2" t="str">
        <f>IF('Data Checking'!KW2="","",'Data Checking'!KW2)</f>
        <v/>
      </c>
      <c r="KL2" t="str">
        <f>IF('Data Checking'!KX2="","",'Data Checking'!KX2)</f>
        <v/>
      </c>
      <c r="KM2" t="str">
        <f>IF('Data Checking'!KY2="","",'Data Checking'!KY2)</f>
        <v/>
      </c>
      <c r="KN2" t="str">
        <f>IF('Data Checking'!KZ2="","",'Data Checking'!KZ2)</f>
        <v/>
      </c>
      <c r="KO2" t="str">
        <f>IF('Data Checking'!LA2="","",'Data Checking'!LA2)</f>
        <v/>
      </c>
      <c r="KP2" t="str">
        <f>IF('Data Checking'!LB2="","",'Data Checking'!LB2)</f>
        <v/>
      </c>
      <c r="KQ2" t="str">
        <f>IF('Data Checking'!LC2="","",'Data Checking'!LC2)</f>
        <v/>
      </c>
      <c r="KR2" t="str">
        <f>IF('Data Checking'!LD2="","",'Data Checking'!LD2)</f>
        <v/>
      </c>
      <c r="KS2" t="str">
        <f>IF('Data Checking'!LE2="","",'Data Checking'!LE2)</f>
        <v/>
      </c>
      <c r="KT2" t="str">
        <f>IF('Data Checking'!LF2="","",'Data Checking'!LF2)</f>
        <v/>
      </c>
      <c r="KU2" t="str">
        <f>IF('Data Checking'!LG2="","",'Data Checking'!LG2)</f>
        <v/>
      </c>
      <c r="KV2" t="str">
        <f>IF('Data Checking'!LH2="","",'Data Checking'!LH2)</f>
        <v/>
      </c>
      <c r="KW2" t="str">
        <f>IF('Data Checking'!LI2="","",'Data Checking'!LI2)</f>
        <v/>
      </c>
      <c r="KX2" t="str">
        <f>IF('Data Checking'!LJ2="","",'Data Checking'!LJ2)</f>
        <v/>
      </c>
      <c r="KY2" t="str">
        <f>IF('Data Checking'!LK2="","",'Data Checking'!LK2)</f>
        <v/>
      </c>
      <c r="KZ2" t="str">
        <f>IF('Data Checking'!LL2="","",'Data Checking'!LL2)</f>
        <v/>
      </c>
      <c r="LA2" t="str">
        <f>IF('Data Checking'!LM2="","",'Data Checking'!LM2)</f>
        <v/>
      </c>
      <c r="LB2" t="str">
        <f>IF('Data Checking'!LN2="","",'Data Checking'!LN2)</f>
        <v/>
      </c>
      <c r="LC2" t="str">
        <f>IF('Data Checking'!LO2="","",'Data Checking'!LO2)</f>
        <v/>
      </c>
      <c r="LD2" t="str">
        <f>IF('Data Checking'!LP2="","",'Data Checking'!LP2)</f>
        <v/>
      </c>
      <c r="LE2" t="str">
        <f>IF('Data Checking'!LQ2="","",'Data Checking'!LQ2)</f>
        <v/>
      </c>
      <c r="LF2" t="str">
        <f>IF('Data Checking'!LR2="","",'Data Checking'!LR2)</f>
        <v/>
      </c>
      <c r="LG2" t="str">
        <f>IF('Data Checking'!LS2="","",'Data Checking'!LS2)</f>
        <v/>
      </c>
      <c r="LH2" t="str">
        <f>IF('Data Checking'!LT2="","",'Data Checking'!LT2)</f>
        <v/>
      </c>
      <c r="LI2" t="str">
        <f>IF('Data Checking'!LU2="","",'Data Checking'!LU2)</f>
        <v/>
      </c>
      <c r="LJ2" t="str">
        <f>IF('Data Checking'!LV2="","",'Data Checking'!LV2)</f>
        <v/>
      </c>
      <c r="LK2" t="str">
        <f>IF('Data Checking'!LW2="","",'Data Checking'!LW2)</f>
        <v/>
      </c>
      <c r="LL2" t="str">
        <f>IF('Data Checking'!LX2="","",'Data Checking'!LX2)</f>
        <v/>
      </c>
      <c r="LM2" t="str">
        <f>IF('Data Checking'!LY2="","",'Data Checking'!LY2)</f>
        <v/>
      </c>
      <c r="LN2" t="str">
        <f>IF('Data Checking'!LZ2="","",'Data Checking'!LZ2)</f>
        <v/>
      </c>
      <c r="LO2" t="str">
        <f>IF('Data Checking'!MA2="","",'Data Checking'!MA2)</f>
        <v/>
      </c>
      <c r="LP2" t="str">
        <f>IF('Data Checking'!MB2="","",'Data Checking'!MB2)</f>
        <v>oui</v>
      </c>
      <c r="LQ2" t="str">
        <f>IF('Data Checking'!MC2="","",'Data Checking'!MC2)</f>
        <v/>
      </c>
      <c r="LR2" t="str">
        <f>IF('Data Checking'!MD2="","",'Data Checking'!MD2)</f>
        <v xml:space="preserve">Merci beaucoup  pour  la considération  et j aimerais  que la paix  règne  dans notre  pays; avec votre soutien  svp priez pour nous! </v>
      </c>
      <c r="LS2">
        <f>IF('Data Checking'!ME2="","",'Data Checking'!ME2)</f>
        <v>170008280</v>
      </c>
      <c r="LT2" t="str">
        <f>IF('Data Checking'!MF2="","",'Data Checking'!MF2)</f>
        <v>725de734-663a-44dc-be94-08875a93251f</v>
      </c>
      <c r="LU2" t="str">
        <f>IF('Data Checking'!MG2="","",'Data Checking'!MG2)</f>
        <v>2021-04-06T16:19:26</v>
      </c>
      <c r="LV2" t="str">
        <f>IF('Data Checking'!MH2="","",'Data Checking'!MH2)</f>
        <v/>
      </c>
      <c r="LW2" t="str">
        <f>IF('Data Checking'!MI2="","",'Data Checking'!MI2)</f>
        <v>[]</v>
      </c>
      <c r="LX2" t="str">
        <f>IF('Data Checking'!MJ2="","",'Data Checking'!MJ2)</f>
        <v>submitted_via_web</v>
      </c>
      <c r="LY2" t="str">
        <f>IF('Data Checking'!MK2="","",'Data Checking'!MK2)</f>
        <v>reach_niger</v>
      </c>
      <c r="LZ2" t="str">
        <f>IF('Data Checking'!ML2="","",'Data Checking'!ML2)</f>
        <v/>
      </c>
      <c r="MA2">
        <f>IF('Data Checking'!MM2="","",'Data Checking'!MM2)</f>
        <v>46</v>
      </c>
    </row>
    <row r="3" spans="1:339" x14ac:dyDescent="0.3">
      <c r="A3" t="str">
        <f>IF('Data Checking'!D3="","",'Data Checking'!D3)</f>
        <v>2021-04-01T13:47:00.295+01:00</v>
      </c>
      <c r="B3" t="str">
        <f>IF('Data Checking'!E3="","",'Data Checking'!E3)</f>
        <v>2021-04-01T16:42:03.804+01:00</v>
      </c>
      <c r="C3" t="str">
        <f>IF('Data Checking'!M3="","",'Data Checking'!M3)</f>
        <v>2021-04-01</v>
      </c>
      <c r="D3" t="str">
        <f>IF('Data Checking'!N3="","",'Data Checking'!N3)</f>
        <v/>
      </c>
      <c r="E3" t="str">
        <f>IF('Data Checking'!O3="","",'Data Checking'!O3)</f>
        <v/>
      </c>
      <c r="F3" t="str">
        <f>IF('Data Checking'!R3="","",'Data Checking'!R3)</f>
        <v>Homme</v>
      </c>
      <c r="G3" t="str">
        <f>IF('Data Checking'!S3="","",'Data Checking'!S3)</f>
        <v>torodi</v>
      </c>
      <c r="H3" t="str">
        <f>IF('Data Checking'!T3="","",'Data Checking'!T3)</f>
        <v>torodi</v>
      </c>
      <c r="I3" t="str">
        <f>IF('Data Checking'!U3="","",'Data Checking'!U3)</f>
        <v>sabon_carre</v>
      </c>
      <c r="J3" t="str">
        <f>IF('Data Checking'!V3="","",'Data Checking'!V3)</f>
        <v/>
      </c>
      <c r="K3" t="str">
        <f>IF('Data Checking'!W3="","",'Data Checking'!W3)</f>
        <v/>
      </c>
      <c r="L3" t="str">
        <f>IF('Data Checking'!X3="","",'Data Checking'!X3)</f>
        <v/>
      </c>
      <c r="M3" t="str">
        <f>IF('Data Checking'!Y3="","",'Data Checking'!Y3)</f>
        <v/>
      </c>
      <c r="N3" t="str">
        <f>IF('Data Checking'!Z3="","",'Data Checking'!Z3)</f>
        <v/>
      </c>
      <c r="O3" t="str">
        <f>IF('Data Checking'!AA3="","",'Data Checking'!AA3)</f>
        <v/>
      </c>
      <c r="P3" t="str">
        <f>IF('Data Checking'!AB3="","",'Data Checking'!AB3)</f>
        <v/>
      </c>
      <c r="Q3" t="str">
        <f>IF('Data Checking'!AC3="","",'Data Checking'!AC3)</f>
        <v/>
      </c>
      <c r="R3" t="str">
        <f>IF('Data Checking'!AD3="","",'Data Checking'!AD3)</f>
        <v>Homme</v>
      </c>
      <c r="S3" t="str">
        <f>IF('Data Checking'!AE3="","",'Data Checking'!AE3)</f>
        <v>26</v>
      </c>
      <c r="T3" t="str">
        <f>IF('Data Checking'!AF3="","",'Data Checking'!AF3)</f>
        <v>deplace_interne</v>
      </c>
      <c r="U3" t="str">
        <f>IF('Data Checking'!AG3="","",'Data Checking'!AG3)</f>
        <v/>
      </c>
      <c r="V3" t="str">
        <f>IF('Data Checking'!AH3="","",'Data Checking'!AH3)</f>
        <v/>
      </c>
      <c r="W3" t="str">
        <f>IF('Data Checking'!AI3="","",'Data Checking'!AI3)</f>
        <v/>
      </c>
      <c r="X3" t="str">
        <f>IF('Data Checking'!AJ3="","",'Data Checking'!AJ3)</f>
        <v/>
      </c>
      <c r="Y3" t="str">
        <f>IF('Data Checking'!AK3="","",'Data Checking'!AK3)</f>
        <v/>
      </c>
      <c r="Z3" t="str">
        <f>IF('Data Checking'!AL3="","",'Data Checking'!AL3)</f>
        <v>niger</v>
      </c>
      <c r="AA3" t="str">
        <f>IF('Data Checking'!AM3="","",'Data Checking'!AM3)</f>
        <v>tillaberi</v>
      </c>
      <c r="AB3" t="str">
        <f>IF('Data Checking'!AN3="","",'Data Checking'!AN3)</f>
        <v>torodi</v>
      </c>
      <c r="AC3" t="str">
        <f>IF('Data Checking'!AO3="","",'Data Checking'!AO3)</f>
        <v/>
      </c>
      <c r="AD3" t="str">
        <f>IF('Data Checking'!AP3="","",'Data Checking'!AP3)</f>
        <v/>
      </c>
      <c r="AE3" t="str">
        <f>IF('Data Checking'!AQ3="","",'Data Checking'!AQ3)</f>
        <v/>
      </c>
      <c r="AF3" t="str">
        <f>IF('Data Checking'!AR3="","",'Data Checking'!AR3)</f>
        <v/>
      </c>
      <c r="AG3" t="str">
        <f>IF('Data Checking'!AS3="","",'Data Checking'!AS3)</f>
        <v>oui</v>
      </c>
      <c r="AH3" t="str">
        <f>IF('Data Checking'!AT3="","",'Data Checking'!AT3)</f>
        <v>Violences_physique_civils Combat_groupes_armes</v>
      </c>
      <c r="AI3" t="str">
        <f>IF('Data Checking'!AU3="","",'Data Checking'!AU3)</f>
        <v>1</v>
      </c>
      <c r="AJ3" t="str">
        <f>IF('Data Checking'!AV3="","",'Data Checking'!AV3)</f>
        <v>0</v>
      </c>
      <c r="AK3" t="str">
        <f>IF('Data Checking'!AW3="","",'Data Checking'!AW3)</f>
        <v>0</v>
      </c>
      <c r="AL3" t="str">
        <f>IF('Data Checking'!AX3="","",'Data Checking'!AX3)</f>
        <v>0</v>
      </c>
      <c r="AM3" t="str">
        <f>IF('Data Checking'!AY3="","",'Data Checking'!AY3)</f>
        <v>1</v>
      </c>
      <c r="AN3" t="str">
        <f>IF('Data Checking'!AZ3="","",'Data Checking'!AZ3)</f>
        <v>0</v>
      </c>
      <c r="AO3" t="str">
        <f>IF('Data Checking'!BA3="","",'Data Checking'!BA3)</f>
        <v>0</v>
      </c>
      <c r="AP3" t="str">
        <f>IF('Data Checking'!BB3="","",'Data Checking'!BB3)</f>
        <v>0</v>
      </c>
      <c r="AQ3" t="str">
        <f>IF('Data Checking'!BC3="","",'Data Checking'!BC3)</f>
        <v>0</v>
      </c>
      <c r="AR3" t="str">
        <f>IF('Data Checking'!BD3="","",'Data Checking'!BD3)</f>
        <v>0</v>
      </c>
      <c r="AS3" t="str">
        <f>IF('Data Checking'!BE3="","",'Data Checking'!BE3)</f>
        <v>0</v>
      </c>
      <c r="AT3" t="str">
        <f>IF('Data Checking'!BF3="","",'Data Checking'!BF3)</f>
        <v>0</v>
      </c>
      <c r="AU3" t="str">
        <f>IF('Data Checking'!BG3="","",'Data Checking'!BG3)</f>
        <v>0</v>
      </c>
      <c r="AV3" t="str">
        <f>IF('Data Checking'!BH3="","",'Data Checking'!BH3)</f>
        <v>0</v>
      </c>
      <c r="AW3" t="str">
        <f>IF('Data Checking'!BI3="","",'Data Checking'!BI3)</f>
        <v/>
      </c>
      <c r="AX3" t="str">
        <f>IF('Data Checking'!BJ3="","",'Data Checking'!BJ3)</f>
        <v>Filles Femmes Garçons Toute_population Hommes</v>
      </c>
      <c r="AY3" t="str">
        <f>IF('Data Checking'!BK3="","",'Data Checking'!BK3)</f>
        <v>0</v>
      </c>
      <c r="AZ3" t="str">
        <f>IF('Data Checking'!BL3="","",'Data Checking'!BL3)</f>
        <v>0</v>
      </c>
      <c r="BA3" t="str">
        <f>IF('Data Checking'!BM3="","",'Data Checking'!BM3)</f>
        <v>1</v>
      </c>
      <c r="BB3" t="str">
        <f>IF('Data Checking'!BN3="","",'Data Checking'!BN3)</f>
        <v>1</v>
      </c>
      <c r="BC3" t="str">
        <f>IF('Data Checking'!BO3="","",'Data Checking'!BO3)</f>
        <v>1</v>
      </c>
      <c r="BD3" t="str">
        <f>IF('Data Checking'!BP3="","",'Data Checking'!BP3)</f>
        <v>1</v>
      </c>
      <c r="BE3" t="str">
        <f>IF('Data Checking'!BQ3="","",'Data Checking'!BQ3)</f>
        <v>0</v>
      </c>
      <c r="BF3" t="str">
        <f>IF('Data Checking'!BR3="","",'Data Checking'!BR3)</f>
        <v>0</v>
      </c>
      <c r="BG3" t="str">
        <f>IF('Data Checking'!BS3="","",'Data Checking'!BS3)</f>
        <v>0</v>
      </c>
      <c r="BH3" t="str">
        <f>IF('Data Checking'!BT3="","",'Data Checking'!BT3)</f>
        <v>0</v>
      </c>
      <c r="BI3" t="str">
        <f>IF('Data Checking'!BU3="","",'Data Checking'!BU3)</f>
        <v>1</v>
      </c>
      <c r="BJ3" t="str">
        <f>IF('Data Checking'!BV3="","",'Data Checking'!BV3)</f>
        <v>0</v>
      </c>
      <c r="BK3" t="str">
        <f>IF('Data Checking'!BW3="","",'Data Checking'!BW3)</f>
        <v>0</v>
      </c>
      <c r="BL3" t="str">
        <f>IF('Data Checking'!BX3="","",'Data Checking'!BX3)</f>
        <v>0</v>
      </c>
      <c r="BM3" t="str">
        <f>IF('Data Checking'!BY3="","",'Data Checking'!BY3)</f>
        <v/>
      </c>
      <c r="BN3" t="str">
        <f>IF('Data Checking'!BZ3="","",'Data Checking'!BZ3)</f>
        <v>1</v>
      </c>
      <c r="BO3" t="str">
        <f>IF('Data Checking'!CA3="","",'Data Checking'!CA3)</f>
        <v>augmente</v>
      </c>
      <c r="BP3" t="str">
        <f>IF('Data Checking'!CB3="","",'Data Checking'!CB3)</f>
        <v/>
      </c>
      <c r="BQ3" t="str">
        <f>IF('Data Checking'!CC3="","",'Data Checking'!CC3)</f>
        <v>oui</v>
      </c>
      <c r="BR3" t="str">
        <f>IF('Data Checking'!CD3="","",'Data Checking'!CD3)</f>
        <v>agression_physique agression_psychologique mariage_force</v>
      </c>
      <c r="BS3" t="str">
        <f>IF('Data Checking'!CE3="","",'Data Checking'!CE3)</f>
        <v>0</v>
      </c>
      <c r="BT3" t="str">
        <f>IF('Data Checking'!CF3="","",'Data Checking'!CF3)</f>
        <v>0</v>
      </c>
      <c r="BU3" t="str">
        <f>IF('Data Checking'!CG3="","",'Data Checking'!CG3)</f>
        <v>1</v>
      </c>
      <c r="BV3" t="str">
        <f>IF('Data Checking'!CH3="","",'Data Checking'!CH3)</f>
        <v>0</v>
      </c>
      <c r="BW3" t="str">
        <f>IF('Data Checking'!CI3="","",'Data Checking'!CI3)</f>
        <v>1</v>
      </c>
      <c r="BX3" t="str">
        <f>IF('Data Checking'!CJ3="","",'Data Checking'!CJ3)</f>
        <v>1</v>
      </c>
      <c r="BY3" t="str">
        <f>IF('Data Checking'!CK3="","",'Data Checking'!CK3)</f>
        <v>0</v>
      </c>
      <c r="BZ3" t="str">
        <f>IF('Data Checking'!CL3="","",'Data Checking'!CL3)</f>
        <v>0</v>
      </c>
      <c r="CA3" t="str">
        <f>IF('Data Checking'!CM3="","",'Data Checking'!CM3)</f>
        <v>0</v>
      </c>
      <c r="CB3" t="str">
        <f>IF('Data Checking'!CN3="","",'Data Checking'!CN3)</f>
        <v>0</v>
      </c>
      <c r="CC3" t="str">
        <f>IF('Data Checking'!CO3="","",'Data Checking'!CO3)</f>
        <v>0</v>
      </c>
      <c r="CD3" t="str">
        <f>IF('Data Checking'!CP3="","",'Data Checking'!CP3)</f>
        <v>0</v>
      </c>
      <c r="CE3" t="str">
        <f>IF('Data Checking'!CQ3="","",'Data Checking'!CQ3)</f>
        <v>0</v>
      </c>
      <c r="CF3" t="str">
        <f>IF('Data Checking'!CR3="","",'Data Checking'!CR3)</f>
        <v>0</v>
      </c>
      <c r="CG3" t="str">
        <f>IF('Data Checking'!CS3="","",'Data Checking'!CS3)</f>
        <v>0</v>
      </c>
      <c r="CH3" t="str">
        <f>IF('Data Checking'!CT3="","",'Data Checking'!CT3)</f>
        <v/>
      </c>
      <c r="CI3" t="str">
        <f>IF('Data Checking'!CU3="","",'Data Checking'!CU3)</f>
        <v>Hommes Femmes Filles</v>
      </c>
      <c r="CJ3" t="str">
        <f>IF('Data Checking'!CV3="","",'Data Checking'!CV3)</f>
        <v>0</v>
      </c>
      <c r="CK3" t="str">
        <f>IF('Data Checking'!CW3="","",'Data Checking'!CW3)</f>
        <v>0</v>
      </c>
      <c r="CL3" t="str">
        <f>IF('Data Checking'!CX3="","",'Data Checking'!CX3)</f>
        <v>1</v>
      </c>
      <c r="CM3" t="str">
        <f>IF('Data Checking'!CY3="","",'Data Checking'!CY3)</f>
        <v>0</v>
      </c>
      <c r="CN3" t="str">
        <f>IF('Data Checking'!CZ3="","",'Data Checking'!CZ3)</f>
        <v>1</v>
      </c>
      <c r="CO3" t="str">
        <f>IF('Data Checking'!DA3="","",'Data Checking'!DA3)</f>
        <v>1</v>
      </c>
      <c r="CP3" t="str">
        <f>IF('Data Checking'!DB3="","",'Data Checking'!DB3)</f>
        <v>0</v>
      </c>
      <c r="CQ3" t="str">
        <f>IF('Data Checking'!DC3="","",'Data Checking'!DC3)</f>
        <v>0</v>
      </c>
      <c r="CR3" t="str">
        <f>IF('Data Checking'!DD3="","",'Data Checking'!DD3)</f>
        <v>0</v>
      </c>
      <c r="CS3" t="str">
        <f>IF('Data Checking'!DE3="","",'Data Checking'!DE3)</f>
        <v>0</v>
      </c>
      <c r="CT3" t="str">
        <f>IF('Data Checking'!DF3="","",'Data Checking'!DF3)</f>
        <v>0</v>
      </c>
      <c r="CU3" t="str">
        <f>IF('Data Checking'!DG3="","",'Data Checking'!DG3)</f>
        <v>0</v>
      </c>
      <c r="CV3" t="str">
        <f>IF('Data Checking'!DH3="","",'Data Checking'!DH3)</f>
        <v>0</v>
      </c>
      <c r="CW3" t="str">
        <f>IF('Data Checking'!DI3="","",'Data Checking'!DI3)</f>
        <v>0</v>
      </c>
      <c r="CX3" t="str">
        <f>IF('Data Checking'!DJ3="","",'Data Checking'!DJ3)</f>
        <v/>
      </c>
      <c r="CY3" t="str">
        <f>IF('Data Checking'!DK3="","",'Data Checking'!DK3)</f>
        <v>1</v>
      </c>
      <c r="CZ3" t="str">
        <f>IF('Data Checking'!DL3="","",'Data Checking'!DL3)</f>
        <v>augmente</v>
      </c>
      <c r="DA3" t="str">
        <f>IF('Data Checking'!DM3="","",'Data Checking'!DM3)</f>
        <v/>
      </c>
      <c r="DB3" t="str">
        <f>IF('Data Checking'!DN3="","",'Data Checking'!DN3)</f>
        <v>hausse_chomeurs deterioration_con_abris diminution_moyens_existence</v>
      </c>
      <c r="DC3" t="str">
        <f>IF('Data Checking'!DO3="","",'Data Checking'!DO3)</f>
        <v>1</v>
      </c>
      <c r="DD3" t="str">
        <f>IF('Data Checking'!DP3="","",'Data Checking'!DP3)</f>
        <v>1</v>
      </c>
      <c r="DE3" t="str">
        <f>IF('Data Checking'!DQ3="","",'Data Checking'!DQ3)</f>
        <v>0</v>
      </c>
      <c r="DF3" t="str">
        <f>IF('Data Checking'!DR3="","",'Data Checking'!DR3)</f>
        <v>0</v>
      </c>
      <c r="DG3" t="str">
        <f>IF('Data Checking'!DS3="","",'Data Checking'!DS3)</f>
        <v>0</v>
      </c>
      <c r="DH3" t="str">
        <f>IF('Data Checking'!DT3="","",'Data Checking'!DT3)</f>
        <v>0</v>
      </c>
      <c r="DI3" t="str">
        <f>IF('Data Checking'!DU3="","",'Data Checking'!DU3)</f>
        <v>1</v>
      </c>
      <c r="DJ3" t="str">
        <f>IF('Data Checking'!DV3="","",'Data Checking'!DV3)</f>
        <v>0</v>
      </c>
      <c r="DK3" t="str">
        <f>IF('Data Checking'!DW3="","",'Data Checking'!DW3)</f>
        <v>0</v>
      </c>
      <c r="DL3" t="str">
        <f>IF('Data Checking'!DX3="","",'Data Checking'!DX3)</f>
        <v>0</v>
      </c>
      <c r="DM3" t="str">
        <f>IF('Data Checking'!DY3="","",'Data Checking'!DY3)</f>
        <v/>
      </c>
      <c r="DN3" t="str">
        <f>IF('Data Checking'!DZ3="","",'Data Checking'!DZ3)</f>
        <v/>
      </c>
      <c r="DO3" t="str">
        <f>IF('Data Checking'!EA3="","",'Data Checking'!EA3)</f>
        <v/>
      </c>
      <c r="DP3" t="str">
        <f>IF('Data Checking'!EB3="","",'Data Checking'!EB3)</f>
        <v/>
      </c>
      <c r="DQ3" t="str">
        <f>IF('Data Checking'!EC3="","",'Data Checking'!EC3)</f>
        <v/>
      </c>
      <c r="DR3" t="str">
        <f>IF('Data Checking'!ED3="","",'Data Checking'!ED3)</f>
        <v/>
      </c>
      <c r="DS3" t="str">
        <f>IF('Data Checking'!EE3="","",'Data Checking'!EE3)</f>
        <v/>
      </c>
      <c r="DT3" t="str">
        <f>IF('Data Checking'!EF3="","",'Data Checking'!EF3)</f>
        <v/>
      </c>
      <c r="DU3" t="str">
        <f>IF('Data Checking'!EG3="","",'Data Checking'!EG3)</f>
        <v/>
      </c>
      <c r="DV3" t="str">
        <f>IF('Data Checking'!EH3="","",'Data Checking'!EH3)</f>
        <v/>
      </c>
      <c r="DW3" t="str">
        <f>IF('Data Checking'!EI3="","",'Data Checking'!EI3)</f>
        <v/>
      </c>
      <c r="DX3" t="str">
        <f>IF('Data Checking'!EJ3="","",'Data Checking'!EJ3)</f>
        <v/>
      </c>
      <c r="DY3" t="str">
        <f>IF('Data Checking'!EK3="","",'Data Checking'!EK3)</f>
        <v/>
      </c>
      <c r="DZ3" t="str">
        <f>IF('Data Checking'!EL3="","",'Data Checking'!EL3)</f>
        <v>dplct_abords_com Soutien_famille_amis Soutien_chef_village Soutien_psychosocial Integration_com_hote</v>
      </c>
      <c r="EA3" t="str">
        <f>IF('Data Checking'!EM3="","",'Data Checking'!EM3)</f>
        <v>1</v>
      </c>
      <c r="EB3" t="str">
        <f>IF('Data Checking'!EN3="","",'Data Checking'!EN3)</f>
        <v>1</v>
      </c>
      <c r="EC3" t="str">
        <f>IF('Data Checking'!EO3="","",'Data Checking'!EO3)</f>
        <v>1</v>
      </c>
      <c r="ED3" t="str">
        <f>IF('Data Checking'!EP3="","",'Data Checking'!EP3)</f>
        <v>1</v>
      </c>
      <c r="EE3" t="str">
        <f>IF('Data Checking'!EQ3="","",'Data Checking'!EQ3)</f>
        <v>1</v>
      </c>
      <c r="EF3" t="str">
        <f>IF('Data Checking'!ER3="","",'Data Checking'!ER3)</f>
        <v>0</v>
      </c>
      <c r="EG3" t="str">
        <f>IF('Data Checking'!ES3="","",'Data Checking'!ES3)</f>
        <v>0</v>
      </c>
      <c r="EH3" t="str">
        <f>IF('Data Checking'!ET3="","",'Data Checking'!ET3)</f>
        <v>0</v>
      </c>
      <c r="EI3" t="str">
        <f>IF('Data Checking'!EU3="","",'Data Checking'!EU3)</f>
        <v>0</v>
      </c>
      <c r="EJ3" t="str">
        <f>IF('Data Checking'!EV3="","",'Data Checking'!EV3)</f>
        <v/>
      </c>
      <c r="EK3" t="str">
        <f>IF('Data Checking'!EW3="","",'Data Checking'!EW3)</f>
        <v/>
      </c>
      <c r="EL3" t="str">
        <f>IF('Data Checking'!EX3="","",'Data Checking'!EX3)</f>
        <v>famille_accueil comite_gestion_conflits comite_protection comite_alerte comite_redevabilite</v>
      </c>
      <c r="EM3" t="str">
        <f>IF('Data Checking'!EY3="","",'Data Checking'!EY3)</f>
        <v>0</v>
      </c>
      <c r="EN3" t="str">
        <f>IF('Data Checking'!EZ3="","",'Data Checking'!EZ3)</f>
        <v>1</v>
      </c>
      <c r="EO3" t="str">
        <f>IF('Data Checking'!FA3="","",'Data Checking'!FA3)</f>
        <v>1</v>
      </c>
      <c r="EP3" t="str">
        <f>IF('Data Checking'!FB3="","",'Data Checking'!FB3)</f>
        <v>1</v>
      </c>
      <c r="EQ3" t="str">
        <f>IF('Data Checking'!FC3="","",'Data Checking'!FC3)</f>
        <v>1</v>
      </c>
      <c r="ER3" t="str">
        <f>IF('Data Checking'!FD3="","",'Data Checking'!FD3)</f>
        <v>1</v>
      </c>
      <c r="ES3" t="str">
        <f>IF('Data Checking'!FE3="","",'Data Checking'!FE3)</f>
        <v>0</v>
      </c>
      <c r="ET3" t="str">
        <f>IF('Data Checking'!FF3="","",'Data Checking'!FF3)</f>
        <v>0</v>
      </c>
      <c r="EU3" t="str">
        <f>IF('Data Checking'!FG3="","",'Data Checking'!FG3)</f>
        <v>0</v>
      </c>
      <c r="EV3" t="str">
        <f>IF('Data Checking'!FH3="","",'Data Checking'!FH3)</f>
        <v>0</v>
      </c>
      <c r="EW3" t="str">
        <f>IF('Data Checking'!FI3="","",'Data Checking'!FI3)</f>
        <v/>
      </c>
      <c r="EX3" t="str">
        <f>IF('Data Checking'!FJ3="","",'Data Checking'!FJ3)</f>
        <v>oui</v>
      </c>
      <c r="EY3" t="str">
        <f>IF('Data Checking'!FK3="","",'Data Checking'!FK3)</f>
        <v>Radio_television manif_sociales Differents_comites_villageois Groupement_femmes</v>
      </c>
      <c r="EZ3" t="str">
        <f>IF('Data Checking'!FL3="","",'Data Checking'!FL3)</f>
        <v>1</v>
      </c>
      <c r="FA3" t="str">
        <f>IF('Data Checking'!FM3="","",'Data Checking'!FM3)</f>
        <v>0</v>
      </c>
      <c r="FB3" t="str">
        <f>IF('Data Checking'!FN3="","",'Data Checking'!FN3)</f>
        <v>0</v>
      </c>
      <c r="FC3" t="str">
        <f>IF('Data Checking'!FO3="","",'Data Checking'!FO3)</f>
        <v>1</v>
      </c>
      <c r="FD3" t="str">
        <f>IF('Data Checking'!FP3="","",'Data Checking'!FP3)</f>
        <v>0</v>
      </c>
      <c r="FE3" t="str">
        <f>IF('Data Checking'!FQ3="","",'Data Checking'!FQ3)</f>
        <v>0</v>
      </c>
      <c r="FF3" t="str">
        <f>IF('Data Checking'!FR3="","",'Data Checking'!FR3)</f>
        <v>0</v>
      </c>
      <c r="FG3" t="str">
        <f>IF('Data Checking'!FS3="","",'Data Checking'!FS3)</f>
        <v>1</v>
      </c>
      <c r="FH3" t="str">
        <f>IF('Data Checking'!FT3="","",'Data Checking'!FT3)</f>
        <v>1</v>
      </c>
      <c r="FI3" t="str">
        <f>IF('Data Checking'!FU3="","",'Data Checking'!FU3)</f>
        <v>0</v>
      </c>
      <c r="FJ3" t="str">
        <f>IF('Data Checking'!FV3="","",'Data Checking'!FV3)</f>
        <v>0</v>
      </c>
      <c r="FK3" t="str">
        <f>IF('Data Checking'!FW3="","",'Data Checking'!FW3)</f>
        <v>0</v>
      </c>
      <c r="FL3" t="str">
        <f>IF('Data Checking'!FX3="","",'Data Checking'!FX3)</f>
        <v>0</v>
      </c>
      <c r="FM3" t="str">
        <f>IF('Data Checking'!FY3="","",'Data Checking'!FY3)</f>
        <v>0</v>
      </c>
      <c r="FN3" t="str">
        <f>IF('Data Checking'!FZ3="","",'Data Checking'!FZ3)</f>
        <v/>
      </c>
      <c r="FO3" t="str">
        <f>IF('Data Checking'!GA3="","",'Data Checking'!GA3)</f>
        <v>oui_moitie</v>
      </c>
      <c r="FP3" t="str">
        <f>IF('Data Checking'!GB3="","",'Data Checking'!GB3)</f>
        <v>oui_moitie</v>
      </c>
      <c r="FQ3" t="str">
        <f>IF('Data Checking'!GC3="","",'Data Checking'!GC3)</f>
        <v>manque_info trop_du_monde insecurite</v>
      </c>
      <c r="FR3" t="str">
        <f>IF('Data Checking'!GD3="","",'Data Checking'!GD3)</f>
        <v>0</v>
      </c>
      <c r="FS3" t="str">
        <f>IF('Data Checking'!GE3="","",'Data Checking'!GE3)</f>
        <v>1</v>
      </c>
      <c r="FT3" t="str">
        <f>IF('Data Checking'!GF3="","",'Data Checking'!GF3)</f>
        <v>0</v>
      </c>
      <c r="FU3" t="str">
        <f>IF('Data Checking'!GG3="","",'Data Checking'!GG3)</f>
        <v>0</v>
      </c>
      <c r="FV3" t="str">
        <f>IF('Data Checking'!GH3="","",'Data Checking'!GH3)</f>
        <v>1</v>
      </c>
      <c r="FW3" t="str">
        <f>IF('Data Checking'!GI3="","",'Data Checking'!GI3)</f>
        <v>1</v>
      </c>
      <c r="FX3" t="str">
        <f>IF('Data Checking'!GJ3="","",'Data Checking'!GJ3)</f>
        <v>0</v>
      </c>
      <c r="FY3" t="str">
        <f>IF('Data Checking'!GK3="","",'Data Checking'!GK3)</f>
        <v>0</v>
      </c>
      <c r="FZ3" t="str">
        <f>IF('Data Checking'!GL3="","",'Data Checking'!GL3)</f>
        <v/>
      </c>
      <c r="GA3" t="str">
        <f>IF('Data Checking'!GM3="","",'Data Checking'!GM3)</f>
        <v>majorite</v>
      </c>
      <c r="GB3" t="str">
        <f>IF('Data Checking'!GN3="","",'Data Checking'!GN3)</f>
        <v>minorite</v>
      </c>
      <c r="GC3" t="str">
        <f>IF('Data Checking'!GO3="","",'Data Checking'!GO3)</f>
        <v>Acces_aux_doc Services_de_sante Education</v>
      </c>
      <c r="GD3" t="str">
        <f>IF('Data Checking'!GP3="","",'Data Checking'!GP3)</f>
        <v>0</v>
      </c>
      <c r="GE3" t="str">
        <f>IF('Data Checking'!GQ3="","",'Data Checking'!GQ3)</f>
        <v>1</v>
      </c>
      <c r="GF3" t="str">
        <f>IF('Data Checking'!GR3="","",'Data Checking'!GR3)</f>
        <v>0</v>
      </c>
      <c r="GG3" t="str">
        <f>IF('Data Checking'!GS3="","",'Data Checking'!GS3)</f>
        <v>1</v>
      </c>
      <c r="GH3" t="str">
        <f>IF('Data Checking'!GT3="","",'Data Checking'!GT3)</f>
        <v>1</v>
      </c>
      <c r="GI3" t="str">
        <f>IF('Data Checking'!GU3="","",'Data Checking'!GU3)</f>
        <v>0</v>
      </c>
      <c r="GJ3" t="str">
        <f>IF('Data Checking'!GV3="","",'Data Checking'!GV3)</f>
        <v>0</v>
      </c>
      <c r="GK3" t="str">
        <f>IF('Data Checking'!GW3="","",'Data Checking'!GW3)</f>
        <v>0</v>
      </c>
      <c r="GL3" t="str">
        <f>IF('Data Checking'!GX3="","",'Data Checking'!GX3)</f>
        <v>0</v>
      </c>
      <c r="GM3" t="str">
        <f>IF('Data Checking'!GY3="","",'Data Checking'!GY3)</f>
        <v/>
      </c>
      <c r="GN3" t="str">
        <f>IF('Data Checking'!GZ3="","",'Data Checking'!GZ3)</f>
        <v>oui_majorite</v>
      </c>
      <c r="GO3" t="str">
        <f>IF('Data Checking'!HA3="","",'Data Checking'!HA3)</f>
        <v>oui_majorite</v>
      </c>
      <c r="GP3" t="str">
        <f>IF('Data Checking'!HB3="","",'Data Checking'!HB3)</f>
        <v>amelioration_futur repond_besoins_pop permet_eviter_conflits</v>
      </c>
      <c r="GQ3" t="str">
        <f>IF('Data Checking'!HC3="","",'Data Checking'!HC3)</f>
        <v>1</v>
      </c>
      <c r="GR3" t="str">
        <f>IF('Data Checking'!HD3="","",'Data Checking'!HD3)</f>
        <v>1</v>
      </c>
      <c r="GS3" t="str">
        <f>IF('Data Checking'!HE3="","",'Data Checking'!HE3)</f>
        <v>0</v>
      </c>
      <c r="GT3" t="str">
        <f>IF('Data Checking'!HF3="","",'Data Checking'!HF3)</f>
        <v>1</v>
      </c>
      <c r="GU3" t="str">
        <f>IF('Data Checking'!HG3="","",'Data Checking'!HG3)</f>
        <v>0</v>
      </c>
      <c r="GV3" t="str">
        <f>IF('Data Checking'!HH3="","",'Data Checking'!HH3)</f>
        <v>0</v>
      </c>
      <c r="GW3" t="str">
        <f>IF('Data Checking'!HI3="","",'Data Checking'!HI3)</f>
        <v>0</v>
      </c>
      <c r="GX3" t="str">
        <f>IF('Data Checking'!HJ3="","",'Data Checking'!HJ3)</f>
        <v>0</v>
      </c>
      <c r="GY3" t="str">
        <f>IF('Data Checking'!HK3="","",'Data Checking'!HK3)</f>
        <v/>
      </c>
      <c r="GZ3" t="str">
        <f>IF('Data Checking'!HL3="","",'Data Checking'!HL3)</f>
        <v>ne_contribue_pas ne_repond_pas non_diminition_tension</v>
      </c>
      <c r="HA3" t="str">
        <f>IF('Data Checking'!HM3="","",'Data Checking'!HM3)</f>
        <v>1</v>
      </c>
      <c r="HB3" t="str">
        <f>IF('Data Checking'!HN3="","",'Data Checking'!HN3)</f>
        <v>1</v>
      </c>
      <c r="HC3" t="str">
        <f>IF('Data Checking'!HO3="","",'Data Checking'!HO3)</f>
        <v>0</v>
      </c>
      <c r="HD3" t="str">
        <f>IF('Data Checking'!HP3="","",'Data Checking'!HP3)</f>
        <v>1</v>
      </c>
      <c r="HE3" t="str">
        <f>IF('Data Checking'!HQ3="","",'Data Checking'!HQ3)</f>
        <v>0</v>
      </c>
      <c r="HF3" t="str">
        <f>IF('Data Checking'!HR3="","",'Data Checking'!HR3)</f>
        <v>0</v>
      </c>
      <c r="HG3" t="str">
        <f>IF('Data Checking'!HS3="","",'Data Checking'!HS3)</f>
        <v/>
      </c>
      <c r="HH3" t="str">
        <f>IF('Data Checking'!HT3="","",'Data Checking'!HT3)</f>
        <v/>
      </c>
      <c r="HI3" t="str">
        <f>IF('Data Checking'!HU3="","",'Data Checking'!HU3)</f>
        <v>non</v>
      </c>
      <c r="HJ3" t="str">
        <f>IF('Data Checking'!HV3="","",'Data Checking'!HV3)</f>
        <v/>
      </c>
      <c r="HK3" t="str">
        <f>IF('Data Checking'!HW3="","",'Data Checking'!HW3)</f>
        <v/>
      </c>
      <c r="HL3" t="str">
        <f>IF('Data Checking'!HX3="","",'Data Checking'!HX3)</f>
        <v/>
      </c>
      <c r="HM3" t="str">
        <f>IF('Data Checking'!HY3="","",'Data Checking'!HY3)</f>
        <v/>
      </c>
      <c r="HN3" t="str">
        <f>IF('Data Checking'!HZ3="","",'Data Checking'!HZ3)</f>
        <v/>
      </c>
      <c r="HO3" t="str">
        <f>IF('Data Checking'!IA3="","",'Data Checking'!IA3)</f>
        <v/>
      </c>
      <c r="HP3" t="str">
        <f>IF('Data Checking'!IB3="","",'Data Checking'!IB3)</f>
        <v/>
      </c>
      <c r="HQ3" t="str">
        <f>IF('Data Checking'!IC3="","",'Data Checking'!IC3)</f>
        <v/>
      </c>
      <c r="HR3" t="str">
        <f>IF('Data Checking'!ID3="","",'Data Checking'!ID3)</f>
        <v/>
      </c>
      <c r="HS3" t="str">
        <f>IF('Data Checking'!IE3="","",'Data Checking'!IE3)</f>
        <v/>
      </c>
      <c r="HT3" t="str">
        <f>IF('Data Checking'!IF3="","",'Data Checking'!IF3)</f>
        <v/>
      </c>
      <c r="HU3" t="str">
        <f>IF('Data Checking'!IG3="","",'Data Checking'!IG3)</f>
        <v/>
      </c>
      <c r="HV3" t="str">
        <f>IF('Data Checking'!IH3="","",'Data Checking'!IH3)</f>
        <v>oui</v>
      </c>
      <c r="HW3" t="str">
        <f>IF('Data Checking'!II3="","",'Data Checking'!II3)</f>
        <v/>
      </c>
      <c r="HX3" t="str">
        <f>IF('Data Checking'!IJ3="","",'Data Checking'!IJ3)</f>
        <v/>
      </c>
      <c r="HY3" t="str">
        <f>IF('Data Checking'!IK3="","",'Data Checking'!IK3)</f>
        <v/>
      </c>
      <c r="HZ3" t="str">
        <f>IF('Data Checking'!IL3="","",'Data Checking'!IL3)</f>
        <v/>
      </c>
      <c r="IA3" t="str">
        <f>IF('Data Checking'!IM3="","",'Data Checking'!IM3)</f>
        <v/>
      </c>
      <c r="IB3" t="str">
        <f>IF('Data Checking'!IN3="","",'Data Checking'!IN3)</f>
        <v/>
      </c>
      <c r="IC3" t="str">
        <f>IF('Data Checking'!IO3="","",'Data Checking'!IO3)</f>
        <v/>
      </c>
      <c r="ID3" t="str">
        <f>IF('Data Checking'!IP3="","",'Data Checking'!IP3)</f>
        <v/>
      </c>
      <c r="IE3" t="str">
        <f>IF('Data Checking'!IQ3="","",'Data Checking'!IQ3)</f>
        <v/>
      </c>
      <c r="IF3" t="str">
        <f>IF('Data Checking'!IR3="","",'Data Checking'!IR3)</f>
        <v/>
      </c>
      <c r="IG3" t="str">
        <f>IF('Data Checking'!IS3="","",'Data Checking'!IS3)</f>
        <v/>
      </c>
      <c r="IH3" t="str">
        <f>IF('Data Checking'!IT3="","",'Data Checking'!IT3)</f>
        <v/>
      </c>
      <c r="II3" t="str">
        <f>IF('Data Checking'!IU3="","",'Data Checking'!IU3)</f>
        <v/>
      </c>
      <c r="IJ3" t="str">
        <f>IF('Data Checking'!IV3="","",'Data Checking'!IV3)</f>
        <v/>
      </c>
      <c r="IK3" t="str">
        <f>IF('Data Checking'!IW3="","",'Data Checking'!IW3)</f>
        <v/>
      </c>
      <c r="IL3" t="str">
        <f>IF('Data Checking'!IX3="","",'Data Checking'!IX3)</f>
        <v/>
      </c>
      <c r="IM3" t="str">
        <f>IF('Data Checking'!IY3="","",'Data Checking'!IY3)</f>
        <v/>
      </c>
      <c r="IN3" t="str">
        <f>IF('Data Checking'!IZ3="","",'Data Checking'!IZ3)</f>
        <v/>
      </c>
      <c r="IO3" t="str">
        <f>IF('Data Checking'!JA3="","",'Data Checking'!JA3)</f>
        <v/>
      </c>
      <c r="IP3" t="str">
        <f>IF('Data Checking'!JB3="","",'Data Checking'!JB3)</f>
        <v/>
      </c>
      <c r="IQ3" t="str">
        <f>IF('Data Checking'!JC3="","",'Data Checking'!JC3)</f>
        <v/>
      </c>
      <c r="IR3" t="str">
        <f>IF('Data Checking'!JD3="","",'Data Checking'!JD3)</f>
        <v/>
      </c>
      <c r="IS3" t="str">
        <f>IF('Data Checking'!JE3="","",'Data Checking'!JE3)</f>
        <v/>
      </c>
      <c r="IT3" t="str">
        <f>IF('Data Checking'!JF3="","",'Data Checking'!JF3)</f>
        <v/>
      </c>
      <c r="IU3" t="str">
        <f>IF('Data Checking'!JG3="","",'Data Checking'!JG3)</f>
        <v/>
      </c>
      <c r="IV3" t="str">
        <f>IF('Data Checking'!JH3="","",'Data Checking'!JH3)</f>
        <v/>
      </c>
      <c r="IW3" t="str">
        <f>IF('Data Checking'!JI3="","",'Data Checking'!JI3)</f>
        <v/>
      </c>
      <c r="IX3" t="str">
        <f>IF('Data Checking'!JJ3="","",'Data Checking'!JJ3)</f>
        <v/>
      </c>
      <c r="IY3" t="str">
        <f>IF('Data Checking'!JK3="","",'Data Checking'!JK3)</f>
        <v/>
      </c>
      <c r="IZ3" t="str">
        <f>IF('Data Checking'!JL3="","",'Data Checking'!JL3)</f>
        <v/>
      </c>
      <c r="JA3" t="str">
        <f>IF('Data Checking'!JM3="","",'Data Checking'!JM3)</f>
        <v/>
      </c>
      <c r="JB3" t="str">
        <f>IF('Data Checking'!JN3="","",'Data Checking'!JN3)</f>
        <v/>
      </c>
      <c r="JC3" t="str">
        <f>IF('Data Checking'!JO3="","",'Data Checking'!JO3)</f>
        <v/>
      </c>
      <c r="JD3" t="str">
        <f>IF('Data Checking'!JP3="","",'Data Checking'!JP3)</f>
        <v/>
      </c>
      <c r="JE3" t="str">
        <f>IF('Data Checking'!JQ3="","",'Data Checking'!JQ3)</f>
        <v/>
      </c>
      <c r="JF3" t="str">
        <f>IF('Data Checking'!JR3="","",'Data Checking'!JR3)</f>
        <v/>
      </c>
      <c r="JG3" t="str">
        <f>IF('Data Checking'!JS3="","",'Data Checking'!JS3)</f>
        <v/>
      </c>
      <c r="JH3" t="str">
        <f>IF('Data Checking'!JT3="","",'Data Checking'!JT3)</f>
        <v/>
      </c>
      <c r="JI3" t="str">
        <f>IF('Data Checking'!JU3="","",'Data Checking'!JU3)</f>
        <v/>
      </c>
      <c r="JJ3" t="str">
        <f>IF('Data Checking'!JV3="","",'Data Checking'!JV3)</f>
        <v/>
      </c>
      <c r="JK3" t="str">
        <f>IF('Data Checking'!JW3="","",'Data Checking'!JW3)</f>
        <v/>
      </c>
      <c r="JL3" t="str">
        <f>IF('Data Checking'!JX3="","",'Data Checking'!JX3)</f>
        <v/>
      </c>
      <c r="JM3" t="str">
        <f>IF('Data Checking'!JY3="","",'Data Checking'!JY3)</f>
        <v/>
      </c>
      <c r="JN3" t="str">
        <f>IF('Data Checking'!JZ3="","",'Data Checking'!JZ3)</f>
        <v/>
      </c>
      <c r="JO3" t="str">
        <f>IF('Data Checking'!KA3="","",'Data Checking'!KA3)</f>
        <v/>
      </c>
      <c r="JP3" t="str">
        <f>IF('Data Checking'!KB3="","",'Data Checking'!KB3)</f>
        <v/>
      </c>
      <c r="JQ3" t="str">
        <f>IF('Data Checking'!KC3="","",'Data Checking'!KC3)</f>
        <v/>
      </c>
      <c r="JR3" t="str">
        <f>IF('Data Checking'!KD3="","",'Data Checking'!KD3)</f>
        <v/>
      </c>
      <c r="JS3" t="str">
        <f>IF('Data Checking'!KE3="","",'Data Checking'!KE3)</f>
        <v/>
      </c>
      <c r="JT3" t="str">
        <f>IF('Data Checking'!KF3="","",'Data Checking'!KF3)</f>
        <v/>
      </c>
      <c r="JU3" t="str">
        <f>IF('Data Checking'!KG3="","",'Data Checking'!KG3)</f>
        <v/>
      </c>
      <c r="JV3" t="str">
        <f>IF('Data Checking'!KH3="","",'Data Checking'!KH3)</f>
        <v/>
      </c>
      <c r="JW3" t="str">
        <f>IF('Data Checking'!KI3="","",'Data Checking'!KI3)</f>
        <v/>
      </c>
      <c r="JX3" t="str">
        <f>IF('Data Checking'!KJ3="","",'Data Checking'!KJ3)</f>
        <v/>
      </c>
      <c r="JY3" t="str">
        <f>IF('Data Checking'!KK3="","",'Data Checking'!KK3)</f>
        <v/>
      </c>
      <c r="JZ3" t="str">
        <f>IF('Data Checking'!KL3="","",'Data Checking'!KL3)</f>
        <v/>
      </c>
      <c r="KA3" t="str">
        <f>IF('Data Checking'!KM3="","",'Data Checking'!KM3)</f>
        <v/>
      </c>
      <c r="KB3" t="str">
        <f>IF('Data Checking'!KN3="","",'Data Checking'!KN3)</f>
        <v/>
      </c>
      <c r="KC3" t="str">
        <f>IF('Data Checking'!KO3="","",'Data Checking'!KO3)</f>
        <v/>
      </c>
      <c r="KD3" t="str">
        <f>IF('Data Checking'!KP3="","",'Data Checking'!KP3)</f>
        <v/>
      </c>
      <c r="KE3" t="str">
        <f>IF('Data Checking'!KQ3="","",'Data Checking'!KQ3)</f>
        <v/>
      </c>
      <c r="KF3" t="str">
        <f>IF('Data Checking'!KR3="","",'Data Checking'!KR3)</f>
        <v/>
      </c>
      <c r="KG3" t="str">
        <f>IF('Data Checking'!KS3="","",'Data Checking'!KS3)</f>
        <v/>
      </c>
      <c r="KH3" t="str">
        <f>IF('Data Checking'!KT3="","",'Data Checking'!KT3)</f>
        <v/>
      </c>
      <c r="KI3" t="str">
        <f>IF('Data Checking'!KU3="","",'Data Checking'!KU3)</f>
        <v/>
      </c>
      <c r="KJ3" t="str">
        <f>IF('Data Checking'!KV3="","",'Data Checking'!KV3)</f>
        <v/>
      </c>
      <c r="KK3" t="str">
        <f>IF('Data Checking'!KW3="","",'Data Checking'!KW3)</f>
        <v/>
      </c>
      <c r="KL3" t="str">
        <f>IF('Data Checking'!KX3="","",'Data Checking'!KX3)</f>
        <v/>
      </c>
      <c r="KM3" t="str">
        <f>IF('Data Checking'!KY3="","",'Data Checking'!KY3)</f>
        <v/>
      </c>
      <c r="KN3" t="str">
        <f>IF('Data Checking'!KZ3="","",'Data Checking'!KZ3)</f>
        <v/>
      </c>
      <c r="KO3" t="str">
        <f>IF('Data Checking'!LA3="","",'Data Checking'!LA3)</f>
        <v/>
      </c>
      <c r="KP3" t="str">
        <f>IF('Data Checking'!LB3="","",'Data Checking'!LB3)</f>
        <v/>
      </c>
      <c r="KQ3" t="str">
        <f>IF('Data Checking'!LC3="","",'Data Checking'!LC3)</f>
        <v/>
      </c>
      <c r="KR3" t="str">
        <f>IF('Data Checking'!LD3="","",'Data Checking'!LD3)</f>
        <v/>
      </c>
      <c r="KS3" t="str">
        <f>IF('Data Checking'!LE3="","",'Data Checking'!LE3)</f>
        <v/>
      </c>
      <c r="KT3" t="str">
        <f>IF('Data Checking'!LF3="","",'Data Checking'!LF3)</f>
        <v/>
      </c>
      <c r="KU3" t="str">
        <f>IF('Data Checking'!LG3="","",'Data Checking'!LG3)</f>
        <v/>
      </c>
      <c r="KV3" t="str">
        <f>IF('Data Checking'!LH3="","",'Data Checking'!LH3)</f>
        <v/>
      </c>
      <c r="KW3" t="str">
        <f>IF('Data Checking'!LI3="","",'Data Checking'!LI3)</f>
        <v/>
      </c>
      <c r="KX3" t="str">
        <f>IF('Data Checking'!LJ3="","",'Data Checking'!LJ3)</f>
        <v/>
      </c>
      <c r="KY3" t="str">
        <f>IF('Data Checking'!LK3="","",'Data Checking'!LK3)</f>
        <v/>
      </c>
      <c r="KZ3" t="str">
        <f>IF('Data Checking'!LL3="","",'Data Checking'!LL3)</f>
        <v/>
      </c>
      <c r="LA3" t="str">
        <f>IF('Data Checking'!LM3="","",'Data Checking'!LM3)</f>
        <v/>
      </c>
      <c r="LB3" t="str">
        <f>IF('Data Checking'!LN3="","",'Data Checking'!LN3)</f>
        <v/>
      </c>
      <c r="LC3" t="str">
        <f>IF('Data Checking'!LO3="","",'Data Checking'!LO3)</f>
        <v/>
      </c>
      <c r="LD3" t="str">
        <f>IF('Data Checking'!LP3="","",'Data Checking'!LP3)</f>
        <v/>
      </c>
      <c r="LE3" t="str">
        <f>IF('Data Checking'!LQ3="","",'Data Checking'!LQ3)</f>
        <v/>
      </c>
      <c r="LF3" t="str">
        <f>IF('Data Checking'!LR3="","",'Data Checking'!LR3)</f>
        <v/>
      </c>
      <c r="LG3" t="str">
        <f>IF('Data Checking'!LS3="","",'Data Checking'!LS3)</f>
        <v/>
      </c>
      <c r="LH3" t="str">
        <f>IF('Data Checking'!LT3="","",'Data Checking'!LT3)</f>
        <v/>
      </c>
      <c r="LI3" t="str">
        <f>IF('Data Checking'!LU3="","",'Data Checking'!LU3)</f>
        <v/>
      </c>
      <c r="LJ3" t="str">
        <f>IF('Data Checking'!LV3="","",'Data Checking'!LV3)</f>
        <v/>
      </c>
      <c r="LK3" t="str">
        <f>IF('Data Checking'!LW3="","",'Data Checking'!LW3)</f>
        <v/>
      </c>
      <c r="LL3" t="str">
        <f>IF('Data Checking'!LX3="","",'Data Checking'!LX3)</f>
        <v/>
      </c>
      <c r="LM3" t="str">
        <f>IF('Data Checking'!LY3="","",'Data Checking'!LY3)</f>
        <v/>
      </c>
      <c r="LN3" t="str">
        <f>IF('Data Checking'!LZ3="","",'Data Checking'!LZ3)</f>
        <v/>
      </c>
      <c r="LO3" t="str">
        <f>IF('Data Checking'!MA3="","",'Data Checking'!MA3)</f>
        <v/>
      </c>
      <c r="LP3" t="str">
        <f>IF('Data Checking'!MB3="","",'Data Checking'!MB3)</f>
        <v>oui</v>
      </c>
      <c r="LQ3" t="str">
        <f>IF('Data Checking'!MC3="","",'Data Checking'!MC3)</f>
        <v/>
      </c>
      <c r="LR3" t="str">
        <f>IF('Data Checking'!MD3="","",'Data Checking'!MD3)</f>
        <v>Tout d'abord  merci  beaucoup  a votre organisation pour la considération  et  pour tout les actions  que vous meniez pour nous   juste  pour répondre  a nos principaux  besoins je profite  de l occasion   pour vous demandez  de nous augmenter  ces effort  surtout avec l accroissent de la populations  déplacées  dans notre cite</v>
      </c>
      <c r="LS3">
        <f>IF('Data Checking'!ME3="","",'Data Checking'!ME3)</f>
        <v>169193429</v>
      </c>
      <c r="LT3" t="str">
        <f>IF('Data Checking'!MF3="","",'Data Checking'!MF3)</f>
        <v>0a047e3d-bf52-4de5-ba00-011a4a2b15e5</v>
      </c>
      <c r="LU3" t="str">
        <f>IF('Data Checking'!MG3="","",'Data Checking'!MG3)</f>
        <v>2021-04-01T16:46:06</v>
      </c>
      <c r="LV3" t="str">
        <f>IF('Data Checking'!MH3="","",'Data Checking'!MH3)</f>
        <v/>
      </c>
      <c r="LW3" t="str">
        <f>IF('Data Checking'!MI3="","",'Data Checking'!MI3)</f>
        <v>[]</v>
      </c>
      <c r="LX3" t="str">
        <f>IF('Data Checking'!MJ3="","",'Data Checking'!MJ3)</f>
        <v>submitted_via_web</v>
      </c>
      <c r="LY3" t="str">
        <f>IF('Data Checking'!MK3="","",'Data Checking'!MK3)</f>
        <v>reach_niger</v>
      </c>
      <c r="LZ3" t="str">
        <f>IF('Data Checking'!ML3="","",'Data Checking'!ML3)</f>
        <v/>
      </c>
      <c r="MA3">
        <f>IF('Data Checking'!MM3="","",'Data Checking'!MM3)</f>
        <v>13</v>
      </c>
    </row>
    <row r="4" spans="1:339" x14ac:dyDescent="0.3">
      <c r="A4" t="str">
        <f>IF('Data Checking'!D4="","",'Data Checking'!D4)</f>
        <v>2021-04-01T11:27:41.126+01:00</v>
      </c>
      <c r="B4" t="str">
        <f>IF('Data Checking'!E4="","",'Data Checking'!E4)</f>
        <v>2021-04-01T17:39:16.636+01:00</v>
      </c>
      <c r="C4" t="str">
        <f>IF('Data Checking'!M4="","",'Data Checking'!M4)</f>
        <v>2021-04-01</v>
      </c>
      <c r="D4" t="str">
        <f>IF('Data Checking'!N4="","",'Data Checking'!N4)</f>
        <v/>
      </c>
      <c r="E4" t="str">
        <f>IF('Data Checking'!O4="","",'Data Checking'!O4)</f>
        <v/>
      </c>
      <c r="F4" t="str">
        <f>IF('Data Checking'!R4="","",'Data Checking'!R4)</f>
        <v>Homme</v>
      </c>
      <c r="G4" t="str">
        <f>IF('Data Checking'!S4="","",'Data Checking'!S4)</f>
        <v>torodi</v>
      </c>
      <c r="H4" t="str">
        <f>IF('Data Checking'!T4="","",'Data Checking'!T4)</f>
        <v>torodi</v>
      </c>
      <c r="I4" t="str">
        <f>IF('Data Checking'!U4="","",'Data Checking'!U4)</f>
        <v>fada</v>
      </c>
      <c r="J4" t="str">
        <f>IF('Data Checking'!V4="","",'Data Checking'!V4)</f>
        <v/>
      </c>
      <c r="K4" t="str">
        <f>IF('Data Checking'!W4="","",'Data Checking'!W4)</f>
        <v/>
      </c>
      <c r="L4" t="str">
        <f>IF('Data Checking'!X4="","",'Data Checking'!X4)</f>
        <v/>
      </c>
      <c r="M4" t="str">
        <f>IF('Data Checking'!Y4="","",'Data Checking'!Y4)</f>
        <v/>
      </c>
      <c r="N4" t="str">
        <f>IF('Data Checking'!Z4="","",'Data Checking'!Z4)</f>
        <v/>
      </c>
      <c r="O4" t="str">
        <f>IF('Data Checking'!AA4="","",'Data Checking'!AA4)</f>
        <v/>
      </c>
      <c r="P4" t="str">
        <f>IF('Data Checking'!AB4="","",'Data Checking'!AB4)</f>
        <v/>
      </c>
      <c r="Q4" t="str">
        <f>IF('Data Checking'!AC4="","",'Data Checking'!AC4)</f>
        <v/>
      </c>
      <c r="R4" t="str">
        <f>IF('Data Checking'!AD4="","",'Data Checking'!AD4)</f>
        <v>Homme</v>
      </c>
      <c r="S4" t="str">
        <f>IF('Data Checking'!AE4="","",'Data Checking'!AE4)</f>
        <v>47</v>
      </c>
      <c r="T4" t="str">
        <f>IF('Data Checking'!AF4="","",'Data Checking'!AF4)</f>
        <v>deplace_interne</v>
      </c>
      <c r="U4" t="str">
        <f>IF('Data Checking'!AG4="","",'Data Checking'!AG4)</f>
        <v/>
      </c>
      <c r="V4" t="str">
        <f>IF('Data Checking'!AH4="","",'Data Checking'!AH4)</f>
        <v/>
      </c>
      <c r="W4" t="str">
        <f>IF('Data Checking'!AI4="","",'Data Checking'!AI4)</f>
        <v/>
      </c>
      <c r="X4" t="str">
        <f>IF('Data Checking'!AJ4="","",'Data Checking'!AJ4)</f>
        <v/>
      </c>
      <c r="Y4" t="str">
        <f>IF('Data Checking'!AK4="","",'Data Checking'!AK4)</f>
        <v/>
      </c>
      <c r="Z4" t="str">
        <f>IF('Data Checking'!AL4="","",'Data Checking'!AL4)</f>
        <v>niger</v>
      </c>
      <c r="AA4" t="str">
        <f>IF('Data Checking'!AM4="","",'Data Checking'!AM4)</f>
        <v>tillaberi</v>
      </c>
      <c r="AB4" t="str">
        <f>IF('Data Checking'!AN4="","",'Data Checking'!AN4)</f>
        <v>torodi</v>
      </c>
      <c r="AC4" t="str">
        <f>IF('Data Checking'!AO4="","",'Data Checking'!AO4)</f>
        <v/>
      </c>
      <c r="AD4" t="str">
        <f>IF('Data Checking'!AP4="","",'Data Checking'!AP4)</f>
        <v/>
      </c>
      <c r="AE4" t="str">
        <f>IF('Data Checking'!AQ4="","",'Data Checking'!AQ4)</f>
        <v/>
      </c>
      <c r="AF4" t="str">
        <f>IF('Data Checking'!AR4="","",'Data Checking'!AR4)</f>
        <v/>
      </c>
      <c r="AG4" t="str">
        <f>IF('Data Checking'!AS4="","",'Data Checking'!AS4)</f>
        <v>oui</v>
      </c>
      <c r="AH4" t="str">
        <f>IF('Data Checking'!AT4="","",'Data Checking'!AT4)</f>
        <v>Violences_physique_civils</v>
      </c>
      <c r="AI4" t="str">
        <f>IF('Data Checking'!AU4="","",'Data Checking'!AU4)</f>
        <v>0</v>
      </c>
      <c r="AJ4" t="str">
        <f>IF('Data Checking'!AV4="","",'Data Checking'!AV4)</f>
        <v>0</v>
      </c>
      <c r="AK4" t="str">
        <f>IF('Data Checking'!AW4="","",'Data Checking'!AW4)</f>
        <v>0</v>
      </c>
      <c r="AL4" t="str">
        <f>IF('Data Checking'!AX4="","",'Data Checking'!AX4)</f>
        <v>0</v>
      </c>
      <c r="AM4" t="str">
        <f>IF('Data Checking'!AY4="","",'Data Checking'!AY4)</f>
        <v>1</v>
      </c>
      <c r="AN4" t="str">
        <f>IF('Data Checking'!AZ4="","",'Data Checking'!AZ4)</f>
        <v>0</v>
      </c>
      <c r="AO4" t="str">
        <f>IF('Data Checking'!BA4="","",'Data Checking'!BA4)</f>
        <v>0</v>
      </c>
      <c r="AP4" t="str">
        <f>IF('Data Checking'!BB4="","",'Data Checking'!BB4)</f>
        <v>0</v>
      </c>
      <c r="AQ4" t="str">
        <f>IF('Data Checking'!BC4="","",'Data Checking'!BC4)</f>
        <v>0</v>
      </c>
      <c r="AR4" t="str">
        <f>IF('Data Checking'!BD4="","",'Data Checking'!BD4)</f>
        <v>0</v>
      </c>
      <c r="AS4" t="str">
        <f>IF('Data Checking'!BE4="","",'Data Checking'!BE4)</f>
        <v>0</v>
      </c>
      <c r="AT4" t="str">
        <f>IF('Data Checking'!BF4="","",'Data Checking'!BF4)</f>
        <v>0</v>
      </c>
      <c r="AU4" t="str">
        <f>IF('Data Checking'!BG4="","",'Data Checking'!BG4)</f>
        <v>0</v>
      </c>
      <c r="AV4" t="str">
        <f>IF('Data Checking'!BH4="","",'Data Checking'!BH4)</f>
        <v>0</v>
      </c>
      <c r="AW4" t="str">
        <f>IF('Data Checking'!BI4="","",'Data Checking'!BI4)</f>
        <v/>
      </c>
      <c r="AX4" t="str">
        <f>IF('Data Checking'!BJ4="","",'Data Checking'!BJ4)</f>
        <v>Filles Femmes</v>
      </c>
      <c r="AY4" t="str">
        <f>IF('Data Checking'!BK4="","",'Data Checking'!BK4)</f>
        <v>0</v>
      </c>
      <c r="AZ4" t="str">
        <f>IF('Data Checking'!BL4="","",'Data Checking'!BL4)</f>
        <v>0</v>
      </c>
      <c r="BA4" t="str">
        <f>IF('Data Checking'!BM4="","",'Data Checking'!BM4)</f>
        <v>1</v>
      </c>
      <c r="BB4" t="str">
        <f>IF('Data Checking'!BN4="","",'Data Checking'!BN4)</f>
        <v>0</v>
      </c>
      <c r="BC4" t="str">
        <f>IF('Data Checking'!BO4="","",'Data Checking'!BO4)</f>
        <v>1</v>
      </c>
      <c r="BD4" t="str">
        <f>IF('Data Checking'!BP4="","",'Data Checking'!BP4)</f>
        <v>0</v>
      </c>
      <c r="BE4" t="str">
        <f>IF('Data Checking'!BQ4="","",'Data Checking'!BQ4)</f>
        <v>0</v>
      </c>
      <c r="BF4" t="str">
        <f>IF('Data Checking'!BR4="","",'Data Checking'!BR4)</f>
        <v>0</v>
      </c>
      <c r="BG4" t="str">
        <f>IF('Data Checking'!BS4="","",'Data Checking'!BS4)</f>
        <v>0</v>
      </c>
      <c r="BH4" t="str">
        <f>IF('Data Checking'!BT4="","",'Data Checking'!BT4)</f>
        <v>0</v>
      </c>
      <c r="BI4" t="str">
        <f>IF('Data Checking'!BU4="","",'Data Checking'!BU4)</f>
        <v>0</v>
      </c>
      <c r="BJ4" t="str">
        <f>IF('Data Checking'!BV4="","",'Data Checking'!BV4)</f>
        <v>0</v>
      </c>
      <c r="BK4" t="str">
        <f>IF('Data Checking'!BW4="","",'Data Checking'!BW4)</f>
        <v>0</v>
      </c>
      <c r="BL4" t="str">
        <f>IF('Data Checking'!BX4="","",'Data Checking'!BX4)</f>
        <v>0</v>
      </c>
      <c r="BM4" t="str">
        <f>IF('Data Checking'!BY4="","",'Data Checking'!BY4)</f>
        <v/>
      </c>
      <c r="BN4" t="str">
        <f>IF('Data Checking'!BZ4="","",'Data Checking'!BZ4)</f>
        <v>2</v>
      </c>
      <c r="BO4" t="str">
        <f>IF('Data Checking'!CA4="","",'Data Checking'!CA4)</f>
        <v>augmente</v>
      </c>
      <c r="BP4" t="str">
        <f>IF('Data Checking'!CB4="","",'Data Checking'!CB4)</f>
        <v/>
      </c>
      <c r="BQ4" t="str">
        <f>IF('Data Checking'!CC4="","",'Data Checking'!CC4)</f>
        <v>oui</v>
      </c>
      <c r="BR4" t="str">
        <f>IF('Data Checking'!CD4="","",'Data Checking'!CD4)</f>
        <v>deni_de_ressource viol mariage_force</v>
      </c>
      <c r="BS4" t="str">
        <f>IF('Data Checking'!CE4="","",'Data Checking'!CE4)</f>
        <v>1</v>
      </c>
      <c r="BT4" t="str">
        <f>IF('Data Checking'!CF4="","",'Data Checking'!CF4)</f>
        <v>0</v>
      </c>
      <c r="BU4" t="str">
        <f>IF('Data Checking'!CG4="","",'Data Checking'!CG4)</f>
        <v>0</v>
      </c>
      <c r="BV4" t="str">
        <f>IF('Data Checking'!CH4="","",'Data Checking'!CH4)</f>
        <v>1</v>
      </c>
      <c r="BW4" t="str">
        <f>IF('Data Checking'!CI4="","",'Data Checking'!CI4)</f>
        <v>0</v>
      </c>
      <c r="BX4" t="str">
        <f>IF('Data Checking'!CJ4="","",'Data Checking'!CJ4)</f>
        <v>1</v>
      </c>
      <c r="BY4" t="str">
        <f>IF('Data Checking'!CK4="","",'Data Checking'!CK4)</f>
        <v>0</v>
      </c>
      <c r="BZ4" t="str">
        <f>IF('Data Checking'!CL4="","",'Data Checking'!CL4)</f>
        <v>0</v>
      </c>
      <c r="CA4" t="str">
        <f>IF('Data Checking'!CM4="","",'Data Checking'!CM4)</f>
        <v>0</v>
      </c>
      <c r="CB4" t="str">
        <f>IF('Data Checking'!CN4="","",'Data Checking'!CN4)</f>
        <v>0</v>
      </c>
      <c r="CC4" t="str">
        <f>IF('Data Checking'!CO4="","",'Data Checking'!CO4)</f>
        <v>0</v>
      </c>
      <c r="CD4" t="str">
        <f>IF('Data Checking'!CP4="","",'Data Checking'!CP4)</f>
        <v>0</v>
      </c>
      <c r="CE4" t="str">
        <f>IF('Data Checking'!CQ4="","",'Data Checking'!CQ4)</f>
        <v>0</v>
      </c>
      <c r="CF4" t="str">
        <f>IF('Data Checking'!CR4="","",'Data Checking'!CR4)</f>
        <v>0</v>
      </c>
      <c r="CG4" t="str">
        <f>IF('Data Checking'!CS4="","",'Data Checking'!CS4)</f>
        <v>0</v>
      </c>
      <c r="CH4" t="str">
        <f>IF('Data Checking'!CT4="","",'Data Checking'!CT4)</f>
        <v/>
      </c>
      <c r="CI4" t="str">
        <f>IF('Data Checking'!CU4="","",'Data Checking'!CU4)</f>
        <v>Filles Enfants Garçons</v>
      </c>
      <c r="CJ4" t="str">
        <f>IF('Data Checking'!CV4="","",'Data Checking'!CV4)</f>
        <v>0</v>
      </c>
      <c r="CK4" t="str">
        <f>IF('Data Checking'!CW4="","",'Data Checking'!CW4)</f>
        <v>1</v>
      </c>
      <c r="CL4" t="str">
        <f>IF('Data Checking'!CX4="","",'Data Checking'!CX4)</f>
        <v>1</v>
      </c>
      <c r="CM4" t="str">
        <f>IF('Data Checking'!CY4="","",'Data Checking'!CY4)</f>
        <v>1</v>
      </c>
      <c r="CN4" t="str">
        <f>IF('Data Checking'!CZ4="","",'Data Checking'!CZ4)</f>
        <v>0</v>
      </c>
      <c r="CO4" t="str">
        <f>IF('Data Checking'!DA4="","",'Data Checking'!DA4)</f>
        <v>0</v>
      </c>
      <c r="CP4" t="str">
        <f>IF('Data Checking'!DB4="","",'Data Checking'!DB4)</f>
        <v>0</v>
      </c>
      <c r="CQ4" t="str">
        <f>IF('Data Checking'!DC4="","",'Data Checking'!DC4)</f>
        <v>0</v>
      </c>
      <c r="CR4" t="str">
        <f>IF('Data Checking'!DD4="","",'Data Checking'!DD4)</f>
        <v>0</v>
      </c>
      <c r="CS4" t="str">
        <f>IF('Data Checking'!DE4="","",'Data Checking'!DE4)</f>
        <v>0</v>
      </c>
      <c r="CT4" t="str">
        <f>IF('Data Checking'!DF4="","",'Data Checking'!DF4)</f>
        <v>0</v>
      </c>
      <c r="CU4" t="str">
        <f>IF('Data Checking'!DG4="","",'Data Checking'!DG4)</f>
        <v>0</v>
      </c>
      <c r="CV4" t="str">
        <f>IF('Data Checking'!DH4="","",'Data Checking'!DH4)</f>
        <v>0</v>
      </c>
      <c r="CW4" t="str">
        <f>IF('Data Checking'!DI4="","",'Data Checking'!DI4)</f>
        <v>0</v>
      </c>
      <c r="CX4" t="str">
        <f>IF('Data Checking'!DJ4="","",'Data Checking'!DJ4)</f>
        <v/>
      </c>
      <c r="CY4" t="str">
        <f>IF('Data Checking'!DK4="","",'Data Checking'!DK4)</f>
        <v>plusde5</v>
      </c>
      <c r="CZ4" t="str">
        <f>IF('Data Checking'!DL4="","",'Data Checking'!DL4)</f>
        <v>augmente</v>
      </c>
      <c r="DA4" t="str">
        <f>IF('Data Checking'!DM4="","",'Data Checking'!DM4)</f>
        <v/>
      </c>
      <c r="DB4" t="str">
        <f>IF('Data Checking'!DN4="","",'Data Checking'!DN4)</f>
        <v>deterioration_con_abris hausse_chomeurs deterioration_acces_service_base</v>
      </c>
      <c r="DC4" t="str">
        <f>IF('Data Checking'!DO4="","",'Data Checking'!DO4)</f>
        <v>0</v>
      </c>
      <c r="DD4" t="str">
        <f>IF('Data Checking'!DP4="","",'Data Checking'!DP4)</f>
        <v>1</v>
      </c>
      <c r="DE4" t="str">
        <f>IF('Data Checking'!DQ4="","",'Data Checking'!DQ4)</f>
        <v>1</v>
      </c>
      <c r="DF4" t="str">
        <f>IF('Data Checking'!DR4="","",'Data Checking'!DR4)</f>
        <v>0</v>
      </c>
      <c r="DG4" t="str">
        <f>IF('Data Checking'!DS4="","",'Data Checking'!DS4)</f>
        <v>0</v>
      </c>
      <c r="DH4" t="str">
        <f>IF('Data Checking'!DT4="","",'Data Checking'!DT4)</f>
        <v>0</v>
      </c>
      <c r="DI4" t="str">
        <f>IF('Data Checking'!DU4="","",'Data Checking'!DU4)</f>
        <v>1</v>
      </c>
      <c r="DJ4" t="str">
        <f>IF('Data Checking'!DV4="","",'Data Checking'!DV4)</f>
        <v>0</v>
      </c>
      <c r="DK4" t="str">
        <f>IF('Data Checking'!DW4="","",'Data Checking'!DW4)</f>
        <v>0</v>
      </c>
      <c r="DL4" t="str">
        <f>IF('Data Checking'!DX4="","",'Data Checking'!DX4)</f>
        <v>0</v>
      </c>
      <c r="DM4" t="str">
        <f>IF('Data Checking'!DY4="","",'Data Checking'!DY4)</f>
        <v/>
      </c>
      <c r="DN4" t="str">
        <f>IF('Data Checking'!DZ4="","",'Data Checking'!DZ4)</f>
        <v/>
      </c>
      <c r="DO4" t="str">
        <f>IF('Data Checking'!EA4="","",'Data Checking'!EA4)</f>
        <v/>
      </c>
      <c r="DP4" t="str">
        <f>IF('Data Checking'!EB4="","",'Data Checking'!EB4)</f>
        <v/>
      </c>
      <c r="DQ4" t="str">
        <f>IF('Data Checking'!EC4="","",'Data Checking'!EC4)</f>
        <v/>
      </c>
      <c r="DR4" t="str">
        <f>IF('Data Checking'!ED4="","",'Data Checking'!ED4)</f>
        <v/>
      </c>
      <c r="DS4" t="str">
        <f>IF('Data Checking'!EE4="","",'Data Checking'!EE4)</f>
        <v/>
      </c>
      <c r="DT4" t="str">
        <f>IF('Data Checking'!EF4="","",'Data Checking'!EF4)</f>
        <v/>
      </c>
      <c r="DU4" t="str">
        <f>IF('Data Checking'!EG4="","",'Data Checking'!EG4)</f>
        <v/>
      </c>
      <c r="DV4" t="str">
        <f>IF('Data Checking'!EH4="","",'Data Checking'!EH4)</f>
        <v/>
      </c>
      <c r="DW4" t="str">
        <f>IF('Data Checking'!EI4="","",'Data Checking'!EI4)</f>
        <v/>
      </c>
      <c r="DX4" t="str">
        <f>IF('Data Checking'!EJ4="","",'Data Checking'!EJ4)</f>
        <v/>
      </c>
      <c r="DY4" t="str">
        <f>IF('Data Checking'!EK4="","",'Data Checking'!EK4)</f>
        <v/>
      </c>
      <c r="DZ4" t="str">
        <f>IF('Data Checking'!EL4="","",'Data Checking'!EL4)</f>
        <v>Soutien_chef_village Soutien_famille_amis Soutien_psychosocial Integration_com_hote dplct_abords_com</v>
      </c>
      <c r="EA4" t="str">
        <f>IF('Data Checking'!EM4="","",'Data Checking'!EM4)</f>
        <v>1</v>
      </c>
      <c r="EB4" t="str">
        <f>IF('Data Checking'!EN4="","",'Data Checking'!EN4)</f>
        <v>1</v>
      </c>
      <c r="EC4" t="str">
        <f>IF('Data Checking'!EO4="","",'Data Checking'!EO4)</f>
        <v>1</v>
      </c>
      <c r="ED4" t="str">
        <f>IF('Data Checking'!EP4="","",'Data Checking'!EP4)</f>
        <v>1</v>
      </c>
      <c r="EE4" t="str">
        <f>IF('Data Checking'!EQ4="","",'Data Checking'!EQ4)</f>
        <v>1</v>
      </c>
      <c r="EF4" t="str">
        <f>IF('Data Checking'!ER4="","",'Data Checking'!ER4)</f>
        <v>0</v>
      </c>
      <c r="EG4" t="str">
        <f>IF('Data Checking'!ES4="","",'Data Checking'!ES4)</f>
        <v>0</v>
      </c>
      <c r="EH4" t="str">
        <f>IF('Data Checking'!ET4="","",'Data Checking'!ET4)</f>
        <v>0</v>
      </c>
      <c r="EI4" t="str">
        <f>IF('Data Checking'!EU4="","",'Data Checking'!EU4)</f>
        <v>0</v>
      </c>
      <c r="EJ4" t="str">
        <f>IF('Data Checking'!EV4="","",'Data Checking'!EV4)</f>
        <v/>
      </c>
      <c r="EK4" t="str">
        <f>IF('Data Checking'!EW4="","",'Data Checking'!EW4)</f>
        <v/>
      </c>
      <c r="EL4" t="str">
        <f>IF('Data Checking'!EX4="","",'Data Checking'!EX4)</f>
        <v>comite_protection famille_accueil comite_alerte comite_gestion_conflits enfant_pairs comite_redevabilite</v>
      </c>
      <c r="EM4" t="str">
        <f>IF('Data Checking'!EY4="","",'Data Checking'!EY4)</f>
        <v>0</v>
      </c>
      <c r="EN4" t="str">
        <f>IF('Data Checking'!EZ4="","",'Data Checking'!EZ4)</f>
        <v>1</v>
      </c>
      <c r="EO4" t="str">
        <f>IF('Data Checking'!FA4="","",'Data Checking'!FA4)</f>
        <v>1</v>
      </c>
      <c r="EP4" t="str">
        <f>IF('Data Checking'!FB4="","",'Data Checking'!FB4)</f>
        <v>1</v>
      </c>
      <c r="EQ4" t="str">
        <f>IF('Data Checking'!FC4="","",'Data Checking'!FC4)</f>
        <v>1</v>
      </c>
      <c r="ER4" t="str">
        <f>IF('Data Checking'!FD4="","",'Data Checking'!FD4)</f>
        <v>1</v>
      </c>
      <c r="ES4" t="str">
        <f>IF('Data Checking'!FE4="","",'Data Checking'!FE4)</f>
        <v>1</v>
      </c>
      <c r="ET4" t="str">
        <f>IF('Data Checking'!FF4="","",'Data Checking'!FF4)</f>
        <v>0</v>
      </c>
      <c r="EU4" t="str">
        <f>IF('Data Checking'!FG4="","",'Data Checking'!FG4)</f>
        <v>0</v>
      </c>
      <c r="EV4" t="str">
        <f>IF('Data Checking'!FH4="","",'Data Checking'!FH4)</f>
        <v>0</v>
      </c>
      <c r="EW4" t="str">
        <f>IF('Data Checking'!FI4="","",'Data Checking'!FI4)</f>
        <v/>
      </c>
      <c r="EX4" t="str">
        <f>IF('Data Checking'!FJ4="","",'Data Checking'!FJ4)</f>
        <v>oui</v>
      </c>
      <c r="EY4" t="str">
        <f>IF('Data Checking'!FK4="","",'Data Checking'!FK4)</f>
        <v>Radio_television Differents_comites_villageois manif_sociales</v>
      </c>
      <c r="EZ4" t="str">
        <f>IF('Data Checking'!FL4="","",'Data Checking'!FL4)</f>
        <v>1</v>
      </c>
      <c r="FA4" t="str">
        <f>IF('Data Checking'!FM4="","",'Data Checking'!FM4)</f>
        <v>0</v>
      </c>
      <c r="FB4" t="str">
        <f>IF('Data Checking'!FN4="","",'Data Checking'!FN4)</f>
        <v>0</v>
      </c>
      <c r="FC4" t="str">
        <f>IF('Data Checking'!FO4="","",'Data Checking'!FO4)</f>
        <v>1</v>
      </c>
      <c r="FD4" t="str">
        <f>IF('Data Checking'!FP4="","",'Data Checking'!FP4)</f>
        <v>0</v>
      </c>
      <c r="FE4" t="str">
        <f>IF('Data Checking'!FQ4="","",'Data Checking'!FQ4)</f>
        <v>0</v>
      </c>
      <c r="FF4" t="str">
        <f>IF('Data Checking'!FR4="","",'Data Checking'!FR4)</f>
        <v>0</v>
      </c>
      <c r="FG4" t="str">
        <f>IF('Data Checking'!FS4="","",'Data Checking'!FS4)</f>
        <v>0</v>
      </c>
      <c r="FH4" t="str">
        <f>IF('Data Checking'!FT4="","",'Data Checking'!FT4)</f>
        <v>1</v>
      </c>
      <c r="FI4" t="str">
        <f>IF('Data Checking'!FU4="","",'Data Checking'!FU4)</f>
        <v>0</v>
      </c>
      <c r="FJ4" t="str">
        <f>IF('Data Checking'!FV4="","",'Data Checking'!FV4)</f>
        <v>0</v>
      </c>
      <c r="FK4" t="str">
        <f>IF('Data Checking'!FW4="","",'Data Checking'!FW4)</f>
        <v>0</v>
      </c>
      <c r="FL4" t="str">
        <f>IF('Data Checking'!FX4="","",'Data Checking'!FX4)</f>
        <v>0</v>
      </c>
      <c r="FM4" t="str">
        <f>IF('Data Checking'!FY4="","",'Data Checking'!FY4)</f>
        <v>0</v>
      </c>
      <c r="FN4" t="str">
        <f>IF('Data Checking'!FZ4="","",'Data Checking'!FZ4)</f>
        <v/>
      </c>
      <c r="FO4" t="str">
        <f>IF('Data Checking'!GA4="","",'Data Checking'!GA4)</f>
        <v>oui_majorite</v>
      </c>
      <c r="FP4" t="str">
        <f>IF('Data Checking'!GB4="","",'Data Checking'!GB4)</f>
        <v>oui_majorite</v>
      </c>
      <c r="FQ4" t="str">
        <f>IF('Data Checking'!GC4="","",'Data Checking'!GC4)</f>
        <v>manque_info insecurite non_fonctionnelle</v>
      </c>
      <c r="FR4" t="str">
        <f>IF('Data Checking'!GD4="","",'Data Checking'!GD4)</f>
        <v>1</v>
      </c>
      <c r="FS4" t="str">
        <f>IF('Data Checking'!GE4="","",'Data Checking'!GE4)</f>
        <v>1</v>
      </c>
      <c r="FT4" t="str">
        <f>IF('Data Checking'!GF4="","",'Data Checking'!GF4)</f>
        <v>0</v>
      </c>
      <c r="FU4" t="str">
        <f>IF('Data Checking'!GG4="","",'Data Checking'!GG4)</f>
        <v>0</v>
      </c>
      <c r="FV4" t="str">
        <f>IF('Data Checking'!GH4="","",'Data Checking'!GH4)</f>
        <v>0</v>
      </c>
      <c r="FW4" t="str">
        <f>IF('Data Checking'!GI4="","",'Data Checking'!GI4)</f>
        <v>1</v>
      </c>
      <c r="FX4" t="str">
        <f>IF('Data Checking'!GJ4="","",'Data Checking'!GJ4)</f>
        <v>0</v>
      </c>
      <c r="FY4" t="str">
        <f>IF('Data Checking'!GK4="","",'Data Checking'!GK4)</f>
        <v>0</v>
      </c>
      <c r="FZ4" t="str">
        <f>IF('Data Checking'!GL4="","",'Data Checking'!GL4)</f>
        <v/>
      </c>
      <c r="GA4" t="str">
        <f>IF('Data Checking'!GM4="","",'Data Checking'!GM4)</f>
        <v>minorite</v>
      </c>
      <c r="GB4" t="str">
        <f>IF('Data Checking'!GN4="","",'Data Checking'!GN4)</f>
        <v>minorite</v>
      </c>
      <c r="GC4" t="str">
        <f>IF('Data Checking'!GO4="","",'Data Checking'!GO4)</f>
        <v>Appui_psychosocial Service_de_counseling Services_de_sante Education Acces_aux_doc Suivi_judiciaire Programme_AGR</v>
      </c>
      <c r="GD4" t="str">
        <f>IF('Data Checking'!GP4="","",'Data Checking'!GP4)</f>
        <v>1</v>
      </c>
      <c r="GE4" t="str">
        <f>IF('Data Checking'!GQ4="","",'Data Checking'!GQ4)</f>
        <v>1</v>
      </c>
      <c r="GF4" t="str">
        <f>IF('Data Checking'!GR4="","",'Data Checking'!GR4)</f>
        <v>1</v>
      </c>
      <c r="GG4" t="str">
        <f>IF('Data Checking'!GS4="","",'Data Checking'!GS4)</f>
        <v>1</v>
      </c>
      <c r="GH4" t="str">
        <f>IF('Data Checking'!GT4="","",'Data Checking'!GT4)</f>
        <v>1</v>
      </c>
      <c r="GI4" t="str">
        <f>IF('Data Checking'!GU4="","",'Data Checking'!GU4)</f>
        <v>1</v>
      </c>
      <c r="GJ4" t="str">
        <f>IF('Data Checking'!GV4="","",'Data Checking'!GV4)</f>
        <v>1</v>
      </c>
      <c r="GK4" t="str">
        <f>IF('Data Checking'!GW4="","",'Data Checking'!GW4)</f>
        <v>0</v>
      </c>
      <c r="GL4" t="str">
        <f>IF('Data Checking'!GX4="","",'Data Checking'!GX4)</f>
        <v>0</v>
      </c>
      <c r="GM4" t="str">
        <f>IF('Data Checking'!GY4="","",'Data Checking'!GY4)</f>
        <v/>
      </c>
      <c r="GN4" t="str">
        <f>IF('Data Checking'!GZ4="","",'Data Checking'!GZ4)</f>
        <v>oui_majorite</v>
      </c>
      <c r="GO4" t="str">
        <f>IF('Data Checking'!HA4="","",'Data Checking'!HA4)</f>
        <v>oui_moitie</v>
      </c>
      <c r="GP4" t="str">
        <f>IF('Data Checking'!HB4="","",'Data Checking'!HB4)</f>
        <v>repond_besoins_pop permet_eviter_conflits diminution_tensions</v>
      </c>
      <c r="GQ4" t="str">
        <f>IF('Data Checking'!HC4="","",'Data Checking'!HC4)</f>
        <v>0</v>
      </c>
      <c r="GR4" t="str">
        <f>IF('Data Checking'!HD4="","",'Data Checking'!HD4)</f>
        <v>1</v>
      </c>
      <c r="GS4" t="str">
        <f>IF('Data Checking'!HE4="","",'Data Checking'!HE4)</f>
        <v>0</v>
      </c>
      <c r="GT4" t="str">
        <f>IF('Data Checking'!HF4="","",'Data Checking'!HF4)</f>
        <v>1</v>
      </c>
      <c r="GU4" t="str">
        <f>IF('Data Checking'!HG4="","",'Data Checking'!HG4)</f>
        <v>0</v>
      </c>
      <c r="GV4" t="str">
        <f>IF('Data Checking'!HH4="","",'Data Checking'!HH4)</f>
        <v>1</v>
      </c>
      <c r="GW4" t="str">
        <f>IF('Data Checking'!HI4="","",'Data Checking'!HI4)</f>
        <v>0</v>
      </c>
      <c r="GX4" t="str">
        <f>IF('Data Checking'!HJ4="","",'Data Checking'!HJ4)</f>
        <v>0</v>
      </c>
      <c r="GY4" t="str">
        <f>IF('Data Checking'!HK4="","",'Data Checking'!HK4)</f>
        <v/>
      </c>
      <c r="GZ4" t="str">
        <f>IF('Data Checking'!HL4="","",'Data Checking'!HL4)</f>
        <v>ne_repond_pas non_obtention_info non_diminition_tension</v>
      </c>
      <c r="HA4" t="str">
        <f>IF('Data Checking'!HM4="","",'Data Checking'!HM4)</f>
        <v>0</v>
      </c>
      <c r="HB4" t="str">
        <f>IF('Data Checking'!HN4="","",'Data Checking'!HN4)</f>
        <v>1</v>
      </c>
      <c r="HC4" t="str">
        <f>IF('Data Checking'!HO4="","",'Data Checking'!HO4)</f>
        <v>1</v>
      </c>
      <c r="HD4" t="str">
        <f>IF('Data Checking'!HP4="","",'Data Checking'!HP4)</f>
        <v>1</v>
      </c>
      <c r="HE4" t="str">
        <f>IF('Data Checking'!HQ4="","",'Data Checking'!HQ4)</f>
        <v>0</v>
      </c>
      <c r="HF4" t="str">
        <f>IF('Data Checking'!HR4="","",'Data Checking'!HR4)</f>
        <v>0</v>
      </c>
      <c r="HG4" t="str">
        <f>IF('Data Checking'!HS4="","",'Data Checking'!HS4)</f>
        <v/>
      </c>
      <c r="HH4" t="str">
        <f>IF('Data Checking'!HT4="","",'Data Checking'!HT4)</f>
        <v/>
      </c>
      <c r="HI4" t="str">
        <f>IF('Data Checking'!HU4="","",'Data Checking'!HU4)</f>
        <v>non</v>
      </c>
      <c r="HJ4" t="str">
        <f>IF('Data Checking'!HV4="","",'Data Checking'!HV4)</f>
        <v/>
      </c>
      <c r="HK4" t="str">
        <f>IF('Data Checking'!HW4="","",'Data Checking'!HW4)</f>
        <v/>
      </c>
      <c r="HL4" t="str">
        <f>IF('Data Checking'!HX4="","",'Data Checking'!HX4)</f>
        <v/>
      </c>
      <c r="HM4" t="str">
        <f>IF('Data Checking'!HY4="","",'Data Checking'!HY4)</f>
        <v/>
      </c>
      <c r="HN4" t="str">
        <f>IF('Data Checking'!HZ4="","",'Data Checking'!HZ4)</f>
        <v/>
      </c>
      <c r="HO4" t="str">
        <f>IF('Data Checking'!IA4="","",'Data Checking'!IA4)</f>
        <v/>
      </c>
      <c r="HP4" t="str">
        <f>IF('Data Checking'!IB4="","",'Data Checking'!IB4)</f>
        <v/>
      </c>
      <c r="HQ4" t="str">
        <f>IF('Data Checking'!IC4="","",'Data Checking'!IC4)</f>
        <v/>
      </c>
      <c r="HR4" t="str">
        <f>IF('Data Checking'!ID4="","",'Data Checking'!ID4)</f>
        <v/>
      </c>
      <c r="HS4" t="str">
        <f>IF('Data Checking'!IE4="","",'Data Checking'!IE4)</f>
        <v/>
      </c>
      <c r="HT4" t="str">
        <f>IF('Data Checking'!IF4="","",'Data Checking'!IF4)</f>
        <v/>
      </c>
      <c r="HU4" t="str">
        <f>IF('Data Checking'!IG4="","",'Data Checking'!IG4)</f>
        <v/>
      </c>
      <c r="HV4" t="str">
        <f>IF('Data Checking'!IH4="","",'Data Checking'!IH4)</f>
        <v>oui</v>
      </c>
      <c r="HW4" t="str">
        <f>IF('Data Checking'!II4="","",'Data Checking'!II4)</f>
        <v/>
      </c>
      <c r="HX4" t="str">
        <f>IF('Data Checking'!IJ4="","",'Data Checking'!IJ4)</f>
        <v>Femmes Femmes_agees Filles Enfants Bebes/Bambins</v>
      </c>
      <c r="HY4" t="str">
        <f>IF('Data Checking'!IK4="","",'Data Checking'!IK4)</f>
        <v>1</v>
      </c>
      <c r="HZ4" t="str">
        <f>IF('Data Checking'!IL4="","",'Data Checking'!IL4)</f>
        <v>1</v>
      </c>
      <c r="IA4" t="str">
        <f>IF('Data Checking'!IM4="","",'Data Checking'!IM4)</f>
        <v>1</v>
      </c>
      <c r="IB4" t="str">
        <f>IF('Data Checking'!IN4="","",'Data Checking'!IN4)</f>
        <v>0</v>
      </c>
      <c r="IC4" t="str">
        <f>IF('Data Checking'!IO4="","",'Data Checking'!IO4)</f>
        <v>1</v>
      </c>
      <c r="ID4" t="str">
        <f>IF('Data Checking'!IP4="","",'Data Checking'!IP4)</f>
        <v>0</v>
      </c>
      <c r="IE4" t="str">
        <f>IF('Data Checking'!IQ4="","",'Data Checking'!IQ4)</f>
        <v>1</v>
      </c>
      <c r="IF4" t="str">
        <f>IF('Data Checking'!IR4="","",'Data Checking'!IR4)</f>
        <v>0</v>
      </c>
      <c r="IG4" t="str">
        <f>IF('Data Checking'!IS4="","",'Data Checking'!IS4)</f>
        <v>0</v>
      </c>
      <c r="IH4" t="str">
        <f>IF('Data Checking'!IT4="","",'Data Checking'!IT4)</f>
        <v>0</v>
      </c>
      <c r="II4" t="str">
        <f>IF('Data Checking'!IU4="","",'Data Checking'!IU4)</f>
        <v>0</v>
      </c>
      <c r="IJ4" t="str">
        <f>IF('Data Checking'!IV4="","",'Data Checking'!IV4)</f>
        <v>0</v>
      </c>
      <c r="IK4" t="str">
        <f>IF('Data Checking'!IW4="","",'Data Checking'!IW4)</f>
        <v>0</v>
      </c>
      <c r="IL4" t="str">
        <f>IF('Data Checking'!IX4="","",'Data Checking'!IX4)</f>
        <v>0</v>
      </c>
      <c r="IM4" t="str">
        <f>IF('Data Checking'!IY4="","",'Data Checking'!IY4)</f>
        <v/>
      </c>
      <c r="IN4" t="str">
        <f>IF('Data Checking'!IZ4="","",'Data Checking'!IZ4)</f>
        <v>5</v>
      </c>
      <c r="IO4" t="str">
        <f>IF('Data Checking'!JA4="","",'Data Checking'!JA4)</f>
        <v>Appui_psychosocial acces_docs Services_medicaux Services_educatifs Services_conseil</v>
      </c>
      <c r="IP4" t="str">
        <f>IF('Data Checking'!JB4="","",'Data Checking'!JB4)</f>
        <v>1</v>
      </c>
      <c r="IQ4" t="str">
        <f>IF('Data Checking'!JC4="","",'Data Checking'!JC4)</f>
        <v>1</v>
      </c>
      <c r="IR4" t="str">
        <f>IF('Data Checking'!JD4="","",'Data Checking'!JD4)</f>
        <v>1</v>
      </c>
      <c r="IS4" t="str">
        <f>IF('Data Checking'!JE4="","",'Data Checking'!JE4)</f>
        <v>1</v>
      </c>
      <c r="IT4" t="str">
        <f>IF('Data Checking'!JF4="","",'Data Checking'!JF4)</f>
        <v>1</v>
      </c>
      <c r="IU4" t="str">
        <f>IF('Data Checking'!JG4="","",'Data Checking'!JG4)</f>
        <v>0</v>
      </c>
      <c r="IV4" t="str">
        <f>IF('Data Checking'!JH4="","",'Data Checking'!JH4)</f>
        <v>0</v>
      </c>
      <c r="IW4" t="str">
        <f>IF('Data Checking'!JI4="","",'Data Checking'!JI4)</f>
        <v>0</v>
      </c>
      <c r="IX4" t="str">
        <f>IF('Data Checking'!JJ4="","",'Data Checking'!JJ4)</f>
        <v>0</v>
      </c>
      <c r="IY4" t="str">
        <f>IF('Data Checking'!JK4="","",'Data Checking'!JK4)</f>
        <v>0</v>
      </c>
      <c r="IZ4" t="str">
        <f>IF('Data Checking'!JL4="","",'Data Checking'!JL4)</f>
        <v/>
      </c>
      <c r="JA4" t="str">
        <f>IF('Data Checking'!JM4="","",'Data Checking'!JM4)</f>
        <v>signalement reorientation prise_enchage</v>
      </c>
      <c r="JB4" t="str">
        <f>IF('Data Checking'!JN4="","",'Data Checking'!JN4)</f>
        <v>1</v>
      </c>
      <c r="JC4" t="str">
        <f>IF('Data Checking'!JO4="","",'Data Checking'!JO4)</f>
        <v>1</v>
      </c>
      <c r="JD4" t="str">
        <f>IF('Data Checking'!JP4="","",'Data Checking'!JP4)</f>
        <v>1</v>
      </c>
      <c r="JE4" t="str">
        <f>IF('Data Checking'!JQ4="","",'Data Checking'!JQ4)</f>
        <v>0</v>
      </c>
      <c r="JF4" t="str">
        <f>IF('Data Checking'!JR4="","",'Data Checking'!JR4)</f>
        <v>0</v>
      </c>
      <c r="JG4" t="str">
        <f>IF('Data Checking'!JS4="","",'Data Checking'!JS4)</f>
        <v>0</v>
      </c>
      <c r="JH4" t="str">
        <f>IF('Data Checking'!JT4="","",'Data Checking'!JT4)</f>
        <v/>
      </c>
      <c r="JI4" t="str">
        <f>IF('Data Checking'!JU4="","",'Data Checking'!JU4)</f>
        <v>medical point_ecoute Psychosocia</v>
      </c>
      <c r="JJ4" t="str">
        <f>IF('Data Checking'!JV4="","",'Data Checking'!JV4)</f>
        <v>1</v>
      </c>
      <c r="JK4" t="str">
        <f>IF('Data Checking'!JW4="","",'Data Checking'!JW4)</f>
        <v>1</v>
      </c>
      <c r="JL4" t="str">
        <f>IF('Data Checking'!JX4="","",'Data Checking'!JX4)</f>
        <v>1</v>
      </c>
      <c r="JM4" t="str">
        <f>IF('Data Checking'!JY4="","",'Data Checking'!JY4)</f>
        <v>0</v>
      </c>
      <c r="JN4" t="str">
        <f>IF('Data Checking'!JZ4="","",'Data Checking'!JZ4)</f>
        <v>0</v>
      </c>
      <c r="JO4" t="str">
        <f>IF('Data Checking'!KA4="","",'Data Checking'!KA4)</f>
        <v>0</v>
      </c>
      <c r="JP4" t="str">
        <f>IF('Data Checking'!KB4="","",'Data Checking'!KB4)</f>
        <v>0</v>
      </c>
      <c r="JQ4" t="str">
        <f>IF('Data Checking'!KC4="","",'Data Checking'!KC4)</f>
        <v>0</v>
      </c>
      <c r="JR4" t="str">
        <f>IF('Data Checking'!KD4="","",'Data Checking'!KD4)</f>
        <v>0</v>
      </c>
      <c r="JS4" t="str">
        <f>IF('Data Checking'!KE4="","",'Data Checking'!KE4)</f>
        <v/>
      </c>
      <c r="JT4" t="str">
        <f>IF('Data Checking'!KF4="","",'Data Checking'!KF4)</f>
        <v>medical Psychosocia point_ecoute</v>
      </c>
      <c r="JU4" t="str">
        <f>IF('Data Checking'!KG4="","",'Data Checking'!KG4)</f>
        <v>1</v>
      </c>
      <c r="JV4" t="str">
        <f>IF('Data Checking'!KH4="","",'Data Checking'!KH4)</f>
        <v>1</v>
      </c>
      <c r="JW4" t="str">
        <f>IF('Data Checking'!KI4="","",'Data Checking'!KI4)</f>
        <v>1</v>
      </c>
      <c r="JX4" t="str">
        <f>IF('Data Checking'!KJ4="","",'Data Checking'!KJ4)</f>
        <v>0</v>
      </c>
      <c r="JY4" t="str">
        <f>IF('Data Checking'!KK4="","",'Data Checking'!KK4)</f>
        <v>0</v>
      </c>
      <c r="JZ4" t="str">
        <f>IF('Data Checking'!KL4="","",'Data Checking'!KL4)</f>
        <v>0</v>
      </c>
      <c r="KA4" t="str">
        <f>IF('Data Checking'!KM4="","",'Data Checking'!KM4)</f>
        <v>0</v>
      </c>
      <c r="KB4" t="str">
        <f>IF('Data Checking'!KN4="","",'Data Checking'!KN4)</f>
        <v>0</v>
      </c>
      <c r="KC4" t="str">
        <f>IF('Data Checking'!KO4="","",'Data Checking'!KO4)</f>
        <v>0</v>
      </c>
      <c r="KD4" t="str">
        <f>IF('Data Checking'!KP4="","",'Data Checking'!KP4)</f>
        <v/>
      </c>
      <c r="KE4" t="str">
        <f>IF('Data Checking'!KQ4="","",'Data Checking'!KQ4)</f>
        <v/>
      </c>
      <c r="KF4" t="str">
        <f>IF('Data Checking'!KR4="","",'Data Checking'!KR4)</f>
        <v>oui</v>
      </c>
      <c r="KG4" t="str">
        <f>IF('Data Checking'!KS4="","",'Data Checking'!KS4)</f>
        <v>manque_moyens manque_personnes manque_d'information probleme_orientation insecurite_zone</v>
      </c>
      <c r="KH4" t="str">
        <f>IF('Data Checking'!KT4="","",'Data Checking'!KT4)</f>
        <v>1</v>
      </c>
      <c r="KI4" t="str">
        <f>IF('Data Checking'!KU4="","",'Data Checking'!KU4)</f>
        <v>1</v>
      </c>
      <c r="KJ4" t="str">
        <f>IF('Data Checking'!KV4="","",'Data Checking'!KV4)</f>
        <v>1</v>
      </c>
      <c r="KK4" t="str">
        <f>IF('Data Checking'!KW4="","",'Data Checking'!KW4)</f>
        <v>1</v>
      </c>
      <c r="KL4" t="str">
        <f>IF('Data Checking'!KX4="","",'Data Checking'!KX4)</f>
        <v>1</v>
      </c>
      <c r="KM4" t="str">
        <f>IF('Data Checking'!KY4="","",'Data Checking'!KY4)</f>
        <v>0</v>
      </c>
      <c r="KN4" t="str">
        <f>IF('Data Checking'!KZ4="","",'Data Checking'!KZ4)</f>
        <v>0</v>
      </c>
      <c r="KO4" t="str">
        <f>IF('Data Checking'!LA4="","",'Data Checking'!LA4)</f>
        <v>0</v>
      </c>
      <c r="KP4" t="str">
        <f>IF('Data Checking'!LB4="","",'Data Checking'!LB4)</f>
        <v>0</v>
      </c>
      <c r="KQ4" t="str">
        <f>IF('Data Checking'!LC4="","",'Data Checking'!LC4)</f>
        <v>0</v>
      </c>
      <c r="KR4" t="str">
        <f>IF('Data Checking'!LD4="","",'Data Checking'!LD4)</f>
        <v>0</v>
      </c>
      <c r="KS4" t="str">
        <f>IF('Data Checking'!LE4="","",'Data Checking'!LE4)</f>
        <v/>
      </c>
      <c r="KT4" t="str">
        <f>IF('Data Checking'!LF4="","",'Data Checking'!LF4)</f>
        <v>pb_logistiques pb_secu pb_coordination</v>
      </c>
      <c r="KU4" t="str">
        <f>IF('Data Checking'!LG4="","",'Data Checking'!LG4)</f>
        <v>0</v>
      </c>
      <c r="KV4" t="str">
        <f>IF('Data Checking'!LH4="","",'Data Checking'!LH4)</f>
        <v>1</v>
      </c>
      <c r="KW4" t="str">
        <f>IF('Data Checking'!LI4="","",'Data Checking'!LI4)</f>
        <v>1</v>
      </c>
      <c r="KX4" t="str">
        <f>IF('Data Checking'!LJ4="","",'Data Checking'!LJ4)</f>
        <v>1</v>
      </c>
      <c r="KY4" t="str">
        <f>IF('Data Checking'!LK4="","",'Data Checking'!LK4)</f>
        <v>0</v>
      </c>
      <c r="KZ4" t="str">
        <f>IF('Data Checking'!LL4="","",'Data Checking'!LL4)</f>
        <v>0</v>
      </c>
      <c r="LA4" t="str">
        <f>IF('Data Checking'!LM4="","",'Data Checking'!LM4)</f>
        <v/>
      </c>
      <c r="LB4" t="str">
        <f>IF('Data Checking'!LN4="","",'Data Checking'!LN4)</f>
        <v>oui</v>
      </c>
      <c r="LC4" t="str">
        <f>IF('Data Checking'!LO4="","",'Data Checking'!LO4)</f>
        <v>violence_physique menace_mort suivi violence_psycho</v>
      </c>
      <c r="LD4" t="str">
        <f>IF('Data Checking'!LP4="","",'Data Checking'!LP4)</f>
        <v>1</v>
      </c>
      <c r="LE4" t="str">
        <f>IF('Data Checking'!LQ4="","",'Data Checking'!LQ4)</f>
        <v>1</v>
      </c>
      <c r="LF4" t="str">
        <f>IF('Data Checking'!LR4="","",'Data Checking'!LR4)</f>
        <v>0</v>
      </c>
      <c r="LG4" t="str">
        <f>IF('Data Checking'!LS4="","",'Data Checking'!LS4)</f>
        <v>0</v>
      </c>
      <c r="LH4" t="str">
        <f>IF('Data Checking'!LT4="","",'Data Checking'!LT4)</f>
        <v>1</v>
      </c>
      <c r="LI4" t="str">
        <f>IF('Data Checking'!LU4="","",'Data Checking'!LU4)</f>
        <v>0</v>
      </c>
      <c r="LJ4" t="str">
        <f>IF('Data Checking'!LV4="","",'Data Checking'!LV4)</f>
        <v>1</v>
      </c>
      <c r="LK4" t="str">
        <f>IF('Data Checking'!LW4="","",'Data Checking'!LW4)</f>
        <v>0</v>
      </c>
      <c r="LL4" t="str">
        <f>IF('Data Checking'!LX4="","",'Data Checking'!LX4)</f>
        <v>0</v>
      </c>
      <c r="LM4" t="str">
        <f>IF('Data Checking'!LY4="","",'Data Checking'!LY4)</f>
        <v>0</v>
      </c>
      <c r="LN4" t="str">
        <f>IF('Data Checking'!LZ4="","",'Data Checking'!LZ4)</f>
        <v/>
      </c>
      <c r="LO4" t="str">
        <f>IF('Data Checking'!MA4="","",'Data Checking'!MA4)</f>
        <v>oui</v>
      </c>
      <c r="LP4" t="str">
        <f>IF('Data Checking'!MB4="","",'Data Checking'!MB4)</f>
        <v>oui</v>
      </c>
      <c r="LQ4" t="str">
        <f>IF('Data Checking'!MC4="","",'Data Checking'!MC4)</f>
        <v/>
      </c>
      <c r="LR4" t="str">
        <f>IF('Data Checking'!MD4="","",'Data Checking'!MD4)</f>
        <v>Tout  d'abord merci  à vous et je vous demande de prier Dieu  pour nous pour que la paix règne  dans notre pays !</v>
      </c>
      <c r="LS4">
        <f>IF('Data Checking'!ME4="","",'Data Checking'!ME4)</f>
        <v>169193419</v>
      </c>
      <c r="LT4" t="str">
        <f>IF('Data Checking'!MF4="","",'Data Checking'!MF4)</f>
        <v>53e0af19-325d-4544-a7eb-fc3f96a81d34</v>
      </c>
      <c r="LU4" t="str">
        <f>IF('Data Checking'!MG4="","",'Data Checking'!MG4)</f>
        <v>2021-04-01T16:46:04</v>
      </c>
      <c r="LV4" t="str">
        <f>IF('Data Checking'!MH4="","",'Data Checking'!MH4)</f>
        <v/>
      </c>
      <c r="LW4" t="str">
        <f>IF('Data Checking'!MI4="","",'Data Checking'!MI4)</f>
        <v>[]</v>
      </c>
      <c r="LX4" t="str">
        <f>IF('Data Checking'!MJ4="","",'Data Checking'!MJ4)</f>
        <v>submitted_via_web</v>
      </c>
      <c r="LY4" t="str">
        <f>IF('Data Checking'!MK4="","",'Data Checking'!MK4)</f>
        <v>reach_niger</v>
      </c>
      <c r="LZ4" t="str">
        <f>IF('Data Checking'!ML4="","",'Data Checking'!ML4)</f>
        <v/>
      </c>
      <c r="MA4">
        <f>IF('Data Checking'!MM4="","",'Data Checking'!MM4)</f>
        <v>12</v>
      </c>
    </row>
    <row r="5" spans="1:339" x14ac:dyDescent="0.3">
      <c r="A5" t="str">
        <f>IF('Data Checking'!D5="","",'Data Checking'!D5)</f>
        <v>2021-04-08T12:12:15.346+01:00</v>
      </c>
      <c r="B5" t="str">
        <f>IF('Data Checking'!E5="","",'Data Checking'!E5)</f>
        <v>2021-04-08T12:45:10.105+01:00</v>
      </c>
      <c r="C5" t="str">
        <f>IF('Data Checking'!M5="","",'Data Checking'!M5)</f>
        <v>2021-04-08</v>
      </c>
      <c r="D5" t="str">
        <f>IF('Data Checking'!N5="","",'Data Checking'!N5)</f>
        <v/>
      </c>
      <c r="E5" t="str">
        <f>IF('Data Checking'!O5="","",'Data Checking'!O5)</f>
        <v/>
      </c>
      <c r="F5" t="str">
        <f>IF('Data Checking'!R5="","",'Data Checking'!R5)</f>
        <v>Homme</v>
      </c>
      <c r="G5" t="str">
        <f>IF('Data Checking'!S5="","",'Data Checking'!S5)</f>
        <v>gotheye</v>
      </c>
      <c r="H5" t="str">
        <f>IF('Data Checking'!T5="","",'Data Checking'!T5)</f>
        <v>gotheye</v>
      </c>
      <c r="I5" t="str">
        <f>IF('Data Checking'!U5="","",'Data Checking'!U5)</f>
        <v>gotheye</v>
      </c>
      <c r="J5" t="str">
        <f>IF('Data Checking'!V5="","",'Data Checking'!V5)</f>
        <v/>
      </c>
      <c r="K5" t="str">
        <f>IF('Data Checking'!W5="","",'Data Checking'!W5)</f>
        <v/>
      </c>
      <c r="L5" t="str">
        <f>IF('Data Checking'!X5="","",'Data Checking'!X5)</f>
        <v/>
      </c>
      <c r="M5" t="str">
        <f>IF('Data Checking'!Y5="","",'Data Checking'!Y5)</f>
        <v/>
      </c>
      <c r="N5" t="str">
        <f>IF('Data Checking'!Z5="","",'Data Checking'!Z5)</f>
        <v/>
      </c>
      <c r="O5" t="str">
        <f>IF('Data Checking'!AA5="","",'Data Checking'!AA5)</f>
        <v/>
      </c>
      <c r="P5" t="str">
        <f>IF('Data Checking'!AB5="","",'Data Checking'!AB5)</f>
        <v/>
      </c>
      <c r="Q5" t="str">
        <f>IF('Data Checking'!AC5="","",'Data Checking'!AC5)</f>
        <v/>
      </c>
      <c r="R5" t="str">
        <f>IF('Data Checking'!AD5="","",'Data Checking'!AD5)</f>
        <v>Homme</v>
      </c>
      <c r="S5" t="str">
        <f>IF('Data Checking'!AE5="","",'Data Checking'!AE5)</f>
        <v>38</v>
      </c>
      <c r="T5" t="str">
        <f>IF('Data Checking'!AF5="","",'Data Checking'!AF5)</f>
        <v>Hote</v>
      </c>
      <c r="U5" t="str">
        <f>IF('Data Checking'!AG5="","",'Data Checking'!AG5)</f>
        <v/>
      </c>
      <c r="V5" t="str">
        <f>IF('Data Checking'!AH5="","",'Data Checking'!AH5)</f>
        <v/>
      </c>
      <c r="W5" t="str">
        <f>IF('Data Checking'!AI5="","",'Data Checking'!AI5)</f>
        <v/>
      </c>
      <c r="X5" t="str">
        <f>IF('Data Checking'!AJ5="","",'Data Checking'!AJ5)</f>
        <v/>
      </c>
      <c r="Y5" t="str">
        <f>IF('Data Checking'!AK5="","",'Data Checking'!AK5)</f>
        <v/>
      </c>
      <c r="Z5" t="str">
        <f>IF('Data Checking'!AL5="","",'Data Checking'!AL5)</f>
        <v/>
      </c>
      <c r="AA5" t="str">
        <f>IF('Data Checking'!AM5="","",'Data Checking'!AM5)</f>
        <v/>
      </c>
      <c r="AB5" t="str">
        <f>IF('Data Checking'!AN5="","",'Data Checking'!AN5)</f>
        <v/>
      </c>
      <c r="AC5" t="str">
        <f>IF('Data Checking'!AO5="","",'Data Checking'!AO5)</f>
        <v/>
      </c>
      <c r="AD5" t="str">
        <f>IF('Data Checking'!AP5="","",'Data Checking'!AP5)</f>
        <v/>
      </c>
      <c r="AE5" t="str">
        <f>IF('Data Checking'!AQ5="","",'Data Checking'!AQ5)</f>
        <v/>
      </c>
      <c r="AF5" t="str">
        <f>IF('Data Checking'!AR5="","",'Data Checking'!AR5)</f>
        <v/>
      </c>
      <c r="AG5" t="str">
        <f>IF('Data Checking'!AS5="","",'Data Checking'!AS5)</f>
        <v>non</v>
      </c>
      <c r="AH5" t="str">
        <f>IF('Data Checking'!AT5="","",'Data Checking'!AT5)</f>
        <v/>
      </c>
      <c r="AI5" t="str">
        <f>IF('Data Checking'!AU5="","",'Data Checking'!AU5)</f>
        <v/>
      </c>
      <c r="AJ5" t="str">
        <f>IF('Data Checking'!AV5="","",'Data Checking'!AV5)</f>
        <v/>
      </c>
      <c r="AK5" t="str">
        <f>IF('Data Checking'!AW5="","",'Data Checking'!AW5)</f>
        <v/>
      </c>
      <c r="AL5" t="str">
        <f>IF('Data Checking'!AX5="","",'Data Checking'!AX5)</f>
        <v/>
      </c>
      <c r="AM5" t="str">
        <f>IF('Data Checking'!AY5="","",'Data Checking'!AY5)</f>
        <v/>
      </c>
      <c r="AN5" t="str">
        <f>IF('Data Checking'!AZ5="","",'Data Checking'!AZ5)</f>
        <v/>
      </c>
      <c r="AO5" t="str">
        <f>IF('Data Checking'!BA5="","",'Data Checking'!BA5)</f>
        <v/>
      </c>
      <c r="AP5" t="str">
        <f>IF('Data Checking'!BB5="","",'Data Checking'!BB5)</f>
        <v/>
      </c>
      <c r="AQ5" t="str">
        <f>IF('Data Checking'!BC5="","",'Data Checking'!BC5)</f>
        <v/>
      </c>
      <c r="AR5" t="str">
        <f>IF('Data Checking'!BD5="","",'Data Checking'!BD5)</f>
        <v/>
      </c>
      <c r="AS5" t="str">
        <f>IF('Data Checking'!BE5="","",'Data Checking'!BE5)</f>
        <v/>
      </c>
      <c r="AT5" t="str">
        <f>IF('Data Checking'!BF5="","",'Data Checking'!BF5)</f>
        <v/>
      </c>
      <c r="AU5" t="str">
        <f>IF('Data Checking'!BG5="","",'Data Checking'!BG5)</f>
        <v/>
      </c>
      <c r="AV5" t="str">
        <f>IF('Data Checking'!BH5="","",'Data Checking'!BH5)</f>
        <v/>
      </c>
      <c r="AW5" t="str">
        <f>IF('Data Checking'!BI5="","",'Data Checking'!BI5)</f>
        <v/>
      </c>
      <c r="AX5" t="str">
        <f>IF('Data Checking'!BJ5="","",'Data Checking'!BJ5)</f>
        <v/>
      </c>
      <c r="AY5" t="str">
        <f>IF('Data Checking'!BK5="","",'Data Checking'!BK5)</f>
        <v/>
      </c>
      <c r="AZ5" t="str">
        <f>IF('Data Checking'!BL5="","",'Data Checking'!BL5)</f>
        <v/>
      </c>
      <c r="BA5" t="str">
        <f>IF('Data Checking'!BM5="","",'Data Checking'!BM5)</f>
        <v/>
      </c>
      <c r="BB5" t="str">
        <f>IF('Data Checking'!BN5="","",'Data Checking'!BN5)</f>
        <v/>
      </c>
      <c r="BC5" t="str">
        <f>IF('Data Checking'!BO5="","",'Data Checking'!BO5)</f>
        <v/>
      </c>
      <c r="BD5" t="str">
        <f>IF('Data Checking'!BP5="","",'Data Checking'!BP5)</f>
        <v/>
      </c>
      <c r="BE5" t="str">
        <f>IF('Data Checking'!BQ5="","",'Data Checking'!BQ5)</f>
        <v/>
      </c>
      <c r="BF5" t="str">
        <f>IF('Data Checking'!BR5="","",'Data Checking'!BR5)</f>
        <v/>
      </c>
      <c r="BG5" t="str">
        <f>IF('Data Checking'!BS5="","",'Data Checking'!BS5)</f>
        <v/>
      </c>
      <c r="BH5" t="str">
        <f>IF('Data Checking'!BT5="","",'Data Checking'!BT5)</f>
        <v/>
      </c>
      <c r="BI5" t="str">
        <f>IF('Data Checking'!BU5="","",'Data Checking'!BU5)</f>
        <v/>
      </c>
      <c r="BJ5" t="str">
        <f>IF('Data Checking'!BV5="","",'Data Checking'!BV5)</f>
        <v/>
      </c>
      <c r="BK5" t="str">
        <f>IF('Data Checking'!BW5="","",'Data Checking'!BW5)</f>
        <v/>
      </c>
      <c r="BL5" t="str">
        <f>IF('Data Checking'!BX5="","",'Data Checking'!BX5)</f>
        <v/>
      </c>
      <c r="BM5" t="str">
        <f>IF('Data Checking'!BY5="","",'Data Checking'!BY5)</f>
        <v/>
      </c>
      <c r="BN5" t="str">
        <f>IF('Data Checking'!BZ5="","",'Data Checking'!BZ5)</f>
        <v/>
      </c>
      <c r="BO5" t="str">
        <f>IF('Data Checking'!CA5="","",'Data Checking'!CA5)</f>
        <v/>
      </c>
      <c r="BP5" t="str">
        <f>IF('Data Checking'!CB5="","",'Data Checking'!CB5)</f>
        <v/>
      </c>
      <c r="BQ5" t="str">
        <f>IF('Data Checking'!CC5="","",'Data Checking'!CC5)</f>
        <v>non</v>
      </c>
      <c r="BR5" t="str">
        <f>IF('Data Checking'!CD5="","",'Data Checking'!CD5)</f>
        <v/>
      </c>
      <c r="BS5" t="str">
        <f>IF('Data Checking'!CE5="","",'Data Checking'!CE5)</f>
        <v/>
      </c>
      <c r="BT5" t="str">
        <f>IF('Data Checking'!CF5="","",'Data Checking'!CF5)</f>
        <v/>
      </c>
      <c r="BU5" t="str">
        <f>IF('Data Checking'!CG5="","",'Data Checking'!CG5)</f>
        <v/>
      </c>
      <c r="BV5" t="str">
        <f>IF('Data Checking'!CH5="","",'Data Checking'!CH5)</f>
        <v/>
      </c>
      <c r="BW5" t="str">
        <f>IF('Data Checking'!CI5="","",'Data Checking'!CI5)</f>
        <v/>
      </c>
      <c r="BX5" t="str">
        <f>IF('Data Checking'!CJ5="","",'Data Checking'!CJ5)</f>
        <v/>
      </c>
      <c r="BY5" t="str">
        <f>IF('Data Checking'!CK5="","",'Data Checking'!CK5)</f>
        <v/>
      </c>
      <c r="BZ5" t="str">
        <f>IF('Data Checking'!CL5="","",'Data Checking'!CL5)</f>
        <v/>
      </c>
      <c r="CA5" t="str">
        <f>IF('Data Checking'!CM5="","",'Data Checking'!CM5)</f>
        <v/>
      </c>
      <c r="CB5" t="str">
        <f>IF('Data Checking'!CN5="","",'Data Checking'!CN5)</f>
        <v/>
      </c>
      <c r="CC5" t="str">
        <f>IF('Data Checking'!CO5="","",'Data Checking'!CO5)</f>
        <v/>
      </c>
      <c r="CD5" t="str">
        <f>IF('Data Checking'!CP5="","",'Data Checking'!CP5)</f>
        <v/>
      </c>
      <c r="CE5" t="str">
        <f>IF('Data Checking'!CQ5="","",'Data Checking'!CQ5)</f>
        <v/>
      </c>
      <c r="CF5" t="str">
        <f>IF('Data Checking'!CR5="","",'Data Checking'!CR5)</f>
        <v/>
      </c>
      <c r="CG5" t="str">
        <f>IF('Data Checking'!CS5="","",'Data Checking'!CS5)</f>
        <v/>
      </c>
      <c r="CH5" t="str">
        <f>IF('Data Checking'!CT5="","",'Data Checking'!CT5)</f>
        <v/>
      </c>
      <c r="CI5" t="str">
        <f>IF('Data Checking'!CU5="","",'Data Checking'!CU5)</f>
        <v/>
      </c>
      <c r="CJ5" t="str">
        <f>IF('Data Checking'!CV5="","",'Data Checking'!CV5)</f>
        <v/>
      </c>
      <c r="CK5" t="str">
        <f>IF('Data Checking'!CW5="","",'Data Checking'!CW5)</f>
        <v/>
      </c>
      <c r="CL5" t="str">
        <f>IF('Data Checking'!CX5="","",'Data Checking'!CX5)</f>
        <v/>
      </c>
      <c r="CM5" t="str">
        <f>IF('Data Checking'!CY5="","",'Data Checking'!CY5)</f>
        <v/>
      </c>
      <c r="CN5" t="str">
        <f>IF('Data Checking'!CZ5="","",'Data Checking'!CZ5)</f>
        <v/>
      </c>
      <c r="CO5" t="str">
        <f>IF('Data Checking'!DA5="","",'Data Checking'!DA5)</f>
        <v/>
      </c>
      <c r="CP5" t="str">
        <f>IF('Data Checking'!DB5="","",'Data Checking'!DB5)</f>
        <v/>
      </c>
      <c r="CQ5" t="str">
        <f>IF('Data Checking'!DC5="","",'Data Checking'!DC5)</f>
        <v/>
      </c>
      <c r="CR5" t="str">
        <f>IF('Data Checking'!DD5="","",'Data Checking'!DD5)</f>
        <v/>
      </c>
      <c r="CS5" t="str">
        <f>IF('Data Checking'!DE5="","",'Data Checking'!DE5)</f>
        <v/>
      </c>
      <c r="CT5" t="str">
        <f>IF('Data Checking'!DF5="","",'Data Checking'!DF5)</f>
        <v/>
      </c>
      <c r="CU5" t="str">
        <f>IF('Data Checking'!DG5="","",'Data Checking'!DG5)</f>
        <v/>
      </c>
      <c r="CV5" t="str">
        <f>IF('Data Checking'!DH5="","",'Data Checking'!DH5)</f>
        <v/>
      </c>
      <c r="CW5" t="str">
        <f>IF('Data Checking'!DI5="","",'Data Checking'!DI5)</f>
        <v/>
      </c>
      <c r="CX5" t="str">
        <f>IF('Data Checking'!DJ5="","",'Data Checking'!DJ5)</f>
        <v/>
      </c>
      <c r="CY5" t="str">
        <f>IF('Data Checking'!DK5="","",'Data Checking'!DK5)</f>
        <v/>
      </c>
      <c r="CZ5" t="str">
        <f>IF('Data Checking'!DL5="","",'Data Checking'!DL5)</f>
        <v/>
      </c>
      <c r="DA5" t="str">
        <f>IF('Data Checking'!DM5="","",'Data Checking'!DM5)</f>
        <v/>
      </c>
      <c r="DB5" t="str">
        <f>IF('Data Checking'!DN5="","",'Data Checking'!DN5)</f>
        <v/>
      </c>
      <c r="DC5" t="str">
        <f>IF('Data Checking'!DO5="","",'Data Checking'!DO5)</f>
        <v/>
      </c>
      <c r="DD5" t="str">
        <f>IF('Data Checking'!DP5="","",'Data Checking'!DP5)</f>
        <v/>
      </c>
      <c r="DE5" t="str">
        <f>IF('Data Checking'!DQ5="","",'Data Checking'!DQ5)</f>
        <v/>
      </c>
      <c r="DF5" t="str">
        <f>IF('Data Checking'!DR5="","",'Data Checking'!DR5)</f>
        <v/>
      </c>
      <c r="DG5" t="str">
        <f>IF('Data Checking'!DS5="","",'Data Checking'!DS5)</f>
        <v/>
      </c>
      <c r="DH5" t="str">
        <f>IF('Data Checking'!DT5="","",'Data Checking'!DT5)</f>
        <v/>
      </c>
      <c r="DI5" t="str">
        <f>IF('Data Checking'!DU5="","",'Data Checking'!DU5)</f>
        <v/>
      </c>
      <c r="DJ5" t="str">
        <f>IF('Data Checking'!DV5="","",'Data Checking'!DV5)</f>
        <v/>
      </c>
      <c r="DK5" t="str">
        <f>IF('Data Checking'!DW5="","",'Data Checking'!DW5)</f>
        <v/>
      </c>
      <c r="DL5" t="str">
        <f>IF('Data Checking'!DX5="","",'Data Checking'!DX5)</f>
        <v/>
      </c>
      <c r="DM5" t="str">
        <f>IF('Data Checking'!DY5="","",'Data Checking'!DY5)</f>
        <v/>
      </c>
      <c r="DN5" t="str">
        <f>IF('Data Checking'!DZ5="","",'Data Checking'!DZ5)</f>
        <v/>
      </c>
      <c r="DO5" t="str">
        <f>IF('Data Checking'!EA5="","",'Data Checking'!EA5)</f>
        <v/>
      </c>
      <c r="DP5" t="str">
        <f>IF('Data Checking'!EB5="","",'Data Checking'!EB5)</f>
        <v/>
      </c>
      <c r="DQ5" t="str">
        <f>IF('Data Checking'!EC5="","",'Data Checking'!EC5)</f>
        <v/>
      </c>
      <c r="DR5" t="str">
        <f>IF('Data Checking'!ED5="","",'Data Checking'!ED5)</f>
        <v/>
      </c>
      <c r="DS5" t="str">
        <f>IF('Data Checking'!EE5="","",'Data Checking'!EE5)</f>
        <v/>
      </c>
      <c r="DT5" t="str">
        <f>IF('Data Checking'!EF5="","",'Data Checking'!EF5)</f>
        <v/>
      </c>
      <c r="DU5" t="str">
        <f>IF('Data Checking'!EG5="","",'Data Checking'!EG5)</f>
        <v/>
      </c>
      <c r="DV5" t="str">
        <f>IF('Data Checking'!EH5="","",'Data Checking'!EH5)</f>
        <v/>
      </c>
      <c r="DW5" t="str">
        <f>IF('Data Checking'!EI5="","",'Data Checking'!EI5)</f>
        <v/>
      </c>
      <c r="DX5" t="str">
        <f>IF('Data Checking'!EJ5="","",'Data Checking'!EJ5)</f>
        <v/>
      </c>
      <c r="DY5" t="str">
        <f>IF('Data Checking'!EK5="","",'Data Checking'!EK5)</f>
        <v/>
      </c>
      <c r="DZ5" t="str">
        <f>IF('Data Checking'!EL5="","",'Data Checking'!EL5)</f>
        <v>pas_de_mecanismes</v>
      </c>
      <c r="EA5" t="str">
        <f>IF('Data Checking'!EM5="","",'Data Checking'!EM5)</f>
        <v>0</v>
      </c>
      <c r="EB5" t="str">
        <f>IF('Data Checking'!EN5="","",'Data Checking'!EN5)</f>
        <v>0</v>
      </c>
      <c r="EC5" t="str">
        <f>IF('Data Checking'!EO5="","",'Data Checking'!EO5)</f>
        <v>0</v>
      </c>
      <c r="ED5" t="str">
        <f>IF('Data Checking'!EP5="","",'Data Checking'!EP5)</f>
        <v>0</v>
      </c>
      <c r="EE5" t="str">
        <f>IF('Data Checking'!EQ5="","",'Data Checking'!EQ5)</f>
        <v>0</v>
      </c>
      <c r="EF5" t="str">
        <f>IF('Data Checking'!ER5="","",'Data Checking'!ER5)</f>
        <v>0</v>
      </c>
      <c r="EG5">
        <f>IF('Data Checking'!ES5="","",'Data Checking'!ES5)</f>
        <v>1</v>
      </c>
      <c r="EH5">
        <f>IF('Data Checking'!ET5="","",'Data Checking'!ET5)</f>
        <v>0</v>
      </c>
      <c r="EI5" t="str">
        <f>IF('Data Checking'!EU5="","",'Data Checking'!EU5)</f>
        <v>0</v>
      </c>
      <c r="EJ5" t="str">
        <f>IF('Data Checking'!EV5="","",'Data Checking'!EV5)</f>
        <v/>
      </c>
      <c r="EK5" t="str">
        <f>IF('Data Checking'!EW5="","",'Data Checking'!EW5)</f>
        <v/>
      </c>
      <c r="EL5" t="str">
        <f>IF('Data Checking'!EX5="","",'Data Checking'!EX5)</f>
        <v>famille_accueil</v>
      </c>
      <c r="EM5" t="str">
        <f>IF('Data Checking'!EY5="","",'Data Checking'!EY5)</f>
        <v>0</v>
      </c>
      <c r="EN5" t="str">
        <f>IF('Data Checking'!EZ5="","",'Data Checking'!EZ5)</f>
        <v>0</v>
      </c>
      <c r="EO5" t="str">
        <f>IF('Data Checking'!FA5="","",'Data Checking'!FA5)</f>
        <v>1</v>
      </c>
      <c r="EP5" t="str">
        <f>IF('Data Checking'!FB5="","",'Data Checking'!FB5)</f>
        <v>0</v>
      </c>
      <c r="EQ5" t="str">
        <f>IF('Data Checking'!FC5="","",'Data Checking'!FC5)</f>
        <v>0</v>
      </c>
      <c r="ER5" t="str">
        <f>IF('Data Checking'!FD5="","",'Data Checking'!FD5)</f>
        <v>0</v>
      </c>
      <c r="ES5" t="str">
        <f>IF('Data Checking'!FE5="","",'Data Checking'!FE5)</f>
        <v>0</v>
      </c>
      <c r="ET5" t="str">
        <f>IF('Data Checking'!FF5="","",'Data Checking'!FF5)</f>
        <v>0</v>
      </c>
      <c r="EU5" t="str">
        <f>IF('Data Checking'!FG5="","",'Data Checking'!FG5)</f>
        <v>0</v>
      </c>
      <c r="EV5" t="str">
        <f>IF('Data Checking'!FH5="","",'Data Checking'!FH5)</f>
        <v>0</v>
      </c>
      <c r="EW5" t="str">
        <f>IF('Data Checking'!FI5="","",'Data Checking'!FI5)</f>
        <v/>
      </c>
      <c r="EX5" t="str">
        <f>IF('Data Checking'!FJ5="","",'Data Checking'!FJ5)</f>
        <v>oui</v>
      </c>
      <c r="EY5" t="str">
        <f>IF('Data Checking'!FK5="","",'Data Checking'!FK5)</f>
        <v>Chef_village</v>
      </c>
      <c r="EZ5" t="str">
        <f>IF('Data Checking'!FL5="","",'Data Checking'!FL5)</f>
        <v>0</v>
      </c>
      <c r="FA5" t="str">
        <f>IF('Data Checking'!FM5="","",'Data Checking'!FM5)</f>
        <v>0</v>
      </c>
      <c r="FB5" t="str">
        <f>IF('Data Checking'!FN5="","",'Data Checking'!FN5)</f>
        <v>0</v>
      </c>
      <c r="FC5" t="str">
        <f>IF('Data Checking'!FO5="","",'Data Checking'!FO5)</f>
        <v>0</v>
      </c>
      <c r="FD5" t="str">
        <f>IF('Data Checking'!FP5="","",'Data Checking'!FP5)</f>
        <v>1</v>
      </c>
      <c r="FE5" t="str">
        <f>IF('Data Checking'!FQ5="","",'Data Checking'!FQ5)</f>
        <v>0</v>
      </c>
      <c r="FF5" t="str">
        <f>IF('Data Checking'!FR5="","",'Data Checking'!FR5)</f>
        <v>0</v>
      </c>
      <c r="FG5" t="str">
        <f>IF('Data Checking'!FS5="","",'Data Checking'!FS5)</f>
        <v>0</v>
      </c>
      <c r="FH5" t="str">
        <f>IF('Data Checking'!FT5="","",'Data Checking'!FT5)</f>
        <v>0</v>
      </c>
      <c r="FI5" t="str">
        <f>IF('Data Checking'!FU5="","",'Data Checking'!FU5)</f>
        <v>0</v>
      </c>
      <c r="FJ5" t="str">
        <f>IF('Data Checking'!FV5="","",'Data Checking'!FV5)</f>
        <v>0</v>
      </c>
      <c r="FK5" t="str">
        <f>IF('Data Checking'!FW5="","",'Data Checking'!FW5)</f>
        <v>0</v>
      </c>
      <c r="FL5" t="str">
        <f>IF('Data Checking'!FX5="","",'Data Checking'!FX5)</f>
        <v>0</v>
      </c>
      <c r="FM5" t="str">
        <f>IF('Data Checking'!FY5="","",'Data Checking'!FY5)</f>
        <v>0</v>
      </c>
      <c r="FN5" t="str">
        <f>IF('Data Checking'!FZ5="","",'Data Checking'!FZ5)</f>
        <v/>
      </c>
      <c r="FO5" t="str">
        <f>IF('Data Checking'!GA5="","",'Data Checking'!GA5)</f>
        <v>oui_ensemble</v>
      </c>
      <c r="FP5" t="str">
        <f>IF('Data Checking'!GB5="","",'Data Checking'!GB5)</f>
        <v>oui_ensemble</v>
      </c>
      <c r="FQ5" t="str">
        <f>IF('Data Checking'!GC5="","",'Data Checking'!GC5)</f>
        <v/>
      </c>
      <c r="FR5" t="str">
        <f>IF('Data Checking'!GD5="","",'Data Checking'!GD5)</f>
        <v/>
      </c>
      <c r="FS5" t="str">
        <f>IF('Data Checking'!GE5="","",'Data Checking'!GE5)</f>
        <v/>
      </c>
      <c r="FT5" t="str">
        <f>IF('Data Checking'!GF5="","",'Data Checking'!GF5)</f>
        <v/>
      </c>
      <c r="FU5" t="str">
        <f>IF('Data Checking'!GG5="","",'Data Checking'!GG5)</f>
        <v/>
      </c>
      <c r="FV5" t="str">
        <f>IF('Data Checking'!GH5="","",'Data Checking'!GH5)</f>
        <v/>
      </c>
      <c r="FW5" t="str">
        <f>IF('Data Checking'!GI5="","",'Data Checking'!GI5)</f>
        <v/>
      </c>
      <c r="FX5" t="str">
        <f>IF('Data Checking'!GJ5="","",'Data Checking'!GJ5)</f>
        <v/>
      </c>
      <c r="FY5" t="str">
        <f>IF('Data Checking'!GK5="","",'Data Checking'!GK5)</f>
        <v/>
      </c>
      <c r="FZ5" t="str">
        <f>IF('Data Checking'!GL5="","",'Data Checking'!GL5)</f>
        <v/>
      </c>
      <c r="GA5" t="str">
        <f>IF('Data Checking'!GM5="","",'Data Checking'!GM5)</f>
        <v>ensemble</v>
      </c>
      <c r="GB5" t="str">
        <f>IF('Data Checking'!GN5="","",'Data Checking'!GN5)</f>
        <v>aucun</v>
      </c>
      <c r="GC5" t="str">
        <f>IF('Data Checking'!GO5="","",'Data Checking'!GO5)</f>
        <v>Services_de_sante Education</v>
      </c>
      <c r="GD5" t="str">
        <f>IF('Data Checking'!GP5="","",'Data Checking'!GP5)</f>
        <v>0</v>
      </c>
      <c r="GE5" t="str">
        <f>IF('Data Checking'!GQ5="","",'Data Checking'!GQ5)</f>
        <v>1</v>
      </c>
      <c r="GF5" t="str">
        <f>IF('Data Checking'!GR5="","",'Data Checking'!GR5)</f>
        <v>0</v>
      </c>
      <c r="GG5" t="str">
        <f>IF('Data Checking'!GS5="","",'Data Checking'!GS5)</f>
        <v>1</v>
      </c>
      <c r="GH5" t="str">
        <f>IF('Data Checking'!GT5="","",'Data Checking'!GT5)</f>
        <v>0</v>
      </c>
      <c r="GI5" t="str">
        <f>IF('Data Checking'!GU5="","",'Data Checking'!GU5)</f>
        <v>0</v>
      </c>
      <c r="GJ5" t="str">
        <f>IF('Data Checking'!GV5="","",'Data Checking'!GV5)</f>
        <v>0</v>
      </c>
      <c r="GK5">
        <f>IF('Data Checking'!GW5="","",'Data Checking'!GW5)</f>
        <v>0</v>
      </c>
      <c r="GL5" t="str">
        <f>IF('Data Checking'!GX5="","",'Data Checking'!GX5)</f>
        <v>0</v>
      </c>
      <c r="GM5" t="str">
        <f>IF('Data Checking'!GY5="","",'Data Checking'!GY5)</f>
        <v/>
      </c>
      <c r="GN5" t="str">
        <f>IF('Data Checking'!GZ5="","",'Data Checking'!GZ5)</f>
        <v>oui_minorite</v>
      </c>
      <c r="GO5" t="str">
        <f>IF('Data Checking'!HA5="","",'Data Checking'!HA5)</f>
        <v>oui_minorite</v>
      </c>
      <c r="GP5" t="str">
        <f>IF('Data Checking'!HB5="","",'Data Checking'!HB5)</f>
        <v>repond_besoins_pop</v>
      </c>
      <c r="GQ5" t="str">
        <f>IF('Data Checking'!HC5="","",'Data Checking'!HC5)</f>
        <v>0</v>
      </c>
      <c r="GR5" t="str">
        <f>IF('Data Checking'!HD5="","",'Data Checking'!HD5)</f>
        <v>1</v>
      </c>
      <c r="GS5" t="str">
        <f>IF('Data Checking'!HE5="","",'Data Checking'!HE5)</f>
        <v>0</v>
      </c>
      <c r="GT5" t="str">
        <f>IF('Data Checking'!HF5="","",'Data Checking'!HF5)</f>
        <v>0</v>
      </c>
      <c r="GU5" t="str">
        <f>IF('Data Checking'!HG5="","",'Data Checking'!HG5)</f>
        <v>0</v>
      </c>
      <c r="GV5" t="str">
        <f>IF('Data Checking'!HH5="","",'Data Checking'!HH5)</f>
        <v>0</v>
      </c>
      <c r="GW5" t="str">
        <f>IF('Data Checking'!HI5="","",'Data Checking'!HI5)</f>
        <v>0</v>
      </c>
      <c r="GX5" t="str">
        <f>IF('Data Checking'!HJ5="","",'Data Checking'!HJ5)</f>
        <v>0</v>
      </c>
      <c r="GY5" t="str">
        <f>IF('Data Checking'!HK5="","",'Data Checking'!HK5)</f>
        <v/>
      </c>
      <c r="GZ5" t="str">
        <f>IF('Data Checking'!HL5="","",'Data Checking'!HL5)</f>
        <v>Autre</v>
      </c>
      <c r="HA5" t="str">
        <f>IF('Data Checking'!HM5="","",'Data Checking'!HM5)</f>
        <v>0</v>
      </c>
      <c r="HB5" t="str">
        <f>IF('Data Checking'!HN5="","",'Data Checking'!HN5)</f>
        <v>0</v>
      </c>
      <c r="HC5" t="str">
        <f>IF('Data Checking'!HO5="","",'Data Checking'!HO5)</f>
        <v>0</v>
      </c>
      <c r="HD5" t="str">
        <f>IF('Data Checking'!HP5="","",'Data Checking'!HP5)</f>
        <v>0</v>
      </c>
      <c r="HE5" t="str">
        <f>IF('Data Checking'!HQ5="","",'Data Checking'!HQ5)</f>
        <v>1</v>
      </c>
      <c r="HF5" t="str">
        <f>IF('Data Checking'!HR5="","",'Data Checking'!HR5)</f>
        <v>0</v>
      </c>
      <c r="HG5" t="str">
        <f>IF('Data Checking'!HS5="","",'Data Checking'!HS5)</f>
        <v>Difficulté d'accès aux services pour manque de moyens financiers</v>
      </c>
      <c r="HH5" t="str">
        <f>IF('Data Checking'!HT5="","",'Data Checking'!HT5)</f>
        <v/>
      </c>
      <c r="HI5" t="str">
        <f>IF('Data Checking'!HU5="","",'Data Checking'!HU5)</f>
        <v>non</v>
      </c>
      <c r="HJ5" t="str">
        <f>IF('Data Checking'!HV5="","",'Data Checking'!HV5)</f>
        <v/>
      </c>
      <c r="HK5" t="str">
        <f>IF('Data Checking'!HW5="","",'Data Checking'!HW5)</f>
        <v/>
      </c>
      <c r="HL5" t="str">
        <f>IF('Data Checking'!HX5="","",'Data Checking'!HX5)</f>
        <v/>
      </c>
      <c r="HM5" t="str">
        <f>IF('Data Checking'!HY5="","",'Data Checking'!HY5)</f>
        <v/>
      </c>
      <c r="HN5" t="str">
        <f>IF('Data Checking'!HZ5="","",'Data Checking'!HZ5)</f>
        <v/>
      </c>
      <c r="HO5" t="str">
        <f>IF('Data Checking'!IA5="","",'Data Checking'!IA5)</f>
        <v/>
      </c>
      <c r="HP5" t="str">
        <f>IF('Data Checking'!IB5="","",'Data Checking'!IB5)</f>
        <v/>
      </c>
      <c r="HQ5" t="str">
        <f>IF('Data Checking'!IC5="","",'Data Checking'!IC5)</f>
        <v/>
      </c>
      <c r="HR5" t="str">
        <f>IF('Data Checking'!ID5="","",'Data Checking'!ID5)</f>
        <v/>
      </c>
      <c r="HS5" t="str">
        <f>IF('Data Checking'!IE5="","",'Data Checking'!IE5)</f>
        <v/>
      </c>
      <c r="HT5" t="str">
        <f>IF('Data Checking'!IF5="","",'Data Checking'!IF5)</f>
        <v/>
      </c>
      <c r="HU5" t="str">
        <f>IF('Data Checking'!IG5="","",'Data Checking'!IG5)</f>
        <v/>
      </c>
      <c r="HV5" t="str">
        <f>IF('Data Checking'!IH5="","",'Data Checking'!IH5)</f>
        <v>oui</v>
      </c>
      <c r="HW5" t="str">
        <f>IF('Data Checking'!II5="","",'Data Checking'!II5)</f>
        <v/>
      </c>
      <c r="HX5" t="str">
        <f>IF('Data Checking'!IJ5="","",'Data Checking'!IJ5)</f>
        <v/>
      </c>
      <c r="HY5" t="str">
        <f>IF('Data Checking'!IK5="","",'Data Checking'!IK5)</f>
        <v/>
      </c>
      <c r="HZ5" t="str">
        <f>IF('Data Checking'!IL5="","",'Data Checking'!IL5)</f>
        <v/>
      </c>
      <c r="IA5" t="str">
        <f>IF('Data Checking'!IM5="","",'Data Checking'!IM5)</f>
        <v/>
      </c>
      <c r="IB5" t="str">
        <f>IF('Data Checking'!IN5="","",'Data Checking'!IN5)</f>
        <v/>
      </c>
      <c r="IC5" t="str">
        <f>IF('Data Checking'!IO5="","",'Data Checking'!IO5)</f>
        <v/>
      </c>
      <c r="ID5" t="str">
        <f>IF('Data Checking'!IP5="","",'Data Checking'!IP5)</f>
        <v/>
      </c>
      <c r="IE5" t="str">
        <f>IF('Data Checking'!IQ5="","",'Data Checking'!IQ5)</f>
        <v/>
      </c>
      <c r="IF5" t="str">
        <f>IF('Data Checking'!IR5="","",'Data Checking'!IR5)</f>
        <v/>
      </c>
      <c r="IG5" t="str">
        <f>IF('Data Checking'!IS5="","",'Data Checking'!IS5)</f>
        <v/>
      </c>
      <c r="IH5" t="str">
        <f>IF('Data Checking'!IT5="","",'Data Checking'!IT5)</f>
        <v/>
      </c>
      <c r="II5" t="str">
        <f>IF('Data Checking'!IU5="","",'Data Checking'!IU5)</f>
        <v/>
      </c>
      <c r="IJ5" t="str">
        <f>IF('Data Checking'!IV5="","",'Data Checking'!IV5)</f>
        <v/>
      </c>
      <c r="IK5" t="str">
        <f>IF('Data Checking'!IW5="","",'Data Checking'!IW5)</f>
        <v/>
      </c>
      <c r="IL5" t="str">
        <f>IF('Data Checking'!IX5="","",'Data Checking'!IX5)</f>
        <v/>
      </c>
      <c r="IM5" t="str">
        <f>IF('Data Checking'!IY5="","",'Data Checking'!IY5)</f>
        <v/>
      </c>
      <c r="IN5" t="str">
        <f>IF('Data Checking'!IZ5="","",'Data Checking'!IZ5)</f>
        <v>10</v>
      </c>
      <c r="IO5" t="str">
        <f>IF('Data Checking'!JA5="","",'Data Checking'!JA5)</f>
        <v>Services_medicaux</v>
      </c>
      <c r="IP5" t="str">
        <f>IF('Data Checking'!JB5="","",'Data Checking'!JB5)</f>
        <v>0</v>
      </c>
      <c r="IQ5" t="str">
        <f>IF('Data Checking'!JC5="","",'Data Checking'!JC5)</f>
        <v>1</v>
      </c>
      <c r="IR5" t="str">
        <f>IF('Data Checking'!JD5="","",'Data Checking'!JD5)</f>
        <v>0</v>
      </c>
      <c r="IS5" t="str">
        <f>IF('Data Checking'!JE5="","",'Data Checking'!JE5)</f>
        <v>0</v>
      </c>
      <c r="IT5" t="str">
        <f>IF('Data Checking'!JF5="","",'Data Checking'!JF5)</f>
        <v>0</v>
      </c>
      <c r="IU5" t="str">
        <f>IF('Data Checking'!JG5="","",'Data Checking'!JG5)</f>
        <v>0</v>
      </c>
      <c r="IV5" t="str">
        <f>IF('Data Checking'!JH5="","",'Data Checking'!JH5)</f>
        <v>0</v>
      </c>
      <c r="IW5" t="str">
        <f>IF('Data Checking'!JI5="","",'Data Checking'!JI5)</f>
        <v>0</v>
      </c>
      <c r="IX5" t="str">
        <f>IF('Data Checking'!JJ5="","",'Data Checking'!JJ5)</f>
        <v>0</v>
      </c>
      <c r="IY5" t="str">
        <f>IF('Data Checking'!JK5="","",'Data Checking'!JK5)</f>
        <v>0</v>
      </c>
      <c r="IZ5" t="str">
        <f>IF('Data Checking'!JL5="","",'Data Checking'!JL5)</f>
        <v/>
      </c>
      <c r="JA5" t="str">
        <f>IF('Data Checking'!JM5="","",'Data Checking'!JM5)</f>
        <v>signalement reorientation</v>
      </c>
      <c r="JB5" t="str">
        <f>IF('Data Checking'!JN5="","",'Data Checking'!JN5)</f>
        <v>0</v>
      </c>
      <c r="JC5" t="str">
        <f>IF('Data Checking'!JO5="","",'Data Checking'!JO5)</f>
        <v>1</v>
      </c>
      <c r="JD5" t="str">
        <f>IF('Data Checking'!JP5="","",'Data Checking'!JP5)</f>
        <v>1</v>
      </c>
      <c r="JE5" t="str">
        <f>IF('Data Checking'!JQ5="","",'Data Checking'!JQ5)</f>
        <v>0</v>
      </c>
      <c r="JF5" t="str">
        <f>IF('Data Checking'!JR5="","",'Data Checking'!JR5)</f>
        <v>0</v>
      </c>
      <c r="JG5" t="str">
        <f>IF('Data Checking'!JS5="","",'Data Checking'!JS5)</f>
        <v>0</v>
      </c>
      <c r="JH5" t="str">
        <f>IF('Data Checking'!JT5="","",'Data Checking'!JT5)</f>
        <v/>
      </c>
      <c r="JI5" t="str">
        <f>IF('Data Checking'!JU5="","",'Data Checking'!JU5)</f>
        <v/>
      </c>
      <c r="JJ5" t="str">
        <f>IF('Data Checking'!JV5="","",'Data Checking'!JV5)</f>
        <v/>
      </c>
      <c r="JK5" t="str">
        <f>IF('Data Checking'!JW5="","",'Data Checking'!JW5)</f>
        <v/>
      </c>
      <c r="JL5" t="str">
        <f>IF('Data Checking'!JX5="","",'Data Checking'!JX5)</f>
        <v/>
      </c>
      <c r="JM5" t="str">
        <f>IF('Data Checking'!JY5="","",'Data Checking'!JY5)</f>
        <v/>
      </c>
      <c r="JN5" t="str">
        <f>IF('Data Checking'!JZ5="","",'Data Checking'!JZ5)</f>
        <v/>
      </c>
      <c r="JO5" t="str">
        <f>IF('Data Checking'!KA5="","",'Data Checking'!KA5)</f>
        <v/>
      </c>
      <c r="JP5" t="str">
        <f>IF('Data Checking'!KB5="","",'Data Checking'!KB5)</f>
        <v/>
      </c>
      <c r="JQ5" t="str">
        <f>IF('Data Checking'!KC5="","",'Data Checking'!KC5)</f>
        <v/>
      </c>
      <c r="JR5" t="str">
        <f>IF('Data Checking'!KD5="","",'Data Checking'!KD5)</f>
        <v/>
      </c>
      <c r="JS5" t="str">
        <f>IF('Data Checking'!KE5="","",'Data Checking'!KE5)</f>
        <v/>
      </c>
      <c r="JT5" t="str">
        <f>IF('Data Checking'!KF5="","",'Data Checking'!KF5)</f>
        <v>medical juridique</v>
      </c>
      <c r="JU5" t="str">
        <f>IF('Data Checking'!KG5="","",'Data Checking'!KG5)</f>
        <v>1</v>
      </c>
      <c r="JV5" t="str">
        <f>IF('Data Checking'!KH5="","",'Data Checking'!KH5)</f>
        <v>0</v>
      </c>
      <c r="JW5" t="str">
        <f>IF('Data Checking'!KI5="","",'Data Checking'!KI5)</f>
        <v>0</v>
      </c>
      <c r="JX5" t="str">
        <f>IF('Data Checking'!KJ5="","",'Data Checking'!KJ5)</f>
        <v>1</v>
      </c>
      <c r="JY5" t="str">
        <f>IF('Data Checking'!KK5="","",'Data Checking'!KK5)</f>
        <v>0</v>
      </c>
      <c r="JZ5" t="str">
        <f>IF('Data Checking'!KL5="","",'Data Checking'!KL5)</f>
        <v>0</v>
      </c>
      <c r="KA5" t="str">
        <f>IF('Data Checking'!KM5="","",'Data Checking'!KM5)</f>
        <v>0</v>
      </c>
      <c r="KB5" t="str">
        <f>IF('Data Checking'!KN5="","",'Data Checking'!KN5)</f>
        <v>0</v>
      </c>
      <c r="KC5" t="str">
        <f>IF('Data Checking'!KO5="","",'Data Checking'!KO5)</f>
        <v>0</v>
      </c>
      <c r="KD5" t="str">
        <f>IF('Data Checking'!KP5="","",'Data Checking'!KP5)</f>
        <v/>
      </c>
      <c r="KE5" t="str">
        <f>IF('Data Checking'!KQ5="","",'Data Checking'!KQ5)</f>
        <v/>
      </c>
      <c r="KF5" t="str">
        <f>IF('Data Checking'!KR5="","",'Data Checking'!KR5)</f>
        <v>oui</v>
      </c>
      <c r="KG5" t="str">
        <f>IF('Data Checking'!KS5="","",'Data Checking'!KS5)</f>
        <v>manque_moyens manque_d'information</v>
      </c>
      <c r="KH5" t="str">
        <f>IF('Data Checking'!KT5="","",'Data Checking'!KT5)</f>
        <v>1</v>
      </c>
      <c r="KI5" t="str">
        <f>IF('Data Checking'!KU5="","",'Data Checking'!KU5)</f>
        <v>0</v>
      </c>
      <c r="KJ5" t="str">
        <f>IF('Data Checking'!KV5="","",'Data Checking'!KV5)</f>
        <v>1</v>
      </c>
      <c r="KK5" t="str">
        <f>IF('Data Checking'!KW5="","",'Data Checking'!KW5)</f>
        <v>0</v>
      </c>
      <c r="KL5" t="str">
        <f>IF('Data Checking'!KX5="","",'Data Checking'!KX5)</f>
        <v>0</v>
      </c>
      <c r="KM5" t="str">
        <f>IF('Data Checking'!KY5="","",'Data Checking'!KY5)</f>
        <v>0</v>
      </c>
      <c r="KN5" t="str">
        <f>IF('Data Checking'!KZ5="","",'Data Checking'!KZ5)</f>
        <v>0</v>
      </c>
      <c r="KO5" t="str">
        <f>IF('Data Checking'!LA5="","",'Data Checking'!LA5)</f>
        <v>0</v>
      </c>
      <c r="KP5" t="str">
        <f>IF('Data Checking'!LB5="","",'Data Checking'!LB5)</f>
        <v>0</v>
      </c>
      <c r="KQ5" t="str">
        <f>IF('Data Checking'!LC5="","",'Data Checking'!LC5)</f>
        <v>0</v>
      </c>
      <c r="KR5" t="str">
        <f>IF('Data Checking'!LD5="","",'Data Checking'!LD5)</f>
        <v>0</v>
      </c>
      <c r="KS5" t="str">
        <f>IF('Data Checking'!LE5="","",'Data Checking'!LE5)</f>
        <v/>
      </c>
      <c r="KT5" t="str">
        <f>IF('Data Checking'!LF5="","",'Data Checking'!LF5)</f>
        <v/>
      </c>
      <c r="KU5" t="str">
        <f>IF('Data Checking'!LG5="","",'Data Checking'!LG5)</f>
        <v/>
      </c>
      <c r="KV5" t="str">
        <f>IF('Data Checking'!LH5="","",'Data Checking'!LH5)</f>
        <v/>
      </c>
      <c r="KW5" t="str">
        <f>IF('Data Checking'!LI5="","",'Data Checking'!LI5)</f>
        <v/>
      </c>
      <c r="KX5" t="str">
        <f>IF('Data Checking'!LJ5="","",'Data Checking'!LJ5)</f>
        <v/>
      </c>
      <c r="KY5" t="str">
        <f>IF('Data Checking'!LK5="","",'Data Checking'!LK5)</f>
        <v/>
      </c>
      <c r="KZ5" t="str">
        <f>IF('Data Checking'!LL5="","",'Data Checking'!LL5)</f>
        <v/>
      </c>
      <c r="LA5" t="str">
        <f>IF('Data Checking'!LM5="","",'Data Checking'!LM5)</f>
        <v/>
      </c>
      <c r="LB5" t="str">
        <f>IF('Data Checking'!LN5="","",'Data Checking'!LN5)</f>
        <v>oui</v>
      </c>
      <c r="LC5" t="str">
        <f>IF('Data Checking'!LO5="","",'Data Checking'!LO5)</f>
        <v>menace_enlevement violence_physique menace_mort</v>
      </c>
      <c r="LD5" t="str">
        <f>IF('Data Checking'!LP5="","",'Data Checking'!LP5)</f>
        <v>1</v>
      </c>
      <c r="LE5" t="str">
        <f>IF('Data Checking'!LQ5="","",'Data Checking'!LQ5)</f>
        <v>0</v>
      </c>
      <c r="LF5" t="str">
        <f>IF('Data Checking'!LR5="","",'Data Checking'!LR5)</f>
        <v>0</v>
      </c>
      <c r="LG5" t="str">
        <f>IF('Data Checking'!LS5="","",'Data Checking'!LS5)</f>
        <v>0</v>
      </c>
      <c r="LH5" t="str">
        <f>IF('Data Checking'!LT5="","",'Data Checking'!LT5)</f>
        <v>1</v>
      </c>
      <c r="LI5" t="str">
        <f>IF('Data Checking'!LU5="","",'Data Checking'!LU5)</f>
        <v>1</v>
      </c>
      <c r="LJ5" t="str">
        <f>IF('Data Checking'!LV5="","",'Data Checking'!LV5)</f>
        <v>0</v>
      </c>
      <c r="LK5" t="str">
        <f>IF('Data Checking'!LW5="","",'Data Checking'!LW5)</f>
        <v>0</v>
      </c>
      <c r="LL5" t="str">
        <f>IF('Data Checking'!LX5="","",'Data Checking'!LX5)</f>
        <v>0</v>
      </c>
      <c r="LM5" t="str">
        <f>IF('Data Checking'!LY5="","",'Data Checking'!LY5)</f>
        <v>0</v>
      </c>
      <c r="LN5" t="str">
        <f>IF('Data Checking'!LZ5="","",'Data Checking'!LZ5)</f>
        <v/>
      </c>
      <c r="LO5" t="str">
        <f>IF('Data Checking'!MA5="","",'Data Checking'!MA5)</f>
        <v>non</v>
      </c>
      <c r="LP5" t="str">
        <f>IF('Data Checking'!MB5="","",'Data Checking'!MB5)</f>
        <v>oui</v>
      </c>
      <c r="LQ5" t="str">
        <f>IF('Data Checking'!MC5="","",'Data Checking'!MC5)</f>
        <v/>
      </c>
      <c r="LR5" t="str">
        <f>IF('Data Checking'!MD5="","",'Data Checking'!MD5)</f>
        <v>Les menaces de mort se font par appel pour demander au chef de collecter la zakkat si non ils vont venir l'enlever et le tuer</v>
      </c>
      <c r="LS5">
        <f>IF('Data Checking'!ME5="","",'Data Checking'!ME5)</f>
        <v>170478774</v>
      </c>
      <c r="LT5" t="str">
        <f>IF('Data Checking'!MF5="","",'Data Checking'!MF5)</f>
        <v>1e4810db-1d3c-401d-b644-e5dd0d4ca521</v>
      </c>
      <c r="LU5" t="str">
        <f>IF('Data Checking'!MG5="","",'Data Checking'!MG5)</f>
        <v>2021-04-08T15:25:20</v>
      </c>
      <c r="LV5" t="str">
        <f>IF('Data Checking'!MH5="","",'Data Checking'!MH5)</f>
        <v/>
      </c>
      <c r="LW5" t="str">
        <f>IF('Data Checking'!MI5="","",'Data Checking'!MI5)</f>
        <v>[]</v>
      </c>
      <c r="LX5" t="str">
        <f>IF('Data Checking'!MJ5="","",'Data Checking'!MJ5)</f>
        <v>submitted_via_web</v>
      </c>
      <c r="LY5" t="str">
        <f>IF('Data Checking'!MK5="","",'Data Checking'!MK5)</f>
        <v>reach_niger</v>
      </c>
      <c r="LZ5" t="str">
        <f>IF('Data Checking'!ML5="","",'Data Checking'!ML5)</f>
        <v/>
      </c>
      <c r="MA5">
        <f>IF('Data Checking'!MM5="","",'Data Checking'!MM5)</f>
        <v>57</v>
      </c>
    </row>
    <row r="6" spans="1:339" x14ac:dyDescent="0.3">
      <c r="A6" t="str">
        <f>IF('Data Checking'!D6="","",'Data Checking'!D6)</f>
        <v>2021-04-07T16:08:22.824+01:00</v>
      </c>
      <c r="B6" t="str">
        <f>IF('Data Checking'!E6="","",'Data Checking'!E6)</f>
        <v>2021-04-07T16:57:25.614+01:00</v>
      </c>
      <c r="C6" t="str">
        <f>IF('Data Checking'!M6="","",'Data Checking'!M6)</f>
        <v>2021-04-07</v>
      </c>
      <c r="D6" t="str">
        <f>IF('Data Checking'!N6="","",'Data Checking'!N6)</f>
        <v/>
      </c>
      <c r="E6" t="str">
        <f>IF('Data Checking'!O6="","",'Data Checking'!O6)</f>
        <v/>
      </c>
      <c r="F6" t="str">
        <f>IF('Data Checking'!R6="","",'Data Checking'!R6)</f>
        <v>Homme</v>
      </c>
      <c r="G6" t="str">
        <f>IF('Data Checking'!S6="","",'Data Checking'!S6)</f>
        <v>gotheye</v>
      </c>
      <c r="H6" t="str">
        <f>IF('Data Checking'!T6="","",'Data Checking'!T6)</f>
        <v>gotheye</v>
      </c>
      <c r="I6" t="str">
        <f>IF('Data Checking'!U6="","",'Data Checking'!U6)</f>
        <v>ziguida</v>
      </c>
      <c r="J6" t="str">
        <f>IF('Data Checking'!V6="","",'Data Checking'!V6)</f>
        <v/>
      </c>
      <c r="K6" t="str">
        <f>IF('Data Checking'!W6="","",'Data Checking'!W6)</f>
        <v/>
      </c>
      <c r="L6" t="str">
        <f>IF('Data Checking'!X6="","",'Data Checking'!X6)</f>
        <v/>
      </c>
      <c r="M6" t="str">
        <f>IF('Data Checking'!Y6="","",'Data Checking'!Y6)</f>
        <v/>
      </c>
      <c r="N6" t="str">
        <f>IF('Data Checking'!Z6="","",'Data Checking'!Z6)</f>
        <v/>
      </c>
      <c r="O6" t="str">
        <f>IF('Data Checking'!AA6="","",'Data Checking'!AA6)</f>
        <v/>
      </c>
      <c r="P6" t="str">
        <f>IF('Data Checking'!AB6="","",'Data Checking'!AB6)</f>
        <v/>
      </c>
      <c r="Q6" t="str">
        <f>IF('Data Checking'!AC6="","",'Data Checking'!AC6)</f>
        <v/>
      </c>
      <c r="R6" t="str">
        <f>IF('Data Checking'!AD6="","",'Data Checking'!AD6)</f>
        <v>Homme</v>
      </c>
      <c r="S6" t="str">
        <f>IF('Data Checking'!AE6="","",'Data Checking'!AE6)</f>
        <v>53</v>
      </c>
      <c r="T6" t="str">
        <f>IF('Data Checking'!AF6="","",'Data Checking'!AF6)</f>
        <v>deplace_interne</v>
      </c>
      <c r="U6" t="str">
        <f>IF('Data Checking'!AG6="","",'Data Checking'!AG6)</f>
        <v/>
      </c>
      <c r="V6" t="str">
        <f>IF('Data Checking'!AH6="","",'Data Checking'!AH6)</f>
        <v/>
      </c>
      <c r="W6" t="str">
        <f>IF('Data Checking'!AI6="","",'Data Checking'!AI6)</f>
        <v/>
      </c>
      <c r="X6" t="str">
        <f>IF('Data Checking'!AJ6="","",'Data Checking'!AJ6)</f>
        <v/>
      </c>
      <c r="Y6" t="str">
        <f>IF('Data Checking'!AK6="","",'Data Checking'!AK6)</f>
        <v/>
      </c>
      <c r="Z6" t="str">
        <f>IF('Data Checking'!AL6="","",'Data Checking'!AL6)</f>
        <v>niger</v>
      </c>
      <c r="AA6" t="str">
        <f>IF('Data Checking'!AM6="","",'Data Checking'!AM6)</f>
        <v>tillaberi</v>
      </c>
      <c r="AB6" t="str">
        <f>IF('Data Checking'!AN6="","",'Data Checking'!AN6)</f>
        <v>gotheye</v>
      </c>
      <c r="AC6" t="str">
        <f>IF('Data Checking'!AO6="","",'Data Checking'!AO6)</f>
        <v/>
      </c>
      <c r="AD6" t="str">
        <f>IF('Data Checking'!AP6="","",'Data Checking'!AP6)</f>
        <v/>
      </c>
      <c r="AE6" t="str">
        <f>IF('Data Checking'!AQ6="","",'Data Checking'!AQ6)</f>
        <v/>
      </c>
      <c r="AF6" t="str">
        <f>IF('Data Checking'!AR6="","",'Data Checking'!AR6)</f>
        <v/>
      </c>
      <c r="AG6" t="str">
        <f>IF('Data Checking'!AS6="","",'Data Checking'!AS6)</f>
        <v>oui</v>
      </c>
      <c r="AH6" t="str">
        <f>IF('Data Checking'!AT6="","",'Data Checking'!AT6)</f>
        <v>Vols_braquages Disputes_intercommunataires</v>
      </c>
      <c r="AI6" t="str">
        <f>IF('Data Checking'!AU6="","",'Data Checking'!AU6)</f>
        <v>0</v>
      </c>
      <c r="AJ6">
        <f>IF('Data Checking'!AV6="","",'Data Checking'!AV6)</f>
        <v>1</v>
      </c>
      <c r="AK6" t="str">
        <f>IF('Data Checking'!AW6="","",'Data Checking'!AW6)</f>
        <v>1</v>
      </c>
      <c r="AL6" t="str">
        <f>IF('Data Checking'!AX6="","",'Data Checking'!AX6)</f>
        <v>0</v>
      </c>
      <c r="AM6" t="str">
        <f>IF('Data Checking'!AY6="","",'Data Checking'!AY6)</f>
        <v>0</v>
      </c>
      <c r="AN6" t="str">
        <f>IF('Data Checking'!AZ6="","",'Data Checking'!AZ6)</f>
        <v>0</v>
      </c>
      <c r="AO6" t="str">
        <f>IF('Data Checking'!BA6="","",'Data Checking'!BA6)</f>
        <v>0</v>
      </c>
      <c r="AP6" t="str">
        <f>IF('Data Checking'!BB6="","",'Data Checking'!BB6)</f>
        <v>0</v>
      </c>
      <c r="AQ6" t="str">
        <f>IF('Data Checking'!BC6="","",'Data Checking'!BC6)</f>
        <v>0</v>
      </c>
      <c r="AR6" t="str">
        <f>IF('Data Checking'!BD6="","",'Data Checking'!BD6)</f>
        <v>0</v>
      </c>
      <c r="AS6" t="str">
        <f>IF('Data Checking'!BE6="","",'Data Checking'!BE6)</f>
        <v>0</v>
      </c>
      <c r="AT6">
        <f>IF('Data Checking'!BF6="","",'Data Checking'!BF6)</f>
        <v>0</v>
      </c>
      <c r="AU6" t="str">
        <f>IF('Data Checking'!BG6="","",'Data Checking'!BG6)</f>
        <v>0</v>
      </c>
      <c r="AV6" t="str">
        <f>IF('Data Checking'!BH6="","",'Data Checking'!BH6)</f>
        <v>0</v>
      </c>
      <c r="AW6" t="str">
        <f>IF('Data Checking'!BI6="","",'Data Checking'!BI6)</f>
        <v/>
      </c>
      <c r="AX6" t="str">
        <f>IF('Data Checking'!BJ6="","",'Data Checking'!BJ6)</f>
        <v>Hommes Femmes Garçons</v>
      </c>
      <c r="AY6" t="str">
        <f>IF('Data Checking'!BK6="","",'Data Checking'!BK6)</f>
        <v>0</v>
      </c>
      <c r="AZ6" t="str">
        <f>IF('Data Checking'!BL6="","",'Data Checking'!BL6)</f>
        <v>0</v>
      </c>
      <c r="BA6" t="str">
        <f>IF('Data Checking'!BM6="","",'Data Checking'!BM6)</f>
        <v>0</v>
      </c>
      <c r="BB6" t="str">
        <f>IF('Data Checking'!BN6="","",'Data Checking'!BN6)</f>
        <v>1</v>
      </c>
      <c r="BC6" t="str">
        <f>IF('Data Checking'!BO6="","",'Data Checking'!BO6)</f>
        <v>1</v>
      </c>
      <c r="BD6" t="str">
        <f>IF('Data Checking'!BP6="","",'Data Checking'!BP6)</f>
        <v>1</v>
      </c>
      <c r="BE6" t="str">
        <f>IF('Data Checking'!BQ6="","",'Data Checking'!BQ6)</f>
        <v>0</v>
      </c>
      <c r="BF6" t="str">
        <f>IF('Data Checking'!BR6="","",'Data Checking'!BR6)</f>
        <v>0</v>
      </c>
      <c r="BG6" t="str">
        <f>IF('Data Checking'!BS6="","",'Data Checking'!BS6)</f>
        <v>0</v>
      </c>
      <c r="BH6" t="str">
        <f>IF('Data Checking'!BT6="","",'Data Checking'!BT6)</f>
        <v>0</v>
      </c>
      <c r="BI6" t="str">
        <f>IF('Data Checking'!BU6="","",'Data Checking'!BU6)</f>
        <v>0</v>
      </c>
      <c r="BJ6" t="str">
        <f>IF('Data Checking'!BV6="","",'Data Checking'!BV6)</f>
        <v>0</v>
      </c>
      <c r="BK6" t="str">
        <f>IF('Data Checking'!BW6="","",'Data Checking'!BW6)</f>
        <v>0</v>
      </c>
      <c r="BL6" t="str">
        <f>IF('Data Checking'!BX6="","",'Data Checking'!BX6)</f>
        <v>0</v>
      </c>
      <c r="BM6" t="str">
        <f>IF('Data Checking'!BY6="","",'Data Checking'!BY6)</f>
        <v/>
      </c>
      <c r="BN6" t="str">
        <f>IF('Data Checking'!BZ6="","",'Data Checking'!BZ6)</f>
        <v>2</v>
      </c>
      <c r="BO6" t="str">
        <f>IF('Data Checking'!CA6="","",'Data Checking'!CA6)</f>
        <v>stable</v>
      </c>
      <c r="BP6" t="str">
        <f>IF('Data Checking'!CB6="","",'Data Checking'!CB6)</f>
        <v/>
      </c>
      <c r="BQ6" t="str">
        <f>IF('Data Checking'!CC6="","",'Data Checking'!CC6)</f>
        <v>oui</v>
      </c>
      <c r="BR6" t="str">
        <f>IF('Data Checking'!CD6="","",'Data Checking'!CD6)</f>
        <v>mariage_force agression_psychologique exploitations_enfant</v>
      </c>
      <c r="BS6" t="str">
        <f>IF('Data Checking'!CE6="","",'Data Checking'!CE6)</f>
        <v>0</v>
      </c>
      <c r="BT6" t="str">
        <f>IF('Data Checking'!CF6="","",'Data Checking'!CF6)</f>
        <v>0</v>
      </c>
      <c r="BU6" t="str">
        <f>IF('Data Checking'!CG6="","",'Data Checking'!CG6)</f>
        <v>0</v>
      </c>
      <c r="BV6" t="str">
        <f>IF('Data Checking'!CH6="","",'Data Checking'!CH6)</f>
        <v>0</v>
      </c>
      <c r="BW6" t="str">
        <f>IF('Data Checking'!CI6="","",'Data Checking'!CI6)</f>
        <v>1</v>
      </c>
      <c r="BX6" t="str">
        <f>IF('Data Checking'!CJ6="","",'Data Checking'!CJ6)</f>
        <v>1</v>
      </c>
      <c r="BY6" t="str">
        <f>IF('Data Checking'!CK6="","",'Data Checking'!CK6)</f>
        <v>0</v>
      </c>
      <c r="BZ6" t="str">
        <f>IF('Data Checking'!CL6="","",'Data Checking'!CL6)</f>
        <v>0</v>
      </c>
      <c r="CA6" t="str">
        <f>IF('Data Checking'!CM6="","",'Data Checking'!CM6)</f>
        <v>1</v>
      </c>
      <c r="CB6" t="str">
        <f>IF('Data Checking'!CN6="","",'Data Checking'!CN6)</f>
        <v>0</v>
      </c>
      <c r="CC6" t="str">
        <f>IF('Data Checking'!CO6="","",'Data Checking'!CO6)</f>
        <v>0</v>
      </c>
      <c r="CD6" t="str">
        <f>IF('Data Checking'!CP6="","",'Data Checking'!CP6)</f>
        <v>0</v>
      </c>
      <c r="CE6" t="str">
        <f>IF('Data Checking'!CQ6="","",'Data Checking'!CQ6)</f>
        <v>0</v>
      </c>
      <c r="CF6" t="str">
        <f>IF('Data Checking'!CR6="","",'Data Checking'!CR6)</f>
        <v>0</v>
      </c>
      <c r="CG6" t="str">
        <f>IF('Data Checking'!CS6="","",'Data Checking'!CS6)</f>
        <v>0</v>
      </c>
      <c r="CH6" t="str">
        <f>IF('Data Checking'!CT6="","",'Data Checking'!CT6)</f>
        <v/>
      </c>
      <c r="CI6" t="str">
        <f>IF('Data Checking'!CU6="","",'Data Checking'!CU6)</f>
        <v>Enfants Filles Garçons Femmes Hommes</v>
      </c>
      <c r="CJ6" t="str">
        <f>IF('Data Checking'!CV6="","",'Data Checking'!CV6)</f>
        <v>0</v>
      </c>
      <c r="CK6" t="str">
        <f>IF('Data Checking'!CW6="","",'Data Checking'!CW6)</f>
        <v>1</v>
      </c>
      <c r="CL6" t="str">
        <f>IF('Data Checking'!CX6="","",'Data Checking'!CX6)</f>
        <v>1</v>
      </c>
      <c r="CM6" t="str">
        <f>IF('Data Checking'!CY6="","",'Data Checking'!CY6)</f>
        <v>1</v>
      </c>
      <c r="CN6" t="str">
        <f>IF('Data Checking'!CZ6="","",'Data Checking'!CZ6)</f>
        <v>1</v>
      </c>
      <c r="CO6" t="str">
        <f>IF('Data Checking'!DA6="","",'Data Checking'!DA6)</f>
        <v>1</v>
      </c>
      <c r="CP6" t="str">
        <f>IF('Data Checking'!DB6="","",'Data Checking'!DB6)</f>
        <v>0</v>
      </c>
      <c r="CQ6" t="str">
        <f>IF('Data Checking'!DC6="","",'Data Checking'!DC6)</f>
        <v>0</v>
      </c>
      <c r="CR6" t="str">
        <f>IF('Data Checking'!DD6="","",'Data Checking'!DD6)</f>
        <v>0</v>
      </c>
      <c r="CS6" t="str">
        <f>IF('Data Checking'!DE6="","",'Data Checking'!DE6)</f>
        <v>0</v>
      </c>
      <c r="CT6" t="str">
        <f>IF('Data Checking'!DF6="","",'Data Checking'!DF6)</f>
        <v>0</v>
      </c>
      <c r="CU6" t="str">
        <f>IF('Data Checking'!DG6="","",'Data Checking'!DG6)</f>
        <v>0</v>
      </c>
      <c r="CV6" t="str">
        <f>IF('Data Checking'!DH6="","",'Data Checking'!DH6)</f>
        <v>0</v>
      </c>
      <c r="CW6" t="str">
        <f>IF('Data Checking'!DI6="","",'Data Checking'!DI6)</f>
        <v>0</v>
      </c>
      <c r="CX6" t="str">
        <f>IF('Data Checking'!DJ6="","",'Data Checking'!DJ6)</f>
        <v/>
      </c>
      <c r="CY6" t="str">
        <f>IF('Data Checking'!DK6="","",'Data Checking'!DK6)</f>
        <v>3</v>
      </c>
      <c r="CZ6" t="str">
        <f>IF('Data Checking'!DL6="","",'Data Checking'!DL6)</f>
        <v>stable</v>
      </c>
      <c r="DA6" t="str">
        <f>IF('Data Checking'!DM6="","",'Data Checking'!DM6)</f>
        <v/>
      </c>
      <c r="DB6" t="str">
        <f>IF('Data Checking'!DN6="","",'Data Checking'!DN6)</f>
        <v/>
      </c>
      <c r="DC6" t="str">
        <f>IF('Data Checking'!DO6="","",'Data Checking'!DO6)</f>
        <v/>
      </c>
      <c r="DD6" t="str">
        <f>IF('Data Checking'!DP6="","",'Data Checking'!DP6)</f>
        <v/>
      </c>
      <c r="DE6" t="str">
        <f>IF('Data Checking'!DQ6="","",'Data Checking'!DQ6)</f>
        <v/>
      </c>
      <c r="DF6" t="str">
        <f>IF('Data Checking'!DR6="","",'Data Checking'!DR6)</f>
        <v/>
      </c>
      <c r="DG6" t="str">
        <f>IF('Data Checking'!DS6="","",'Data Checking'!DS6)</f>
        <v/>
      </c>
      <c r="DH6" t="str">
        <f>IF('Data Checking'!DT6="","",'Data Checking'!DT6)</f>
        <v/>
      </c>
      <c r="DI6" t="str">
        <f>IF('Data Checking'!DU6="","",'Data Checking'!DU6)</f>
        <v/>
      </c>
      <c r="DJ6" t="str">
        <f>IF('Data Checking'!DV6="","",'Data Checking'!DV6)</f>
        <v/>
      </c>
      <c r="DK6" t="str">
        <f>IF('Data Checking'!DW6="","",'Data Checking'!DW6)</f>
        <v/>
      </c>
      <c r="DL6" t="str">
        <f>IF('Data Checking'!DX6="","",'Data Checking'!DX6)</f>
        <v/>
      </c>
      <c r="DM6" t="str">
        <f>IF('Data Checking'!DY6="","",'Data Checking'!DY6)</f>
        <v/>
      </c>
      <c r="DN6" t="str">
        <f>IF('Data Checking'!DZ6="","",'Data Checking'!DZ6)</f>
        <v/>
      </c>
      <c r="DO6" t="str">
        <f>IF('Data Checking'!EA6="","",'Data Checking'!EA6)</f>
        <v/>
      </c>
      <c r="DP6" t="str">
        <f>IF('Data Checking'!EB6="","",'Data Checking'!EB6)</f>
        <v/>
      </c>
      <c r="DQ6" t="str">
        <f>IF('Data Checking'!EC6="","",'Data Checking'!EC6)</f>
        <v/>
      </c>
      <c r="DR6" t="str">
        <f>IF('Data Checking'!ED6="","",'Data Checking'!ED6)</f>
        <v/>
      </c>
      <c r="DS6" t="str">
        <f>IF('Data Checking'!EE6="","",'Data Checking'!EE6)</f>
        <v/>
      </c>
      <c r="DT6" t="str">
        <f>IF('Data Checking'!EF6="","",'Data Checking'!EF6)</f>
        <v/>
      </c>
      <c r="DU6" t="str">
        <f>IF('Data Checking'!EG6="","",'Data Checking'!EG6)</f>
        <v/>
      </c>
      <c r="DV6" t="str">
        <f>IF('Data Checking'!EH6="","",'Data Checking'!EH6)</f>
        <v/>
      </c>
      <c r="DW6" t="str">
        <f>IF('Data Checking'!EI6="","",'Data Checking'!EI6)</f>
        <v/>
      </c>
      <c r="DX6" t="str">
        <f>IF('Data Checking'!EJ6="","",'Data Checking'!EJ6)</f>
        <v/>
      </c>
      <c r="DY6" t="str">
        <f>IF('Data Checking'!EK6="","",'Data Checking'!EK6)</f>
        <v/>
      </c>
      <c r="DZ6" t="str">
        <f>IF('Data Checking'!EL6="","",'Data Checking'!EL6)</f>
        <v>Integration_com_hote</v>
      </c>
      <c r="EA6" t="str">
        <f>IF('Data Checking'!EM6="","",'Data Checking'!EM6)</f>
        <v>0</v>
      </c>
      <c r="EB6" t="str">
        <f>IF('Data Checking'!EN6="","",'Data Checking'!EN6)</f>
        <v>1</v>
      </c>
      <c r="EC6" t="str">
        <f>IF('Data Checking'!EO6="","",'Data Checking'!EO6)</f>
        <v>0</v>
      </c>
      <c r="ED6" t="str">
        <f>IF('Data Checking'!EP6="","",'Data Checking'!EP6)</f>
        <v>0</v>
      </c>
      <c r="EE6" t="str">
        <f>IF('Data Checking'!EQ6="","",'Data Checking'!EQ6)</f>
        <v>0</v>
      </c>
      <c r="EF6" t="str">
        <f>IF('Data Checking'!ER6="","",'Data Checking'!ER6)</f>
        <v>0</v>
      </c>
      <c r="EG6" t="str">
        <f>IF('Data Checking'!ES6="","",'Data Checking'!ES6)</f>
        <v>0</v>
      </c>
      <c r="EH6">
        <f>IF('Data Checking'!ET6="","",'Data Checking'!ET6)</f>
        <v>0</v>
      </c>
      <c r="EI6" t="str">
        <f>IF('Data Checking'!EU6="","",'Data Checking'!EU6)</f>
        <v>0</v>
      </c>
      <c r="EJ6" t="str">
        <f>IF('Data Checking'!EV6="","",'Data Checking'!EV6)</f>
        <v/>
      </c>
      <c r="EK6" t="str">
        <f>IF('Data Checking'!EW6="","",'Data Checking'!EW6)</f>
        <v/>
      </c>
      <c r="EL6" t="str">
        <f>IF('Data Checking'!EX6="","",'Data Checking'!EX6)</f>
        <v>comite_protection</v>
      </c>
      <c r="EM6" t="str">
        <f>IF('Data Checking'!EY6="","",'Data Checking'!EY6)</f>
        <v>0</v>
      </c>
      <c r="EN6" t="str">
        <f>IF('Data Checking'!EZ6="","",'Data Checking'!EZ6)</f>
        <v>1</v>
      </c>
      <c r="EO6" t="str">
        <f>IF('Data Checking'!FA6="","",'Data Checking'!FA6)</f>
        <v>0</v>
      </c>
      <c r="EP6" t="str">
        <f>IF('Data Checking'!FB6="","",'Data Checking'!FB6)</f>
        <v>0</v>
      </c>
      <c r="EQ6" t="str">
        <f>IF('Data Checking'!FC6="","",'Data Checking'!FC6)</f>
        <v>0</v>
      </c>
      <c r="ER6" t="str">
        <f>IF('Data Checking'!FD6="","",'Data Checking'!FD6)</f>
        <v>0</v>
      </c>
      <c r="ES6" t="str">
        <f>IF('Data Checking'!FE6="","",'Data Checking'!FE6)</f>
        <v>0</v>
      </c>
      <c r="ET6" t="str">
        <f>IF('Data Checking'!FF6="","",'Data Checking'!FF6)</f>
        <v>0</v>
      </c>
      <c r="EU6" t="str">
        <f>IF('Data Checking'!FG6="","",'Data Checking'!FG6)</f>
        <v>0</v>
      </c>
      <c r="EV6" t="str">
        <f>IF('Data Checking'!FH6="","",'Data Checking'!FH6)</f>
        <v>0</v>
      </c>
      <c r="EW6" t="str">
        <f>IF('Data Checking'!FI6="","",'Data Checking'!FI6)</f>
        <v/>
      </c>
      <c r="EX6" t="str">
        <f>IF('Data Checking'!FJ6="","",'Data Checking'!FJ6)</f>
        <v>oui</v>
      </c>
      <c r="EY6" t="str">
        <f>IF('Data Checking'!FK6="","",'Data Checking'!FK6)</f>
        <v>manif_sociales Chef_village</v>
      </c>
      <c r="EZ6" t="str">
        <f>IF('Data Checking'!FL6="","",'Data Checking'!FL6)</f>
        <v>0</v>
      </c>
      <c r="FA6" t="str">
        <f>IF('Data Checking'!FM6="","",'Data Checking'!FM6)</f>
        <v>0</v>
      </c>
      <c r="FB6" t="str">
        <f>IF('Data Checking'!FN6="","",'Data Checking'!FN6)</f>
        <v>0</v>
      </c>
      <c r="FC6" t="str">
        <f>IF('Data Checking'!FO6="","",'Data Checking'!FO6)</f>
        <v>1</v>
      </c>
      <c r="FD6" t="str">
        <f>IF('Data Checking'!FP6="","",'Data Checking'!FP6)</f>
        <v>1</v>
      </c>
      <c r="FE6" t="str">
        <f>IF('Data Checking'!FQ6="","",'Data Checking'!FQ6)</f>
        <v>0</v>
      </c>
      <c r="FF6" t="str">
        <f>IF('Data Checking'!FR6="","",'Data Checking'!FR6)</f>
        <v>0</v>
      </c>
      <c r="FG6" t="str">
        <f>IF('Data Checking'!FS6="","",'Data Checking'!FS6)</f>
        <v>0</v>
      </c>
      <c r="FH6" t="str">
        <f>IF('Data Checking'!FT6="","",'Data Checking'!FT6)</f>
        <v>0</v>
      </c>
      <c r="FI6" t="str">
        <f>IF('Data Checking'!FU6="","",'Data Checking'!FU6)</f>
        <v>0</v>
      </c>
      <c r="FJ6" t="str">
        <f>IF('Data Checking'!FV6="","",'Data Checking'!FV6)</f>
        <v>0</v>
      </c>
      <c r="FK6" t="str">
        <f>IF('Data Checking'!FW6="","",'Data Checking'!FW6)</f>
        <v>0</v>
      </c>
      <c r="FL6" t="str">
        <f>IF('Data Checking'!FX6="","",'Data Checking'!FX6)</f>
        <v>0</v>
      </c>
      <c r="FM6" t="str">
        <f>IF('Data Checking'!FY6="","",'Data Checking'!FY6)</f>
        <v>0</v>
      </c>
      <c r="FN6" t="str">
        <f>IF('Data Checking'!FZ6="","",'Data Checking'!FZ6)</f>
        <v/>
      </c>
      <c r="FO6" t="str">
        <f>IF('Data Checking'!GA6="","",'Data Checking'!GA6)</f>
        <v>oui_ensemble</v>
      </c>
      <c r="FP6" t="str">
        <f>IF('Data Checking'!GB6="","",'Data Checking'!GB6)</f>
        <v>oui_ensemble</v>
      </c>
      <c r="FQ6" t="str">
        <f>IF('Data Checking'!GC6="","",'Data Checking'!GC6)</f>
        <v/>
      </c>
      <c r="FR6" t="str">
        <f>IF('Data Checking'!GD6="","",'Data Checking'!GD6)</f>
        <v/>
      </c>
      <c r="FS6" t="str">
        <f>IF('Data Checking'!GE6="","",'Data Checking'!GE6)</f>
        <v/>
      </c>
      <c r="FT6" t="str">
        <f>IF('Data Checking'!GF6="","",'Data Checking'!GF6)</f>
        <v/>
      </c>
      <c r="FU6" t="str">
        <f>IF('Data Checking'!GG6="","",'Data Checking'!GG6)</f>
        <v/>
      </c>
      <c r="FV6" t="str">
        <f>IF('Data Checking'!GH6="","",'Data Checking'!GH6)</f>
        <v/>
      </c>
      <c r="FW6" t="str">
        <f>IF('Data Checking'!GI6="","",'Data Checking'!GI6)</f>
        <v/>
      </c>
      <c r="FX6" t="str">
        <f>IF('Data Checking'!GJ6="","",'Data Checking'!GJ6)</f>
        <v/>
      </c>
      <c r="FY6" t="str">
        <f>IF('Data Checking'!GK6="","",'Data Checking'!GK6)</f>
        <v/>
      </c>
      <c r="FZ6" t="str">
        <f>IF('Data Checking'!GL6="","",'Data Checking'!GL6)</f>
        <v/>
      </c>
      <c r="GA6" t="str">
        <f>IF('Data Checking'!GM6="","",'Data Checking'!GM6)</f>
        <v>minorite</v>
      </c>
      <c r="GB6" t="str">
        <f>IF('Data Checking'!GN6="","",'Data Checking'!GN6)</f>
        <v>aucun</v>
      </c>
      <c r="GC6" t="str">
        <f>IF('Data Checking'!GO6="","",'Data Checking'!GO6)</f>
        <v>Education Services_de_sante Acces_aux_doc Suivi_judiciaire</v>
      </c>
      <c r="GD6" t="str">
        <f>IF('Data Checking'!GP6="","",'Data Checking'!GP6)</f>
        <v>0</v>
      </c>
      <c r="GE6" t="str">
        <f>IF('Data Checking'!GQ6="","",'Data Checking'!GQ6)</f>
        <v>1</v>
      </c>
      <c r="GF6" t="str">
        <f>IF('Data Checking'!GR6="","",'Data Checking'!GR6)</f>
        <v>0</v>
      </c>
      <c r="GG6" t="str">
        <f>IF('Data Checking'!GS6="","",'Data Checking'!GS6)</f>
        <v>1</v>
      </c>
      <c r="GH6" t="str">
        <f>IF('Data Checking'!GT6="","",'Data Checking'!GT6)</f>
        <v>1</v>
      </c>
      <c r="GI6" t="str">
        <f>IF('Data Checking'!GU6="","",'Data Checking'!GU6)</f>
        <v>1</v>
      </c>
      <c r="GJ6" t="str">
        <f>IF('Data Checking'!GV6="","",'Data Checking'!GV6)</f>
        <v>0</v>
      </c>
      <c r="GK6" t="str">
        <f>IF('Data Checking'!GW6="","",'Data Checking'!GW6)</f>
        <v>0</v>
      </c>
      <c r="GL6" t="str">
        <f>IF('Data Checking'!GX6="","",'Data Checking'!GX6)</f>
        <v>0</v>
      </c>
      <c r="GM6" t="str">
        <f>IF('Data Checking'!GY6="","",'Data Checking'!GY6)</f>
        <v/>
      </c>
      <c r="GN6" t="str">
        <f>IF('Data Checking'!GZ6="","",'Data Checking'!GZ6)</f>
        <v>oui_minorite</v>
      </c>
      <c r="GO6" t="str">
        <f>IF('Data Checking'!HA6="","",'Data Checking'!HA6)</f>
        <v>oui_minorite</v>
      </c>
      <c r="GP6" t="str">
        <f>IF('Data Checking'!HB6="","",'Data Checking'!HB6)</f>
        <v>repond_besoins_pop</v>
      </c>
      <c r="GQ6" t="str">
        <f>IF('Data Checking'!HC6="","",'Data Checking'!HC6)</f>
        <v>0</v>
      </c>
      <c r="GR6" t="str">
        <f>IF('Data Checking'!HD6="","",'Data Checking'!HD6)</f>
        <v>1</v>
      </c>
      <c r="GS6" t="str">
        <f>IF('Data Checking'!HE6="","",'Data Checking'!HE6)</f>
        <v>0</v>
      </c>
      <c r="GT6" t="str">
        <f>IF('Data Checking'!HF6="","",'Data Checking'!HF6)</f>
        <v>0</v>
      </c>
      <c r="GU6" t="str">
        <f>IF('Data Checking'!HG6="","",'Data Checking'!HG6)</f>
        <v>0</v>
      </c>
      <c r="GV6" t="str">
        <f>IF('Data Checking'!HH6="","",'Data Checking'!HH6)</f>
        <v>0</v>
      </c>
      <c r="GW6" t="str">
        <f>IF('Data Checking'!HI6="","",'Data Checking'!HI6)</f>
        <v>0</v>
      </c>
      <c r="GX6" t="str">
        <f>IF('Data Checking'!HJ6="","",'Data Checking'!HJ6)</f>
        <v>0</v>
      </c>
      <c r="GY6" t="str">
        <f>IF('Data Checking'!HK6="","",'Data Checking'!HK6)</f>
        <v/>
      </c>
      <c r="GZ6" t="str">
        <f>IF('Data Checking'!HL6="","",'Data Checking'!HL6)</f>
        <v>ne_contribue_pas ne_repond_pas non_obtention_info</v>
      </c>
      <c r="HA6" t="str">
        <f>IF('Data Checking'!HM6="","",'Data Checking'!HM6)</f>
        <v>1</v>
      </c>
      <c r="HB6" t="str">
        <f>IF('Data Checking'!HN6="","",'Data Checking'!HN6)</f>
        <v>1</v>
      </c>
      <c r="HC6" t="str">
        <f>IF('Data Checking'!HO6="","",'Data Checking'!HO6)</f>
        <v>1</v>
      </c>
      <c r="HD6" t="str">
        <f>IF('Data Checking'!HP6="","",'Data Checking'!HP6)</f>
        <v>0</v>
      </c>
      <c r="HE6" t="str">
        <f>IF('Data Checking'!HQ6="","",'Data Checking'!HQ6)</f>
        <v>0</v>
      </c>
      <c r="HF6" t="str">
        <f>IF('Data Checking'!HR6="","",'Data Checking'!HR6)</f>
        <v>0</v>
      </c>
      <c r="HG6" t="str">
        <f>IF('Data Checking'!HS6="","",'Data Checking'!HS6)</f>
        <v/>
      </c>
      <c r="HH6" t="str">
        <f>IF('Data Checking'!HT6="","",'Data Checking'!HT6)</f>
        <v/>
      </c>
      <c r="HI6" t="str">
        <f>IF('Data Checking'!HU6="","",'Data Checking'!HU6)</f>
        <v>non</v>
      </c>
      <c r="HJ6" t="str">
        <f>IF('Data Checking'!HV6="","",'Data Checking'!HV6)</f>
        <v/>
      </c>
      <c r="HK6" t="str">
        <f>IF('Data Checking'!HW6="","",'Data Checking'!HW6)</f>
        <v/>
      </c>
      <c r="HL6" t="str">
        <f>IF('Data Checking'!HX6="","",'Data Checking'!HX6)</f>
        <v/>
      </c>
      <c r="HM6" t="str">
        <f>IF('Data Checking'!HY6="","",'Data Checking'!HY6)</f>
        <v/>
      </c>
      <c r="HN6" t="str">
        <f>IF('Data Checking'!HZ6="","",'Data Checking'!HZ6)</f>
        <v/>
      </c>
      <c r="HO6" t="str">
        <f>IF('Data Checking'!IA6="","",'Data Checking'!IA6)</f>
        <v/>
      </c>
      <c r="HP6" t="str">
        <f>IF('Data Checking'!IB6="","",'Data Checking'!IB6)</f>
        <v/>
      </c>
      <c r="HQ6" t="str">
        <f>IF('Data Checking'!IC6="","",'Data Checking'!IC6)</f>
        <v/>
      </c>
      <c r="HR6" t="str">
        <f>IF('Data Checking'!ID6="","",'Data Checking'!ID6)</f>
        <v/>
      </c>
      <c r="HS6" t="str">
        <f>IF('Data Checking'!IE6="","",'Data Checking'!IE6)</f>
        <v/>
      </c>
      <c r="HT6" t="str">
        <f>IF('Data Checking'!IF6="","",'Data Checking'!IF6)</f>
        <v/>
      </c>
      <c r="HU6" t="str">
        <f>IF('Data Checking'!IG6="","",'Data Checking'!IG6)</f>
        <v/>
      </c>
      <c r="HV6" t="str">
        <f>IF('Data Checking'!IH6="","",'Data Checking'!IH6)</f>
        <v>oui</v>
      </c>
      <c r="HW6" t="str">
        <f>IF('Data Checking'!II6="","",'Data Checking'!II6)</f>
        <v/>
      </c>
      <c r="HX6" t="str">
        <f>IF('Data Checking'!IJ6="","",'Data Checking'!IJ6)</f>
        <v>Filles Femmes Hommes</v>
      </c>
      <c r="HY6" t="str">
        <f>IF('Data Checking'!IK6="","",'Data Checking'!IK6)</f>
        <v>0</v>
      </c>
      <c r="HZ6" t="str">
        <f>IF('Data Checking'!IL6="","",'Data Checking'!IL6)</f>
        <v>0</v>
      </c>
      <c r="IA6" t="str">
        <f>IF('Data Checking'!IM6="","",'Data Checking'!IM6)</f>
        <v>1</v>
      </c>
      <c r="IB6" t="str">
        <f>IF('Data Checking'!IN6="","",'Data Checking'!IN6)</f>
        <v>0</v>
      </c>
      <c r="IC6" t="str">
        <f>IF('Data Checking'!IO6="","",'Data Checking'!IO6)</f>
        <v>1</v>
      </c>
      <c r="ID6" t="str">
        <f>IF('Data Checking'!IP6="","",'Data Checking'!IP6)</f>
        <v>1</v>
      </c>
      <c r="IE6" t="str">
        <f>IF('Data Checking'!IQ6="","",'Data Checking'!IQ6)</f>
        <v>0</v>
      </c>
      <c r="IF6" t="str">
        <f>IF('Data Checking'!IR6="","",'Data Checking'!IR6)</f>
        <v>0</v>
      </c>
      <c r="IG6" t="str">
        <f>IF('Data Checking'!IS6="","",'Data Checking'!IS6)</f>
        <v>0</v>
      </c>
      <c r="IH6" t="str">
        <f>IF('Data Checking'!IT6="","",'Data Checking'!IT6)</f>
        <v>0</v>
      </c>
      <c r="II6" t="str">
        <f>IF('Data Checking'!IU6="","",'Data Checking'!IU6)</f>
        <v>0</v>
      </c>
      <c r="IJ6" t="str">
        <f>IF('Data Checking'!IV6="","",'Data Checking'!IV6)</f>
        <v>0</v>
      </c>
      <c r="IK6" t="str">
        <f>IF('Data Checking'!IW6="","",'Data Checking'!IW6)</f>
        <v>0</v>
      </c>
      <c r="IL6" t="str">
        <f>IF('Data Checking'!IX6="","",'Data Checking'!IX6)</f>
        <v>0</v>
      </c>
      <c r="IM6" t="str">
        <f>IF('Data Checking'!IY6="","",'Data Checking'!IY6)</f>
        <v/>
      </c>
      <c r="IN6" t="str">
        <f>IF('Data Checking'!IZ6="","",'Data Checking'!IZ6)</f>
        <v>9</v>
      </c>
      <c r="IO6" t="str">
        <f>IF('Data Checking'!JA6="","",'Data Checking'!JA6)</f>
        <v>Services_medicaux Services_educatifs Services_conseil service_judiciaire</v>
      </c>
      <c r="IP6" t="str">
        <f>IF('Data Checking'!JB6="","",'Data Checking'!JB6)</f>
        <v>0</v>
      </c>
      <c r="IQ6" t="str">
        <f>IF('Data Checking'!JC6="","",'Data Checking'!JC6)</f>
        <v>1</v>
      </c>
      <c r="IR6" t="str">
        <f>IF('Data Checking'!JD6="","",'Data Checking'!JD6)</f>
        <v>1</v>
      </c>
      <c r="IS6" t="str">
        <f>IF('Data Checking'!JE6="","",'Data Checking'!JE6)</f>
        <v>1</v>
      </c>
      <c r="IT6" t="str">
        <f>IF('Data Checking'!JF6="","",'Data Checking'!JF6)</f>
        <v>0</v>
      </c>
      <c r="IU6" t="str">
        <f>IF('Data Checking'!JG6="","",'Data Checking'!JG6)</f>
        <v>1</v>
      </c>
      <c r="IV6" t="str">
        <f>IF('Data Checking'!JH6="","",'Data Checking'!JH6)</f>
        <v>0</v>
      </c>
      <c r="IW6" t="str">
        <f>IF('Data Checking'!JI6="","",'Data Checking'!JI6)</f>
        <v>0</v>
      </c>
      <c r="IX6" t="str">
        <f>IF('Data Checking'!JJ6="","",'Data Checking'!JJ6)</f>
        <v>0</v>
      </c>
      <c r="IY6" t="str">
        <f>IF('Data Checking'!JK6="","",'Data Checking'!JK6)</f>
        <v>0</v>
      </c>
      <c r="IZ6" t="str">
        <f>IF('Data Checking'!JL6="","",'Data Checking'!JL6)</f>
        <v/>
      </c>
      <c r="JA6" t="str">
        <f>IF('Data Checking'!JM6="","",'Data Checking'!JM6)</f>
        <v>reorientation signalement</v>
      </c>
      <c r="JB6" t="str">
        <f>IF('Data Checking'!JN6="","",'Data Checking'!JN6)</f>
        <v>0</v>
      </c>
      <c r="JC6" t="str">
        <f>IF('Data Checking'!JO6="","",'Data Checking'!JO6)</f>
        <v>1</v>
      </c>
      <c r="JD6" t="str">
        <f>IF('Data Checking'!JP6="","",'Data Checking'!JP6)</f>
        <v>1</v>
      </c>
      <c r="JE6" t="str">
        <f>IF('Data Checking'!JQ6="","",'Data Checking'!JQ6)</f>
        <v>0</v>
      </c>
      <c r="JF6" t="str">
        <f>IF('Data Checking'!JR6="","",'Data Checking'!JR6)</f>
        <v>0</v>
      </c>
      <c r="JG6" t="str">
        <f>IF('Data Checking'!JS6="","",'Data Checking'!JS6)</f>
        <v>0</v>
      </c>
      <c r="JH6" t="str">
        <f>IF('Data Checking'!JT6="","",'Data Checking'!JT6)</f>
        <v/>
      </c>
      <c r="JI6" t="str">
        <f>IF('Data Checking'!JU6="","",'Data Checking'!JU6)</f>
        <v/>
      </c>
      <c r="JJ6" t="str">
        <f>IF('Data Checking'!JV6="","",'Data Checking'!JV6)</f>
        <v/>
      </c>
      <c r="JK6" t="str">
        <f>IF('Data Checking'!JW6="","",'Data Checking'!JW6)</f>
        <v/>
      </c>
      <c r="JL6" t="str">
        <f>IF('Data Checking'!JX6="","",'Data Checking'!JX6)</f>
        <v/>
      </c>
      <c r="JM6" t="str">
        <f>IF('Data Checking'!JY6="","",'Data Checking'!JY6)</f>
        <v/>
      </c>
      <c r="JN6" t="str">
        <f>IF('Data Checking'!JZ6="","",'Data Checking'!JZ6)</f>
        <v/>
      </c>
      <c r="JO6" t="str">
        <f>IF('Data Checking'!KA6="","",'Data Checking'!KA6)</f>
        <v/>
      </c>
      <c r="JP6" t="str">
        <f>IF('Data Checking'!KB6="","",'Data Checking'!KB6)</f>
        <v/>
      </c>
      <c r="JQ6" t="str">
        <f>IF('Data Checking'!KC6="","",'Data Checking'!KC6)</f>
        <v/>
      </c>
      <c r="JR6" t="str">
        <f>IF('Data Checking'!KD6="","",'Data Checking'!KD6)</f>
        <v/>
      </c>
      <c r="JS6" t="str">
        <f>IF('Data Checking'!KE6="","",'Data Checking'!KE6)</f>
        <v/>
      </c>
      <c r="JT6" t="str">
        <f>IF('Data Checking'!KF6="","",'Data Checking'!KF6)</f>
        <v>medical</v>
      </c>
      <c r="JU6" t="str">
        <f>IF('Data Checking'!KG6="","",'Data Checking'!KG6)</f>
        <v>1</v>
      </c>
      <c r="JV6" t="str">
        <f>IF('Data Checking'!KH6="","",'Data Checking'!KH6)</f>
        <v>0</v>
      </c>
      <c r="JW6" t="str">
        <f>IF('Data Checking'!KI6="","",'Data Checking'!KI6)</f>
        <v>0</v>
      </c>
      <c r="JX6" t="str">
        <f>IF('Data Checking'!KJ6="","",'Data Checking'!KJ6)</f>
        <v>0</v>
      </c>
      <c r="JY6" t="str">
        <f>IF('Data Checking'!KK6="","",'Data Checking'!KK6)</f>
        <v>0</v>
      </c>
      <c r="JZ6" t="str">
        <f>IF('Data Checking'!KL6="","",'Data Checking'!KL6)</f>
        <v>0</v>
      </c>
      <c r="KA6" t="str">
        <f>IF('Data Checking'!KM6="","",'Data Checking'!KM6)</f>
        <v>0</v>
      </c>
      <c r="KB6" t="str">
        <f>IF('Data Checking'!KN6="","",'Data Checking'!KN6)</f>
        <v>0</v>
      </c>
      <c r="KC6" t="str">
        <f>IF('Data Checking'!KO6="","",'Data Checking'!KO6)</f>
        <v>0</v>
      </c>
      <c r="KD6" t="str">
        <f>IF('Data Checking'!KP6="","",'Data Checking'!KP6)</f>
        <v/>
      </c>
      <c r="KE6" t="str">
        <f>IF('Data Checking'!KQ6="","",'Data Checking'!KQ6)</f>
        <v/>
      </c>
      <c r="KF6" t="str">
        <f>IF('Data Checking'!KR6="","",'Data Checking'!KR6)</f>
        <v>oui</v>
      </c>
      <c r="KG6" t="str">
        <f>IF('Data Checking'!KS6="","",'Data Checking'!KS6)</f>
        <v>manque_moyens manque_d'information probleme_orientation manque_cordination</v>
      </c>
      <c r="KH6" t="str">
        <f>IF('Data Checking'!KT6="","",'Data Checking'!KT6)</f>
        <v>1</v>
      </c>
      <c r="KI6" t="str">
        <f>IF('Data Checking'!KU6="","",'Data Checking'!KU6)</f>
        <v>0</v>
      </c>
      <c r="KJ6" t="str">
        <f>IF('Data Checking'!KV6="","",'Data Checking'!KV6)</f>
        <v>1</v>
      </c>
      <c r="KK6">
        <f>IF('Data Checking'!KW6="","",'Data Checking'!KW6)</f>
        <v>1</v>
      </c>
      <c r="KL6" t="str">
        <f>IF('Data Checking'!KX6="","",'Data Checking'!KX6)</f>
        <v>0</v>
      </c>
      <c r="KM6" t="str">
        <f>IF('Data Checking'!KY6="","",'Data Checking'!KY6)</f>
        <v>0</v>
      </c>
      <c r="KN6">
        <f>IF('Data Checking'!KZ6="","",'Data Checking'!KZ6)</f>
        <v>1</v>
      </c>
      <c r="KO6" t="str">
        <f>IF('Data Checking'!LA6="","",'Data Checking'!LA6)</f>
        <v>0</v>
      </c>
      <c r="KP6">
        <f>IF('Data Checking'!LB6="","",'Data Checking'!LB6)</f>
        <v>0</v>
      </c>
      <c r="KQ6" t="str">
        <f>IF('Data Checking'!LC6="","",'Data Checking'!LC6)</f>
        <v>0</v>
      </c>
      <c r="KR6" t="str">
        <f>IF('Data Checking'!LD6="","",'Data Checking'!LD6)</f>
        <v>0</v>
      </c>
      <c r="KS6" t="str">
        <f>IF('Data Checking'!LE6="","",'Data Checking'!LE6)</f>
        <v/>
      </c>
      <c r="KT6" t="str">
        <f>IF('Data Checking'!LF6="","",'Data Checking'!LF6)</f>
        <v/>
      </c>
      <c r="KU6" t="str">
        <f>IF('Data Checking'!LG6="","",'Data Checking'!LG6)</f>
        <v/>
      </c>
      <c r="KV6" t="str">
        <f>IF('Data Checking'!LH6="","",'Data Checking'!LH6)</f>
        <v/>
      </c>
      <c r="KW6" t="str">
        <f>IF('Data Checking'!LI6="","",'Data Checking'!LI6)</f>
        <v/>
      </c>
      <c r="KX6" t="str">
        <f>IF('Data Checking'!LJ6="","",'Data Checking'!LJ6)</f>
        <v/>
      </c>
      <c r="KY6" t="str">
        <f>IF('Data Checking'!LK6="","",'Data Checking'!LK6)</f>
        <v/>
      </c>
      <c r="KZ6" t="str">
        <f>IF('Data Checking'!LL6="","",'Data Checking'!LL6)</f>
        <v/>
      </c>
      <c r="LA6" t="str">
        <f>IF('Data Checking'!LM6="","",'Data Checking'!LM6)</f>
        <v/>
      </c>
      <c r="LB6" t="str">
        <f>IF('Data Checking'!LN6="","",'Data Checking'!LN6)</f>
        <v>non</v>
      </c>
      <c r="LC6" t="str">
        <f>IF('Data Checking'!LO6="","",'Data Checking'!LO6)</f>
        <v/>
      </c>
      <c r="LD6" t="str">
        <f>IF('Data Checking'!LP6="","",'Data Checking'!LP6)</f>
        <v/>
      </c>
      <c r="LE6" t="str">
        <f>IF('Data Checking'!LQ6="","",'Data Checking'!LQ6)</f>
        <v/>
      </c>
      <c r="LF6" t="str">
        <f>IF('Data Checking'!LR6="","",'Data Checking'!LR6)</f>
        <v/>
      </c>
      <c r="LG6" t="str">
        <f>IF('Data Checking'!LS6="","",'Data Checking'!LS6)</f>
        <v/>
      </c>
      <c r="LH6" t="str">
        <f>IF('Data Checking'!LT6="","",'Data Checking'!LT6)</f>
        <v/>
      </c>
      <c r="LI6" t="str">
        <f>IF('Data Checking'!LU6="","",'Data Checking'!LU6)</f>
        <v/>
      </c>
      <c r="LJ6" t="str">
        <f>IF('Data Checking'!LV6="","",'Data Checking'!LV6)</f>
        <v/>
      </c>
      <c r="LK6" t="str">
        <f>IF('Data Checking'!LW6="","",'Data Checking'!LW6)</f>
        <v/>
      </c>
      <c r="LL6" t="str">
        <f>IF('Data Checking'!LX6="","",'Data Checking'!LX6)</f>
        <v/>
      </c>
      <c r="LM6" t="str">
        <f>IF('Data Checking'!LY6="","",'Data Checking'!LY6)</f>
        <v/>
      </c>
      <c r="LN6" t="str">
        <f>IF('Data Checking'!LZ6="","",'Data Checking'!LZ6)</f>
        <v/>
      </c>
      <c r="LO6" t="str">
        <f>IF('Data Checking'!MA6="","",'Data Checking'!MA6)</f>
        <v/>
      </c>
      <c r="LP6" t="str">
        <f>IF('Data Checking'!MB6="","",'Data Checking'!MB6)</f>
        <v>oui</v>
      </c>
      <c r="LQ6" t="str">
        <f>IF('Data Checking'!MC6="","",'Data Checking'!MC6)</f>
        <v/>
      </c>
      <c r="LR6" t="str">
        <f>IF('Data Checking'!MD6="","",'Data Checking'!MD6)</f>
        <v>Le site est un peu eloigné de Ziguida</v>
      </c>
      <c r="LS6">
        <f>IF('Data Checking'!ME6="","",'Data Checking'!ME6)</f>
        <v>170268546</v>
      </c>
      <c r="LT6" t="str">
        <f>IF('Data Checking'!MF6="","",'Data Checking'!MF6)</f>
        <v>b48626ba-2719-4e73-ae0f-85c7f3c3bac4</v>
      </c>
      <c r="LU6" t="str">
        <f>IF('Data Checking'!MG6="","",'Data Checking'!MG6)</f>
        <v>2021-04-07T17:51:00</v>
      </c>
      <c r="LV6" t="str">
        <f>IF('Data Checking'!MH6="","",'Data Checking'!MH6)</f>
        <v/>
      </c>
      <c r="LW6" t="str">
        <f>IF('Data Checking'!MI6="","",'Data Checking'!MI6)</f>
        <v>[]</v>
      </c>
      <c r="LX6" t="str">
        <f>IF('Data Checking'!MJ6="","",'Data Checking'!MJ6)</f>
        <v>submitted_via_web</v>
      </c>
      <c r="LY6" t="str">
        <f>IF('Data Checking'!MK6="","",'Data Checking'!MK6)</f>
        <v>reach_niger</v>
      </c>
      <c r="LZ6" t="str">
        <f>IF('Data Checking'!ML6="","",'Data Checking'!ML6)</f>
        <v/>
      </c>
      <c r="MA6">
        <f>IF('Data Checking'!MM6="","",'Data Checking'!MM6)</f>
        <v>54</v>
      </c>
    </row>
    <row r="7" spans="1:339" x14ac:dyDescent="0.3">
      <c r="A7" t="str">
        <f>IF('Data Checking'!D7="","",'Data Checking'!D7)</f>
        <v>2021-04-08T11:34:03.455+01:00</v>
      </c>
      <c r="B7" t="str">
        <f>IF('Data Checking'!E7="","",'Data Checking'!E7)</f>
        <v>2021-04-08T13:16:43.562+01:00</v>
      </c>
      <c r="C7" t="str">
        <f>IF('Data Checking'!M7="","",'Data Checking'!M7)</f>
        <v>2021-04-08</v>
      </c>
      <c r="D7" t="str">
        <f>IF('Data Checking'!N7="","",'Data Checking'!N7)</f>
        <v/>
      </c>
      <c r="E7" t="str">
        <f>IF('Data Checking'!O7="","",'Data Checking'!O7)</f>
        <v/>
      </c>
      <c r="F7" t="str">
        <f>IF('Data Checking'!R7="","",'Data Checking'!R7)</f>
        <v>Homme</v>
      </c>
      <c r="G7" t="str">
        <f>IF('Data Checking'!S7="","",'Data Checking'!S7)</f>
        <v>gotheye</v>
      </c>
      <c r="H7" t="str">
        <f>IF('Data Checking'!T7="","",'Data Checking'!T7)</f>
        <v>gotheye</v>
      </c>
      <c r="I7" t="str">
        <f>IF('Data Checking'!U7="","",'Data Checking'!U7)</f>
        <v>gotheye</v>
      </c>
      <c r="J7" t="str">
        <f>IF('Data Checking'!V7="","",'Data Checking'!V7)</f>
        <v/>
      </c>
      <c r="K7" t="str">
        <f>IF('Data Checking'!W7="","",'Data Checking'!W7)</f>
        <v/>
      </c>
      <c r="L7" t="str">
        <f>IF('Data Checking'!X7="","",'Data Checking'!X7)</f>
        <v/>
      </c>
      <c r="M7" t="str">
        <f>IF('Data Checking'!Y7="","",'Data Checking'!Y7)</f>
        <v/>
      </c>
      <c r="N7" t="str">
        <f>IF('Data Checking'!Z7="","",'Data Checking'!Z7)</f>
        <v/>
      </c>
      <c r="O7" t="str">
        <f>IF('Data Checking'!AA7="","",'Data Checking'!AA7)</f>
        <v/>
      </c>
      <c r="P7" t="str">
        <f>IF('Data Checking'!AB7="","",'Data Checking'!AB7)</f>
        <v/>
      </c>
      <c r="Q7" t="str">
        <f>IF('Data Checking'!AC7="","",'Data Checking'!AC7)</f>
        <v/>
      </c>
      <c r="R7" t="str">
        <f>IF('Data Checking'!AD7="","",'Data Checking'!AD7)</f>
        <v>Homme</v>
      </c>
      <c r="S7" t="str">
        <f>IF('Data Checking'!AE7="","",'Data Checking'!AE7)</f>
        <v>60</v>
      </c>
      <c r="T7" t="str">
        <f>IF('Data Checking'!AF7="","",'Data Checking'!AF7)</f>
        <v>deplace_interne</v>
      </c>
      <c r="U7" t="str">
        <f>IF('Data Checking'!AG7="","",'Data Checking'!AG7)</f>
        <v/>
      </c>
      <c r="V7" t="str">
        <f>IF('Data Checking'!AH7="","",'Data Checking'!AH7)</f>
        <v/>
      </c>
      <c r="W7" t="str">
        <f>IF('Data Checking'!AI7="","",'Data Checking'!AI7)</f>
        <v/>
      </c>
      <c r="X7" t="str">
        <f>IF('Data Checking'!AJ7="","",'Data Checking'!AJ7)</f>
        <v/>
      </c>
      <c r="Y7" t="str">
        <f>IF('Data Checking'!AK7="","",'Data Checking'!AK7)</f>
        <v/>
      </c>
      <c r="Z7" t="str">
        <f>IF('Data Checking'!AL7="","",'Data Checking'!AL7)</f>
        <v>niger</v>
      </c>
      <c r="AA7" t="str">
        <f>IF('Data Checking'!AM7="","",'Data Checking'!AM7)</f>
        <v>tillaberi</v>
      </c>
      <c r="AB7" t="str">
        <f>IF('Data Checking'!AN7="","",'Data Checking'!AN7)</f>
        <v>gotheye</v>
      </c>
      <c r="AC7" t="str">
        <f>IF('Data Checking'!AO7="","",'Data Checking'!AO7)</f>
        <v/>
      </c>
      <c r="AD7" t="str">
        <f>IF('Data Checking'!AP7="","",'Data Checking'!AP7)</f>
        <v/>
      </c>
      <c r="AE7" t="str">
        <f>IF('Data Checking'!AQ7="","",'Data Checking'!AQ7)</f>
        <v/>
      </c>
      <c r="AF7" t="str">
        <f>IF('Data Checking'!AR7="","",'Data Checking'!AR7)</f>
        <v/>
      </c>
      <c r="AG7" t="str">
        <f>IF('Data Checking'!AS7="","",'Data Checking'!AS7)</f>
        <v>oui</v>
      </c>
      <c r="AH7" t="str">
        <f>IF('Data Checking'!AT7="","",'Data Checking'!AT7)</f>
        <v>Vols_braquages</v>
      </c>
      <c r="AI7" t="str">
        <f>IF('Data Checking'!AU7="","",'Data Checking'!AU7)</f>
        <v>0</v>
      </c>
      <c r="AJ7" t="str">
        <f>IF('Data Checking'!AV7="","",'Data Checking'!AV7)</f>
        <v>0</v>
      </c>
      <c r="AK7" t="str">
        <f>IF('Data Checking'!AW7="","",'Data Checking'!AW7)</f>
        <v>1</v>
      </c>
      <c r="AL7" t="str">
        <f>IF('Data Checking'!AX7="","",'Data Checking'!AX7)</f>
        <v>0</v>
      </c>
      <c r="AM7" t="str">
        <f>IF('Data Checking'!AY7="","",'Data Checking'!AY7)</f>
        <v>0</v>
      </c>
      <c r="AN7" t="str">
        <f>IF('Data Checking'!AZ7="","",'Data Checking'!AZ7)</f>
        <v>0</v>
      </c>
      <c r="AO7" t="str">
        <f>IF('Data Checking'!BA7="","",'Data Checking'!BA7)</f>
        <v>0</v>
      </c>
      <c r="AP7" t="str">
        <f>IF('Data Checking'!BB7="","",'Data Checking'!BB7)</f>
        <v>0</v>
      </c>
      <c r="AQ7" t="str">
        <f>IF('Data Checking'!BC7="","",'Data Checking'!BC7)</f>
        <v>0</v>
      </c>
      <c r="AR7" t="str">
        <f>IF('Data Checking'!BD7="","",'Data Checking'!BD7)</f>
        <v>0</v>
      </c>
      <c r="AS7" t="str">
        <f>IF('Data Checking'!BE7="","",'Data Checking'!BE7)</f>
        <v>0</v>
      </c>
      <c r="AT7" t="str">
        <f>IF('Data Checking'!BF7="","",'Data Checking'!BF7)</f>
        <v>0</v>
      </c>
      <c r="AU7" t="str">
        <f>IF('Data Checking'!BG7="","",'Data Checking'!BG7)</f>
        <v>0</v>
      </c>
      <c r="AV7" t="str">
        <f>IF('Data Checking'!BH7="","",'Data Checking'!BH7)</f>
        <v>0</v>
      </c>
      <c r="AW7" t="str">
        <f>IF('Data Checking'!BI7="","",'Data Checking'!BI7)</f>
        <v/>
      </c>
      <c r="AX7" t="str">
        <f>IF('Data Checking'!BJ7="","",'Data Checking'!BJ7)</f>
        <v>Hommes Femmes</v>
      </c>
      <c r="AY7" t="str">
        <f>IF('Data Checking'!BK7="","",'Data Checking'!BK7)</f>
        <v>0</v>
      </c>
      <c r="AZ7" t="str">
        <f>IF('Data Checking'!BL7="","",'Data Checking'!BL7)</f>
        <v>0</v>
      </c>
      <c r="BA7" t="str">
        <f>IF('Data Checking'!BM7="","",'Data Checking'!BM7)</f>
        <v>0</v>
      </c>
      <c r="BB7" t="str">
        <f>IF('Data Checking'!BN7="","",'Data Checking'!BN7)</f>
        <v>0</v>
      </c>
      <c r="BC7" t="str">
        <f>IF('Data Checking'!BO7="","",'Data Checking'!BO7)</f>
        <v>1</v>
      </c>
      <c r="BD7" t="str">
        <f>IF('Data Checking'!BP7="","",'Data Checking'!BP7)</f>
        <v>1</v>
      </c>
      <c r="BE7" t="str">
        <f>IF('Data Checking'!BQ7="","",'Data Checking'!BQ7)</f>
        <v>0</v>
      </c>
      <c r="BF7" t="str">
        <f>IF('Data Checking'!BR7="","",'Data Checking'!BR7)</f>
        <v>0</v>
      </c>
      <c r="BG7" t="str">
        <f>IF('Data Checking'!BS7="","",'Data Checking'!BS7)</f>
        <v>0</v>
      </c>
      <c r="BH7" t="str">
        <f>IF('Data Checking'!BT7="","",'Data Checking'!BT7)</f>
        <v>0</v>
      </c>
      <c r="BI7" t="str">
        <f>IF('Data Checking'!BU7="","",'Data Checking'!BU7)</f>
        <v>0</v>
      </c>
      <c r="BJ7" t="str">
        <f>IF('Data Checking'!BV7="","",'Data Checking'!BV7)</f>
        <v>0</v>
      </c>
      <c r="BK7" t="str">
        <f>IF('Data Checking'!BW7="","",'Data Checking'!BW7)</f>
        <v>0</v>
      </c>
      <c r="BL7" t="str">
        <f>IF('Data Checking'!BX7="","",'Data Checking'!BX7)</f>
        <v>0</v>
      </c>
      <c r="BM7" t="str">
        <f>IF('Data Checking'!BY7="","",'Data Checking'!BY7)</f>
        <v/>
      </c>
      <c r="BN7" t="str">
        <f>IF('Data Checking'!BZ7="","",'Data Checking'!BZ7)</f>
        <v>2</v>
      </c>
      <c r="BO7" t="str">
        <f>IF('Data Checking'!CA7="","",'Data Checking'!CA7)</f>
        <v>augmente</v>
      </c>
      <c r="BP7" t="str">
        <f>IF('Data Checking'!CB7="","",'Data Checking'!CB7)</f>
        <v/>
      </c>
      <c r="BQ7" t="str">
        <f>IF('Data Checking'!CC7="","",'Data Checking'!CC7)</f>
        <v>oui</v>
      </c>
      <c r="BR7" t="str">
        <f>IF('Data Checking'!CD7="","",'Data Checking'!CD7)</f>
        <v>travail_force menace</v>
      </c>
      <c r="BS7" t="str">
        <f>IF('Data Checking'!CE7="","",'Data Checking'!CE7)</f>
        <v>0</v>
      </c>
      <c r="BT7" t="str">
        <f>IF('Data Checking'!CF7="","",'Data Checking'!CF7)</f>
        <v>0</v>
      </c>
      <c r="BU7" t="str">
        <f>IF('Data Checking'!CG7="","",'Data Checking'!CG7)</f>
        <v>0</v>
      </c>
      <c r="BV7" t="str">
        <f>IF('Data Checking'!CH7="","",'Data Checking'!CH7)</f>
        <v>0</v>
      </c>
      <c r="BW7" t="str">
        <f>IF('Data Checking'!CI7="","",'Data Checking'!CI7)</f>
        <v>0</v>
      </c>
      <c r="BX7" t="str">
        <f>IF('Data Checking'!CJ7="","",'Data Checking'!CJ7)</f>
        <v>0</v>
      </c>
      <c r="BY7" t="str">
        <f>IF('Data Checking'!CK7="","",'Data Checking'!CK7)</f>
        <v>1</v>
      </c>
      <c r="BZ7" t="str">
        <f>IF('Data Checking'!CL7="","",'Data Checking'!CL7)</f>
        <v>0</v>
      </c>
      <c r="CA7" t="str">
        <f>IF('Data Checking'!CM7="","",'Data Checking'!CM7)</f>
        <v>0</v>
      </c>
      <c r="CB7" t="str">
        <f>IF('Data Checking'!CN7="","",'Data Checking'!CN7)</f>
        <v>0</v>
      </c>
      <c r="CC7" t="str">
        <f>IF('Data Checking'!CO7="","",'Data Checking'!CO7)</f>
        <v>1</v>
      </c>
      <c r="CD7" t="str">
        <f>IF('Data Checking'!CP7="","",'Data Checking'!CP7)</f>
        <v>0</v>
      </c>
      <c r="CE7" t="str">
        <f>IF('Data Checking'!CQ7="","",'Data Checking'!CQ7)</f>
        <v>0</v>
      </c>
      <c r="CF7" t="str">
        <f>IF('Data Checking'!CR7="","",'Data Checking'!CR7)</f>
        <v>0</v>
      </c>
      <c r="CG7" t="str">
        <f>IF('Data Checking'!CS7="","",'Data Checking'!CS7)</f>
        <v>0</v>
      </c>
      <c r="CH7" t="str">
        <f>IF('Data Checking'!CT7="","",'Data Checking'!CT7)</f>
        <v/>
      </c>
      <c r="CI7" t="str">
        <f>IF('Data Checking'!CU7="","",'Data Checking'!CU7)</f>
        <v>Garçons Filles Femmes Hommes</v>
      </c>
      <c r="CJ7" t="str">
        <f>IF('Data Checking'!CV7="","",'Data Checking'!CV7)</f>
        <v>0</v>
      </c>
      <c r="CK7" t="str">
        <f>IF('Data Checking'!CW7="","",'Data Checking'!CW7)</f>
        <v>0</v>
      </c>
      <c r="CL7" t="str">
        <f>IF('Data Checking'!CX7="","",'Data Checking'!CX7)</f>
        <v>1</v>
      </c>
      <c r="CM7" t="str">
        <f>IF('Data Checking'!CY7="","",'Data Checking'!CY7)</f>
        <v>1</v>
      </c>
      <c r="CN7" t="str">
        <f>IF('Data Checking'!CZ7="","",'Data Checking'!CZ7)</f>
        <v>1</v>
      </c>
      <c r="CO7" t="str">
        <f>IF('Data Checking'!DA7="","",'Data Checking'!DA7)</f>
        <v>1</v>
      </c>
      <c r="CP7" t="str">
        <f>IF('Data Checking'!DB7="","",'Data Checking'!DB7)</f>
        <v>0</v>
      </c>
      <c r="CQ7" t="str">
        <f>IF('Data Checking'!DC7="","",'Data Checking'!DC7)</f>
        <v>0</v>
      </c>
      <c r="CR7" t="str">
        <f>IF('Data Checking'!DD7="","",'Data Checking'!DD7)</f>
        <v>0</v>
      </c>
      <c r="CS7" t="str">
        <f>IF('Data Checking'!DE7="","",'Data Checking'!DE7)</f>
        <v>0</v>
      </c>
      <c r="CT7" t="str">
        <f>IF('Data Checking'!DF7="","",'Data Checking'!DF7)</f>
        <v>0</v>
      </c>
      <c r="CU7" t="str">
        <f>IF('Data Checking'!DG7="","",'Data Checking'!DG7)</f>
        <v>0</v>
      </c>
      <c r="CV7" t="str">
        <f>IF('Data Checking'!DH7="","",'Data Checking'!DH7)</f>
        <v>0</v>
      </c>
      <c r="CW7" t="str">
        <f>IF('Data Checking'!DI7="","",'Data Checking'!DI7)</f>
        <v>0</v>
      </c>
      <c r="CX7" t="str">
        <f>IF('Data Checking'!DJ7="","",'Data Checking'!DJ7)</f>
        <v/>
      </c>
      <c r="CY7" t="str">
        <f>IF('Data Checking'!DK7="","",'Data Checking'!DK7)</f>
        <v>1</v>
      </c>
      <c r="CZ7" t="str">
        <f>IF('Data Checking'!DL7="","",'Data Checking'!DL7)</f>
        <v>augmente</v>
      </c>
      <c r="DA7" t="str">
        <f>IF('Data Checking'!DM7="","",'Data Checking'!DM7)</f>
        <v/>
      </c>
      <c r="DB7" t="str">
        <f>IF('Data Checking'!DN7="","",'Data Checking'!DN7)</f>
        <v>diminution_moyens_existence hausse_chomeurs</v>
      </c>
      <c r="DC7" t="str">
        <f>IF('Data Checking'!DO7="","",'Data Checking'!DO7)</f>
        <v>1</v>
      </c>
      <c r="DD7" t="str">
        <f>IF('Data Checking'!DP7="","",'Data Checking'!DP7)</f>
        <v>0</v>
      </c>
      <c r="DE7" t="str">
        <f>IF('Data Checking'!DQ7="","",'Data Checking'!DQ7)</f>
        <v>0</v>
      </c>
      <c r="DF7" t="str">
        <f>IF('Data Checking'!DR7="","",'Data Checking'!DR7)</f>
        <v>0</v>
      </c>
      <c r="DG7" t="str">
        <f>IF('Data Checking'!DS7="","",'Data Checking'!DS7)</f>
        <v>0</v>
      </c>
      <c r="DH7" t="str">
        <f>IF('Data Checking'!DT7="","",'Data Checking'!DT7)</f>
        <v>0</v>
      </c>
      <c r="DI7" t="str">
        <f>IF('Data Checking'!DU7="","",'Data Checking'!DU7)</f>
        <v>1</v>
      </c>
      <c r="DJ7" t="str">
        <f>IF('Data Checking'!DV7="","",'Data Checking'!DV7)</f>
        <v>0</v>
      </c>
      <c r="DK7" t="str">
        <f>IF('Data Checking'!DW7="","",'Data Checking'!DW7)</f>
        <v>0</v>
      </c>
      <c r="DL7" t="str">
        <f>IF('Data Checking'!DX7="","",'Data Checking'!DX7)</f>
        <v>0</v>
      </c>
      <c r="DM7" t="str">
        <f>IF('Data Checking'!DY7="","",'Data Checking'!DY7)</f>
        <v/>
      </c>
      <c r="DN7" t="str">
        <f>IF('Data Checking'!DZ7="","",'Data Checking'!DZ7)</f>
        <v/>
      </c>
      <c r="DO7" t="str">
        <f>IF('Data Checking'!EA7="","",'Data Checking'!EA7)</f>
        <v/>
      </c>
      <c r="DP7" t="str">
        <f>IF('Data Checking'!EB7="","",'Data Checking'!EB7)</f>
        <v/>
      </c>
      <c r="DQ7" t="str">
        <f>IF('Data Checking'!EC7="","",'Data Checking'!EC7)</f>
        <v/>
      </c>
      <c r="DR7" t="str">
        <f>IF('Data Checking'!ED7="","",'Data Checking'!ED7)</f>
        <v/>
      </c>
      <c r="DS7" t="str">
        <f>IF('Data Checking'!EE7="","",'Data Checking'!EE7)</f>
        <v/>
      </c>
      <c r="DT7" t="str">
        <f>IF('Data Checking'!EF7="","",'Data Checking'!EF7)</f>
        <v/>
      </c>
      <c r="DU7" t="str">
        <f>IF('Data Checking'!EG7="","",'Data Checking'!EG7)</f>
        <v/>
      </c>
      <c r="DV7" t="str">
        <f>IF('Data Checking'!EH7="","",'Data Checking'!EH7)</f>
        <v/>
      </c>
      <c r="DW7" t="str">
        <f>IF('Data Checking'!EI7="","",'Data Checking'!EI7)</f>
        <v/>
      </c>
      <c r="DX7" t="str">
        <f>IF('Data Checking'!EJ7="","",'Data Checking'!EJ7)</f>
        <v/>
      </c>
      <c r="DY7" t="str">
        <f>IF('Data Checking'!EK7="","",'Data Checking'!EK7)</f>
        <v/>
      </c>
      <c r="DZ7" t="str">
        <f>IF('Data Checking'!EL7="","",'Data Checking'!EL7)</f>
        <v>Integration_com_hote</v>
      </c>
      <c r="EA7" t="str">
        <f>IF('Data Checking'!EM7="","",'Data Checking'!EM7)</f>
        <v>0</v>
      </c>
      <c r="EB7" t="str">
        <f>IF('Data Checking'!EN7="","",'Data Checking'!EN7)</f>
        <v>1</v>
      </c>
      <c r="EC7" t="str">
        <f>IF('Data Checking'!EO7="","",'Data Checking'!EO7)</f>
        <v>0</v>
      </c>
      <c r="ED7" t="str">
        <f>IF('Data Checking'!EP7="","",'Data Checking'!EP7)</f>
        <v>0</v>
      </c>
      <c r="EE7" t="str">
        <f>IF('Data Checking'!EQ7="","",'Data Checking'!EQ7)</f>
        <v>0</v>
      </c>
      <c r="EF7" t="str">
        <f>IF('Data Checking'!ER7="","",'Data Checking'!ER7)</f>
        <v>0</v>
      </c>
      <c r="EG7" t="str">
        <f>IF('Data Checking'!ES7="","",'Data Checking'!ES7)</f>
        <v>0</v>
      </c>
      <c r="EH7" t="str">
        <f>IF('Data Checking'!ET7="","",'Data Checking'!ET7)</f>
        <v>0</v>
      </c>
      <c r="EI7" t="str">
        <f>IF('Data Checking'!EU7="","",'Data Checking'!EU7)</f>
        <v>0</v>
      </c>
      <c r="EJ7" t="str">
        <f>IF('Data Checking'!EV7="","",'Data Checking'!EV7)</f>
        <v/>
      </c>
      <c r="EK7" t="str">
        <f>IF('Data Checking'!EW7="","",'Data Checking'!EW7)</f>
        <v/>
      </c>
      <c r="EL7" t="str">
        <f>IF('Data Checking'!EX7="","",'Data Checking'!EX7)</f>
        <v>famille_accueil</v>
      </c>
      <c r="EM7" t="str">
        <f>IF('Data Checking'!EY7="","",'Data Checking'!EY7)</f>
        <v>0</v>
      </c>
      <c r="EN7" t="str">
        <f>IF('Data Checking'!EZ7="","",'Data Checking'!EZ7)</f>
        <v>0</v>
      </c>
      <c r="EO7" t="str">
        <f>IF('Data Checking'!FA7="","",'Data Checking'!FA7)</f>
        <v>1</v>
      </c>
      <c r="EP7" t="str">
        <f>IF('Data Checking'!FB7="","",'Data Checking'!FB7)</f>
        <v>0</v>
      </c>
      <c r="EQ7" t="str">
        <f>IF('Data Checking'!FC7="","",'Data Checking'!FC7)</f>
        <v>0</v>
      </c>
      <c r="ER7" t="str">
        <f>IF('Data Checking'!FD7="","",'Data Checking'!FD7)</f>
        <v>0</v>
      </c>
      <c r="ES7" t="str">
        <f>IF('Data Checking'!FE7="","",'Data Checking'!FE7)</f>
        <v>0</v>
      </c>
      <c r="ET7" t="str">
        <f>IF('Data Checking'!FF7="","",'Data Checking'!FF7)</f>
        <v>0</v>
      </c>
      <c r="EU7" t="str">
        <f>IF('Data Checking'!FG7="","",'Data Checking'!FG7)</f>
        <v>0</v>
      </c>
      <c r="EV7" t="str">
        <f>IF('Data Checking'!FH7="","",'Data Checking'!FH7)</f>
        <v>0</v>
      </c>
      <c r="EW7" t="str">
        <f>IF('Data Checking'!FI7="","",'Data Checking'!FI7)</f>
        <v/>
      </c>
      <c r="EX7" t="str">
        <f>IF('Data Checking'!FJ7="","",'Data Checking'!FJ7)</f>
        <v>oui</v>
      </c>
      <c r="EY7" t="str">
        <f>IF('Data Checking'!FK7="","",'Data Checking'!FK7)</f>
        <v>Autre</v>
      </c>
      <c r="EZ7" t="str">
        <f>IF('Data Checking'!FL7="","",'Data Checking'!FL7)</f>
        <v>0</v>
      </c>
      <c r="FA7" t="str">
        <f>IF('Data Checking'!FM7="","",'Data Checking'!FM7)</f>
        <v>0</v>
      </c>
      <c r="FB7" t="str">
        <f>IF('Data Checking'!FN7="","",'Data Checking'!FN7)</f>
        <v>0</v>
      </c>
      <c r="FC7" t="str">
        <f>IF('Data Checking'!FO7="","",'Data Checking'!FO7)</f>
        <v>0</v>
      </c>
      <c r="FD7" t="str">
        <f>IF('Data Checking'!FP7="","",'Data Checking'!FP7)</f>
        <v>0</v>
      </c>
      <c r="FE7">
        <f>IF('Data Checking'!FQ7="","",'Data Checking'!FQ7)</f>
        <v>1</v>
      </c>
      <c r="FF7" t="str">
        <f>IF('Data Checking'!FR7="","",'Data Checking'!FR7)</f>
        <v>0</v>
      </c>
      <c r="FG7" t="str">
        <f>IF('Data Checking'!FS7="","",'Data Checking'!FS7)</f>
        <v>0</v>
      </c>
      <c r="FH7" t="str">
        <f>IF('Data Checking'!FT7="","",'Data Checking'!FT7)</f>
        <v>0</v>
      </c>
      <c r="FI7" t="str">
        <f>IF('Data Checking'!FU7="","",'Data Checking'!FU7)</f>
        <v>0</v>
      </c>
      <c r="FJ7" t="str">
        <f>IF('Data Checking'!FV7="","",'Data Checking'!FV7)</f>
        <v>0</v>
      </c>
      <c r="FK7" t="str">
        <f>IF('Data Checking'!FW7="","",'Data Checking'!FW7)</f>
        <v>0</v>
      </c>
      <c r="FL7">
        <f>IF('Data Checking'!FX7="","",'Data Checking'!FX7)</f>
        <v>0</v>
      </c>
      <c r="FM7" t="str">
        <f>IF('Data Checking'!FY7="","",'Data Checking'!FY7)</f>
        <v>0</v>
      </c>
      <c r="FN7" t="str">
        <f>IF('Data Checking'!FZ7="","",'Data Checking'!FZ7)</f>
        <v/>
      </c>
      <c r="FO7" t="str">
        <f>IF('Data Checking'!GA7="","",'Data Checking'!GA7)</f>
        <v>oui_ensemble</v>
      </c>
      <c r="FP7" t="str">
        <f>IF('Data Checking'!GB7="","",'Data Checking'!GB7)</f>
        <v>oui_ensemble</v>
      </c>
      <c r="FQ7" t="str">
        <f>IF('Data Checking'!GC7="","",'Data Checking'!GC7)</f>
        <v/>
      </c>
      <c r="FR7" t="str">
        <f>IF('Data Checking'!GD7="","",'Data Checking'!GD7)</f>
        <v/>
      </c>
      <c r="FS7" t="str">
        <f>IF('Data Checking'!GE7="","",'Data Checking'!GE7)</f>
        <v/>
      </c>
      <c r="FT7" t="str">
        <f>IF('Data Checking'!GF7="","",'Data Checking'!GF7)</f>
        <v/>
      </c>
      <c r="FU7" t="str">
        <f>IF('Data Checking'!GG7="","",'Data Checking'!GG7)</f>
        <v/>
      </c>
      <c r="FV7" t="str">
        <f>IF('Data Checking'!GH7="","",'Data Checking'!GH7)</f>
        <v/>
      </c>
      <c r="FW7" t="str">
        <f>IF('Data Checking'!GI7="","",'Data Checking'!GI7)</f>
        <v/>
      </c>
      <c r="FX7" t="str">
        <f>IF('Data Checking'!GJ7="","",'Data Checking'!GJ7)</f>
        <v/>
      </c>
      <c r="FY7" t="str">
        <f>IF('Data Checking'!GK7="","",'Data Checking'!GK7)</f>
        <v/>
      </c>
      <c r="FZ7" t="str">
        <f>IF('Data Checking'!GL7="","",'Data Checking'!GL7)</f>
        <v/>
      </c>
      <c r="GA7" t="str">
        <f>IF('Data Checking'!GM7="","",'Data Checking'!GM7)</f>
        <v>ensemble</v>
      </c>
      <c r="GB7" t="str">
        <f>IF('Data Checking'!GN7="","",'Data Checking'!GN7)</f>
        <v>aucun</v>
      </c>
      <c r="GC7" t="str">
        <f>IF('Data Checking'!GO7="","",'Data Checking'!GO7)</f>
        <v>Education Services_de_sante Suivi_judiciaire</v>
      </c>
      <c r="GD7" t="str">
        <f>IF('Data Checking'!GP7="","",'Data Checking'!GP7)</f>
        <v>0</v>
      </c>
      <c r="GE7" t="str">
        <f>IF('Data Checking'!GQ7="","",'Data Checking'!GQ7)</f>
        <v>1</v>
      </c>
      <c r="GF7" t="str">
        <f>IF('Data Checking'!GR7="","",'Data Checking'!GR7)</f>
        <v>0</v>
      </c>
      <c r="GG7" t="str">
        <f>IF('Data Checking'!GS7="","",'Data Checking'!GS7)</f>
        <v>1</v>
      </c>
      <c r="GH7" t="str">
        <f>IF('Data Checking'!GT7="","",'Data Checking'!GT7)</f>
        <v>0</v>
      </c>
      <c r="GI7" t="str">
        <f>IF('Data Checking'!GU7="","",'Data Checking'!GU7)</f>
        <v>1</v>
      </c>
      <c r="GJ7" t="str">
        <f>IF('Data Checking'!GV7="","",'Data Checking'!GV7)</f>
        <v>0</v>
      </c>
      <c r="GK7" t="str">
        <f>IF('Data Checking'!GW7="","",'Data Checking'!GW7)</f>
        <v>0</v>
      </c>
      <c r="GL7" t="str">
        <f>IF('Data Checking'!GX7="","",'Data Checking'!GX7)</f>
        <v>0</v>
      </c>
      <c r="GM7" t="str">
        <f>IF('Data Checking'!GY7="","",'Data Checking'!GY7)</f>
        <v/>
      </c>
      <c r="GN7" t="str">
        <f>IF('Data Checking'!GZ7="","",'Data Checking'!GZ7)</f>
        <v>oui_ensemble</v>
      </c>
      <c r="GO7" t="str">
        <f>IF('Data Checking'!HA7="","",'Data Checking'!HA7)</f>
        <v>oui_ensemble</v>
      </c>
      <c r="GP7" t="str">
        <f>IF('Data Checking'!HB7="","",'Data Checking'!HB7)</f>
        <v>amelioration_futur repond_besoins_pop diminution_tensions</v>
      </c>
      <c r="GQ7" t="str">
        <f>IF('Data Checking'!HC7="","",'Data Checking'!HC7)</f>
        <v>1</v>
      </c>
      <c r="GR7" t="str">
        <f>IF('Data Checking'!HD7="","",'Data Checking'!HD7)</f>
        <v>1</v>
      </c>
      <c r="GS7" t="str">
        <f>IF('Data Checking'!HE7="","",'Data Checking'!HE7)</f>
        <v>0</v>
      </c>
      <c r="GT7" t="str">
        <f>IF('Data Checking'!HF7="","",'Data Checking'!HF7)</f>
        <v>0</v>
      </c>
      <c r="GU7" t="str">
        <f>IF('Data Checking'!HG7="","",'Data Checking'!HG7)</f>
        <v>0</v>
      </c>
      <c r="GV7" t="str">
        <f>IF('Data Checking'!HH7="","",'Data Checking'!HH7)</f>
        <v>1</v>
      </c>
      <c r="GW7" t="str">
        <f>IF('Data Checking'!HI7="","",'Data Checking'!HI7)</f>
        <v>0</v>
      </c>
      <c r="GX7" t="str">
        <f>IF('Data Checking'!HJ7="","",'Data Checking'!HJ7)</f>
        <v>0</v>
      </c>
      <c r="GY7" t="str">
        <f>IF('Data Checking'!HK7="","",'Data Checking'!HK7)</f>
        <v/>
      </c>
      <c r="GZ7" t="str">
        <f>IF('Data Checking'!HL7="","",'Data Checking'!HL7)</f>
        <v/>
      </c>
      <c r="HA7" t="str">
        <f>IF('Data Checking'!HM7="","",'Data Checking'!HM7)</f>
        <v/>
      </c>
      <c r="HB7" t="str">
        <f>IF('Data Checking'!HN7="","",'Data Checking'!HN7)</f>
        <v/>
      </c>
      <c r="HC7" t="str">
        <f>IF('Data Checking'!HO7="","",'Data Checking'!HO7)</f>
        <v/>
      </c>
      <c r="HD7" t="str">
        <f>IF('Data Checking'!HP7="","",'Data Checking'!HP7)</f>
        <v/>
      </c>
      <c r="HE7" t="str">
        <f>IF('Data Checking'!HQ7="","",'Data Checking'!HQ7)</f>
        <v/>
      </c>
      <c r="HF7" t="str">
        <f>IF('Data Checking'!HR7="","",'Data Checking'!HR7)</f>
        <v/>
      </c>
      <c r="HG7" t="str">
        <f>IF('Data Checking'!HS7="","",'Data Checking'!HS7)</f>
        <v/>
      </c>
      <c r="HH7" t="str">
        <f>IF('Data Checking'!HT7="","",'Data Checking'!HT7)</f>
        <v/>
      </c>
      <c r="HI7" t="str">
        <f>IF('Data Checking'!HU7="","",'Data Checking'!HU7)</f>
        <v>non</v>
      </c>
      <c r="HJ7" t="str">
        <f>IF('Data Checking'!HV7="","",'Data Checking'!HV7)</f>
        <v/>
      </c>
      <c r="HK7" t="str">
        <f>IF('Data Checking'!HW7="","",'Data Checking'!HW7)</f>
        <v/>
      </c>
      <c r="HL7" t="str">
        <f>IF('Data Checking'!HX7="","",'Data Checking'!HX7)</f>
        <v/>
      </c>
      <c r="HM7" t="str">
        <f>IF('Data Checking'!HY7="","",'Data Checking'!HY7)</f>
        <v/>
      </c>
      <c r="HN7" t="str">
        <f>IF('Data Checking'!HZ7="","",'Data Checking'!HZ7)</f>
        <v/>
      </c>
      <c r="HO7" t="str">
        <f>IF('Data Checking'!IA7="","",'Data Checking'!IA7)</f>
        <v/>
      </c>
      <c r="HP7" t="str">
        <f>IF('Data Checking'!IB7="","",'Data Checking'!IB7)</f>
        <v/>
      </c>
      <c r="HQ7" t="str">
        <f>IF('Data Checking'!IC7="","",'Data Checking'!IC7)</f>
        <v/>
      </c>
      <c r="HR7" t="str">
        <f>IF('Data Checking'!ID7="","",'Data Checking'!ID7)</f>
        <v/>
      </c>
      <c r="HS7" t="str">
        <f>IF('Data Checking'!IE7="","",'Data Checking'!IE7)</f>
        <v/>
      </c>
      <c r="HT7" t="str">
        <f>IF('Data Checking'!IF7="","",'Data Checking'!IF7)</f>
        <v/>
      </c>
      <c r="HU7" t="str">
        <f>IF('Data Checking'!IG7="","",'Data Checking'!IG7)</f>
        <v/>
      </c>
      <c r="HV7" t="str">
        <f>IF('Data Checking'!IH7="","",'Data Checking'!IH7)</f>
        <v>oui</v>
      </c>
      <c r="HW7" t="str">
        <f>IF('Data Checking'!II7="","",'Data Checking'!II7)</f>
        <v/>
      </c>
      <c r="HX7" t="str">
        <f>IF('Data Checking'!IJ7="","",'Data Checking'!IJ7)</f>
        <v>Filles Garçons Femmes</v>
      </c>
      <c r="HY7" t="str">
        <f>IF('Data Checking'!IK7="","",'Data Checking'!IK7)</f>
        <v>0</v>
      </c>
      <c r="HZ7" t="str">
        <f>IF('Data Checking'!IL7="","",'Data Checking'!IL7)</f>
        <v>0</v>
      </c>
      <c r="IA7" t="str">
        <f>IF('Data Checking'!IM7="","",'Data Checking'!IM7)</f>
        <v>1</v>
      </c>
      <c r="IB7" t="str">
        <f>IF('Data Checking'!IN7="","",'Data Checking'!IN7)</f>
        <v>1</v>
      </c>
      <c r="IC7" t="str">
        <f>IF('Data Checking'!IO7="","",'Data Checking'!IO7)</f>
        <v>1</v>
      </c>
      <c r="ID7" t="str">
        <f>IF('Data Checking'!IP7="","",'Data Checking'!IP7)</f>
        <v>0</v>
      </c>
      <c r="IE7" t="str">
        <f>IF('Data Checking'!IQ7="","",'Data Checking'!IQ7)</f>
        <v>0</v>
      </c>
      <c r="IF7" t="str">
        <f>IF('Data Checking'!IR7="","",'Data Checking'!IR7)</f>
        <v>0</v>
      </c>
      <c r="IG7" t="str">
        <f>IF('Data Checking'!IS7="","",'Data Checking'!IS7)</f>
        <v>0</v>
      </c>
      <c r="IH7" t="str">
        <f>IF('Data Checking'!IT7="","",'Data Checking'!IT7)</f>
        <v>0</v>
      </c>
      <c r="II7" t="str">
        <f>IF('Data Checking'!IU7="","",'Data Checking'!IU7)</f>
        <v>0</v>
      </c>
      <c r="IJ7" t="str">
        <f>IF('Data Checking'!IV7="","",'Data Checking'!IV7)</f>
        <v>0</v>
      </c>
      <c r="IK7" t="str">
        <f>IF('Data Checking'!IW7="","",'Data Checking'!IW7)</f>
        <v>0</v>
      </c>
      <c r="IL7" t="str">
        <f>IF('Data Checking'!IX7="","",'Data Checking'!IX7)</f>
        <v>0</v>
      </c>
      <c r="IM7" t="str">
        <f>IF('Data Checking'!IY7="","",'Data Checking'!IY7)</f>
        <v/>
      </c>
      <c r="IN7" t="str">
        <f>IF('Data Checking'!IZ7="","",'Data Checking'!IZ7)</f>
        <v>15</v>
      </c>
      <c r="IO7" t="str">
        <f>IF('Data Checking'!JA7="","",'Data Checking'!JA7)</f>
        <v>Services_medicaux Services_educatifs Services_conseil acces_docs service_judiciaire</v>
      </c>
      <c r="IP7" t="str">
        <f>IF('Data Checking'!JB7="","",'Data Checking'!JB7)</f>
        <v>0</v>
      </c>
      <c r="IQ7" t="str">
        <f>IF('Data Checking'!JC7="","",'Data Checking'!JC7)</f>
        <v>1</v>
      </c>
      <c r="IR7" t="str">
        <f>IF('Data Checking'!JD7="","",'Data Checking'!JD7)</f>
        <v>1</v>
      </c>
      <c r="IS7" t="str">
        <f>IF('Data Checking'!JE7="","",'Data Checking'!JE7)</f>
        <v>1</v>
      </c>
      <c r="IT7" t="str">
        <f>IF('Data Checking'!JF7="","",'Data Checking'!JF7)</f>
        <v>1</v>
      </c>
      <c r="IU7" t="str">
        <f>IF('Data Checking'!JG7="","",'Data Checking'!JG7)</f>
        <v>1</v>
      </c>
      <c r="IV7" t="str">
        <f>IF('Data Checking'!JH7="","",'Data Checking'!JH7)</f>
        <v>0</v>
      </c>
      <c r="IW7" t="str">
        <f>IF('Data Checking'!JI7="","",'Data Checking'!JI7)</f>
        <v>0</v>
      </c>
      <c r="IX7" t="str">
        <f>IF('Data Checking'!JJ7="","",'Data Checking'!JJ7)</f>
        <v>0</v>
      </c>
      <c r="IY7" t="str">
        <f>IF('Data Checking'!JK7="","",'Data Checking'!JK7)</f>
        <v>0</v>
      </c>
      <c r="IZ7" t="str">
        <f>IF('Data Checking'!JL7="","",'Data Checking'!JL7)</f>
        <v/>
      </c>
      <c r="JA7" t="str">
        <f>IF('Data Checking'!JM7="","",'Data Checking'!JM7)</f>
        <v>reorientation Autre</v>
      </c>
      <c r="JB7" t="str">
        <f>IF('Data Checking'!JN7="","",'Data Checking'!JN7)</f>
        <v>0</v>
      </c>
      <c r="JC7" t="str">
        <f>IF('Data Checking'!JO7="","",'Data Checking'!JO7)</f>
        <v>1</v>
      </c>
      <c r="JD7" t="str">
        <f>IF('Data Checking'!JP7="","",'Data Checking'!JP7)</f>
        <v>0</v>
      </c>
      <c r="JE7" t="str">
        <f>IF('Data Checking'!JQ7="","",'Data Checking'!JQ7)</f>
        <v>1</v>
      </c>
      <c r="JF7" t="str">
        <f>IF('Data Checking'!JR7="","",'Data Checking'!JR7)</f>
        <v>0</v>
      </c>
      <c r="JG7" t="str">
        <f>IF('Data Checking'!JS7="","",'Data Checking'!JS7)</f>
        <v>0</v>
      </c>
      <c r="JH7" t="str">
        <f>IF('Data Checking'!JT7="","",'Data Checking'!JT7)</f>
        <v>On collecte de l'argent entre pour le soin</v>
      </c>
      <c r="JI7" t="str">
        <f>IF('Data Checking'!JU7="","",'Data Checking'!JU7)</f>
        <v/>
      </c>
      <c r="JJ7" t="str">
        <f>IF('Data Checking'!JV7="","",'Data Checking'!JV7)</f>
        <v/>
      </c>
      <c r="JK7" t="str">
        <f>IF('Data Checking'!JW7="","",'Data Checking'!JW7)</f>
        <v/>
      </c>
      <c r="JL7" t="str">
        <f>IF('Data Checking'!JX7="","",'Data Checking'!JX7)</f>
        <v/>
      </c>
      <c r="JM7" t="str">
        <f>IF('Data Checking'!JY7="","",'Data Checking'!JY7)</f>
        <v/>
      </c>
      <c r="JN7" t="str">
        <f>IF('Data Checking'!JZ7="","",'Data Checking'!JZ7)</f>
        <v/>
      </c>
      <c r="JO7" t="str">
        <f>IF('Data Checking'!KA7="","",'Data Checking'!KA7)</f>
        <v/>
      </c>
      <c r="JP7" t="str">
        <f>IF('Data Checking'!KB7="","",'Data Checking'!KB7)</f>
        <v/>
      </c>
      <c r="JQ7" t="str">
        <f>IF('Data Checking'!KC7="","",'Data Checking'!KC7)</f>
        <v/>
      </c>
      <c r="JR7" t="str">
        <f>IF('Data Checking'!KD7="","",'Data Checking'!KD7)</f>
        <v/>
      </c>
      <c r="JS7" t="str">
        <f>IF('Data Checking'!KE7="","",'Data Checking'!KE7)</f>
        <v/>
      </c>
      <c r="JT7" t="str">
        <f>IF('Data Checking'!KF7="","",'Data Checking'!KF7)</f>
        <v>medical</v>
      </c>
      <c r="JU7" t="str">
        <f>IF('Data Checking'!KG7="","",'Data Checking'!KG7)</f>
        <v>1</v>
      </c>
      <c r="JV7" t="str">
        <f>IF('Data Checking'!KH7="","",'Data Checking'!KH7)</f>
        <v>0</v>
      </c>
      <c r="JW7" t="str">
        <f>IF('Data Checking'!KI7="","",'Data Checking'!KI7)</f>
        <v>0</v>
      </c>
      <c r="JX7" t="str">
        <f>IF('Data Checking'!KJ7="","",'Data Checking'!KJ7)</f>
        <v>0</v>
      </c>
      <c r="JY7" t="str">
        <f>IF('Data Checking'!KK7="","",'Data Checking'!KK7)</f>
        <v>0</v>
      </c>
      <c r="JZ7" t="str">
        <f>IF('Data Checking'!KL7="","",'Data Checking'!KL7)</f>
        <v>0</v>
      </c>
      <c r="KA7" t="str">
        <f>IF('Data Checking'!KM7="","",'Data Checking'!KM7)</f>
        <v>0</v>
      </c>
      <c r="KB7" t="str">
        <f>IF('Data Checking'!KN7="","",'Data Checking'!KN7)</f>
        <v>0</v>
      </c>
      <c r="KC7" t="str">
        <f>IF('Data Checking'!KO7="","",'Data Checking'!KO7)</f>
        <v>0</v>
      </c>
      <c r="KD7" t="str">
        <f>IF('Data Checking'!KP7="","",'Data Checking'!KP7)</f>
        <v/>
      </c>
      <c r="KE7" t="str">
        <f>IF('Data Checking'!KQ7="","",'Data Checking'!KQ7)</f>
        <v/>
      </c>
      <c r="KF7" t="str">
        <f>IF('Data Checking'!KR7="","",'Data Checking'!KR7)</f>
        <v>oui</v>
      </c>
      <c r="KG7" t="str">
        <f>IF('Data Checking'!KS7="","",'Data Checking'!KS7)</f>
        <v>manque_moyens manque_personnes manque_d'information probleme_orientation Autre</v>
      </c>
      <c r="KH7" t="str">
        <f>IF('Data Checking'!KT7="","",'Data Checking'!KT7)</f>
        <v>1</v>
      </c>
      <c r="KI7" t="str">
        <f>IF('Data Checking'!KU7="","",'Data Checking'!KU7)</f>
        <v>1</v>
      </c>
      <c r="KJ7" t="str">
        <f>IF('Data Checking'!KV7="","",'Data Checking'!KV7)</f>
        <v>1</v>
      </c>
      <c r="KK7" t="str">
        <f>IF('Data Checking'!KW7="","",'Data Checking'!KW7)</f>
        <v>1</v>
      </c>
      <c r="KL7" t="str">
        <f>IF('Data Checking'!KX7="","",'Data Checking'!KX7)</f>
        <v>0</v>
      </c>
      <c r="KM7" t="str">
        <f>IF('Data Checking'!KY7="","",'Data Checking'!KY7)</f>
        <v>0</v>
      </c>
      <c r="KN7" t="str">
        <f>IF('Data Checking'!KZ7="","",'Data Checking'!KZ7)</f>
        <v>0</v>
      </c>
      <c r="KO7" t="str">
        <f>IF('Data Checking'!LA7="","",'Data Checking'!LA7)</f>
        <v>0</v>
      </c>
      <c r="KP7" t="str">
        <f>IF('Data Checking'!LB7="","",'Data Checking'!LB7)</f>
        <v>1</v>
      </c>
      <c r="KQ7" t="str">
        <f>IF('Data Checking'!LC7="","",'Data Checking'!LC7)</f>
        <v>0</v>
      </c>
      <c r="KR7" t="str">
        <f>IF('Data Checking'!LD7="","",'Data Checking'!LD7)</f>
        <v>0</v>
      </c>
      <c r="KS7" t="str">
        <f>IF('Data Checking'!LE7="","",'Data Checking'!LE7)</f>
        <v>Eloignement de certains services</v>
      </c>
      <c r="KT7" t="str">
        <f>IF('Data Checking'!LF7="","",'Data Checking'!LF7)</f>
        <v>pb_logistiques</v>
      </c>
      <c r="KU7" t="str">
        <f>IF('Data Checking'!LG7="","",'Data Checking'!LG7)</f>
        <v>0</v>
      </c>
      <c r="KV7" t="str">
        <f>IF('Data Checking'!LH7="","",'Data Checking'!LH7)</f>
        <v>1</v>
      </c>
      <c r="KW7" t="str">
        <f>IF('Data Checking'!LI7="","",'Data Checking'!LI7)</f>
        <v>0</v>
      </c>
      <c r="KX7" t="str">
        <f>IF('Data Checking'!LJ7="","",'Data Checking'!LJ7)</f>
        <v>0</v>
      </c>
      <c r="KY7" t="str">
        <f>IF('Data Checking'!LK7="","",'Data Checking'!LK7)</f>
        <v>0</v>
      </c>
      <c r="KZ7" t="str">
        <f>IF('Data Checking'!LL7="","",'Data Checking'!LL7)</f>
        <v>0</v>
      </c>
      <c r="LA7" t="str">
        <f>IF('Data Checking'!LM7="","",'Data Checking'!LM7)</f>
        <v/>
      </c>
      <c r="LB7" t="str">
        <f>IF('Data Checking'!LN7="","",'Data Checking'!LN7)</f>
        <v>non</v>
      </c>
      <c r="LC7" t="str">
        <f>IF('Data Checking'!LO7="","",'Data Checking'!LO7)</f>
        <v/>
      </c>
      <c r="LD7" t="str">
        <f>IF('Data Checking'!LP7="","",'Data Checking'!LP7)</f>
        <v/>
      </c>
      <c r="LE7" t="str">
        <f>IF('Data Checking'!LQ7="","",'Data Checking'!LQ7)</f>
        <v/>
      </c>
      <c r="LF7" t="str">
        <f>IF('Data Checking'!LR7="","",'Data Checking'!LR7)</f>
        <v/>
      </c>
      <c r="LG7" t="str">
        <f>IF('Data Checking'!LS7="","",'Data Checking'!LS7)</f>
        <v/>
      </c>
      <c r="LH7" t="str">
        <f>IF('Data Checking'!LT7="","",'Data Checking'!LT7)</f>
        <v/>
      </c>
      <c r="LI7" t="str">
        <f>IF('Data Checking'!LU7="","",'Data Checking'!LU7)</f>
        <v/>
      </c>
      <c r="LJ7" t="str">
        <f>IF('Data Checking'!LV7="","",'Data Checking'!LV7)</f>
        <v/>
      </c>
      <c r="LK7" t="str">
        <f>IF('Data Checking'!LW7="","",'Data Checking'!LW7)</f>
        <v/>
      </c>
      <c r="LL7" t="str">
        <f>IF('Data Checking'!LX7="","",'Data Checking'!LX7)</f>
        <v/>
      </c>
      <c r="LM7" t="str">
        <f>IF('Data Checking'!LY7="","",'Data Checking'!LY7)</f>
        <v/>
      </c>
      <c r="LN7" t="str">
        <f>IF('Data Checking'!LZ7="","",'Data Checking'!LZ7)</f>
        <v/>
      </c>
      <c r="LO7" t="str">
        <f>IF('Data Checking'!MA7="","",'Data Checking'!MA7)</f>
        <v/>
      </c>
      <c r="LP7" t="str">
        <f>IF('Data Checking'!MB7="","",'Data Checking'!MB7)</f>
        <v>oui</v>
      </c>
      <c r="LQ7" t="str">
        <f>IF('Data Checking'!MC7="","",'Data Checking'!MC7)</f>
        <v/>
      </c>
      <c r="LR7" t="str">
        <f>IF('Data Checking'!MD7="","",'Data Checking'!MD7)</f>
        <v>Les menaces de morts par appels</v>
      </c>
      <c r="LS7">
        <f>IF('Data Checking'!ME7="","",'Data Checking'!ME7)</f>
        <v>170478771</v>
      </c>
      <c r="LT7" t="str">
        <f>IF('Data Checking'!MF7="","",'Data Checking'!MF7)</f>
        <v>1c3df705-6e3b-4977-b779-224b3dbb8057</v>
      </c>
      <c r="LU7" t="str">
        <f>IF('Data Checking'!MG7="","",'Data Checking'!MG7)</f>
        <v>2021-04-08T15:25:18</v>
      </c>
      <c r="LV7" t="str">
        <f>IF('Data Checking'!MH7="","",'Data Checking'!MH7)</f>
        <v/>
      </c>
      <c r="LW7" t="str">
        <f>IF('Data Checking'!MI7="","",'Data Checking'!MI7)</f>
        <v>[]</v>
      </c>
      <c r="LX7" t="str">
        <f>IF('Data Checking'!MJ7="","",'Data Checking'!MJ7)</f>
        <v>submitted_via_web</v>
      </c>
      <c r="LY7" t="str">
        <f>IF('Data Checking'!MK7="","",'Data Checking'!MK7)</f>
        <v>reach_niger</v>
      </c>
      <c r="LZ7" t="str">
        <f>IF('Data Checking'!ML7="","",'Data Checking'!ML7)</f>
        <v/>
      </c>
      <c r="MA7">
        <f>IF('Data Checking'!MM7="","",'Data Checking'!MM7)</f>
        <v>56</v>
      </c>
    </row>
    <row r="8" spans="1:339" x14ac:dyDescent="0.3">
      <c r="A8" t="str">
        <f>IF('Data Checking'!D8="","",'Data Checking'!D8)</f>
        <v>2021-04-15T16:46:11.935+01:00</v>
      </c>
      <c r="B8" t="str">
        <f>IF('Data Checking'!E8="","",'Data Checking'!E8)</f>
        <v>2021-04-15T17:28:26.345+01:00</v>
      </c>
      <c r="C8" t="str">
        <f>IF('Data Checking'!M8="","",'Data Checking'!M8)</f>
        <v>2021-04-15</v>
      </c>
      <c r="D8" t="str">
        <f>IF('Data Checking'!N8="","",'Data Checking'!N8)</f>
        <v/>
      </c>
      <c r="E8" t="str">
        <f>IF('Data Checking'!O8="","",'Data Checking'!O8)</f>
        <v/>
      </c>
      <c r="F8" t="str">
        <f>IF('Data Checking'!R8="","",'Data Checking'!R8)</f>
        <v>Homme</v>
      </c>
      <c r="G8" t="str">
        <f>IF('Data Checking'!S8="","",'Data Checking'!S8)</f>
        <v>gotheye</v>
      </c>
      <c r="H8" t="str">
        <f>IF('Data Checking'!T8="","",'Data Checking'!T8)</f>
        <v>gotheye</v>
      </c>
      <c r="I8" t="str">
        <f>IF('Data Checking'!U8="","",'Data Checking'!U8)</f>
        <v>waraw</v>
      </c>
      <c r="J8" t="str">
        <f>IF('Data Checking'!V8="","",'Data Checking'!V8)</f>
        <v/>
      </c>
      <c r="K8" t="str">
        <f>IF('Data Checking'!W8="","",'Data Checking'!W8)</f>
        <v/>
      </c>
      <c r="L8" t="str">
        <f>IF('Data Checking'!X8="","",'Data Checking'!X8)</f>
        <v/>
      </c>
      <c r="M8" t="str">
        <f>IF('Data Checking'!Y8="","",'Data Checking'!Y8)</f>
        <v/>
      </c>
      <c r="N8" t="str">
        <f>IF('Data Checking'!Z8="","",'Data Checking'!Z8)</f>
        <v/>
      </c>
      <c r="O8" t="str">
        <f>IF('Data Checking'!AA8="","",'Data Checking'!AA8)</f>
        <v/>
      </c>
      <c r="P8" t="str">
        <f>IF('Data Checking'!AB8="","",'Data Checking'!AB8)</f>
        <v/>
      </c>
      <c r="Q8" t="str">
        <f>IF('Data Checking'!AC8="","",'Data Checking'!AC8)</f>
        <v/>
      </c>
      <c r="R8" t="str">
        <f>IF('Data Checking'!AD8="","",'Data Checking'!AD8)</f>
        <v>Homme</v>
      </c>
      <c r="S8" t="str">
        <f>IF('Data Checking'!AE8="","",'Data Checking'!AE8)</f>
        <v>43</v>
      </c>
      <c r="T8" t="str">
        <f>IF('Data Checking'!AF8="","",'Data Checking'!AF8)</f>
        <v>Hote</v>
      </c>
      <c r="U8" t="str">
        <f>IF('Data Checking'!AG8="","",'Data Checking'!AG8)</f>
        <v/>
      </c>
      <c r="V8" t="str">
        <f>IF('Data Checking'!AH8="","",'Data Checking'!AH8)</f>
        <v/>
      </c>
      <c r="W8" t="str">
        <f>IF('Data Checking'!AI8="","",'Data Checking'!AI8)</f>
        <v/>
      </c>
      <c r="X8" t="str">
        <f>IF('Data Checking'!AJ8="","",'Data Checking'!AJ8)</f>
        <v/>
      </c>
      <c r="Y8" t="str">
        <f>IF('Data Checking'!AK8="","",'Data Checking'!AK8)</f>
        <v/>
      </c>
      <c r="Z8" t="str">
        <f>IF('Data Checking'!AL8="","",'Data Checking'!AL8)</f>
        <v/>
      </c>
      <c r="AA8" t="str">
        <f>IF('Data Checking'!AM8="","",'Data Checking'!AM8)</f>
        <v/>
      </c>
      <c r="AB8" t="str">
        <f>IF('Data Checking'!AN8="","",'Data Checking'!AN8)</f>
        <v/>
      </c>
      <c r="AC8" t="str">
        <f>IF('Data Checking'!AO8="","",'Data Checking'!AO8)</f>
        <v/>
      </c>
      <c r="AD8" t="str">
        <f>IF('Data Checking'!AP8="","",'Data Checking'!AP8)</f>
        <v/>
      </c>
      <c r="AE8" t="str">
        <f>IF('Data Checking'!AQ8="","",'Data Checking'!AQ8)</f>
        <v/>
      </c>
      <c r="AF8" t="str">
        <f>IF('Data Checking'!AR8="","",'Data Checking'!AR8)</f>
        <v/>
      </c>
      <c r="AG8" t="str">
        <f>IF('Data Checking'!AS8="","",'Data Checking'!AS8)</f>
        <v>oui</v>
      </c>
      <c r="AH8" t="str">
        <f>IF('Data Checking'!AT8="","",'Data Checking'!AT8)</f>
        <v>Vols_braquages extorsions</v>
      </c>
      <c r="AI8" t="str">
        <f>IF('Data Checking'!AU8="","",'Data Checking'!AU8)</f>
        <v>0</v>
      </c>
      <c r="AJ8" t="str">
        <f>IF('Data Checking'!AV8="","",'Data Checking'!AV8)</f>
        <v>0</v>
      </c>
      <c r="AK8" t="str">
        <f>IF('Data Checking'!AW8="","",'Data Checking'!AW8)</f>
        <v>1</v>
      </c>
      <c r="AL8" t="str">
        <f>IF('Data Checking'!AX8="","",'Data Checking'!AX8)</f>
        <v>1</v>
      </c>
      <c r="AM8" t="str">
        <f>IF('Data Checking'!AY8="","",'Data Checking'!AY8)</f>
        <v>0</v>
      </c>
      <c r="AN8" t="str">
        <f>IF('Data Checking'!AZ8="","",'Data Checking'!AZ8)</f>
        <v>0</v>
      </c>
      <c r="AO8" t="str">
        <f>IF('Data Checking'!BA8="","",'Data Checking'!BA8)</f>
        <v>0</v>
      </c>
      <c r="AP8" t="str">
        <f>IF('Data Checking'!BB8="","",'Data Checking'!BB8)</f>
        <v>0</v>
      </c>
      <c r="AQ8" t="str">
        <f>IF('Data Checking'!BC8="","",'Data Checking'!BC8)</f>
        <v>0</v>
      </c>
      <c r="AR8" t="str">
        <f>IF('Data Checking'!BD8="","",'Data Checking'!BD8)</f>
        <v>0</v>
      </c>
      <c r="AS8" t="str">
        <f>IF('Data Checking'!BE8="","",'Data Checking'!BE8)</f>
        <v>0</v>
      </c>
      <c r="AT8" t="str">
        <f>IF('Data Checking'!BF8="","",'Data Checking'!BF8)</f>
        <v>0</v>
      </c>
      <c r="AU8" t="str">
        <f>IF('Data Checking'!BG8="","",'Data Checking'!BG8)</f>
        <v>0</v>
      </c>
      <c r="AV8" t="str">
        <f>IF('Data Checking'!BH8="","",'Data Checking'!BH8)</f>
        <v>0</v>
      </c>
      <c r="AW8" t="str">
        <f>IF('Data Checking'!BI8="","",'Data Checking'!BI8)</f>
        <v/>
      </c>
      <c r="AX8" t="str">
        <f>IF('Data Checking'!BJ8="","",'Data Checking'!BJ8)</f>
        <v>Filles Garçons Femmes Hommes</v>
      </c>
      <c r="AY8" t="str">
        <f>IF('Data Checking'!BK8="","",'Data Checking'!BK8)</f>
        <v>0</v>
      </c>
      <c r="AZ8" t="str">
        <f>IF('Data Checking'!BL8="","",'Data Checking'!BL8)</f>
        <v>0</v>
      </c>
      <c r="BA8" t="str">
        <f>IF('Data Checking'!BM8="","",'Data Checking'!BM8)</f>
        <v>1</v>
      </c>
      <c r="BB8" t="str">
        <f>IF('Data Checking'!BN8="","",'Data Checking'!BN8)</f>
        <v>1</v>
      </c>
      <c r="BC8" t="str">
        <f>IF('Data Checking'!BO8="","",'Data Checking'!BO8)</f>
        <v>1</v>
      </c>
      <c r="BD8" t="str">
        <f>IF('Data Checking'!BP8="","",'Data Checking'!BP8)</f>
        <v>1</v>
      </c>
      <c r="BE8" t="str">
        <f>IF('Data Checking'!BQ8="","",'Data Checking'!BQ8)</f>
        <v>0</v>
      </c>
      <c r="BF8" t="str">
        <f>IF('Data Checking'!BR8="","",'Data Checking'!BR8)</f>
        <v>0</v>
      </c>
      <c r="BG8" t="str">
        <f>IF('Data Checking'!BS8="","",'Data Checking'!BS8)</f>
        <v>0</v>
      </c>
      <c r="BH8" t="str">
        <f>IF('Data Checking'!BT8="","",'Data Checking'!BT8)</f>
        <v>0</v>
      </c>
      <c r="BI8" t="str">
        <f>IF('Data Checking'!BU8="","",'Data Checking'!BU8)</f>
        <v>0</v>
      </c>
      <c r="BJ8" t="str">
        <f>IF('Data Checking'!BV8="","",'Data Checking'!BV8)</f>
        <v>0</v>
      </c>
      <c r="BK8" t="str">
        <f>IF('Data Checking'!BW8="","",'Data Checking'!BW8)</f>
        <v>0</v>
      </c>
      <c r="BL8" t="str">
        <f>IF('Data Checking'!BX8="","",'Data Checking'!BX8)</f>
        <v>0</v>
      </c>
      <c r="BM8" t="str">
        <f>IF('Data Checking'!BY8="","",'Data Checking'!BY8)</f>
        <v/>
      </c>
      <c r="BN8" t="str">
        <f>IF('Data Checking'!BZ8="","",'Data Checking'!BZ8)</f>
        <v>4</v>
      </c>
      <c r="BO8" t="str">
        <f>IF('Data Checking'!CA8="","",'Data Checking'!CA8)</f>
        <v>augmente</v>
      </c>
      <c r="BP8" t="str">
        <f>IF('Data Checking'!CB8="","",'Data Checking'!CB8)</f>
        <v/>
      </c>
      <c r="BQ8" t="str">
        <f>IF('Data Checking'!CC8="","",'Data Checking'!CC8)</f>
        <v>oui</v>
      </c>
      <c r="BR8" t="str">
        <f>IF('Data Checking'!CD8="","",'Data Checking'!CD8)</f>
        <v>agression_physique deni_de_ressource mariage_force menace Autre</v>
      </c>
      <c r="BS8" t="str">
        <f>IF('Data Checking'!CE8="","",'Data Checking'!CE8)</f>
        <v>0</v>
      </c>
      <c r="BT8" t="str">
        <f>IF('Data Checking'!CF8="","",'Data Checking'!CF8)</f>
        <v>0</v>
      </c>
      <c r="BU8" t="str">
        <f>IF('Data Checking'!CG8="","",'Data Checking'!CG8)</f>
        <v>1</v>
      </c>
      <c r="BV8" t="str">
        <f>IF('Data Checking'!CH8="","",'Data Checking'!CH8)</f>
        <v>1</v>
      </c>
      <c r="BW8" t="str">
        <f>IF('Data Checking'!CI8="","",'Data Checking'!CI8)</f>
        <v>0</v>
      </c>
      <c r="BX8" t="str">
        <f>IF('Data Checking'!CJ8="","",'Data Checking'!CJ8)</f>
        <v>1</v>
      </c>
      <c r="BY8" t="str">
        <f>IF('Data Checking'!CK8="","",'Data Checking'!CK8)</f>
        <v>0</v>
      </c>
      <c r="BZ8" t="str">
        <f>IF('Data Checking'!CL8="","",'Data Checking'!CL8)</f>
        <v>0</v>
      </c>
      <c r="CA8" t="str">
        <f>IF('Data Checking'!CM8="","",'Data Checking'!CM8)</f>
        <v>0</v>
      </c>
      <c r="CB8" t="str">
        <f>IF('Data Checking'!CN8="","",'Data Checking'!CN8)</f>
        <v>0</v>
      </c>
      <c r="CC8" t="str">
        <f>IF('Data Checking'!CO8="","",'Data Checking'!CO8)</f>
        <v>1</v>
      </c>
      <c r="CD8" t="str">
        <f>IF('Data Checking'!CP8="","",'Data Checking'!CP8)</f>
        <v>0</v>
      </c>
      <c r="CE8" t="str">
        <f>IF('Data Checking'!CQ8="","",'Data Checking'!CQ8)</f>
        <v>1</v>
      </c>
      <c r="CF8" t="str">
        <f>IF('Data Checking'!CR8="","",'Data Checking'!CR8)</f>
        <v>0</v>
      </c>
      <c r="CG8" t="str">
        <f>IF('Data Checking'!CS8="","",'Data Checking'!CS8)</f>
        <v>0</v>
      </c>
      <c r="CH8" t="str">
        <f>IF('Data Checking'!CT8="","",'Data Checking'!CT8)</f>
        <v>Circulation des bandits avec des armes</v>
      </c>
      <c r="CI8" t="str">
        <f>IF('Data Checking'!CU8="","",'Data Checking'!CU8)</f>
        <v>Enfants Filles Garçons Femmes Hommes</v>
      </c>
      <c r="CJ8" t="str">
        <f>IF('Data Checking'!CV8="","",'Data Checking'!CV8)</f>
        <v>0</v>
      </c>
      <c r="CK8" t="str">
        <f>IF('Data Checking'!CW8="","",'Data Checking'!CW8)</f>
        <v>1</v>
      </c>
      <c r="CL8" t="str">
        <f>IF('Data Checking'!CX8="","",'Data Checking'!CX8)</f>
        <v>1</v>
      </c>
      <c r="CM8" t="str">
        <f>IF('Data Checking'!CY8="","",'Data Checking'!CY8)</f>
        <v>1</v>
      </c>
      <c r="CN8" t="str">
        <f>IF('Data Checking'!CZ8="","",'Data Checking'!CZ8)</f>
        <v>1</v>
      </c>
      <c r="CO8" t="str">
        <f>IF('Data Checking'!DA8="","",'Data Checking'!DA8)</f>
        <v>1</v>
      </c>
      <c r="CP8" t="str">
        <f>IF('Data Checking'!DB8="","",'Data Checking'!DB8)</f>
        <v>0</v>
      </c>
      <c r="CQ8" t="str">
        <f>IF('Data Checking'!DC8="","",'Data Checking'!DC8)</f>
        <v>0</v>
      </c>
      <c r="CR8" t="str">
        <f>IF('Data Checking'!DD8="","",'Data Checking'!DD8)</f>
        <v>0</v>
      </c>
      <c r="CS8" t="str">
        <f>IF('Data Checking'!DE8="","",'Data Checking'!DE8)</f>
        <v>0</v>
      </c>
      <c r="CT8" t="str">
        <f>IF('Data Checking'!DF8="","",'Data Checking'!DF8)</f>
        <v>0</v>
      </c>
      <c r="CU8" t="str">
        <f>IF('Data Checking'!DG8="","",'Data Checking'!DG8)</f>
        <v>0</v>
      </c>
      <c r="CV8" t="str">
        <f>IF('Data Checking'!DH8="","",'Data Checking'!DH8)</f>
        <v>0</v>
      </c>
      <c r="CW8" t="str">
        <f>IF('Data Checking'!DI8="","",'Data Checking'!DI8)</f>
        <v>0</v>
      </c>
      <c r="CX8" t="str">
        <f>IF('Data Checking'!DJ8="","",'Data Checking'!DJ8)</f>
        <v/>
      </c>
      <c r="CY8" t="str">
        <f>IF('Data Checking'!DK8="","",'Data Checking'!DK8)</f>
        <v>3</v>
      </c>
      <c r="CZ8" t="str">
        <f>IF('Data Checking'!DL8="","",'Data Checking'!DL8)</f>
        <v>augmente</v>
      </c>
      <c r="DA8" t="str">
        <f>IF('Data Checking'!DM8="","",'Data Checking'!DM8)</f>
        <v/>
      </c>
      <c r="DB8" t="str">
        <f>IF('Data Checking'!DN8="","",'Data Checking'!DN8)</f>
        <v>deterioration_acces_service_base diminution_moyens_existence</v>
      </c>
      <c r="DC8" t="str">
        <f>IF('Data Checking'!DO8="","",'Data Checking'!DO8)</f>
        <v>1</v>
      </c>
      <c r="DD8" t="str">
        <f>IF('Data Checking'!DP8="","",'Data Checking'!DP8)</f>
        <v>0</v>
      </c>
      <c r="DE8" t="str">
        <f>IF('Data Checking'!DQ8="","",'Data Checking'!DQ8)</f>
        <v>1</v>
      </c>
      <c r="DF8" t="str">
        <f>IF('Data Checking'!DR8="","",'Data Checking'!DR8)</f>
        <v>0</v>
      </c>
      <c r="DG8" t="str">
        <f>IF('Data Checking'!DS8="","",'Data Checking'!DS8)</f>
        <v>0</v>
      </c>
      <c r="DH8" t="str">
        <f>IF('Data Checking'!DT8="","",'Data Checking'!DT8)</f>
        <v>0</v>
      </c>
      <c r="DI8" t="str">
        <f>IF('Data Checking'!DU8="","",'Data Checking'!DU8)</f>
        <v>0</v>
      </c>
      <c r="DJ8" t="str">
        <f>IF('Data Checking'!DV8="","",'Data Checking'!DV8)</f>
        <v>0</v>
      </c>
      <c r="DK8" t="str">
        <f>IF('Data Checking'!DW8="","",'Data Checking'!DW8)</f>
        <v>0</v>
      </c>
      <c r="DL8" t="str">
        <f>IF('Data Checking'!DX8="","",'Data Checking'!DX8)</f>
        <v>0</v>
      </c>
      <c r="DM8" t="str">
        <f>IF('Data Checking'!DY8="","",'Data Checking'!DY8)</f>
        <v/>
      </c>
      <c r="DN8" t="str">
        <f>IF('Data Checking'!DZ8="","",'Data Checking'!DZ8)</f>
        <v/>
      </c>
      <c r="DO8" t="str">
        <f>IF('Data Checking'!EA8="","",'Data Checking'!EA8)</f>
        <v/>
      </c>
      <c r="DP8" t="str">
        <f>IF('Data Checking'!EB8="","",'Data Checking'!EB8)</f>
        <v/>
      </c>
      <c r="DQ8" t="str">
        <f>IF('Data Checking'!EC8="","",'Data Checking'!EC8)</f>
        <v/>
      </c>
      <c r="DR8" t="str">
        <f>IF('Data Checking'!ED8="","",'Data Checking'!ED8)</f>
        <v/>
      </c>
      <c r="DS8" t="str">
        <f>IF('Data Checking'!EE8="","",'Data Checking'!EE8)</f>
        <v/>
      </c>
      <c r="DT8" t="str">
        <f>IF('Data Checking'!EF8="","",'Data Checking'!EF8)</f>
        <v/>
      </c>
      <c r="DU8" t="str">
        <f>IF('Data Checking'!EG8="","",'Data Checking'!EG8)</f>
        <v/>
      </c>
      <c r="DV8" t="str">
        <f>IF('Data Checking'!EH8="","",'Data Checking'!EH8)</f>
        <v/>
      </c>
      <c r="DW8" t="str">
        <f>IF('Data Checking'!EI8="","",'Data Checking'!EI8)</f>
        <v/>
      </c>
      <c r="DX8" t="str">
        <f>IF('Data Checking'!EJ8="","",'Data Checking'!EJ8)</f>
        <v/>
      </c>
      <c r="DY8" t="str">
        <f>IF('Data Checking'!EK8="","",'Data Checking'!EK8)</f>
        <v/>
      </c>
      <c r="DZ8" t="str">
        <f>IF('Data Checking'!EL8="","",'Data Checking'!EL8)</f>
        <v>Integration_com_hote Soutien_chef_village</v>
      </c>
      <c r="EA8" t="str">
        <f>IF('Data Checking'!EM8="","",'Data Checking'!EM8)</f>
        <v>0</v>
      </c>
      <c r="EB8" t="str">
        <f>IF('Data Checking'!EN8="","",'Data Checking'!EN8)</f>
        <v>1</v>
      </c>
      <c r="EC8" t="str">
        <f>IF('Data Checking'!EO8="","",'Data Checking'!EO8)</f>
        <v>0</v>
      </c>
      <c r="ED8" t="str">
        <f>IF('Data Checking'!EP8="","",'Data Checking'!EP8)</f>
        <v>1</v>
      </c>
      <c r="EE8" t="str">
        <f>IF('Data Checking'!EQ8="","",'Data Checking'!EQ8)</f>
        <v>0</v>
      </c>
      <c r="EF8" t="str">
        <f>IF('Data Checking'!ER8="","",'Data Checking'!ER8)</f>
        <v>0</v>
      </c>
      <c r="EG8" t="str">
        <f>IF('Data Checking'!ES8="","",'Data Checking'!ES8)</f>
        <v>0</v>
      </c>
      <c r="EH8" t="str">
        <f>IF('Data Checking'!ET8="","",'Data Checking'!ET8)</f>
        <v>0</v>
      </c>
      <c r="EI8" t="str">
        <f>IF('Data Checking'!EU8="","",'Data Checking'!EU8)</f>
        <v>0</v>
      </c>
      <c r="EJ8" t="str">
        <f>IF('Data Checking'!EV8="","",'Data Checking'!EV8)</f>
        <v/>
      </c>
      <c r="EK8" t="str">
        <f>IF('Data Checking'!EW8="","",'Data Checking'!EW8)</f>
        <v/>
      </c>
      <c r="EL8" t="str">
        <f>IF('Data Checking'!EX8="","",'Data Checking'!EX8)</f>
        <v>Autre</v>
      </c>
      <c r="EM8" t="str">
        <f>IF('Data Checking'!EY8="","",'Data Checking'!EY8)</f>
        <v>0</v>
      </c>
      <c r="EN8" t="str">
        <f>IF('Data Checking'!EZ8="","",'Data Checking'!EZ8)</f>
        <v>0</v>
      </c>
      <c r="EO8" t="str">
        <f>IF('Data Checking'!FA8="","",'Data Checking'!FA8)</f>
        <v>0</v>
      </c>
      <c r="EP8" t="str">
        <f>IF('Data Checking'!FB8="","",'Data Checking'!FB8)</f>
        <v>0</v>
      </c>
      <c r="EQ8" t="str">
        <f>IF('Data Checking'!FC8="","",'Data Checking'!FC8)</f>
        <v>0</v>
      </c>
      <c r="ER8" t="str">
        <f>IF('Data Checking'!FD8="","",'Data Checking'!FD8)</f>
        <v>0</v>
      </c>
      <c r="ES8" t="str">
        <f>IF('Data Checking'!FE8="","",'Data Checking'!FE8)</f>
        <v>0</v>
      </c>
      <c r="ET8" t="str">
        <f>IF('Data Checking'!FF8="","",'Data Checking'!FF8)</f>
        <v>1</v>
      </c>
      <c r="EU8" t="str">
        <f>IF('Data Checking'!FG8="","",'Data Checking'!FG8)</f>
        <v>0</v>
      </c>
      <c r="EV8" t="str">
        <f>IF('Data Checking'!FH8="","",'Data Checking'!FH8)</f>
        <v>0</v>
      </c>
      <c r="EW8" t="str">
        <f>IF('Data Checking'!FI8="","",'Data Checking'!FI8)</f>
        <v xml:space="preserve">Comité des chef de village </v>
      </c>
      <c r="EX8" t="str">
        <f>IF('Data Checking'!FJ8="","",'Data Checking'!FJ8)</f>
        <v>oui</v>
      </c>
      <c r="EY8" t="str">
        <f>IF('Data Checking'!FK8="","",'Data Checking'!FK8)</f>
        <v>Chef_village famille_amis Leaders_religieux</v>
      </c>
      <c r="EZ8" t="str">
        <f>IF('Data Checking'!FL8="","",'Data Checking'!FL8)</f>
        <v>0</v>
      </c>
      <c r="FA8" t="str">
        <f>IF('Data Checking'!FM8="","",'Data Checking'!FM8)</f>
        <v>0</v>
      </c>
      <c r="FB8" t="str">
        <f>IF('Data Checking'!FN8="","",'Data Checking'!FN8)</f>
        <v>0</v>
      </c>
      <c r="FC8" t="str">
        <f>IF('Data Checking'!FO8="","",'Data Checking'!FO8)</f>
        <v>0</v>
      </c>
      <c r="FD8" t="str">
        <f>IF('Data Checking'!FP8="","",'Data Checking'!FP8)</f>
        <v>1</v>
      </c>
      <c r="FE8" t="str">
        <f>IF('Data Checking'!FQ8="","",'Data Checking'!FQ8)</f>
        <v>1</v>
      </c>
      <c r="FF8" t="str">
        <f>IF('Data Checking'!FR8="","",'Data Checking'!FR8)</f>
        <v>1</v>
      </c>
      <c r="FG8" t="str">
        <f>IF('Data Checking'!FS8="","",'Data Checking'!FS8)</f>
        <v>0</v>
      </c>
      <c r="FH8" t="str">
        <f>IF('Data Checking'!FT8="","",'Data Checking'!FT8)</f>
        <v>0</v>
      </c>
      <c r="FI8" t="str">
        <f>IF('Data Checking'!FU8="","",'Data Checking'!FU8)</f>
        <v>0</v>
      </c>
      <c r="FJ8" t="str">
        <f>IF('Data Checking'!FV8="","",'Data Checking'!FV8)</f>
        <v>0</v>
      </c>
      <c r="FK8" t="str">
        <f>IF('Data Checking'!FW8="","",'Data Checking'!FW8)</f>
        <v>0</v>
      </c>
      <c r="FL8" t="str">
        <f>IF('Data Checking'!FX8="","",'Data Checking'!FX8)</f>
        <v>0</v>
      </c>
      <c r="FM8" t="str">
        <f>IF('Data Checking'!FY8="","",'Data Checking'!FY8)</f>
        <v>0</v>
      </c>
      <c r="FN8" t="str">
        <f>IF('Data Checking'!FZ8="","",'Data Checking'!FZ8)</f>
        <v/>
      </c>
      <c r="FO8" t="str">
        <f>IF('Data Checking'!GA8="","",'Data Checking'!GA8)</f>
        <v>oui_ensemble</v>
      </c>
      <c r="FP8" t="str">
        <f>IF('Data Checking'!GB8="","",'Data Checking'!GB8)</f>
        <v>oui_ensemble</v>
      </c>
      <c r="FQ8" t="str">
        <f>IF('Data Checking'!GC8="","",'Data Checking'!GC8)</f>
        <v/>
      </c>
      <c r="FR8" t="str">
        <f>IF('Data Checking'!GD8="","",'Data Checking'!GD8)</f>
        <v/>
      </c>
      <c r="FS8" t="str">
        <f>IF('Data Checking'!GE8="","",'Data Checking'!GE8)</f>
        <v/>
      </c>
      <c r="FT8" t="str">
        <f>IF('Data Checking'!GF8="","",'Data Checking'!GF8)</f>
        <v/>
      </c>
      <c r="FU8" t="str">
        <f>IF('Data Checking'!GG8="","",'Data Checking'!GG8)</f>
        <v/>
      </c>
      <c r="FV8" t="str">
        <f>IF('Data Checking'!GH8="","",'Data Checking'!GH8)</f>
        <v/>
      </c>
      <c r="FW8" t="str">
        <f>IF('Data Checking'!GI8="","",'Data Checking'!GI8)</f>
        <v/>
      </c>
      <c r="FX8" t="str">
        <f>IF('Data Checking'!GJ8="","",'Data Checking'!GJ8)</f>
        <v/>
      </c>
      <c r="FY8" t="str">
        <f>IF('Data Checking'!GK8="","",'Data Checking'!GK8)</f>
        <v/>
      </c>
      <c r="FZ8" t="str">
        <f>IF('Data Checking'!GL8="","",'Data Checking'!GL8)</f>
        <v/>
      </c>
      <c r="GA8" t="str">
        <f>IF('Data Checking'!GM8="","",'Data Checking'!GM8)</f>
        <v>minorite</v>
      </c>
      <c r="GB8" t="str">
        <f>IF('Data Checking'!GN8="","",'Data Checking'!GN8)</f>
        <v>ensemble</v>
      </c>
      <c r="GC8" t="str">
        <f>IF('Data Checking'!GO8="","",'Data Checking'!GO8)</f>
        <v>Education Services_de_sante</v>
      </c>
      <c r="GD8" t="str">
        <f>IF('Data Checking'!GP8="","",'Data Checking'!GP8)</f>
        <v>0</v>
      </c>
      <c r="GE8" t="str">
        <f>IF('Data Checking'!GQ8="","",'Data Checking'!GQ8)</f>
        <v>1</v>
      </c>
      <c r="GF8" t="str">
        <f>IF('Data Checking'!GR8="","",'Data Checking'!GR8)</f>
        <v>0</v>
      </c>
      <c r="GG8" t="str">
        <f>IF('Data Checking'!GS8="","",'Data Checking'!GS8)</f>
        <v>1</v>
      </c>
      <c r="GH8" t="str">
        <f>IF('Data Checking'!GT8="","",'Data Checking'!GT8)</f>
        <v>0</v>
      </c>
      <c r="GI8" t="str">
        <f>IF('Data Checking'!GU8="","",'Data Checking'!GU8)</f>
        <v>0</v>
      </c>
      <c r="GJ8" t="str">
        <f>IF('Data Checking'!GV8="","",'Data Checking'!GV8)</f>
        <v>0</v>
      </c>
      <c r="GK8" t="str">
        <f>IF('Data Checking'!GW8="","",'Data Checking'!GW8)</f>
        <v>0</v>
      </c>
      <c r="GL8" t="str">
        <f>IF('Data Checking'!GX8="","",'Data Checking'!GX8)</f>
        <v>0</v>
      </c>
      <c r="GM8" t="str">
        <f>IF('Data Checking'!GY8="","",'Data Checking'!GY8)</f>
        <v/>
      </c>
      <c r="GN8" t="str">
        <f>IF('Data Checking'!GZ8="","",'Data Checking'!GZ8)</f>
        <v>oui_minorite</v>
      </c>
      <c r="GO8" t="str">
        <f>IF('Data Checking'!HA8="","",'Data Checking'!HA8)</f>
        <v>oui_ensemble</v>
      </c>
      <c r="GP8" t="str">
        <f>IF('Data Checking'!HB8="","",'Data Checking'!HB8)</f>
        <v>amelioration_futur repond_besoins_pop permet_obtenir_conseils</v>
      </c>
      <c r="GQ8" t="str">
        <f>IF('Data Checking'!HC8="","",'Data Checking'!HC8)</f>
        <v>1</v>
      </c>
      <c r="GR8" t="str">
        <f>IF('Data Checking'!HD8="","",'Data Checking'!HD8)</f>
        <v>1</v>
      </c>
      <c r="GS8" t="str">
        <f>IF('Data Checking'!HE8="","",'Data Checking'!HE8)</f>
        <v>1</v>
      </c>
      <c r="GT8" t="str">
        <f>IF('Data Checking'!HF8="","",'Data Checking'!HF8)</f>
        <v>0</v>
      </c>
      <c r="GU8" t="str">
        <f>IF('Data Checking'!HG8="","",'Data Checking'!HG8)</f>
        <v>0</v>
      </c>
      <c r="GV8" t="str">
        <f>IF('Data Checking'!HH8="","",'Data Checking'!HH8)</f>
        <v>0</v>
      </c>
      <c r="GW8" t="str">
        <f>IF('Data Checking'!HI8="","",'Data Checking'!HI8)</f>
        <v>0</v>
      </c>
      <c r="GX8" t="str">
        <f>IF('Data Checking'!HJ8="","",'Data Checking'!HJ8)</f>
        <v>0</v>
      </c>
      <c r="GY8" t="str">
        <f>IF('Data Checking'!HK8="","",'Data Checking'!HK8)</f>
        <v/>
      </c>
      <c r="GZ8" t="str">
        <f>IF('Data Checking'!HL8="","",'Data Checking'!HL8)</f>
        <v>ne_repond_pas ne_contribue_pas</v>
      </c>
      <c r="HA8" t="str">
        <f>IF('Data Checking'!HM8="","",'Data Checking'!HM8)</f>
        <v>1</v>
      </c>
      <c r="HB8" t="str">
        <f>IF('Data Checking'!HN8="","",'Data Checking'!HN8)</f>
        <v>1</v>
      </c>
      <c r="HC8" t="str">
        <f>IF('Data Checking'!HO8="","",'Data Checking'!HO8)</f>
        <v>0</v>
      </c>
      <c r="HD8" t="str">
        <f>IF('Data Checking'!HP8="","",'Data Checking'!HP8)</f>
        <v>0</v>
      </c>
      <c r="HE8" t="str">
        <f>IF('Data Checking'!HQ8="","",'Data Checking'!HQ8)</f>
        <v>0</v>
      </c>
      <c r="HF8" t="str">
        <f>IF('Data Checking'!HR8="","",'Data Checking'!HR8)</f>
        <v>0</v>
      </c>
      <c r="HG8" t="str">
        <f>IF('Data Checking'!HS8="","",'Data Checking'!HS8)</f>
        <v/>
      </c>
      <c r="HH8" t="str">
        <f>IF('Data Checking'!HT8="","",'Data Checking'!HT8)</f>
        <v/>
      </c>
      <c r="HI8" t="str">
        <f>IF('Data Checking'!HU8="","",'Data Checking'!HU8)</f>
        <v>oui_ensemble</v>
      </c>
      <c r="HJ8" t="str">
        <f>IF('Data Checking'!HV8="","",'Data Checking'!HV8)</f>
        <v>ong_locale</v>
      </c>
      <c r="HK8" t="str">
        <f>IF('Data Checking'!HW8="","",'Data Checking'!HW8)</f>
        <v>0</v>
      </c>
      <c r="HL8" t="str">
        <f>IF('Data Checking'!HX8="","",'Data Checking'!HX8)</f>
        <v>0</v>
      </c>
      <c r="HM8" t="str">
        <f>IF('Data Checking'!HY8="","",'Data Checking'!HY8)</f>
        <v>0</v>
      </c>
      <c r="HN8" t="str">
        <f>IF('Data Checking'!HZ8="","",'Data Checking'!HZ8)</f>
        <v>0</v>
      </c>
      <c r="HO8" t="str">
        <f>IF('Data Checking'!IA8="","",'Data Checking'!IA8)</f>
        <v>0</v>
      </c>
      <c r="HP8" t="str">
        <f>IF('Data Checking'!IB8="","",'Data Checking'!IB8)</f>
        <v>1</v>
      </c>
      <c r="HQ8" t="str">
        <f>IF('Data Checking'!IC8="","",'Data Checking'!IC8)</f>
        <v>0</v>
      </c>
      <c r="HR8" t="str">
        <f>IF('Data Checking'!ID8="","",'Data Checking'!ID8)</f>
        <v>0</v>
      </c>
      <c r="HS8" t="str">
        <f>IF('Data Checking'!IE8="","",'Data Checking'!IE8)</f>
        <v>0</v>
      </c>
      <c r="HT8" t="str">
        <f>IF('Data Checking'!IF8="","",'Data Checking'!IF8)</f>
        <v>0</v>
      </c>
      <c r="HU8" t="str">
        <f>IF('Data Checking'!IG8="","",'Data Checking'!IG8)</f>
        <v/>
      </c>
      <c r="HV8" t="str">
        <f>IF('Data Checking'!IH8="","",'Data Checking'!IH8)</f>
        <v/>
      </c>
      <c r="HW8" t="str">
        <f>IF('Data Checking'!II8="","",'Data Checking'!II8)</f>
        <v/>
      </c>
      <c r="HX8" t="str">
        <f>IF('Data Checking'!IJ8="","",'Data Checking'!IJ8)</f>
        <v>Femmes Hommes</v>
      </c>
      <c r="HY8" t="str">
        <f>IF('Data Checking'!IK8="","",'Data Checking'!IK8)</f>
        <v>0</v>
      </c>
      <c r="HZ8" t="str">
        <f>IF('Data Checking'!IL8="","",'Data Checking'!IL8)</f>
        <v>0</v>
      </c>
      <c r="IA8" t="str">
        <f>IF('Data Checking'!IM8="","",'Data Checking'!IM8)</f>
        <v>0</v>
      </c>
      <c r="IB8" t="str">
        <f>IF('Data Checking'!IN8="","",'Data Checking'!IN8)</f>
        <v>0</v>
      </c>
      <c r="IC8" t="str">
        <f>IF('Data Checking'!IO8="","",'Data Checking'!IO8)</f>
        <v>1</v>
      </c>
      <c r="ID8" t="str">
        <f>IF('Data Checking'!IP8="","",'Data Checking'!IP8)</f>
        <v>1</v>
      </c>
      <c r="IE8" t="str">
        <f>IF('Data Checking'!IQ8="","",'Data Checking'!IQ8)</f>
        <v>0</v>
      </c>
      <c r="IF8" t="str">
        <f>IF('Data Checking'!IR8="","",'Data Checking'!IR8)</f>
        <v>0</v>
      </c>
      <c r="IG8" t="str">
        <f>IF('Data Checking'!IS8="","",'Data Checking'!IS8)</f>
        <v>0</v>
      </c>
      <c r="IH8" t="str">
        <f>IF('Data Checking'!IT8="","",'Data Checking'!IT8)</f>
        <v>0</v>
      </c>
      <c r="II8" t="str">
        <f>IF('Data Checking'!IU8="","",'Data Checking'!IU8)</f>
        <v>0</v>
      </c>
      <c r="IJ8" t="str">
        <f>IF('Data Checking'!IV8="","",'Data Checking'!IV8)</f>
        <v>0</v>
      </c>
      <c r="IK8" t="str">
        <f>IF('Data Checking'!IW8="","",'Data Checking'!IW8)</f>
        <v>0</v>
      </c>
      <c r="IL8" t="str">
        <f>IF('Data Checking'!IX8="","",'Data Checking'!IX8)</f>
        <v>0</v>
      </c>
      <c r="IM8" t="str">
        <f>IF('Data Checking'!IY8="","",'Data Checking'!IY8)</f>
        <v/>
      </c>
      <c r="IN8" t="str">
        <f>IF('Data Checking'!IZ8="","",'Data Checking'!IZ8)</f>
        <v>16</v>
      </c>
      <c r="IO8" t="str">
        <f>IF('Data Checking'!JA8="","",'Data Checking'!JA8)</f>
        <v>Services_medicaux Services_educatifs</v>
      </c>
      <c r="IP8" t="str">
        <f>IF('Data Checking'!JB8="","",'Data Checking'!JB8)</f>
        <v>0</v>
      </c>
      <c r="IQ8" t="str">
        <f>IF('Data Checking'!JC8="","",'Data Checking'!JC8)</f>
        <v>1</v>
      </c>
      <c r="IR8" t="str">
        <f>IF('Data Checking'!JD8="","",'Data Checking'!JD8)</f>
        <v>1</v>
      </c>
      <c r="IS8" t="str">
        <f>IF('Data Checking'!JE8="","",'Data Checking'!JE8)</f>
        <v>0</v>
      </c>
      <c r="IT8" t="str">
        <f>IF('Data Checking'!JF8="","",'Data Checking'!JF8)</f>
        <v>0</v>
      </c>
      <c r="IU8" t="str">
        <f>IF('Data Checking'!JG8="","",'Data Checking'!JG8)</f>
        <v>0</v>
      </c>
      <c r="IV8" t="str">
        <f>IF('Data Checking'!JH8="","",'Data Checking'!JH8)</f>
        <v>0</v>
      </c>
      <c r="IW8" t="str">
        <f>IF('Data Checking'!JI8="","",'Data Checking'!JI8)</f>
        <v>0</v>
      </c>
      <c r="IX8" t="str">
        <f>IF('Data Checking'!JJ8="","",'Data Checking'!JJ8)</f>
        <v>0</v>
      </c>
      <c r="IY8" t="str">
        <f>IF('Data Checking'!JK8="","",'Data Checking'!JK8)</f>
        <v>0</v>
      </c>
      <c r="IZ8" t="str">
        <f>IF('Data Checking'!JL8="","",'Data Checking'!JL8)</f>
        <v/>
      </c>
      <c r="JA8" t="str">
        <f>IF('Data Checking'!JM8="","",'Data Checking'!JM8)</f>
        <v>reorientation</v>
      </c>
      <c r="JB8" t="str">
        <f>IF('Data Checking'!JN8="","",'Data Checking'!JN8)</f>
        <v>0</v>
      </c>
      <c r="JC8" t="str">
        <f>IF('Data Checking'!JO8="","",'Data Checking'!JO8)</f>
        <v>1</v>
      </c>
      <c r="JD8" t="str">
        <f>IF('Data Checking'!JP8="","",'Data Checking'!JP8)</f>
        <v>0</v>
      </c>
      <c r="JE8" t="str">
        <f>IF('Data Checking'!JQ8="","",'Data Checking'!JQ8)</f>
        <v>0</v>
      </c>
      <c r="JF8" t="str">
        <f>IF('Data Checking'!JR8="","",'Data Checking'!JR8)</f>
        <v>0</v>
      </c>
      <c r="JG8" t="str">
        <f>IF('Data Checking'!JS8="","",'Data Checking'!JS8)</f>
        <v>0</v>
      </c>
      <c r="JH8" t="str">
        <f>IF('Data Checking'!JT8="","",'Data Checking'!JT8)</f>
        <v/>
      </c>
      <c r="JI8" t="str">
        <f>IF('Data Checking'!JU8="","",'Data Checking'!JU8)</f>
        <v/>
      </c>
      <c r="JJ8" t="str">
        <f>IF('Data Checking'!JV8="","",'Data Checking'!JV8)</f>
        <v/>
      </c>
      <c r="JK8" t="str">
        <f>IF('Data Checking'!JW8="","",'Data Checking'!JW8)</f>
        <v/>
      </c>
      <c r="JL8" t="str">
        <f>IF('Data Checking'!JX8="","",'Data Checking'!JX8)</f>
        <v/>
      </c>
      <c r="JM8" t="str">
        <f>IF('Data Checking'!JY8="","",'Data Checking'!JY8)</f>
        <v/>
      </c>
      <c r="JN8" t="str">
        <f>IF('Data Checking'!JZ8="","",'Data Checking'!JZ8)</f>
        <v/>
      </c>
      <c r="JO8" t="str">
        <f>IF('Data Checking'!KA8="","",'Data Checking'!KA8)</f>
        <v/>
      </c>
      <c r="JP8" t="str">
        <f>IF('Data Checking'!KB8="","",'Data Checking'!KB8)</f>
        <v/>
      </c>
      <c r="JQ8" t="str">
        <f>IF('Data Checking'!KC8="","",'Data Checking'!KC8)</f>
        <v/>
      </c>
      <c r="JR8" t="str">
        <f>IF('Data Checking'!KD8="","",'Data Checking'!KD8)</f>
        <v/>
      </c>
      <c r="JS8" t="str">
        <f>IF('Data Checking'!KE8="","",'Data Checking'!KE8)</f>
        <v/>
      </c>
      <c r="JT8" t="str">
        <f>IF('Data Checking'!KF8="","",'Data Checking'!KF8)</f>
        <v>medical</v>
      </c>
      <c r="JU8" t="str">
        <f>IF('Data Checking'!KG8="","",'Data Checking'!KG8)</f>
        <v>1</v>
      </c>
      <c r="JV8" t="str">
        <f>IF('Data Checking'!KH8="","",'Data Checking'!KH8)</f>
        <v>0</v>
      </c>
      <c r="JW8" t="str">
        <f>IF('Data Checking'!KI8="","",'Data Checking'!KI8)</f>
        <v>0</v>
      </c>
      <c r="JX8" t="str">
        <f>IF('Data Checking'!KJ8="","",'Data Checking'!KJ8)</f>
        <v>0</v>
      </c>
      <c r="JY8" t="str">
        <f>IF('Data Checking'!KK8="","",'Data Checking'!KK8)</f>
        <v>0</v>
      </c>
      <c r="JZ8" t="str">
        <f>IF('Data Checking'!KL8="","",'Data Checking'!KL8)</f>
        <v>0</v>
      </c>
      <c r="KA8" t="str">
        <f>IF('Data Checking'!KM8="","",'Data Checking'!KM8)</f>
        <v>0</v>
      </c>
      <c r="KB8" t="str">
        <f>IF('Data Checking'!KN8="","",'Data Checking'!KN8)</f>
        <v>0</v>
      </c>
      <c r="KC8" t="str">
        <f>IF('Data Checking'!KO8="","",'Data Checking'!KO8)</f>
        <v>0</v>
      </c>
      <c r="KD8" t="str">
        <f>IF('Data Checking'!KP8="","",'Data Checking'!KP8)</f>
        <v/>
      </c>
      <c r="KE8" t="str">
        <f>IF('Data Checking'!KQ8="","",'Data Checking'!KQ8)</f>
        <v/>
      </c>
      <c r="KF8" t="str">
        <f>IF('Data Checking'!KR8="","",'Data Checking'!KR8)</f>
        <v>oui</v>
      </c>
      <c r="KG8" t="str">
        <f>IF('Data Checking'!KS8="","",'Data Checking'!KS8)</f>
        <v>manque_moyens manque_d'information probleme_orientation</v>
      </c>
      <c r="KH8" t="str">
        <f>IF('Data Checking'!KT8="","",'Data Checking'!KT8)</f>
        <v>1</v>
      </c>
      <c r="KI8" t="str">
        <f>IF('Data Checking'!KU8="","",'Data Checking'!KU8)</f>
        <v>0</v>
      </c>
      <c r="KJ8" t="str">
        <f>IF('Data Checking'!KV8="","",'Data Checking'!KV8)</f>
        <v>1</v>
      </c>
      <c r="KK8" t="str">
        <f>IF('Data Checking'!KW8="","",'Data Checking'!KW8)</f>
        <v>1</v>
      </c>
      <c r="KL8" t="str">
        <f>IF('Data Checking'!KX8="","",'Data Checking'!KX8)</f>
        <v>0</v>
      </c>
      <c r="KM8" t="str">
        <f>IF('Data Checking'!KY8="","",'Data Checking'!KY8)</f>
        <v>0</v>
      </c>
      <c r="KN8" t="str">
        <f>IF('Data Checking'!KZ8="","",'Data Checking'!KZ8)</f>
        <v>0</v>
      </c>
      <c r="KO8" t="str">
        <f>IF('Data Checking'!LA8="","",'Data Checking'!LA8)</f>
        <v>0</v>
      </c>
      <c r="KP8" t="str">
        <f>IF('Data Checking'!LB8="","",'Data Checking'!LB8)</f>
        <v>0</v>
      </c>
      <c r="KQ8" t="str">
        <f>IF('Data Checking'!LC8="","",'Data Checking'!LC8)</f>
        <v>0</v>
      </c>
      <c r="KR8" t="str">
        <f>IF('Data Checking'!LD8="","",'Data Checking'!LD8)</f>
        <v>0</v>
      </c>
      <c r="KS8" t="str">
        <f>IF('Data Checking'!LE8="","",'Data Checking'!LE8)</f>
        <v/>
      </c>
      <c r="KT8" t="str">
        <f>IF('Data Checking'!LF8="","",'Data Checking'!LF8)</f>
        <v>pb_logistiques</v>
      </c>
      <c r="KU8" t="str">
        <f>IF('Data Checking'!LG8="","",'Data Checking'!LG8)</f>
        <v>0</v>
      </c>
      <c r="KV8" t="str">
        <f>IF('Data Checking'!LH8="","",'Data Checking'!LH8)</f>
        <v>1</v>
      </c>
      <c r="KW8" t="str">
        <f>IF('Data Checking'!LI8="","",'Data Checking'!LI8)</f>
        <v>0</v>
      </c>
      <c r="KX8" t="str">
        <f>IF('Data Checking'!LJ8="","",'Data Checking'!LJ8)</f>
        <v>0</v>
      </c>
      <c r="KY8" t="str">
        <f>IF('Data Checking'!LK8="","",'Data Checking'!LK8)</f>
        <v>0</v>
      </c>
      <c r="KZ8" t="str">
        <f>IF('Data Checking'!LL8="","",'Data Checking'!LL8)</f>
        <v>0</v>
      </c>
      <c r="LA8" t="str">
        <f>IF('Data Checking'!LM8="","",'Data Checking'!LM8)</f>
        <v/>
      </c>
      <c r="LB8" t="str">
        <f>IF('Data Checking'!LN8="","",'Data Checking'!LN8)</f>
        <v>oui</v>
      </c>
      <c r="LC8" t="str">
        <f>IF('Data Checking'!LO8="","",'Data Checking'!LO8)</f>
        <v>menace_entourage</v>
      </c>
      <c r="LD8" t="str">
        <f>IF('Data Checking'!LP8="","",'Data Checking'!LP8)</f>
        <v>0</v>
      </c>
      <c r="LE8" t="str">
        <f>IF('Data Checking'!LQ8="","",'Data Checking'!LQ8)</f>
        <v>0</v>
      </c>
      <c r="LF8" t="str">
        <f>IF('Data Checking'!LR8="","",'Data Checking'!LR8)</f>
        <v>0</v>
      </c>
      <c r="LG8" t="str">
        <f>IF('Data Checking'!LS8="","",'Data Checking'!LS8)</f>
        <v>1</v>
      </c>
      <c r="LH8" t="str">
        <f>IF('Data Checking'!LT8="","",'Data Checking'!LT8)</f>
        <v>0</v>
      </c>
      <c r="LI8" t="str">
        <f>IF('Data Checking'!LU8="","",'Data Checking'!LU8)</f>
        <v>0</v>
      </c>
      <c r="LJ8" t="str">
        <f>IF('Data Checking'!LV8="","",'Data Checking'!LV8)</f>
        <v>0</v>
      </c>
      <c r="LK8" t="str">
        <f>IF('Data Checking'!LW8="","",'Data Checking'!LW8)</f>
        <v>0</v>
      </c>
      <c r="LL8" t="str">
        <f>IF('Data Checking'!LX8="","",'Data Checking'!LX8)</f>
        <v>0</v>
      </c>
      <c r="LM8" t="str">
        <f>IF('Data Checking'!LY8="","",'Data Checking'!LY8)</f>
        <v>0</v>
      </c>
      <c r="LN8" t="str">
        <f>IF('Data Checking'!LZ8="","",'Data Checking'!LZ8)</f>
        <v/>
      </c>
      <c r="LO8" t="str">
        <f>IF('Data Checking'!MA8="","",'Data Checking'!MA8)</f>
        <v>non</v>
      </c>
      <c r="LP8" t="str">
        <f>IF('Data Checking'!MB8="","",'Data Checking'!MB8)</f>
        <v>oui</v>
      </c>
      <c r="LQ8" t="str">
        <f>IF('Data Checking'!MC8="","",'Data Checking'!MC8)</f>
        <v/>
      </c>
      <c r="LR8" t="str">
        <f>IF('Data Checking'!MD8="","",'Data Checking'!MD8)</f>
        <v/>
      </c>
      <c r="LS8">
        <f>IF('Data Checking'!ME8="","",'Data Checking'!ME8)</f>
        <v>171830984</v>
      </c>
      <c r="LT8" t="str">
        <f>IF('Data Checking'!MF8="","",'Data Checking'!MF8)</f>
        <v>42d263a9-6476-4ee6-96d0-fabbc1ffcf9e</v>
      </c>
      <c r="LU8" t="str">
        <f>IF('Data Checking'!MG8="","",'Data Checking'!MG8)</f>
        <v>2021-04-15T16:32:47</v>
      </c>
      <c r="LV8" t="str">
        <f>IF('Data Checking'!MH8="","",'Data Checking'!MH8)</f>
        <v/>
      </c>
      <c r="LW8" t="str">
        <f>IF('Data Checking'!MI8="","",'Data Checking'!MI8)</f>
        <v>[]</v>
      </c>
      <c r="LX8" t="str">
        <f>IF('Data Checking'!MJ8="","",'Data Checking'!MJ8)</f>
        <v>submitted_via_web</v>
      </c>
      <c r="LY8" t="str">
        <f>IF('Data Checking'!MK8="","",'Data Checking'!MK8)</f>
        <v>reach_niger</v>
      </c>
      <c r="LZ8" t="str">
        <f>IF('Data Checking'!ML8="","",'Data Checking'!ML8)</f>
        <v/>
      </c>
      <c r="MA8">
        <f>IF('Data Checking'!MM8="","",'Data Checking'!MM8)</f>
        <v>66</v>
      </c>
    </row>
    <row r="9" spans="1:339" x14ac:dyDescent="0.3">
      <c r="A9" t="str">
        <f>IF('Data Checking'!D9="","",'Data Checking'!D9)</f>
        <v>2021-04-06T11:54:31.291+01:00</v>
      </c>
      <c r="B9" t="str">
        <f>IF('Data Checking'!E9="","",'Data Checking'!E9)</f>
        <v>2021-04-06T12:20:30.773+01:00</v>
      </c>
      <c r="C9" t="str">
        <f>IF('Data Checking'!M9="","",'Data Checking'!M9)</f>
        <v>2021-04-06</v>
      </c>
      <c r="D9" t="str">
        <f>IF('Data Checking'!N9="","",'Data Checking'!N9)</f>
        <v/>
      </c>
      <c r="E9" t="str">
        <f>IF('Data Checking'!O9="","",'Data Checking'!O9)</f>
        <v/>
      </c>
      <c r="F9" t="str">
        <f>IF('Data Checking'!R9="","",'Data Checking'!R9)</f>
        <v>Homme</v>
      </c>
      <c r="G9" t="str">
        <f>IF('Data Checking'!S9="","",'Data Checking'!S9)</f>
        <v>torodi</v>
      </c>
      <c r="H9" t="str">
        <f>IF('Data Checking'!T9="","",'Data Checking'!T9)</f>
        <v>torodi</v>
      </c>
      <c r="I9" t="str">
        <f>IF('Data Checking'!U9="","",'Data Checking'!U9)</f>
        <v>zango_et_pengona</v>
      </c>
      <c r="J9" t="str">
        <f>IF('Data Checking'!V9="","",'Data Checking'!V9)</f>
        <v/>
      </c>
      <c r="K9" t="str">
        <f>IF('Data Checking'!W9="","",'Data Checking'!W9)</f>
        <v/>
      </c>
      <c r="L9" t="str">
        <f>IF('Data Checking'!X9="","",'Data Checking'!X9)</f>
        <v/>
      </c>
      <c r="M9" t="str">
        <f>IF('Data Checking'!Y9="","",'Data Checking'!Y9)</f>
        <v/>
      </c>
      <c r="N9" t="str">
        <f>IF('Data Checking'!Z9="","",'Data Checking'!Z9)</f>
        <v/>
      </c>
      <c r="O9" t="str">
        <f>IF('Data Checking'!AA9="","",'Data Checking'!AA9)</f>
        <v/>
      </c>
      <c r="P9" t="str">
        <f>IF('Data Checking'!AB9="","",'Data Checking'!AB9)</f>
        <v/>
      </c>
      <c r="Q9" t="str">
        <f>IF('Data Checking'!AC9="","",'Data Checking'!AC9)</f>
        <v/>
      </c>
      <c r="R9" t="str">
        <f>IF('Data Checking'!AD9="","",'Data Checking'!AD9)</f>
        <v>Homme</v>
      </c>
      <c r="S9" t="str">
        <f>IF('Data Checking'!AE9="","",'Data Checking'!AE9)</f>
        <v>58</v>
      </c>
      <c r="T9" t="str">
        <f>IF('Data Checking'!AF9="","",'Data Checking'!AF9)</f>
        <v>deplace_interne</v>
      </c>
      <c r="U9" t="str">
        <f>IF('Data Checking'!AG9="","",'Data Checking'!AG9)</f>
        <v/>
      </c>
      <c r="V9" t="str">
        <f>IF('Data Checking'!AH9="","",'Data Checking'!AH9)</f>
        <v/>
      </c>
      <c r="W9" t="str">
        <f>IF('Data Checking'!AI9="","",'Data Checking'!AI9)</f>
        <v/>
      </c>
      <c r="X9" t="str">
        <f>IF('Data Checking'!AJ9="","",'Data Checking'!AJ9)</f>
        <v/>
      </c>
      <c r="Y9" t="str">
        <f>IF('Data Checking'!AK9="","",'Data Checking'!AK9)</f>
        <v/>
      </c>
      <c r="Z9" t="str">
        <f>IF('Data Checking'!AL9="","",'Data Checking'!AL9)</f>
        <v>niger</v>
      </c>
      <c r="AA9" t="str">
        <f>IF('Data Checking'!AM9="","",'Data Checking'!AM9)</f>
        <v>tillaberi</v>
      </c>
      <c r="AB9" t="str">
        <f>IF('Data Checking'!AN9="","",'Data Checking'!AN9)</f>
        <v>torodi</v>
      </c>
      <c r="AC9" t="str">
        <f>IF('Data Checking'!AO9="","",'Data Checking'!AO9)</f>
        <v/>
      </c>
      <c r="AD9" t="str">
        <f>IF('Data Checking'!AP9="","",'Data Checking'!AP9)</f>
        <v/>
      </c>
      <c r="AE9" t="str">
        <f>IF('Data Checking'!AQ9="","",'Data Checking'!AQ9)</f>
        <v/>
      </c>
      <c r="AF9" t="str">
        <f>IF('Data Checking'!AR9="","",'Data Checking'!AR9)</f>
        <v/>
      </c>
      <c r="AG9" t="str">
        <f>IF('Data Checking'!AS9="","",'Data Checking'!AS9)</f>
        <v>oui</v>
      </c>
      <c r="AH9" t="str">
        <f>IF('Data Checking'!AT9="","",'Data Checking'!AT9)</f>
        <v>Vols_braquages attaques_engins_explosifs</v>
      </c>
      <c r="AI9" t="str">
        <f>IF('Data Checking'!AU9="","",'Data Checking'!AU9)</f>
        <v>0</v>
      </c>
      <c r="AJ9" t="str">
        <f>IF('Data Checking'!AV9="","",'Data Checking'!AV9)</f>
        <v>0</v>
      </c>
      <c r="AK9" t="str">
        <f>IF('Data Checking'!AW9="","",'Data Checking'!AW9)</f>
        <v>1</v>
      </c>
      <c r="AL9" t="str">
        <f>IF('Data Checking'!AX9="","",'Data Checking'!AX9)</f>
        <v>0</v>
      </c>
      <c r="AM9" t="str">
        <f>IF('Data Checking'!AY9="","",'Data Checking'!AY9)</f>
        <v>0</v>
      </c>
      <c r="AN9" t="str">
        <f>IF('Data Checking'!AZ9="","",'Data Checking'!AZ9)</f>
        <v>0</v>
      </c>
      <c r="AO9" t="str">
        <f>IF('Data Checking'!BA9="","",'Data Checking'!BA9)</f>
        <v>0</v>
      </c>
      <c r="AP9" t="str">
        <f>IF('Data Checking'!BB9="","",'Data Checking'!BB9)</f>
        <v>0</v>
      </c>
      <c r="AQ9" t="str">
        <f>IF('Data Checking'!BC9="","",'Data Checking'!BC9)</f>
        <v>0</v>
      </c>
      <c r="AR9" t="str">
        <f>IF('Data Checking'!BD9="","",'Data Checking'!BD9)</f>
        <v>0</v>
      </c>
      <c r="AS9">
        <f>IF('Data Checking'!BE9="","",'Data Checking'!BE9)</f>
        <v>1</v>
      </c>
      <c r="AT9">
        <f>IF('Data Checking'!BF9="","",'Data Checking'!BF9)</f>
        <v>0</v>
      </c>
      <c r="AU9" t="str">
        <f>IF('Data Checking'!BG9="","",'Data Checking'!BG9)</f>
        <v>0</v>
      </c>
      <c r="AV9" t="str">
        <f>IF('Data Checking'!BH9="","",'Data Checking'!BH9)</f>
        <v>0</v>
      </c>
      <c r="AW9" t="str">
        <f>IF('Data Checking'!BI9="","",'Data Checking'!BI9)</f>
        <v/>
      </c>
      <c r="AX9" t="str">
        <f>IF('Data Checking'!BJ9="","",'Data Checking'!BJ9)</f>
        <v>Femmes Hommes</v>
      </c>
      <c r="AY9" t="str">
        <f>IF('Data Checking'!BK9="","",'Data Checking'!BK9)</f>
        <v>0</v>
      </c>
      <c r="AZ9" t="str">
        <f>IF('Data Checking'!BL9="","",'Data Checking'!BL9)</f>
        <v>0</v>
      </c>
      <c r="BA9" t="str">
        <f>IF('Data Checking'!BM9="","",'Data Checking'!BM9)</f>
        <v>0</v>
      </c>
      <c r="BB9" t="str">
        <f>IF('Data Checking'!BN9="","",'Data Checking'!BN9)</f>
        <v>0</v>
      </c>
      <c r="BC9" t="str">
        <f>IF('Data Checking'!BO9="","",'Data Checking'!BO9)</f>
        <v>1</v>
      </c>
      <c r="BD9" t="str">
        <f>IF('Data Checking'!BP9="","",'Data Checking'!BP9)</f>
        <v>1</v>
      </c>
      <c r="BE9" t="str">
        <f>IF('Data Checking'!BQ9="","",'Data Checking'!BQ9)</f>
        <v>0</v>
      </c>
      <c r="BF9" t="str">
        <f>IF('Data Checking'!BR9="","",'Data Checking'!BR9)</f>
        <v>0</v>
      </c>
      <c r="BG9" t="str">
        <f>IF('Data Checking'!BS9="","",'Data Checking'!BS9)</f>
        <v>0</v>
      </c>
      <c r="BH9" t="str">
        <f>IF('Data Checking'!BT9="","",'Data Checking'!BT9)</f>
        <v>0</v>
      </c>
      <c r="BI9" t="str">
        <f>IF('Data Checking'!BU9="","",'Data Checking'!BU9)</f>
        <v>0</v>
      </c>
      <c r="BJ9" t="str">
        <f>IF('Data Checking'!BV9="","",'Data Checking'!BV9)</f>
        <v>0</v>
      </c>
      <c r="BK9" t="str">
        <f>IF('Data Checking'!BW9="","",'Data Checking'!BW9)</f>
        <v>0</v>
      </c>
      <c r="BL9" t="str">
        <f>IF('Data Checking'!BX9="","",'Data Checking'!BX9)</f>
        <v>0</v>
      </c>
      <c r="BM9" t="str">
        <f>IF('Data Checking'!BY9="","",'Data Checking'!BY9)</f>
        <v/>
      </c>
      <c r="BN9" t="str">
        <f>IF('Data Checking'!BZ9="","",'Data Checking'!BZ9)</f>
        <v>1</v>
      </c>
      <c r="BO9" t="str">
        <f>IF('Data Checking'!CA9="","",'Data Checking'!CA9)</f>
        <v>stable</v>
      </c>
      <c r="BP9" t="str">
        <f>IF('Data Checking'!CB9="","",'Data Checking'!CB9)</f>
        <v/>
      </c>
      <c r="BQ9" t="str">
        <f>IF('Data Checking'!CC9="","",'Data Checking'!CC9)</f>
        <v>oui</v>
      </c>
      <c r="BR9" t="str">
        <f>IF('Data Checking'!CD9="","",'Data Checking'!CD9)</f>
        <v>agression_sexuelle mariage_force travail_force</v>
      </c>
      <c r="BS9" t="str">
        <f>IF('Data Checking'!CE9="","",'Data Checking'!CE9)</f>
        <v>0</v>
      </c>
      <c r="BT9" t="str">
        <f>IF('Data Checking'!CF9="","",'Data Checking'!CF9)</f>
        <v>1</v>
      </c>
      <c r="BU9" t="str">
        <f>IF('Data Checking'!CG9="","",'Data Checking'!CG9)</f>
        <v>0</v>
      </c>
      <c r="BV9" t="str">
        <f>IF('Data Checking'!CH9="","",'Data Checking'!CH9)</f>
        <v>0</v>
      </c>
      <c r="BW9" t="str">
        <f>IF('Data Checking'!CI9="","",'Data Checking'!CI9)</f>
        <v>0</v>
      </c>
      <c r="BX9" t="str">
        <f>IF('Data Checking'!CJ9="","",'Data Checking'!CJ9)</f>
        <v>1</v>
      </c>
      <c r="BY9" t="str">
        <f>IF('Data Checking'!CK9="","",'Data Checking'!CK9)</f>
        <v>1</v>
      </c>
      <c r="BZ9" t="str">
        <f>IF('Data Checking'!CL9="","",'Data Checking'!CL9)</f>
        <v>0</v>
      </c>
      <c r="CA9" t="str">
        <f>IF('Data Checking'!CM9="","",'Data Checking'!CM9)</f>
        <v>0</v>
      </c>
      <c r="CB9" t="str">
        <f>IF('Data Checking'!CN9="","",'Data Checking'!CN9)</f>
        <v>0</v>
      </c>
      <c r="CC9" t="str">
        <f>IF('Data Checking'!CO9="","",'Data Checking'!CO9)</f>
        <v>0</v>
      </c>
      <c r="CD9" t="str">
        <f>IF('Data Checking'!CP9="","",'Data Checking'!CP9)</f>
        <v>0</v>
      </c>
      <c r="CE9" t="str">
        <f>IF('Data Checking'!CQ9="","",'Data Checking'!CQ9)</f>
        <v>0</v>
      </c>
      <c r="CF9" t="str">
        <f>IF('Data Checking'!CR9="","",'Data Checking'!CR9)</f>
        <v>0</v>
      </c>
      <c r="CG9" t="str">
        <f>IF('Data Checking'!CS9="","",'Data Checking'!CS9)</f>
        <v>0</v>
      </c>
      <c r="CH9" t="str">
        <f>IF('Data Checking'!CT9="","",'Data Checking'!CT9)</f>
        <v/>
      </c>
      <c r="CI9" t="str">
        <f>IF('Data Checking'!CU9="","",'Data Checking'!CU9)</f>
        <v>Filles Femmes Garçons</v>
      </c>
      <c r="CJ9" t="str">
        <f>IF('Data Checking'!CV9="","",'Data Checking'!CV9)</f>
        <v>0</v>
      </c>
      <c r="CK9" t="str">
        <f>IF('Data Checking'!CW9="","",'Data Checking'!CW9)</f>
        <v>0</v>
      </c>
      <c r="CL9" t="str">
        <f>IF('Data Checking'!CX9="","",'Data Checking'!CX9)</f>
        <v>1</v>
      </c>
      <c r="CM9" t="str">
        <f>IF('Data Checking'!CY9="","",'Data Checking'!CY9)</f>
        <v>1</v>
      </c>
      <c r="CN9" t="str">
        <f>IF('Data Checking'!CZ9="","",'Data Checking'!CZ9)</f>
        <v>1</v>
      </c>
      <c r="CO9" t="str">
        <f>IF('Data Checking'!DA9="","",'Data Checking'!DA9)</f>
        <v>0</v>
      </c>
      <c r="CP9" t="str">
        <f>IF('Data Checking'!DB9="","",'Data Checking'!DB9)</f>
        <v>0</v>
      </c>
      <c r="CQ9" t="str">
        <f>IF('Data Checking'!DC9="","",'Data Checking'!DC9)</f>
        <v>0</v>
      </c>
      <c r="CR9" t="str">
        <f>IF('Data Checking'!DD9="","",'Data Checking'!DD9)</f>
        <v>0</v>
      </c>
      <c r="CS9" t="str">
        <f>IF('Data Checking'!DE9="","",'Data Checking'!DE9)</f>
        <v>0</v>
      </c>
      <c r="CT9" t="str">
        <f>IF('Data Checking'!DF9="","",'Data Checking'!DF9)</f>
        <v>0</v>
      </c>
      <c r="CU9" t="str">
        <f>IF('Data Checking'!DG9="","",'Data Checking'!DG9)</f>
        <v>0</v>
      </c>
      <c r="CV9" t="str">
        <f>IF('Data Checking'!DH9="","",'Data Checking'!DH9)</f>
        <v>0</v>
      </c>
      <c r="CW9" t="str">
        <f>IF('Data Checking'!DI9="","",'Data Checking'!DI9)</f>
        <v>0</v>
      </c>
      <c r="CX9" t="str">
        <f>IF('Data Checking'!DJ9="","",'Data Checking'!DJ9)</f>
        <v/>
      </c>
      <c r="CY9" t="str">
        <f>IF('Data Checking'!DK9="","",'Data Checking'!DK9)</f>
        <v>1</v>
      </c>
      <c r="CZ9" t="str">
        <f>IF('Data Checking'!DL9="","",'Data Checking'!DL9)</f>
        <v>stable</v>
      </c>
      <c r="DA9" t="str">
        <f>IF('Data Checking'!DM9="","",'Data Checking'!DM9)</f>
        <v/>
      </c>
      <c r="DB9" t="str">
        <f>IF('Data Checking'!DN9="","",'Data Checking'!DN9)</f>
        <v/>
      </c>
      <c r="DC9" t="str">
        <f>IF('Data Checking'!DO9="","",'Data Checking'!DO9)</f>
        <v/>
      </c>
      <c r="DD9" t="str">
        <f>IF('Data Checking'!DP9="","",'Data Checking'!DP9)</f>
        <v/>
      </c>
      <c r="DE9" t="str">
        <f>IF('Data Checking'!DQ9="","",'Data Checking'!DQ9)</f>
        <v/>
      </c>
      <c r="DF9" t="str">
        <f>IF('Data Checking'!DR9="","",'Data Checking'!DR9)</f>
        <v/>
      </c>
      <c r="DG9" t="str">
        <f>IF('Data Checking'!DS9="","",'Data Checking'!DS9)</f>
        <v/>
      </c>
      <c r="DH9" t="str">
        <f>IF('Data Checking'!DT9="","",'Data Checking'!DT9)</f>
        <v/>
      </c>
      <c r="DI9" t="str">
        <f>IF('Data Checking'!DU9="","",'Data Checking'!DU9)</f>
        <v/>
      </c>
      <c r="DJ9" t="str">
        <f>IF('Data Checking'!DV9="","",'Data Checking'!DV9)</f>
        <v/>
      </c>
      <c r="DK9" t="str">
        <f>IF('Data Checking'!DW9="","",'Data Checking'!DW9)</f>
        <v/>
      </c>
      <c r="DL9" t="str">
        <f>IF('Data Checking'!DX9="","",'Data Checking'!DX9)</f>
        <v/>
      </c>
      <c r="DM9" t="str">
        <f>IF('Data Checking'!DY9="","",'Data Checking'!DY9)</f>
        <v/>
      </c>
      <c r="DN9" t="str">
        <f>IF('Data Checking'!DZ9="","",'Data Checking'!DZ9)</f>
        <v/>
      </c>
      <c r="DO9" t="str">
        <f>IF('Data Checking'!EA9="","",'Data Checking'!EA9)</f>
        <v/>
      </c>
      <c r="DP9" t="str">
        <f>IF('Data Checking'!EB9="","",'Data Checking'!EB9)</f>
        <v/>
      </c>
      <c r="DQ9" t="str">
        <f>IF('Data Checking'!EC9="","",'Data Checking'!EC9)</f>
        <v/>
      </c>
      <c r="DR9" t="str">
        <f>IF('Data Checking'!ED9="","",'Data Checking'!ED9)</f>
        <v/>
      </c>
      <c r="DS9" t="str">
        <f>IF('Data Checking'!EE9="","",'Data Checking'!EE9)</f>
        <v/>
      </c>
      <c r="DT9" t="str">
        <f>IF('Data Checking'!EF9="","",'Data Checking'!EF9)</f>
        <v/>
      </c>
      <c r="DU9" t="str">
        <f>IF('Data Checking'!EG9="","",'Data Checking'!EG9)</f>
        <v/>
      </c>
      <c r="DV9" t="str">
        <f>IF('Data Checking'!EH9="","",'Data Checking'!EH9)</f>
        <v/>
      </c>
      <c r="DW9" t="str">
        <f>IF('Data Checking'!EI9="","",'Data Checking'!EI9)</f>
        <v/>
      </c>
      <c r="DX9" t="str">
        <f>IF('Data Checking'!EJ9="","",'Data Checking'!EJ9)</f>
        <v/>
      </c>
      <c r="DY9" t="str">
        <f>IF('Data Checking'!EK9="","",'Data Checking'!EK9)</f>
        <v/>
      </c>
      <c r="DZ9" t="str">
        <f>IF('Data Checking'!EL9="","",'Data Checking'!EL9)</f>
        <v>Integration_com_hote</v>
      </c>
      <c r="EA9" t="str">
        <f>IF('Data Checking'!EM9="","",'Data Checking'!EM9)</f>
        <v>0</v>
      </c>
      <c r="EB9" t="str">
        <f>IF('Data Checking'!EN9="","",'Data Checking'!EN9)</f>
        <v>1</v>
      </c>
      <c r="EC9" t="str">
        <f>IF('Data Checking'!EO9="","",'Data Checking'!EO9)</f>
        <v>0</v>
      </c>
      <c r="ED9" t="str">
        <f>IF('Data Checking'!EP9="","",'Data Checking'!EP9)</f>
        <v>0</v>
      </c>
      <c r="EE9" t="str">
        <f>IF('Data Checking'!EQ9="","",'Data Checking'!EQ9)</f>
        <v>0</v>
      </c>
      <c r="EF9" t="str">
        <f>IF('Data Checking'!ER9="","",'Data Checking'!ER9)</f>
        <v>0</v>
      </c>
      <c r="EG9" t="str">
        <f>IF('Data Checking'!ES9="","",'Data Checking'!ES9)</f>
        <v>0</v>
      </c>
      <c r="EH9" t="str">
        <f>IF('Data Checking'!ET9="","",'Data Checking'!ET9)</f>
        <v>0</v>
      </c>
      <c r="EI9" t="str">
        <f>IF('Data Checking'!EU9="","",'Data Checking'!EU9)</f>
        <v>0</v>
      </c>
      <c r="EJ9" t="str">
        <f>IF('Data Checking'!EV9="","",'Data Checking'!EV9)</f>
        <v/>
      </c>
      <c r="EK9" t="str">
        <f>IF('Data Checking'!EW9="","",'Data Checking'!EW9)</f>
        <v/>
      </c>
      <c r="EL9" t="str">
        <f>IF('Data Checking'!EX9="","",'Data Checking'!EX9)</f>
        <v>comite_protection</v>
      </c>
      <c r="EM9" t="str">
        <f>IF('Data Checking'!EY9="","",'Data Checking'!EY9)</f>
        <v>0</v>
      </c>
      <c r="EN9" t="str">
        <f>IF('Data Checking'!EZ9="","",'Data Checking'!EZ9)</f>
        <v>1</v>
      </c>
      <c r="EO9" t="str">
        <f>IF('Data Checking'!FA9="","",'Data Checking'!FA9)</f>
        <v>0</v>
      </c>
      <c r="EP9" t="str">
        <f>IF('Data Checking'!FB9="","",'Data Checking'!FB9)</f>
        <v>0</v>
      </c>
      <c r="EQ9" t="str">
        <f>IF('Data Checking'!FC9="","",'Data Checking'!FC9)</f>
        <v>0</v>
      </c>
      <c r="ER9" t="str">
        <f>IF('Data Checking'!FD9="","",'Data Checking'!FD9)</f>
        <v>0</v>
      </c>
      <c r="ES9" t="str">
        <f>IF('Data Checking'!FE9="","",'Data Checking'!FE9)</f>
        <v>0</v>
      </c>
      <c r="ET9" t="str">
        <f>IF('Data Checking'!FF9="","",'Data Checking'!FF9)</f>
        <v>0</v>
      </c>
      <c r="EU9" t="str">
        <f>IF('Data Checking'!FG9="","",'Data Checking'!FG9)</f>
        <v>0</v>
      </c>
      <c r="EV9" t="str">
        <f>IF('Data Checking'!FH9="","",'Data Checking'!FH9)</f>
        <v>0</v>
      </c>
      <c r="EW9" t="str">
        <f>IF('Data Checking'!FI9="","",'Data Checking'!FI9)</f>
        <v/>
      </c>
      <c r="EX9" t="str">
        <f>IF('Data Checking'!FJ9="","",'Data Checking'!FJ9)</f>
        <v>oui</v>
      </c>
      <c r="EY9" t="str">
        <f>IF('Data Checking'!FK9="","",'Data Checking'!FK9)</f>
        <v>famille_amis Differents_comites_villageois Travailleurs_sociaux/hum</v>
      </c>
      <c r="EZ9" t="str">
        <f>IF('Data Checking'!FL9="","",'Data Checking'!FL9)</f>
        <v>0</v>
      </c>
      <c r="FA9" t="str">
        <f>IF('Data Checking'!FM9="","",'Data Checking'!FM9)</f>
        <v>0</v>
      </c>
      <c r="FB9" t="str">
        <f>IF('Data Checking'!FN9="","",'Data Checking'!FN9)</f>
        <v>0</v>
      </c>
      <c r="FC9" t="str">
        <f>IF('Data Checking'!FO9="","",'Data Checking'!FO9)</f>
        <v>0</v>
      </c>
      <c r="FD9" t="str">
        <f>IF('Data Checking'!FP9="","",'Data Checking'!FP9)</f>
        <v>0</v>
      </c>
      <c r="FE9" t="str">
        <f>IF('Data Checking'!FQ9="","",'Data Checking'!FQ9)</f>
        <v>1</v>
      </c>
      <c r="FF9" t="str">
        <f>IF('Data Checking'!FR9="","",'Data Checking'!FR9)</f>
        <v>0</v>
      </c>
      <c r="FG9" t="str">
        <f>IF('Data Checking'!FS9="","",'Data Checking'!FS9)</f>
        <v>0</v>
      </c>
      <c r="FH9" t="str">
        <f>IF('Data Checking'!FT9="","",'Data Checking'!FT9)</f>
        <v>1</v>
      </c>
      <c r="FI9" t="str">
        <f>IF('Data Checking'!FU9="","",'Data Checking'!FU9)</f>
        <v>0</v>
      </c>
      <c r="FJ9" t="str">
        <f>IF('Data Checking'!FV9="","",'Data Checking'!FV9)</f>
        <v>1</v>
      </c>
      <c r="FK9" t="str">
        <f>IF('Data Checking'!FW9="","",'Data Checking'!FW9)</f>
        <v>0</v>
      </c>
      <c r="FL9" t="str">
        <f>IF('Data Checking'!FX9="","",'Data Checking'!FX9)</f>
        <v>0</v>
      </c>
      <c r="FM9" t="str">
        <f>IF('Data Checking'!FY9="","",'Data Checking'!FY9)</f>
        <v>0</v>
      </c>
      <c r="FN9" t="str">
        <f>IF('Data Checking'!FZ9="","",'Data Checking'!FZ9)</f>
        <v/>
      </c>
      <c r="FO9" t="str">
        <f>IF('Data Checking'!GA9="","",'Data Checking'!GA9)</f>
        <v>oui_minorite</v>
      </c>
      <c r="FP9" t="str">
        <f>IF('Data Checking'!GB9="","",'Data Checking'!GB9)</f>
        <v>oui_minorite</v>
      </c>
      <c r="FQ9" t="str">
        <f>IF('Data Checking'!GC9="","",'Data Checking'!GC9)</f>
        <v>non_fonctionnelle</v>
      </c>
      <c r="FR9" t="str">
        <f>IF('Data Checking'!GD9="","",'Data Checking'!GD9)</f>
        <v>1</v>
      </c>
      <c r="FS9" t="str">
        <f>IF('Data Checking'!GE9="","",'Data Checking'!GE9)</f>
        <v>0</v>
      </c>
      <c r="FT9" t="str">
        <f>IF('Data Checking'!GF9="","",'Data Checking'!GF9)</f>
        <v>0</v>
      </c>
      <c r="FU9" t="str">
        <f>IF('Data Checking'!GG9="","",'Data Checking'!GG9)</f>
        <v>0</v>
      </c>
      <c r="FV9" t="str">
        <f>IF('Data Checking'!GH9="","",'Data Checking'!GH9)</f>
        <v>0</v>
      </c>
      <c r="FW9" t="str">
        <f>IF('Data Checking'!GI9="","",'Data Checking'!GI9)</f>
        <v>0</v>
      </c>
      <c r="FX9" t="str">
        <f>IF('Data Checking'!GJ9="","",'Data Checking'!GJ9)</f>
        <v>0</v>
      </c>
      <c r="FY9" t="str">
        <f>IF('Data Checking'!GK9="","",'Data Checking'!GK9)</f>
        <v>0</v>
      </c>
      <c r="FZ9" t="str">
        <f>IF('Data Checking'!GL9="","",'Data Checking'!GL9)</f>
        <v/>
      </c>
      <c r="GA9" t="str">
        <f>IF('Data Checking'!GM9="","",'Data Checking'!GM9)</f>
        <v>minorite</v>
      </c>
      <c r="GB9" t="str">
        <f>IF('Data Checking'!GN9="","",'Data Checking'!GN9)</f>
        <v>minorite</v>
      </c>
      <c r="GC9" t="str">
        <f>IF('Data Checking'!GO9="","",'Data Checking'!GO9)</f>
        <v>Education Services_de_sante Acces_aux_doc Suivi_judiciaire</v>
      </c>
      <c r="GD9" t="str">
        <f>IF('Data Checking'!GP9="","",'Data Checking'!GP9)</f>
        <v>0</v>
      </c>
      <c r="GE9" t="str">
        <f>IF('Data Checking'!GQ9="","",'Data Checking'!GQ9)</f>
        <v>1</v>
      </c>
      <c r="GF9" t="str">
        <f>IF('Data Checking'!GR9="","",'Data Checking'!GR9)</f>
        <v>0</v>
      </c>
      <c r="GG9" t="str">
        <f>IF('Data Checking'!GS9="","",'Data Checking'!GS9)</f>
        <v>1</v>
      </c>
      <c r="GH9" t="str">
        <f>IF('Data Checking'!GT9="","",'Data Checking'!GT9)</f>
        <v>1</v>
      </c>
      <c r="GI9" t="str">
        <f>IF('Data Checking'!GU9="","",'Data Checking'!GU9)</f>
        <v>1</v>
      </c>
      <c r="GJ9" t="str">
        <f>IF('Data Checking'!GV9="","",'Data Checking'!GV9)</f>
        <v>0</v>
      </c>
      <c r="GK9" t="str">
        <f>IF('Data Checking'!GW9="","",'Data Checking'!GW9)</f>
        <v>0</v>
      </c>
      <c r="GL9" t="str">
        <f>IF('Data Checking'!GX9="","",'Data Checking'!GX9)</f>
        <v>0</v>
      </c>
      <c r="GM9" t="str">
        <f>IF('Data Checking'!GY9="","",'Data Checking'!GY9)</f>
        <v/>
      </c>
      <c r="GN9" t="str">
        <f>IF('Data Checking'!GZ9="","",'Data Checking'!GZ9)</f>
        <v>oui_minorite</v>
      </c>
      <c r="GO9" t="str">
        <f>IF('Data Checking'!HA9="","",'Data Checking'!HA9)</f>
        <v>oui_minorite</v>
      </c>
      <c r="GP9" t="str">
        <f>IF('Data Checking'!HB9="","",'Data Checking'!HB9)</f>
        <v>amelioration_futur repond_besoins_pop permet_obtenir_conseils</v>
      </c>
      <c r="GQ9" t="str">
        <f>IF('Data Checking'!HC9="","",'Data Checking'!HC9)</f>
        <v>1</v>
      </c>
      <c r="GR9" t="str">
        <f>IF('Data Checking'!HD9="","",'Data Checking'!HD9)</f>
        <v>1</v>
      </c>
      <c r="GS9" t="str">
        <f>IF('Data Checking'!HE9="","",'Data Checking'!HE9)</f>
        <v>1</v>
      </c>
      <c r="GT9" t="str">
        <f>IF('Data Checking'!HF9="","",'Data Checking'!HF9)</f>
        <v>0</v>
      </c>
      <c r="GU9" t="str">
        <f>IF('Data Checking'!HG9="","",'Data Checking'!HG9)</f>
        <v>0</v>
      </c>
      <c r="GV9" t="str">
        <f>IF('Data Checking'!HH9="","",'Data Checking'!HH9)</f>
        <v>0</v>
      </c>
      <c r="GW9" t="str">
        <f>IF('Data Checking'!HI9="","",'Data Checking'!HI9)</f>
        <v>0</v>
      </c>
      <c r="GX9" t="str">
        <f>IF('Data Checking'!HJ9="","",'Data Checking'!HJ9)</f>
        <v>0</v>
      </c>
      <c r="GY9" t="str">
        <f>IF('Data Checking'!HK9="","",'Data Checking'!HK9)</f>
        <v/>
      </c>
      <c r="GZ9" t="str">
        <f>IF('Data Checking'!HL9="","",'Data Checking'!HL9)</f>
        <v>ne_repond_pas</v>
      </c>
      <c r="HA9" t="str">
        <f>IF('Data Checking'!HM9="","",'Data Checking'!HM9)</f>
        <v>0</v>
      </c>
      <c r="HB9" t="str">
        <f>IF('Data Checking'!HN9="","",'Data Checking'!HN9)</f>
        <v>1</v>
      </c>
      <c r="HC9" t="str">
        <f>IF('Data Checking'!HO9="","",'Data Checking'!HO9)</f>
        <v>0</v>
      </c>
      <c r="HD9" t="str">
        <f>IF('Data Checking'!HP9="","",'Data Checking'!HP9)</f>
        <v>0</v>
      </c>
      <c r="HE9" t="str">
        <f>IF('Data Checking'!HQ9="","",'Data Checking'!HQ9)</f>
        <v>0</v>
      </c>
      <c r="HF9" t="str">
        <f>IF('Data Checking'!HR9="","",'Data Checking'!HR9)</f>
        <v>0</v>
      </c>
      <c r="HG9" t="str">
        <f>IF('Data Checking'!HS9="","",'Data Checking'!HS9)</f>
        <v/>
      </c>
      <c r="HH9" t="str">
        <f>IF('Data Checking'!HT9="","",'Data Checking'!HT9)</f>
        <v/>
      </c>
      <c r="HI9" t="str">
        <f>IF('Data Checking'!HU9="","",'Data Checking'!HU9)</f>
        <v>non</v>
      </c>
      <c r="HJ9" t="str">
        <f>IF('Data Checking'!HV9="","",'Data Checking'!HV9)</f>
        <v/>
      </c>
      <c r="HK9" t="str">
        <f>IF('Data Checking'!HW9="","",'Data Checking'!HW9)</f>
        <v/>
      </c>
      <c r="HL9" t="str">
        <f>IF('Data Checking'!HX9="","",'Data Checking'!HX9)</f>
        <v/>
      </c>
      <c r="HM9" t="str">
        <f>IF('Data Checking'!HY9="","",'Data Checking'!HY9)</f>
        <v/>
      </c>
      <c r="HN9" t="str">
        <f>IF('Data Checking'!HZ9="","",'Data Checking'!HZ9)</f>
        <v/>
      </c>
      <c r="HO9" t="str">
        <f>IF('Data Checking'!IA9="","",'Data Checking'!IA9)</f>
        <v/>
      </c>
      <c r="HP9" t="str">
        <f>IF('Data Checking'!IB9="","",'Data Checking'!IB9)</f>
        <v/>
      </c>
      <c r="HQ9" t="str">
        <f>IF('Data Checking'!IC9="","",'Data Checking'!IC9)</f>
        <v/>
      </c>
      <c r="HR9" t="str">
        <f>IF('Data Checking'!ID9="","",'Data Checking'!ID9)</f>
        <v/>
      </c>
      <c r="HS9" t="str">
        <f>IF('Data Checking'!IE9="","",'Data Checking'!IE9)</f>
        <v/>
      </c>
      <c r="HT9" t="str">
        <f>IF('Data Checking'!IF9="","",'Data Checking'!IF9)</f>
        <v/>
      </c>
      <c r="HU9" t="str">
        <f>IF('Data Checking'!IG9="","",'Data Checking'!IG9)</f>
        <v/>
      </c>
      <c r="HV9" t="str">
        <f>IF('Data Checking'!IH9="","",'Data Checking'!IH9)</f>
        <v>oui</v>
      </c>
      <c r="HW9" t="str">
        <f>IF('Data Checking'!II9="","",'Data Checking'!II9)</f>
        <v/>
      </c>
      <c r="HX9" t="str">
        <f>IF('Data Checking'!IJ9="","",'Data Checking'!IJ9)</f>
        <v>Enfants Bebes/Bambins Filles Femmes Garçons Hommes</v>
      </c>
      <c r="HY9" t="str">
        <f>IF('Data Checking'!IK9="","",'Data Checking'!IK9)</f>
        <v>1</v>
      </c>
      <c r="HZ9" t="str">
        <f>IF('Data Checking'!IL9="","",'Data Checking'!IL9)</f>
        <v>1</v>
      </c>
      <c r="IA9" t="str">
        <f>IF('Data Checking'!IM9="","",'Data Checking'!IM9)</f>
        <v>1</v>
      </c>
      <c r="IB9" t="str">
        <f>IF('Data Checking'!IN9="","",'Data Checking'!IN9)</f>
        <v>1</v>
      </c>
      <c r="IC9" t="str">
        <f>IF('Data Checking'!IO9="","",'Data Checking'!IO9)</f>
        <v>1</v>
      </c>
      <c r="ID9" t="str">
        <f>IF('Data Checking'!IP9="","",'Data Checking'!IP9)</f>
        <v>1</v>
      </c>
      <c r="IE9" t="str">
        <f>IF('Data Checking'!IQ9="","",'Data Checking'!IQ9)</f>
        <v>0</v>
      </c>
      <c r="IF9" t="str">
        <f>IF('Data Checking'!IR9="","",'Data Checking'!IR9)</f>
        <v>0</v>
      </c>
      <c r="IG9" t="str">
        <f>IF('Data Checking'!IS9="","",'Data Checking'!IS9)</f>
        <v>0</v>
      </c>
      <c r="IH9" t="str">
        <f>IF('Data Checking'!IT9="","",'Data Checking'!IT9)</f>
        <v>0</v>
      </c>
      <c r="II9" t="str">
        <f>IF('Data Checking'!IU9="","",'Data Checking'!IU9)</f>
        <v>0</v>
      </c>
      <c r="IJ9" t="str">
        <f>IF('Data Checking'!IV9="","",'Data Checking'!IV9)</f>
        <v>0</v>
      </c>
      <c r="IK9" t="str">
        <f>IF('Data Checking'!IW9="","",'Data Checking'!IW9)</f>
        <v>0</v>
      </c>
      <c r="IL9" t="str">
        <f>IF('Data Checking'!IX9="","",'Data Checking'!IX9)</f>
        <v>0</v>
      </c>
      <c r="IM9" t="str">
        <f>IF('Data Checking'!IY9="","",'Data Checking'!IY9)</f>
        <v/>
      </c>
      <c r="IN9" t="str">
        <f>IF('Data Checking'!IZ9="","",'Data Checking'!IZ9)</f>
        <v>15</v>
      </c>
      <c r="IO9" t="str">
        <f>IF('Data Checking'!JA9="","",'Data Checking'!JA9)</f>
        <v>Appui_psychosocial Services_medicaux Services_educatifs acces_docs service_judiciaire</v>
      </c>
      <c r="IP9" t="str">
        <f>IF('Data Checking'!JB9="","",'Data Checking'!JB9)</f>
        <v>1</v>
      </c>
      <c r="IQ9" t="str">
        <f>IF('Data Checking'!JC9="","",'Data Checking'!JC9)</f>
        <v>1</v>
      </c>
      <c r="IR9" t="str">
        <f>IF('Data Checking'!JD9="","",'Data Checking'!JD9)</f>
        <v>1</v>
      </c>
      <c r="IS9" t="str">
        <f>IF('Data Checking'!JE9="","",'Data Checking'!JE9)</f>
        <v>0</v>
      </c>
      <c r="IT9" t="str">
        <f>IF('Data Checking'!JF9="","",'Data Checking'!JF9)</f>
        <v>1</v>
      </c>
      <c r="IU9" t="str">
        <f>IF('Data Checking'!JG9="","",'Data Checking'!JG9)</f>
        <v>1</v>
      </c>
      <c r="IV9" t="str">
        <f>IF('Data Checking'!JH9="","",'Data Checking'!JH9)</f>
        <v>0</v>
      </c>
      <c r="IW9" t="str">
        <f>IF('Data Checking'!JI9="","",'Data Checking'!JI9)</f>
        <v>0</v>
      </c>
      <c r="IX9" t="str">
        <f>IF('Data Checking'!JJ9="","",'Data Checking'!JJ9)</f>
        <v>0</v>
      </c>
      <c r="IY9" t="str">
        <f>IF('Data Checking'!JK9="","",'Data Checking'!JK9)</f>
        <v>0</v>
      </c>
      <c r="IZ9" t="str">
        <f>IF('Data Checking'!JL9="","",'Data Checking'!JL9)</f>
        <v/>
      </c>
      <c r="JA9" t="str">
        <f>IF('Data Checking'!JM9="","",'Data Checking'!JM9)</f>
        <v>reorientation</v>
      </c>
      <c r="JB9" t="str">
        <f>IF('Data Checking'!JN9="","",'Data Checking'!JN9)</f>
        <v>0</v>
      </c>
      <c r="JC9" t="str">
        <f>IF('Data Checking'!JO9="","",'Data Checking'!JO9)</f>
        <v>1</v>
      </c>
      <c r="JD9" t="str">
        <f>IF('Data Checking'!JP9="","",'Data Checking'!JP9)</f>
        <v>0</v>
      </c>
      <c r="JE9" t="str">
        <f>IF('Data Checking'!JQ9="","",'Data Checking'!JQ9)</f>
        <v>0</v>
      </c>
      <c r="JF9" t="str">
        <f>IF('Data Checking'!JR9="","",'Data Checking'!JR9)</f>
        <v>0</v>
      </c>
      <c r="JG9" t="str">
        <f>IF('Data Checking'!JS9="","",'Data Checking'!JS9)</f>
        <v>0</v>
      </c>
      <c r="JH9" t="str">
        <f>IF('Data Checking'!JT9="","",'Data Checking'!JT9)</f>
        <v/>
      </c>
      <c r="JI9" t="str">
        <f>IF('Data Checking'!JU9="","",'Data Checking'!JU9)</f>
        <v/>
      </c>
      <c r="JJ9" t="str">
        <f>IF('Data Checking'!JV9="","",'Data Checking'!JV9)</f>
        <v/>
      </c>
      <c r="JK9" t="str">
        <f>IF('Data Checking'!JW9="","",'Data Checking'!JW9)</f>
        <v/>
      </c>
      <c r="JL9" t="str">
        <f>IF('Data Checking'!JX9="","",'Data Checking'!JX9)</f>
        <v/>
      </c>
      <c r="JM9" t="str">
        <f>IF('Data Checking'!JY9="","",'Data Checking'!JY9)</f>
        <v/>
      </c>
      <c r="JN9" t="str">
        <f>IF('Data Checking'!JZ9="","",'Data Checking'!JZ9)</f>
        <v/>
      </c>
      <c r="JO9" t="str">
        <f>IF('Data Checking'!KA9="","",'Data Checking'!KA9)</f>
        <v/>
      </c>
      <c r="JP9" t="str">
        <f>IF('Data Checking'!KB9="","",'Data Checking'!KB9)</f>
        <v/>
      </c>
      <c r="JQ9" t="str">
        <f>IF('Data Checking'!KC9="","",'Data Checking'!KC9)</f>
        <v/>
      </c>
      <c r="JR9" t="str">
        <f>IF('Data Checking'!KD9="","",'Data Checking'!KD9)</f>
        <v/>
      </c>
      <c r="JS9" t="str">
        <f>IF('Data Checking'!KE9="","",'Data Checking'!KE9)</f>
        <v/>
      </c>
      <c r="JT9" t="str">
        <f>IF('Data Checking'!KF9="","",'Data Checking'!KF9)</f>
        <v>medical juridique</v>
      </c>
      <c r="JU9" t="str">
        <f>IF('Data Checking'!KG9="","",'Data Checking'!KG9)</f>
        <v>1</v>
      </c>
      <c r="JV9" t="str">
        <f>IF('Data Checking'!KH9="","",'Data Checking'!KH9)</f>
        <v>0</v>
      </c>
      <c r="JW9" t="str">
        <f>IF('Data Checking'!KI9="","",'Data Checking'!KI9)</f>
        <v>0</v>
      </c>
      <c r="JX9" t="str">
        <f>IF('Data Checking'!KJ9="","",'Data Checking'!KJ9)</f>
        <v>1</v>
      </c>
      <c r="JY9" t="str">
        <f>IF('Data Checking'!KK9="","",'Data Checking'!KK9)</f>
        <v>0</v>
      </c>
      <c r="JZ9" t="str">
        <f>IF('Data Checking'!KL9="","",'Data Checking'!KL9)</f>
        <v>0</v>
      </c>
      <c r="KA9" t="str">
        <f>IF('Data Checking'!KM9="","",'Data Checking'!KM9)</f>
        <v>0</v>
      </c>
      <c r="KB9" t="str">
        <f>IF('Data Checking'!KN9="","",'Data Checking'!KN9)</f>
        <v>0</v>
      </c>
      <c r="KC9" t="str">
        <f>IF('Data Checking'!KO9="","",'Data Checking'!KO9)</f>
        <v>0</v>
      </c>
      <c r="KD9" t="str">
        <f>IF('Data Checking'!KP9="","",'Data Checking'!KP9)</f>
        <v/>
      </c>
      <c r="KE9" t="str">
        <f>IF('Data Checking'!KQ9="","",'Data Checking'!KQ9)</f>
        <v/>
      </c>
      <c r="KF9" t="str">
        <f>IF('Data Checking'!KR9="","",'Data Checking'!KR9)</f>
        <v>oui</v>
      </c>
      <c r="KG9" t="str">
        <f>IF('Data Checking'!KS9="","",'Data Checking'!KS9)</f>
        <v>manque_moyens manque_d'information manque_cordination manque_definition</v>
      </c>
      <c r="KH9" t="str">
        <f>IF('Data Checking'!KT9="","",'Data Checking'!KT9)</f>
        <v>1</v>
      </c>
      <c r="KI9" t="str">
        <f>IF('Data Checking'!KU9="","",'Data Checking'!KU9)</f>
        <v>0</v>
      </c>
      <c r="KJ9" t="str">
        <f>IF('Data Checking'!KV9="","",'Data Checking'!KV9)</f>
        <v>1</v>
      </c>
      <c r="KK9" t="str">
        <f>IF('Data Checking'!KW9="","",'Data Checking'!KW9)</f>
        <v>0</v>
      </c>
      <c r="KL9" t="str">
        <f>IF('Data Checking'!KX9="","",'Data Checking'!KX9)</f>
        <v>0</v>
      </c>
      <c r="KM9" t="str">
        <f>IF('Data Checking'!KY9="","",'Data Checking'!KY9)</f>
        <v>0</v>
      </c>
      <c r="KN9" t="str">
        <f>IF('Data Checking'!KZ9="","",'Data Checking'!KZ9)</f>
        <v>1</v>
      </c>
      <c r="KO9" t="str">
        <f>IF('Data Checking'!LA9="","",'Data Checking'!LA9)</f>
        <v>1</v>
      </c>
      <c r="KP9" t="str">
        <f>IF('Data Checking'!LB9="","",'Data Checking'!LB9)</f>
        <v>0</v>
      </c>
      <c r="KQ9" t="str">
        <f>IF('Data Checking'!LC9="","",'Data Checking'!LC9)</f>
        <v>0</v>
      </c>
      <c r="KR9" t="str">
        <f>IF('Data Checking'!LD9="","",'Data Checking'!LD9)</f>
        <v>0</v>
      </c>
      <c r="KS9" t="str">
        <f>IF('Data Checking'!LE9="","",'Data Checking'!LE9)</f>
        <v/>
      </c>
      <c r="KT9" t="str">
        <f>IF('Data Checking'!LF9="","",'Data Checking'!LF9)</f>
        <v/>
      </c>
      <c r="KU9" t="str">
        <f>IF('Data Checking'!LG9="","",'Data Checking'!LG9)</f>
        <v/>
      </c>
      <c r="KV9" t="str">
        <f>IF('Data Checking'!LH9="","",'Data Checking'!LH9)</f>
        <v/>
      </c>
      <c r="KW9" t="str">
        <f>IF('Data Checking'!LI9="","",'Data Checking'!LI9)</f>
        <v/>
      </c>
      <c r="KX9" t="str">
        <f>IF('Data Checking'!LJ9="","",'Data Checking'!LJ9)</f>
        <v/>
      </c>
      <c r="KY9" t="str">
        <f>IF('Data Checking'!LK9="","",'Data Checking'!LK9)</f>
        <v/>
      </c>
      <c r="KZ9" t="str">
        <f>IF('Data Checking'!LL9="","",'Data Checking'!LL9)</f>
        <v/>
      </c>
      <c r="LA9" t="str">
        <f>IF('Data Checking'!LM9="","",'Data Checking'!LM9)</f>
        <v/>
      </c>
      <c r="LB9" t="str">
        <f>IF('Data Checking'!LN9="","",'Data Checking'!LN9)</f>
        <v>non</v>
      </c>
      <c r="LC9" t="str">
        <f>IF('Data Checking'!LO9="","",'Data Checking'!LO9)</f>
        <v/>
      </c>
      <c r="LD9" t="str">
        <f>IF('Data Checking'!LP9="","",'Data Checking'!LP9)</f>
        <v/>
      </c>
      <c r="LE9" t="str">
        <f>IF('Data Checking'!LQ9="","",'Data Checking'!LQ9)</f>
        <v/>
      </c>
      <c r="LF9" t="str">
        <f>IF('Data Checking'!LR9="","",'Data Checking'!LR9)</f>
        <v/>
      </c>
      <c r="LG9" t="str">
        <f>IF('Data Checking'!LS9="","",'Data Checking'!LS9)</f>
        <v/>
      </c>
      <c r="LH9" t="str">
        <f>IF('Data Checking'!LT9="","",'Data Checking'!LT9)</f>
        <v/>
      </c>
      <c r="LI9" t="str">
        <f>IF('Data Checking'!LU9="","",'Data Checking'!LU9)</f>
        <v/>
      </c>
      <c r="LJ9" t="str">
        <f>IF('Data Checking'!LV9="","",'Data Checking'!LV9)</f>
        <v/>
      </c>
      <c r="LK9" t="str">
        <f>IF('Data Checking'!LW9="","",'Data Checking'!LW9)</f>
        <v/>
      </c>
      <c r="LL9" t="str">
        <f>IF('Data Checking'!LX9="","",'Data Checking'!LX9)</f>
        <v/>
      </c>
      <c r="LM9" t="str">
        <f>IF('Data Checking'!LY9="","",'Data Checking'!LY9)</f>
        <v/>
      </c>
      <c r="LN9" t="str">
        <f>IF('Data Checking'!LZ9="","",'Data Checking'!LZ9)</f>
        <v/>
      </c>
      <c r="LO9" t="str">
        <f>IF('Data Checking'!MA9="","",'Data Checking'!MA9)</f>
        <v/>
      </c>
      <c r="LP9" t="str">
        <f>IF('Data Checking'!MB9="","",'Data Checking'!MB9)</f>
        <v>oui</v>
      </c>
      <c r="LQ9" t="str">
        <f>IF('Data Checking'!MC9="","",'Data Checking'!MC9)</f>
        <v/>
      </c>
      <c r="LR9" t="str">
        <f>IF('Data Checking'!MD9="","",'Data Checking'!MD9)</f>
        <v>Le viol existe dans la population mais aucun cas avec les deplacés internes</v>
      </c>
      <c r="LS9">
        <f>IF('Data Checking'!ME9="","",'Data Checking'!ME9)</f>
        <v>170008209</v>
      </c>
      <c r="LT9" t="str">
        <f>IF('Data Checking'!MF9="","",'Data Checking'!MF9)</f>
        <v>8362a8f2-dc3a-4d4e-a868-8db308208fe3</v>
      </c>
      <c r="LU9" t="str">
        <f>IF('Data Checking'!MG9="","",'Data Checking'!MG9)</f>
        <v>2021-04-06T16:18:23</v>
      </c>
      <c r="LV9" t="str">
        <f>IF('Data Checking'!MH9="","",'Data Checking'!MH9)</f>
        <v/>
      </c>
      <c r="LW9" t="str">
        <f>IF('Data Checking'!MI9="","",'Data Checking'!MI9)</f>
        <v>[]</v>
      </c>
      <c r="LX9" t="str">
        <f>IF('Data Checking'!MJ9="","",'Data Checking'!MJ9)</f>
        <v>submitted_via_web</v>
      </c>
      <c r="LY9" t="str">
        <f>IF('Data Checking'!MK9="","",'Data Checking'!MK9)</f>
        <v>reach_niger</v>
      </c>
      <c r="LZ9" t="str">
        <f>IF('Data Checking'!ML9="","",'Data Checking'!ML9)</f>
        <v/>
      </c>
      <c r="MA9">
        <f>IF('Data Checking'!MM9="","",'Data Checking'!MM9)</f>
        <v>43</v>
      </c>
    </row>
    <row r="10" spans="1:339" x14ac:dyDescent="0.3">
      <c r="A10" t="str">
        <f>IF('Data Checking'!D10="","",'Data Checking'!D10)</f>
        <v>2021-03-30T16:37:58.527+01:00</v>
      </c>
      <c r="B10" t="str">
        <f>IF('Data Checking'!E10="","",'Data Checking'!E10)</f>
        <v>2021-03-30T16:59:23.950+01:00</v>
      </c>
      <c r="C10" t="str">
        <f>IF('Data Checking'!M10="","",'Data Checking'!M10)</f>
        <v>2021-03-30</v>
      </c>
      <c r="D10" t="str">
        <f>IF('Data Checking'!N10="","",'Data Checking'!N10)</f>
        <v/>
      </c>
      <c r="E10" t="str">
        <f>IF('Data Checking'!O10="","",'Data Checking'!O10)</f>
        <v/>
      </c>
      <c r="F10" t="str">
        <f>IF('Data Checking'!R10="","",'Data Checking'!R10)</f>
        <v>Homme</v>
      </c>
      <c r="G10" t="str">
        <f>IF('Data Checking'!S10="","",'Data Checking'!S10)</f>
        <v>torodi</v>
      </c>
      <c r="H10" t="str">
        <f>IF('Data Checking'!T10="","",'Data Checking'!T10)</f>
        <v>torodi</v>
      </c>
      <c r="I10" t="str">
        <f>IF('Data Checking'!U10="","",'Data Checking'!U10)</f>
        <v>tondobon</v>
      </c>
      <c r="J10" t="str">
        <f>IF('Data Checking'!V10="","",'Data Checking'!V10)</f>
        <v/>
      </c>
      <c r="K10" t="str">
        <f>IF('Data Checking'!W10="","",'Data Checking'!W10)</f>
        <v/>
      </c>
      <c r="L10" t="str">
        <f>IF('Data Checking'!X10="","",'Data Checking'!X10)</f>
        <v/>
      </c>
      <c r="M10" t="str">
        <f>IF('Data Checking'!Y10="","",'Data Checking'!Y10)</f>
        <v/>
      </c>
      <c r="N10" t="str">
        <f>IF('Data Checking'!Z10="","",'Data Checking'!Z10)</f>
        <v/>
      </c>
      <c r="O10" t="str">
        <f>IF('Data Checking'!AA10="","",'Data Checking'!AA10)</f>
        <v/>
      </c>
      <c r="P10" t="str">
        <f>IF('Data Checking'!AB10="","",'Data Checking'!AB10)</f>
        <v/>
      </c>
      <c r="Q10" t="str">
        <f>IF('Data Checking'!AC10="","",'Data Checking'!AC10)</f>
        <v/>
      </c>
      <c r="R10" t="str">
        <f>IF('Data Checking'!AD10="","",'Data Checking'!AD10)</f>
        <v>Homme</v>
      </c>
      <c r="S10" t="str">
        <f>IF('Data Checking'!AE10="","",'Data Checking'!AE10)</f>
        <v>53</v>
      </c>
      <c r="T10" t="str">
        <f>IF('Data Checking'!AF10="","",'Data Checking'!AF10)</f>
        <v>deplace_interne</v>
      </c>
      <c r="U10" t="str">
        <f>IF('Data Checking'!AG10="","",'Data Checking'!AG10)</f>
        <v/>
      </c>
      <c r="V10" t="str">
        <f>IF('Data Checking'!AH10="","",'Data Checking'!AH10)</f>
        <v/>
      </c>
      <c r="W10" t="str">
        <f>IF('Data Checking'!AI10="","",'Data Checking'!AI10)</f>
        <v/>
      </c>
      <c r="X10" t="str">
        <f>IF('Data Checking'!AJ10="","",'Data Checking'!AJ10)</f>
        <v/>
      </c>
      <c r="Y10" t="str">
        <f>IF('Data Checking'!AK10="","",'Data Checking'!AK10)</f>
        <v/>
      </c>
      <c r="Z10" t="str">
        <f>IF('Data Checking'!AL10="","",'Data Checking'!AL10)</f>
        <v>niger</v>
      </c>
      <c r="AA10" t="str">
        <f>IF('Data Checking'!AM10="","",'Data Checking'!AM10)</f>
        <v>tillaberi</v>
      </c>
      <c r="AB10" t="str">
        <f>IF('Data Checking'!AN10="","",'Data Checking'!AN10)</f>
        <v>torodi</v>
      </c>
      <c r="AC10" t="str">
        <f>IF('Data Checking'!AO10="","",'Data Checking'!AO10)</f>
        <v/>
      </c>
      <c r="AD10" t="str">
        <f>IF('Data Checking'!AP10="","",'Data Checking'!AP10)</f>
        <v/>
      </c>
      <c r="AE10" t="str">
        <f>IF('Data Checking'!AQ10="","",'Data Checking'!AQ10)</f>
        <v/>
      </c>
      <c r="AF10" t="str">
        <f>IF('Data Checking'!AR10="","",'Data Checking'!AR10)</f>
        <v/>
      </c>
      <c r="AG10" t="str">
        <f>IF('Data Checking'!AS10="","",'Data Checking'!AS10)</f>
        <v>oui</v>
      </c>
      <c r="AH10" t="str">
        <f>IF('Data Checking'!AT10="","",'Data Checking'!AT10)</f>
        <v>extorsions</v>
      </c>
      <c r="AI10" t="str">
        <f>IF('Data Checking'!AU10="","",'Data Checking'!AU10)</f>
        <v>0</v>
      </c>
      <c r="AJ10" t="str">
        <f>IF('Data Checking'!AV10="","",'Data Checking'!AV10)</f>
        <v>0</v>
      </c>
      <c r="AK10" t="str">
        <f>IF('Data Checking'!AW10="","",'Data Checking'!AW10)</f>
        <v>0</v>
      </c>
      <c r="AL10">
        <f>IF('Data Checking'!AX10="","",'Data Checking'!AX10)</f>
        <v>1</v>
      </c>
      <c r="AM10" t="str">
        <f>IF('Data Checking'!AY10="","",'Data Checking'!AY10)</f>
        <v>0</v>
      </c>
      <c r="AN10" t="str">
        <f>IF('Data Checking'!AZ10="","",'Data Checking'!AZ10)</f>
        <v>0</v>
      </c>
      <c r="AO10" t="str">
        <f>IF('Data Checking'!BA10="","",'Data Checking'!BA10)</f>
        <v>0</v>
      </c>
      <c r="AP10" t="str">
        <f>IF('Data Checking'!BB10="","",'Data Checking'!BB10)</f>
        <v>0</v>
      </c>
      <c r="AQ10" t="str">
        <f>IF('Data Checking'!BC10="","",'Data Checking'!BC10)</f>
        <v>0</v>
      </c>
      <c r="AR10" t="str">
        <f>IF('Data Checking'!BD10="","",'Data Checking'!BD10)</f>
        <v>0</v>
      </c>
      <c r="AS10" t="str">
        <f>IF('Data Checking'!BE10="","",'Data Checking'!BE10)</f>
        <v>0</v>
      </c>
      <c r="AT10">
        <f>IF('Data Checking'!BF10="","",'Data Checking'!BF10)</f>
        <v>0</v>
      </c>
      <c r="AU10" t="str">
        <f>IF('Data Checking'!BG10="","",'Data Checking'!BG10)</f>
        <v>0</v>
      </c>
      <c r="AV10" t="str">
        <f>IF('Data Checking'!BH10="","",'Data Checking'!BH10)</f>
        <v>0</v>
      </c>
      <c r="AW10" t="str">
        <f>IF('Data Checking'!BI10="","",'Data Checking'!BI10)</f>
        <v/>
      </c>
      <c r="AX10" t="str">
        <f>IF('Data Checking'!BJ10="","",'Data Checking'!BJ10)</f>
        <v>Femmes Filles</v>
      </c>
      <c r="AY10" t="str">
        <f>IF('Data Checking'!BK10="","",'Data Checking'!BK10)</f>
        <v>0</v>
      </c>
      <c r="AZ10" t="str">
        <f>IF('Data Checking'!BL10="","",'Data Checking'!BL10)</f>
        <v>0</v>
      </c>
      <c r="BA10" t="str">
        <f>IF('Data Checking'!BM10="","",'Data Checking'!BM10)</f>
        <v>1</v>
      </c>
      <c r="BB10" t="str">
        <f>IF('Data Checking'!BN10="","",'Data Checking'!BN10)</f>
        <v>0</v>
      </c>
      <c r="BC10" t="str">
        <f>IF('Data Checking'!BO10="","",'Data Checking'!BO10)</f>
        <v>1</v>
      </c>
      <c r="BD10" t="str">
        <f>IF('Data Checking'!BP10="","",'Data Checking'!BP10)</f>
        <v>0</v>
      </c>
      <c r="BE10" t="str">
        <f>IF('Data Checking'!BQ10="","",'Data Checking'!BQ10)</f>
        <v>0</v>
      </c>
      <c r="BF10" t="str">
        <f>IF('Data Checking'!BR10="","",'Data Checking'!BR10)</f>
        <v>0</v>
      </c>
      <c r="BG10" t="str">
        <f>IF('Data Checking'!BS10="","",'Data Checking'!BS10)</f>
        <v>0</v>
      </c>
      <c r="BH10" t="str">
        <f>IF('Data Checking'!BT10="","",'Data Checking'!BT10)</f>
        <v>0</v>
      </c>
      <c r="BI10" t="str">
        <f>IF('Data Checking'!BU10="","",'Data Checking'!BU10)</f>
        <v>0</v>
      </c>
      <c r="BJ10" t="str">
        <f>IF('Data Checking'!BV10="","",'Data Checking'!BV10)</f>
        <v>0</v>
      </c>
      <c r="BK10" t="str">
        <f>IF('Data Checking'!BW10="","",'Data Checking'!BW10)</f>
        <v>0</v>
      </c>
      <c r="BL10" t="str">
        <f>IF('Data Checking'!BX10="","",'Data Checking'!BX10)</f>
        <v>0</v>
      </c>
      <c r="BM10" t="str">
        <f>IF('Data Checking'!BY10="","",'Data Checking'!BY10)</f>
        <v/>
      </c>
      <c r="BN10" t="str">
        <f>IF('Data Checking'!BZ10="","",'Data Checking'!BZ10)</f>
        <v>3</v>
      </c>
      <c r="BO10" t="str">
        <f>IF('Data Checking'!CA10="","",'Data Checking'!CA10)</f>
        <v>stable</v>
      </c>
      <c r="BP10" t="str">
        <f>IF('Data Checking'!CB10="","",'Data Checking'!CB10)</f>
        <v/>
      </c>
      <c r="BQ10" t="str">
        <f>IF('Data Checking'!CC10="","",'Data Checking'!CC10)</f>
        <v>oui</v>
      </c>
      <c r="BR10" t="str">
        <f>IF('Data Checking'!CD10="","",'Data Checking'!CD10)</f>
        <v>mariage_force travail_force exploitations_enfant</v>
      </c>
      <c r="BS10" t="str">
        <f>IF('Data Checking'!CE10="","",'Data Checking'!CE10)</f>
        <v>0</v>
      </c>
      <c r="BT10" t="str">
        <f>IF('Data Checking'!CF10="","",'Data Checking'!CF10)</f>
        <v>0</v>
      </c>
      <c r="BU10" t="str">
        <f>IF('Data Checking'!CG10="","",'Data Checking'!CG10)</f>
        <v>0</v>
      </c>
      <c r="BV10" t="str">
        <f>IF('Data Checking'!CH10="","",'Data Checking'!CH10)</f>
        <v>0</v>
      </c>
      <c r="BW10" t="str">
        <f>IF('Data Checking'!CI10="","",'Data Checking'!CI10)</f>
        <v>0</v>
      </c>
      <c r="BX10" t="str">
        <f>IF('Data Checking'!CJ10="","",'Data Checking'!CJ10)</f>
        <v>1</v>
      </c>
      <c r="BY10" t="str">
        <f>IF('Data Checking'!CK10="","",'Data Checking'!CK10)</f>
        <v>1</v>
      </c>
      <c r="BZ10" t="str">
        <f>IF('Data Checking'!CL10="","",'Data Checking'!CL10)</f>
        <v>0</v>
      </c>
      <c r="CA10" t="str">
        <f>IF('Data Checking'!CM10="","",'Data Checking'!CM10)</f>
        <v>1</v>
      </c>
      <c r="CB10" t="str">
        <f>IF('Data Checking'!CN10="","",'Data Checking'!CN10)</f>
        <v>0</v>
      </c>
      <c r="CC10" t="str">
        <f>IF('Data Checking'!CO10="","",'Data Checking'!CO10)</f>
        <v>0</v>
      </c>
      <c r="CD10" t="str">
        <f>IF('Data Checking'!CP10="","",'Data Checking'!CP10)</f>
        <v>0</v>
      </c>
      <c r="CE10" t="str">
        <f>IF('Data Checking'!CQ10="","",'Data Checking'!CQ10)</f>
        <v>0</v>
      </c>
      <c r="CF10" t="str">
        <f>IF('Data Checking'!CR10="","",'Data Checking'!CR10)</f>
        <v>0</v>
      </c>
      <c r="CG10" t="str">
        <f>IF('Data Checking'!CS10="","",'Data Checking'!CS10)</f>
        <v>0</v>
      </c>
      <c r="CH10" t="str">
        <f>IF('Data Checking'!CT10="","",'Data Checking'!CT10)</f>
        <v/>
      </c>
      <c r="CI10" t="str">
        <f>IF('Data Checking'!CU10="","",'Data Checking'!CU10)</f>
        <v>Filles Femmes Garçons</v>
      </c>
      <c r="CJ10" t="str">
        <f>IF('Data Checking'!CV10="","",'Data Checking'!CV10)</f>
        <v>0</v>
      </c>
      <c r="CK10" t="str">
        <f>IF('Data Checking'!CW10="","",'Data Checking'!CW10)</f>
        <v>0</v>
      </c>
      <c r="CL10" t="str">
        <f>IF('Data Checking'!CX10="","",'Data Checking'!CX10)</f>
        <v>1</v>
      </c>
      <c r="CM10" t="str">
        <f>IF('Data Checking'!CY10="","",'Data Checking'!CY10)</f>
        <v>1</v>
      </c>
      <c r="CN10" t="str">
        <f>IF('Data Checking'!CZ10="","",'Data Checking'!CZ10)</f>
        <v>1</v>
      </c>
      <c r="CO10" t="str">
        <f>IF('Data Checking'!DA10="","",'Data Checking'!DA10)</f>
        <v>0</v>
      </c>
      <c r="CP10" t="str">
        <f>IF('Data Checking'!DB10="","",'Data Checking'!DB10)</f>
        <v>0</v>
      </c>
      <c r="CQ10" t="str">
        <f>IF('Data Checking'!DC10="","",'Data Checking'!DC10)</f>
        <v>0</v>
      </c>
      <c r="CR10" t="str">
        <f>IF('Data Checking'!DD10="","",'Data Checking'!DD10)</f>
        <v>0</v>
      </c>
      <c r="CS10" t="str">
        <f>IF('Data Checking'!DE10="","",'Data Checking'!DE10)</f>
        <v>0</v>
      </c>
      <c r="CT10" t="str">
        <f>IF('Data Checking'!DF10="","",'Data Checking'!DF10)</f>
        <v>0</v>
      </c>
      <c r="CU10" t="str">
        <f>IF('Data Checking'!DG10="","",'Data Checking'!DG10)</f>
        <v>0</v>
      </c>
      <c r="CV10" t="str">
        <f>IF('Data Checking'!DH10="","",'Data Checking'!DH10)</f>
        <v>0</v>
      </c>
      <c r="CW10" t="str">
        <f>IF('Data Checking'!DI10="","",'Data Checking'!DI10)</f>
        <v>0</v>
      </c>
      <c r="CX10" t="str">
        <f>IF('Data Checking'!DJ10="","",'Data Checking'!DJ10)</f>
        <v/>
      </c>
      <c r="CY10" t="str">
        <f>IF('Data Checking'!DK10="","",'Data Checking'!DK10)</f>
        <v>4</v>
      </c>
      <c r="CZ10" t="str">
        <f>IF('Data Checking'!DL10="","",'Data Checking'!DL10)</f>
        <v>augmente</v>
      </c>
      <c r="DA10" t="str">
        <f>IF('Data Checking'!DM10="","",'Data Checking'!DM10)</f>
        <v/>
      </c>
      <c r="DB10" t="str">
        <f>IF('Data Checking'!DN10="","",'Data Checking'!DN10)</f>
        <v>diminution_moyens_existence hausse_chomeurs</v>
      </c>
      <c r="DC10" t="str">
        <f>IF('Data Checking'!DO10="","",'Data Checking'!DO10)</f>
        <v>1</v>
      </c>
      <c r="DD10" t="str">
        <f>IF('Data Checking'!DP10="","",'Data Checking'!DP10)</f>
        <v>0</v>
      </c>
      <c r="DE10" t="str">
        <f>IF('Data Checking'!DQ10="","",'Data Checking'!DQ10)</f>
        <v>0</v>
      </c>
      <c r="DF10" t="str">
        <f>IF('Data Checking'!DR10="","",'Data Checking'!DR10)</f>
        <v>0</v>
      </c>
      <c r="DG10" t="str">
        <f>IF('Data Checking'!DS10="","",'Data Checking'!DS10)</f>
        <v>0</v>
      </c>
      <c r="DH10" t="str">
        <f>IF('Data Checking'!DT10="","",'Data Checking'!DT10)</f>
        <v>0</v>
      </c>
      <c r="DI10" t="str">
        <f>IF('Data Checking'!DU10="","",'Data Checking'!DU10)</f>
        <v>1</v>
      </c>
      <c r="DJ10" t="str">
        <f>IF('Data Checking'!DV10="","",'Data Checking'!DV10)</f>
        <v>0</v>
      </c>
      <c r="DK10" t="str">
        <f>IF('Data Checking'!DW10="","",'Data Checking'!DW10)</f>
        <v>0</v>
      </c>
      <c r="DL10" t="str">
        <f>IF('Data Checking'!DX10="","",'Data Checking'!DX10)</f>
        <v>0</v>
      </c>
      <c r="DM10" t="str">
        <f>IF('Data Checking'!DY10="","",'Data Checking'!DY10)</f>
        <v/>
      </c>
      <c r="DN10" t="str">
        <f>IF('Data Checking'!DZ10="","",'Data Checking'!DZ10)</f>
        <v/>
      </c>
      <c r="DO10" t="str">
        <f>IF('Data Checking'!EA10="","",'Data Checking'!EA10)</f>
        <v/>
      </c>
      <c r="DP10" t="str">
        <f>IF('Data Checking'!EB10="","",'Data Checking'!EB10)</f>
        <v/>
      </c>
      <c r="DQ10" t="str">
        <f>IF('Data Checking'!EC10="","",'Data Checking'!EC10)</f>
        <v/>
      </c>
      <c r="DR10" t="str">
        <f>IF('Data Checking'!ED10="","",'Data Checking'!ED10)</f>
        <v/>
      </c>
      <c r="DS10" t="str">
        <f>IF('Data Checking'!EE10="","",'Data Checking'!EE10)</f>
        <v/>
      </c>
      <c r="DT10" t="str">
        <f>IF('Data Checking'!EF10="","",'Data Checking'!EF10)</f>
        <v/>
      </c>
      <c r="DU10" t="str">
        <f>IF('Data Checking'!EG10="","",'Data Checking'!EG10)</f>
        <v/>
      </c>
      <c r="DV10" t="str">
        <f>IF('Data Checking'!EH10="","",'Data Checking'!EH10)</f>
        <v/>
      </c>
      <c r="DW10" t="str">
        <f>IF('Data Checking'!EI10="","",'Data Checking'!EI10)</f>
        <v/>
      </c>
      <c r="DX10" t="str">
        <f>IF('Data Checking'!EJ10="","",'Data Checking'!EJ10)</f>
        <v/>
      </c>
      <c r="DY10" t="str">
        <f>IF('Data Checking'!EK10="","",'Data Checking'!EK10)</f>
        <v/>
      </c>
      <c r="DZ10" t="str">
        <f>IF('Data Checking'!EL10="","",'Data Checking'!EL10)</f>
        <v>Integration_com_hote</v>
      </c>
      <c r="EA10" t="str">
        <f>IF('Data Checking'!EM10="","",'Data Checking'!EM10)</f>
        <v>0</v>
      </c>
      <c r="EB10" t="str">
        <f>IF('Data Checking'!EN10="","",'Data Checking'!EN10)</f>
        <v>1</v>
      </c>
      <c r="EC10" t="str">
        <f>IF('Data Checking'!EO10="","",'Data Checking'!EO10)</f>
        <v>0</v>
      </c>
      <c r="ED10" t="str">
        <f>IF('Data Checking'!EP10="","",'Data Checking'!EP10)</f>
        <v>0</v>
      </c>
      <c r="EE10" t="str">
        <f>IF('Data Checking'!EQ10="","",'Data Checking'!EQ10)</f>
        <v>0</v>
      </c>
      <c r="EF10" t="str">
        <f>IF('Data Checking'!ER10="","",'Data Checking'!ER10)</f>
        <v>0</v>
      </c>
      <c r="EG10" t="str">
        <f>IF('Data Checking'!ES10="","",'Data Checking'!ES10)</f>
        <v>0</v>
      </c>
      <c r="EH10" t="str">
        <f>IF('Data Checking'!ET10="","",'Data Checking'!ET10)</f>
        <v>0</v>
      </c>
      <c r="EI10" t="str">
        <f>IF('Data Checking'!EU10="","",'Data Checking'!EU10)</f>
        <v>0</v>
      </c>
      <c r="EJ10" t="str">
        <f>IF('Data Checking'!EV10="","",'Data Checking'!EV10)</f>
        <v/>
      </c>
      <c r="EK10" t="str">
        <f>IF('Data Checking'!EW10="","",'Data Checking'!EW10)</f>
        <v/>
      </c>
      <c r="EL10" t="str">
        <f>IF('Data Checking'!EX10="","",'Data Checking'!EX10)</f>
        <v>Aucun</v>
      </c>
      <c r="EM10" t="str">
        <f>IF('Data Checking'!EY10="","",'Data Checking'!EY10)</f>
        <v>0</v>
      </c>
      <c r="EN10" t="str">
        <f>IF('Data Checking'!EZ10="","",'Data Checking'!EZ10)</f>
        <v>0</v>
      </c>
      <c r="EO10" t="str">
        <f>IF('Data Checking'!FA10="","",'Data Checking'!FA10)</f>
        <v>0</v>
      </c>
      <c r="EP10" t="str">
        <f>IF('Data Checking'!FB10="","",'Data Checking'!FB10)</f>
        <v>0</v>
      </c>
      <c r="EQ10" t="str">
        <f>IF('Data Checking'!FC10="","",'Data Checking'!FC10)</f>
        <v>0</v>
      </c>
      <c r="ER10" t="str">
        <f>IF('Data Checking'!FD10="","",'Data Checking'!FD10)</f>
        <v>0</v>
      </c>
      <c r="ES10" t="str">
        <f>IF('Data Checking'!FE10="","",'Data Checking'!FE10)</f>
        <v>0</v>
      </c>
      <c r="ET10" t="str">
        <f>IF('Data Checking'!FF10="","",'Data Checking'!FF10)</f>
        <v>0</v>
      </c>
      <c r="EU10" t="str">
        <f>IF('Data Checking'!FG10="","",'Data Checking'!FG10)</f>
        <v>0</v>
      </c>
      <c r="EV10" t="str">
        <f>IF('Data Checking'!FH10="","",'Data Checking'!FH10)</f>
        <v>1</v>
      </c>
      <c r="EW10" t="str">
        <f>IF('Data Checking'!FI10="","",'Data Checking'!FI10)</f>
        <v/>
      </c>
      <c r="EX10" t="str">
        <f>IF('Data Checking'!FJ10="","",'Data Checking'!FJ10)</f>
        <v>oui</v>
      </c>
      <c r="EY10" t="str">
        <f>IF('Data Checking'!FK10="","",'Data Checking'!FK10)</f>
        <v>manif_sociales Chef_village</v>
      </c>
      <c r="EZ10" t="str">
        <f>IF('Data Checking'!FL10="","",'Data Checking'!FL10)</f>
        <v>0</v>
      </c>
      <c r="FA10" t="str">
        <f>IF('Data Checking'!FM10="","",'Data Checking'!FM10)</f>
        <v>0</v>
      </c>
      <c r="FB10" t="str">
        <f>IF('Data Checking'!FN10="","",'Data Checking'!FN10)</f>
        <v>0</v>
      </c>
      <c r="FC10" t="str">
        <f>IF('Data Checking'!FO10="","",'Data Checking'!FO10)</f>
        <v>1</v>
      </c>
      <c r="FD10" t="str">
        <f>IF('Data Checking'!FP10="","",'Data Checking'!FP10)</f>
        <v>1</v>
      </c>
      <c r="FE10" t="str">
        <f>IF('Data Checking'!FQ10="","",'Data Checking'!FQ10)</f>
        <v>0</v>
      </c>
      <c r="FF10" t="str">
        <f>IF('Data Checking'!FR10="","",'Data Checking'!FR10)</f>
        <v>0</v>
      </c>
      <c r="FG10" t="str">
        <f>IF('Data Checking'!FS10="","",'Data Checking'!FS10)</f>
        <v>0</v>
      </c>
      <c r="FH10" t="str">
        <f>IF('Data Checking'!FT10="","",'Data Checking'!FT10)</f>
        <v>0</v>
      </c>
      <c r="FI10" t="str">
        <f>IF('Data Checking'!FU10="","",'Data Checking'!FU10)</f>
        <v>0</v>
      </c>
      <c r="FJ10" t="str">
        <f>IF('Data Checking'!FV10="","",'Data Checking'!FV10)</f>
        <v>0</v>
      </c>
      <c r="FK10" t="str">
        <f>IF('Data Checking'!FW10="","",'Data Checking'!FW10)</f>
        <v>0</v>
      </c>
      <c r="FL10" t="str">
        <f>IF('Data Checking'!FX10="","",'Data Checking'!FX10)</f>
        <v>0</v>
      </c>
      <c r="FM10" t="str">
        <f>IF('Data Checking'!FY10="","",'Data Checking'!FY10)</f>
        <v>0</v>
      </c>
      <c r="FN10" t="str">
        <f>IF('Data Checking'!FZ10="","",'Data Checking'!FZ10)</f>
        <v/>
      </c>
      <c r="FO10" t="str">
        <f>IF('Data Checking'!GA10="","",'Data Checking'!GA10)</f>
        <v>oui_moitie</v>
      </c>
      <c r="FP10" t="str">
        <f>IF('Data Checking'!GB10="","",'Data Checking'!GB10)</f>
        <v>oui_moitie</v>
      </c>
      <c r="FQ10" t="str">
        <f>IF('Data Checking'!GC10="","",'Data Checking'!GC10)</f>
        <v>non_utilisation</v>
      </c>
      <c r="FR10" t="str">
        <f>IF('Data Checking'!GD10="","",'Data Checking'!GD10)</f>
        <v>0</v>
      </c>
      <c r="FS10" t="str">
        <f>IF('Data Checking'!GE10="","",'Data Checking'!GE10)</f>
        <v>0</v>
      </c>
      <c r="FT10" t="str">
        <f>IF('Data Checking'!GF10="","",'Data Checking'!GF10)</f>
        <v>0</v>
      </c>
      <c r="FU10" t="str">
        <f>IF('Data Checking'!GG10="","",'Data Checking'!GG10)</f>
        <v>1</v>
      </c>
      <c r="FV10" t="str">
        <f>IF('Data Checking'!GH10="","",'Data Checking'!GH10)</f>
        <v>0</v>
      </c>
      <c r="FW10" t="str">
        <f>IF('Data Checking'!GI10="","",'Data Checking'!GI10)</f>
        <v>0</v>
      </c>
      <c r="FX10" t="str">
        <f>IF('Data Checking'!GJ10="","",'Data Checking'!GJ10)</f>
        <v>0</v>
      </c>
      <c r="FY10" t="str">
        <f>IF('Data Checking'!GK10="","",'Data Checking'!GK10)</f>
        <v>0</v>
      </c>
      <c r="FZ10" t="str">
        <f>IF('Data Checking'!GL10="","",'Data Checking'!GL10)</f>
        <v/>
      </c>
      <c r="GA10" t="str">
        <f>IF('Data Checking'!GM10="","",'Data Checking'!GM10)</f>
        <v>minorite</v>
      </c>
      <c r="GB10" t="str">
        <f>IF('Data Checking'!GN10="","",'Data Checking'!GN10)</f>
        <v>minorite</v>
      </c>
      <c r="GC10" t="str">
        <f>IF('Data Checking'!GO10="","",'Data Checking'!GO10)</f>
        <v>Education Services_de_sante</v>
      </c>
      <c r="GD10" t="str">
        <f>IF('Data Checking'!GP10="","",'Data Checking'!GP10)</f>
        <v>0</v>
      </c>
      <c r="GE10" t="str">
        <f>IF('Data Checking'!GQ10="","",'Data Checking'!GQ10)</f>
        <v>1</v>
      </c>
      <c r="GF10" t="str">
        <f>IF('Data Checking'!GR10="","",'Data Checking'!GR10)</f>
        <v>0</v>
      </c>
      <c r="GG10" t="str">
        <f>IF('Data Checking'!GS10="","",'Data Checking'!GS10)</f>
        <v>1</v>
      </c>
      <c r="GH10" t="str">
        <f>IF('Data Checking'!GT10="","",'Data Checking'!GT10)</f>
        <v>0</v>
      </c>
      <c r="GI10" t="str">
        <f>IF('Data Checking'!GU10="","",'Data Checking'!GU10)</f>
        <v>0</v>
      </c>
      <c r="GJ10" t="str">
        <f>IF('Data Checking'!GV10="","",'Data Checking'!GV10)</f>
        <v>0</v>
      </c>
      <c r="GK10" t="str">
        <f>IF('Data Checking'!GW10="","",'Data Checking'!GW10)</f>
        <v>0</v>
      </c>
      <c r="GL10" t="str">
        <f>IF('Data Checking'!GX10="","",'Data Checking'!GX10)</f>
        <v>0</v>
      </c>
      <c r="GM10" t="str">
        <f>IF('Data Checking'!GY10="","",'Data Checking'!GY10)</f>
        <v/>
      </c>
      <c r="GN10" t="str">
        <f>IF('Data Checking'!GZ10="","",'Data Checking'!GZ10)</f>
        <v>oui_minorite</v>
      </c>
      <c r="GO10" t="str">
        <f>IF('Data Checking'!HA10="","",'Data Checking'!HA10)</f>
        <v>oui_minorite</v>
      </c>
      <c r="GP10" t="str">
        <f>IF('Data Checking'!HB10="","",'Data Checking'!HB10)</f>
        <v>amelioration_futur permet_obtenir_conseils</v>
      </c>
      <c r="GQ10" t="str">
        <f>IF('Data Checking'!HC10="","",'Data Checking'!HC10)</f>
        <v>1</v>
      </c>
      <c r="GR10" t="str">
        <f>IF('Data Checking'!HD10="","",'Data Checking'!HD10)</f>
        <v>0</v>
      </c>
      <c r="GS10" t="str">
        <f>IF('Data Checking'!HE10="","",'Data Checking'!HE10)</f>
        <v>1</v>
      </c>
      <c r="GT10" t="str">
        <f>IF('Data Checking'!HF10="","",'Data Checking'!HF10)</f>
        <v>0</v>
      </c>
      <c r="GU10" t="str">
        <f>IF('Data Checking'!HG10="","",'Data Checking'!HG10)</f>
        <v>0</v>
      </c>
      <c r="GV10" t="str">
        <f>IF('Data Checking'!HH10="","",'Data Checking'!HH10)</f>
        <v>0</v>
      </c>
      <c r="GW10" t="str">
        <f>IF('Data Checking'!HI10="","",'Data Checking'!HI10)</f>
        <v>0</v>
      </c>
      <c r="GX10" t="str">
        <f>IF('Data Checking'!HJ10="","",'Data Checking'!HJ10)</f>
        <v>0</v>
      </c>
      <c r="GY10" t="str">
        <f>IF('Data Checking'!HK10="","",'Data Checking'!HK10)</f>
        <v/>
      </c>
      <c r="GZ10" t="str">
        <f>IF('Data Checking'!HL10="","",'Data Checking'!HL10)</f>
        <v>ne_contribue_pas ne_repond_pas</v>
      </c>
      <c r="HA10" t="str">
        <f>IF('Data Checking'!HM10="","",'Data Checking'!HM10)</f>
        <v>1</v>
      </c>
      <c r="HB10" t="str">
        <f>IF('Data Checking'!HN10="","",'Data Checking'!HN10)</f>
        <v>1</v>
      </c>
      <c r="HC10" t="str">
        <f>IF('Data Checking'!HO10="","",'Data Checking'!HO10)</f>
        <v>0</v>
      </c>
      <c r="HD10" t="str">
        <f>IF('Data Checking'!HP10="","",'Data Checking'!HP10)</f>
        <v>0</v>
      </c>
      <c r="HE10" t="str">
        <f>IF('Data Checking'!HQ10="","",'Data Checking'!HQ10)</f>
        <v>0</v>
      </c>
      <c r="HF10" t="str">
        <f>IF('Data Checking'!HR10="","",'Data Checking'!HR10)</f>
        <v>0</v>
      </c>
      <c r="HG10" t="str">
        <f>IF('Data Checking'!HS10="","",'Data Checking'!HS10)</f>
        <v/>
      </c>
      <c r="HH10" t="str">
        <f>IF('Data Checking'!HT10="","",'Data Checking'!HT10)</f>
        <v/>
      </c>
      <c r="HI10" t="str">
        <f>IF('Data Checking'!HU10="","",'Data Checking'!HU10)</f>
        <v>non</v>
      </c>
      <c r="HJ10" t="str">
        <f>IF('Data Checking'!HV10="","",'Data Checking'!HV10)</f>
        <v/>
      </c>
      <c r="HK10" t="str">
        <f>IF('Data Checking'!HW10="","",'Data Checking'!HW10)</f>
        <v/>
      </c>
      <c r="HL10" t="str">
        <f>IF('Data Checking'!HX10="","",'Data Checking'!HX10)</f>
        <v/>
      </c>
      <c r="HM10" t="str">
        <f>IF('Data Checking'!HY10="","",'Data Checking'!HY10)</f>
        <v/>
      </c>
      <c r="HN10" t="str">
        <f>IF('Data Checking'!HZ10="","",'Data Checking'!HZ10)</f>
        <v/>
      </c>
      <c r="HO10" t="str">
        <f>IF('Data Checking'!IA10="","",'Data Checking'!IA10)</f>
        <v/>
      </c>
      <c r="HP10" t="str">
        <f>IF('Data Checking'!IB10="","",'Data Checking'!IB10)</f>
        <v/>
      </c>
      <c r="HQ10" t="str">
        <f>IF('Data Checking'!IC10="","",'Data Checking'!IC10)</f>
        <v/>
      </c>
      <c r="HR10" t="str">
        <f>IF('Data Checking'!ID10="","",'Data Checking'!ID10)</f>
        <v/>
      </c>
      <c r="HS10" t="str">
        <f>IF('Data Checking'!IE10="","",'Data Checking'!IE10)</f>
        <v/>
      </c>
      <c r="HT10" t="str">
        <f>IF('Data Checking'!IF10="","",'Data Checking'!IF10)</f>
        <v/>
      </c>
      <c r="HU10" t="str">
        <f>IF('Data Checking'!IG10="","",'Data Checking'!IG10)</f>
        <v/>
      </c>
      <c r="HV10" t="str">
        <f>IF('Data Checking'!IH10="","",'Data Checking'!IH10)</f>
        <v>oui</v>
      </c>
      <c r="HW10" t="str">
        <f>IF('Data Checking'!II10="","",'Data Checking'!II10)</f>
        <v/>
      </c>
      <c r="HX10" t="str">
        <f>IF('Data Checking'!IJ10="","",'Data Checking'!IJ10)</f>
        <v>Hommes</v>
      </c>
      <c r="HY10" t="str">
        <f>IF('Data Checking'!IK10="","",'Data Checking'!IK10)</f>
        <v>0</v>
      </c>
      <c r="HZ10" t="str">
        <f>IF('Data Checking'!IL10="","",'Data Checking'!IL10)</f>
        <v>0</v>
      </c>
      <c r="IA10" t="str">
        <f>IF('Data Checking'!IM10="","",'Data Checking'!IM10)</f>
        <v>0</v>
      </c>
      <c r="IB10" t="str">
        <f>IF('Data Checking'!IN10="","",'Data Checking'!IN10)</f>
        <v>0</v>
      </c>
      <c r="IC10" t="str">
        <f>IF('Data Checking'!IO10="","",'Data Checking'!IO10)</f>
        <v>0</v>
      </c>
      <c r="ID10" t="str">
        <f>IF('Data Checking'!IP10="","",'Data Checking'!IP10)</f>
        <v>1</v>
      </c>
      <c r="IE10" t="str">
        <f>IF('Data Checking'!IQ10="","",'Data Checking'!IQ10)</f>
        <v>0</v>
      </c>
      <c r="IF10" t="str">
        <f>IF('Data Checking'!IR10="","",'Data Checking'!IR10)</f>
        <v>0</v>
      </c>
      <c r="IG10" t="str">
        <f>IF('Data Checking'!IS10="","",'Data Checking'!IS10)</f>
        <v>0</v>
      </c>
      <c r="IH10" t="str">
        <f>IF('Data Checking'!IT10="","",'Data Checking'!IT10)</f>
        <v>0</v>
      </c>
      <c r="II10" t="str">
        <f>IF('Data Checking'!IU10="","",'Data Checking'!IU10)</f>
        <v>0</v>
      </c>
      <c r="IJ10" t="str">
        <f>IF('Data Checking'!IV10="","",'Data Checking'!IV10)</f>
        <v>0</v>
      </c>
      <c r="IK10" t="str">
        <f>IF('Data Checking'!IW10="","",'Data Checking'!IW10)</f>
        <v>0</v>
      </c>
      <c r="IL10" t="str">
        <f>IF('Data Checking'!IX10="","",'Data Checking'!IX10)</f>
        <v>0</v>
      </c>
      <c r="IM10" t="str">
        <f>IF('Data Checking'!IY10="","",'Data Checking'!IY10)</f>
        <v/>
      </c>
      <c r="IN10" t="str">
        <f>IF('Data Checking'!IZ10="","",'Data Checking'!IZ10)</f>
        <v>11</v>
      </c>
      <c r="IO10" t="str">
        <f>IF('Data Checking'!JA10="","",'Data Checking'!JA10)</f>
        <v>Services_medicaux Services_educatifs</v>
      </c>
      <c r="IP10" t="str">
        <f>IF('Data Checking'!JB10="","",'Data Checking'!JB10)</f>
        <v>0</v>
      </c>
      <c r="IQ10" t="str">
        <f>IF('Data Checking'!JC10="","",'Data Checking'!JC10)</f>
        <v>1</v>
      </c>
      <c r="IR10" t="str">
        <f>IF('Data Checking'!JD10="","",'Data Checking'!JD10)</f>
        <v>1</v>
      </c>
      <c r="IS10" t="str">
        <f>IF('Data Checking'!JE10="","",'Data Checking'!JE10)</f>
        <v>0</v>
      </c>
      <c r="IT10" t="str">
        <f>IF('Data Checking'!JF10="","",'Data Checking'!JF10)</f>
        <v>0</v>
      </c>
      <c r="IU10" t="str">
        <f>IF('Data Checking'!JG10="","",'Data Checking'!JG10)</f>
        <v>0</v>
      </c>
      <c r="IV10" t="str">
        <f>IF('Data Checking'!JH10="","",'Data Checking'!JH10)</f>
        <v>0</v>
      </c>
      <c r="IW10" t="str">
        <f>IF('Data Checking'!JI10="","",'Data Checking'!JI10)</f>
        <v>0</v>
      </c>
      <c r="IX10" t="str">
        <f>IF('Data Checking'!JJ10="","",'Data Checking'!JJ10)</f>
        <v>0</v>
      </c>
      <c r="IY10" t="str">
        <f>IF('Data Checking'!JK10="","",'Data Checking'!JK10)</f>
        <v>0</v>
      </c>
      <c r="IZ10" t="str">
        <f>IF('Data Checking'!JL10="","",'Data Checking'!JL10)</f>
        <v/>
      </c>
      <c r="JA10" t="str">
        <f>IF('Data Checking'!JM10="","",'Data Checking'!JM10)</f>
        <v>reorientation</v>
      </c>
      <c r="JB10" t="str">
        <f>IF('Data Checking'!JN10="","",'Data Checking'!JN10)</f>
        <v>0</v>
      </c>
      <c r="JC10" t="str">
        <f>IF('Data Checking'!JO10="","",'Data Checking'!JO10)</f>
        <v>1</v>
      </c>
      <c r="JD10" t="str">
        <f>IF('Data Checking'!JP10="","",'Data Checking'!JP10)</f>
        <v>0</v>
      </c>
      <c r="JE10" t="str">
        <f>IF('Data Checking'!JQ10="","",'Data Checking'!JQ10)</f>
        <v>0</v>
      </c>
      <c r="JF10" t="str">
        <f>IF('Data Checking'!JR10="","",'Data Checking'!JR10)</f>
        <v>0</v>
      </c>
      <c r="JG10" t="str">
        <f>IF('Data Checking'!JS10="","",'Data Checking'!JS10)</f>
        <v>0</v>
      </c>
      <c r="JH10" t="str">
        <f>IF('Data Checking'!JT10="","",'Data Checking'!JT10)</f>
        <v/>
      </c>
      <c r="JI10" t="str">
        <f>IF('Data Checking'!JU10="","",'Data Checking'!JU10)</f>
        <v/>
      </c>
      <c r="JJ10" t="str">
        <f>IF('Data Checking'!JV10="","",'Data Checking'!JV10)</f>
        <v/>
      </c>
      <c r="JK10" t="str">
        <f>IF('Data Checking'!JW10="","",'Data Checking'!JW10)</f>
        <v/>
      </c>
      <c r="JL10" t="str">
        <f>IF('Data Checking'!JX10="","",'Data Checking'!JX10)</f>
        <v/>
      </c>
      <c r="JM10" t="str">
        <f>IF('Data Checking'!JY10="","",'Data Checking'!JY10)</f>
        <v/>
      </c>
      <c r="JN10" t="str">
        <f>IF('Data Checking'!JZ10="","",'Data Checking'!JZ10)</f>
        <v/>
      </c>
      <c r="JO10" t="str">
        <f>IF('Data Checking'!KA10="","",'Data Checking'!KA10)</f>
        <v/>
      </c>
      <c r="JP10" t="str">
        <f>IF('Data Checking'!KB10="","",'Data Checking'!KB10)</f>
        <v/>
      </c>
      <c r="JQ10" t="str">
        <f>IF('Data Checking'!KC10="","",'Data Checking'!KC10)</f>
        <v/>
      </c>
      <c r="JR10" t="str">
        <f>IF('Data Checking'!KD10="","",'Data Checking'!KD10)</f>
        <v/>
      </c>
      <c r="JS10" t="str">
        <f>IF('Data Checking'!KE10="","",'Data Checking'!KE10)</f>
        <v/>
      </c>
      <c r="JT10" t="str">
        <f>IF('Data Checking'!KF10="","",'Data Checking'!KF10)</f>
        <v>medical juridique</v>
      </c>
      <c r="JU10" t="str">
        <f>IF('Data Checking'!KG10="","",'Data Checking'!KG10)</f>
        <v>1</v>
      </c>
      <c r="JV10" t="str">
        <f>IF('Data Checking'!KH10="","",'Data Checking'!KH10)</f>
        <v>0</v>
      </c>
      <c r="JW10" t="str">
        <f>IF('Data Checking'!KI10="","",'Data Checking'!KI10)</f>
        <v>0</v>
      </c>
      <c r="JX10" t="str">
        <f>IF('Data Checking'!KJ10="","",'Data Checking'!KJ10)</f>
        <v>1</v>
      </c>
      <c r="JY10" t="str">
        <f>IF('Data Checking'!KK10="","",'Data Checking'!KK10)</f>
        <v>0</v>
      </c>
      <c r="JZ10" t="str">
        <f>IF('Data Checking'!KL10="","",'Data Checking'!KL10)</f>
        <v>0</v>
      </c>
      <c r="KA10" t="str">
        <f>IF('Data Checking'!KM10="","",'Data Checking'!KM10)</f>
        <v>0</v>
      </c>
      <c r="KB10" t="str">
        <f>IF('Data Checking'!KN10="","",'Data Checking'!KN10)</f>
        <v>0</v>
      </c>
      <c r="KC10" t="str">
        <f>IF('Data Checking'!KO10="","",'Data Checking'!KO10)</f>
        <v>0</v>
      </c>
      <c r="KD10" t="str">
        <f>IF('Data Checking'!KP10="","",'Data Checking'!KP10)</f>
        <v/>
      </c>
      <c r="KE10" t="str">
        <f>IF('Data Checking'!KQ10="","",'Data Checking'!KQ10)</f>
        <v/>
      </c>
      <c r="KF10" t="str">
        <f>IF('Data Checking'!KR10="","",'Data Checking'!KR10)</f>
        <v>oui</v>
      </c>
      <c r="KG10" t="str">
        <f>IF('Data Checking'!KS10="","",'Data Checking'!KS10)</f>
        <v>manque_moyens manque_personnes manque_d'information probleme_orientation manque_definition</v>
      </c>
      <c r="KH10" t="str">
        <f>IF('Data Checking'!KT10="","",'Data Checking'!KT10)</f>
        <v>1</v>
      </c>
      <c r="KI10" t="str">
        <f>IF('Data Checking'!KU10="","",'Data Checking'!KU10)</f>
        <v>1</v>
      </c>
      <c r="KJ10" t="str">
        <f>IF('Data Checking'!KV10="","",'Data Checking'!KV10)</f>
        <v>1</v>
      </c>
      <c r="KK10" t="str">
        <f>IF('Data Checking'!KW10="","",'Data Checking'!KW10)</f>
        <v>1</v>
      </c>
      <c r="KL10" t="str">
        <f>IF('Data Checking'!KX10="","",'Data Checking'!KX10)</f>
        <v>0</v>
      </c>
      <c r="KM10" t="str">
        <f>IF('Data Checking'!KY10="","",'Data Checking'!KY10)</f>
        <v>0</v>
      </c>
      <c r="KN10" t="str">
        <f>IF('Data Checking'!KZ10="","",'Data Checking'!KZ10)</f>
        <v>0</v>
      </c>
      <c r="KO10" t="str">
        <f>IF('Data Checking'!LA10="","",'Data Checking'!LA10)</f>
        <v>1</v>
      </c>
      <c r="KP10" t="str">
        <f>IF('Data Checking'!LB10="","",'Data Checking'!LB10)</f>
        <v>0</v>
      </c>
      <c r="KQ10" t="str">
        <f>IF('Data Checking'!LC10="","",'Data Checking'!LC10)</f>
        <v>0</v>
      </c>
      <c r="KR10" t="str">
        <f>IF('Data Checking'!LD10="","",'Data Checking'!LD10)</f>
        <v>0</v>
      </c>
      <c r="KS10" t="str">
        <f>IF('Data Checking'!LE10="","",'Data Checking'!LE10)</f>
        <v/>
      </c>
      <c r="KT10" t="str">
        <f>IF('Data Checking'!LF10="","",'Data Checking'!LF10)</f>
        <v>pb_secu pb_coordination</v>
      </c>
      <c r="KU10" t="str">
        <f>IF('Data Checking'!LG10="","",'Data Checking'!LG10)</f>
        <v>0</v>
      </c>
      <c r="KV10" t="str">
        <f>IF('Data Checking'!LH10="","",'Data Checking'!LH10)</f>
        <v>0</v>
      </c>
      <c r="KW10" t="str">
        <f>IF('Data Checking'!LI10="","",'Data Checking'!LI10)</f>
        <v>1</v>
      </c>
      <c r="KX10" t="str">
        <f>IF('Data Checking'!LJ10="","",'Data Checking'!LJ10)</f>
        <v>1</v>
      </c>
      <c r="KY10" t="str">
        <f>IF('Data Checking'!LK10="","",'Data Checking'!LK10)</f>
        <v>0</v>
      </c>
      <c r="KZ10" t="str">
        <f>IF('Data Checking'!LL10="","",'Data Checking'!LL10)</f>
        <v>0</v>
      </c>
      <c r="LA10" t="str">
        <f>IF('Data Checking'!LM10="","",'Data Checking'!LM10)</f>
        <v/>
      </c>
      <c r="LB10" t="str">
        <f>IF('Data Checking'!LN10="","",'Data Checking'!LN10)</f>
        <v>non</v>
      </c>
      <c r="LC10" t="str">
        <f>IF('Data Checking'!LO10="","",'Data Checking'!LO10)</f>
        <v/>
      </c>
      <c r="LD10" t="str">
        <f>IF('Data Checking'!LP10="","",'Data Checking'!LP10)</f>
        <v/>
      </c>
      <c r="LE10" t="str">
        <f>IF('Data Checking'!LQ10="","",'Data Checking'!LQ10)</f>
        <v/>
      </c>
      <c r="LF10" t="str">
        <f>IF('Data Checking'!LR10="","",'Data Checking'!LR10)</f>
        <v/>
      </c>
      <c r="LG10" t="str">
        <f>IF('Data Checking'!LS10="","",'Data Checking'!LS10)</f>
        <v/>
      </c>
      <c r="LH10" t="str">
        <f>IF('Data Checking'!LT10="","",'Data Checking'!LT10)</f>
        <v/>
      </c>
      <c r="LI10" t="str">
        <f>IF('Data Checking'!LU10="","",'Data Checking'!LU10)</f>
        <v/>
      </c>
      <c r="LJ10" t="str">
        <f>IF('Data Checking'!LV10="","",'Data Checking'!LV10)</f>
        <v/>
      </c>
      <c r="LK10" t="str">
        <f>IF('Data Checking'!LW10="","",'Data Checking'!LW10)</f>
        <v/>
      </c>
      <c r="LL10" t="str">
        <f>IF('Data Checking'!LX10="","",'Data Checking'!LX10)</f>
        <v/>
      </c>
      <c r="LM10" t="str">
        <f>IF('Data Checking'!LY10="","",'Data Checking'!LY10)</f>
        <v/>
      </c>
      <c r="LN10" t="str">
        <f>IF('Data Checking'!LZ10="","",'Data Checking'!LZ10)</f>
        <v/>
      </c>
      <c r="LO10" t="str">
        <f>IF('Data Checking'!MA10="","",'Data Checking'!MA10)</f>
        <v/>
      </c>
      <c r="LP10" t="str">
        <f>IF('Data Checking'!MB10="","",'Data Checking'!MB10)</f>
        <v>oui</v>
      </c>
      <c r="LQ10" t="str">
        <f>IF('Data Checking'!MC10="","",'Data Checking'!MC10)</f>
        <v/>
      </c>
      <c r="LR10" t="str">
        <f>IF('Data Checking'!MD10="","",'Data Checking'!MD10)</f>
        <v>Besoin crucial d'un comité effective et des sensibilisation sur le systeme de referencement</v>
      </c>
      <c r="LS10">
        <f>IF('Data Checking'!ME10="","",'Data Checking'!ME10)</f>
        <v>168634044</v>
      </c>
      <c r="LT10" t="str">
        <f>IF('Data Checking'!MF10="","",'Data Checking'!MF10)</f>
        <v>02a9caf3-64b7-41c2-874a-a83d26d75258</v>
      </c>
      <c r="LU10" t="str">
        <f>IF('Data Checking'!MG10="","",'Data Checking'!MG10)</f>
        <v>2021-03-30T16:58:17</v>
      </c>
      <c r="LV10" t="str">
        <f>IF('Data Checking'!MH10="","",'Data Checking'!MH10)</f>
        <v/>
      </c>
      <c r="LW10" t="str">
        <f>IF('Data Checking'!MI10="","",'Data Checking'!MI10)</f>
        <v>[]</v>
      </c>
      <c r="LX10" t="str">
        <f>IF('Data Checking'!MJ10="","",'Data Checking'!MJ10)</f>
        <v>submitted_via_web</v>
      </c>
      <c r="LY10" t="str">
        <f>IF('Data Checking'!MK10="","",'Data Checking'!MK10)</f>
        <v>reach_niger</v>
      </c>
      <c r="LZ10" t="str">
        <f>IF('Data Checking'!ML10="","",'Data Checking'!ML10)</f>
        <v/>
      </c>
      <c r="MA10">
        <f>IF('Data Checking'!MM10="","",'Data Checking'!MM10)</f>
        <v>5</v>
      </c>
    </row>
    <row r="11" spans="1:339" x14ac:dyDescent="0.3">
      <c r="A11" t="str">
        <f>IF('Data Checking'!D11="","",'Data Checking'!D11)</f>
        <v>2021-03-30T14:55:22.911+01:00</v>
      </c>
      <c r="B11" t="str">
        <f>IF('Data Checking'!E11="","",'Data Checking'!E11)</f>
        <v>2021-03-30T15:21:18.690+01:00</v>
      </c>
      <c r="C11" t="str">
        <f>IF('Data Checking'!M11="","",'Data Checking'!M11)</f>
        <v>2021-03-30</v>
      </c>
      <c r="D11" t="str">
        <f>IF('Data Checking'!N11="","",'Data Checking'!N11)</f>
        <v/>
      </c>
      <c r="E11" t="str">
        <f>IF('Data Checking'!O11="","",'Data Checking'!O11)</f>
        <v/>
      </c>
      <c r="F11" t="str">
        <f>IF('Data Checking'!R11="","",'Data Checking'!R11)</f>
        <v>Homme</v>
      </c>
      <c r="G11" t="str">
        <f>IF('Data Checking'!S11="","",'Data Checking'!S11)</f>
        <v>torodi</v>
      </c>
      <c r="H11" t="str">
        <f>IF('Data Checking'!T11="","",'Data Checking'!T11)</f>
        <v>torodi</v>
      </c>
      <c r="I11" t="str">
        <f>IF('Data Checking'!U11="","",'Data Checking'!U11)</f>
        <v>pengouna</v>
      </c>
      <c r="J11" t="str">
        <f>IF('Data Checking'!V11="","",'Data Checking'!V11)</f>
        <v/>
      </c>
      <c r="K11" t="str">
        <f>IF('Data Checking'!W11="","",'Data Checking'!W11)</f>
        <v/>
      </c>
      <c r="L11" t="str">
        <f>IF('Data Checking'!X11="","",'Data Checking'!X11)</f>
        <v/>
      </c>
      <c r="M11" t="str">
        <f>IF('Data Checking'!Y11="","",'Data Checking'!Y11)</f>
        <v/>
      </c>
      <c r="N11" t="str">
        <f>IF('Data Checking'!Z11="","",'Data Checking'!Z11)</f>
        <v/>
      </c>
      <c r="O11" t="str">
        <f>IF('Data Checking'!AA11="","",'Data Checking'!AA11)</f>
        <v/>
      </c>
      <c r="P11" t="str">
        <f>IF('Data Checking'!AB11="","",'Data Checking'!AB11)</f>
        <v/>
      </c>
      <c r="Q11" t="str">
        <f>IF('Data Checking'!AC11="","",'Data Checking'!AC11)</f>
        <v/>
      </c>
      <c r="R11" t="str">
        <f>IF('Data Checking'!AD11="","",'Data Checking'!AD11)</f>
        <v>Homme</v>
      </c>
      <c r="S11" t="str">
        <f>IF('Data Checking'!AE11="","",'Data Checking'!AE11)</f>
        <v>57</v>
      </c>
      <c r="T11" t="str">
        <f>IF('Data Checking'!AF11="","",'Data Checking'!AF11)</f>
        <v>deplace_interne</v>
      </c>
      <c r="U11" t="str">
        <f>IF('Data Checking'!AG11="","",'Data Checking'!AG11)</f>
        <v/>
      </c>
      <c r="V11" t="str">
        <f>IF('Data Checking'!AH11="","",'Data Checking'!AH11)</f>
        <v/>
      </c>
      <c r="W11" t="str">
        <f>IF('Data Checking'!AI11="","",'Data Checking'!AI11)</f>
        <v/>
      </c>
      <c r="X11" t="str">
        <f>IF('Data Checking'!AJ11="","",'Data Checking'!AJ11)</f>
        <v/>
      </c>
      <c r="Y11" t="str">
        <f>IF('Data Checking'!AK11="","",'Data Checking'!AK11)</f>
        <v/>
      </c>
      <c r="Z11" t="str">
        <f>IF('Data Checking'!AL11="","",'Data Checking'!AL11)</f>
        <v>niger</v>
      </c>
      <c r="AA11" t="str">
        <f>IF('Data Checking'!AM11="","",'Data Checking'!AM11)</f>
        <v>tillaberi</v>
      </c>
      <c r="AB11" t="str">
        <f>IF('Data Checking'!AN11="","",'Data Checking'!AN11)</f>
        <v>torodi</v>
      </c>
      <c r="AC11" t="str">
        <f>IF('Data Checking'!AO11="","",'Data Checking'!AO11)</f>
        <v/>
      </c>
      <c r="AD11" t="str">
        <f>IF('Data Checking'!AP11="","",'Data Checking'!AP11)</f>
        <v/>
      </c>
      <c r="AE11" t="str">
        <f>IF('Data Checking'!AQ11="","",'Data Checking'!AQ11)</f>
        <v/>
      </c>
      <c r="AF11" t="str">
        <f>IF('Data Checking'!AR11="","",'Data Checking'!AR11)</f>
        <v/>
      </c>
      <c r="AG11" t="str">
        <f>IF('Data Checking'!AS11="","",'Data Checking'!AS11)</f>
        <v>oui</v>
      </c>
      <c r="AH11" t="str">
        <f>IF('Data Checking'!AT11="","",'Data Checking'!AT11)</f>
        <v>Violences_physique_civils</v>
      </c>
      <c r="AI11" t="str">
        <f>IF('Data Checking'!AU11="","",'Data Checking'!AU11)</f>
        <v>0</v>
      </c>
      <c r="AJ11" t="str">
        <f>IF('Data Checking'!AV11="","",'Data Checking'!AV11)</f>
        <v>0</v>
      </c>
      <c r="AK11" t="str">
        <f>IF('Data Checking'!AW11="","",'Data Checking'!AW11)</f>
        <v>0</v>
      </c>
      <c r="AL11" t="str">
        <f>IF('Data Checking'!AX11="","",'Data Checking'!AX11)</f>
        <v>0</v>
      </c>
      <c r="AM11" t="str">
        <f>IF('Data Checking'!AY11="","",'Data Checking'!AY11)</f>
        <v>1</v>
      </c>
      <c r="AN11" t="str">
        <f>IF('Data Checking'!AZ11="","",'Data Checking'!AZ11)</f>
        <v>0</v>
      </c>
      <c r="AO11" t="str">
        <f>IF('Data Checking'!BA11="","",'Data Checking'!BA11)</f>
        <v>0</v>
      </c>
      <c r="AP11" t="str">
        <f>IF('Data Checking'!BB11="","",'Data Checking'!BB11)</f>
        <v>0</v>
      </c>
      <c r="AQ11" t="str">
        <f>IF('Data Checking'!BC11="","",'Data Checking'!BC11)</f>
        <v>0</v>
      </c>
      <c r="AR11" t="str">
        <f>IF('Data Checking'!BD11="","",'Data Checking'!BD11)</f>
        <v>0</v>
      </c>
      <c r="AS11" t="str">
        <f>IF('Data Checking'!BE11="","",'Data Checking'!BE11)</f>
        <v>0</v>
      </c>
      <c r="AT11" t="str">
        <f>IF('Data Checking'!BF11="","",'Data Checking'!BF11)</f>
        <v>0</v>
      </c>
      <c r="AU11" t="str">
        <f>IF('Data Checking'!BG11="","",'Data Checking'!BG11)</f>
        <v>0</v>
      </c>
      <c r="AV11" t="str">
        <f>IF('Data Checking'!BH11="","",'Data Checking'!BH11)</f>
        <v>0</v>
      </c>
      <c r="AW11" t="str">
        <f>IF('Data Checking'!BI11="","",'Data Checking'!BI11)</f>
        <v/>
      </c>
      <c r="AX11" t="str">
        <f>IF('Data Checking'!BJ11="","",'Data Checking'!BJ11)</f>
        <v>Hommes_ages</v>
      </c>
      <c r="AY11" t="str">
        <f>IF('Data Checking'!BK11="","",'Data Checking'!BK11)</f>
        <v>0</v>
      </c>
      <c r="AZ11" t="str">
        <f>IF('Data Checking'!BL11="","",'Data Checking'!BL11)</f>
        <v>0</v>
      </c>
      <c r="BA11" t="str">
        <f>IF('Data Checking'!BM11="","",'Data Checking'!BM11)</f>
        <v>0</v>
      </c>
      <c r="BB11" t="str">
        <f>IF('Data Checking'!BN11="","",'Data Checking'!BN11)</f>
        <v>0</v>
      </c>
      <c r="BC11" t="str">
        <f>IF('Data Checking'!BO11="","",'Data Checking'!BO11)</f>
        <v>0</v>
      </c>
      <c r="BD11" t="str">
        <f>IF('Data Checking'!BP11="","",'Data Checking'!BP11)</f>
        <v>0</v>
      </c>
      <c r="BE11" t="str">
        <f>IF('Data Checking'!BQ11="","",'Data Checking'!BQ11)</f>
        <v>0</v>
      </c>
      <c r="BF11" t="str">
        <f>IF('Data Checking'!BR11="","",'Data Checking'!BR11)</f>
        <v>1</v>
      </c>
      <c r="BG11" t="str">
        <f>IF('Data Checking'!BS11="","",'Data Checking'!BS11)</f>
        <v>0</v>
      </c>
      <c r="BH11" t="str">
        <f>IF('Data Checking'!BT11="","",'Data Checking'!BT11)</f>
        <v>0</v>
      </c>
      <c r="BI11" t="str">
        <f>IF('Data Checking'!BU11="","",'Data Checking'!BU11)</f>
        <v>0</v>
      </c>
      <c r="BJ11" t="str">
        <f>IF('Data Checking'!BV11="","",'Data Checking'!BV11)</f>
        <v>0</v>
      </c>
      <c r="BK11" t="str">
        <f>IF('Data Checking'!BW11="","",'Data Checking'!BW11)</f>
        <v>0</v>
      </c>
      <c r="BL11" t="str">
        <f>IF('Data Checking'!BX11="","",'Data Checking'!BX11)</f>
        <v>0</v>
      </c>
      <c r="BM11" t="str">
        <f>IF('Data Checking'!BY11="","",'Data Checking'!BY11)</f>
        <v/>
      </c>
      <c r="BN11" t="str">
        <f>IF('Data Checking'!BZ11="","",'Data Checking'!BZ11)</f>
        <v>plusde5</v>
      </c>
      <c r="BO11" t="str">
        <f>IF('Data Checking'!CA11="","",'Data Checking'!CA11)</f>
        <v>diminue</v>
      </c>
      <c r="BP11" t="str">
        <f>IF('Data Checking'!CB11="","",'Data Checking'!CB11)</f>
        <v/>
      </c>
      <c r="BQ11" t="str">
        <f>IF('Data Checking'!CC11="","",'Data Checking'!CC11)</f>
        <v>oui</v>
      </c>
      <c r="BR11" t="str">
        <f>IF('Data Checking'!CD11="","",'Data Checking'!CD11)</f>
        <v>exploitations_enfant</v>
      </c>
      <c r="BS11" t="str">
        <f>IF('Data Checking'!CE11="","",'Data Checking'!CE11)</f>
        <v>0</v>
      </c>
      <c r="BT11" t="str">
        <f>IF('Data Checking'!CF11="","",'Data Checking'!CF11)</f>
        <v>0</v>
      </c>
      <c r="BU11" t="str">
        <f>IF('Data Checking'!CG11="","",'Data Checking'!CG11)</f>
        <v>0</v>
      </c>
      <c r="BV11" t="str">
        <f>IF('Data Checking'!CH11="","",'Data Checking'!CH11)</f>
        <v>0</v>
      </c>
      <c r="BW11" t="str">
        <f>IF('Data Checking'!CI11="","",'Data Checking'!CI11)</f>
        <v>0</v>
      </c>
      <c r="BX11" t="str">
        <f>IF('Data Checking'!CJ11="","",'Data Checking'!CJ11)</f>
        <v>0</v>
      </c>
      <c r="BY11" t="str">
        <f>IF('Data Checking'!CK11="","",'Data Checking'!CK11)</f>
        <v>0</v>
      </c>
      <c r="BZ11" t="str">
        <f>IF('Data Checking'!CL11="","",'Data Checking'!CL11)</f>
        <v>0</v>
      </c>
      <c r="CA11" t="str">
        <f>IF('Data Checking'!CM11="","",'Data Checking'!CM11)</f>
        <v>1</v>
      </c>
      <c r="CB11" t="str">
        <f>IF('Data Checking'!CN11="","",'Data Checking'!CN11)</f>
        <v>0</v>
      </c>
      <c r="CC11" t="str">
        <f>IF('Data Checking'!CO11="","",'Data Checking'!CO11)</f>
        <v>0</v>
      </c>
      <c r="CD11" t="str">
        <f>IF('Data Checking'!CP11="","",'Data Checking'!CP11)</f>
        <v>0</v>
      </c>
      <c r="CE11" t="str">
        <f>IF('Data Checking'!CQ11="","",'Data Checking'!CQ11)</f>
        <v>0</v>
      </c>
      <c r="CF11" t="str">
        <f>IF('Data Checking'!CR11="","",'Data Checking'!CR11)</f>
        <v>0</v>
      </c>
      <c r="CG11" t="str">
        <f>IF('Data Checking'!CS11="","",'Data Checking'!CS11)</f>
        <v>0</v>
      </c>
      <c r="CH11" t="str">
        <f>IF('Data Checking'!CT11="","",'Data Checking'!CT11)</f>
        <v/>
      </c>
      <c r="CI11" t="str">
        <f>IF('Data Checking'!CU11="","",'Data Checking'!CU11)</f>
        <v>Enfants Filles</v>
      </c>
      <c r="CJ11" t="str">
        <f>IF('Data Checking'!CV11="","",'Data Checking'!CV11)</f>
        <v>0</v>
      </c>
      <c r="CK11" t="str">
        <f>IF('Data Checking'!CW11="","",'Data Checking'!CW11)</f>
        <v>1</v>
      </c>
      <c r="CL11" t="str">
        <f>IF('Data Checking'!CX11="","",'Data Checking'!CX11)</f>
        <v>1</v>
      </c>
      <c r="CM11" t="str">
        <f>IF('Data Checking'!CY11="","",'Data Checking'!CY11)</f>
        <v>0</v>
      </c>
      <c r="CN11" t="str">
        <f>IF('Data Checking'!CZ11="","",'Data Checking'!CZ11)</f>
        <v>0</v>
      </c>
      <c r="CO11" t="str">
        <f>IF('Data Checking'!DA11="","",'Data Checking'!DA11)</f>
        <v>0</v>
      </c>
      <c r="CP11" t="str">
        <f>IF('Data Checking'!DB11="","",'Data Checking'!DB11)</f>
        <v>0</v>
      </c>
      <c r="CQ11" t="str">
        <f>IF('Data Checking'!DC11="","",'Data Checking'!DC11)</f>
        <v>0</v>
      </c>
      <c r="CR11" t="str">
        <f>IF('Data Checking'!DD11="","",'Data Checking'!DD11)</f>
        <v>0</v>
      </c>
      <c r="CS11" t="str">
        <f>IF('Data Checking'!DE11="","",'Data Checking'!DE11)</f>
        <v>0</v>
      </c>
      <c r="CT11" t="str">
        <f>IF('Data Checking'!DF11="","",'Data Checking'!DF11)</f>
        <v>0</v>
      </c>
      <c r="CU11" t="str">
        <f>IF('Data Checking'!DG11="","",'Data Checking'!DG11)</f>
        <v>0</v>
      </c>
      <c r="CV11" t="str">
        <f>IF('Data Checking'!DH11="","",'Data Checking'!DH11)</f>
        <v>0</v>
      </c>
      <c r="CW11" t="str">
        <f>IF('Data Checking'!DI11="","",'Data Checking'!DI11)</f>
        <v>0</v>
      </c>
      <c r="CX11" t="str">
        <f>IF('Data Checking'!DJ11="","",'Data Checking'!DJ11)</f>
        <v/>
      </c>
      <c r="CY11" t="str">
        <f>IF('Data Checking'!DK11="","",'Data Checking'!DK11)</f>
        <v>3</v>
      </c>
      <c r="CZ11" t="str">
        <f>IF('Data Checking'!DL11="","",'Data Checking'!DL11)</f>
        <v>diminue</v>
      </c>
      <c r="DA11" t="str">
        <f>IF('Data Checking'!DM11="","",'Data Checking'!DM11)</f>
        <v/>
      </c>
      <c r="DB11" t="str">
        <f>IF('Data Checking'!DN11="","",'Data Checking'!DN11)</f>
        <v/>
      </c>
      <c r="DC11" t="str">
        <f>IF('Data Checking'!DO11="","",'Data Checking'!DO11)</f>
        <v/>
      </c>
      <c r="DD11" t="str">
        <f>IF('Data Checking'!DP11="","",'Data Checking'!DP11)</f>
        <v/>
      </c>
      <c r="DE11" t="str">
        <f>IF('Data Checking'!DQ11="","",'Data Checking'!DQ11)</f>
        <v/>
      </c>
      <c r="DF11" t="str">
        <f>IF('Data Checking'!DR11="","",'Data Checking'!DR11)</f>
        <v/>
      </c>
      <c r="DG11" t="str">
        <f>IF('Data Checking'!DS11="","",'Data Checking'!DS11)</f>
        <v/>
      </c>
      <c r="DH11" t="str">
        <f>IF('Data Checking'!DT11="","",'Data Checking'!DT11)</f>
        <v/>
      </c>
      <c r="DI11" t="str">
        <f>IF('Data Checking'!DU11="","",'Data Checking'!DU11)</f>
        <v/>
      </c>
      <c r="DJ11" t="str">
        <f>IF('Data Checking'!DV11="","",'Data Checking'!DV11)</f>
        <v/>
      </c>
      <c r="DK11" t="str">
        <f>IF('Data Checking'!DW11="","",'Data Checking'!DW11)</f>
        <v/>
      </c>
      <c r="DL11" t="str">
        <f>IF('Data Checking'!DX11="","",'Data Checking'!DX11)</f>
        <v/>
      </c>
      <c r="DM11" t="str">
        <f>IF('Data Checking'!DY11="","",'Data Checking'!DY11)</f>
        <v/>
      </c>
      <c r="DN11" t="str">
        <f>IF('Data Checking'!DZ11="","",'Data Checking'!DZ11)</f>
        <v>stabilisation_aug_moyen_existence amelioration_acces_service_base</v>
      </c>
      <c r="DO11" t="str">
        <f>IF('Data Checking'!EA11="","",'Data Checking'!EA11)</f>
        <v>1</v>
      </c>
      <c r="DP11" t="str">
        <f>IF('Data Checking'!EB11="","",'Data Checking'!EB11)</f>
        <v>0</v>
      </c>
      <c r="DQ11" t="str">
        <f>IF('Data Checking'!EC11="","",'Data Checking'!EC11)</f>
        <v>1</v>
      </c>
      <c r="DR11" t="str">
        <f>IF('Data Checking'!ED11="","",'Data Checking'!ED11)</f>
        <v>0</v>
      </c>
      <c r="DS11" t="str">
        <f>IF('Data Checking'!EE11="","",'Data Checking'!EE11)</f>
        <v>0</v>
      </c>
      <c r="DT11" t="str">
        <f>IF('Data Checking'!EF11="","",'Data Checking'!EF11)</f>
        <v>0</v>
      </c>
      <c r="DU11" t="str">
        <f>IF('Data Checking'!EG11="","",'Data Checking'!EG11)</f>
        <v>0</v>
      </c>
      <c r="DV11" t="str">
        <f>IF('Data Checking'!EH11="","",'Data Checking'!EH11)</f>
        <v>0</v>
      </c>
      <c r="DW11" t="str">
        <f>IF('Data Checking'!EI11="","",'Data Checking'!EI11)</f>
        <v>0</v>
      </c>
      <c r="DX11" t="str">
        <f>IF('Data Checking'!EJ11="","",'Data Checking'!EJ11)</f>
        <v/>
      </c>
      <c r="DY11" t="str">
        <f>IF('Data Checking'!EK11="","",'Data Checking'!EK11)</f>
        <v/>
      </c>
      <c r="DZ11" t="str">
        <f>IF('Data Checking'!EL11="","",'Data Checking'!EL11)</f>
        <v>Integration_com_hote Soutien_psychosocial Soutien_en_AGR</v>
      </c>
      <c r="EA11" t="str">
        <f>IF('Data Checking'!EM11="","",'Data Checking'!EM11)</f>
        <v>0</v>
      </c>
      <c r="EB11" t="str">
        <f>IF('Data Checking'!EN11="","",'Data Checking'!EN11)</f>
        <v>1</v>
      </c>
      <c r="EC11" t="str">
        <f>IF('Data Checking'!EO11="","",'Data Checking'!EO11)</f>
        <v>0</v>
      </c>
      <c r="ED11" t="str">
        <f>IF('Data Checking'!EP11="","",'Data Checking'!EP11)</f>
        <v>0</v>
      </c>
      <c r="EE11" t="str">
        <f>IF('Data Checking'!EQ11="","",'Data Checking'!EQ11)</f>
        <v>1</v>
      </c>
      <c r="EF11" t="str">
        <f>IF('Data Checking'!ER11="","",'Data Checking'!ER11)</f>
        <v>1</v>
      </c>
      <c r="EG11" t="str">
        <f>IF('Data Checking'!ES11="","",'Data Checking'!ES11)</f>
        <v>0</v>
      </c>
      <c r="EH11" t="str">
        <f>IF('Data Checking'!ET11="","",'Data Checking'!ET11)</f>
        <v>0</v>
      </c>
      <c r="EI11" t="str">
        <f>IF('Data Checking'!EU11="","",'Data Checking'!EU11)</f>
        <v>0</v>
      </c>
      <c r="EJ11" t="str">
        <f>IF('Data Checking'!EV11="","",'Data Checking'!EV11)</f>
        <v/>
      </c>
      <c r="EK11" t="str">
        <f>IF('Data Checking'!EW11="","",'Data Checking'!EW11)</f>
        <v/>
      </c>
      <c r="EL11" t="str">
        <f>IF('Data Checking'!EX11="","",'Data Checking'!EX11)</f>
        <v>comite_protection famille_accueil comite_redevabilite comite_gestion_conflits enfant_pairs</v>
      </c>
      <c r="EM11" t="str">
        <f>IF('Data Checking'!EY11="","",'Data Checking'!EY11)</f>
        <v>0</v>
      </c>
      <c r="EN11" t="str">
        <f>IF('Data Checking'!EZ11="","",'Data Checking'!EZ11)</f>
        <v>1</v>
      </c>
      <c r="EO11" t="str">
        <f>IF('Data Checking'!FA11="","",'Data Checking'!FA11)</f>
        <v>1</v>
      </c>
      <c r="EP11" t="str">
        <f>IF('Data Checking'!FB11="","",'Data Checking'!FB11)</f>
        <v>0</v>
      </c>
      <c r="EQ11" t="str">
        <f>IF('Data Checking'!FC11="","",'Data Checking'!FC11)</f>
        <v>1</v>
      </c>
      <c r="ER11" t="str">
        <f>IF('Data Checking'!FD11="","",'Data Checking'!FD11)</f>
        <v>1</v>
      </c>
      <c r="ES11" t="str">
        <f>IF('Data Checking'!FE11="","",'Data Checking'!FE11)</f>
        <v>1</v>
      </c>
      <c r="ET11" t="str">
        <f>IF('Data Checking'!FF11="","",'Data Checking'!FF11)</f>
        <v>0</v>
      </c>
      <c r="EU11" t="str">
        <f>IF('Data Checking'!FG11="","",'Data Checking'!FG11)</f>
        <v>0</v>
      </c>
      <c r="EV11" t="str">
        <f>IF('Data Checking'!FH11="","",'Data Checking'!FH11)</f>
        <v>0</v>
      </c>
      <c r="EW11" t="str">
        <f>IF('Data Checking'!FI11="","",'Data Checking'!FI11)</f>
        <v/>
      </c>
      <c r="EX11" t="str">
        <f>IF('Data Checking'!FJ11="","",'Data Checking'!FJ11)</f>
        <v>oui</v>
      </c>
      <c r="EY11" t="str">
        <f>IF('Data Checking'!FK11="","",'Data Checking'!FK11)</f>
        <v>Travailleurs_sociaux/hum Groupement_femmes famille_amis</v>
      </c>
      <c r="EZ11" t="str">
        <f>IF('Data Checking'!FL11="","",'Data Checking'!FL11)</f>
        <v>0</v>
      </c>
      <c r="FA11" t="str">
        <f>IF('Data Checking'!FM11="","",'Data Checking'!FM11)</f>
        <v>0</v>
      </c>
      <c r="FB11" t="str">
        <f>IF('Data Checking'!FN11="","",'Data Checking'!FN11)</f>
        <v>0</v>
      </c>
      <c r="FC11" t="str">
        <f>IF('Data Checking'!FO11="","",'Data Checking'!FO11)</f>
        <v>0</v>
      </c>
      <c r="FD11" t="str">
        <f>IF('Data Checking'!FP11="","",'Data Checking'!FP11)</f>
        <v>0</v>
      </c>
      <c r="FE11" t="str">
        <f>IF('Data Checking'!FQ11="","",'Data Checking'!FQ11)</f>
        <v>1</v>
      </c>
      <c r="FF11" t="str">
        <f>IF('Data Checking'!FR11="","",'Data Checking'!FR11)</f>
        <v>0</v>
      </c>
      <c r="FG11" t="str">
        <f>IF('Data Checking'!FS11="","",'Data Checking'!FS11)</f>
        <v>1</v>
      </c>
      <c r="FH11" t="str">
        <f>IF('Data Checking'!FT11="","",'Data Checking'!FT11)</f>
        <v>0</v>
      </c>
      <c r="FI11" t="str">
        <f>IF('Data Checking'!FU11="","",'Data Checking'!FU11)</f>
        <v>0</v>
      </c>
      <c r="FJ11" t="str">
        <f>IF('Data Checking'!FV11="","",'Data Checking'!FV11)</f>
        <v>1</v>
      </c>
      <c r="FK11" t="str">
        <f>IF('Data Checking'!FW11="","",'Data Checking'!FW11)</f>
        <v>0</v>
      </c>
      <c r="FL11" t="str">
        <f>IF('Data Checking'!FX11="","",'Data Checking'!FX11)</f>
        <v>0</v>
      </c>
      <c r="FM11" t="str">
        <f>IF('Data Checking'!FY11="","",'Data Checking'!FY11)</f>
        <v>0</v>
      </c>
      <c r="FN11" t="str">
        <f>IF('Data Checking'!FZ11="","",'Data Checking'!FZ11)</f>
        <v/>
      </c>
      <c r="FO11" t="str">
        <f>IF('Data Checking'!GA11="","",'Data Checking'!GA11)</f>
        <v>oui_majorite</v>
      </c>
      <c r="FP11" t="str">
        <f>IF('Data Checking'!GB11="","",'Data Checking'!GB11)</f>
        <v>oui_majorite</v>
      </c>
      <c r="FQ11" t="str">
        <f>IF('Data Checking'!GC11="","",'Data Checking'!GC11)</f>
        <v>manque_info</v>
      </c>
      <c r="FR11" t="str">
        <f>IF('Data Checking'!GD11="","",'Data Checking'!GD11)</f>
        <v>0</v>
      </c>
      <c r="FS11" t="str">
        <f>IF('Data Checking'!GE11="","",'Data Checking'!GE11)</f>
        <v>1</v>
      </c>
      <c r="FT11" t="str">
        <f>IF('Data Checking'!GF11="","",'Data Checking'!GF11)</f>
        <v>0</v>
      </c>
      <c r="FU11" t="str">
        <f>IF('Data Checking'!GG11="","",'Data Checking'!GG11)</f>
        <v>0</v>
      </c>
      <c r="FV11" t="str">
        <f>IF('Data Checking'!GH11="","",'Data Checking'!GH11)</f>
        <v>0</v>
      </c>
      <c r="FW11" t="str">
        <f>IF('Data Checking'!GI11="","",'Data Checking'!GI11)</f>
        <v>0</v>
      </c>
      <c r="FX11" t="str">
        <f>IF('Data Checking'!GJ11="","",'Data Checking'!GJ11)</f>
        <v>0</v>
      </c>
      <c r="FY11" t="str">
        <f>IF('Data Checking'!GK11="","",'Data Checking'!GK11)</f>
        <v>0</v>
      </c>
      <c r="FZ11" t="str">
        <f>IF('Data Checking'!GL11="","",'Data Checking'!GL11)</f>
        <v/>
      </c>
      <c r="GA11" t="str">
        <f>IF('Data Checking'!GM11="","",'Data Checking'!GM11)</f>
        <v>majorite</v>
      </c>
      <c r="GB11" t="str">
        <f>IF('Data Checking'!GN11="","",'Data Checking'!GN11)</f>
        <v>majorite</v>
      </c>
      <c r="GC11" t="str">
        <f>IF('Data Checking'!GO11="","",'Data Checking'!GO11)</f>
        <v>Education Services_de_sante Suivi_judiciaire</v>
      </c>
      <c r="GD11" t="str">
        <f>IF('Data Checking'!GP11="","",'Data Checking'!GP11)</f>
        <v>0</v>
      </c>
      <c r="GE11" t="str">
        <f>IF('Data Checking'!GQ11="","",'Data Checking'!GQ11)</f>
        <v>1</v>
      </c>
      <c r="GF11" t="str">
        <f>IF('Data Checking'!GR11="","",'Data Checking'!GR11)</f>
        <v>0</v>
      </c>
      <c r="GG11" t="str">
        <f>IF('Data Checking'!GS11="","",'Data Checking'!GS11)</f>
        <v>1</v>
      </c>
      <c r="GH11" t="str">
        <f>IF('Data Checking'!GT11="","",'Data Checking'!GT11)</f>
        <v>0</v>
      </c>
      <c r="GI11" t="str">
        <f>IF('Data Checking'!GU11="","",'Data Checking'!GU11)</f>
        <v>1</v>
      </c>
      <c r="GJ11" t="str">
        <f>IF('Data Checking'!GV11="","",'Data Checking'!GV11)</f>
        <v>0</v>
      </c>
      <c r="GK11" t="str">
        <f>IF('Data Checking'!GW11="","",'Data Checking'!GW11)</f>
        <v>0</v>
      </c>
      <c r="GL11" t="str">
        <f>IF('Data Checking'!GX11="","",'Data Checking'!GX11)</f>
        <v>0</v>
      </c>
      <c r="GM11" t="str">
        <f>IF('Data Checking'!GY11="","",'Data Checking'!GY11)</f>
        <v/>
      </c>
      <c r="GN11" t="str">
        <f>IF('Data Checking'!GZ11="","",'Data Checking'!GZ11)</f>
        <v>oui_majorite</v>
      </c>
      <c r="GO11" t="str">
        <f>IF('Data Checking'!HA11="","",'Data Checking'!HA11)</f>
        <v>oui_majorite</v>
      </c>
      <c r="GP11" t="str">
        <f>IF('Data Checking'!HB11="","",'Data Checking'!HB11)</f>
        <v>repond_besoins_pop permet_eviter_conflits amelioration_futur</v>
      </c>
      <c r="GQ11" t="str">
        <f>IF('Data Checking'!HC11="","",'Data Checking'!HC11)</f>
        <v>1</v>
      </c>
      <c r="GR11" t="str">
        <f>IF('Data Checking'!HD11="","",'Data Checking'!HD11)</f>
        <v>1</v>
      </c>
      <c r="GS11" t="str">
        <f>IF('Data Checking'!HE11="","",'Data Checking'!HE11)</f>
        <v>0</v>
      </c>
      <c r="GT11" t="str">
        <f>IF('Data Checking'!HF11="","",'Data Checking'!HF11)</f>
        <v>1</v>
      </c>
      <c r="GU11" t="str">
        <f>IF('Data Checking'!HG11="","",'Data Checking'!HG11)</f>
        <v>0</v>
      </c>
      <c r="GV11" t="str">
        <f>IF('Data Checking'!HH11="","",'Data Checking'!HH11)</f>
        <v>0</v>
      </c>
      <c r="GW11" t="str">
        <f>IF('Data Checking'!HI11="","",'Data Checking'!HI11)</f>
        <v>0</v>
      </c>
      <c r="GX11" t="str">
        <f>IF('Data Checking'!HJ11="","",'Data Checking'!HJ11)</f>
        <v>0</v>
      </c>
      <c r="GY11" t="str">
        <f>IF('Data Checking'!HK11="","",'Data Checking'!HK11)</f>
        <v/>
      </c>
      <c r="GZ11" t="str">
        <f>IF('Data Checking'!HL11="","",'Data Checking'!HL11)</f>
        <v>non_obtention_info ne_contribue_pas</v>
      </c>
      <c r="HA11" t="str">
        <f>IF('Data Checking'!HM11="","",'Data Checking'!HM11)</f>
        <v>1</v>
      </c>
      <c r="HB11" t="str">
        <f>IF('Data Checking'!HN11="","",'Data Checking'!HN11)</f>
        <v>0</v>
      </c>
      <c r="HC11" t="str">
        <f>IF('Data Checking'!HO11="","",'Data Checking'!HO11)</f>
        <v>1</v>
      </c>
      <c r="HD11" t="str">
        <f>IF('Data Checking'!HP11="","",'Data Checking'!HP11)</f>
        <v>0</v>
      </c>
      <c r="HE11" t="str">
        <f>IF('Data Checking'!HQ11="","",'Data Checking'!HQ11)</f>
        <v>0</v>
      </c>
      <c r="HF11" t="str">
        <f>IF('Data Checking'!HR11="","",'Data Checking'!HR11)</f>
        <v>0</v>
      </c>
      <c r="HG11" t="str">
        <f>IF('Data Checking'!HS11="","",'Data Checking'!HS11)</f>
        <v/>
      </c>
      <c r="HH11" t="str">
        <f>IF('Data Checking'!HT11="","",'Data Checking'!HT11)</f>
        <v/>
      </c>
      <c r="HI11" t="str">
        <f>IF('Data Checking'!HU11="","",'Data Checking'!HU11)</f>
        <v>oui_majorite</v>
      </c>
      <c r="HJ11" t="str">
        <f>IF('Data Checking'!HV11="","",'Data Checking'!HV11)</f>
        <v>fds_arme famille_amis</v>
      </c>
      <c r="HK11" t="str">
        <f>IF('Data Checking'!HW11="","",'Data Checking'!HW11)</f>
        <v>0</v>
      </c>
      <c r="HL11" t="str">
        <f>IF('Data Checking'!HX11="","",'Data Checking'!HX11)</f>
        <v>1</v>
      </c>
      <c r="HM11" t="str">
        <f>IF('Data Checking'!HY11="","",'Data Checking'!HY11)</f>
        <v>0</v>
      </c>
      <c r="HN11" t="str">
        <f>IF('Data Checking'!HZ11="","",'Data Checking'!HZ11)</f>
        <v>0</v>
      </c>
      <c r="HO11" t="str">
        <f>IF('Data Checking'!IA11="","",'Data Checking'!IA11)</f>
        <v>0</v>
      </c>
      <c r="HP11" t="str">
        <f>IF('Data Checking'!IB11="","",'Data Checking'!IB11)</f>
        <v>0</v>
      </c>
      <c r="HQ11" t="str">
        <f>IF('Data Checking'!IC11="","",'Data Checking'!IC11)</f>
        <v>1</v>
      </c>
      <c r="HR11" t="str">
        <f>IF('Data Checking'!ID11="","",'Data Checking'!ID11)</f>
        <v>0</v>
      </c>
      <c r="HS11" t="str">
        <f>IF('Data Checking'!IE11="","",'Data Checking'!IE11)</f>
        <v>0</v>
      </c>
      <c r="HT11" t="str">
        <f>IF('Data Checking'!IF11="","",'Data Checking'!IF11)</f>
        <v>0</v>
      </c>
      <c r="HU11" t="str">
        <f>IF('Data Checking'!IG11="","",'Data Checking'!IG11)</f>
        <v/>
      </c>
      <c r="HV11" t="str">
        <f>IF('Data Checking'!IH11="","",'Data Checking'!IH11)</f>
        <v>oui</v>
      </c>
      <c r="HW11" t="str">
        <f>IF('Data Checking'!II11="","",'Data Checking'!II11)</f>
        <v/>
      </c>
      <c r="HX11" t="str">
        <f>IF('Data Checking'!IJ11="","",'Data Checking'!IJ11)</f>
        <v>Filles Garçons Femmes Hommes</v>
      </c>
      <c r="HY11" t="str">
        <f>IF('Data Checking'!IK11="","",'Data Checking'!IK11)</f>
        <v>0</v>
      </c>
      <c r="HZ11" t="str">
        <f>IF('Data Checking'!IL11="","",'Data Checking'!IL11)</f>
        <v>0</v>
      </c>
      <c r="IA11" t="str">
        <f>IF('Data Checking'!IM11="","",'Data Checking'!IM11)</f>
        <v>1</v>
      </c>
      <c r="IB11" t="str">
        <f>IF('Data Checking'!IN11="","",'Data Checking'!IN11)</f>
        <v>1</v>
      </c>
      <c r="IC11" t="str">
        <f>IF('Data Checking'!IO11="","",'Data Checking'!IO11)</f>
        <v>1</v>
      </c>
      <c r="ID11" t="str">
        <f>IF('Data Checking'!IP11="","",'Data Checking'!IP11)</f>
        <v>1</v>
      </c>
      <c r="IE11" t="str">
        <f>IF('Data Checking'!IQ11="","",'Data Checking'!IQ11)</f>
        <v>0</v>
      </c>
      <c r="IF11" t="str">
        <f>IF('Data Checking'!IR11="","",'Data Checking'!IR11)</f>
        <v>0</v>
      </c>
      <c r="IG11" t="str">
        <f>IF('Data Checking'!IS11="","",'Data Checking'!IS11)</f>
        <v>0</v>
      </c>
      <c r="IH11" t="str">
        <f>IF('Data Checking'!IT11="","",'Data Checking'!IT11)</f>
        <v>0</v>
      </c>
      <c r="II11" t="str">
        <f>IF('Data Checking'!IU11="","",'Data Checking'!IU11)</f>
        <v>0</v>
      </c>
      <c r="IJ11" t="str">
        <f>IF('Data Checking'!IV11="","",'Data Checking'!IV11)</f>
        <v>0</v>
      </c>
      <c r="IK11" t="str">
        <f>IF('Data Checking'!IW11="","",'Data Checking'!IW11)</f>
        <v>0</v>
      </c>
      <c r="IL11" t="str">
        <f>IF('Data Checking'!IX11="","",'Data Checking'!IX11)</f>
        <v>0</v>
      </c>
      <c r="IM11" t="str">
        <f>IF('Data Checking'!IY11="","",'Data Checking'!IY11)</f>
        <v/>
      </c>
      <c r="IN11" t="str">
        <f>IF('Data Checking'!IZ11="","",'Data Checking'!IZ11)</f>
        <v>83</v>
      </c>
      <c r="IO11" t="str">
        <f>IF('Data Checking'!JA11="","",'Data Checking'!JA11)</f>
        <v>Services_medicaux Services_educatifs acces_docs service_judiciaire programme_agr</v>
      </c>
      <c r="IP11" t="str">
        <f>IF('Data Checking'!JB11="","",'Data Checking'!JB11)</f>
        <v>0</v>
      </c>
      <c r="IQ11" t="str">
        <f>IF('Data Checking'!JC11="","",'Data Checking'!JC11)</f>
        <v>1</v>
      </c>
      <c r="IR11" t="str">
        <f>IF('Data Checking'!JD11="","",'Data Checking'!JD11)</f>
        <v>1</v>
      </c>
      <c r="IS11" t="str">
        <f>IF('Data Checking'!JE11="","",'Data Checking'!JE11)</f>
        <v>0</v>
      </c>
      <c r="IT11" t="str">
        <f>IF('Data Checking'!JF11="","",'Data Checking'!JF11)</f>
        <v>1</v>
      </c>
      <c r="IU11" t="str">
        <f>IF('Data Checking'!JG11="","",'Data Checking'!JG11)</f>
        <v>1</v>
      </c>
      <c r="IV11" t="str">
        <f>IF('Data Checking'!JH11="","",'Data Checking'!JH11)</f>
        <v>1</v>
      </c>
      <c r="IW11" t="str">
        <f>IF('Data Checking'!JI11="","",'Data Checking'!JI11)</f>
        <v>0</v>
      </c>
      <c r="IX11" t="str">
        <f>IF('Data Checking'!JJ11="","",'Data Checking'!JJ11)</f>
        <v>0</v>
      </c>
      <c r="IY11" t="str">
        <f>IF('Data Checking'!JK11="","",'Data Checking'!JK11)</f>
        <v>0</v>
      </c>
      <c r="IZ11" t="str">
        <f>IF('Data Checking'!JL11="","",'Data Checking'!JL11)</f>
        <v/>
      </c>
      <c r="JA11" t="str">
        <f>IF('Data Checking'!JM11="","",'Data Checking'!JM11)</f>
        <v>reorientation</v>
      </c>
      <c r="JB11" t="str">
        <f>IF('Data Checking'!JN11="","",'Data Checking'!JN11)</f>
        <v>0</v>
      </c>
      <c r="JC11" t="str">
        <f>IF('Data Checking'!JO11="","",'Data Checking'!JO11)</f>
        <v>1</v>
      </c>
      <c r="JD11" t="str">
        <f>IF('Data Checking'!JP11="","",'Data Checking'!JP11)</f>
        <v>0</v>
      </c>
      <c r="JE11" t="str">
        <f>IF('Data Checking'!JQ11="","",'Data Checking'!JQ11)</f>
        <v>0</v>
      </c>
      <c r="JF11" t="str">
        <f>IF('Data Checking'!JR11="","",'Data Checking'!JR11)</f>
        <v>0</v>
      </c>
      <c r="JG11" t="str">
        <f>IF('Data Checking'!JS11="","",'Data Checking'!JS11)</f>
        <v>0</v>
      </c>
      <c r="JH11" t="str">
        <f>IF('Data Checking'!JT11="","",'Data Checking'!JT11)</f>
        <v/>
      </c>
      <c r="JI11" t="str">
        <f>IF('Data Checking'!JU11="","",'Data Checking'!JU11)</f>
        <v/>
      </c>
      <c r="JJ11" t="str">
        <f>IF('Data Checking'!JV11="","",'Data Checking'!JV11)</f>
        <v/>
      </c>
      <c r="JK11" t="str">
        <f>IF('Data Checking'!JW11="","",'Data Checking'!JW11)</f>
        <v/>
      </c>
      <c r="JL11" t="str">
        <f>IF('Data Checking'!JX11="","",'Data Checking'!JX11)</f>
        <v/>
      </c>
      <c r="JM11" t="str">
        <f>IF('Data Checking'!JY11="","",'Data Checking'!JY11)</f>
        <v/>
      </c>
      <c r="JN11" t="str">
        <f>IF('Data Checking'!JZ11="","",'Data Checking'!JZ11)</f>
        <v/>
      </c>
      <c r="JO11" t="str">
        <f>IF('Data Checking'!KA11="","",'Data Checking'!KA11)</f>
        <v/>
      </c>
      <c r="JP11" t="str">
        <f>IF('Data Checking'!KB11="","",'Data Checking'!KB11)</f>
        <v/>
      </c>
      <c r="JQ11" t="str">
        <f>IF('Data Checking'!KC11="","",'Data Checking'!KC11)</f>
        <v/>
      </c>
      <c r="JR11" t="str">
        <f>IF('Data Checking'!KD11="","",'Data Checking'!KD11)</f>
        <v/>
      </c>
      <c r="JS11" t="str">
        <f>IF('Data Checking'!KE11="","",'Data Checking'!KE11)</f>
        <v/>
      </c>
      <c r="JT11" t="str">
        <f>IF('Data Checking'!KF11="","",'Data Checking'!KF11)</f>
        <v>medical juridique</v>
      </c>
      <c r="JU11" t="str">
        <f>IF('Data Checking'!KG11="","",'Data Checking'!KG11)</f>
        <v>1</v>
      </c>
      <c r="JV11" t="str">
        <f>IF('Data Checking'!KH11="","",'Data Checking'!KH11)</f>
        <v>0</v>
      </c>
      <c r="JW11" t="str">
        <f>IF('Data Checking'!KI11="","",'Data Checking'!KI11)</f>
        <v>0</v>
      </c>
      <c r="JX11" t="str">
        <f>IF('Data Checking'!KJ11="","",'Data Checking'!KJ11)</f>
        <v>1</v>
      </c>
      <c r="JY11" t="str">
        <f>IF('Data Checking'!KK11="","",'Data Checking'!KK11)</f>
        <v>0</v>
      </c>
      <c r="JZ11" t="str">
        <f>IF('Data Checking'!KL11="","",'Data Checking'!KL11)</f>
        <v>0</v>
      </c>
      <c r="KA11" t="str">
        <f>IF('Data Checking'!KM11="","",'Data Checking'!KM11)</f>
        <v>0</v>
      </c>
      <c r="KB11" t="str">
        <f>IF('Data Checking'!KN11="","",'Data Checking'!KN11)</f>
        <v>0</v>
      </c>
      <c r="KC11" t="str">
        <f>IF('Data Checking'!KO11="","",'Data Checking'!KO11)</f>
        <v>0</v>
      </c>
      <c r="KD11" t="str">
        <f>IF('Data Checking'!KP11="","",'Data Checking'!KP11)</f>
        <v/>
      </c>
      <c r="KE11" t="str">
        <f>IF('Data Checking'!KQ11="","",'Data Checking'!KQ11)</f>
        <v/>
      </c>
      <c r="KF11" t="str">
        <f>IF('Data Checking'!KR11="","",'Data Checking'!KR11)</f>
        <v>oui</v>
      </c>
      <c r="KG11" t="str">
        <f>IF('Data Checking'!KS11="","",'Data Checking'!KS11)</f>
        <v>manque_moyens manque_personnes probleme_orientation manque_cordination</v>
      </c>
      <c r="KH11" t="str">
        <f>IF('Data Checking'!KT11="","",'Data Checking'!KT11)</f>
        <v>1</v>
      </c>
      <c r="KI11" t="str">
        <f>IF('Data Checking'!KU11="","",'Data Checking'!KU11)</f>
        <v>1</v>
      </c>
      <c r="KJ11" t="str">
        <f>IF('Data Checking'!KV11="","",'Data Checking'!KV11)</f>
        <v>0</v>
      </c>
      <c r="KK11" t="str">
        <f>IF('Data Checking'!KW11="","",'Data Checking'!KW11)</f>
        <v>1</v>
      </c>
      <c r="KL11" t="str">
        <f>IF('Data Checking'!KX11="","",'Data Checking'!KX11)</f>
        <v>0</v>
      </c>
      <c r="KM11" t="str">
        <f>IF('Data Checking'!KY11="","",'Data Checking'!KY11)</f>
        <v>0</v>
      </c>
      <c r="KN11" t="str">
        <f>IF('Data Checking'!KZ11="","",'Data Checking'!KZ11)</f>
        <v>1</v>
      </c>
      <c r="KO11" t="str">
        <f>IF('Data Checking'!LA11="","",'Data Checking'!LA11)</f>
        <v>0</v>
      </c>
      <c r="KP11" t="str">
        <f>IF('Data Checking'!LB11="","",'Data Checking'!LB11)</f>
        <v>0</v>
      </c>
      <c r="KQ11" t="str">
        <f>IF('Data Checking'!LC11="","",'Data Checking'!LC11)</f>
        <v>0</v>
      </c>
      <c r="KR11" t="str">
        <f>IF('Data Checking'!LD11="","",'Data Checking'!LD11)</f>
        <v>0</v>
      </c>
      <c r="KS11" t="str">
        <f>IF('Data Checking'!LE11="","",'Data Checking'!LE11)</f>
        <v/>
      </c>
      <c r="KT11" t="str">
        <f>IF('Data Checking'!LF11="","",'Data Checking'!LF11)</f>
        <v>pb_coordination</v>
      </c>
      <c r="KU11" t="str">
        <f>IF('Data Checking'!LG11="","",'Data Checking'!LG11)</f>
        <v>0</v>
      </c>
      <c r="KV11" t="str">
        <f>IF('Data Checking'!LH11="","",'Data Checking'!LH11)</f>
        <v>0</v>
      </c>
      <c r="KW11" t="str">
        <f>IF('Data Checking'!LI11="","",'Data Checking'!LI11)</f>
        <v>0</v>
      </c>
      <c r="KX11" t="str">
        <f>IF('Data Checking'!LJ11="","",'Data Checking'!LJ11)</f>
        <v>1</v>
      </c>
      <c r="KY11" t="str">
        <f>IF('Data Checking'!LK11="","",'Data Checking'!LK11)</f>
        <v>0</v>
      </c>
      <c r="KZ11" t="str">
        <f>IF('Data Checking'!LL11="","",'Data Checking'!LL11)</f>
        <v>0</v>
      </c>
      <c r="LA11" t="str">
        <f>IF('Data Checking'!LM11="","",'Data Checking'!LM11)</f>
        <v/>
      </c>
      <c r="LB11" t="str">
        <f>IF('Data Checking'!LN11="","",'Data Checking'!LN11)</f>
        <v>non</v>
      </c>
      <c r="LC11" t="str">
        <f>IF('Data Checking'!LO11="","",'Data Checking'!LO11)</f>
        <v/>
      </c>
      <c r="LD11" t="str">
        <f>IF('Data Checking'!LP11="","",'Data Checking'!LP11)</f>
        <v/>
      </c>
      <c r="LE11" t="str">
        <f>IF('Data Checking'!LQ11="","",'Data Checking'!LQ11)</f>
        <v/>
      </c>
      <c r="LF11" t="str">
        <f>IF('Data Checking'!LR11="","",'Data Checking'!LR11)</f>
        <v/>
      </c>
      <c r="LG11" t="str">
        <f>IF('Data Checking'!LS11="","",'Data Checking'!LS11)</f>
        <v/>
      </c>
      <c r="LH11" t="str">
        <f>IF('Data Checking'!LT11="","",'Data Checking'!LT11)</f>
        <v/>
      </c>
      <c r="LI11" t="str">
        <f>IF('Data Checking'!LU11="","",'Data Checking'!LU11)</f>
        <v/>
      </c>
      <c r="LJ11" t="str">
        <f>IF('Data Checking'!LV11="","",'Data Checking'!LV11)</f>
        <v/>
      </c>
      <c r="LK11" t="str">
        <f>IF('Data Checking'!LW11="","",'Data Checking'!LW11)</f>
        <v/>
      </c>
      <c r="LL11" t="str">
        <f>IF('Data Checking'!LX11="","",'Data Checking'!LX11)</f>
        <v/>
      </c>
      <c r="LM11" t="str">
        <f>IF('Data Checking'!LY11="","",'Data Checking'!LY11)</f>
        <v/>
      </c>
      <c r="LN11" t="str">
        <f>IF('Data Checking'!LZ11="","",'Data Checking'!LZ11)</f>
        <v/>
      </c>
      <c r="LO11" t="str">
        <f>IF('Data Checking'!MA11="","",'Data Checking'!MA11)</f>
        <v/>
      </c>
      <c r="LP11" t="str">
        <f>IF('Data Checking'!MB11="","",'Data Checking'!MB11)</f>
        <v>oui</v>
      </c>
      <c r="LQ11" t="str">
        <f>IF('Data Checking'!MC11="","",'Data Checking'!MC11)</f>
        <v/>
      </c>
      <c r="LR11" t="str">
        <f>IF('Data Checking'!MD11="","",'Data Checking'!MD11)</f>
        <v>L'IC semble  bien maitriser la qurstion car toutes les informations des deplacés internes passent par lui.</v>
      </c>
      <c r="LS11">
        <f>IF('Data Checking'!ME11="","",'Data Checking'!ME11)</f>
        <v>168634033</v>
      </c>
      <c r="LT11" t="str">
        <f>IF('Data Checking'!MF11="","",'Data Checking'!MF11)</f>
        <v>89461351-e488-4d0c-8e6e-7e08d3e0d976</v>
      </c>
      <c r="LU11" t="str">
        <f>IF('Data Checking'!MG11="","",'Data Checking'!MG11)</f>
        <v>2021-03-30T16:58:16</v>
      </c>
      <c r="LV11" t="str">
        <f>IF('Data Checking'!MH11="","",'Data Checking'!MH11)</f>
        <v/>
      </c>
      <c r="LW11" t="str">
        <f>IF('Data Checking'!MI11="","",'Data Checking'!MI11)</f>
        <v>[]</v>
      </c>
      <c r="LX11" t="str">
        <f>IF('Data Checking'!MJ11="","",'Data Checking'!MJ11)</f>
        <v>submitted_via_web</v>
      </c>
      <c r="LY11" t="str">
        <f>IF('Data Checking'!MK11="","",'Data Checking'!MK11)</f>
        <v>reach_niger</v>
      </c>
      <c r="LZ11" t="str">
        <f>IF('Data Checking'!ML11="","",'Data Checking'!ML11)</f>
        <v/>
      </c>
      <c r="MA11">
        <f>IF('Data Checking'!MM11="","",'Data Checking'!MM11)</f>
        <v>2</v>
      </c>
    </row>
    <row r="12" spans="1:339" x14ac:dyDescent="0.3">
      <c r="A12" t="str">
        <f>IF('Data Checking'!D12="","",'Data Checking'!D12)</f>
        <v>2021-04-02T18:09:44.272+01:00</v>
      </c>
      <c r="B12" t="str">
        <f>IF('Data Checking'!E12="","",'Data Checking'!E12)</f>
        <v>2021-04-02T18:26:36.542+01:00</v>
      </c>
      <c r="C12" t="str">
        <f>IF('Data Checking'!M12="","",'Data Checking'!M12)</f>
        <v>2021-04-02</v>
      </c>
      <c r="D12" t="str">
        <f>IF('Data Checking'!N12="","",'Data Checking'!N12)</f>
        <v/>
      </c>
      <c r="E12" t="str">
        <f>IF('Data Checking'!O12="","",'Data Checking'!O12)</f>
        <v/>
      </c>
      <c r="F12" t="str">
        <f>IF('Data Checking'!R12="","",'Data Checking'!R12)</f>
        <v>Homme</v>
      </c>
      <c r="G12" t="str">
        <f>IF('Data Checking'!S12="","",'Data Checking'!S12)</f>
        <v>ayerou</v>
      </c>
      <c r="H12" t="str">
        <f>IF('Data Checking'!T12="","",'Data Checking'!T12)</f>
        <v>ayerou</v>
      </c>
      <c r="I12" t="str">
        <f>IF('Data Checking'!U12="","",'Data Checking'!U12)</f>
        <v>autre</v>
      </c>
      <c r="J12" t="str">
        <f>IF('Data Checking'!V12="","",'Data Checking'!V12)</f>
        <v>Tous les sites PDI de la zone de compétence de l'IC</v>
      </c>
      <c r="K12" t="str">
        <f>IF('Data Checking'!W12="","",'Data Checking'!W12)</f>
        <v/>
      </c>
      <c r="L12" t="str">
        <f>IF('Data Checking'!X12="","",'Data Checking'!X12)</f>
        <v/>
      </c>
      <c r="M12" t="str">
        <f>IF('Data Checking'!Y12="","",'Data Checking'!Y12)</f>
        <v/>
      </c>
      <c r="N12" t="str">
        <f>IF('Data Checking'!Z12="","",'Data Checking'!Z12)</f>
        <v/>
      </c>
      <c r="O12" t="str">
        <f>IF('Data Checking'!AA12="","",'Data Checking'!AA12)</f>
        <v/>
      </c>
      <c r="P12" t="str">
        <f>IF('Data Checking'!AB12="","",'Data Checking'!AB12)</f>
        <v/>
      </c>
      <c r="Q12" t="str">
        <f>IF('Data Checking'!AC12="","",'Data Checking'!AC12)</f>
        <v/>
      </c>
      <c r="R12" t="str">
        <f>IF('Data Checking'!AD12="","",'Data Checking'!AD12)</f>
        <v>Homme</v>
      </c>
      <c r="S12" t="str">
        <f>IF('Data Checking'!AE12="","",'Data Checking'!AE12)</f>
        <v>30</v>
      </c>
      <c r="T12" t="str">
        <f>IF('Data Checking'!AF12="","",'Data Checking'!AF12)</f>
        <v>Hote</v>
      </c>
      <c r="U12" t="str">
        <f>IF('Data Checking'!AG12="","",'Data Checking'!AG12)</f>
        <v/>
      </c>
      <c r="V12" t="str">
        <f>IF('Data Checking'!AH12="","",'Data Checking'!AH12)</f>
        <v/>
      </c>
      <c r="W12" t="str">
        <f>IF('Data Checking'!AI12="","",'Data Checking'!AI12)</f>
        <v/>
      </c>
      <c r="X12" t="str">
        <f>IF('Data Checking'!AJ12="","",'Data Checking'!AJ12)</f>
        <v/>
      </c>
      <c r="Y12" t="str">
        <f>IF('Data Checking'!AK12="","",'Data Checking'!AK12)</f>
        <v/>
      </c>
      <c r="Z12" t="str">
        <f>IF('Data Checking'!AL12="","",'Data Checking'!AL12)</f>
        <v/>
      </c>
      <c r="AA12" t="str">
        <f>IF('Data Checking'!AM12="","",'Data Checking'!AM12)</f>
        <v/>
      </c>
      <c r="AB12" t="str">
        <f>IF('Data Checking'!AN12="","",'Data Checking'!AN12)</f>
        <v/>
      </c>
      <c r="AC12" t="str">
        <f>IF('Data Checking'!AO12="","",'Data Checking'!AO12)</f>
        <v/>
      </c>
      <c r="AD12" t="str">
        <f>IF('Data Checking'!AP12="","",'Data Checking'!AP12)</f>
        <v/>
      </c>
      <c r="AE12" t="str">
        <f>IF('Data Checking'!AQ12="","",'Data Checking'!AQ12)</f>
        <v/>
      </c>
      <c r="AF12" t="str">
        <f>IF('Data Checking'!AR12="","",'Data Checking'!AR12)</f>
        <v/>
      </c>
      <c r="AG12" t="str">
        <f>IF('Data Checking'!AS12="","",'Data Checking'!AS12)</f>
        <v>non</v>
      </c>
      <c r="AH12" t="str">
        <f>IF('Data Checking'!AT12="","",'Data Checking'!AT12)</f>
        <v/>
      </c>
      <c r="AI12" t="str">
        <f>IF('Data Checking'!AU12="","",'Data Checking'!AU12)</f>
        <v/>
      </c>
      <c r="AJ12" t="str">
        <f>IF('Data Checking'!AV12="","",'Data Checking'!AV12)</f>
        <v/>
      </c>
      <c r="AK12" t="str">
        <f>IF('Data Checking'!AW12="","",'Data Checking'!AW12)</f>
        <v/>
      </c>
      <c r="AL12" t="str">
        <f>IF('Data Checking'!AX12="","",'Data Checking'!AX12)</f>
        <v/>
      </c>
      <c r="AM12" t="str">
        <f>IF('Data Checking'!AY12="","",'Data Checking'!AY12)</f>
        <v/>
      </c>
      <c r="AN12" t="str">
        <f>IF('Data Checking'!AZ12="","",'Data Checking'!AZ12)</f>
        <v/>
      </c>
      <c r="AO12" t="str">
        <f>IF('Data Checking'!BA12="","",'Data Checking'!BA12)</f>
        <v/>
      </c>
      <c r="AP12" t="str">
        <f>IF('Data Checking'!BB12="","",'Data Checking'!BB12)</f>
        <v/>
      </c>
      <c r="AQ12" t="str">
        <f>IF('Data Checking'!BC12="","",'Data Checking'!BC12)</f>
        <v/>
      </c>
      <c r="AR12" t="str">
        <f>IF('Data Checking'!BD12="","",'Data Checking'!BD12)</f>
        <v/>
      </c>
      <c r="AS12" t="str">
        <f>IF('Data Checking'!BE12="","",'Data Checking'!BE12)</f>
        <v/>
      </c>
      <c r="AT12" t="str">
        <f>IF('Data Checking'!BF12="","",'Data Checking'!BF12)</f>
        <v/>
      </c>
      <c r="AU12" t="str">
        <f>IF('Data Checking'!BG12="","",'Data Checking'!BG12)</f>
        <v/>
      </c>
      <c r="AV12" t="str">
        <f>IF('Data Checking'!BH12="","",'Data Checking'!BH12)</f>
        <v/>
      </c>
      <c r="AW12" t="str">
        <f>IF('Data Checking'!BI12="","",'Data Checking'!BI12)</f>
        <v/>
      </c>
      <c r="AX12" t="str">
        <f>IF('Data Checking'!BJ12="","",'Data Checking'!BJ12)</f>
        <v/>
      </c>
      <c r="AY12" t="str">
        <f>IF('Data Checking'!BK12="","",'Data Checking'!BK12)</f>
        <v/>
      </c>
      <c r="AZ12" t="str">
        <f>IF('Data Checking'!BL12="","",'Data Checking'!BL12)</f>
        <v/>
      </c>
      <c r="BA12" t="str">
        <f>IF('Data Checking'!BM12="","",'Data Checking'!BM12)</f>
        <v/>
      </c>
      <c r="BB12" t="str">
        <f>IF('Data Checking'!BN12="","",'Data Checking'!BN12)</f>
        <v/>
      </c>
      <c r="BC12" t="str">
        <f>IF('Data Checking'!BO12="","",'Data Checking'!BO12)</f>
        <v/>
      </c>
      <c r="BD12" t="str">
        <f>IF('Data Checking'!BP12="","",'Data Checking'!BP12)</f>
        <v/>
      </c>
      <c r="BE12" t="str">
        <f>IF('Data Checking'!BQ12="","",'Data Checking'!BQ12)</f>
        <v/>
      </c>
      <c r="BF12" t="str">
        <f>IF('Data Checking'!BR12="","",'Data Checking'!BR12)</f>
        <v/>
      </c>
      <c r="BG12" t="str">
        <f>IF('Data Checking'!BS12="","",'Data Checking'!BS12)</f>
        <v/>
      </c>
      <c r="BH12" t="str">
        <f>IF('Data Checking'!BT12="","",'Data Checking'!BT12)</f>
        <v/>
      </c>
      <c r="BI12" t="str">
        <f>IF('Data Checking'!BU12="","",'Data Checking'!BU12)</f>
        <v/>
      </c>
      <c r="BJ12" t="str">
        <f>IF('Data Checking'!BV12="","",'Data Checking'!BV12)</f>
        <v/>
      </c>
      <c r="BK12" t="str">
        <f>IF('Data Checking'!BW12="","",'Data Checking'!BW12)</f>
        <v/>
      </c>
      <c r="BL12" t="str">
        <f>IF('Data Checking'!BX12="","",'Data Checking'!BX12)</f>
        <v/>
      </c>
      <c r="BM12" t="str">
        <f>IF('Data Checking'!BY12="","",'Data Checking'!BY12)</f>
        <v/>
      </c>
      <c r="BN12" t="str">
        <f>IF('Data Checking'!BZ12="","",'Data Checking'!BZ12)</f>
        <v/>
      </c>
      <c r="BO12" t="str">
        <f>IF('Data Checking'!CA12="","",'Data Checking'!CA12)</f>
        <v/>
      </c>
      <c r="BP12" t="str">
        <f>IF('Data Checking'!CB12="","",'Data Checking'!CB12)</f>
        <v/>
      </c>
      <c r="BQ12" t="str">
        <f>IF('Data Checking'!CC12="","",'Data Checking'!CC12)</f>
        <v>non</v>
      </c>
      <c r="BR12" t="str">
        <f>IF('Data Checking'!CD12="","",'Data Checking'!CD12)</f>
        <v/>
      </c>
      <c r="BS12" t="str">
        <f>IF('Data Checking'!CE12="","",'Data Checking'!CE12)</f>
        <v/>
      </c>
      <c r="BT12" t="str">
        <f>IF('Data Checking'!CF12="","",'Data Checking'!CF12)</f>
        <v/>
      </c>
      <c r="BU12" t="str">
        <f>IF('Data Checking'!CG12="","",'Data Checking'!CG12)</f>
        <v/>
      </c>
      <c r="BV12" t="str">
        <f>IF('Data Checking'!CH12="","",'Data Checking'!CH12)</f>
        <v/>
      </c>
      <c r="BW12" t="str">
        <f>IF('Data Checking'!CI12="","",'Data Checking'!CI12)</f>
        <v/>
      </c>
      <c r="BX12" t="str">
        <f>IF('Data Checking'!CJ12="","",'Data Checking'!CJ12)</f>
        <v/>
      </c>
      <c r="BY12" t="str">
        <f>IF('Data Checking'!CK12="","",'Data Checking'!CK12)</f>
        <v/>
      </c>
      <c r="BZ12" t="str">
        <f>IF('Data Checking'!CL12="","",'Data Checking'!CL12)</f>
        <v/>
      </c>
      <c r="CA12" t="str">
        <f>IF('Data Checking'!CM12="","",'Data Checking'!CM12)</f>
        <v/>
      </c>
      <c r="CB12" t="str">
        <f>IF('Data Checking'!CN12="","",'Data Checking'!CN12)</f>
        <v/>
      </c>
      <c r="CC12" t="str">
        <f>IF('Data Checking'!CO12="","",'Data Checking'!CO12)</f>
        <v/>
      </c>
      <c r="CD12" t="str">
        <f>IF('Data Checking'!CP12="","",'Data Checking'!CP12)</f>
        <v/>
      </c>
      <c r="CE12" t="str">
        <f>IF('Data Checking'!CQ12="","",'Data Checking'!CQ12)</f>
        <v/>
      </c>
      <c r="CF12" t="str">
        <f>IF('Data Checking'!CR12="","",'Data Checking'!CR12)</f>
        <v/>
      </c>
      <c r="CG12" t="str">
        <f>IF('Data Checking'!CS12="","",'Data Checking'!CS12)</f>
        <v/>
      </c>
      <c r="CH12" t="str">
        <f>IF('Data Checking'!CT12="","",'Data Checking'!CT12)</f>
        <v/>
      </c>
      <c r="CI12" t="str">
        <f>IF('Data Checking'!CU12="","",'Data Checking'!CU12)</f>
        <v/>
      </c>
      <c r="CJ12" t="str">
        <f>IF('Data Checking'!CV12="","",'Data Checking'!CV12)</f>
        <v/>
      </c>
      <c r="CK12" t="str">
        <f>IF('Data Checking'!CW12="","",'Data Checking'!CW12)</f>
        <v/>
      </c>
      <c r="CL12" t="str">
        <f>IF('Data Checking'!CX12="","",'Data Checking'!CX12)</f>
        <v/>
      </c>
      <c r="CM12" t="str">
        <f>IF('Data Checking'!CY12="","",'Data Checking'!CY12)</f>
        <v/>
      </c>
      <c r="CN12" t="str">
        <f>IF('Data Checking'!CZ12="","",'Data Checking'!CZ12)</f>
        <v/>
      </c>
      <c r="CO12" t="str">
        <f>IF('Data Checking'!DA12="","",'Data Checking'!DA12)</f>
        <v/>
      </c>
      <c r="CP12" t="str">
        <f>IF('Data Checking'!DB12="","",'Data Checking'!DB12)</f>
        <v/>
      </c>
      <c r="CQ12" t="str">
        <f>IF('Data Checking'!DC12="","",'Data Checking'!DC12)</f>
        <v/>
      </c>
      <c r="CR12" t="str">
        <f>IF('Data Checking'!DD12="","",'Data Checking'!DD12)</f>
        <v/>
      </c>
      <c r="CS12" t="str">
        <f>IF('Data Checking'!DE12="","",'Data Checking'!DE12)</f>
        <v/>
      </c>
      <c r="CT12" t="str">
        <f>IF('Data Checking'!DF12="","",'Data Checking'!DF12)</f>
        <v/>
      </c>
      <c r="CU12" t="str">
        <f>IF('Data Checking'!DG12="","",'Data Checking'!DG12)</f>
        <v/>
      </c>
      <c r="CV12" t="str">
        <f>IF('Data Checking'!DH12="","",'Data Checking'!DH12)</f>
        <v/>
      </c>
      <c r="CW12" t="str">
        <f>IF('Data Checking'!DI12="","",'Data Checking'!DI12)</f>
        <v/>
      </c>
      <c r="CX12" t="str">
        <f>IF('Data Checking'!DJ12="","",'Data Checking'!DJ12)</f>
        <v/>
      </c>
      <c r="CY12" t="str">
        <f>IF('Data Checking'!DK12="","",'Data Checking'!DK12)</f>
        <v/>
      </c>
      <c r="CZ12" t="str">
        <f>IF('Data Checking'!DL12="","",'Data Checking'!DL12)</f>
        <v/>
      </c>
      <c r="DA12" t="str">
        <f>IF('Data Checking'!DM12="","",'Data Checking'!DM12)</f>
        <v/>
      </c>
      <c r="DB12" t="str">
        <f>IF('Data Checking'!DN12="","",'Data Checking'!DN12)</f>
        <v/>
      </c>
      <c r="DC12" t="str">
        <f>IF('Data Checking'!DO12="","",'Data Checking'!DO12)</f>
        <v/>
      </c>
      <c r="DD12" t="str">
        <f>IF('Data Checking'!DP12="","",'Data Checking'!DP12)</f>
        <v/>
      </c>
      <c r="DE12" t="str">
        <f>IF('Data Checking'!DQ12="","",'Data Checking'!DQ12)</f>
        <v/>
      </c>
      <c r="DF12" t="str">
        <f>IF('Data Checking'!DR12="","",'Data Checking'!DR12)</f>
        <v/>
      </c>
      <c r="DG12" t="str">
        <f>IF('Data Checking'!DS12="","",'Data Checking'!DS12)</f>
        <v/>
      </c>
      <c r="DH12" t="str">
        <f>IF('Data Checking'!DT12="","",'Data Checking'!DT12)</f>
        <v/>
      </c>
      <c r="DI12" t="str">
        <f>IF('Data Checking'!DU12="","",'Data Checking'!DU12)</f>
        <v/>
      </c>
      <c r="DJ12" t="str">
        <f>IF('Data Checking'!DV12="","",'Data Checking'!DV12)</f>
        <v/>
      </c>
      <c r="DK12" t="str">
        <f>IF('Data Checking'!DW12="","",'Data Checking'!DW12)</f>
        <v/>
      </c>
      <c r="DL12" t="str">
        <f>IF('Data Checking'!DX12="","",'Data Checking'!DX12)</f>
        <v/>
      </c>
      <c r="DM12" t="str">
        <f>IF('Data Checking'!DY12="","",'Data Checking'!DY12)</f>
        <v/>
      </c>
      <c r="DN12" t="str">
        <f>IF('Data Checking'!DZ12="","",'Data Checking'!DZ12)</f>
        <v/>
      </c>
      <c r="DO12" t="str">
        <f>IF('Data Checking'!EA12="","",'Data Checking'!EA12)</f>
        <v/>
      </c>
      <c r="DP12" t="str">
        <f>IF('Data Checking'!EB12="","",'Data Checking'!EB12)</f>
        <v/>
      </c>
      <c r="DQ12" t="str">
        <f>IF('Data Checking'!EC12="","",'Data Checking'!EC12)</f>
        <v/>
      </c>
      <c r="DR12" t="str">
        <f>IF('Data Checking'!ED12="","",'Data Checking'!ED12)</f>
        <v/>
      </c>
      <c r="DS12" t="str">
        <f>IF('Data Checking'!EE12="","",'Data Checking'!EE12)</f>
        <v/>
      </c>
      <c r="DT12" t="str">
        <f>IF('Data Checking'!EF12="","",'Data Checking'!EF12)</f>
        <v/>
      </c>
      <c r="DU12" t="str">
        <f>IF('Data Checking'!EG12="","",'Data Checking'!EG12)</f>
        <v/>
      </c>
      <c r="DV12" t="str">
        <f>IF('Data Checking'!EH12="","",'Data Checking'!EH12)</f>
        <v/>
      </c>
      <c r="DW12" t="str">
        <f>IF('Data Checking'!EI12="","",'Data Checking'!EI12)</f>
        <v/>
      </c>
      <c r="DX12" t="str">
        <f>IF('Data Checking'!EJ12="","",'Data Checking'!EJ12)</f>
        <v/>
      </c>
      <c r="DY12" t="str">
        <f>IF('Data Checking'!EK12="","",'Data Checking'!EK12)</f>
        <v/>
      </c>
      <c r="DZ12" t="str">
        <f>IF('Data Checking'!EL12="","",'Data Checking'!EL12)</f>
        <v>Soutien_psychosocial Soutien_chef_village dplct_abords_com</v>
      </c>
      <c r="EA12" t="str">
        <f>IF('Data Checking'!EM12="","",'Data Checking'!EM12)</f>
        <v>1</v>
      </c>
      <c r="EB12" t="str">
        <f>IF('Data Checking'!EN12="","",'Data Checking'!EN12)</f>
        <v>0</v>
      </c>
      <c r="EC12" t="str">
        <f>IF('Data Checking'!EO12="","",'Data Checking'!EO12)</f>
        <v>0</v>
      </c>
      <c r="ED12" t="str">
        <f>IF('Data Checking'!EP12="","",'Data Checking'!EP12)</f>
        <v>1</v>
      </c>
      <c r="EE12" t="str">
        <f>IF('Data Checking'!EQ12="","",'Data Checking'!EQ12)</f>
        <v>1</v>
      </c>
      <c r="EF12" t="str">
        <f>IF('Data Checking'!ER12="","",'Data Checking'!ER12)</f>
        <v>0</v>
      </c>
      <c r="EG12" t="str">
        <f>IF('Data Checking'!ES12="","",'Data Checking'!ES12)</f>
        <v>0</v>
      </c>
      <c r="EH12" t="str">
        <f>IF('Data Checking'!ET12="","",'Data Checking'!ET12)</f>
        <v>0</v>
      </c>
      <c r="EI12" t="str">
        <f>IF('Data Checking'!EU12="","",'Data Checking'!EU12)</f>
        <v>0</v>
      </c>
      <c r="EJ12" t="str">
        <f>IF('Data Checking'!EV12="","",'Data Checking'!EV12)</f>
        <v/>
      </c>
      <c r="EK12" t="str">
        <f>IF('Data Checking'!EW12="","",'Data Checking'!EW12)</f>
        <v/>
      </c>
      <c r="EL12" t="str">
        <f>IF('Data Checking'!EX12="","",'Data Checking'!EX12)</f>
        <v>comite_protection femmes_elite famille_accueil comite_alerte comite_redevabilite comite_gestion_conflits enfant_pairs</v>
      </c>
      <c r="EM12" t="str">
        <f>IF('Data Checking'!EY12="","",'Data Checking'!EY12)</f>
        <v>1</v>
      </c>
      <c r="EN12" t="str">
        <f>IF('Data Checking'!EZ12="","",'Data Checking'!EZ12)</f>
        <v>1</v>
      </c>
      <c r="EO12" t="str">
        <f>IF('Data Checking'!FA12="","",'Data Checking'!FA12)</f>
        <v>1</v>
      </c>
      <c r="EP12" t="str">
        <f>IF('Data Checking'!FB12="","",'Data Checking'!FB12)</f>
        <v>1</v>
      </c>
      <c r="EQ12" t="str">
        <f>IF('Data Checking'!FC12="","",'Data Checking'!FC12)</f>
        <v>1</v>
      </c>
      <c r="ER12" t="str">
        <f>IF('Data Checking'!FD12="","",'Data Checking'!FD12)</f>
        <v>1</v>
      </c>
      <c r="ES12" t="str">
        <f>IF('Data Checking'!FE12="","",'Data Checking'!FE12)</f>
        <v>1</v>
      </c>
      <c r="ET12" t="str">
        <f>IF('Data Checking'!FF12="","",'Data Checking'!FF12)</f>
        <v>0</v>
      </c>
      <c r="EU12" t="str">
        <f>IF('Data Checking'!FG12="","",'Data Checking'!FG12)</f>
        <v>0</v>
      </c>
      <c r="EV12" t="str">
        <f>IF('Data Checking'!FH12="","",'Data Checking'!FH12)</f>
        <v>0</v>
      </c>
      <c r="EW12" t="str">
        <f>IF('Data Checking'!FI12="","",'Data Checking'!FI12)</f>
        <v/>
      </c>
      <c r="EX12" t="str">
        <f>IF('Data Checking'!FJ12="","",'Data Checking'!FJ12)</f>
        <v>oui</v>
      </c>
      <c r="EY12" t="str">
        <f>IF('Data Checking'!FK12="","",'Data Checking'!FK12)</f>
        <v>Radio_television manif_sociales famille_amis Chef_village</v>
      </c>
      <c r="EZ12" t="str">
        <f>IF('Data Checking'!FL12="","",'Data Checking'!FL12)</f>
        <v>1</v>
      </c>
      <c r="FA12" t="str">
        <f>IF('Data Checking'!FM12="","",'Data Checking'!FM12)</f>
        <v>0</v>
      </c>
      <c r="FB12" t="str">
        <f>IF('Data Checking'!FN12="","",'Data Checking'!FN12)</f>
        <v>0</v>
      </c>
      <c r="FC12" t="str">
        <f>IF('Data Checking'!FO12="","",'Data Checking'!FO12)</f>
        <v>1</v>
      </c>
      <c r="FD12" t="str">
        <f>IF('Data Checking'!FP12="","",'Data Checking'!FP12)</f>
        <v>1</v>
      </c>
      <c r="FE12" t="str">
        <f>IF('Data Checking'!FQ12="","",'Data Checking'!FQ12)</f>
        <v>1</v>
      </c>
      <c r="FF12" t="str">
        <f>IF('Data Checking'!FR12="","",'Data Checking'!FR12)</f>
        <v>0</v>
      </c>
      <c r="FG12" t="str">
        <f>IF('Data Checking'!FS12="","",'Data Checking'!FS12)</f>
        <v>0</v>
      </c>
      <c r="FH12" t="str">
        <f>IF('Data Checking'!FT12="","",'Data Checking'!FT12)</f>
        <v>0</v>
      </c>
      <c r="FI12" t="str">
        <f>IF('Data Checking'!FU12="","",'Data Checking'!FU12)</f>
        <v>0</v>
      </c>
      <c r="FJ12" t="str">
        <f>IF('Data Checking'!FV12="","",'Data Checking'!FV12)</f>
        <v>0</v>
      </c>
      <c r="FK12" t="str">
        <f>IF('Data Checking'!FW12="","",'Data Checking'!FW12)</f>
        <v>0</v>
      </c>
      <c r="FL12" t="str">
        <f>IF('Data Checking'!FX12="","",'Data Checking'!FX12)</f>
        <v>0</v>
      </c>
      <c r="FM12" t="str">
        <f>IF('Data Checking'!FY12="","",'Data Checking'!FY12)</f>
        <v>0</v>
      </c>
      <c r="FN12" t="str">
        <f>IF('Data Checking'!FZ12="","",'Data Checking'!FZ12)</f>
        <v/>
      </c>
      <c r="FO12" t="str">
        <f>IF('Data Checking'!GA12="","",'Data Checking'!GA12)</f>
        <v>oui_majorite</v>
      </c>
      <c r="FP12" t="str">
        <f>IF('Data Checking'!GB12="","",'Data Checking'!GB12)</f>
        <v>oui_majorite</v>
      </c>
      <c r="FQ12" t="str">
        <f>IF('Data Checking'!GC12="","",'Data Checking'!GC12)</f>
        <v>manque_info</v>
      </c>
      <c r="FR12" t="str">
        <f>IF('Data Checking'!GD12="","",'Data Checking'!GD12)</f>
        <v>0</v>
      </c>
      <c r="FS12" t="str">
        <f>IF('Data Checking'!GE12="","",'Data Checking'!GE12)</f>
        <v>1</v>
      </c>
      <c r="FT12" t="str">
        <f>IF('Data Checking'!GF12="","",'Data Checking'!GF12)</f>
        <v>0</v>
      </c>
      <c r="FU12" t="str">
        <f>IF('Data Checking'!GG12="","",'Data Checking'!GG12)</f>
        <v>0</v>
      </c>
      <c r="FV12" t="str">
        <f>IF('Data Checking'!GH12="","",'Data Checking'!GH12)</f>
        <v>0</v>
      </c>
      <c r="FW12" t="str">
        <f>IF('Data Checking'!GI12="","",'Data Checking'!GI12)</f>
        <v>0</v>
      </c>
      <c r="FX12" t="str">
        <f>IF('Data Checking'!GJ12="","",'Data Checking'!GJ12)</f>
        <v>0</v>
      </c>
      <c r="FY12" t="str">
        <f>IF('Data Checking'!GK12="","",'Data Checking'!GK12)</f>
        <v>0</v>
      </c>
      <c r="FZ12" t="str">
        <f>IF('Data Checking'!GL12="","",'Data Checking'!GL12)</f>
        <v/>
      </c>
      <c r="GA12" t="str">
        <f>IF('Data Checking'!GM12="","",'Data Checking'!GM12)</f>
        <v>moitie</v>
      </c>
      <c r="GB12" t="str">
        <f>IF('Data Checking'!GN12="","",'Data Checking'!GN12)</f>
        <v>majorite</v>
      </c>
      <c r="GC12" t="str">
        <f>IF('Data Checking'!GO12="","",'Data Checking'!GO12)</f>
        <v>Education Appui_psychosocial Services_de_sante</v>
      </c>
      <c r="GD12" t="str">
        <f>IF('Data Checking'!GP12="","",'Data Checking'!GP12)</f>
        <v>1</v>
      </c>
      <c r="GE12" t="str">
        <f>IF('Data Checking'!GQ12="","",'Data Checking'!GQ12)</f>
        <v>1</v>
      </c>
      <c r="GF12" t="str">
        <f>IF('Data Checking'!GR12="","",'Data Checking'!GR12)</f>
        <v>0</v>
      </c>
      <c r="GG12" t="str">
        <f>IF('Data Checking'!GS12="","",'Data Checking'!GS12)</f>
        <v>1</v>
      </c>
      <c r="GH12" t="str">
        <f>IF('Data Checking'!GT12="","",'Data Checking'!GT12)</f>
        <v>0</v>
      </c>
      <c r="GI12" t="str">
        <f>IF('Data Checking'!GU12="","",'Data Checking'!GU12)</f>
        <v>0</v>
      </c>
      <c r="GJ12" t="str">
        <f>IF('Data Checking'!GV12="","",'Data Checking'!GV12)</f>
        <v>0</v>
      </c>
      <c r="GK12" t="str">
        <f>IF('Data Checking'!GW12="","",'Data Checking'!GW12)</f>
        <v>0</v>
      </c>
      <c r="GL12" t="str">
        <f>IF('Data Checking'!GX12="","",'Data Checking'!GX12)</f>
        <v>0</v>
      </c>
      <c r="GM12" t="str">
        <f>IF('Data Checking'!GY12="","",'Data Checking'!GY12)</f>
        <v/>
      </c>
      <c r="GN12" t="str">
        <f>IF('Data Checking'!GZ12="","",'Data Checking'!GZ12)</f>
        <v>oui_majorite</v>
      </c>
      <c r="GO12" t="str">
        <f>IF('Data Checking'!HA12="","",'Data Checking'!HA12)</f>
        <v>oui_majorite</v>
      </c>
      <c r="GP12" t="str">
        <f>IF('Data Checking'!HB12="","",'Data Checking'!HB12)</f>
        <v>amelioration_futur diminution_tensions permet_obtenir_conseils</v>
      </c>
      <c r="GQ12" t="str">
        <f>IF('Data Checking'!HC12="","",'Data Checking'!HC12)</f>
        <v>1</v>
      </c>
      <c r="GR12" t="str">
        <f>IF('Data Checking'!HD12="","",'Data Checking'!HD12)</f>
        <v>0</v>
      </c>
      <c r="GS12" t="str">
        <f>IF('Data Checking'!HE12="","",'Data Checking'!HE12)</f>
        <v>1</v>
      </c>
      <c r="GT12" t="str">
        <f>IF('Data Checking'!HF12="","",'Data Checking'!HF12)</f>
        <v>0</v>
      </c>
      <c r="GU12" t="str">
        <f>IF('Data Checking'!HG12="","",'Data Checking'!HG12)</f>
        <v>0</v>
      </c>
      <c r="GV12" t="str">
        <f>IF('Data Checking'!HH12="","",'Data Checking'!HH12)</f>
        <v>1</v>
      </c>
      <c r="GW12" t="str">
        <f>IF('Data Checking'!HI12="","",'Data Checking'!HI12)</f>
        <v>0</v>
      </c>
      <c r="GX12" t="str">
        <f>IF('Data Checking'!HJ12="","",'Data Checking'!HJ12)</f>
        <v>0</v>
      </c>
      <c r="GY12" t="str">
        <f>IF('Data Checking'!HK12="","",'Data Checking'!HK12)</f>
        <v/>
      </c>
      <c r="GZ12" t="str">
        <f>IF('Data Checking'!HL12="","",'Data Checking'!HL12)</f>
        <v>non_obtention_info ne_repond_pas</v>
      </c>
      <c r="HA12" t="str">
        <f>IF('Data Checking'!HM12="","",'Data Checking'!HM12)</f>
        <v>0</v>
      </c>
      <c r="HB12" t="str">
        <f>IF('Data Checking'!HN12="","",'Data Checking'!HN12)</f>
        <v>1</v>
      </c>
      <c r="HC12" t="str">
        <f>IF('Data Checking'!HO12="","",'Data Checking'!HO12)</f>
        <v>1</v>
      </c>
      <c r="HD12" t="str">
        <f>IF('Data Checking'!HP12="","",'Data Checking'!HP12)</f>
        <v>0</v>
      </c>
      <c r="HE12" t="str">
        <f>IF('Data Checking'!HQ12="","",'Data Checking'!HQ12)</f>
        <v>0</v>
      </c>
      <c r="HF12" t="str">
        <f>IF('Data Checking'!HR12="","",'Data Checking'!HR12)</f>
        <v>0</v>
      </c>
      <c r="HG12" t="str">
        <f>IF('Data Checking'!HS12="","",'Data Checking'!HS12)</f>
        <v/>
      </c>
      <c r="HH12" t="str">
        <f>IF('Data Checking'!HT12="","",'Data Checking'!HT12)</f>
        <v/>
      </c>
      <c r="HI12" t="str">
        <f>IF('Data Checking'!HU12="","",'Data Checking'!HU12)</f>
        <v>oui_ensemble</v>
      </c>
      <c r="HJ12" t="str">
        <f>IF('Data Checking'!HV12="","",'Data Checking'!HV12)</f>
        <v>ingo</v>
      </c>
      <c r="HK12" t="str">
        <f>IF('Data Checking'!HW12="","",'Data Checking'!HW12)</f>
        <v>0</v>
      </c>
      <c r="HL12" t="str">
        <f>IF('Data Checking'!HX12="","",'Data Checking'!HX12)</f>
        <v>0</v>
      </c>
      <c r="HM12" t="str">
        <f>IF('Data Checking'!HY12="","",'Data Checking'!HY12)</f>
        <v>0</v>
      </c>
      <c r="HN12" t="str">
        <f>IF('Data Checking'!HZ12="","",'Data Checking'!HZ12)</f>
        <v>0</v>
      </c>
      <c r="HO12" t="str">
        <f>IF('Data Checking'!IA12="","",'Data Checking'!IA12)</f>
        <v>1</v>
      </c>
      <c r="HP12" t="str">
        <f>IF('Data Checking'!IB12="","",'Data Checking'!IB12)</f>
        <v>0</v>
      </c>
      <c r="HQ12" t="str">
        <f>IF('Data Checking'!IC12="","",'Data Checking'!IC12)</f>
        <v>0</v>
      </c>
      <c r="HR12" t="str">
        <f>IF('Data Checking'!ID12="","",'Data Checking'!ID12)</f>
        <v>0</v>
      </c>
      <c r="HS12" t="str">
        <f>IF('Data Checking'!IE12="","",'Data Checking'!IE12)</f>
        <v>0</v>
      </c>
      <c r="HT12" t="str">
        <f>IF('Data Checking'!IF12="","",'Data Checking'!IF12)</f>
        <v>0</v>
      </c>
      <c r="HU12" t="str">
        <f>IF('Data Checking'!IG12="","",'Data Checking'!IG12)</f>
        <v/>
      </c>
      <c r="HV12" t="str">
        <f>IF('Data Checking'!IH12="","",'Data Checking'!IH12)</f>
        <v/>
      </c>
      <c r="HW12" t="str">
        <f>IF('Data Checking'!II12="","",'Data Checking'!II12)</f>
        <v/>
      </c>
      <c r="HX12" t="str">
        <f>IF('Data Checking'!IJ12="","",'Data Checking'!IJ12)</f>
        <v/>
      </c>
      <c r="HY12" t="str">
        <f>IF('Data Checking'!IK12="","",'Data Checking'!IK12)</f>
        <v/>
      </c>
      <c r="HZ12" t="str">
        <f>IF('Data Checking'!IL12="","",'Data Checking'!IL12)</f>
        <v/>
      </c>
      <c r="IA12" t="str">
        <f>IF('Data Checking'!IM12="","",'Data Checking'!IM12)</f>
        <v/>
      </c>
      <c r="IB12" t="str">
        <f>IF('Data Checking'!IN12="","",'Data Checking'!IN12)</f>
        <v/>
      </c>
      <c r="IC12" t="str">
        <f>IF('Data Checking'!IO12="","",'Data Checking'!IO12)</f>
        <v/>
      </c>
      <c r="ID12" t="str">
        <f>IF('Data Checking'!IP12="","",'Data Checking'!IP12)</f>
        <v/>
      </c>
      <c r="IE12" t="str">
        <f>IF('Data Checking'!IQ12="","",'Data Checking'!IQ12)</f>
        <v/>
      </c>
      <c r="IF12" t="str">
        <f>IF('Data Checking'!IR12="","",'Data Checking'!IR12)</f>
        <v/>
      </c>
      <c r="IG12" t="str">
        <f>IF('Data Checking'!IS12="","",'Data Checking'!IS12)</f>
        <v/>
      </c>
      <c r="IH12" t="str">
        <f>IF('Data Checking'!IT12="","",'Data Checking'!IT12)</f>
        <v/>
      </c>
      <c r="II12" t="str">
        <f>IF('Data Checking'!IU12="","",'Data Checking'!IU12)</f>
        <v/>
      </c>
      <c r="IJ12" t="str">
        <f>IF('Data Checking'!IV12="","",'Data Checking'!IV12)</f>
        <v/>
      </c>
      <c r="IK12" t="str">
        <f>IF('Data Checking'!IW12="","",'Data Checking'!IW12)</f>
        <v/>
      </c>
      <c r="IL12" t="str">
        <f>IF('Data Checking'!IX12="","",'Data Checking'!IX12)</f>
        <v/>
      </c>
      <c r="IM12" t="str">
        <f>IF('Data Checking'!IY12="","",'Data Checking'!IY12)</f>
        <v/>
      </c>
      <c r="IN12" t="str">
        <f>IF('Data Checking'!IZ12="","",'Data Checking'!IZ12)</f>
        <v>2</v>
      </c>
      <c r="IO12" t="str">
        <f>IF('Data Checking'!JA12="","",'Data Checking'!JA12)</f>
        <v>Appui_psychosocial Services_medicaux Services_educatifs</v>
      </c>
      <c r="IP12" t="str">
        <f>IF('Data Checking'!JB12="","",'Data Checking'!JB12)</f>
        <v>1</v>
      </c>
      <c r="IQ12" t="str">
        <f>IF('Data Checking'!JC12="","",'Data Checking'!JC12)</f>
        <v>1</v>
      </c>
      <c r="IR12" t="str">
        <f>IF('Data Checking'!JD12="","",'Data Checking'!JD12)</f>
        <v>1</v>
      </c>
      <c r="IS12" t="str">
        <f>IF('Data Checking'!JE12="","",'Data Checking'!JE12)</f>
        <v>0</v>
      </c>
      <c r="IT12" t="str">
        <f>IF('Data Checking'!JF12="","",'Data Checking'!JF12)</f>
        <v>0</v>
      </c>
      <c r="IU12" t="str">
        <f>IF('Data Checking'!JG12="","",'Data Checking'!JG12)</f>
        <v>0</v>
      </c>
      <c r="IV12" t="str">
        <f>IF('Data Checking'!JH12="","",'Data Checking'!JH12)</f>
        <v>0</v>
      </c>
      <c r="IW12" t="str">
        <f>IF('Data Checking'!JI12="","",'Data Checking'!JI12)</f>
        <v>0</v>
      </c>
      <c r="IX12" t="str">
        <f>IF('Data Checking'!JJ12="","",'Data Checking'!JJ12)</f>
        <v>0</v>
      </c>
      <c r="IY12" t="str">
        <f>IF('Data Checking'!JK12="","",'Data Checking'!JK12)</f>
        <v>0</v>
      </c>
      <c r="IZ12" t="str">
        <f>IF('Data Checking'!JL12="","",'Data Checking'!JL12)</f>
        <v/>
      </c>
      <c r="JA12" t="str">
        <f>IF('Data Checking'!JM12="","",'Data Checking'!JM12)</f>
        <v>reorientation signalement</v>
      </c>
      <c r="JB12" t="str">
        <f>IF('Data Checking'!JN12="","",'Data Checking'!JN12)</f>
        <v>0</v>
      </c>
      <c r="JC12" t="str">
        <f>IF('Data Checking'!JO12="","",'Data Checking'!JO12)</f>
        <v>1</v>
      </c>
      <c r="JD12" t="str">
        <f>IF('Data Checking'!JP12="","",'Data Checking'!JP12)</f>
        <v>1</v>
      </c>
      <c r="JE12" t="str">
        <f>IF('Data Checking'!JQ12="","",'Data Checking'!JQ12)</f>
        <v>0</v>
      </c>
      <c r="JF12" t="str">
        <f>IF('Data Checking'!JR12="","",'Data Checking'!JR12)</f>
        <v>0</v>
      </c>
      <c r="JG12" t="str">
        <f>IF('Data Checking'!JS12="","",'Data Checking'!JS12)</f>
        <v>0</v>
      </c>
      <c r="JH12" t="str">
        <f>IF('Data Checking'!JT12="","",'Data Checking'!JT12)</f>
        <v/>
      </c>
      <c r="JI12" t="str">
        <f>IF('Data Checking'!JU12="","",'Data Checking'!JU12)</f>
        <v/>
      </c>
      <c r="JJ12" t="str">
        <f>IF('Data Checking'!JV12="","",'Data Checking'!JV12)</f>
        <v/>
      </c>
      <c r="JK12" t="str">
        <f>IF('Data Checking'!JW12="","",'Data Checking'!JW12)</f>
        <v/>
      </c>
      <c r="JL12" t="str">
        <f>IF('Data Checking'!JX12="","",'Data Checking'!JX12)</f>
        <v/>
      </c>
      <c r="JM12" t="str">
        <f>IF('Data Checking'!JY12="","",'Data Checking'!JY12)</f>
        <v/>
      </c>
      <c r="JN12" t="str">
        <f>IF('Data Checking'!JZ12="","",'Data Checking'!JZ12)</f>
        <v/>
      </c>
      <c r="JO12" t="str">
        <f>IF('Data Checking'!KA12="","",'Data Checking'!KA12)</f>
        <v/>
      </c>
      <c r="JP12" t="str">
        <f>IF('Data Checking'!KB12="","",'Data Checking'!KB12)</f>
        <v/>
      </c>
      <c r="JQ12" t="str">
        <f>IF('Data Checking'!KC12="","",'Data Checking'!KC12)</f>
        <v/>
      </c>
      <c r="JR12" t="str">
        <f>IF('Data Checking'!KD12="","",'Data Checking'!KD12)</f>
        <v/>
      </c>
      <c r="JS12" t="str">
        <f>IF('Data Checking'!KE12="","",'Data Checking'!KE12)</f>
        <v/>
      </c>
      <c r="JT12" t="str">
        <f>IF('Data Checking'!KF12="","",'Data Checking'!KF12)</f>
        <v>medical Psychosocia point_ecoute</v>
      </c>
      <c r="JU12" t="str">
        <f>IF('Data Checking'!KG12="","",'Data Checking'!KG12)</f>
        <v>1</v>
      </c>
      <c r="JV12" t="str">
        <f>IF('Data Checking'!KH12="","",'Data Checking'!KH12)</f>
        <v>1</v>
      </c>
      <c r="JW12" t="str">
        <f>IF('Data Checking'!KI12="","",'Data Checking'!KI12)</f>
        <v>1</v>
      </c>
      <c r="JX12" t="str">
        <f>IF('Data Checking'!KJ12="","",'Data Checking'!KJ12)</f>
        <v>0</v>
      </c>
      <c r="JY12" t="str">
        <f>IF('Data Checking'!KK12="","",'Data Checking'!KK12)</f>
        <v>0</v>
      </c>
      <c r="JZ12" t="str">
        <f>IF('Data Checking'!KL12="","",'Data Checking'!KL12)</f>
        <v>0</v>
      </c>
      <c r="KA12" t="str">
        <f>IF('Data Checking'!KM12="","",'Data Checking'!KM12)</f>
        <v>0</v>
      </c>
      <c r="KB12" t="str">
        <f>IF('Data Checking'!KN12="","",'Data Checking'!KN12)</f>
        <v>0</v>
      </c>
      <c r="KC12" t="str">
        <f>IF('Data Checking'!KO12="","",'Data Checking'!KO12)</f>
        <v>0</v>
      </c>
      <c r="KD12" t="str">
        <f>IF('Data Checking'!KP12="","",'Data Checking'!KP12)</f>
        <v/>
      </c>
      <c r="KE12" t="str">
        <f>IF('Data Checking'!KQ12="","",'Data Checking'!KQ12)</f>
        <v/>
      </c>
      <c r="KF12" t="str">
        <f>IF('Data Checking'!KR12="","",'Data Checking'!KR12)</f>
        <v>non</v>
      </c>
      <c r="KG12" t="str">
        <f>IF('Data Checking'!KS12="","",'Data Checking'!KS12)</f>
        <v/>
      </c>
      <c r="KH12" t="str">
        <f>IF('Data Checking'!KT12="","",'Data Checking'!KT12)</f>
        <v/>
      </c>
      <c r="KI12" t="str">
        <f>IF('Data Checking'!KU12="","",'Data Checking'!KU12)</f>
        <v/>
      </c>
      <c r="KJ12" t="str">
        <f>IF('Data Checking'!KV12="","",'Data Checking'!KV12)</f>
        <v/>
      </c>
      <c r="KK12" t="str">
        <f>IF('Data Checking'!KW12="","",'Data Checking'!KW12)</f>
        <v/>
      </c>
      <c r="KL12" t="str">
        <f>IF('Data Checking'!KX12="","",'Data Checking'!KX12)</f>
        <v/>
      </c>
      <c r="KM12" t="str">
        <f>IF('Data Checking'!KY12="","",'Data Checking'!KY12)</f>
        <v/>
      </c>
      <c r="KN12" t="str">
        <f>IF('Data Checking'!KZ12="","",'Data Checking'!KZ12)</f>
        <v/>
      </c>
      <c r="KO12" t="str">
        <f>IF('Data Checking'!LA12="","",'Data Checking'!LA12)</f>
        <v/>
      </c>
      <c r="KP12" t="str">
        <f>IF('Data Checking'!LB12="","",'Data Checking'!LB12)</f>
        <v/>
      </c>
      <c r="KQ12" t="str">
        <f>IF('Data Checking'!LC12="","",'Data Checking'!LC12)</f>
        <v/>
      </c>
      <c r="KR12" t="str">
        <f>IF('Data Checking'!LD12="","",'Data Checking'!LD12)</f>
        <v/>
      </c>
      <c r="KS12" t="str">
        <f>IF('Data Checking'!LE12="","",'Data Checking'!LE12)</f>
        <v/>
      </c>
      <c r="KT12" t="str">
        <f>IF('Data Checking'!LF12="","",'Data Checking'!LF12)</f>
        <v/>
      </c>
      <c r="KU12" t="str">
        <f>IF('Data Checking'!LG12="","",'Data Checking'!LG12)</f>
        <v/>
      </c>
      <c r="KV12" t="str">
        <f>IF('Data Checking'!LH12="","",'Data Checking'!LH12)</f>
        <v/>
      </c>
      <c r="KW12" t="str">
        <f>IF('Data Checking'!LI12="","",'Data Checking'!LI12)</f>
        <v/>
      </c>
      <c r="KX12" t="str">
        <f>IF('Data Checking'!LJ12="","",'Data Checking'!LJ12)</f>
        <v/>
      </c>
      <c r="KY12" t="str">
        <f>IF('Data Checking'!LK12="","",'Data Checking'!LK12)</f>
        <v/>
      </c>
      <c r="KZ12" t="str">
        <f>IF('Data Checking'!LL12="","",'Data Checking'!LL12)</f>
        <v/>
      </c>
      <c r="LA12" t="str">
        <f>IF('Data Checking'!LM12="","",'Data Checking'!LM12)</f>
        <v/>
      </c>
      <c r="LB12" t="str">
        <f>IF('Data Checking'!LN12="","",'Data Checking'!LN12)</f>
        <v>non</v>
      </c>
      <c r="LC12" t="str">
        <f>IF('Data Checking'!LO12="","",'Data Checking'!LO12)</f>
        <v/>
      </c>
      <c r="LD12" t="str">
        <f>IF('Data Checking'!LP12="","",'Data Checking'!LP12)</f>
        <v/>
      </c>
      <c r="LE12" t="str">
        <f>IF('Data Checking'!LQ12="","",'Data Checking'!LQ12)</f>
        <v/>
      </c>
      <c r="LF12" t="str">
        <f>IF('Data Checking'!LR12="","",'Data Checking'!LR12)</f>
        <v/>
      </c>
      <c r="LG12" t="str">
        <f>IF('Data Checking'!LS12="","",'Data Checking'!LS12)</f>
        <v/>
      </c>
      <c r="LH12" t="str">
        <f>IF('Data Checking'!LT12="","",'Data Checking'!LT12)</f>
        <v/>
      </c>
      <c r="LI12" t="str">
        <f>IF('Data Checking'!LU12="","",'Data Checking'!LU12)</f>
        <v/>
      </c>
      <c r="LJ12" t="str">
        <f>IF('Data Checking'!LV12="","",'Data Checking'!LV12)</f>
        <v/>
      </c>
      <c r="LK12" t="str">
        <f>IF('Data Checking'!LW12="","",'Data Checking'!LW12)</f>
        <v/>
      </c>
      <c r="LL12" t="str">
        <f>IF('Data Checking'!LX12="","",'Data Checking'!LX12)</f>
        <v/>
      </c>
      <c r="LM12" t="str">
        <f>IF('Data Checking'!LY12="","",'Data Checking'!LY12)</f>
        <v/>
      </c>
      <c r="LN12" t="str">
        <f>IF('Data Checking'!LZ12="","",'Data Checking'!LZ12)</f>
        <v/>
      </c>
      <c r="LO12" t="str">
        <f>IF('Data Checking'!MA12="","",'Data Checking'!MA12)</f>
        <v/>
      </c>
      <c r="LP12" t="str">
        <f>IF('Data Checking'!MB12="","",'Data Checking'!MB12)</f>
        <v>oui</v>
      </c>
      <c r="LQ12" t="str">
        <f>IF('Data Checking'!MC12="","",'Data Checking'!MC12)</f>
        <v/>
      </c>
      <c r="LR12" t="str">
        <f>IF('Data Checking'!MD12="","",'Data Checking'!MD12)</f>
        <v/>
      </c>
      <c r="LS12">
        <f>IF('Data Checking'!ME12="","",'Data Checking'!ME12)</f>
        <v>169365670</v>
      </c>
      <c r="LT12" t="str">
        <f>IF('Data Checking'!MF12="","",'Data Checking'!MF12)</f>
        <v>c3dcf604-6805-4aad-b3ab-755e96eb92fe</v>
      </c>
      <c r="LU12" t="str">
        <f>IF('Data Checking'!MG12="","",'Data Checking'!MG12)</f>
        <v>2021-04-03T00:06:19</v>
      </c>
      <c r="LV12" t="str">
        <f>IF('Data Checking'!MH12="","",'Data Checking'!MH12)</f>
        <v/>
      </c>
      <c r="LW12" t="str">
        <f>IF('Data Checking'!MI12="","",'Data Checking'!MI12)</f>
        <v>[]</v>
      </c>
      <c r="LX12" t="str">
        <f>IF('Data Checking'!MJ12="","",'Data Checking'!MJ12)</f>
        <v>submitted_via_web</v>
      </c>
      <c r="LY12" t="str">
        <f>IF('Data Checking'!MK12="","",'Data Checking'!MK12)</f>
        <v>reach_niger</v>
      </c>
      <c r="LZ12" t="str">
        <f>IF('Data Checking'!ML12="","",'Data Checking'!ML12)</f>
        <v/>
      </c>
      <c r="MA12">
        <f>IF('Data Checking'!MM12="","",'Data Checking'!MM12)</f>
        <v>37</v>
      </c>
    </row>
    <row r="13" spans="1:339" x14ac:dyDescent="0.3">
      <c r="A13" t="str">
        <f>IF('Data Checking'!D13="","",'Data Checking'!D13)</f>
        <v>2021-04-01T12:08:54.489+01:00</v>
      </c>
      <c r="B13" t="str">
        <f>IF('Data Checking'!E13="","",'Data Checking'!E13)</f>
        <v>2021-04-01T14:29:33.300+01:00</v>
      </c>
      <c r="C13" t="str">
        <f>IF('Data Checking'!M13="","",'Data Checking'!M13)</f>
        <v>2021-04-01</v>
      </c>
      <c r="D13" t="str">
        <f>IF('Data Checking'!N13="","",'Data Checking'!N13)</f>
        <v/>
      </c>
      <c r="E13" t="str">
        <f>IF('Data Checking'!O13="","",'Data Checking'!O13)</f>
        <v/>
      </c>
      <c r="F13" t="str">
        <f>IF('Data Checking'!R13="","",'Data Checking'!R13)</f>
        <v>Homme</v>
      </c>
      <c r="G13" t="str">
        <f>IF('Data Checking'!S13="","",'Data Checking'!S13)</f>
        <v>ayerou</v>
      </c>
      <c r="H13" t="str">
        <f>IF('Data Checking'!T13="","",'Data Checking'!T13)</f>
        <v>ayerou</v>
      </c>
      <c r="I13" t="str">
        <f>IF('Data Checking'!U13="","",'Data Checking'!U13)</f>
        <v>ayarou_pdi</v>
      </c>
      <c r="J13" t="str">
        <f>IF('Data Checking'!V13="","",'Data Checking'!V13)</f>
        <v/>
      </c>
      <c r="K13" t="str">
        <f>IF('Data Checking'!W13="","",'Data Checking'!W13)</f>
        <v/>
      </c>
      <c r="L13" t="str">
        <f>IF('Data Checking'!X13="","",'Data Checking'!X13)</f>
        <v/>
      </c>
      <c r="M13" t="str">
        <f>IF('Data Checking'!Y13="","",'Data Checking'!Y13)</f>
        <v/>
      </c>
      <c r="N13" t="str">
        <f>IF('Data Checking'!Z13="","",'Data Checking'!Z13)</f>
        <v/>
      </c>
      <c r="O13" t="str">
        <f>IF('Data Checking'!AA13="","",'Data Checking'!AA13)</f>
        <v/>
      </c>
      <c r="P13" t="str">
        <f>IF('Data Checking'!AB13="","",'Data Checking'!AB13)</f>
        <v/>
      </c>
      <c r="Q13" t="str">
        <f>IF('Data Checking'!AC13="","",'Data Checking'!AC13)</f>
        <v/>
      </c>
      <c r="R13" t="str">
        <f>IF('Data Checking'!AD13="","",'Data Checking'!AD13)</f>
        <v>Homme</v>
      </c>
      <c r="S13" t="str">
        <f>IF('Data Checking'!AE13="","",'Data Checking'!AE13)</f>
        <v>35</v>
      </c>
      <c r="T13" t="str">
        <f>IF('Data Checking'!AF13="","",'Data Checking'!AF13)</f>
        <v>deplace_interne</v>
      </c>
      <c r="U13" t="str">
        <f>IF('Data Checking'!AG13="","",'Data Checking'!AG13)</f>
        <v/>
      </c>
      <c r="V13" t="str">
        <f>IF('Data Checking'!AH13="","",'Data Checking'!AH13)</f>
        <v/>
      </c>
      <c r="W13" t="str">
        <f>IF('Data Checking'!AI13="","",'Data Checking'!AI13)</f>
        <v/>
      </c>
      <c r="X13" t="str">
        <f>IF('Data Checking'!AJ13="","",'Data Checking'!AJ13)</f>
        <v/>
      </c>
      <c r="Y13" t="str">
        <f>IF('Data Checking'!AK13="","",'Data Checking'!AK13)</f>
        <v/>
      </c>
      <c r="Z13" t="str">
        <f>IF('Data Checking'!AL13="","",'Data Checking'!AL13)</f>
        <v>niger</v>
      </c>
      <c r="AA13" t="str">
        <f>IF('Data Checking'!AM13="","",'Data Checking'!AM13)</f>
        <v>tillaberi</v>
      </c>
      <c r="AB13" t="str">
        <f>IF('Data Checking'!AN13="","",'Data Checking'!AN13)</f>
        <v>ayerou</v>
      </c>
      <c r="AC13" t="str">
        <f>IF('Data Checking'!AO13="","",'Data Checking'!AO13)</f>
        <v/>
      </c>
      <c r="AD13" t="str">
        <f>IF('Data Checking'!AP13="","",'Data Checking'!AP13)</f>
        <v/>
      </c>
      <c r="AE13" t="str">
        <f>IF('Data Checking'!AQ13="","",'Data Checking'!AQ13)</f>
        <v/>
      </c>
      <c r="AF13" t="str">
        <f>IF('Data Checking'!AR13="","",'Data Checking'!AR13)</f>
        <v/>
      </c>
      <c r="AG13" t="str">
        <f>IF('Data Checking'!AS13="","",'Data Checking'!AS13)</f>
        <v>non</v>
      </c>
      <c r="AH13" t="str">
        <f>IF('Data Checking'!AT13="","",'Data Checking'!AT13)</f>
        <v/>
      </c>
      <c r="AI13" t="str">
        <f>IF('Data Checking'!AU13="","",'Data Checking'!AU13)</f>
        <v/>
      </c>
      <c r="AJ13" t="str">
        <f>IF('Data Checking'!AV13="","",'Data Checking'!AV13)</f>
        <v/>
      </c>
      <c r="AK13" t="str">
        <f>IF('Data Checking'!AW13="","",'Data Checking'!AW13)</f>
        <v/>
      </c>
      <c r="AL13" t="str">
        <f>IF('Data Checking'!AX13="","",'Data Checking'!AX13)</f>
        <v/>
      </c>
      <c r="AM13" t="str">
        <f>IF('Data Checking'!AY13="","",'Data Checking'!AY13)</f>
        <v/>
      </c>
      <c r="AN13" t="str">
        <f>IF('Data Checking'!AZ13="","",'Data Checking'!AZ13)</f>
        <v/>
      </c>
      <c r="AO13" t="str">
        <f>IF('Data Checking'!BA13="","",'Data Checking'!BA13)</f>
        <v/>
      </c>
      <c r="AP13" t="str">
        <f>IF('Data Checking'!BB13="","",'Data Checking'!BB13)</f>
        <v/>
      </c>
      <c r="AQ13" t="str">
        <f>IF('Data Checking'!BC13="","",'Data Checking'!BC13)</f>
        <v/>
      </c>
      <c r="AR13" t="str">
        <f>IF('Data Checking'!BD13="","",'Data Checking'!BD13)</f>
        <v/>
      </c>
      <c r="AS13" t="str">
        <f>IF('Data Checking'!BE13="","",'Data Checking'!BE13)</f>
        <v/>
      </c>
      <c r="AT13" t="str">
        <f>IF('Data Checking'!BF13="","",'Data Checking'!BF13)</f>
        <v/>
      </c>
      <c r="AU13" t="str">
        <f>IF('Data Checking'!BG13="","",'Data Checking'!BG13)</f>
        <v/>
      </c>
      <c r="AV13" t="str">
        <f>IF('Data Checking'!BH13="","",'Data Checking'!BH13)</f>
        <v/>
      </c>
      <c r="AW13" t="str">
        <f>IF('Data Checking'!BI13="","",'Data Checking'!BI13)</f>
        <v/>
      </c>
      <c r="AX13" t="str">
        <f>IF('Data Checking'!BJ13="","",'Data Checking'!BJ13)</f>
        <v/>
      </c>
      <c r="AY13" t="str">
        <f>IF('Data Checking'!BK13="","",'Data Checking'!BK13)</f>
        <v/>
      </c>
      <c r="AZ13" t="str">
        <f>IF('Data Checking'!BL13="","",'Data Checking'!BL13)</f>
        <v/>
      </c>
      <c r="BA13" t="str">
        <f>IF('Data Checking'!BM13="","",'Data Checking'!BM13)</f>
        <v/>
      </c>
      <c r="BB13" t="str">
        <f>IF('Data Checking'!BN13="","",'Data Checking'!BN13)</f>
        <v/>
      </c>
      <c r="BC13" t="str">
        <f>IF('Data Checking'!BO13="","",'Data Checking'!BO13)</f>
        <v/>
      </c>
      <c r="BD13" t="str">
        <f>IF('Data Checking'!BP13="","",'Data Checking'!BP13)</f>
        <v/>
      </c>
      <c r="BE13" t="str">
        <f>IF('Data Checking'!BQ13="","",'Data Checking'!BQ13)</f>
        <v/>
      </c>
      <c r="BF13" t="str">
        <f>IF('Data Checking'!BR13="","",'Data Checking'!BR13)</f>
        <v/>
      </c>
      <c r="BG13" t="str">
        <f>IF('Data Checking'!BS13="","",'Data Checking'!BS13)</f>
        <v/>
      </c>
      <c r="BH13" t="str">
        <f>IF('Data Checking'!BT13="","",'Data Checking'!BT13)</f>
        <v/>
      </c>
      <c r="BI13" t="str">
        <f>IF('Data Checking'!BU13="","",'Data Checking'!BU13)</f>
        <v/>
      </c>
      <c r="BJ13" t="str">
        <f>IF('Data Checking'!BV13="","",'Data Checking'!BV13)</f>
        <v/>
      </c>
      <c r="BK13" t="str">
        <f>IF('Data Checking'!BW13="","",'Data Checking'!BW13)</f>
        <v/>
      </c>
      <c r="BL13" t="str">
        <f>IF('Data Checking'!BX13="","",'Data Checking'!BX13)</f>
        <v/>
      </c>
      <c r="BM13" t="str">
        <f>IF('Data Checking'!BY13="","",'Data Checking'!BY13)</f>
        <v/>
      </c>
      <c r="BN13" t="str">
        <f>IF('Data Checking'!BZ13="","",'Data Checking'!BZ13)</f>
        <v/>
      </c>
      <c r="BO13" t="str">
        <f>IF('Data Checking'!CA13="","",'Data Checking'!CA13)</f>
        <v/>
      </c>
      <c r="BP13" t="str">
        <f>IF('Data Checking'!CB13="","",'Data Checking'!CB13)</f>
        <v/>
      </c>
      <c r="BQ13" t="str">
        <f>IF('Data Checking'!CC13="","",'Data Checking'!CC13)</f>
        <v>non</v>
      </c>
      <c r="BR13" t="str">
        <f>IF('Data Checking'!CD13="","",'Data Checking'!CD13)</f>
        <v/>
      </c>
      <c r="BS13" t="str">
        <f>IF('Data Checking'!CE13="","",'Data Checking'!CE13)</f>
        <v/>
      </c>
      <c r="BT13" t="str">
        <f>IF('Data Checking'!CF13="","",'Data Checking'!CF13)</f>
        <v/>
      </c>
      <c r="BU13" t="str">
        <f>IF('Data Checking'!CG13="","",'Data Checking'!CG13)</f>
        <v/>
      </c>
      <c r="BV13" t="str">
        <f>IF('Data Checking'!CH13="","",'Data Checking'!CH13)</f>
        <v/>
      </c>
      <c r="BW13" t="str">
        <f>IF('Data Checking'!CI13="","",'Data Checking'!CI13)</f>
        <v/>
      </c>
      <c r="BX13" t="str">
        <f>IF('Data Checking'!CJ13="","",'Data Checking'!CJ13)</f>
        <v/>
      </c>
      <c r="BY13" t="str">
        <f>IF('Data Checking'!CK13="","",'Data Checking'!CK13)</f>
        <v/>
      </c>
      <c r="BZ13" t="str">
        <f>IF('Data Checking'!CL13="","",'Data Checking'!CL13)</f>
        <v/>
      </c>
      <c r="CA13" t="str">
        <f>IF('Data Checking'!CM13="","",'Data Checking'!CM13)</f>
        <v/>
      </c>
      <c r="CB13" t="str">
        <f>IF('Data Checking'!CN13="","",'Data Checking'!CN13)</f>
        <v/>
      </c>
      <c r="CC13" t="str">
        <f>IF('Data Checking'!CO13="","",'Data Checking'!CO13)</f>
        <v/>
      </c>
      <c r="CD13" t="str">
        <f>IF('Data Checking'!CP13="","",'Data Checking'!CP13)</f>
        <v/>
      </c>
      <c r="CE13" t="str">
        <f>IF('Data Checking'!CQ13="","",'Data Checking'!CQ13)</f>
        <v/>
      </c>
      <c r="CF13" t="str">
        <f>IF('Data Checking'!CR13="","",'Data Checking'!CR13)</f>
        <v/>
      </c>
      <c r="CG13" t="str">
        <f>IF('Data Checking'!CS13="","",'Data Checking'!CS13)</f>
        <v/>
      </c>
      <c r="CH13" t="str">
        <f>IF('Data Checking'!CT13="","",'Data Checking'!CT13)</f>
        <v/>
      </c>
      <c r="CI13" t="str">
        <f>IF('Data Checking'!CU13="","",'Data Checking'!CU13)</f>
        <v/>
      </c>
      <c r="CJ13" t="str">
        <f>IF('Data Checking'!CV13="","",'Data Checking'!CV13)</f>
        <v/>
      </c>
      <c r="CK13" t="str">
        <f>IF('Data Checking'!CW13="","",'Data Checking'!CW13)</f>
        <v/>
      </c>
      <c r="CL13" t="str">
        <f>IF('Data Checking'!CX13="","",'Data Checking'!CX13)</f>
        <v/>
      </c>
      <c r="CM13" t="str">
        <f>IF('Data Checking'!CY13="","",'Data Checking'!CY13)</f>
        <v/>
      </c>
      <c r="CN13" t="str">
        <f>IF('Data Checking'!CZ13="","",'Data Checking'!CZ13)</f>
        <v/>
      </c>
      <c r="CO13" t="str">
        <f>IF('Data Checking'!DA13="","",'Data Checking'!DA13)</f>
        <v/>
      </c>
      <c r="CP13" t="str">
        <f>IF('Data Checking'!DB13="","",'Data Checking'!DB13)</f>
        <v/>
      </c>
      <c r="CQ13" t="str">
        <f>IF('Data Checking'!DC13="","",'Data Checking'!DC13)</f>
        <v/>
      </c>
      <c r="CR13" t="str">
        <f>IF('Data Checking'!DD13="","",'Data Checking'!DD13)</f>
        <v/>
      </c>
      <c r="CS13" t="str">
        <f>IF('Data Checking'!DE13="","",'Data Checking'!DE13)</f>
        <v/>
      </c>
      <c r="CT13" t="str">
        <f>IF('Data Checking'!DF13="","",'Data Checking'!DF13)</f>
        <v/>
      </c>
      <c r="CU13" t="str">
        <f>IF('Data Checking'!DG13="","",'Data Checking'!DG13)</f>
        <v/>
      </c>
      <c r="CV13" t="str">
        <f>IF('Data Checking'!DH13="","",'Data Checking'!DH13)</f>
        <v/>
      </c>
      <c r="CW13" t="str">
        <f>IF('Data Checking'!DI13="","",'Data Checking'!DI13)</f>
        <v/>
      </c>
      <c r="CX13" t="str">
        <f>IF('Data Checking'!DJ13="","",'Data Checking'!DJ13)</f>
        <v/>
      </c>
      <c r="CY13" t="str">
        <f>IF('Data Checking'!DK13="","",'Data Checking'!DK13)</f>
        <v/>
      </c>
      <c r="CZ13" t="str">
        <f>IF('Data Checking'!DL13="","",'Data Checking'!DL13)</f>
        <v/>
      </c>
      <c r="DA13" t="str">
        <f>IF('Data Checking'!DM13="","",'Data Checking'!DM13)</f>
        <v/>
      </c>
      <c r="DB13" t="str">
        <f>IF('Data Checking'!DN13="","",'Data Checking'!DN13)</f>
        <v/>
      </c>
      <c r="DC13" t="str">
        <f>IF('Data Checking'!DO13="","",'Data Checking'!DO13)</f>
        <v/>
      </c>
      <c r="DD13" t="str">
        <f>IF('Data Checking'!DP13="","",'Data Checking'!DP13)</f>
        <v/>
      </c>
      <c r="DE13" t="str">
        <f>IF('Data Checking'!DQ13="","",'Data Checking'!DQ13)</f>
        <v/>
      </c>
      <c r="DF13" t="str">
        <f>IF('Data Checking'!DR13="","",'Data Checking'!DR13)</f>
        <v/>
      </c>
      <c r="DG13" t="str">
        <f>IF('Data Checking'!DS13="","",'Data Checking'!DS13)</f>
        <v/>
      </c>
      <c r="DH13" t="str">
        <f>IF('Data Checking'!DT13="","",'Data Checking'!DT13)</f>
        <v/>
      </c>
      <c r="DI13" t="str">
        <f>IF('Data Checking'!DU13="","",'Data Checking'!DU13)</f>
        <v/>
      </c>
      <c r="DJ13" t="str">
        <f>IF('Data Checking'!DV13="","",'Data Checking'!DV13)</f>
        <v/>
      </c>
      <c r="DK13" t="str">
        <f>IF('Data Checking'!DW13="","",'Data Checking'!DW13)</f>
        <v/>
      </c>
      <c r="DL13" t="str">
        <f>IF('Data Checking'!DX13="","",'Data Checking'!DX13)</f>
        <v/>
      </c>
      <c r="DM13" t="str">
        <f>IF('Data Checking'!DY13="","",'Data Checking'!DY13)</f>
        <v/>
      </c>
      <c r="DN13" t="str">
        <f>IF('Data Checking'!DZ13="","",'Data Checking'!DZ13)</f>
        <v/>
      </c>
      <c r="DO13" t="str">
        <f>IF('Data Checking'!EA13="","",'Data Checking'!EA13)</f>
        <v/>
      </c>
      <c r="DP13" t="str">
        <f>IF('Data Checking'!EB13="","",'Data Checking'!EB13)</f>
        <v/>
      </c>
      <c r="DQ13" t="str">
        <f>IF('Data Checking'!EC13="","",'Data Checking'!EC13)</f>
        <v/>
      </c>
      <c r="DR13" t="str">
        <f>IF('Data Checking'!ED13="","",'Data Checking'!ED13)</f>
        <v/>
      </c>
      <c r="DS13" t="str">
        <f>IF('Data Checking'!EE13="","",'Data Checking'!EE13)</f>
        <v/>
      </c>
      <c r="DT13" t="str">
        <f>IF('Data Checking'!EF13="","",'Data Checking'!EF13)</f>
        <v/>
      </c>
      <c r="DU13" t="str">
        <f>IF('Data Checking'!EG13="","",'Data Checking'!EG13)</f>
        <v/>
      </c>
      <c r="DV13" t="str">
        <f>IF('Data Checking'!EH13="","",'Data Checking'!EH13)</f>
        <v/>
      </c>
      <c r="DW13" t="str">
        <f>IF('Data Checking'!EI13="","",'Data Checking'!EI13)</f>
        <v/>
      </c>
      <c r="DX13" t="str">
        <f>IF('Data Checking'!EJ13="","",'Data Checking'!EJ13)</f>
        <v/>
      </c>
      <c r="DY13" t="str">
        <f>IF('Data Checking'!EK13="","",'Data Checking'!EK13)</f>
        <v/>
      </c>
      <c r="DZ13" t="str">
        <f>IF('Data Checking'!EL13="","",'Data Checking'!EL13)</f>
        <v>dplct_abords_com Integration_com_hote Soutien_famille_amis Soutien_chef_village Soutien_psychosocial</v>
      </c>
      <c r="EA13" t="str">
        <f>IF('Data Checking'!EM13="","",'Data Checking'!EM13)</f>
        <v>1</v>
      </c>
      <c r="EB13" t="str">
        <f>IF('Data Checking'!EN13="","",'Data Checking'!EN13)</f>
        <v>1</v>
      </c>
      <c r="EC13" t="str">
        <f>IF('Data Checking'!EO13="","",'Data Checking'!EO13)</f>
        <v>1</v>
      </c>
      <c r="ED13" t="str">
        <f>IF('Data Checking'!EP13="","",'Data Checking'!EP13)</f>
        <v>1</v>
      </c>
      <c r="EE13" t="str">
        <f>IF('Data Checking'!EQ13="","",'Data Checking'!EQ13)</f>
        <v>1</v>
      </c>
      <c r="EF13" t="str">
        <f>IF('Data Checking'!ER13="","",'Data Checking'!ER13)</f>
        <v>0</v>
      </c>
      <c r="EG13" t="str">
        <f>IF('Data Checking'!ES13="","",'Data Checking'!ES13)</f>
        <v>0</v>
      </c>
      <c r="EH13" t="str">
        <f>IF('Data Checking'!ET13="","",'Data Checking'!ET13)</f>
        <v>0</v>
      </c>
      <c r="EI13" t="str">
        <f>IF('Data Checking'!EU13="","",'Data Checking'!EU13)</f>
        <v>0</v>
      </c>
      <c r="EJ13" t="str">
        <f>IF('Data Checking'!EV13="","",'Data Checking'!EV13)</f>
        <v/>
      </c>
      <c r="EK13" t="str">
        <f>IF('Data Checking'!EW13="","",'Data Checking'!EW13)</f>
        <v/>
      </c>
      <c r="EL13" t="str">
        <f>IF('Data Checking'!EX13="","",'Data Checking'!EX13)</f>
        <v>famille_accueil comite_protection</v>
      </c>
      <c r="EM13" t="str">
        <f>IF('Data Checking'!EY13="","",'Data Checking'!EY13)</f>
        <v>0</v>
      </c>
      <c r="EN13" t="str">
        <f>IF('Data Checking'!EZ13="","",'Data Checking'!EZ13)</f>
        <v>1</v>
      </c>
      <c r="EO13" t="str">
        <f>IF('Data Checking'!FA13="","",'Data Checking'!FA13)</f>
        <v>1</v>
      </c>
      <c r="EP13" t="str">
        <f>IF('Data Checking'!FB13="","",'Data Checking'!FB13)</f>
        <v>0</v>
      </c>
      <c r="EQ13" t="str">
        <f>IF('Data Checking'!FC13="","",'Data Checking'!FC13)</f>
        <v>0</v>
      </c>
      <c r="ER13" t="str">
        <f>IF('Data Checking'!FD13="","",'Data Checking'!FD13)</f>
        <v>0</v>
      </c>
      <c r="ES13" t="str">
        <f>IF('Data Checking'!FE13="","",'Data Checking'!FE13)</f>
        <v>0</v>
      </c>
      <c r="ET13" t="str">
        <f>IF('Data Checking'!FF13="","",'Data Checking'!FF13)</f>
        <v>0</v>
      </c>
      <c r="EU13" t="str">
        <f>IF('Data Checking'!FG13="","",'Data Checking'!FG13)</f>
        <v>0</v>
      </c>
      <c r="EV13" t="str">
        <f>IF('Data Checking'!FH13="","",'Data Checking'!FH13)</f>
        <v>0</v>
      </c>
      <c r="EW13" t="str">
        <f>IF('Data Checking'!FI13="","",'Data Checking'!FI13)</f>
        <v/>
      </c>
      <c r="EX13" t="str">
        <f>IF('Data Checking'!FJ13="","",'Data Checking'!FJ13)</f>
        <v>oui</v>
      </c>
      <c r="EY13" t="str">
        <f>IF('Data Checking'!FK13="","",'Data Checking'!FK13)</f>
        <v>manif_sociales Chef_village famille_amis Differents_comites_villageois Travailleurs_sociaux/hum</v>
      </c>
      <c r="EZ13" t="str">
        <f>IF('Data Checking'!FL13="","",'Data Checking'!FL13)</f>
        <v>0</v>
      </c>
      <c r="FA13" t="str">
        <f>IF('Data Checking'!FM13="","",'Data Checking'!FM13)</f>
        <v>0</v>
      </c>
      <c r="FB13" t="str">
        <f>IF('Data Checking'!FN13="","",'Data Checking'!FN13)</f>
        <v>0</v>
      </c>
      <c r="FC13" t="str">
        <f>IF('Data Checking'!FO13="","",'Data Checking'!FO13)</f>
        <v>1</v>
      </c>
      <c r="FD13" t="str">
        <f>IF('Data Checking'!FP13="","",'Data Checking'!FP13)</f>
        <v>1</v>
      </c>
      <c r="FE13" t="str">
        <f>IF('Data Checking'!FQ13="","",'Data Checking'!FQ13)</f>
        <v>1</v>
      </c>
      <c r="FF13" t="str">
        <f>IF('Data Checking'!FR13="","",'Data Checking'!FR13)</f>
        <v>0</v>
      </c>
      <c r="FG13" t="str">
        <f>IF('Data Checking'!FS13="","",'Data Checking'!FS13)</f>
        <v>0</v>
      </c>
      <c r="FH13" t="str">
        <f>IF('Data Checking'!FT13="","",'Data Checking'!FT13)</f>
        <v>1</v>
      </c>
      <c r="FI13" t="str">
        <f>IF('Data Checking'!FU13="","",'Data Checking'!FU13)</f>
        <v>0</v>
      </c>
      <c r="FJ13" t="str">
        <f>IF('Data Checking'!FV13="","",'Data Checking'!FV13)</f>
        <v>1</v>
      </c>
      <c r="FK13" t="str">
        <f>IF('Data Checking'!FW13="","",'Data Checking'!FW13)</f>
        <v>0</v>
      </c>
      <c r="FL13" t="str">
        <f>IF('Data Checking'!FX13="","",'Data Checking'!FX13)</f>
        <v>0</v>
      </c>
      <c r="FM13" t="str">
        <f>IF('Data Checking'!FY13="","",'Data Checking'!FY13)</f>
        <v>0</v>
      </c>
      <c r="FN13" t="str">
        <f>IF('Data Checking'!FZ13="","",'Data Checking'!FZ13)</f>
        <v/>
      </c>
      <c r="FO13" t="str">
        <f>IF('Data Checking'!GA13="","",'Data Checking'!GA13)</f>
        <v>oui_majorite</v>
      </c>
      <c r="FP13" t="str">
        <f>IF('Data Checking'!GB13="","",'Data Checking'!GB13)</f>
        <v>oui_minorite</v>
      </c>
      <c r="FQ13" t="str">
        <f>IF('Data Checking'!GC13="","",'Data Checking'!GC13)</f>
        <v>manque_info non_fonctionnelle</v>
      </c>
      <c r="FR13" t="str">
        <f>IF('Data Checking'!GD13="","",'Data Checking'!GD13)</f>
        <v>1</v>
      </c>
      <c r="FS13" t="str">
        <f>IF('Data Checking'!GE13="","",'Data Checking'!GE13)</f>
        <v>1</v>
      </c>
      <c r="FT13" t="str">
        <f>IF('Data Checking'!GF13="","",'Data Checking'!GF13)</f>
        <v>0</v>
      </c>
      <c r="FU13" t="str">
        <f>IF('Data Checking'!GG13="","",'Data Checking'!GG13)</f>
        <v>0</v>
      </c>
      <c r="FV13" t="str">
        <f>IF('Data Checking'!GH13="","",'Data Checking'!GH13)</f>
        <v>0</v>
      </c>
      <c r="FW13" t="str">
        <f>IF('Data Checking'!GI13="","",'Data Checking'!GI13)</f>
        <v>0</v>
      </c>
      <c r="FX13" t="str">
        <f>IF('Data Checking'!GJ13="","",'Data Checking'!GJ13)</f>
        <v>0</v>
      </c>
      <c r="FY13" t="str">
        <f>IF('Data Checking'!GK13="","",'Data Checking'!GK13)</f>
        <v>0</v>
      </c>
      <c r="FZ13" t="str">
        <f>IF('Data Checking'!GL13="","",'Data Checking'!GL13)</f>
        <v/>
      </c>
      <c r="GA13" t="str">
        <f>IF('Data Checking'!GM13="","",'Data Checking'!GM13)</f>
        <v>minorite</v>
      </c>
      <c r="GB13" t="str">
        <f>IF('Data Checking'!GN13="","",'Data Checking'!GN13)</f>
        <v>majorite</v>
      </c>
      <c r="GC13" t="str">
        <f>IF('Data Checking'!GO13="","",'Data Checking'!GO13)</f>
        <v>Education Services_de_sante Acces_aux_doc</v>
      </c>
      <c r="GD13" t="str">
        <f>IF('Data Checking'!GP13="","",'Data Checking'!GP13)</f>
        <v>0</v>
      </c>
      <c r="GE13" t="str">
        <f>IF('Data Checking'!GQ13="","",'Data Checking'!GQ13)</f>
        <v>1</v>
      </c>
      <c r="GF13" t="str">
        <f>IF('Data Checking'!GR13="","",'Data Checking'!GR13)</f>
        <v>0</v>
      </c>
      <c r="GG13" t="str">
        <f>IF('Data Checking'!GS13="","",'Data Checking'!GS13)</f>
        <v>1</v>
      </c>
      <c r="GH13" t="str">
        <f>IF('Data Checking'!GT13="","",'Data Checking'!GT13)</f>
        <v>1</v>
      </c>
      <c r="GI13" t="str">
        <f>IF('Data Checking'!GU13="","",'Data Checking'!GU13)</f>
        <v>0</v>
      </c>
      <c r="GJ13" t="str">
        <f>IF('Data Checking'!GV13="","",'Data Checking'!GV13)</f>
        <v>0</v>
      </c>
      <c r="GK13" t="str">
        <f>IF('Data Checking'!GW13="","",'Data Checking'!GW13)</f>
        <v>0</v>
      </c>
      <c r="GL13" t="str">
        <f>IF('Data Checking'!GX13="","",'Data Checking'!GX13)</f>
        <v>0</v>
      </c>
      <c r="GM13" t="str">
        <f>IF('Data Checking'!GY13="","",'Data Checking'!GY13)</f>
        <v/>
      </c>
      <c r="GN13" t="str">
        <f>IF('Data Checking'!GZ13="","",'Data Checking'!GZ13)</f>
        <v>oui_majorite</v>
      </c>
      <c r="GO13" t="str">
        <f>IF('Data Checking'!HA13="","",'Data Checking'!HA13)</f>
        <v>oui_majorite</v>
      </c>
      <c r="GP13" t="str">
        <f>IF('Data Checking'!HB13="","",'Data Checking'!HB13)</f>
        <v>amelioration_futur repond_besoins_pop permet_obtenir_conseils</v>
      </c>
      <c r="GQ13" t="str">
        <f>IF('Data Checking'!HC13="","",'Data Checking'!HC13)</f>
        <v>1</v>
      </c>
      <c r="GR13" t="str">
        <f>IF('Data Checking'!HD13="","",'Data Checking'!HD13)</f>
        <v>1</v>
      </c>
      <c r="GS13" t="str">
        <f>IF('Data Checking'!HE13="","",'Data Checking'!HE13)</f>
        <v>1</v>
      </c>
      <c r="GT13" t="str">
        <f>IF('Data Checking'!HF13="","",'Data Checking'!HF13)</f>
        <v>0</v>
      </c>
      <c r="GU13" t="str">
        <f>IF('Data Checking'!HG13="","",'Data Checking'!HG13)</f>
        <v>0</v>
      </c>
      <c r="GV13" t="str">
        <f>IF('Data Checking'!HH13="","",'Data Checking'!HH13)</f>
        <v>0</v>
      </c>
      <c r="GW13" t="str">
        <f>IF('Data Checking'!HI13="","",'Data Checking'!HI13)</f>
        <v>0</v>
      </c>
      <c r="GX13" t="str">
        <f>IF('Data Checking'!HJ13="","",'Data Checking'!HJ13)</f>
        <v>0</v>
      </c>
      <c r="GY13" t="str">
        <f>IF('Data Checking'!HK13="","",'Data Checking'!HK13)</f>
        <v/>
      </c>
      <c r="GZ13" t="str">
        <f>IF('Data Checking'!HL13="","",'Data Checking'!HL13)</f>
        <v>ne_contribue_pas</v>
      </c>
      <c r="HA13" t="str">
        <f>IF('Data Checking'!HM13="","",'Data Checking'!HM13)</f>
        <v>1</v>
      </c>
      <c r="HB13" t="str">
        <f>IF('Data Checking'!HN13="","",'Data Checking'!HN13)</f>
        <v>0</v>
      </c>
      <c r="HC13" t="str">
        <f>IF('Data Checking'!HO13="","",'Data Checking'!HO13)</f>
        <v>0</v>
      </c>
      <c r="HD13" t="str">
        <f>IF('Data Checking'!HP13="","",'Data Checking'!HP13)</f>
        <v>0</v>
      </c>
      <c r="HE13" t="str">
        <f>IF('Data Checking'!HQ13="","",'Data Checking'!HQ13)</f>
        <v>0</v>
      </c>
      <c r="HF13" t="str">
        <f>IF('Data Checking'!HR13="","",'Data Checking'!HR13)</f>
        <v>0</v>
      </c>
      <c r="HG13" t="str">
        <f>IF('Data Checking'!HS13="","",'Data Checking'!HS13)</f>
        <v/>
      </c>
      <c r="HH13" t="str">
        <f>IF('Data Checking'!HT13="","",'Data Checking'!HT13)</f>
        <v/>
      </c>
      <c r="HI13" t="str">
        <f>IF('Data Checking'!HU13="","",'Data Checking'!HU13)</f>
        <v>oui_minorite</v>
      </c>
      <c r="HJ13" t="str">
        <f>IF('Data Checking'!HV13="","",'Data Checking'!HV13)</f>
        <v>gvt fds_arme autorite_locale_leaders un_agencies ingo ong_locale</v>
      </c>
      <c r="HK13" t="str">
        <f>IF('Data Checking'!HW13="","",'Data Checking'!HW13)</f>
        <v>1</v>
      </c>
      <c r="HL13" t="str">
        <f>IF('Data Checking'!HX13="","",'Data Checking'!HX13)</f>
        <v>1</v>
      </c>
      <c r="HM13" t="str">
        <f>IF('Data Checking'!HY13="","",'Data Checking'!HY13)</f>
        <v>1</v>
      </c>
      <c r="HN13" t="str">
        <f>IF('Data Checking'!HZ13="","",'Data Checking'!HZ13)</f>
        <v>1</v>
      </c>
      <c r="HO13" t="str">
        <f>IF('Data Checking'!IA13="","",'Data Checking'!IA13)</f>
        <v>1</v>
      </c>
      <c r="HP13" t="str">
        <f>IF('Data Checking'!IB13="","",'Data Checking'!IB13)</f>
        <v>1</v>
      </c>
      <c r="HQ13" t="str">
        <f>IF('Data Checking'!IC13="","",'Data Checking'!IC13)</f>
        <v>0</v>
      </c>
      <c r="HR13" t="str">
        <f>IF('Data Checking'!ID13="","",'Data Checking'!ID13)</f>
        <v>0</v>
      </c>
      <c r="HS13" t="str">
        <f>IF('Data Checking'!IE13="","",'Data Checking'!IE13)</f>
        <v>0</v>
      </c>
      <c r="HT13" t="str">
        <f>IF('Data Checking'!IF13="","",'Data Checking'!IF13)</f>
        <v>0</v>
      </c>
      <c r="HU13" t="str">
        <f>IF('Data Checking'!IG13="","",'Data Checking'!IG13)</f>
        <v/>
      </c>
      <c r="HV13" t="str">
        <f>IF('Data Checking'!IH13="","",'Data Checking'!IH13)</f>
        <v>oui</v>
      </c>
      <c r="HW13" t="str">
        <f>IF('Data Checking'!II13="","",'Data Checking'!II13)</f>
        <v/>
      </c>
      <c r="HX13" t="str">
        <f>IF('Data Checking'!IJ13="","",'Data Checking'!IJ13)</f>
        <v/>
      </c>
      <c r="HY13" t="str">
        <f>IF('Data Checking'!IK13="","",'Data Checking'!IK13)</f>
        <v/>
      </c>
      <c r="HZ13" t="str">
        <f>IF('Data Checking'!IL13="","",'Data Checking'!IL13)</f>
        <v/>
      </c>
      <c r="IA13" t="str">
        <f>IF('Data Checking'!IM13="","",'Data Checking'!IM13)</f>
        <v/>
      </c>
      <c r="IB13" t="str">
        <f>IF('Data Checking'!IN13="","",'Data Checking'!IN13)</f>
        <v/>
      </c>
      <c r="IC13" t="str">
        <f>IF('Data Checking'!IO13="","",'Data Checking'!IO13)</f>
        <v/>
      </c>
      <c r="ID13" t="str">
        <f>IF('Data Checking'!IP13="","",'Data Checking'!IP13)</f>
        <v/>
      </c>
      <c r="IE13" t="str">
        <f>IF('Data Checking'!IQ13="","",'Data Checking'!IQ13)</f>
        <v/>
      </c>
      <c r="IF13" t="str">
        <f>IF('Data Checking'!IR13="","",'Data Checking'!IR13)</f>
        <v/>
      </c>
      <c r="IG13" t="str">
        <f>IF('Data Checking'!IS13="","",'Data Checking'!IS13)</f>
        <v/>
      </c>
      <c r="IH13" t="str">
        <f>IF('Data Checking'!IT13="","",'Data Checking'!IT13)</f>
        <v/>
      </c>
      <c r="II13" t="str">
        <f>IF('Data Checking'!IU13="","",'Data Checking'!IU13)</f>
        <v/>
      </c>
      <c r="IJ13" t="str">
        <f>IF('Data Checking'!IV13="","",'Data Checking'!IV13)</f>
        <v/>
      </c>
      <c r="IK13" t="str">
        <f>IF('Data Checking'!IW13="","",'Data Checking'!IW13)</f>
        <v/>
      </c>
      <c r="IL13" t="str">
        <f>IF('Data Checking'!IX13="","",'Data Checking'!IX13)</f>
        <v/>
      </c>
      <c r="IM13" t="str">
        <f>IF('Data Checking'!IY13="","",'Data Checking'!IY13)</f>
        <v/>
      </c>
      <c r="IN13" t="str">
        <f>IF('Data Checking'!IZ13="","",'Data Checking'!IZ13)</f>
        <v>14</v>
      </c>
      <c r="IO13" t="str">
        <f>IF('Data Checking'!JA13="","",'Data Checking'!JA13)</f>
        <v>Services_medicaux Services_educatifs acces_docs</v>
      </c>
      <c r="IP13" t="str">
        <f>IF('Data Checking'!JB13="","",'Data Checking'!JB13)</f>
        <v>0</v>
      </c>
      <c r="IQ13" t="str">
        <f>IF('Data Checking'!JC13="","",'Data Checking'!JC13)</f>
        <v>1</v>
      </c>
      <c r="IR13" t="str">
        <f>IF('Data Checking'!JD13="","",'Data Checking'!JD13)</f>
        <v>1</v>
      </c>
      <c r="IS13" t="str">
        <f>IF('Data Checking'!JE13="","",'Data Checking'!JE13)</f>
        <v>0</v>
      </c>
      <c r="IT13" t="str">
        <f>IF('Data Checking'!JF13="","",'Data Checking'!JF13)</f>
        <v>1</v>
      </c>
      <c r="IU13" t="str">
        <f>IF('Data Checking'!JG13="","",'Data Checking'!JG13)</f>
        <v>0</v>
      </c>
      <c r="IV13" t="str">
        <f>IF('Data Checking'!JH13="","",'Data Checking'!JH13)</f>
        <v>0</v>
      </c>
      <c r="IW13" t="str">
        <f>IF('Data Checking'!JI13="","",'Data Checking'!JI13)</f>
        <v>0</v>
      </c>
      <c r="IX13" t="str">
        <f>IF('Data Checking'!JJ13="","",'Data Checking'!JJ13)</f>
        <v>0</v>
      </c>
      <c r="IY13" t="str">
        <f>IF('Data Checking'!JK13="","",'Data Checking'!JK13)</f>
        <v>0</v>
      </c>
      <c r="IZ13" t="str">
        <f>IF('Data Checking'!JL13="","",'Data Checking'!JL13)</f>
        <v/>
      </c>
      <c r="JA13" t="str">
        <f>IF('Data Checking'!JM13="","",'Data Checking'!JM13)</f>
        <v>signalement reorientation</v>
      </c>
      <c r="JB13" t="str">
        <f>IF('Data Checking'!JN13="","",'Data Checking'!JN13)</f>
        <v>0</v>
      </c>
      <c r="JC13" t="str">
        <f>IF('Data Checking'!JO13="","",'Data Checking'!JO13)</f>
        <v>1</v>
      </c>
      <c r="JD13" t="str">
        <f>IF('Data Checking'!JP13="","",'Data Checking'!JP13)</f>
        <v>1</v>
      </c>
      <c r="JE13" t="str">
        <f>IF('Data Checking'!JQ13="","",'Data Checking'!JQ13)</f>
        <v>0</v>
      </c>
      <c r="JF13" t="str">
        <f>IF('Data Checking'!JR13="","",'Data Checking'!JR13)</f>
        <v>0</v>
      </c>
      <c r="JG13" t="str">
        <f>IF('Data Checking'!JS13="","",'Data Checking'!JS13)</f>
        <v>0</v>
      </c>
      <c r="JH13" t="str">
        <f>IF('Data Checking'!JT13="","",'Data Checking'!JT13)</f>
        <v/>
      </c>
      <c r="JI13" t="str">
        <f>IF('Data Checking'!JU13="","",'Data Checking'!JU13)</f>
        <v/>
      </c>
      <c r="JJ13" t="str">
        <f>IF('Data Checking'!JV13="","",'Data Checking'!JV13)</f>
        <v/>
      </c>
      <c r="JK13" t="str">
        <f>IF('Data Checking'!JW13="","",'Data Checking'!JW13)</f>
        <v/>
      </c>
      <c r="JL13" t="str">
        <f>IF('Data Checking'!JX13="","",'Data Checking'!JX13)</f>
        <v/>
      </c>
      <c r="JM13" t="str">
        <f>IF('Data Checking'!JY13="","",'Data Checking'!JY13)</f>
        <v/>
      </c>
      <c r="JN13" t="str">
        <f>IF('Data Checking'!JZ13="","",'Data Checking'!JZ13)</f>
        <v/>
      </c>
      <c r="JO13" t="str">
        <f>IF('Data Checking'!KA13="","",'Data Checking'!KA13)</f>
        <v/>
      </c>
      <c r="JP13" t="str">
        <f>IF('Data Checking'!KB13="","",'Data Checking'!KB13)</f>
        <v/>
      </c>
      <c r="JQ13" t="str">
        <f>IF('Data Checking'!KC13="","",'Data Checking'!KC13)</f>
        <v/>
      </c>
      <c r="JR13" t="str">
        <f>IF('Data Checking'!KD13="","",'Data Checking'!KD13)</f>
        <v/>
      </c>
      <c r="JS13" t="str">
        <f>IF('Data Checking'!KE13="","",'Data Checking'!KE13)</f>
        <v/>
      </c>
      <c r="JT13" t="str">
        <f>IF('Data Checking'!KF13="","",'Data Checking'!KF13)</f>
        <v>medical surete reinsertion</v>
      </c>
      <c r="JU13" t="str">
        <f>IF('Data Checking'!KG13="","",'Data Checking'!KG13)</f>
        <v>1</v>
      </c>
      <c r="JV13" t="str">
        <f>IF('Data Checking'!KH13="","",'Data Checking'!KH13)</f>
        <v>0</v>
      </c>
      <c r="JW13" t="str">
        <f>IF('Data Checking'!KI13="","",'Data Checking'!KI13)</f>
        <v>0</v>
      </c>
      <c r="JX13" t="str">
        <f>IF('Data Checking'!KJ13="","",'Data Checking'!KJ13)</f>
        <v>0</v>
      </c>
      <c r="JY13" t="str">
        <f>IF('Data Checking'!KK13="","",'Data Checking'!KK13)</f>
        <v>1</v>
      </c>
      <c r="JZ13" t="str">
        <f>IF('Data Checking'!KL13="","",'Data Checking'!KL13)</f>
        <v>1</v>
      </c>
      <c r="KA13" t="str">
        <f>IF('Data Checking'!KM13="","",'Data Checking'!KM13)</f>
        <v>0</v>
      </c>
      <c r="KB13" t="str">
        <f>IF('Data Checking'!KN13="","",'Data Checking'!KN13)</f>
        <v>0</v>
      </c>
      <c r="KC13" t="str">
        <f>IF('Data Checking'!KO13="","",'Data Checking'!KO13)</f>
        <v>0</v>
      </c>
      <c r="KD13" t="str">
        <f>IF('Data Checking'!KP13="","",'Data Checking'!KP13)</f>
        <v/>
      </c>
      <c r="KE13" t="str">
        <f>IF('Data Checking'!KQ13="","",'Data Checking'!KQ13)</f>
        <v/>
      </c>
      <c r="KF13" t="str">
        <f>IF('Data Checking'!KR13="","",'Data Checking'!KR13)</f>
        <v>non</v>
      </c>
      <c r="KG13" t="str">
        <f>IF('Data Checking'!KS13="","",'Data Checking'!KS13)</f>
        <v/>
      </c>
      <c r="KH13" t="str">
        <f>IF('Data Checking'!KT13="","",'Data Checking'!KT13)</f>
        <v/>
      </c>
      <c r="KI13" t="str">
        <f>IF('Data Checking'!KU13="","",'Data Checking'!KU13)</f>
        <v/>
      </c>
      <c r="KJ13" t="str">
        <f>IF('Data Checking'!KV13="","",'Data Checking'!KV13)</f>
        <v/>
      </c>
      <c r="KK13" t="str">
        <f>IF('Data Checking'!KW13="","",'Data Checking'!KW13)</f>
        <v/>
      </c>
      <c r="KL13" t="str">
        <f>IF('Data Checking'!KX13="","",'Data Checking'!KX13)</f>
        <v/>
      </c>
      <c r="KM13" t="str">
        <f>IF('Data Checking'!KY13="","",'Data Checking'!KY13)</f>
        <v/>
      </c>
      <c r="KN13" t="str">
        <f>IF('Data Checking'!KZ13="","",'Data Checking'!KZ13)</f>
        <v/>
      </c>
      <c r="KO13" t="str">
        <f>IF('Data Checking'!LA13="","",'Data Checking'!LA13)</f>
        <v/>
      </c>
      <c r="KP13" t="str">
        <f>IF('Data Checking'!LB13="","",'Data Checking'!LB13)</f>
        <v/>
      </c>
      <c r="KQ13" t="str">
        <f>IF('Data Checking'!LC13="","",'Data Checking'!LC13)</f>
        <v/>
      </c>
      <c r="KR13" t="str">
        <f>IF('Data Checking'!LD13="","",'Data Checking'!LD13)</f>
        <v/>
      </c>
      <c r="KS13" t="str">
        <f>IF('Data Checking'!LE13="","",'Data Checking'!LE13)</f>
        <v/>
      </c>
      <c r="KT13" t="str">
        <f>IF('Data Checking'!LF13="","",'Data Checking'!LF13)</f>
        <v/>
      </c>
      <c r="KU13" t="str">
        <f>IF('Data Checking'!LG13="","",'Data Checking'!LG13)</f>
        <v/>
      </c>
      <c r="KV13" t="str">
        <f>IF('Data Checking'!LH13="","",'Data Checking'!LH13)</f>
        <v/>
      </c>
      <c r="KW13" t="str">
        <f>IF('Data Checking'!LI13="","",'Data Checking'!LI13)</f>
        <v/>
      </c>
      <c r="KX13" t="str">
        <f>IF('Data Checking'!LJ13="","",'Data Checking'!LJ13)</f>
        <v/>
      </c>
      <c r="KY13" t="str">
        <f>IF('Data Checking'!LK13="","",'Data Checking'!LK13)</f>
        <v/>
      </c>
      <c r="KZ13" t="str">
        <f>IF('Data Checking'!LL13="","",'Data Checking'!LL13)</f>
        <v/>
      </c>
      <c r="LA13" t="str">
        <f>IF('Data Checking'!LM13="","",'Data Checking'!LM13)</f>
        <v/>
      </c>
      <c r="LB13" t="str">
        <f>IF('Data Checking'!LN13="","",'Data Checking'!LN13)</f>
        <v>non</v>
      </c>
      <c r="LC13" t="str">
        <f>IF('Data Checking'!LO13="","",'Data Checking'!LO13)</f>
        <v/>
      </c>
      <c r="LD13" t="str">
        <f>IF('Data Checking'!LP13="","",'Data Checking'!LP13)</f>
        <v/>
      </c>
      <c r="LE13" t="str">
        <f>IF('Data Checking'!LQ13="","",'Data Checking'!LQ13)</f>
        <v/>
      </c>
      <c r="LF13" t="str">
        <f>IF('Data Checking'!LR13="","",'Data Checking'!LR13)</f>
        <v/>
      </c>
      <c r="LG13" t="str">
        <f>IF('Data Checking'!LS13="","",'Data Checking'!LS13)</f>
        <v/>
      </c>
      <c r="LH13" t="str">
        <f>IF('Data Checking'!LT13="","",'Data Checking'!LT13)</f>
        <v/>
      </c>
      <c r="LI13" t="str">
        <f>IF('Data Checking'!LU13="","",'Data Checking'!LU13)</f>
        <v/>
      </c>
      <c r="LJ13" t="str">
        <f>IF('Data Checking'!LV13="","",'Data Checking'!LV13)</f>
        <v/>
      </c>
      <c r="LK13" t="str">
        <f>IF('Data Checking'!LW13="","",'Data Checking'!LW13)</f>
        <v/>
      </c>
      <c r="LL13" t="str">
        <f>IF('Data Checking'!LX13="","",'Data Checking'!LX13)</f>
        <v/>
      </c>
      <c r="LM13" t="str">
        <f>IF('Data Checking'!LY13="","",'Data Checking'!LY13)</f>
        <v/>
      </c>
      <c r="LN13" t="str">
        <f>IF('Data Checking'!LZ13="","",'Data Checking'!LZ13)</f>
        <v/>
      </c>
      <c r="LO13" t="str">
        <f>IF('Data Checking'!MA13="","",'Data Checking'!MA13)</f>
        <v/>
      </c>
      <c r="LP13" t="str">
        <f>IF('Data Checking'!MB13="","",'Data Checking'!MB13)</f>
        <v>oui</v>
      </c>
      <c r="LQ13" t="str">
        <f>IF('Data Checking'!MC13="","",'Data Checking'!MC13)</f>
        <v/>
      </c>
      <c r="LR13" t="str">
        <f>IF('Data Checking'!MD13="","",'Data Checking'!MD13)</f>
        <v>Le nombre de personnes qui utilise le référencement est estimatif l'IC ne possede pas les statistiques exactes.</v>
      </c>
      <c r="LS13">
        <f>IF('Data Checking'!ME13="","",'Data Checking'!ME13)</f>
        <v>169235217</v>
      </c>
      <c r="LT13" t="str">
        <f>IF('Data Checking'!MF13="","",'Data Checking'!MF13)</f>
        <v>6ca50534-f189-442a-a32d-0405d9b74d30</v>
      </c>
      <c r="LU13" t="str">
        <f>IF('Data Checking'!MG13="","",'Data Checking'!MG13)</f>
        <v>2021-04-02T00:40:51</v>
      </c>
      <c r="LV13" t="str">
        <f>IF('Data Checking'!MH13="","",'Data Checking'!MH13)</f>
        <v/>
      </c>
      <c r="LW13" t="str">
        <f>IF('Data Checking'!MI13="","",'Data Checking'!MI13)</f>
        <v>[]</v>
      </c>
      <c r="LX13" t="str">
        <f>IF('Data Checking'!MJ13="","",'Data Checking'!MJ13)</f>
        <v>submitted_via_web</v>
      </c>
      <c r="LY13" t="str">
        <f>IF('Data Checking'!MK13="","",'Data Checking'!MK13)</f>
        <v>reach_niger</v>
      </c>
      <c r="LZ13" t="str">
        <f>IF('Data Checking'!ML13="","",'Data Checking'!ML13)</f>
        <v/>
      </c>
      <c r="MA13">
        <f>IF('Data Checking'!MM13="","",'Data Checking'!MM13)</f>
        <v>20</v>
      </c>
    </row>
    <row r="14" spans="1:339" x14ac:dyDescent="0.3">
      <c r="A14" t="str">
        <f>IF('Data Checking'!D14="","",'Data Checking'!D14)</f>
        <v>2021-04-02T18:16:11.391+01:00</v>
      </c>
      <c r="B14" t="str">
        <f>IF('Data Checking'!E14="","",'Data Checking'!E14)</f>
        <v>2021-04-02T18:34:06.935+01:00</v>
      </c>
      <c r="C14" t="str">
        <f>IF('Data Checking'!M14="","",'Data Checking'!M14)</f>
        <v>2021-04-02</v>
      </c>
      <c r="D14" t="str">
        <f>IF('Data Checking'!N14="","",'Data Checking'!N14)</f>
        <v/>
      </c>
      <c r="E14" t="str">
        <f>IF('Data Checking'!O14="","",'Data Checking'!O14)</f>
        <v/>
      </c>
      <c r="F14" t="str">
        <f>IF('Data Checking'!R14="","",'Data Checking'!R14)</f>
        <v>Homme</v>
      </c>
      <c r="G14" t="str">
        <f>IF('Data Checking'!S14="","",'Data Checking'!S14)</f>
        <v>ayerou</v>
      </c>
      <c r="H14" t="str">
        <f>IF('Data Checking'!T14="","",'Data Checking'!T14)</f>
        <v>ayerou</v>
      </c>
      <c r="I14" t="str">
        <f>IF('Data Checking'!U14="","",'Data Checking'!U14)</f>
        <v>autre</v>
      </c>
      <c r="J14" t="str">
        <f>IF('Data Checking'!V14="","",'Data Checking'!V14)</f>
        <v>Tous les sites PDI de la zone de compétence de l'IC</v>
      </c>
      <c r="K14" t="str">
        <f>IF('Data Checking'!W14="","",'Data Checking'!W14)</f>
        <v/>
      </c>
      <c r="L14" t="str">
        <f>IF('Data Checking'!X14="","",'Data Checking'!X14)</f>
        <v/>
      </c>
      <c r="M14" t="str">
        <f>IF('Data Checking'!Y14="","",'Data Checking'!Y14)</f>
        <v/>
      </c>
      <c r="N14" t="str">
        <f>IF('Data Checking'!Z14="","",'Data Checking'!Z14)</f>
        <v/>
      </c>
      <c r="O14" t="str">
        <f>IF('Data Checking'!AA14="","",'Data Checking'!AA14)</f>
        <v/>
      </c>
      <c r="P14" t="str">
        <f>IF('Data Checking'!AB14="","",'Data Checking'!AB14)</f>
        <v/>
      </c>
      <c r="Q14" t="str">
        <f>IF('Data Checking'!AC14="","",'Data Checking'!AC14)</f>
        <v/>
      </c>
      <c r="R14" t="str">
        <f>IF('Data Checking'!AD14="","",'Data Checking'!AD14)</f>
        <v>Homme</v>
      </c>
      <c r="S14" t="str">
        <f>IF('Data Checking'!AE14="","",'Data Checking'!AE14)</f>
        <v>34</v>
      </c>
      <c r="T14" t="str">
        <f>IF('Data Checking'!AF14="","",'Data Checking'!AF14)</f>
        <v>Hote</v>
      </c>
      <c r="U14" t="str">
        <f>IF('Data Checking'!AG14="","",'Data Checking'!AG14)</f>
        <v/>
      </c>
      <c r="V14" t="str">
        <f>IF('Data Checking'!AH14="","",'Data Checking'!AH14)</f>
        <v/>
      </c>
      <c r="W14" t="str">
        <f>IF('Data Checking'!AI14="","",'Data Checking'!AI14)</f>
        <v/>
      </c>
      <c r="X14" t="str">
        <f>IF('Data Checking'!AJ14="","",'Data Checking'!AJ14)</f>
        <v/>
      </c>
      <c r="Y14" t="str">
        <f>IF('Data Checking'!AK14="","",'Data Checking'!AK14)</f>
        <v/>
      </c>
      <c r="Z14" t="str">
        <f>IF('Data Checking'!AL14="","",'Data Checking'!AL14)</f>
        <v/>
      </c>
      <c r="AA14" t="str">
        <f>IF('Data Checking'!AM14="","",'Data Checking'!AM14)</f>
        <v/>
      </c>
      <c r="AB14" t="str">
        <f>IF('Data Checking'!AN14="","",'Data Checking'!AN14)</f>
        <v/>
      </c>
      <c r="AC14" t="str">
        <f>IF('Data Checking'!AO14="","",'Data Checking'!AO14)</f>
        <v/>
      </c>
      <c r="AD14" t="str">
        <f>IF('Data Checking'!AP14="","",'Data Checking'!AP14)</f>
        <v/>
      </c>
      <c r="AE14" t="str">
        <f>IF('Data Checking'!AQ14="","",'Data Checking'!AQ14)</f>
        <v/>
      </c>
      <c r="AF14" t="str">
        <f>IF('Data Checking'!AR14="","",'Data Checking'!AR14)</f>
        <v/>
      </c>
      <c r="AG14" t="str">
        <f>IF('Data Checking'!AS14="","",'Data Checking'!AS14)</f>
        <v>non</v>
      </c>
      <c r="AH14" t="str">
        <f>IF('Data Checking'!AT14="","",'Data Checking'!AT14)</f>
        <v/>
      </c>
      <c r="AI14" t="str">
        <f>IF('Data Checking'!AU14="","",'Data Checking'!AU14)</f>
        <v/>
      </c>
      <c r="AJ14" t="str">
        <f>IF('Data Checking'!AV14="","",'Data Checking'!AV14)</f>
        <v/>
      </c>
      <c r="AK14" t="str">
        <f>IF('Data Checking'!AW14="","",'Data Checking'!AW14)</f>
        <v/>
      </c>
      <c r="AL14" t="str">
        <f>IF('Data Checking'!AX14="","",'Data Checking'!AX14)</f>
        <v/>
      </c>
      <c r="AM14" t="str">
        <f>IF('Data Checking'!AY14="","",'Data Checking'!AY14)</f>
        <v/>
      </c>
      <c r="AN14" t="str">
        <f>IF('Data Checking'!AZ14="","",'Data Checking'!AZ14)</f>
        <v/>
      </c>
      <c r="AO14" t="str">
        <f>IF('Data Checking'!BA14="","",'Data Checking'!BA14)</f>
        <v/>
      </c>
      <c r="AP14" t="str">
        <f>IF('Data Checking'!BB14="","",'Data Checking'!BB14)</f>
        <v/>
      </c>
      <c r="AQ14" t="str">
        <f>IF('Data Checking'!BC14="","",'Data Checking'!BC14)</f>
        <v/>
      </c>
      <c r="AR14" t="str">
        <f>IF('Data Checking'!BD14="","",'Data Checking'!BD14)</f>
        <v/>
      </c>
      <c r="AS14" t="str">
        <f>IF('Data Checking'!BE14="","",'Data Checking'!BE14)</f>
        <v/>
      </c>
      <c r="AT14" t="str">
        <f>IF('Data Checking'!BF14="","",'Data Checking'!BF14)</f>
        <v/>
      </c>
      <c r="AU14" t="str">
        <f>IF('Data Checking'!BG14="","",'Data Checking'!BG14)</f>
        <v/>
      </c>
      <c r="AV14" t="str">
        <f>IF('Data Checking'!BH14="","",'Data Checking'!BH14)</f>
        <v/>
      </c>
      <c r="AW14" t="str">
        <f>IF('Data Checking'!BI14="","",'Data Checking'!BI14)</f>
        <v/>
      </c>
      <c r="AX14" t="str">
        <f>IF('Data Checking'!BJ14="","",'Data Checking'!BJ14)</f>
        <v/>
      </c>
      <c r="AY14" t="str">
        <f>IF('Data Checking'!BK14="","",'Data Checking'!BK14)</f>
        <v/>
      </c>
      <c r="AZ14" t="str">
        <f>IF('Data Checking'!BL14="","",'Data Checking'!BL14)</f>
        <v/>
      </c>
      <c r="BA14" t="str">
        <f>IF('Data Checking'!BM14="","",'Data Checking'!BM14)</f>
        <v/>
      </c>
      <c r="BB14" t="str">
        <f>IF('Data Checking'!BN14="","",'Data Checking'!BN14)</f>
        <v/>
      </c>
      <c r="BC14" t="str">
        <f>IF('Data Checking'!BO14="","",'Data Checking'!BO14)</f>
        <v/>
      </c>
      <c r="BD14" t="str">
        <f>IF('Data Checking'!BP14="","",'Data Checking'!BP14)</f>
        <v/>
      </c>
      <c r="BE14" t="str">
        <f>IF('Data Checking'!BQ14="","",'Data Checking'!BQ14)</f>
        <v/>
      </c>
      <c r="BF14" t="str">
        <f>IF('Data Checking'!BR14="","",'Data Checking'!BR14)</f>
        <v/>
      </c>
      <c r="BG14" t="str">
        <f>IF('Data Checking'!BS14="","",'Data Checking'!BS14)</f>
        <v/>
      </c>
      <c r="BH14" t="str">
        <f>IF('Data Checking'!BT14="","",'Data Checking'!BT14)</f>
        <v/>
      </c>
      <c r="BI14" t="str">
        <f>IF('Data Checking'!BU14="","",'Data Checking'!BU14)</f>
        <v/>
      </c>
      <c r="BJ14" t="str">
        <f>IF('Data Checking'!BV14="","",'Data Checking'!BV14)</f>
        <v/>
      </c>
      <c r="BK14" t="str">
        <f>IF('Data Checking'!BW14="","",'Data Checking'!BW14)</f>
        <v/>
      </c>
      <c r="BL14" t="str">
        <f>IF('Data Checking'!BX14="","",'Data Checking'!BX14)</f>
        <v/>
      </c>
      <c r="BM14" t="str">
        <f>IF('Data Checking'!BY14="","",'Data Checking'!BY14)</f>
        <v/>
      </c>
      <c r="BN14" t="str">
        <f>IF('Data Checking'!BZ14="","",'Data Checking'!BZ14)</f>
        <v/>
      </c>
      <c r="BO14" t="str">
        <f>IF('Data Checking'!CA14="","",'Data Checking'!CA14)</f>
        <v/>
      </c>
      <c r="BP14" t="str">
        <f>IF('Data Checking'!CB14="","",'Data Checking'!CB14)</f>
        <v/>
      </c>
      <c r="BQ14" t="str">
        <f>IF('Data Checking'!CC14="","",'Data Checking'!CC14)</f>
        <v>non</v>
      </c>
      <c r="BR14" t="str">
        <f>IF('Data Checking'!CD14="","",'Data Checking'!CD14)</f>
        <v/>
      </c>
      <c r="BS14" t="str">
        <f>IF('Data Checking'!CE14="","",'Data Checking'!CE14)</f>
        <v/>
      </c>
      <c r="BT14" t="str">
        <f>IF('Data Checking'!CF14="","",'Data Checking'!CF14)</f>
        <v/>
      </c>
      <c r="BU14" t="str">
        <f>IF('Data Checking'!CG14="","",'Data Checking'!CG14)</f>
        <v/>
      </c>
      <c r="BV14" t="str">
        <f>IF('Data Checking'!CH14="","",'Data Checking'!CH14)</f>
        <v/>
      </c>
      <c r="BW14" t="str">
        <f>IF('Data Checking'!CI14="","",'Data Checking'!CI14)</f>
        <v/>
      </c>
      <c r="BX14" t="str">
        <f>IF('Data Checking'!CJ14="","",'Data Checking'!CJ14)</f>
        <v/>
      </c>
      <c r="BY14" t="str">
        <f>IF('Data Checking'!CK14="","",'Data Checking'!CK14)</f>
        <v/>
      </c>
      <c r="BZ14" t="str">
        <f>IF('Data Checking'!CL14="","",'Data Checking'!CL14)</f>
        <v/>
      </c>
      <c r="CA14" t="str">
        <f>IF('Data Checking'!CM14="","",'Data Checking'!CM14)</f>
        <v/>
      </c>
      <c r="CB14" t="str">
        <f>IF('Data Checking'!CN14="","",'Data Checking'!CN14)</f>
        <v/>
      </c>
      <c r="CC14" t="str">
        <f>IF('Data Checking'!CO14="","",'Data Checking'!CO14)</f>
        <v/>
      </c>
      <c r="CD14" t="str">
        <f>IF('Data Checking'!CP14="","",'Data Checking'!CP14)</f>
        <v/>
      </c>
      <c r="CE14" t="str">
        <f>IF('Data Checking'!CQ14="","",'Data Checking'!CQ14)</f>
        <v/>
      </c>
      <c r="CF14" t="str">
        <f>IF('Data Checking'!CR14="","",'Data Checking'!CR14)</f>
        <v/>
      </c>
      <c r="CG14" t="str">
        <f>IF('Data Checking'!CS14="","",'Data Checking'!CS14)</f>
        <v/>
      </c>
      <c r="CH14" t="str">
        <f>IF('Data Checking'!CT14="","",'Data Checking'!CT14)</f>
        <v/>
      </c>
      <c r="CI14" t="str">
        <f>IF('Data Checking'!CU14="","",'Data Checking'!CU14)</f>
        <v/>
      </c>
      <c r="CJ14" t="str">
        <f>IF('Data Checking'!CV14="","",'Data Checking'!CV14)</f>
        <v/>
      </c>
      <c r="CK14" t="str">
        <f>IF('Data Checking'!CW14="","",'Data Checking'!CW14)</f>
        <v/>
      </c>
      <c r="CL14" t="str">
        <f>IF('Data Checking'!CX14="","",'Data Checking'!CX14)</f>
        <v/>
      </c>
      <c r="CM14" t="str">
        <f>IF('Data Checking'!CY14="","",'Data Checking'!CY14)</f>
        <v/>
      </c>
      <c r="CN14" t="str">
        <f>IF('Data Checking'!CZ14="","",'Data Checking'!CZ14)</f>
        <v/>
      </c>
      <c r="CO14" t="str">
        <f>IF('Data Checking'!DA14="","",'Data Checking'!DA14)</f>
        <v/>
      </c>
      <c r="CP14" t="str">
        <f>IF('Data Checking'!DB14="","",'Data Checking'!DB14)</f>
        <v/>
      </c>
      <c r="CQ14" t="str">
        <f>IF('Data Checking'!DC14="","",'Data Checking'!DC14)</f>
        <v/>
      </c>
      <c r="CR14" t="str">
        <f>IF('Data Checking'!DD14="","",'Data Checking'!DD14)</f>
        <v/>
      </c>
      <c r="CS14" t="str">
        <f>IF('Data Checking'!DE14="","",'Data Checking'!DE14)</f>
        <v/>
      </c>
      <c r="CT14" t="str">
        <f>IF('Data Checking'!DF14="","",'Data Checking'!DF14)</f>
        <v/>
      </c>
      <c r="CU14" t="str">
        <f>IF('Data Checking'!DG14="","",'Data Checking'!DG14)</f>
        <v/>
      </c>
      <c r="CV14" t="str">
        <f>IF('Data Checking'!DH14="","",'Data Checking'!DH14)</f>
        <v/>
      </c>
      <c r="CW14" t="str">
        <f>IF('Data Checking'!DI14="","",'Data Checking'!DI14)</f>
        <v/>
      </c>
      <c r="CX14" t="str">
        <f>IF('Data Checking'!DJ14="","",'Data Checking'!DJ14)</f>
        <v/>
      </c>
      <c r="CY14" t="str">
        <f>IF('Data Checking'!DK14="","",'Data Checking'!DK14)</f>
        <v/>
      </c>
      <c r="CZ14" t="str">
        <f>IF('Data Checking'!DL14="","",'Data Checking'!DL14)</f>
        <v/>
      </c>
      <c r="DA14" t="str">
        <f>IF('Data Checking'!DM14="","",'Data Checking'!DM14)</f>
        <v/>
      </c>
      <c r="DB14" t="str">
        <f>IF('Data Checking'!DN14="","",'Data Checking'!DN14)</f>
        <v/>
      </c>
      <c r="DC14" t="str">
        <f>IF('Data Checking'!DO14="","",'Data Checking'!DO14)</f>
        <v/>
      </c>
      <c r="DD14" t="str">
        <f>IF('Data Checking'!DP14="","",'Data Checking'!DP14)</f>
        <v/>
      </c>
      <c r="DE14" t="str">
        <f>IF('Data Checking'!DQ14="","",'Data Checking'!DQ14)</f>
        <v/>
      </c>
      <c r="DF14" t="str">
        <f>IF('Data Checking'!DR14="","",'Data Checking'!DR14)</f>
        <v/>
      </c>
      <c r="DG14" t="str">
        <f>IF('Data Checking'!DS14="","",'Data Checking'!DS14)</f>
        <v/>
      </c>
      <c r="DH14" t="str">
        <f>IF('Data Checking'!DT14="","",'Data Checking'!DT14)</f>
        <v/>
      </c>
      <c r="DI14" t="str">
        <f>IF('Data Checking'!DU14="","",'Data Checking'!DU14)</f>
        <v/>
      </c>
      <c r="DJ14" t="str">
        <f>IF('Data Checking'!DV14="","",'Data Checking'!DV14)</f>
        <v/>
      </c>
      <c r="DK14" t="str">
        <f>IF('Data Checking'!DW14="","",'Data Checking'!DW14)</f>
        <v/>
      </c>
      <c r="DL14" t="str">
        <f>IF('Data Checking'!DX14="","",'Data Checking'!DX14)</f>
        <v/>
      </c>
      <c r="DM14" t="str">
        <f>IF('Data Checking'!DY14="","",'Data Checking'!DY14)</f>
        <v/>
      </c>
      <c r="DN14" t="str">
        <f>IF('Data Checking'!DZ14="","",'Data Checking'!DZ14)</f>
        <v/>
      </c>
      <c r="DO14" t="str">
        <f>IF('Data Checking'!EA14="","",'Data Checking'!EA14)</f>
        <v/>
      </c>
      <c r="DP14" t="str">
        <f>IF('Data Checking'!EB14="","",'Data Checking'!EB14)</f>
        <v/>
      </c>
      <c r="DQ14" t="str">
        <f>IF('Data Checking'!EC14="","",'Data Checking'!EC14)</f>
        <v/>
      </c>
      <c r="DR14" t="str">
        <f>IF('Data Checking'!ED14="","",'Data Checking'!ED14)</f>
        <v/>
      </c>
      <c r="DS14" t="str">
        <f>IF('Data Checking'!EE14="","",'Data Checking'!EE14)</f>
        <v/>
      </c>
      <c r="DT14" t="str">
        <f>IF('Data Checking'!EF14="","",'Data Checking'!EF14)</f>
        <v/>
      </c>
      <c r="DU14" t="str">
        <f>IF('Data Checking'!EG14="","",'Data Checking'!EG14)</f>
        <v/>
      </c>
      <c r="DV14" t="str">
        <f>IF('Data Checking'!EH14="","",'Data Checking'!EH14)</f>
        <v/>
      </c>
      <c r="DW14" t="str">
        <f>IF('Data Checking'!EI14="","",'Data Checking'!EI14)</f>
        <v/>
      </c>
      <c r="DX14" t="str">
        <f>IF('Data Checking'!EJ14="","",'Data Checking'!EJ14)</f>
        <v/>
      </c>
      <c r="DY14" t="str">
        <f>IF('Data Checking'!EK14="","",'Data Checking'!EK14)</f>
        <v/>
      </c>
      <c r="DZ14" t="str">
        <f>IF('Data Checking'!EL14="","",'Data Checking'!EL14)</f>
        <v>dplct_abords_com Integration_com_hote Soutien_famille_amis Soutien_chef_village Soutien_psychosocial Soutien_en_AGR</v>
      </c>
      <c r="EA14" t="str">
        <f>IF('Data Checking'!EM14="","",'Data Checking'!EM14)</f>
        <v>1</v>
      </c>
      <c r="EB14" t="str">
        <f>IF('Data Checking'!EN14="","",'Data Checking'!EN14)</f>
        <v>1</v>
      </c>
      <c r="EC14" t="str">
        <f>IF('Data Checking'!EO14="","",'Data Checking'!EO14)</f>
        <v>1</v>
      </c>
      <c r="ED14" t="str">
        <f>IF('Data Checking'!EP14="","",'Data Checking'!EP14)</f>
        <v>1</v>
      </c>
      <c r="EE14" t="str">
        <f>IF('Data Checking'!EQ14="","",'Data Checking'!EQ14)</f>
        <v>1</v>
      </c>
      <c r="EF14" t="str">
        <f>IF('Data Checking'!ER14="","",'Data Checking'!ER14)</f>
        <v>1</v>
      </c>
      <c r="EG14" t="str">
        <f>IF('Data Checking'!ES14="","",'Data Checking'!ES14)</f>
        <v>0</v>
      </c>
      <c r="EH14" t="str">
        <f>IF('Data Checking'!ET14="","",'Data Checking'!ET14)</f>
        <v>0</v>
      </c>
      <c r="EI14" t="str">
        <f>IF('Data Checking'!EU14="","",'Data Checking'!EU14)</f>
        <v>0</v>
      </c>
      <c r="EJ14" t="str">
        <f>IF('Data Checking'!EV14="","",'Data Checking'!EV14)</f>
        <v/>
      </c>
      <c r="EK14" t="str">
        <f>IF('Data Checking'!EW14="","",'Data Checking'!EW14)</f>
        <v/>
      </c>
      <c r="EL14" t="str">
        <f>IF('Data Checking'!EX14="","",'Data Checking'!EX14)</f>
        <v>comite_protection famille_accueil comite_alerte comite_redevabilite comite_gestion_conflits enfant_pairs</v>
      </c>
      <c r="EM14" t="str">
        <f>IF('Data Checking'!EY14="","",'Data Checking'!EY14)</f>
        <v>0</v>
      </c>
      <c r="EN14" t="str">
        <f>IF('Data Checking'!EZ14="","",'Data Checking'!EZ14)</f>
        <v>1</v>
      </c>
      <c r="EO14" t="str">
        <f>IF('Data Checking'!FA14="","",'Data Checking'!FA14)</f>
        <v>1</v>
      </c>
      <c r="EP14" t="str">
        <f>IF('Data Checking'!FB14="","",'Data Checking'!FB14)</f>
        <v>1</v>
      </c>
      <c r="EQ14" t="str">
        <f>IF('Data Checking'!FC14="","",'Data Checking'!FC14)</f>
        <v>1</v>
      </c>
      <c r="ER14" t="str">
        <f>IF('Data Checking'!FD14="","",'Data Checking'!FD14)</f>
        <v>1</v>
      </c>
      <c r="ES14" t="str">
        <f>IF('Data Checking'!FE14="","",'Data Checking'!FE14)</f>
        <v>1</v>
      </c>
      <c r="ET14" t="str">
        <f>IF('Data Checking'!FF14="","",'Data Checking'!FF14)</f>
        <v>0</v>
      </c>
      <c r="EU14" t="str">
        <f>IF('Data Checking'!FG14="","",'Data Checking'!FG14)</f>
        <v>0</v>
      </c>
      <c r="EV14" t="str">
        <f>IF('Data Checking'!FH14="","",'Data Checking'!FH14)</f>
        <v>0</v>
      </c>
      <c r="EW14" t="str">
        <f>IF('Data Checking'!FI14="","",'Data Checking'!FI14)</f>
        <v/>
      </c>
      <c r="EX14" t="str">
        <f>IF('Data Checking'!FJ14="","",'Data Checking'!FJ14)</f>
        <v>oui</v>
      </c>
      <c r="EY14" t="str">
        <f>IF('Data Checking'!FK14="","",'Data Checking'!FK14)</f>
        <v>Radio_television Internet manif_sociales famille_amis Differents_comites_villageois Travailleurs_sociaux/hum Ecole</v>
      </c>
      <c r="EZ14" t="str">
        <f>IF('Data Checking'!FL14="","",'Data Checking'!FL14)</f>
        <v>1</v>
      </c>
      <c r="FA14" t="str">
        <f>IF('Data Checking'!FM14="","",'Data Checking'!FM14)</f>
        <v>0</v>
      </c>
      <c r="FB14" t="str">
        <f>IF('Data Checking'!FN14="","",'Data Checking'!FN14)</f>
        <v>1</v>
      </c>
      <c r="FC14" t="str">
        <f>IF('Data Checking'!FO14="","",'Data Checking'!FO14)</f>
        <v>1</v>
      </c>
      <c r="FD14" t="str">
        <f>IF('Data Checking'!FP14="","",'Data Checking'!FP14)</f>
        <v>0</v>
      </c>
      <c r="FE14" t="str">
        <f>IF('Data Checking'!FQ14="","",'Data Checking'!FQ14)</f>
        <v>1</v>
      </c>
      <c r="FF14" t="str">
        <f>IF('Data Checking'!FR14="","",'Data Checking'!FR14)</f>
        <v>0</v>
      </c>
      <c r="FG14" t="str">
        <f>IF('Data Checking'!FS14="","",'Data Checking'!FS14)</f>
        <v>0</v>
      </c>
      <c r="FH14" t="str">
        <f>IF('Data Checking'!FT14="","",'Data Checking'!FT14)</f>
        <v>1</v>
      </c>
      <c r="FI14" t="str">
        <f>IF('Data Checking'!FU14="","",'Data Checking'!FU14)</f>
        <v>0</v>
      </c>
      <c r="FJ14" t="str">
        <f>IF('Data Checking'!FV14="","",'Data Checking'!FV14)</f>
        <v>1</v>
      </c>
      <c r="FK14" t="str">
        <f>IF('Data Checking'!FW14="","",'Data Checking'!FW14)</f>
        <v>1</v>
      </c>
      <c r="FL14" t="str">
        <f>IF('Data Checking'!FX14="","",'Data Checking'!FX14)</f>
        <v>0</v>
      </c>
      <c r="FM14" t="str">
        <f>IF('Data Checking'!FY14="","",'Data Checking'!FY14)</f>
        <v>0</v>
      </c>
      <c r="FN14" t="str">
        <f>IF('Data Checking'!FZ14="","",'Data Checking'!FZ14)</f>
        <v/>
      </c>
      <c r="FO14" t="str">
        <f>IF('Data Checking'!GA14="","",'Data Checking'!GA14)</f>
        <v>oui_majorite</v>
      </c>
      <c r="FP14" t="str">
        <f>IF('Data Checking'!GB14="","",'Data Checking'!GB14)</f>
        <v>oui_majorite</v>
      </c>
      <c r="FQ14" t="str">
        <f>IF('Data Checking'!GC14="","",'Data Checking'!GC14)</f>
        <v>non_fonctionnelle manque_info</v>
      </c>
      <c r="FR14" t="str">
        <f>IF('Data Checking'!GD14="","",'Data Checking'!GD14)</f>
        <v>1</v>
      </c>
      <c r="FS14" t="str">
        <f>IF('Data Checking'!GE14="","",'Data Checking'!GE14)</f>
        <v>1</v>
      </c>
      <c r="FT14" t="str">
        <f>IF('Data Checking'!GF14="","",'Data Checking'!GF14)</f>
        <v>0</v>
      </c>
      <c r="FU14" t="str">
        <f>IF('Data Checking'!GG14="","",'Data Checking'!GG14)</f>
        <v>0</v>
      </c>
      <c r="FV14" t="str">
        <f>IF('Data Checking'!GH14="","",'Data Checking'!GH14)</f>
        <v>0</v>
      </c>
      <c r="FW14" t="str">
        <f>IF('Data Checking'!GI14="","",'Data Checking'!GI14)</f>
        <v>0</v>
      </c>
      <c r="FX14" t="str">
        <f>IF('Data Checking'!GJ14="","",'Data Checking'!GJ14)</f>
        <v>0</v>
      </c>
      <c r="FY14" t="str">
        <f>IF('Data Checking'!GK14="","",'Data Checking'!GK14)</f>
        <v>0</v>
      </c>
      <c r="FZ14" t="str">
        <f>IF('Data Checking'!GL14="","",'Data Checking'!GL14)</f>
        <v/>
      </c>
      <c r="GA14" t="str">
        <f>IF('Data Checking'!GM14="","",'Data Checking'!GM14)</f>
        <v>minorite</v>
      </c>
      <c r="GB14" t="str">
        <f>IF('Data Checking'!GN14="","",'Data Checking'!GN14)</f>
        <v>majorite</v>
      </c>
      <c r="GC14" t="str">
        <f>IF('Data Checking'!GO14="","",'Data Checking'!GO14)</f>
        <v>Education Services_de_sante Acces_aux_doc</v>
      </c>
      <c r="GD14" t="str">
        <f>IF('Data Checking'!GP14="","",'Data Checking'!GP14)</f>
        <v>0</v>
      </c>
      <c r="GE14" t="str">
        <f>IF('Data Checking'!GQ14="","",'Data Checking'!GQ14)</f>
        <v>1</v>
      </c>
      <c r="GF14" t="str">
        <f>IF('Data Checking'!GR14="","",'Data Checking'!GR14)</f>
        <v>0</v>
      </c>
      <c r="GG14" t="str">
        <f>IF('Data Checking'!GS14="","",'Data Checking'!GS14)</f>
        <v>1</v>
      </c>
      <c r="GH14" t="str">
        <f>IF('Data Checking'!GT14="","",'Data Checking'!GT14)</f>
        <v>1</v>
      </c>
      <c r="GI14" t="str">
        <f>IF('Data Checking'!GU14="","",'Data Checking'!GU14)</f>
        <v>0</v>
      </c>
      <c r="GJ14" t="str">
        <f>IF('Data Checking'!GV14="","",'Data Checking'!GV14)</f>
        <v>0</v>
      </c>
      <c r="GK14" t="str">
        <f>IF('Data Checking'!GW14="","",'Data Checking'!GW14)</f>
        <v>0</v>
      </c>
      <c r="GL14" t="str">
        <f>IF('Data Checking'!GX14="","",'Data Checking'!GX14)</f>
        <v>0</v>
      </c>
      <c r="GM14" t="str">
        <f>IF('Data Checking'!GY14="","",'Data Checking'!GY14)</f>
        <v/>
      </c>
      <c r="GN14" t="str">
        <f>IF('Data Checking'!GZ14="","",'Data Checking'!GZ14)</f>
        <v>oui_majorite</v>
      </c>
      <c r="GO14" t="str">
        <f>IF('Data Checking'!HA14="","",'Data Checking'!HA14)</f>
        <v>oui_majorite</v>
      </c>
      <c r="GP14" t="str">
        <f>IF('Data Checking'!HB14="","",'Data Checking'!HB14)</f>
        <v>amelioration_futur permet_eviter_conflits diminution_tensions</v>
      </c>
      <c r="GQ14" t="str">
        <f>IF('Data Checking'!HC14="","",'Data Checking'!HC14)</f>
        <v>1</v>
      </c>
      <c r="GR14" t="str">
        <f>IF('Data Checking'!HD14="","",'Data Checking'!HD14)</f>
        <v>0</v>
      </c>
      <c r="GS14" t="str">
        <f>IF('Data Checking'!HE14="","",'Data Checking'!HE14)</f>
        <v>0</v>
      </c>
      <c r="GT14" t="str">
        <f>IF('Data Checking'!HF14="","",'Data Checking'!HF14)</f>
        <v>1</v>
      </c>
      <c r="GU14" t="str">
        <f>IF('Data Checking'!HG14="","",'Data Checking'!HG14)</f>
        <v>0</v>
      </c>
      <c r="GV14" t="str">
        <f>IF('Data Checking'!HH14="","",'Data Checking'!HH14)</f>
        <v>1</v>
      </c>
      <c r="GW14" t="str">
        <f>IF('Data Checking'!HI14="","",'Data Checking'!HI14)</f>
        <v>0</v>
      </c>
      <c r="GX14" t="str">
        <f>IF('Data Checking'!HJ14="","",'Data Checking'!HJ14)</f>
        <v>0</v>
      </c>
      <c r="GY14" t="str">
        <f>IF('Data Checking'!HK14="","",'Data Checking'!HK14)</f>
        <v/>
      </c>
      <c r="GZ14" t="str">
        <f>IF('Data Checking'!HL14="","",'Data Checking'!HL14)</f>
        <v>ne_contribue_pas</v>
      </c>
      <c r="HA14" t="str">
        <f>IF('Data Checking'!HM14="","",'Data Checking'!HM14)</f>
        <v>1</v>
      </c>
      <c r="HB14" t="str">
        <f>IF('Data Checking'!HN14="","",'Data Checking'!HN14)</f>
        <v>0</v>
      </c>
      <c r="HC14" t="str">
        <f>IF('Data Checking'!HO14="","",'Data Checking'!HO14)</f>
        <v>0</v>
      </c>
      <c r="HD14" t="str">
        <f>IF('Data Checking'!HP14="","",'Data Checking'!HP14)</f>
        <v>0</v>
      </c>
      <c r="HE14" t="str">
        <f>IF('Data Checking'!HQ14="","",'Data Checking'!HQ14)</f>
        <v>0</v>
      </c>
      <c r="HF14" t="str">
        <f>IF('Data Checking'!HR14="","",'Data Checking'!HR14)</f>
        <v>0</v>
      </c>
      <c r="HG14" t="str">
        <f>IF('Data Checking'!HS14="","",'Data Checking'!HS14)</f>
        <v/>
      </c>
      <c r="HH14" t="str">
        <f>IF('Data Checking'!HT14="","",'Data Checking'!HT14)</f>
        <v/>
      </c>
      <c r="HI14" t="str">
        <f>IF('Data Checking'!HU14="","",'Data Checking'!HU14)</f>
        <v>oui_minorite</v>
      </c>
      <c r="HJ14" t="str">
        <f>IF('Data Checking'!HV14="","",'Data Checking'!HV14)</f>
        <v>gvt fds_arme autorite_locale_leaders ingo ong_locale famille_amis</v>
      </c>
      <c r="HK14" t="str">
        <f>IF('Data Checking'!HW14="","",'Data Checking'!HW14)</f>
        <v>1</v>
      </c>
      <c r="HL14" t="str">
        <f>IF('Data Checking'!HX14="","",'Data Checking'!HX14)</f>
        <v>1</v>
      </c>
      <c r="HM14" t="str">
        <f>IF('Data Checking'!HY14="","",'Data Checking'!HY14)</f>
        <v>1</v>
      </c>
      <c r="HN14" t="str">
        <f>IF('Data Checking'!HZ14="","",'Data Checking'!HZ14)</f>
        <v>0</v>
      </c>
      <c r="HO14" t="str">
        <f>IF('Data Checking'!IA14="","",'Data Checking'!IA14)</f>
        <v>1</v>
      </c>
      <c r="HP14" t="str">
        <f>IF('Data Checking'!IB14="","",'Data Checking'!IB14)</f>
        <v>1</v>
      </c>
      <c r="HQ14" t="str">
        <f>IF('Data Checking'!IC14="","",'Data Checking'!IC14)</f>
        <v>1</v>
      </c>
      <c r="HR14" t="str">
        <f>IF('Data Checking'!ID14="","",'Data Checking'!ID14)</f>
        <v>0</v>
      </c>
      <c r="HS14" t="str">
        <f>IF('Data Checking'!IE14="","",'Data Checking'!IE14)</f>
        <v>0</v>
      </c>
      <c r="HT14" t="str">
        <f>IF('Data Checking'!IF14="","",'Data Checking'!IF14)</f>
        <v>0</v>
      </c>
      <c r="HU14" t="str">
        <f>IF('Data Checking'!IG14="","",'Data Checking'!IG14)</f>
        <v/>
      </c>
      <c r="HV14" t="str">
        <f>IF('Data Checking'!IH14="","",'Data Checking'!IH14)</f>
        <v>oui</v>
      </c>
      <c r="HW14" t="str">
        <f>IF('Data Checking'!II14="","",'Data Checking'!II14)</f>
        <v/>
      </c>
      <c r="HX14" t="str">
        <f>IF('Data Checking'!IJ14="","",'Data Checking'!IJ14)</f>
        <v/>
      </c>
      <c r="HY14" t="str">
        <f>IF('Data Checking'!IK14="","",'Data Checking'!IK14)</f>
        <v/>
      </c>
      <c r="HZ14" t="str">
        <f>IF('Data Checking'!IL14="","",'Data Checking'!IL14)</f>
        <v/>
      </c>
      <c r="IA14" t="str">
        <f>IF('Data Checking'!IM14="","",'Data Checking'!IM14)</f>
        <v/>
      </c>
      <c r="IB14" t="str">
        <f>IF('Data Checking'!IN14="","",'Data Checking'!IN14)</f>
        <v/>
      </c>
      <c r="IC14" t="str">
        <f>IF('Data Checking'!IO14="","",'Data Checking'!IO14)</f>
        <v/>
      </c>
      <c r="ID14" t="str">
        <f>IF('Data Checking'!IP14="","",'Data Checking'!IP14)</f>
        <v/>
      </c>
      <c r="IE14" t="str">
        <f>IF('Data Checking'!IQ14="","",'Data Checking'!IQ14)</f>
        <v/>
      </c>
      <c r="IF14" t="str">
        <f>IF('Data Checking'!IR14="","",'Data Checking'!IR14)</f>
        <v/>
      </c>
      <c r="IG14" t="str">
        <f>IF('Data Checking'!IS14="","",'Data Checking'!IS14)</f>
        <v/>
      </c>
      <c r="IH14" t="str">
        <f>IF('Data Checking'!IT14="","",'Data Checking'!IT14)</f>
        <v/>
      </c>
      <c r="II14" t="str">
        <f>IF('Data Checking'!IU14="","",'Data Checking'!IU14)</f>
        <v/>
      </c>
      <c r="IJ14" t="str">
        <f>IF('Data Checking'!IV14="","",'Data Checking'!IV14)</f>
        <v/>
      </c>
      <c r="IK14" t="str">
        <f>IF('Data Checking'!IW14="","",'Data Checking'!IW14)</f>
        <v/>
      </c>
      <c r="IL14" t="str">
        <f>IF('Data Checking'!IX14="","",'Data Checking'!IX14)</f>
        <v/>
      </c>
      <c r="IM14" t="str">
        <f>IF('Data Checking'!IY14="","",'Data Checking'!IY14)</f>
        <v/>
      </c>
      <c r="IN14" t="str">
        <f>IF('Data Checking'!IZ14="","",'Data Checking'!IZ14)</f>
        <v>8</v>
      </c>
      <c r="IO14" t="str">
        <f>IF('Data Checking'!JA14="","",'Data Checking'!JA14)</f>
        <v>Services_medicaux Services_educatifs acces_docs reinsertion</v>
      </c>
      <c r="IP14" t="str">
        <f>IF('Data Checking'!JB14="","",'Data Checking'!JB14)</f>
        <v>0</v>
      </c>
      <c r="IQ14" t="str">
        <f>IF('Data Checking'!JC14="","",'Data Checking'!JC14)</f>
        <v>1</v>
      </c>
      <c r="IR14" t="str">
        <f>IF('Data Checking'!JD14="","",'Data Checking'!JD14)</f>
        <v>1</v>
      </c>
      <c r="IS14" t="str">
        <f>IF('Data Checking'!JE14="","",'Data Checking'!JE14)</f>
        <v>0</v>
      </c>
      <c r="IT14" t="str">
        <f>IF('Data Checking'!JF14="","",'Data Checking'!JF14)</f>
        <v>1</v>
      </c>
      <c r="IU14" t="str">
        <f>IF('Data Checking'!JG14="","",'Data Checking'!JG14)</f>
        <v>0</v>
      </c>
      <c r="IV14" t="str">
        <f>IF('Data Checking'!JH14="","",'Data Checking'!JH14)</f>
        <v>0</v>
      </c>
      <c r="IW14" t="str">
        <f>IF('Data Checking'!JI14="","",'Data Checking'!JI14)</f>
        <v>0</v>
      </c>
      <c r="IX14" t="str">
        <f>IF('Data Checking'!JJ14="","",'Data Checking'!JJ14)</f>
        <v>1</v>
      </c>
      <c r="IY14" t="str">
        <f>IF('Data Checking'!JK14="","",'Data Checking'!JK14)</f>
        <v>0</v>
      </c>
      <c r="IZ14" t="str">
        <f>IF('Data Checking'!JL14="","",'Data Checking'!JL14)</f>
        <v/>
      </c>
      <c r="JA14" t="str">
        <f>IF('Data Checking'!JM14="","",'Data Checking'!JM14)</f>
        <v>prise_enchage reorientation signalement</v>
      </c>
      <c r="JB14" t="str">
        <f>IF('Data Checking'!JN14="","",'Data Checking'!JN14)</f>
        <v>1</v>
      </c>
      <c r="JC14" t="str">
        <f>IF('Data Checking'!JO14="","",'Data Checking'!JO14)</f>
        <v>1</v>
      </c>
      <c r="JD14" t="str">
        <f>IF('Data Checking'!JP14="","",'Data Checking'!JP14)</f>
        <v>1</v>
      </c>
      <c r="JE14" t="str">
        <f>IF('Data Checking'!JQ14="","",'Data Checking'!JQ14)</f>
        <v>0</v>
      </c>
      <c r="JF14" t="str">
        <f>IF('Data Checking'!JR14="","",'Data Checking'!JR14)</f>
        <v>0</v>
      </c>
      <c r="JG14" t="str">
        <f>IF('Data Checking'!JS14="","",'Data Checking'!JS14)</f>
        <v>0</v>
      </c>
      <c r="JH14" t="str">
        <f>IF('Data Checking'!JT14="","",'Data Checking'!JT14)</f>
        <v/>
      </c>
      <c r="JI14" t="str">
        <f>IF('Data Checking'!JU14="","",'Data Checking'!JU14)</f>
        <v>medical juridique surete</v>
      </c>
      <c r="JJ14" t="str">
        <f>IF('Data Checking'!JV14="","",'Data Checking'!JV14)</f>
        <v>1</v>
      </c>
      <c r="JK14" t="str">
        <f>IF('Data Checking'!JW14="","",'Data Checking'!JW14)</f>
        <v>0</v>
      </c>
      <c r="JL14" t="str">
        <f>IF('Data Checking'!JX14="","",'Data Checking'!JX14)</f>
        <v>0</v>
      </c>
      <c r="JM14" t="str">
        <f>IF('Data Checking'!JY14="","",'Data Checking'!JY14)</f>
        <v>1</v>
      </c>
      <c r="JN14" t="str">
        <f>IF('Data Checking'!JZ14="","",'Data Checking'!JZ14)</f>
        <v>1</v>
      </c>
      <c r="JO14" t="str">
        <f>IF('Data Checking'!KA14="","",'Data Checking'!KA14)</f>
        <v>0</v>
      </c>
      <c r="JP14" t="str">
        <f>IF('Data Checking'!KB14="","",'Data Checking'!KB14)</f>
        <v>0</v>
      </c>
      <c r="JQ14" t="str">
        <f>IF('Data Checking'!KC14="","",'Data Checking'!KC14)</f>
        <v>0</v>
      </c>
      <c r="JR14" t="str">
        <f>IF('Data Checking'!KD14="","",'Data Checking'!KD14)</f>
        <v>0</v>
      </c>
      <c r="JS14" t="str">
        <f>IF('Data Checking'!KE14="","",'Data Checking'!KE14)</f>
        <v/>
      </c>
      <c r="JT14" t="str">
        <f>IF('Data Checking'!KF14="","",'Data Checking'!KF14)</f>
        <v>centre_formation</v>
      </c>
      <c r="JU14" t="str">
        <f>IF('Data Checking'!KG14="","",'Data Checking'!KG14)</f>
        <v>0</v>
      </c>
      <c r="JV14" t="str">
        <f>IF('Data Checking'!KH14="","",'Data Checking'!KH14)</f>
        <v>0</v>
      </c>
      <c r="JW14" t="str">
        <f>IF('Data Checking'!KI14="","",'Data Checking'!KI14)</f>
        <v>0</v>
      </c>
      <c r="JX14" t="str">
        <f>IF('Data Checking'!KJ14="","",'Data Checking'!KJ14)</f>
        <v>0</v>
      </c>
      <c r="JY14" t="str">
        <f>IF('Data Checking'!KK14="","",'Data Checking'!KK14)</f>
        <v>0</v>
      </c>
      <c r="JZ14" t="str">
        <f>IF('Data Checking'!KL14="","",'Data Checking'!KL14)</f>
        <v>0</v>
      </c>
      <c r="KA14" t="str">
        <f>IF('Data Checking'!KM14="","",'Data Checking'!KM14)</f>
        <v>1</v>
      </c>
      <c r="KB14" t="str">
        <f>IF('Data Checking'!KN14="","",'Data Checking'!KN14)</f>
        <v>0</v>
      </c>
      <c r="KC14" t="str">
        <f>IF('Data Checking'!KO14="","",'Data Checking'!KO14)</f>
        <v>0</v>
      </c>
      <c r="KD14" t="str">
        <f>IF('Data Checking'!KP14="","",'Data Checking'!KP14)</f>
        <v/>
      </c>
      <c r="KE14" t="str">
        <f>IF('Data Checking'!KQ14="","",'Data Checking'!KQ14)</f>
        <v/>
      </c>
      <c r="KF14" t="str">
        <f>IF('Data Checking'!KR14="","",'Data Checking'!KR14)</f>
        <v>non</v>
      </c>
      <c r="KG14" t="str">
        <f>IF('Data Checking'!KS14="","",'Data Checking'!KS14)</f>
        <v/>
      </c>
      <c r="KH14" t="str">
        <f>IF('Data Checking'!KT14="","",'Data Checking'!KT14)</f>
        <v/>
      </c>
      <c r="KI14" t="str">
        <f>IF('Data Checking'!KU14="","",'Data Checking'!KU14)</f>
        <v/>
      </c>
      <c r="KJ14" t="str">
        <f>IF('Data Checking'!KV14="","",'Data Checking'!KV14)</f>
        <v/>
      </c>
      <c r="KK14" t="str">
        <f>IF('Data Checking'!KW14="","",'Data Checking'!KW14)</f>
        <v/>
      </c>
      <c r="KL14" t="str">
        <f>IF('Data Checking'!KX14="","",'Data Checking'!KX14)</f>
        <v/>
      </c>
      <c r="KM14" t="str">
        <f>IF('Data Checking'!KY14="","",'Data Checking'!KY14)</f>
        <v/>
      </c>
      <c r="KN14" t="str">
        <f>IF('Data Checking'!KZ14="","",'Data Checking'!KZ14)</f>
        <v/>
      </c>
      <c r="KO14" t="str">
        <f>IF('Data Checking'!LA14="","",'Data Checking'!LA14)</f>
        <v/>
      </c>
      <c r="KP14" t="str">
        <f>IF('Data Checking'!LB14="","",'Data Checking'!LB14)</f>
        <v/>
      </c>
      <c r="KQ14" t="str">
        <f>IF('Data Checking'!LC14="","",'Data Checking'!LC14)</f>
        <v/>
      </c>
      <c r="KR14" t="str">
        <f>IF('Data Checking'!LD14="","",'Data Checking'!LD14)</f>
        <v/>
      </c>
      <c r="KS14" t="str">
        <f>IF('Data Checking'!LE14="","",'Data Checking'!LE14)</f>
        <v/>
      </c>
      <c r="KT14" t="str">
        <f>IF('Data Checking'!LF14="","",'Data Checking'!LF14)</f>
        <v/>
      </c>
      <c r="KU14" t="str">
        <f>IF('Data Checking'!LG14="","",'Data Checking'!LG14)</f>
        <v/>
      </c>
      <c r="KV14" t="str">
        <f>IF('Data Checking'!LH14="","",'Data Checking'!LH14)</f>
        <v/>
      </c>
      <c r="KW14" t="str">
        <f>IF('Data Checking'!LI14="","",'Data Checking'!LI14)</f>
        <v/>
      </c>
      <c r="KX14" t="str">
        <f>IF('Data Checking'!LJ14="","",'Data Checking'!LJ14)</f>
        <v/>
      </c>
      <c r="KY14" t="str">
        <f>IF('Data Checking'!LK14="","",'Data Checking'!LK14)</f>
        <v/>
      </c>
      <c r="KZ14" t="str">
        <f>IF('Data Checking'!LL14="","",'Data Checking'!LL14)</f>
        <v/>
      </c>
      <c r="LA14" t="str">
        <f>IF('Data Checking'!LM14="","",'Data Checking'!LM14)</f>
        <v/>
      </c>
      <c r="LB14" t="str">
        <f>IF('Data Checking'!LN14="","",'Data Checking'!LN14)</f>
        <v>non</v>
      </c>
      <c r="LC14" t="str">
        <f>IF('Data Checking'!LO14="","",'Data Checking'!LO14)</f>
        <v/>
      </c>
      <c r="LD14" t="str">
        <f>IF('Data Checking'!LP14="","",'Data Checking'!LP14)</f>
        <v/>
      </c>
      <c r="LE14" t="str">
        <f>IF('Data Checking'!LQ14="","",'Data Checking'!LQ14)</f>
        <v/>
      </c>
      <c r="LF14" t="str">
        <f>IF('Data Checking'!LR14="","",'Data Checking'!LR14)</f>
        <v/>
      </c>
      <c r="LG14" t="str">
        <f>IF('Data Checking'!LS14="","",'Data Checking'!LS14)</f>
        <v/>
      </c>
      <c r="LH14" t="str">
        <f>IF('Data Checking'!LT14="","",'Data Checking'!LT14)</f>
        <v/>
      </c>
      <c r="LI14" t="str">
        <f>IF('Data Checking'!LU14="","",'Data Checking'!LU14)</f>
        <v/>
      </c>
      <c r="LJ14" t="str">
        <f>IF('Data Checking'!LV14="","",'Data Checking'!LV14)</f>
        <v/>
      </c>
      <c r="LK14" t="str">
        <f>IF('Data Checking'!LW14="","",'Data Checking'!LW14)</f>
        <v/>
      </c>
      <c r="LL14" t="str">
        <f>IF('Data Checking'!LX14="","",'Data Checking'!LX14)</f>
        <v/>
      </c>
      <c r="LM14" t="str">
        <f>IF('Data Checking'!LY14="","",'Data Checking'!LY14)</f>
        <v/>
      </c>
      <c r="LN14" t="str">
        <f>IF('Data Checking'!LZ14="","",'Data Checking'!LZ14)</f>
        <v/>
      </c>
      <c r="LO14" t="str">
        <f>IF('Data Checking'!MA14="","",'Data Checking'!MA14)</f>
        <v/>
      </c>
      <c r="LP14" t="str">
        <f>IF('Data Checking'!MB14="","",'Data Checking'!MB14)</f>
        <v>oui</v>
      </c>
      <c r="LQ14" t="str">
        <f>IF('Data Checking'!MC14="","",'Data Checking'!MC14)</f>
        <v/>
      </c>
      <c r="LR14" t="str">
        <f>IF('Data Checking'!MD14="","",'Data Checking'!MD14)</f>
        <v/>
      </c>
      <c r="LS14">
        <f>IF('Data Checking'!ME14="","",'Data Checking'!ME14)</f>
        <v>169365634</v>
      </c>
      <c r="LT14" t="str">
        <f>IF('Data Checking'!MF14="","",'Data Checking'!MF14)</f>
        <v>2a86fdfe-cbe9-49c3-a512-9e3904f03dcb</v>
      </c>
      <c r="LU14" t="str">
        <f>IF('Data Checking'!MG14="","",'Data Checking'!MG14)</f>
        <v>2021-04-03T00:05:37</v>
      </c>
      <c r="LV14" t="str">
        <f>IF('Data Checking'!MH14="","",'Data Checking'!MH14)</f>
        <v/>
      </c>
      <c r="LW14" t="str">
        <f>IF('Data Checking'!MI14="","",'Data Checking'!MI14)</f>
        <v>[]</v>
      </c>
      <c r="LX14" t="str">
        <f>IF('Data Checking'!MJ14="","",'Data Checking'!MJ14)</f>
        <v>submitted_via_web</v>
      </c>
      <c r="LY14" t="str">
        <f>IF('Data Checking'!MK14="","",'Data Checking'!MK14)</f>
        <v>reach_niger</v>
      </c>
      <c r="LZ14" t="str">
        <f>IF('Data Checking'!ML14="","",'Data Checking'!ML14)</f>
        <v/>
      </c>
      <c r="MA14">
        <f>IF('Data Checking'!MM14="","",'Data Checking'!MM14)</f>
        <v>36</v>
      </c>
    </row>
    <row r="15" spans="1:339" x14ac:dyDescent="0.3">
      <c r="A15" t="str">
        <f>IF('Data Checking'!D15="","",'Data Checking'!D15)</f>
        <v>2021-03-31T12:27:01.898+01:00</v>
      </c>
      <c r="B15" t="str">
        <f>IF('Data Checking'!E15="","",'Data Checking'!E15)</f>
        <v>2021-03-31T15:49:12.315+01:00</v>
      </c>
      <c r="C15" t="str">
        <f>IF('Data Checking'!M15="","",'Data Checking'!M15)</f>
        <v>2021-03-31</v>
      </c>
      <c r="D15" t="str">
        <f>IF('Data Checking'!N15="","",'Data Checking'!N15)</f>
        <v/>
      </c>
      <c r="E15" t="str">
        <f>IF('Data Checking'!O15="","",'Data Checking'!O15)</f>
        <v/>
      </c>
      <c r="F15" t="str">
        <f>IF('Data Checking'!R15="","",'Data Checking'!R15)</f>
        <v>Homme</v>
      </c>
      <c r="G15" t="str">
        <f>IF('Data Checking'!S15="","",'Data Checking'!S15)</f>
        <v>ayerou</v>
      </c>
      <c r="H15" t="str">
        <f>IF('Data Checking'!T15="","",'Data Checking'!T15)</f>
        <v>ayerou</v>
      </c>
      <c r="I15" t="str">
        <f>IF('Data Checking'!U15="","",'Data Checking'!U15)</f>
        <v>ayarou_pdi</v>
      </c>
      <c r="J15" t="str">
        <f>IF('Data Checking'!V15="","",'Data Checking'!V15)</f>
        <v/>
      </c>
      <c r="K15" t="str">
        <f>IF('Data Checking'!W15="","",'Data Checking'!W15)</f>
        <v/>
      </c>
      <c r="L15" t="str">
        <f>IF('Data Checking'!X15="","",'Data Checking'!X15)</f>
        <v/>
      </c>
      <c r="M15" t="str">
        <f>IF('Data Checking'!Y15="","",'Data Checking'!Y15)</f>
        <v/>
      </c>
      <c r="N15" t="str">
        <f>IF('Data Checking'!Z15="","",'Data Checking'!Z15)</f>
        <v/>
      </c>
      <c r="O15" t="str">
        <f>IF('Data Checking'!AA15="","",'Data Checking'!AA15)</f>
        <v/>
      </c>
      <c r="P15" t="str">
        <f>IF('Data Checking'!AB15="","",'Data Checking'!AB15)</f>
        <v/>
      </c>
      <c r="Q15" t="str">
        <f>IF('Data Checking'!AC15="","",'Data Checking'!AC15)</f>
        <v/>
      </c>
      <c r="R15" t="str">
        <f>IF('Data Checking'!AD15="","",'Data Checking'!AD15)</f>
        <v>Homme</v>
      </c>
      <c r="S15" t="str">
        <f>IF('Data Checking'!AE15="","",'Data Checking'!AE15)</f>
        <v>31</v>
      </c>
      <c r="T15" t="str">
        <f>IF('Data Checking'!AF15="","",'Data Checking'!AF15)</f>
        <v>deplace_interne</v>
      </c>
      <c r="U15" t="str">
        <f>IF('Data Checking'!AG15="","",'Data Checking'!AG15)</f>
        <v/>
      </c>
      <c r="V15" t="str">
        <f>IF('Data Checking'!AH15="","",'Data Checking'!AH15)</f>
        <v/>
      </c>
      <c r="W15" t="str">
        <f>IF('Data Checking'!AI15="","",'Data Checking'!AI15)</f>
        <v/>
      </c>
      <c r="X15" t="str">
        <f>IF('Data Checking'!AJ15="","",'Data Checking'!AJ15)</f>
        <v/>
      </c>
      <c r="Y15" t="str">
        <f>IF('Data Checking'!AK15="","",'Data Checking'!AK15)</f>
        <v/>
      </c>
      <c r="Z15" t="str">
        <f>IF('Data Checking'!AL15="","",'Data Checking'!AL15)</f>
        <v>niger</v>
      </c>
      <c r="AA15" t="str">
        <f>IF('Data Checking'!AM15="","",'Data Checking'!AM15)</f>
        <v>tillaberi</v>
      </c>
      <c r="AB15" t="str">
        <f>IF('Data Checking'!AN15="","",'Data Checking'!AN15)</f>
        <v>ayerou</v>
      </c>
      <c r="AC15" t="str">
        <f>IF('Data Checking'!AO15="","",'Data Checking'!AO15)</f>
        <v/>
      </c>
      <c r="AD15" t="str">
        <f>IF('Data Checking'!AP15="","",'Data Checking'!AP15)</f>
        <v/>
      </c>
      <c r="AE15" t="str">
        <f>IF('Data Checking'!AQ15="","",'Data Checking'!AQ15)</f>
        <v/>
      </c>
      <c r="AF15" t="str">
        <f>IF('Data Checking'!AR15="","",'Data Checking'!AR15)</f>
        <v/>
      </c>
      <c r="AG15" t="str">
        <f>IF('Data Checking'!AS15="","",'Data Checking'!AS15)</f>
        <v>non</v>
      </c>
      <c r="AH15" t="str">
        <f>IF('Data Checking'!AT15="","",'Data Checking'!AT15)</f>
        <v/>
      </c>
      <c r="AI15" t="str">
        <f>IF('Data Checking'!AU15="","",'Data Checking'!AU15)</f>
        <v/>
      </c>
      <c r="AJ15" t="str">
        <f>IF('Data Checking'!AV15="","",'Data Checking'!AV15)</f>
        <v/>
      </c>
      <c r="AK15" t="str">
        <f>IF('Data Checking'!AW15="","",'Data Checking'!AW15)</f>
        <v/>
      </c>
      <c r="AL15" t="str">
        <f>IF('Data Checking'!AX15="","",'Data Checking'!AX15)</f>
        <v/>
      </c>
      <c r="AM15" t="str">
        <f>IF('Data Checking'!AY15="","",'Data Checking'!AY15)</f>
        <v/>
      </c>
      <c r="AN15" t="str">
        <f>IF('Data Checking'!AZ15="","",'Data Checking'!AZ15)</f>
        <v/>
      </c>
      <c r="AO15" t="str">
        <f>IF('Data Checking'!BA15="","",'Data Checking'!BA15)</f>
        <v/>
      </c>
      <c r="AP15" t="str">
        <f>IF('Data Checking'!BB15="","",'Data Checking'!BB15)</f>
        <v/>
      </c>
      <c r="AQ15" t="str">
        <f>IF('Data Checking'!BC15="","",'Data Checking'!BC15)</f>
        <v/>
      </c>
      <c r="AR15" t="str">
        <f>IF('Data Checking'!BD15="","",'Data Checking'!BD15)</f>
        <v/>
      </c>
      <c r="AS15" t="str">
        <f>IF('Data Checking'!BE15="","",'Data Checking'!BE15)</f>
        <v/>
      </c>
      <c r="AT15" t="str">
        <f>IF('Data Checking'!BF15="","",'Data Checking'!BF15)</f>
        <v/>
      </c>
      <c r="AU15" t="str">
        <f>IF('Data Checking'!BG15="","",'Data Checking'!BG15)</f>
        <v/>
      </c>
      <c r="AV15" t="str">
        <f>IF('Data Checking'!BH15="","",'Data Checking'!BH15)</f>
        <v/>
      </c>
      <c r="AW15" t="str">
        <f>IF('Data Checking'!BI15="","",'Data Checking'!BI15)</f>
        <v/>
      </c>
      <c r="AX15" t="str">
        <f>IF('Data Checking'!BJ15="","",'Data Checking'!BJ15)</f>
        <v/>
      </c>
      <c r="AY15" t="str">
        <f>IF('Data Checking'!BK15="","",'Data Checking'!BK15)</f>
        <v/>
      </c>
      <c r="AZ15" t="str">
        <f>IF('Data Checking'!BL15="","",'Data Checking'!BL15)</f>
        <v/>
      </c>
      <c r="BA15" t="str">
        <f>IF('Data Checking'!BM15="","",'Data Checking'!BM15)</f>
        <v/>
      </c>
      <c r="BB15" t="str">
        <f>IF('Data Checking'!BN15="","",'Data Checking'!BN15)</f>
        <v/>
      </c>
      <c r="BC15" t="str">
        <f>IF('Data Checking'!BO15="","",'Data Checking'!BO15)</f>
        <v/>
      </c>
      <c r="BD15" t="str">
        <f>IF('Data Checking'!BP15="","",'Data Checking'!BP15)</f>
        <v/>
      </c>
      <c r="BE15" t="str">
        <f>IF('Data Checking'!BQ15="","",'Data Checking'!BQ15)</f>
        <v/>
      </c>
      <c r="BF15" t="str">
        <f>IF('Data Checking'!BR15="","",'Data Checking'!BR15)</f>
        <v/>
      </c>
      <c r="BG15" t="str">
        <f>IF('Data Checking'!BS15="","",'Data Checking'!BS15)</f>
        <v/>
      </c>
      <c r="BH15" t="str">
        <f>IF('Data Checking'!BT15="","",'Data Checking'!BT15)</f>
        <v/>
      </c>
      <c r="BI15" t="str">
        <f>IF('Data Checking'!BU15="","",'Data Checking'!BU15)</f>
        <v/>
      </c>
      <c r="BJ15" t="str">
        <f>IF('Data Checking'!BV15="","",'Data Checking'!BV15)</f>
        <v/>
      </c>
      <c r="BK15" t="str">
        <f>IF('Data Checking'!BW15="","",'Data Checking'!BW15)</f>
        <v/>
      </c>
      <c r="BL15" t="str">
        <f>IF('Data Checking'!BX15="","",'Data Checking'!BX15)</f>
        <v/>
      </c>
      <c r="BM15" t="str">
        <f>IF('Data Checking'!BY15="","",'Data Checking'!BY15)</f>
        <v/>
      </c>
      <c r="BN15" t="str">
        <f>IF('Data Checking'!BZ15="","",'Data Checking'!BZ15)</f>
        <v/>
      </c>
      <c r="BO15" t="str">
        <f>IF('Data Checking'!CA15="","",'Data Checking'!CA15)</f>
        <v/>
      </c>
      <c r="BP15" t="str">
        <f>IF('Data Checking'!CB15="","",'Data Checking'!CB15)</f>
        <v/>
      </c>
      <c r="BQ15" t="str">
        <f>IF('Data Checking'!CC15="","",'Data Checking'!CC15)</f>
        <v>non</v>
      </c>
      <c r="BR15" t="str">
        <f>IF('Data Checking'!CD15="","",'Data Checking'!CD15)</f>
        <v/>
      </c>
      <c r="BS15" t="str">
        <f>IF('Data Checking'!CE15="","",'Data Checking'!CE15)</f>
        <v/>
      </c>
      <c r="BT15" t="str">
        <f>IF('Data Checking'!CF15="","",'Data Checking'!CF15)</f>
        <v/>
      </c>
      <c r="BU15" t="str">
        <f>IF('Data Checking'!CG15="","",'Data Checking'!CG15)</f>
        <v/>
      </c>
      <c r="BV15" t="str">
        <f>IF('Data Checking'!CH15="","",'Data Checking'!CH15)</f>
        <v/>
      </c>
      <c r="BW15" t="str">
        <f>IF('Data Checking'!CI15="","",'Data Checking'!CI15)</f>
        <v/>
      </c>
      <c r="BX15" t="str">
        <f>IF('Data Checking'!CJ15="","",'Data Checking'!CJ15)</f>
        <v/>
      </c>
      <c r="BY15" t="str">
        <f>IF('Data Checking'!CK15="","",'Data Checking'!CK15)</f>
        <v/>
      </c>
      <c r="BZ15" t="str">
        <f>IF('Data Checking'!CL15="","",'Data Checking'!CL15)</f>
        <v/>
      </c>
      <c r="CA15" t="str">
        <f>IF('Data Checking'!CM15="","",'Data Checking'!CM15)</f>
        <v/>
      </c>
      <c r="CB15" t="str">
        <f>IF('Data Checking'!CN15="","",'Data Checking'!CN15)</f>
        <v/>
      </c>
      <c r="CC15" t="str">
        <f>IF('Data Checking'!CO15="","",'Data Checking'!CO15)</f>
        <v/>
      </c>
      <c r="CD15" t="str">
        <f>IF('Data Checking'!CP15="","",'Data Checking'!CP15)</f>
        <v/>
      </c>
      <c r="CE15" t="str">
        <f>IF('Data Checking'!CQ15="","",'Data Checking'!CQ15)</f>
        <v/>
      </c>
      <c r="CF15" t="str">
        <f>IF('Data Checking'!CR15="","",'Data Checking'!CR15)</f>
        <v/>
      </c>
      <c r="CG15" t="str">
        <f>IF('Data Checking'!CS15="","",'Data Checking'!CS15)</f>
        <v/>
      </c>
      <c r="CH15" t="str">
        <f>IF('Data Checking'!CT15="","",'Data Checking'!CT15)</f>
        <v/>
      </c>
      <c r="CI15" t="str">
        <f>IF('Data Checking'!CU15="","",'Data Checking'!CU15)</f>
        <v/>
      </c>
      <c r="CJ15" t="str">
        <f>IF('Data Checking'!CV15="","",'Data Checking'!CV15)</f>
        <v/>
      </c>
      <c r="CK15" t="str">
        <f>IF('Data Checking'!CW15="","",'Data Checking'!CW15)</f>
        <v/>
      </c>
      <c r="CL15" t="str">
        <f>IF('Data Checking'!CX15="","",'Data Checking'!CX15)</f>
        <v/>
      </c>
      <c r="CM15" t="str">
        <f>IF('Data Checking'!CY15="","",'Data Checking'!CY15)</f>
        <v/>
      </c>
      <c r="CN15" t="str">
        <f>IF('Data Checking'!CZ15="","",'Data Checking'!CZ15)</f>
        <v/>
      </c>
      <c r="CO15" t="str">
        <f>IF('Data Checking'!DA15="","",'Data Checking'!DA15)</f>
        <v/>
      </c>
      <c r="CP15" t="str">
        <f>IF('Data Checking'!DB15="","",'Data Checking'!DB15)</f>
        <v/>
      </c>
      <c r="CQ15" t="str">
        <f>IF('Data Checking'!DC15="","",'Data Checking'!DC15)</f>
        <v/>
      </c>
      <c r="CR15" t="str">
        <f>IF('Data Checking'!DD15="","",'Data Checking'!DD15)</f>
        <v/>
      </c>
      <c r="CS15" t="str">
        <f>IF('Data Checking'!DE15="","",'Data Checking'!DE15)</f>
        <v/>
      </c>
      <c r="CT15" t="str">
        <f>IF('Data Checking'!DF15="","",'Data Checking'!DF15)</f>
        <v/>
      </c>
      <c r="CU15" t="str">
        <f>IF('Data Checking'!DG15="","",'Data Checking'!DG15)</f>
        <v/>
      </c>
      <c r="CV15" t="str">
        <f>IF('Data Checking'!DH15="","",'Data Checking'!DH15)</f>
        <v/>
      </c>
      <c r="CW15" t="str">
        <f>IF('Data Checking'!DI15="","",'Data Checking'!DI15)</f>
        <v/>
      </c>
      <c r="CX15" t="str">
        <f>IF('Data Checking'!DJ15="","",'Data Checking'!DJ15)</f>
        <v/>
      </c>
      <c r="CY15" t="str">
        <f>IF('Data Checking'!DK15="","",'Data Checking'!DK15)</f>
        <v/>
      </c>
      <c r="CZ15" t="str">
        <f>IF('Data Checking'!DL15="","",'Data Checking'!DL15)</f>
        <v/>
      </c>
      <c r="DA15" t="str">
        <f>IF('Data Checking'!DM15="","",'Data Checking'!DM15)</f>
        <v/>
      </c>
      <c r="DB15" t="str">
        <f>IF('Data Checking'!DN15="","",'Data Checking'!DN15)</f>
        <v/>
      </c>
      <c r="DC15" t="str">
        <f>IF('Data Checking'!DO15="","",'Data Checking'!DO15)</f>
        <v/>
      </c>
      <c r="DD15" t="str">
        <f>IF('Data Checking'!DP15="","",'Data Checking'!DP15)</f>
        <v/>
      </c>
      <c r="DE15" t="str">
        <f>IF('Data Checking'!DQ15="","",'Data Checking'!DQ15)</f>
        <v/>
      </c>
      <c r="DF15" t="str">
        <f>IF('Data Checking'!DR15="","",'Data Checking'!DR15)</f>
        <v/>
      </c>
      <c r="DG15" t="str">
        <f>IF('Data Checking'!DS15="","",'Data Checking'!DS15)</f>
        <v/>
      </c>
      <c r="DH15" t="str">
        <f>IF('Data Checking'!DT15="","",'Data Checking'!DT15)</f>
        <v/>
      </c>
      <c r="DI15" t="str">
        <f>IF('Data Checking'!DU15="","",'Data Checking'!DU15)</f>
        <v/>
      </c>
      <c r="DJ15" t="str">
        <f>IF('Data Checking'!DV15="","",'Data Checking'!DV15)</f>
        <v/>
      </c>
      <c r="DK15" t="str">
        <f>IF('Data Checking'!DW15="","",'Data Checking'!DW15)</f>
        <v/>
      </c>
      <c r="DL15" t="str">
        <f>IF('Data Checking'!DX15="","",'Data Checking'!DX15)</f>
        <v/>
      </c>
      <c r="DM15" t="str">
        <f>IF('Data Checking'!DY15="","",'Data Checking'!DY15)</f>
        <v/>
      </c>
      <c r="DN15" t="str">
        <f>IF('Data Checking'!DZ15="","",'Data Checking'!DZ15)</f>
        <v/>
      </c>
      <c r="DO15" t="str">
        <f>IF('Data Checking'!EA15="","",'Data Checking'!EA15)</f>
        <v/>
      </c>
      <c r="DP15" t="str">
        <f>IF('Data Checking'!EB15="","",'Data Checking'!EB15)</f>
        <v/>
      </c>
      <c r="DQ15" t="str">
        <f>IF('Data Checking'!EC15="","",'Data Checking'!EC15)</f>
        <v/>
      </c>
      <c r="DR15" t="str">
        <f>IF('Data Checking'!ED15="","",'Data Checking'!ED15)</f>
        <v/>
      </c>
      <c r="DS15" t="str">
        <f>IF('Data Checking'!EE15="","",'Data Checking'!EE15)</f>
        <v/>
      </c>
      <c r="DT15" t="str">
        <f>IF('Data Checking'!EF15="","",'Data Checking'!EF15)</f>
        <v/>
      </c>
      <c r="DU15" t="str">
        <f>IF('Data Checking'!EG15="","",'Data Checking'!EG15)</f>
        <v/>
      </c>
      <c r="DV15" t="str">
        <f>IF('Data Checking'!EH15="","",'Data Checking'!EH15)</f>
        <v/>
      </c>
      <c r="DW15" t="str">
        <f>IF('Data Checking'!EI15="","",'Data Checking'!EI15)</f>
        <v/>
      </c>
      <c r="DX15" t="str">
        <f>IF('Data Checking'!EJ15="","",'Data Checking'!EJ15)</f>
        <v/>
      </c>
      <c r="DY15" t="str">
        <f>IF('Data Checking'!EK15="","",'Data Checking'!EK15)</f>
        <v/>
      </c>
      <c r="DZ15" t="str">
        <f>IF('Data Checking'!EL15="","",'Data Checking'!EL15)</f>
        <v>dplct_abords_com Integration_com_hote Soutien_chef_village Soutien_psychosocial Soutien_en_AGR</v>
      </c>
      <c r="EA15" t="str">
        <f>IF('Data Checking'!EM15="","",'Data Checking'!EM15)</f>
        <v>1</v>
      </c>
      <c r="EB15" t="str">
        <f>IF('Data Checking'!EN15="","",'Data Checking'!EN15)</f>
        <v>1</v>
      </c>
      <c r="EC15" t="str">
        <f>IF('Data Checking'!EO15="","",'Data Checking'!EO15)</f>
        <v>0</v>
      </c>
      <c r="ED15" t="str">
        <f>IF('Data Checking'!EP15="","",'Data Checking'!EP15)</f>
        <v>1</v>
      </c>
      <c r="EE15" t="str">
        <f>IF('Data Checking'!EQ15="","",'Data Checking'!EQ15)</f>
        <v>1</v>
      </c>
      <c r="EF15" t="str">
        <f>IF('Data Checking'!ER15="","",'Data Checking'!ER15)</f>
        <v>1</v>
      </c>
      <c r="EG15" t="str">
        <f>IF('Data Checking'!ES15="","",'Data Checking'!ES15)</f>
        <v>0</v>
      </c>
      <c r="EH15" t="str">
        <f>IF('Data Checking'!ET15="","",'Data Checking'!ET15)</f>
        <v>0</v>
      </c>
      <c r="EI15" t="str">
        <f>IF('Data Checking'!EU15="","",'Data Checking'!EU15)</f>
        <v>0</v>
      </c>
      <c r="EJ15" t="str">
        <f>IF('Data Checking'!EV15="","",'Data Checking'!EV15)</f>
        <v/>
      </c>
      <c r="EK15" t="str">
        <f>IF('Data Checking'!EW15="","",'Data Checking'!EW15)</f>
        <v/>
      </c>
      <c r="EL15" t="str">
        <f>IF('Data Checking'!EX15="","",'Data Checking'!EX15)</f>
        <v>comite_protection famille_accueil comite_gestion_conflits comite_redevabilite</v>
      </c>
      <c r="EM15" t="str">
        <f>IF('Data Checking'!EY15="","",'Data Checking'!EY15)</f>
        <v>0</v>
      </c>
      <c r="EN15" t="str">
        <f>IF('Data Checking'!EZ15="","",'Data Checking'!EZ15)</f>
        <v>1</v>
      </c>
      <c r="EO15" t="str">
        <f>IF('Data Checking'!FA15="","",'Data Checking'!FA15)</f>
        <v>1</v>
      </c>
      <c r="EP15" t="str">
        <f>IF('Data Checking'!FB15="","",'Data Checking'!FB15)</f>
        <v>0</v>
      </c>
      <c r="EQ15" t="str">
        <f>IF('Data Checking'!FC15="","",'Data Checking'!FC15)</f>
        <v>1</v>
      </c>
      <c r="ER15" t="str">
        <f>IF('Data Checking'!FD15="","",'Data Checking'!FD15)</f>
        <v>1</v>
      </c>
      <c r="ES15" t="str">
        <f>IF('Data Checking'!FE15="","",'Data Checking'!FE15)</f>
        <v>0</v>
      </c>
      <c r="ET15" t="str">
        <f>IF('Data Checking'!FF15="","",'Data Checking'!FF15)</f>
        <v>0</v>
      </c>
      <c r="EU15" t="str">
        <f>IF('Data Checking'!FG15="","",'Data Checking'!FG15)</f>
        <v>0</v>
      </c>
      <c r="EV15" t="str">
        <f>IF('Data Checking'!FH15="","",'Data Checking'!FH15)</f>
        <v>0</v>
      </c>
      <c r="EW15" t="str">
        <f>IF('Data Checking'!FI15="","",'Data Checking'!FI15)</f>
        <v/>
      </c>
      <c r="EX15" t="str">
        <f>IF('Data Checking'!FJ15="","",'Data Checking'!FJ15)</f>
        <v>oui</v>
      </c>
      <c r="EY15" t="str">
        <f>IF('Data Checking'!FK15="","",'Data Checking'!FK15)</f>
        <v>manif_sociales Chef_village famille_amis</v>
      </c>
      <c r="EZ15" t="str">
        <f>IF('Data Checking'!FL15="","",'Data Checking'!FL15)</f>
        <v>0</v>
      </c>
      <c r="FA15" t="str">
        <f>IF('Data Checking'!FM15="","",'Data Checking'!FM15)</f>
        <v>0</v>
      </c>
      <c r="FB15" t="str">
        <f>IF('Data Checking'!FN15="","",'Data Checking'!FN15)</f>
        <v>0</v>
      </c>
      <c r="FC15" t="str">
        <f>IF('Data Checking'!FO15="","",'Data Checking'!FO15)</f>
        <v>1</v>
      </c>
      <c r="FD15" t="str">
        <f>IF('Data Checking'!FP15="","",'Data Checking'!FP15)</f>
        <v>1</v>
      </c>
      <c r="FE15" t="str">
        <f>IF('Data Checking'!FQ15="","",'Data Checking'!FQ15)</f>
        <v>1</v>
      </c>
      <c r="FF15" t="str">
        <f>IF('Data Checking'!FR15="","",'Data Checking'!FR15)</f>
        <v>0</v>
      </c>
      <c r="FG15" t="str">
        <f>IF('Data Checking'!FS15="","",'Data Checking'!FS15)</f>
        <v>0</v>
      </c>
      <c r="FH15" t="str">
        <f>IF('Data Checking'!FT15="","",'Data Checking'!FT15)</f>
        <v>0</v>
      </c>
      <c r="FI15" t="str">
        <f>IF('Data Checking'!FU15="","",'Data Checking'!FU15)</f>
        <v>0</v>
      </c>
      <c r="FJ15" t="str">
        <f>IF('Data Checking'!FV15="","",'Data Checking'!FV15)</f>
        <v>0</v>
      </c>
      <c r="FK15" t="str">
        <f>IF('Data Checking'!FW15="","",'Data Checking'!FW15)</f>
        <v>0</v>
      </c>
      <c r="FL15" t="str">
        <f>IF('Data Checking'!FX15="","",'Data Checking'!FX15)</f>
        <v>0</v>
      </c>
      <c r="FM15" t="str">
        <f>IF('Data Checking'!FY15="","",'Data Checking'!FY15)</f>
        <v>0</v>
      </c>
      <c r="FN15" t="str">
        <f>IF('Data Checking'!FZ15="","",'Data Checking'!FZ15)</f>
        <v/>
      </c>
      <c r="FO15" t="str">
        <f>IF('Data Checking'!GA15="","",'Data Checking'!GA15)</f>
        <v>oui_majorite</v>
      </c>
      <c r="FP15" t="str">
        <f>IF('Data Checking'!GB15="","",'Data Checking'!GB15)</f>
        <v>oui_majorite</v>
      </c>
      <c r="FQ15" t="str">
        <f>IF('Data Checking'!GC15="","",'Data Checking'!GC15)</f>
        <v>non_fonctionnelle manque_info</v>
      </c>
      <c r="FR15" t="str">
        <f>IF('Data Checking'!GD15="","",'Data Checking'!GD15)</f>
        <v>1</v>
      </c>
      <c r="FS15" t="str">
        <f>IF('Data Checking'!GE15="","",'Data Checking'!GE15)</f>
        <v>1</v>
      </c>
      <c r="FT15" t="str">
        <f>IF('Data Checking'!GF15="","",'Data Checking'!GF15)</f>
        <v>0</v>
      </c>
      <c r="FU15" t="str">
        <f>IF('Data Checking'!GG15="","",'Data Checking'!GG15)</f>
        <v>0</v>
      </c>
      <c r="FV15" t="str">
        <f>IF('Data Checking'!GH15="","",'Data Checking'!GH15)</f>
        <v>0</v>
      </c>
      <c r="FW15" t="str">
        <f>IF('Data Checking'!GI15="","",'Data Checking'!GI15)</f>
        <v>0</v>
      </c>
      <c r="FX15" t="str">
        <f>IF('Data Checking'!GJ15="","",'Data Checking'!GJ15)</f>
        <v>0</v>
      </c>
      <c r="FY15">
        <f>IF('Data Checking'!GK15="","",'Data Checking'!GK15)</f>
        <v>0</v>
      </c>
      <c r="FZ15" t="str">
        <f>IF('Data Checking'!GL15="","",'Data Checking'!GL15)</f>
        <v/>
      </c>
      <c r="GA15" t="str">
        <f>IF('Data Checking'!GM15="","",'Data Checking'!GM15)</f>
        <v>majorite</v>
      </c>
      <c r="GB15" t="str">
        <f>IF('Data Checking'!GN15="","",'Data Checking'!GN15)</f>
        <v>minorite</v>
      </c>
      <c r="GC15" t="str">
        <f>IF('Data Checking'!GO15="","",'Data Checking'!GO15)</f>
        <v>Education Service_de_counseling Services_de_sante Acces_aux_doc Programme_AGR</v>
      </c>
      <c r="GD15" t="str">
        <f>IF('Data Checking'!GP15="","",'Data Checking'!GP15)</f>
        <v>0</v>
      </c>
      <c r="GE15" t="str">
        <f>IF('Data Checking'!GQ15="","",'Data Checking'!GQ15)</f>
        <v>1</v>
      </c>
      <c r="GF15" t="str">
        <f>IF('Data Checking'!GR15="","",'Data Checking'!GR15)</f>
        <v>1</v>
      </c>
      <c r="GG15" t="str">
        <f>IF('Data Checking'!GS15="","",'Data Checking'!GS15)</f>
        <v>1</v>
      </c>
      <c r="GH15" t="str">
        <f>IF('Data Checking'!GT15="","",'Data Checking'!GT15)</f>
        <v>1</v>
      </c>
      <c r="GI15" t="str">
        <f>IF('Data Checking'!GU15="","",'Data Checking'!GU15)</f>
        <v>0</v>
      </c>
      <c r="GJ15" t="str">
        <f>IF('Data Checking'!GV15="","",'Data Checking'!GV15)</f>
        <v>1</v>
      </c>
      <c r="GK15" t="str">
        <f>IF('Data Checking'!GW15="","",'Data Checking'!GW15)</f>
        <v>0</v>
      </c>
      <c r="GL15" t="str">
        <f>IF('Data Checking'!GX15="","",'Data Checking'!GX15)</f>
        <v>0</v>
      </c>
      <c r="GM15" t="str">
        <f>IF('Data Checking'!GY15="","",'Data Checking'!GY15)</f>
        <v/>
      </c>
      <c r="GN15" t="str">
        <f>IF('Data Checking'!GZ15="","",'Data Checking'!GZ15)</f>
        <v>oui_ensemble</v>
      </c>
      <c r="GO15" t="str">
        <f>IF('Data Checking'!HA15="","",'Data Checking'!HA15)</f>
        <v>oui_majorite</v>
      </c>
      <c r="GP15" t="str">
        <f>IF('Data Checking'!HB15="","",'Data Checking'!HB15)</f>
        <v>amelioration_futur repond_besoins_pop permet_obtenir_conseils</v>
      </c>
      <c r="GQ15" t="str">
        <f>IF('Data Checking'!HC15="","",'Data Checking'!HC15)</f>
        <v>1</v>
      </c>
      <c r="GR15" t="str">
        <f>IF('Data Checking'!HD15="","",'Data Checking'!HD15)</f>
        <v>1</v>
      </c>
      <c r="GS15" t="str">
        <f>IF('Data Checking'!HE15="","",'Data Checking'!HE15)</f>
        <v>1</v>
      </c>
      <c r="GT15" t="str">
        <f>IF('Data Checking'!HF15="","",'Data Checking'!HF15)</f>
        <v>0</v>
      </c>
      <c r="GU15" t="str">
        <f>IF('Data Checking'!HG15="","",'Data Checking'!HG15)</f>
        <v>0</v>
      </c>
      <c r="GV15" t="str">
        <f>IF('Data Checking'!HH15="","",'Data Checking'!HH15)</f>
        <v>0</v>
      </c>
      <c r="GW15" t="str">
        <f>IF('Data Checking'!HI15="","",'Data Checking'!HI15)</f>
        <v>0</v>
      </c>
      <c r="GX15" t="str">
        <f>IF('Data Checking'!HJ15="","",'Data Checking'!HJ15)</f>
        <v>0</v>
      </c>
      <c r="GY15" t="str">
        <f>IF('Data Checking'!HK15="","",'Data Checking'!HK15)</f>
        <v/>
      </c>
      <c r="GZ15" t="str">
        <f>IF('Data Checking'!HL15="","",'Data Checking'!HL15)</f>
        <v>ne_contribue_pas</v>
      </c>
      <c r="HA15" t="str">
        <f>IF('Data Checking'!HM15="","",'Data Checking'!HM15)</f>
        <v>1</v>
      </c>
      <c r="HB15" t="str">
        <f>IF('Data Checking'!HN15="","",'Data Checking'!HN15)</f>
        <v>0</v>
      </c>
      <c r="HC15" t="str">
        <f>IF('Data Checking'!HO15="","",'Data Checking'!HO15)</f>
        <v>0</v>
      </c>
      <c r="HD15" t="str">
        <f>IF('Data Checking'!HP15="","",'Data Checking'!HP15)</f>
        <v>0</v>
      </c>
      <c r="HE15" t="str">
        <f>IF('Data Checking'!HQ15="","",'Data Checking'!HQ15)</f>
        <v>0</v>
      </c>
      <c r="HF15" t="str">
        <f>IF('Data Checking'!HR15="","",'Data Checking'!HR15)</f>
        <v>0</v>
      </c>
      <c r="HG15" t="str">
        <f>IF('Data Checking'!HS15="","",'Data Checking'!HS15)</f>
        <v/>
      </c>
      <c r="HH15" t="str">
        <f>IF('Data Checking'!HT15="","",'Data Checking'!HT15)</f>
        <v/>
      </c>
      <c r="HI15" t="str">
        <f>IF('Data Checking'!HU15="","",'Data Checking'!HU15)</f>
        <v>oui_minorite</v>
      </c>
      <c r="HJ15" t="str">
        <f>IF('Data Checking'!HV15="","",'Data Checking'!HV15)</f>
        <v>ingo</v>
      </c>
      <c r="HK15" t="str">
        <f>IF('Data Checking'!HW15="","",'Data Checking'!HW15)</f>
        <v>0</v>
      </c>
      <c r="HL15" t="str">
        <f>IF('Data Checking'!HX15="","",'Data Checking'!HX15)</f>
        <v>0</v>
      </c>
      <c r="HM15" t="str">
        <f>IF('Data Checking'!HY15="","",'Data Checking'!HY15)</f>
        <v>0</v>
      </c>
      <c r="HN15" t="str">
        <f>IF('Data Checking'!HZ15="","",'Data Checking'!HZ15)</f>
        <v>0</v>
      </c>
      <c r="HO15" t="str">
        <f>IF('Data Checking'!IA15="","",'Data Checking'!IA15)</f>
        <v>1</v>
      </c>
      <c r="HP15" t="str">
        <f>IF('Data Checking'!IB15="","",'Data Checking'!IB15)</f>
        <v>0</v>
      </c>
      <c r="HQ15" t="str">
        <f>IF('Data Checking'!IC15="","",'Data Checking'!IC15)</f>
        <v>0</v>
      </c>
      <c r="HR15" t="str">
        <f>IF('Data Checking'!ID15="","",'Data Checking'!ID15)</f>
        <v>0</v>
      </c>
      <c r="HS15" t="str">
        <f>IF('Data Checking'!IE15="","",'Data Checking'!IE15)</f>
        <v>0</v>
      </c>
      <c r="HT15" t="str">
        <f>IF('Data Checking'!IF15="","",'Data Checking'!IF15)</f>
        <v>0</v>
      </c>
      <c r="HU15" t="str">
        <f>IF('Data Checking'!IG15="","",'Data Checking'!IG15)</f>
        <v/>
      </c>
      <c r="HV15" t="str">
        <f>IF('Data Checking'!IH15="","",'Data Checking'!IH15)</f>
        <v>oui</v>
      </c>
      <c r="HW15" t="str">
        <f>IF('Data Checking'!II15="","",'Data Checking'!II15)</f>
        <v/>
      </c>
      <c r="HX15" t="str">
        <f>IF('Data Checking'!IJ15="","",'Data Checking'!IJ15)</f>
        <v/>
      </c>
      <c r="HY15" t="str">
        <f>IF('Data Checking'!IK15="","",'Data Checking'!IK15)</f>
        <v/>
      </c>
      <c r="HZ15" t="str">
        <f>IF('Data Checking'!IL15="","",'Data Checking'!IL15)</f>
        <v/>
      </c>
      <c r="IA15" t="str">
        <f>IF('Data Checking'!IM15="","",'Data Checking'!IM15)</f>
        <v/>
      </c>
      <c r="IB15" t="str">
        <f>IF('Data Checking'!IN15="","",'Data Checking'!IN15)</f>
        <v/>
      </c>
      <c r="IC15" t="str">
        <f>IF('Data Checking'!IO15="","",'Data Checking'!IO15)</f>
        <v/>
      </c>
      <c r="ID15" t="str">
        <f>IF('Data Checking'!IP15="","",'Data Checking'!IP15)</f>
        <v/>
      </c>
      <c r="IE15" t="str">
        <f>IF('Data Checking'!IQ15="","",'Data Checking'!IQ15)</f>
        <v/>
      </c>
      <c r="IF15" t="str">
        <f>IF('Data Checking'!IR15="","",'Data Checking'!IR15)</f>
        <v/>
      </c>
      <c r="IG15" t="str">
        <f>IF('Data Checking'!IS15="","",'Data Checking'!IS15)</f>
        <v/>
      </c>
      <c r="IH15" t="str">
        <f>IF('Data Checking'!IT15="","",'Data Checking'!IT15)</f>
        <v/>
      </c>
      <c r="II15" t="str">
        <f>IF('Data Checking'!IU15="","",'Data Checking'!IU15)</f>
        <v/>
      </c>
      <c r="IJ15" t="str">
        <f>IF('Data Checking'!IV15="","",'Data Checking'!IV15)</f>
        <v/>
      </c>
      <c r="IK15" t="str">
        <f>IF('Data Checking'!IW15="","",'Data Checking'!IW15)</f>
        <v/>
      </c>
      <c r="IL15" t="str">
        <f>IF('Data Checking'!IX15="","",'Data Checking'!IX15)</f>
        <v/>
      </c>
      <c r="IM15" t="str">
        <f>IF('Data Checking'!IY15="","",'Data Checking'!IY15)</f>
        <v/>
      </c>
      <c r="IN15" t="str">
        <f>IF('Data Checking'!IZ15="","",'Data Checking'!IZ15)</f>
        <v>50</v>
      </c>
      <c r="IO15" t="str">
        <f>IF('Data Checking'!JA15="","",'Data Checking'!JA15)</f>
        <v>Services_medicaux Services_educatifs Services_conseil acces_docs programme_agr reinsertion</v>
      </c>
      <c r="IP15" t="str">
        <f>IF('Data Checking'!JB15="","",'Data Checking'!JB15)</f>
        <v>0</v>
      </c>
      <c r="IQ15" t="str">
        <f>IF('Data Checking'!JC15="","",'Data Checking'!JC15)</f>
        <v>1</v>
      </c>
      <c r="IR15" t="str">
        <f>IF('Data Checking'!JD15="","",'Data Checking'!JD15)</f>
        <v>1</v>
      </c>
      <c r="IS15" t="str">
        <f>IF('Data Checking'!JE15="","",'Data Checking'!JE15)</f>
        <v>1</v>
      </c>
      <c r="IT15" t="str">
        <f>IF('Data Checking'!JF15="","",'Data Checking'!JF15)</f>
        <v>1</v>
      </c>
      <c r="IU15" t="str">
        <f>IF('Data Checking'!JG15="","",'Data Checking'!JG15)</f>
        <v>0</v>
      </c>
      <c r="IV15" t="str">
        <f>IF('Data Checking'!JH15="","",'Data Checking'!JH15)</f>
        <v>1</v>
      </c>
      <c r="IW15" t="str">
        <f>IF('Data Checking'!JI15="","",'Data Checking'!JI15)</f>
        <v>0</v>
      </c>
      <c r="IX15" t="str">
        <f>IF('Data Checking'!JJ15="","",'Data Checking'!JJ15)</f>
        <v>1</v>
      </c>
      <c r="IY15" t="str">
        <f>IF('Data Checking'!JK15="","",'Data Checking'!JK15)</f>
        <v>0</v>
      </c>
      <c r="IZ15" t="str">
        <f>IF('Data Checking'!JL15="","",'Data Checking'!JL15)</f>
        <v/>
      </c>
      <c r="JA15" t="str">
        <f>IF('Data Checking'!JM15="","",'Data Checking'!JM15)</f>
        <v>reorientation signalement prise_enchage</v>
      </c>
      <c r="JB15" t="str">
        <f>IF('Data Checking'!JN15="","",'Data Checking'!JN15)</f>
        <v>1</v>
      </c>
      <c r="JC15" t="str">
        <f>IF('Data Checking'!JO15="","",'Data Checking'!JO15)</f>
        <v>1</v>
      </c>
      <c r="JD15" t="str">
        <f>IF('Data Checking'!JP15="","",'Data Checking'!JP15)</f>
        <v>1</v>
      </c>
      <c r="JE15" t="str">
        <f>IF('Data Checking'!JQ15="","",'Data Checking'!JQ15)</f>
        <v>0</v>
      </c>
      <c r="JF15" t="str">
        <f>IF('Data Checking'!JR15="","",'Data Checking'!JR15)</f>
        <v>0</v>
      </c>
      <c r="JG15" t="str">
        <f>IF('Data Checking'!JS15="","",'Data Checking'!JS15)</f>
        <v>0</v>
      </c>
      <c r="JH15" t="str">
        <f>IF('Data Checking'!JT15="","",'Data Checking'!JT15)</f>
        <v/>
      </c>
      <c r="JI15" t="str">
        <f>IF('Data Checking'!JU15="","",'Data Checking'!JU15)</f>
        <v>Psychosocia surete</v>
      </c>
      <c r="JJ15" t="str">
        <f>IF('Data Checking'!JV15="","",'Data Checking'!JV15)</f>
        <v>0</v>
      </c>
      <c r="JK15" t="str">
        <f>IF('Data Checking'!JW15="","",'Data Checking'!JW15)</f>
        <v>1</v>
      </c>
      <c r="JL15" t="str">
        <f>IF('Data Checking'!JX15="","",'Data Checking'!JX15)</f>
        <v>0</v>
      </c>
      <c r="JM15" t="str">
        <f>IF('Data Checking'!JY15="","",'Data Checking'!JY15)</f>
        <v>0</v>
      </c>
      <c r="JN15" t="str">
        <f>IF('Data Checking'!JZ15="","",'Data Checking'!JZ15)</f>
        <v>1</v>
      </c>
      <c r="JO15" t="str">
        <f>IF('Data Checking'!KA15="","",'Data Checking'!KA15)</f>
        <v>0</v>
      </c>
      <c r="JP15" t="str">
        <f>IF('Data Checking'!KB15="","",'Data Checking'!KB15)</f>
        <v>0</v>
      </c>
      <c r="JQ15" t="str">
        <f>IF('Data Checking'!KC15="","",'Data Checking'!KC15)</f>
        <v>0</v>
      </c>
      <c r="JR15" t="str">
        <f>IF('Data Checking'!KD15="","",'Data Checking'!KD15)</f>
        <v>0</v>
      </c>
      <c r="JS15" t="str">
        <f>IF('Data Checking'!KE15="","",'Data Checking'!KE15)</f>
        <v/>
      </c>
      <c r="JT15" t="str">
        <f>IF('Data Checking'!KF15="","",'Data Checking'!KF15)</f>
        <v>medical juridique reinsertion centre_formation</v>
      </c>
      <c r="JU15" t="str">
        <f>IF('Data Checking'!KG15="","",'Data Checking'!KG15)</f>
        <v>1</v>
      </c>
      <c r="JV15" t="str">
        <f>IF('Data Checking'!KH15="","",'Data Checking'!KH15)</f>
        <v>0</v>
      </c>
      <c r="JW15" t="str">
        <f>IF('Data Checking'!KI15="","",'Data Checking'!KI15)</f>
        <v>0</v>
      </c>
      <c r="JX15" t="str">
        <f>IF('Data Checking'!KJ15="","",'Data Checking'!KJ15)</f>
        <v>1</v>
      </c>
      <c r="JY15" t="str">
        <f>IF('Data Checking'!KK15="","",'Data Checking'!KK15)</f>
        <v>0</v>
      </c>
      <c r="JZ15" t="str">
        <f>IF('Data Checking'!KL15="","",'Data Checking'!KL15)</f>
        <v>1</v>
      </c>
      <c r="KA15" t="str">
        <f>IF('Data Checking'!KM15="","",'Data Checking'!KM15)</f>
        <v>1</v>
      </c>
      <c r="KB15" t="str">
        <f>IF('Data Checking'!KN15="","",'Data Checking'!KN15)</f>
        <v>0</v>
      </c>
      <c r="KC15" t="str">
        <f>IF('Data Checking'!KO15="","",'Data Checking'!KO15)</f>
        <v>0</v>
      </c>
      <c r="KD15" t="str">
        <f>IF('Data Checking'!KP15="","",'Data Checking'!KP15)</f>
        <v/>
      </c>
      <c r="KE15" t="str">
        <f>IF('Data Checking'!KQ15="","",'Data Checking'!KQ15)</f>
        <v/>
      </c>
      <c r="KF15" t="str">
        <f>IF('Data Checking'!KR15="","",'Data Checking'!KR15)</f>
        <v>oui</v>
      </c>
      <c r="KG15" t="str">
        <f>IF('Data Checking'!KS15="","",'Data Checking'!KS15)</f>
        <v>manque_moyens manque_personnes manque_cordination insecurite_zone</v>
      </c>
      <c r="KH15" t="str">
        <f>IF('Data Checking'!KT15="","",'Data Checking'!KT15)</f>
        <v>1</v>
      </c>
      <c r="KI15" t="str">
        <f>IF('Data Checking'!KU15="","",'Data Checking'!KU15)</f>
        <v>1</v>
      </c>
      <c r="KJ15" t="str">
        <f>IF('Data Checking'!KV15="","",'Data Checking'!KV15)</f>
        <v>0</v>
      </c>
      <c r="KK15" t="str">
        <f>IF('Data Checking'!KW15="","",'Data Checking'!KW15)</f>
        <v>0</v>
      </c>
      <c r="KL15" t="str">
        <f>IF('Data Checking'!KX15="","",'Data Checking'!KX15)</f>
        <v>1</v>
      </c>
      <c r="KM15" t="str">
        <f>IF('Data Checking'!KY15="","",'Data Checking'!KY15)</f>
        <v>0</v>
      </c>
      <c r="KN15" t="str">
        <f>IF('Data Checking'!KZ15="","",'Data Checking'!KZ15)</f>
        <v>1</v>
      </c>
      <c r="KO15" t="str">
        <f>IF('Data Checking'!LA15="","",'Data Checking'!LA15)</f>
        <v>0</v>
      </c>
      <c r="KP15" t="str">
        <f>IF('Data Checking'!LB15="","",'Data Checking'!LB15)</f>
        <v>0</v>
      </c>
      <c r="KQ15" t="str">
        <f>IF('Data Checking'!LC15="","",'Data Checking'!LC15)</f>
        <v>0</v>
      </c>
      <c r="KR15" t="str">
        <f>IF('Data Checking'!LD15="","",'Data Checking'!LD15)</f>
        <v>0</v>
      </c>
      <c r="KS15" t="str">
        <f>IF('Data Checking'!LE15="","",'Data Checking'!LE15)</f>
        <v/>
      </c>
      <c r="KT15" t="str">
        <f>IF('Data Checking'!LF15="","",'Data Checking'!LF15)</f>
        <v/>
      </c>
      <c r="KU15" t="str">
        <f>IF('Data Checking'!LG15="","",'Data Checking'!LG15)</f>
        <v/>
      </c>
      <c r="KV15" t="str">
        <f>IF('Data Checking'!LH15="","",'Data Checking'!LH15)</f>
        <v/>
      </c>
      <c r="KW15" t="str">
        <f>IF('Data Checking'!LI15="","",'Data Checking'!LI15)</f>
        <v/>
      </c>
      <c r="KX15" t="str">
        <f>IF('Data Checking'!LJ15="","",'Data Checking'!LJ15)</f>
        <v/>
      </c>
      <c r="KY15" t="str">
        <f>IF('Data Checking'!LK15="","",'Data Checking'!LK15)</f>
        <v/>
      </c>
      <c r="KZ15" t="str">
        <f>IF('Data Checking'!LL15="","",'Data Checking'!LL15)</f>
        <v/>
      </c>
      <c r="LA15" t="str">
        <f>IF('Data Checking'!LM15="","",'Data Checking'!LM15)</f>
        <v/>
      </c>
      <c r="LB15" t="str">
        <f>IF('Data Checking'!LN15="","",'Data Checking'!LN15)</f>
        <v>non</v>
      </c>
      <c r="LC15" t="str">
        <f>IF('Data Checking'!LO15="","",'Data Checking'!LO15)</f>
        <v/>
      </c>
      <c r="LD15" t="str">
        <f>IF('Data Checking'!LP15="","",'Data Checking'!LP15)</f>
        <v/>
      </c>
      <c r="LE15" t="str">
        <f>IF('Data Checking'!LQ15="","",'Data Checking'!LQ15)</f>
        <v/>
      </c>
      <c r="LF15" t="str">
        <f>IF('Data Checking'!LR15="","",'Data Checking'!LR15)</f>
        <v/>
      </c>
      <c r="LG15" t="str">
        <f>IF('Data Checking'!LS15="","",'Data Checking'!LS15)</f>
        <v/>
      </c>
      <c r="LH15" t="str">
        <f>IF('Data Checking'!LT15="","",'Data Checking'!LT15)</f>
        <v/>
      </c>
      <c r="LI15" t="str">
        <f>IF('Data Checking'!LU15="","",'Data Checking'!LU15)</f>
        <v/>
      </c>
      <c r="LJ15" t="str">
        <f>IF('Data Checking'!LV15="","",'Data Checking'!LV15)</f>
        <v/>
      </c>
      <c r="LK15" t="str">
        <f>IF('Data Checking'!LW15="","",'Data Checking'!LW15)</f>
        <v/>
      </c>
      <c r="LL15" t="str">
        <f>IF('Data Checking'!LX15="","",'Data Checking'!LX15)</f>
        <v/>
      </c>
      <c r="LM15" t="str">
        <f>IF('Data Checking'!LY15="","",'Data Checking'!LY15)</f>
        <v/>
      </c>
      <c r="LN15" t="str">
        <f>IF('Data Checking'!LZ15="","",'Data Checking'!LZ15)</f>
        <v/>
      </c>
      <c r="LO15" t="str">
        <f>IF('Data Checking'!MA15="","",'Data Checking'!MA15)</f>
        <v/>
      </c>
      <c r="LP15" t="str">
        <f>IF('Data Checking'!MB15="","",'Data Checking'!MB15)</f>
        <v>oui</v>
      </c>
      <c r="LQ15" t="str">
        <f>IF('Data Checking'!MC15="","",'Data Checking'!MC15)</f>
        <v/>
      </c>
      <c r="LR15" t="str">
        <f>IF('Data Checking'!MD15="","",'Data Checking'!MD15)</f>
        <v>14 quartiers sur un site de déplacés</v>
      </c>
      <c r="LS15">
        <f>IF('Data Checking'!ME15="","",'Data Checking'!ME15)</f>
        <v>168996971</v>
      </c>
      <c r="LT15" t="str">
        <f>IF('Data Checking'!MF15="","",'Data Checking'!MF15)</f>
        <v>d3528cd8-fb30-413e-a0b9-41b3ea3e9e64</v>
      </c>
      <c r="LU15" t="str">
        <f>IF('Data Checking'!MG15="","",'Data Checking'!MG15)</f>
        <v>2021-04-01T00:25:37</v>
      </c>
      <c r="LV15" t="str">
        <f>IF('Data Checking'!MH15="","",'Data Checking'!MH15)</f>
        <v/>
      </c>
      <c r="LW15" t="str">
        <f>IF('Data Checking'!MI15="","",'Data Checking'!MI15)</f>
        <v>[]</v>
      </c>
      <c r="LX15" t="str">
        <f>IF('Data Checking'!MJ15="","",'Data Checking'!MJ15)</f>
        <v>submitted_via_web</v>
      </c>
      <c r="LY15" t="str">
        <f>IF('Data Checking'!MK15="","",'Data Checking'!MK15)</f>
        <v>reach_niger</v>
      </c>
      <c r="LZ15" t="str">
        <f>IF('Data Checking'!ML15="","",'Data Checking'!ML15)</f>
        <v/>
      </c>
      <c r="MA15">
        <f>IF('Data Checking'!MM15="","",'Data Checking'!MM15)</f>
        <v>9</v>
      </c>
    </row>
    <row r="16" spans="1:339" x14ac:dyDescent="0.3">
      <c r="A16" t="str">
        <f>IF('Data Checking'!D16="","",'Data Checking'!D16)</f>
        <v>2021-04-01T10:15:52.036+01:00</v>
      </c>
      <c r="B16" t="str">
        <f>IF('Data Checking'!E16="","",'Data Checking'!E16)</f>
        <v>2021-04-01T10:38:28.508+01:00</v>
      </c>
      <c r="C16" t="str">
        <f>IF('Data Checking'!M16="","",'Data Checking'!M16)</f>
        <v>2021-04-01</v>
      </c>
      <c r="D16" t="str">
        <f>IF('Data Checking'!N16="","",'Data Checking'!N16)</f>
        <v/>
      </c>
      <c r="E16" t="str">
        <f>IF('Data Checking'!O16="","",'Data Checking'!O16)</f>
        <v/>
      </c>
      <c r="F16" t="str">
        <f>IF('Data Checking'!R16="","",'Data Checking'!R16)</f>
        <v>Homme</v>
      </c>
      <c r="G16" t="str">
        <f>IF('Data Checking'!S16="","",'Data Checking'!S16)</f>
        <v>ayerou</v>
      </c>
      <c r="H16" t="str">
        <f>IF('Data Checking'!T16="","",'Data Checking'!T16)</f>
        <v>ayerou</v>
      </c>
      <c r="I16" t="str">
        <f>IF('Data Checking'!U16="","",'Data Checking'!U16)</f>
        <v>ayarou_pdi</v>
      </c>
      <c r="J16" t="str">
        <f>IF('Data Checking'!V16="","",'Data Checking'!V16)</f>
        <v/>
      </c>
      <c r="K16" t="str">
        <f>IF('Data Checking'!W16="","",'Data Checking'!W16)</f>
        <v/>
      </c>
      <c r="L16" t="str">
        <f>IF('Data Checking'!X16="","",'Data Checking'!X16)</f>
        <v/>
      </c>
      <c r="M16" t="str">
        <f>IF('Data Checking'!Y16="","",'Data Checking'!Y16)</f>
        <v/>
      </c>
      <c r="N16" t="str">
        <f>IF('Data Checking'!Z16="","",'Data Checking'!Z16)</f>
        <v/>
      </c>
      <c r="O16" t="str">
        <f>IF('Data Checking'!AA16="","",'Data Checking'!AA16)</f>
        <v/>
      </c>
      <c r="P16" t="str">
        <f>IF('Data Checking'!AB16="","",'Data Checking'!AB16)</f>
        <v/>
      </c>
      <c r="Q16" t="str">
        <f>IF('Data Checking'!AC16="","",'Data Checking'!AC16)</f>
        <v/>
      </c>
      <c r="R16" t="str">
        <f>IF('Data Checking'!AD16="","",'Data Checking'!AD16)</f>
        <v>Homme</v>
      </c>
      <c r="S16" t="str">
        <f>IF('Data Checking'!AE16="","",'Data Checking'!AE16)</f>
        <v>27</v>
      </c>
      <c r="T16" t="str">
        <f>IF('Data Checking'!AF16="","",'Data Checking'!AF16)</f>
        <v>deplace_interne</v>
      </c>
      <c r="U16" t="str">
        <f>IF('Data Checking'!AG16="","",'Data Checking'!AG16)</f>
        <v/>
      </c>
      <c r="V16" t="str">
        <f>IF('Data Checking'!AH16="","",'Data Checking'!AH16)</f>
        <v/>
      </c>
      <c r="W16" t="str">
        <f>IF('Data Checking'!AI16="","",'Data Checking'!AI16)</f>
        <v/>
      </c>
      <c r="X16" t="str">
        <f>IF('Data Checking'!AJ16="","",'Data Checking'!AJ16)</f>
        <v/>
      </c>
      <c r="Y16" t="str">
        <f>IF('Data Checking'!AK16="","",'Data Checking'!AK16)</f>
        <v/>
      </c>
      <c r="Z16" t="str">
        <f>IF('Data Checking'!AL16="","",'Data Checking'!AL16)</f>
        <v>niger</v>
      </c>
      <c r="AA16" t="str">
        <f>IF('Data Checking'!AM16="","",'Data Checking'!AM16)</f>
        <v>tillaberi</v>
      </c>
      <c r="AB16" t="str">
        <f>IF('Data Checking'!AN16="","",'Data Checking'!AN16)</f>
        <v>ayerou</v>
      </c>
      <c r="AC16" t="str">
        <f>IF('Data Checking'!AO16="","",'Data Checking'!AO16)</f>
        <v/>
      </c>
      <c r="AD16" t="str">
        <f>IF('Data Checking'!AP16="","",'Data Checking'!AP16)</f>
        <v/>
      </c>
      <c r="AE16" t="str">
        <f>IF('Data Checking'!AQ16="","",'Data Checking'!AQ16)</f>
        <v/>
      </c>
      <c r="AF16" t="str">
        <f>IF('Data Checking'!AR16="","",'Data Checking'!AR16)</f>
        <v/>
      </c>
      <c r="AG16" t="str">
        <f>IF('Data Checking'!AS16="","",'Data Checking'!AS16)</f>
        <v>non</v>
      </c>
      <c r="AH16" t="str">
        <f>IF('Data Checking'!AT16="","",'Data Checking'!AT16)</f>
        <v/>
      </c>
      <c r="AI16" t="str">
        <f>IF('Data Checking'!AU16="","",'Data Checking'!AU16)</f>
        <v/>
      </c>
      <c r="AJ16" t="str">
        <f>IF('Data Checking'!AV16="","",'Data Checking'!AV16)</f>
        <v/>
      </c>
      <c r="AK16" t="str">
        <f>IF('Data Checking'!AW16="","",'Data Checking'!AW16)</f>
        <v/>
      </c>
      <c r="AL16" t="str">
        <f>IF('Data Checking'!AX16="","",'Data Checking'!AX16)</f>
        <v/>
      </c>
      <c r="AM16" t="str">
        <f>IF('Data Checking'!AY16="","",'Data Checking'!AY16)</f>
        <v/>
      </c>
      <c r="AN16" t="str">
        <f>IF('Data Checking'!AZ16="","",'Data Checking'!AZ16)</f>
        <v/>
      </c>
      <c r="AO16" t="str">
        <f>IF('Data Checking'!BA16="","",'Data Checking'!BA16)</f>
        <v/>
      </c>
      <c r="AP16" t="str">
        <f>IF('Data Checking'!BB16="","",'Data Checking'!BB16)</f>
        <v/>
      </c>
      <c r="AQ16" t="str">
        <f>IF('Data Checking'!BC16="","",'Data Checking'!BC16)</f>
        <v/>
      </c>
      <c r="AR16" t="str">
        <f>IF('Data Checking'!BD16="","",'Data Checking'!BD16)</f>
        <v/>
      </c>
      <c r="AS16" t="str">
        <f>IF('Data Checking'!BE16="","",'Data Checking'!BE16)</f>
        <v/>
      </c>
      <c r="AT16" t="str">
        <f>IF('Data Checking'!BF16="","",'Data Checking'!BF16)</f>
        <v/>
      </c>
      <c r="AU16" t="str">
        <f>IF('Data Checking'!BG16="","",'Data Checking'!BG16)</f>
        <v/>
      </c>
      <c r="AV16" t="str">
        <f>IF('Data Checking'!BH16="","",'Data Checking'!BH16)</f>
        <v/>
      </c>
      <c r="AW16" t="str">
        <f>IF('Data Checking'!BI16="","",'Data Checking'!BI16)</f>
        <v/>
      </c>
      <c r="AX16" t="str">
        <f>IF('Data Checking'!BJ16="","",'Data Checking'!BJ16)</f>
        <v/>
      </c>
      <c r="AY16" t="str">
        <f>IF('Data Checking'!BK16="","",'Data Checking'!BK16)</f>
        <v/>
      </c>
      <c r="AZ16" t="str">
        <f>IF('Data Checking'!BL16="","",'Data Checking'!BL16)</f>
        <v/>
      </c>
      <c r="BA16" t="str">
        <f>IF('Data Checking'!BM16="","",'Data Checking'!BM16)</f>
        <v/>
      </c>
      <c r="BB16" t="str">
        <f>IF('Data Checking'!BN16="","",'Data Checking'!BN16)</f>
        <v/>
      </c>
      <c r="BC16" t="str">
        <f>IF('Data Checking'!BO16="","",'Data Checking'!BO16)</f>
        <v/>
      </c>
      <c r="BD16" t="str">
        <f>IF('Data Checking'!BP16="","",'Data Checking'!BP16)</f>
        <v/>
      </c>
      <c r="BE16" t="str">
        <f>IF('Data Checking'!BQ16="","",'Data Checking'!BQ16)</f>
        <v/>
      </c>
      <c r="BF16" t="str">
        <f>IF('Data Checking'!BR16="","",'Data Checking'!BR16)</f>
        <v/>
      </c>
      <c r="BG16" t="str">
        <f>IF('Data Checking'!BS16="","",'Data Checking'!BS16)</f>
        <v/>
      </c>
      <c r="BH16" t="str">
        <f>IF('Data Checking'!BT16="","",'Data Checking'!BT16)</f>
        <v/>
      </c>
      <c r="BI16" t="str">
        <f>IF('Data Checking'!BU16="","",'Data Checking'!BU16)</f>
        <v/>
      </c>
      <c r="BJ16" t="str">
        <f>IF('Data Checking'!BV16="","",'Data Checking'!BV16)</f>
        <v/>
      </c>
      <c r="BK16" t="str">
        <f>IF('Data Checking'!BW16="","",'Data Checking'!BW16)</f>
        <v/>
      </c>
      <c r="BL16" t="str">
        <f>IF('Data Checking'!BX16="","",'Data Checking'!BX16)</f>
        <v/>
      </c>
      <c r="BM16" t="str">
        <f>IF('Data Checking'!BY16="","",'Data Checking'!BY16)</f>
        <v/>
      </c>
      <c r="BN16" t="str">
        <f>IF('Data Checking'!BZ16="","",'Data Checking'!BZ16)</f>
        <v/>
      </c>
      <c r="BO16" t="str">
        <f>IF('Data Checking'!CA16="","",'Data Checking'!CA16)</f>
        <v/>
      </c>
      <c r="BP16" t="str">
        <f>IF('Data Checking'!CB16="","",'Data Checking'!CB16)</f>
        <v/>
      </c>
      <c r="BQ16" t="str">
        <f>IF('Data Checking'!CC16="","",'Data Checking'!CC16)</f>
        <v>oui</v>
      </c>
      <c r="BR16" t="str">
        <f>IF('Data Checking'!CD16="","",'Data Checking'!CD16)</f>
        <v>agression_physique mariage_force agression_sexuelle</v>
      </c>
      <c r="BS16" t="str">
        <f>IF('Data Checking'!CE16="","",'Data Checking'!CE16)</f>
        <v>0</v>
      </c>
      <c r="BT16">
        <f>IF('Data Checking'!CF16="","",'Data Checking'!CF16)</f>
        <v>1</v>
      </c>
      <c r="BU16" t="str">
        <f>IF('Data Checking'!CG16="","",'Data Checking'!CG16)</f>
        <v>1</v>
      </c>
      <c r="BV16" t="str">
        <f>IF('Data Checking'!CH16="","",'Data Checking'!CH16)</f>
        <v>0</v>
      </c>
      <c r="BW16" t="str">
        <f>IF('Data Checking'!CI16="","",'Data Checking'!CI16)</f>
        <v>0</v>
      </c>
      <c r="BX16" t="str">
        <f>IF('Data Checking'!CJ16="","",'Data Checking'!CJ16)</f>
        <v>1</v>
      </c>
      <c r="BY16" t="str">
        <f>IF('Data Checking'!CK16="","",'Data Checking'!CK16)</f>
        <v>0</v>
      </c>
      <c r="BZ16" t="str">
        <f>IF('Data Checking'!CL16="","",'Data Checking'!CL16)</f>
        <v>0</v>
      </c>
      <c r="CA16" t="str">
        <f>IF('Data Checking'!CM16="","",'Data Checking'!CM16)</f>
        <v>0</v>
      </c>
      <c r="CB16" t="str">
        <f>IF('Data Checking'!CN16="","",'Data Checking'!CN16)</f>
        <v>0</v>
      </c>
      <c r="CC16" t="str">
        <f>IF('Data Checking'!CO16="","",'Data Checking'!CO16)</f>
        <v>0</v>
      </c>
      <c r="CD16" t="str">
        <f>IF('Data Checking'!CP16="","",'Data Checking'!CP16)</f>
        <v>0</v>
      </c>
      <c r="CE16">
        <f>IF('Data Checking'!CQ16="","",'Data Checking'!CQ16)</f>
        <v>0</v>
      </c>
      <c r="CF16" t="str">
        <f>IF('Data Checking'!CR16="","",'Data Checking'!CR16)</f>
        <v>0</v>
      </c>
      <c r="CG16" t="str">
        <f>IF('Data Checking'!CS16="","",'Data Checking'!CS16)</f>
        <v>0</v>
      </c>
      <c r="CH16" t="str">
        <f>IF('Data Checking'!CT16="","",'Data Checking'!CT16)</f>
        <v/>
      </c>
      <c r="CI16" t="str">
        <f>IF('Data Checking'!CU16="","",'Data Checking'!CU16)</f>
        <v>Filles Femmes</v>
      </c>
      <c r="CJ16" t="str">
        <f>IF('Data Checking'!CV16="","",'Data Checking'!CV16)</f>
        <v>0</v>
      </c>
      <c r="CK16" t="str">
        <f>IF('Data Checking'!CW16="","",'Data Checking'!CW16)</f>
        <v>0</v>
      </c>
      <c r="CL16" t="str">
        <f>IF('Data Checking'!CX16="","",'Data Checking'!CX16)</f>
        <v>1</v>
      </c>
      <c r="CM16" t="str">
        <f>IF('Data Checking'!CY16="","",'Data Checking'!CY16)</f>
        <v>0</v>
      </c>
      <c r="CN16" t="str">
        <f>IF('Data Checking'!CZ16="","",'Data Checking'!CZ16)</f>
        <v>1</v>
      </c>
      <c r="CO16" t="str">
        <f>IF('Data Checking'!DA16="","",'Data Checking'!DA16)</f>
        <v>0</v>
      </c>
      <c r="CP16" t="str">
        <f>IF('Data Checking'!DB16="","",'Data Checking'!DB16)</f>
        <v>0</v>
      </c>
      <c r="CQ16" t="str">
        <f>IF('Data Checking'!DC16="","",'Data Checking'!DC16)</f>
        <v>0</v>
      </c>
      <c r="CR16" t="str">
        <f>IF('Data Checking'!DD16="","",'Data Checking'!DD16)</f>
        <v>0</v>
      </c>
      <c r="CS16" t="str">
        <f>IF('Data Checking'!DE16="","",'Data Checking'!DE16)</f>
        <v>0</v>
      </c>
      <c r="CT16" t="str">
        <f>IF('Data Checking'!DF16="","",'Data Checking'!DF16)</f>
        <v>0</v>
      </c>
      <c r="CU16" t="str">
        <f>IF('Data Checking'!DG16="","",'Data Checking'!DG16)</f>
        <v>0</v>
      </c>
      <c r="CV16" t="str">
        <f>IF('Data Checking'!DH16="","",'Data Checking'!DH16)</f>
        <v>0</v>
      </c>
      <c r="CW16" t="str">
        <f>IF('Data Checking'!DI16="","",'Data Checking'!DI16)</f>
        <v>0</v>
      </c>
      <c r="CX16" t="str">
        <f>IF('Data Checking'!DJ16="","",'Data Checking'!DJ16)</f>
        <v/>
      </c>
      <c r="CY16" t="str">
        <f>IF('Data Checking'!DK16="","",'Data Checking'!DK16)</f>
        <v>1</v>
      </c>
      <c r="CZ16" t="str">
        <f>IF('Data Checking'!DL16="","",'Data Checking'!DL16)</f>
        <v>stable</v>
      </c>
      <c r="DA16" t="str">
        <f>IF('Data Checking'!DM16="","",'Data Checking'!DM16)</f>
        <v/>
      </c>
      <c r="DB16" t="str">
        <f>IF('Data Checking'!DN16="","",'Data Checking'!DN16)</f>
        <v/>
      </c>
      <c r="DC16" t="str">
        <f>IF('Data Checking'!DO16="","",'Data Checking'!DO16)</f>
        <v/>
      </c>
      <c r="DD16" t="str">
        <f>IF('Data Checking'!DP16="","",'Data Checking'!DP16)</f>
        <v/>
      </c>
      <c r="DE16" t="str">
        <f>IF('Data Checking'!DQ16="","",'Data Checking'!DQ16)</f>
        <v/>
      </c>
      <c r="DF16" t="str">
        <f>IF('Data Checking'!DR16="","",'Data Checking'!DR16)</f>
        <v/>
      </c>
      <c r="DG16" t="str">
        <f>IF('Data Checking'!DS16="","",'Data Checking'!DS16)</f>
        <v/>
      </c>
      <c r="DH16" t="str">
        <f>IF('Data Checking'!DT16="","",'Data Checking'!DT16)</f>
        <v/>
      </c>
      <c r="DI16" t="str">
        <f>IF('Data Checking'!DU16="","",'Data Checking'!DU16)</f>
        <v/>
      </c>
      <c r="DJ16" t="str">
        <f>IF('Data Checking'!DV16="","",'Data Checking'!DV16)</f>
        <v/>
      </c>
      <c r="DK16" t="str">
        <f>IF('Data Checking'!DW16="","",'Data Checking'!DW16)</f>
        <v/>
      </c>
      <c r="DL16" t="str">
        <f>IF('Data Checking'!DX16="","",'Data Checking'!DX16)</f>
        <v/>
      </c>
      <c r="DM16" t="str">
        <f>IF('Data Checking'!DY16="","",'Data Checking'!DY16)</f>
        <v/>
      </c>
      <c r="DN16" t="str">
        <f>IF('Data Checking'!DZ16="","",'Data Checking'!DZ16)</f>
        <v/>
      </c>
      <c r="DO16" t="str">
        <f>IF('Data Checking'!EA16="","",'Data Checking'!EA16)</f>
        <v/>
      </c>
      <c r="DP16" t="str">
        <f>IF('Data Checking'!EB16="","",'Data Checking'!EB16)</f>
        <v/>
      </c>
      <c r="DQ16" t="str">
        <f>IF('Data Checking'!EC16="","",'Data Checking'!EC16)</f>
        <v/>
      </c>
      <c r="DR16" t="str">
        <f>IF('Data Checking'!ED16="","",'Data Checking'!ED16)</f>
        <v/>
      </c>
      <c r="DS16" t="str">
        <f>IF('Data Checking'!EE16="","",'Data Checking'!EE16)</f>
        <v/>
      </c>
      <c r="DT16" t="str">
        <f>IF('Data Checking'!EF16="","",'Data Checking'!EF16)</f>
        <v/>
      </c>
      <c r="DU16" t="str">
        <f>IF('Data Checking'!EG16="","",'Data Checking'!EG16)</f>
        <v/>
      </c>
      <c r="DV16" t="str">
        <f>IF('Data Checking'!EH16="","",'Data Checking'!EH16)</f>
        <v/>
      </c>
      <c r="DW16" t="str">
        <f>IF('Data Checking'!EI16="","",'Data Checking'!EI16)</f>
        <v/>
      </c>
      <c r="DX16" t="str">
        <f>IF('Data Checking'!EJ16="","",'Data Checking'!EJ16)</f>
        <v/>
      </c>
      <c r="DY16" t="str">
        <f>IF('Data Checking'!EK16="","",'Data Checking'!EK16)</f>
        <v/>
      </c>
      <c r="DZ16" t="str">
        <f>IF('Data Checking'!EL16="","",'Data Checking'!EL16)</f>
        <v>dplct_abords_com Integration_com_hote Soutien_chef_village Soutien_en_AGR</v>
      </c>
      <c r="EA16" t="str">
        <f>IF('Data Checking'!EM16="","",'Data Checking'!EM16)</f>
        <v>1</v>
      </c>
      <c r="EB16" t="str">
        <f>IF('Data Checking'!EN16="","",'Data Checking'!EN16)</f>
        <v>1</v>
      </c>
      <c r="EC16" t="str">
        <f>IF('Data Checking'!EO16="","",'Data Checking'!EO16)</f>
        <v>0</v>
      </c>
      <c r="ED16" t="str">
        <f>IF('Data Checking'!EP16="","",'Data Checking'!EP16)</f>
        <v>1</v>
      </c>
      <c r="EE16" t="str">
        <f>IF('Data Checking'!EQ16="","",'Data Checking'!EQ16)</f>
        <v>0</v>
      </c>
      <c r="EF16" t="str">
        <f>IF('Data Checking'!ER16="","",'Data Checking'!ER16)</f>
        <v>1</v>
      </c>
      <c r="EG16" t="str">
        <f>IF('Data Checking'!ES16="","",'Data Checking'!ES16)</f>
        <v>0</v>
      </c>
      <c r="EH16" t="str">
        <f>IF('Data Checking'!ET16="","",'Data Checking'!ET16)</f>
        <v>0</v>
      </c>
      <c r="EI16" t="str">
        <f>IF('Data Checking'!EU16="","",'Data Checking'!EU16)</f>
        <v>0</v>
      </c>
      <c r="EJ16" t="str">
        <f>IF('Data Checking'!EV16="","",'Data Checking'!EV16)</f>
        <v/>
      </c>
      <c r="EK16" t="str">
        <f>IF('Data Checking'!EW16="","",'Data Checking'!EW16)</f>
        <v/>
      </c>
      <c r="EL16" t="str">
        <f>IF('Data Checking'!EX16="","",'Data Checking'!EX16)</f>
        <v>comite_protection famille_accueil comite_redevabilite comite_gestion_conflits</v>
      </c>
      <c r="EM16" t="str">
        <f>IF('Data Checking'!EY16="","",'Data Checking'!EY16)</f>
        <v>0</v>
      </c>
      <c r="EN16" t="str">
        <f>IF('Data Checking'!EZ16="","",'Data Checking'!EZ16)</f>
        <v>1</v>
      </c>
      <c r="EO16" t="str">
        <f>IF('Data Checking'!FA16="","",'Data Checking'!FA16)</f>
        <v>1</v>
      </c>
      <c r="EP16" t="str">
        <f>IF('Data Checking'!FB16="","",'Data Checking'!FB16)</f>
        <v>0</v>
      </c>
      <c r="EQ16" t="str">
        <f>IF('Data Checking'!FC16="","",'Data Checking'!FC16)</f>
        <v>1</v>
      </c>
      <c r="ER16" t="str">
        <f>IF('Data Checking'!FD16="","",'Data Checking'!FD16)</f>
        <v>1</v>
      </c>
      <c r="ES16" t="str">
        <f>IF('Data Checking'!FE16="","",'Data Checking'!FE16)</f>
        <v>0</v>
      </c>
      <c r="ET16" t="str">
        <f>IF('Data Checking'!FF16="","",'Data Checking'!FF16)</f>
        <v>0</v>
      </c>
      <c r="EU16" t="str">
        <f>IF('Data Checking'!FG16="","",'Data Checking'!FG16)</f>
        <v>0</v>
      </c>
      <c r="EV16" t="str">
        <f>IF('Data Checking'!FH16="","",'Data Checking'!FH16)</f>
        <v>0</v>
      </c>
      <c r="EW16" t="str">
        <f>IF('Data Checking'!FI16="","",'Data Checking'!FI16)</f>
        <v/>
      </c>
      <c r="EX16" t="str">
        <f>IF('Data Checking'!FJ16="","",'Data Checking'!FJ16)</f>
        <v>oui</v>
      </c>
      <c r="EY16" t="str">
        <f>IF('Data Checking'!FK16="","",'Data Checking'!FK16)</f>
        <v>manif_sociales Chef_village famille_amis Travailleurs_sociaux/hum</v>
      </c>
      <c r="EZ16" t="str">
        <f>IF('Data Checking'!FL16="","",'Data Checking'!FL16)</f>
        <v>0</v>
      </c>
      <c r="FA16" t="str">
        <f>IF('Data Checking'!FM16="","",'Data Checking'!FM16)</f>
        <v>0</v>
      </c>
      <c r="FB16" t="str">
        <f>IF('Data Checking'!FN16="","",'Data Checking'!FN16)</f>
        <v>0</v>
      </c>
      <c r="FC16" t="str">
        <f>IF('Data Checking'!FO16="","",'Data Checking'!FO16)</f>
        <v>1</v>
      </c>
      <c r="FD16" t="str">
        <f>IF('Data Checking'!FP16="","",'Data Checking'!FP16)</f>
        <v>1</v>
      </c>
      <c r="FE16" t="str">
        <f>IF('Data Checking'!FQ16="","",'Data Checking'!FQ16)</f>
        <v>1</v>
      </c>
      <c r="FF16" t="str">
        <f>IF('Data Checking'!FR16="","",'Data Checking'!FR16)</f>
        <v>0</v>
      </c>
      <c r="FG16" t="str">
        <f>IF('Data Checking'!FS16="","",'Data Checking'!FS16)</f>
        <v>0</v>
      </c>
      <c r="FH16" t="str">
        <f>IF('Data Checking'!FT16="","",'Data Checking'!FT16)</f>
        <v>0</v>
      </c>
      <c r="FI16" t="str">
        <f>IF('Data Checking'!FU16="","",'Data Checking'!FU16)</f>
        <v>0</v>
      </c>
      <c r="FJ16" t="str">
        <f>IF('Data Checking'!FV16="","",'Data Checking'!FV16)</f>
        <v>1</v>
      </c>
      <c r="FK16" t="str">
        <f>IF('Data Checking'!FW16="","",'Data Checking'!FW16)</f>
        <v>0</v>
      </c>
      <c r="FL16" t="str">
        <f>IF('Data Checking'!FX16="","",'Data Checking'!FX16)</f>
        <v>0</v>
      </c>
      <c r="FM16" t="str">
        <f>IF('Data Checking'!FY16="","",'Data Checking'!FY16)</f>
        <v>0</v>
      </c>
      <c r="FN16" t="str">
        <f>IF('Data Checking'!FZ16="","",'Data Checking'!FZ16)</f>
        <v/>
      </c>
      <c r="FO16" t="str">
        <f>IF('Data Checking'!GA16="","",'Data Checking'!GA16)</f>
        <v>oui_majorite</v>
      </c>
      <c r="FP16" t="str">
        <f>IF('Data Checking'!GB16="","",'Data Checking'!GB16)</f>
        <v>oui_majorite</v>
      </c>
      <c r="FQ16" t="str">
        <f>IF('Data Checking'!GC16="","",'Data Checking'!GC16)</f>
        <v>non_fonctionnelle manque_info</v>
      </c>
      <c r="FR16" t="str">
        <f>IF('Data Checking'!GD16="","",'Data Checking'!GD16)</f>
        <v>1</v>
      </c>
      <c r="FS16" t="str">
        <f>IF('Data Checking'!GE16="","",'Data Checking'!GE16)</f>
        <v>1</v>
      </c>
      <c r="FT16" t="str">
        <f>IF('Data Checking'!GF16="","",'Data Checking'!GF16)</f>
        <v>0</v>
      </c>
      <c r="FU16" t="str">
        <f>IF('Data Checking'!GG16="","",'Data Checking'!GG16)</f>
        <v>0</v>
      </c>
      <c r="FV16" t="str">
        <f>IF('Data Checking'!GH16="","",'Data Checking'!GH16)</f>
        <v>0</v>
      </c>
      <c r="FW16" t="str">
        <f>IF('Data Checking'!GI16="","",'Data Checking'!GI16)</f>
        <v>0</v>
      </c>
      <c r="FX16" t="str">
        <f>IF('Data Checking'!GJ16="","",'Data Checking'!GJ16)</f>
        <v>0</v>
      </c>
      <c r="FY16" t="str">
        <f>IF('Data Checking'!GK16="","",'Data Checking'!GK16)</f>
        <v>0</v>
      </c>
      <c r="FZ16" t="str">
        <f>IF('Data Checking'!GL16="","",'Data Checking'!GL16)</f>
        <v/>
      </c>
      <c r="GA16" t="str">
        <f>IF('Data Checking'!GM16="","",'Data Checking'!GM16)</f>
        <v>minorite</v>
      </c>
      <c r="GB16" t="str">
        <f>IF('Data Checking'!GN16="","",'Data Checking'!GN16)</f>
        <v>minorite</v>
      </c>
      <c r="GC16" t="str">
        <f>IF('Data Checking'!GO16="","",'Data Checking'!GO16)</f>
        <v>Education Services_de_sante Acces_aux_doc</v>
      </c>
      <c r="GD16" t="str">
        <f>IF('Data Checking'!GP16="","",'Data Checking'!GP16)</f>
        <v>0</v>
      </c>
      <c r="GE16" t="str">
        <f>IF('Data Checking'!GQ16="","",'Data Checking'!GQ16)</f>
        <v>1</v>
      </c>
      <c r="GF16" t="str">
        <f>IF('Data Checking'!GR16="","",'Data Checking'!GR16)</f>
        <v>0</v>
      </c>
      <c r="GG16" t="str">
        <f>IF('Data Checking'!GS16="","",'Data Checking'!GS16)</f>
        <v>1</v>
      </c>
      <c r="GH16" t="str">
        <f>IF('Data Checking'!GT16="","",'Data Checking'!GT16)</f>
        <v>1</v>
      </c>
      <c r="GI16" t="str">
        <f>IF('Data Checking'!GU16="","",'Data Checking'!GU16)</f>
        <v>0</v>
      </c>
      <c r="GJ16" t="str">
        <f>IF('Data Checking'!GV16="","",'Data Checking'!GV16)</f>
        <v>0</v>
      </c>
      <c r="GK16" t="str">
        <f>IF('Data Checking'!GW16="","",'Data Checking'!GW16)</f>
        <v>0</v>
      </c>
      <c r="GL16" t="str">
        <f>IF('Data Checking'!GX16="","",'Data Checking'!GX16)</f>
        <v>0</v>
      </c>
      <c r="GM16" t="str">
        <f>IF('Data Checking'!GY16="","",'Data Checking'!GY16)</f>
        <v/>
      </c>
      <c r="GN16" t="str">
        <f>IF('Data Checking'!GZ16="","",'Data Checking'!GZ16)</f>
        <v>oui_majorite</v>
      </c>
      <c r="GO16" t="str">
        <f>IF('Data Checking'!HA16="","",'Data Checking'!HA16)</f>
        <v>oui_majorite</v>
      </c>
      <c r="GP16" t="str">
        <f>IF('Data Checking'!HB16="","",'Data Checking'!HB16)</f>
        <v>amelioration_futur repond_besoins_pop diminution_tensions</v>
      </c>
      <c r="GQ16" t="str">
        <f>IF('Data Checking'!HC16="","",'Data Checking'!HC16)</f>
        <v>1</v>
      </c>
      <c r="GR16" t="str">
        <f>IF('Data Checking'!HD16="","",'Data Checking'!HD16)</f>
        <v>1</v>
      </c>
      <c r="GS16" t="str">
        <f>IF('Data Checking'!HE16="","",'Data Checking'!HE16)</f>
        <v>0</v>
      </c>
      <c r="GT16" t="str">
        <f>IF('Data Checking'!HF16="","",'Data Checking'!HF16)</f>
        <v>0</v>
      </c>
      <c r="GU16" t="str">
        <f>IF('Data Checking'!HG16="","",'Data Checking'!HG16)</f>
        <v>0</v>
      </c>
      <c r="GV16" t="str">
        <f>IF('Data Checking'!HH16="","",'Data Checking'!HH16)</f>
        <v>1</v>
      </c>
      <c r="GW16" t="str">
        <f>IF('Data Checking'!HI16="","",'Data Checking'!HI16)</f>
        <v>0</v>
      </c>
      <c r="GX16" t="str">
        <f>IF('Data Checking'!HJ16="","",'Data Checking'!HJ16)</f>
        <v>0</v>
      </c>
      <c r="GY16" t="str">
        <f>IF('Data Checking'!HK16="","",'Data Checking'!HK16)</f>
        <v/>
      </c>
      <c r="GZ16" t="str">
        <f>IF('Data Checking'!HL16="","",'Data Checking'!HL16)</f>
        <v>ne_contribue_pas</v>
      </c>
      <c r="HA16" t="str">
        <f>IF('Data Checking'!HM16="","",'Data Checking'!HM16)</f>
        <v>1</v>
      </c>
      <c r="HB16" t="str">
        <f>IF('Data Checking'!HN16="","",'Data Checking'!HN16)</f>
        <v>0</v>
      </c>
      <c r="HC16" t="str">
        <f>IF('Data Checking'!HO16="","",'Data Checking'!HO16)</f>
        <v>0</v>
      </c>
      <c r="HD16" t="str">
        <f>IF('Data Checking'!HP16="","",'Data Checking'!HP16)</f>
        <v>0</v>
      </c>
      <c r="HE16" t="str">
        <f>IF('Data Checking'!HQ16="","",'Data Checking'!HQ16)</f>
        <v>0</v>
      </c>
      <c r="HF16" t="str">
        <f>IF('Data Checking'!HR16="","",'Data Checking'!HR16)</f>
        <v>0</v>
      </c>
      <c r="HG16" t="str">
        <f>IF('Data Checking'!HS16="","",'Data Checking'!HS16)</f>
        <v/>
      </c>
      <c r="HH16" t="str">
        <f>IF('Data Checking'!HT16="","",'Data Checking'!HT16)</f>
        <v/>
      </c>
      <c r="HI16" t="str">
        <f>IF('Data Checking'!HU16="","",'Data Checking'!HU16)</f>
        <v>oui_minorite</v>
      </c>
      <c r="HJ16" t="str">
        <f>IF('Data Checking'!HV16="","",'Data Checking'!HV16)</f>
        <v>ingo</v>
      </c>
      <c r="HK16" t="str">
        <f>IF('Data Checking'!HW16="","",'Data Checking'!HW16)</f>
        <v>0</v>
      </c>
      <c r="HL16" t="str">
        <f>IF('Data Checking'!HX16="","",'Data Checking'!HX16)</f>
        <v>0</v>
      </c>
      <c r="HM16" t="str">
        <f>IF('Data Checking'!HY16="","",'Data Checking'!HY16)</f>
        <v>0</v>
      </c>
      <c r="HN16" t="str">
        <f>IF('Data Checking'!HZ16="","",'Data Checking'!HZ16)</f>
        <v>0</v>
      </c>
      <c r="HO16" t="str">
        <f>IF('Data Checking'!IA16="","",'Data Checking'!IA16)</f>
        <v>1</v>
      </c>
      <c r="HP16" t="str">
        <f>IF('Data Checking'!IB16="","",'Data Checking'!IB16)</f>
        <v>0</v>
      </c>
      <c r="HQ16" t="str">
        <f>IF('Data Checking'!IC16="","",'Data Checking'!IC16)</f>
        <v>0</v>
      </c>
      <c r="HR16" t="str">
        <f>IF('Data Checking'!ID16="","",'Data Checking'!ID16)</f>
        <v>0</v>
      </c>
      <c r="HS16" t="str">
        <f>IF('Data Checking'!IE16="","",'Data Checking'!IE16)</f>
        <v>0</v>
      </c>
      <c r="HT16" t="str">
        <f>IF('Data Checking'!IF16="","",'Data Checking'!IF16)</f>
        <v>0</v>
      </c>
      <c r="HU16" t="str">
        <f>IF('Data Checking'!IG16="","",'Data Checking'!IG16)</f>
        <v/>
      </c>
      <c r="HV16" t="str">
        <f>IF('Data Checking'!IH16="","",'Data Checking'!IH16)</f>
        <v>oui</v>
      </c>
      <c r="HW16" t="str">
        <f>IF('Data Checking'!II16="","",'Data Checking'!II16)</f>
        <v/>
      </c>
      <c r="HX16" t="str">
        <f>IF('Data Checking'!IJ16="","",'Data Checking'!IJ16)</f>
        <v>Filles Femmes Hommes Hommes_ages</v>
      </c>
      <c r="HY16" t="str">
        <f>IF('Data Checking'!IK16="","",'Data Checking'!IK16)</f>
        <v>0</v>
      </c>
      <c r="HZ16" t="str">
        <f>IF('Data Checking'!IL16="","",'Data Checking'!IL16)</f>
        <v>0</v>
      </c>
      <c r="IA16" t="str">
        <f>IF('Data Checking'!IM16="","",'Data Checking'!IM16)</f>
        <v>1</v>
      </c>
      <c r="IB16" t="str">
        <f>IF('Data Checking'!IN16="","",'Data Checking'!IN16)</f>
        <v>0</v>
      </c>
      <c r="IC16" t="str">
        <f>IF('Data Checking'!IO16="","",'Data Checking'!IO16)</f>
        <v>1</v>
      </c>
      <c r="ID16" t="str">
        <f>IF('Data Checking'!IP16="","",'Data Checking'!IP16)</f>
        <v>1</v>
      </c>
      <c r="IE16" t="str">
        <f>IF('Data Checking'!IQ16="","",'Data Checking'!IQ16)</f>
        <v>0</v>
      </c>
      <c r="IF16" t="str">
        <f>IF('Data Checking'!IR16="","",'Data Checking'!IR16)</f>
        <v>1</v>
      </c>
      <c r="IG16" t="str">
        <f>IF('Data Checking'!IS16="","",'Data Checking'!IS16)</f>
        <v>0</v>
      </c>
      <c r="IH16" t="str">
        <f>IF('Data Checking'!IT16="","",'Data Checking'!IT16)</f>
        <v>0</v>
      </c>
      <c r="II16" t="str">
        <f>IF('Data Checking'!IU16="","",'Data Checking'!IU16)</f>
        <v>0</v>
      </c>
      <c r="IJ16" t="str">
        <f>IF('Data Checking'!IV16="","",'Data Checking'!IV16)</f>
        <v>0</v>
      </c>
      <c r="IK16" t="str">
        <f>IF('Data Checking'!IW16="","",'Data Checking'!IW16)</f>
        <v>0</v>
      </c>
      <c r="IL16" t="str">
        <f>IF('Data Checking'!IX16="","",'Data Checking'!IX16)</f>
        <v>0</v>
      </c>
      <c r="IM16" t="str">
        <f>IF('Data Checking'!IY16="","",'Data Checking'!IY16)</f>
        <v/>
      </c>
      <c r="IN16" t="str">
        <f>IF('Data Checking'!IZ16="","",'Data Checking'!IZ16)</f>
        <v>28</v>
      </c>
      <c r="IO16" t="str">
        <f>IF('Data Checking'!JA16="","",'Data Checking'!JA16)</f>
        <v>Services_medicaux Services_educatifs acces_docs</v>
      </c>
      <c r="IP16" t="str">
        <f>IF('Data Checking'!JB16="","",'Data Checking'!JB16)</f>
        <v>0</v>
      </c>
      <c r="IQ16" t="str">
        <f>IF('Data Checking'!JC16="","",'Data Checking'!JC16)</f>
        <v>1</v>
      </c>
      <c r="IR16" t="str">
        <f>IF('Data Checking'!JD16="","",'Data Checking'!JD16)</f>
        <v>1</v>
      </c>
      <c r="IS16" t="str">
        <f>IF('Data Checking'!JE16="","",'Data Checking'!JE16)</f>
        <v>0</v>
      </c>
      <c r="IT16" t="str">
        <f>IF('Data Checking'!JF16="","",'Data Checking'!JF16)</f>
        <v>1</v>
      </c>
      <c r="IU16" t="str">
        <f>IF('Data Checking'!JG16="","",'Data Checking'!JG16)</f>
        <v>0</v>
      </c>
      <c r="IV16" t="str">
        <f>IF('Data Checking'!JH16="","",'Data Checking'!JH16)</f>
        <v>0</v>
      </c>
      <c r="IW16" t="str">
        <f>IF('Data Checking'!JI16="","",'Data Checking'!JI16)</f>
        <v>0</v>
      </c>
      <c r="IX16" t="str">
        <f>IF('Data Checking'!JJ16="","",'Data Checking'!JJ16)</f>
        <v>0</v>
      </c>
      <c r="IY16" t="str">
        <f>IF('Data Checking'!JK16="","",'Data Checking'!JK16)</f>
        <v>0</v>
      </c>
      <c r="IZ16" t="str">
        <f>IF('Data Checking'!JL16="","",'Data Checking'!JL16)</f>
        <v/>
      </c>
      <c r="JA16" t="str">
        <f>IF('Data Checking'!JM16="","",'Data Checking'!JM16)</f>
        <v>reorientation signalement prise_enchage</v>
      </c>
      <c r="JB16">
        <f>IF('Data Checking'!JN16="","",'Data Checking'!JN16)</f>
        <v>1</v>
      </c>
      <c r="JC16" t="str">
        <f>IF('Data Checking'!JO16="","",'Data Checking'!JO16)</f>
        <v>1</v>
      </c>
      <c r="JD16" t="str">
        <f>IF('Data Checking'!JP16="","",'Data Checking'!JP16)</f>
        <v>1</v>
      </c>
      <c r="JE16">
        <f>IF('Data Checking'!JQ16="","",'Data Checking'!JQ16)</f>
        <v>0</v>
      </c>
      <c r="JF16" t="str">
        <f>IF('Data Checking'!JR16="","",'Data Checking'!JR16)</f>
        <v>0</v>
      </c>
      <c r="JG16" t="str">
        <f>IF('Data Checking'!JS16="","",'Data Checking'!JS16)</f>
        <v>0</v>
      </c>
      <c r="JH16" t="str">
        <f>IF('Data Checking'!JT16="","",'Data Checking'!JT16)</f>
        <v/>
      </c>
      <c r="JI16" t="str">
        <f>IF('Data Checking'!JU16="","",'Data Checking'!JU16)</f>
        <v/>
      </c>
      <c r="JJ16" t="str">
        <f>IF('Data Checking'!JV16="","",'Data Checking'!JV16)</f>
        <v/>
      </c>
      <c r="JK16" t="str">
        <f>IF('Data Checking'!JW16="","",'Data Checking'!JW16)</f>
        <v/>
      </c>
      <c r="JL16" t="str">
        <f>IF('Data Checking'!JX16="","",'Data Checking'!JX16)</f>
        <v/>
      </c>
      <c r="JM16" t="str">
        <f>IF('Data Checking'!JY16="","",'Data Checking'!JY16)</f>
        <v/>
      </c>
      <c r="JN16" t="str">
        <f>IF('Data Checking'!JZ16="","",'Data Checking'!JZ16)</f>
        <v/>
      </c>
      <c r="JO16" t="str">
        <f>IF('Data Checking'!KA16="","",'Data Checking'!KA16)</f>
        <v/>
      </c>
      <c r="JP16" t="str">
        <f>IF('Data Checking'!KB16="","",'Data Checking'!KB16)</f>
        <v/>
      </c>
      <c r="JQ16" t="str">
        <f>IF('Data Checking'!KC16="","",'Data Checking'!KC16)</f>
        <v/>
      </c>
      <c r="JR16" t="str">
        <f>IF('Data Checking'!KD16="","",'Data Checking'!KD16)</f>
        <v/>
      </c>
      <c r="JS16" t="str">
        <f>IF('Data Checking'!KE16="","",'Data Checking'!KE16)</f>
        <v/>
      </c>
      <c r="JT16" t="str">
        <f>IF('Data Checking'!KF16="","",'Data Checking'!KF16)</f>
        <v>medical juridique reinsertion surete</v>
      </c>
      <c r="JU16" t="str">
        <f>IF('Data Checking'!KG16="","",'Data Checking'!KG16)</f>
        <v>1</v>
      </c>
      <c r="JV16" t="str">
        <f>IF('Data Checking'!KH16="","",'Data Checking'!KH16)</f>
        <v>0</v>
      </c>
      <c r="JW16" t="str">
        <f>IF('Data Checking'!KI16="","",'Data Checking'!KI16)</f>
        <v>0</v>
      </c>
      <c r="JX16" t="str">
        <f>IF('Data Checking'!KJ16="","",'Data Checking'!KJ16)</f>
        <v>1</v>
      </c>
      <c r="JY16" t="str">
        <f>IF('Data Checking'!KK16="","",'Data Checking'!KK16)</f>
        <v>1</v>
      </c>
      <c r="JZ16" t="str">
        <f>IF('Data Checking'!KL16="","",'Data Checking'!KL16)</f>
        <v>1</v>
      </c>
      <c r="KA16" t="str">
        <f>IF('Data Checking'!KM16="","",'Data Checking'!KM16)</f>
        <v>0</v>
      </c>
      <c r="KB16" t="str">
        <f>IF('Data Checking'!KN16="","",'Data Checking'!KN16)</f>
        <v>0</v>
      </c>
      <c r="KC16" t="str">
        <f>IF('Data Checking'!KO16="","",'Data Checking'!KO16)</f>
        <v>0</v>
      </c>
      <c r="KD16" t="str">
        <f>IF('Data Checking'!KP16="","",'Data Checking'!KP16)</f>
        <v/>
      </c>
      <c r="KE16" t="str">
        <f>IF('Data Checking'!KQ16="","",'Data Checking'!KQ16)</f>
        <v/>
      </c>
      <c r="KF16" t="str">
        <f>IF('Data Checking'!KR16="","",'Data Checking'!KR16)</f>
        <v>non</v>
      </c>
      <c r="KG16" t="str">
        <f>IF('Data Checking'!KS16="","",'Data Checking'!KS16)</f>
        <v/>
      </c>
      <c r="KH16" t="str">
        <f>IF('Data Checking'!KT16="","",'Data Checking'!KT16)</f>
        <v/>
      </c>
      <c r="KI16" t="str">
        <f>IF('Data Checking'!KU16="","",'Data Checking'!KU16)</f>
        <v/>
      </c>
      <c r="KJ16" t="str">
        <f>IF('Data Checking'!KV16="","",'Data Checking'!KV16)</f>
        <v/>
      </c>
      <c r="KK16" t="str">
        <f>IF('Data Checking'!KW16="","",'Data Checking'!KW16)</f>
        <v/>
      </c>
      <c r="KL16" t="str">
        <f>IF('Data Checking'!KX16="","",'Data Checking'!KX16)</f>
        <v/>
      </c>
      <c r="KM16" t="str">
        <f>IF('Data Checking'!KY16="","",'Data Checking'!KY16)</f>
        <v/>
      </c>
      <c r="KN16" t="str">
        <f>IF('Data Checking'!KZ16="","",'Data Checking'!KZ16)</f>
        <v/>
      </c>
      <c r="KO16" t="str">
        <f>IF('Data Checking'!LA16="","",'Data Checking'!LA16)</f>
        <v/>
      </c>
      <c r="KP16" t="str">
        <f>IF('Data Checking'!LB16="","",'Data Checking'!LB16)</f>
        <v/>
      </c>
      <c r="KQ16" t="str">
        <f>IF('Data Checking'!LC16="","",'Data Checking'!LC16)</f>
        <v/>
      </c>
      <c r="KR16" t="str">
        <f>IF('Data Checking'!LD16="","",'Data Checking'!LD16)</f>
        <v/>
      </c>
      <c r="KS16" t="str">
        <f>IF('Data Checking'!LE16="","",'Data Checking'!LE16)</f>
        <v/>
      </c>
      <c r="KT16" t="str">
        <f>IF('Data Checking'!LF16="","",'Data Checking'!LF16)</f>
        <v/>
      </c>
      <c r="KU16" t="str">
        <f>IF('Data Checking'!LG16="","",'Data Checking'!LG16)</f>
        <v/>
      </c>
      <c r="KV16" t="str">
        <f>IF('Data Checking'!LH16="","",'Data Checking'!LH16)</f>
        <v/>
      </c>
      <c r="KW16" t="str">
        <f>IF('Data Checking'!LI16="","",'Data Checking'!LI16)</f>
        <v/>
      </c>
      <c r="KX16" t="str">
        <f>IF('Data Checking'!LJ16="","",'Data Checking'!LJ16)</f>
        <v/>
      </c>
      <c r="KY16" t="str">
        <f>IF('Data Checking'!LK16="","",'Data Checking'!LK16)</f>
        <v/>
      </c>
      <c r="KZ16" t="str">
        <f>IF('Data Checking'!LL16="","",'Data Checking'!LL16)</f>
        <v/>
      </c>
      <c r="LA16" t="str">
        <f>IF('Data Checking'!LM16="","",'Data Checking'!LM16)</f>
        <v/>
      </c>
      <c r="LB16" t="str">
        <f>IF('Data Checking'!LN16="","",'Data Checking'!LN16)</f>
        <v>non</v>
      </c>
      <c r="LC16" t="str">
        <f>IF('Data Checking'!LO16="","",'Data Checking'!LO16)</f>
        <v/>
      </c>
      <c r="LD16" t="str">
        <f>IF('Data Checking'!LP16="","",'Data Checking'!LP16)</f>
        <v/>
      </c>
      <c r="LE16" t="str">
        <f>IF('Data Checking'!LQ16="","",'Data Checking'!LQ16)</f>
        <v/>
      </c>
      <c r="LF16" t="str">
        <f>IF('Data Checking'!LR16="","",'Data Checking'!LR16)</f>
        <v/>
      </c>
      <c r="LG16" t="str">
        <f>IF('Data Checking'!LS16="","",'Data Checking'!LS16)</f>
        <v/>
      </c>
      <c r="LH16" t="str">
        <f>IF('Data Checking'!LT16="","",'Data Checking'!LT16)</f>
        <v/>
      </c>
      <c r="LI16" t="str">
        <f>IF('Data Checking'!LU16="","",'Data Checking'!LU16)</f>
        <v/>
      </c>
      <c r="LJ16" t="str">
        <f>IF('Data Checking'!LV16="","",'Data Checking'!LV16)</f>
        <v/>
      </c>
      <c r="LK16" t="str">
        <f>IF('Data Checking'!LW16="","",'Data Checking'!LW16)</f>
        <v/>
      </c>
      <c r="LL16" t="str">
        <f>IF('Data Checking'!LX16="","",'Data Checking'!LX16)</f>
        <v/>
      </c>
      <c r="LM16" t="str">
        <f>IF('Data Checking'!LY16="","",'Data Checking'!LY16)</f>
        <v/>
      </c>
      <c r="LN16" t="str">
        <f>IF('Data Checking'!LZ16="","",'Data Checking'!LZ16)</f>
        <v/>
      </c>
      <c r="LO16" t="str">
        <f>IF('Data Checking'!MA16="","",'Data Checking'!MA16)</f>
        <v/>
      </c>
      <c r="LP16" t="str">
        <f>IF('Data Checking'!MB16="","",'Data Checking'!MB16)</f>
        <v>oui</v>
      </c>
      <c r="LQ16" t="str">
        <f>IF('Data Checking'!MC16="","",'Data Checking'!MC16)</f>
        <v/>
      </c>
      <c r="LR16" t="str">
        <f>IF('Data Checking'!MD16="","",'Data Checking'!MD16)</f>
        <v/>
      </c>
      <c r="LS16">
        <f>IF('Data Checking'!ME16="","",'Data Checking'!ME16)</f>
        <v>169235210</v>
      </c>
      <c r="LT16" t="str">
        <f>IF('Data Checking'!MF16="","",'Data Checking'!MF16)</f>
        <v>89997856-f49b-469c-814c-5cc689233050</v>
      </c>
      <c r="LU16" t="str">
        <f>IF('Data Checking'!MG16="","",'Data Checking'!MG16)</f>
        <v>2021-04-02T00:40:48</v>
      </c>
      <c r="LV16" t="str">
        <f>IF('Data Checking'!MH16="","",'Data Checking'!MH16)</f>
        <v/>
      </c>
      <c r="LW16" t="str">
        <f>IF('Data Checking'!MI16="","",'Data Checking'!MI16)</f>
        <v>[]</v>
      </c>
      <c r="LX16" t="str">
        <f>IF('Data Checking'!MJ16="","",'Data Checking'!MJ16)</f>
        <v>submitted_via_web</v>
      </c>
      <c r="LY16" t="str">
        <f>IF('Data Checking'!MK16="","",'Data Checking'!MK16)</f>
        <v>reach_niger</v>
      </c>
      <c r="LZ16" t="str">
        <f>IF('Data Checking'!ML16="","",'Data Checking'!ML16)</f>
        <v/>
      </c>
      <c r="MA16">
        <f>IF('Data Checking'!MM16="","",'Data Checking'!MM16)</f>
        <v>19</v>
      </c>
    </row>
    <row r="17" spans="1:339" x14ac:dyDescent="0.3">
      <c r="A17" t="str">
        <f>IF('Data Checking'!D17="","",'Data Checking'!D17)</f>
        <v>2021-04-03T11:53:54.351+01:00</v>
      </c>
      <c r="B17" t="str">
        <f>IF('Data Checking'!E17="","",'Data Checking'!E17)</f>
        <v>2021-04-03T12:08:36.948+01:00</v>
      </c>
      <c r="C17" t="str">
        <f>IF('Data Checking'!M17="","",'Data Checking'!M17)</f>
        <v>2021-04-03</v>
      </c>
      <c r="D17" t="str">
        <f>IF('Data Checking'!N17="","",'Data Checking'!N17)</f>
        <v/>
      </c>
      <c r="E17" t="str">
        <f>IF('Data Checking'!O17="","",'Data Checking'!O17)</f>
        <v/>
      </c>
      <c r="F17" t="str">
        <f>IF('Data Checking'!R17="","",'Data Checking'!R17)</f>
        <v>Homme</v>
      </c>
      <c r="G17" t="str">
        <f>IF('Data Checking'!S17="","",'Data Checking'!S17)</f>
        <v>ayerou</v>
      </c>
      <c r="H17" t="str">
        <f>IF('Data Checking'!T17="","",'Data Checking'!T17)</f>
        <v>ayerou</v>
      </c>
      <c r="I17" t="str">
        <f>IF('Data Checking'!U17="","",'Data Checking'!U17)</f>
        <v>autre</v>
      </c>
      <c r="J17" t="str">
        <f>IF('Data Checking'!V17="","",'Data Checking'!V17)</f>
        <v>Tous les sites PDI de la zone de compétence de l'IC</v>
      </c>
      <c r="K17" t="str">
        <f>IF('Data Checking'!W17="","",'Data Checking'!W17)</f>
        <v/>
      </c>
      <c r="L17" t="str">
        <f>IF('Data Checking'!X17="","",'Data Checking'!X17)</f>
        <v/>
      </c>
      <c r="M17" t="str">
        <f>IF('Data Checking'!Y17="","",'Data Checking'!Y17)</f>
        <v/>
      </c>
      <c r="N17" t="str">
        <f>IF('Data Checking'!Z17="","",'Data Checking'!Z17)</f>
        <v/>
      </c>
      <c r="O17" t="str">
        <f>IF('Data Checking'!AA17="","",'Data Checking'!AA17)</f>
        <v/>
      </c>
      <c r="P17" t="str">
        <f>IF('Data Checking'!AB17="","",'Data Checking'!AB17)</f>
        <v/>
      </c>
      <c r="Q17" t="str">
        <f>IF('Data Checking'!AC17="","",'Data Checking'!AC17)</f>
        <v/>
      </c>
      <c r="R17" t="str">
        <f>IF('Data Checking'!AD17="","",'Data Checking'!AD17)</f>
        <v>Homme</v>
      </c>
      <c r="S17" t="str">
        <f>IF('Data Checking'!AE17="","",'Data Checking'!AE17)</f>
        <v>40</v>
      </c>
      <c r="T17" t="str">
        <f>IF('Data Checking'!AF17="","",'Data Checking'!AF17)</f>
        <v>Hote</v>
      </c>
      <c r="U17" t="str">
        <f>IF('Data Checking'!AG17="","",'Data Checking'!AG17)</f>
        <v/>
      </c>
      <c r="V17" t="str">
        <f>IF('Data Checking'!AH17="","",'Data Checking'!AH17)</f>
        <v/>
      </c>
      <c r="W17" t="str">
        <f>IF('Data Checking'!AI17="","",'Data Checking'!AI17)</f>
        <v/>
      </c>
      <c r="X17" t="str">
        <f>IF('Data Checking'!AJ17="","",'Data Checking'!AJ17)</f>
        <v/>
      </c>
      <c r="Y17" t="str">
        <f>IF('Data Checking'!AK17="","",'Data Checking'!AK17)</f>
        <v/>
      </c>
      <c r="Z17" t="str">
        <f>IF('Data Checking'!AL17="","",'Data Checking'!AL17)</f>
        <v/>
      </c>
      <c r="AA17" t="str">
        <f>IF('Data Checking'!AM17="","",'Data Checking'!AM17)</f>
        <v/>
      </c>
      <c r="AB17" t="str">
        <f>IF('Data Checking'!AN17="","",'Data Checking'!AN17)</f>
        <v/>
      </c>
      <c r="AC17" t="str">
        <f>IF('Data Checking'!AO17="","",'Data Checking'!AO17)</f>
        <v/>
      </c>
      <c r="AD17" t="str">
        <f>IF('Data Checking'!AP17="","",'Data Checking'!AP17)</f>
        <v/>
      </c>
      <c r="AE17" t="str">
        <f>IF('Data Checking'!AQ17="","",'Data Checking'!AQ17)</f>
        <v/>
      </c>
      <c r="AF17" t="str">
        <f>IF('Data Checking'!AR17="","",'Data Checking'!AR17)</f>
        <v/>
      </c>
      <c r="AG17" t="str">
        <f>IF('Data Checking'!AS17="","",'Data Checking'!AS17)</f>
        <v>non</v>
      </c>
      <c r="AH17" t="str">
        <f>IF('Data Checking'!AT17="","",'Data Checking'!AT17)</f>
        <v/>
      </c>
      <c r="AI17" t="str">
        <f>IF('Data Checking'!AU17="","",'Data Checking'!AU17)</f>
        <v/>
      </c>
      <c r="AJ17" t="str">
        <f>IF('Data Checking'!AV17="","",'Data Checking'!AV17)</f>
        <v/>
      </c>
      <c r="AK17" t="str">
        <f>IF('Data Checking'!AW17="","",'Data Checking'!AW17)</f>
        <v/>
      </c>
      <c r="AL17" t="str">
        <f>IF('Data Checking'!AX17="","",'Data Checking'!AX17)</f>
        <v/>
      </c>
      <c r="AM17" t="str">
        <f>IF('Data Checking'!AY17="","",'Data Checking'!AY17)</f>
        <v/>
      </c>
      <c r="AN17" t="str">
        <f>IF('Data Checking'!AZ17="","",'Data Checking'!AZ17)</f>
        <v/>
      </c>
      <c r="AO17" t="str">
        <f>IF('Data Checking'!BA17="","",'Data Checking'!BA17)</f>
        <v/>
      </c>
      <c r="AP17" t="str">
        <f>IF('Data Checking'!BB17="","",'Data Checking'!BB17)</f>
        <v/>
      </c>
      <c r="AQ17" t="str">
        <f>IF('Data Checking'!BC17="","",'Data Checking'!BC17)</f>
        <v/>
      </c>
      <c r="AR17" t="str">
        <f>IF('Data Checking'!BD17="","",'Data Checking'!BD17)</f>
        <v/>
      </c>
      <c r="AS17" t="str">
        <f>IF('Data Checking'!BE17="","",'Data Checking'!BE17)</f>
        <v/>
      </c>
      <c r="AT17" t="str">
        <f>IF('Data Checking'!BF17="","",'Data Checking'!BF17)</f>
        <v/>
      </c>
      <c r="AU17" t="str">
        <f>IF('Data Checking'!BG17="","",'Data Checking'!BG17)</f>
        <v/>
      </c>
      <c r="AV17" t="str">
        <f>IF('Data Checking'!BH17="","",'Data Checking'!BH17)</f>
        <v/>
      </c>
      <c r="AW17" t="str">
        <f>IF('Data Checking'!BI17="","",'Data Checking'!BI17)</f>
        <v/>
      </c>
      <c r="AX17" t="str">
        <f>IF('Data Checking'!BJ17="","",'Data Checking'!BJ17)</f>
        <v/>
      </c>
      <c r="AY17" t="str">
        <f>IF('Data Checking'!BK17="","",'Data Checking'!BK17)</f>
        <v/>
      </c>
      <c r="AZ17" t="str">
        <f>IF('Data Checking'!BL17="","",'Data Checking'!BL17)</f>
        <v/>
      </c>
      <c r="BA17" t="str">
        <f>IF('Data Checking'!BM17="","",'Data Checking'!BM17)</f>
        <v/>
      </c>
      <c r="BB17" t="str">
        <f>IF('Data Checking'!BN17="","",'Data Checking'!BN17)</f>
        <v/>
      </c>
      <c r="BC17" t="str">
        <f>IF('Data Checking'!BO17="","",'Data Checking'!BO17)</f>
        <v/>
      </c>
      <c r="BD17" t="str">
        <f>IF('Data Checking'!BP17="","",'Data Checking'!BP17)</f>
        <v/>
      </c>
      <c r="BE17" t="str">
        <f>IF('Data Checking'!BQ17="","",'Data Checking'!BQ17)</f>
        <v/>
      </c>
      <c r="BF17" t="str">
        <f>IF('Data Checking'!BR17="","",'Data Checking'!BR17)</f>
        <v/>
      </c>
      <c r="BG17" t="str">
        <f>IF('Data Checking'!BS17="","",'Data Checking'!BS17)</f>
        <v/>
      </c>
      <c r="BH17" t="str">
        <f>IF('Data Checking'!BT17="","",'Data Checking'!BT17)</f>
        <v/>
      </c>
      <c r="BI17" t="str">
        <f>IF('Data Checking'!BU17="","",'Data Checking'!BU17)</f>
        <v/>
      </c>
      <c r="BJ17" t="str">
        <f>IF('Data Checking'!BV17="","",'Data Checking'!BV17)</f>
        <v/>
      </c>
      <c r="BK17" t="str">
        <f>IF('Data Checking'!BW17="","",'Data Checking'!BW17)</f>
        <v/>
      </c>
      <c r="BL17" t="str">
        <f>IF('Data Checking'!BX17="","",'Data Checking'!BX17)</f>
        <v/>
      </c>
      <c r="BM17" t="str">
        <f>IF('Data Checking'!BY17="","",'Data Checking'!BY17)</f>
        <v/>
      </c>
      <c r="BN17" t="str">
        <f>IF('Data Checking'!BZ17="","",'Data Checking'!BZ17)</f>
        <v/>
      </c>
      <c r="BO17" t="str">
        <f>IF('Data Checking'!CA17="","",'Data Checking'!CA17)</f>
        <v/>
      </c>
      <c r="BP17" t="str">
        <f>IF('Data Checking'!CB17="","",'Data Checking'!CB17)</f>
        <v/>
      </c>
      <c r="BQ17" t="str">
        <f>IF('Data Checking'!CC17="","",'Data Checking'!CC17)</f>
        <v>oui</v>
      </c>
      <c r="BR17" t="str">
        <f>IF('Data Checking'!CD17="","",'Data Checking'!CD17)</f>
        <v>viol mariage_force menace</v>
      </c>
      <c r="BS17" t="str">
        <f>IF('Data Checking'!CE17="","",'Data Checking'!CE17)</f>
        <v>1</v>
      </c>
      <c r="BT17" t="str">
        <f>IF('Data Checking'!CF17="","",'Data Checking'!CF17)</f>
        <v>0</v>
      </c>
      <c r="BU17" t="str">
        <f>IF('Data Checking'!CG17="","",'Data Checking'!CG17)</f>
        <v>0</v>
      </c>
      <c r="BV17" t="str">
        <f>IF('Data Checking'!CH17="","",'Data Checking'!CH17)</f>
        <v>0</v>
      </c>
      <c r="BW17" t="str">
        <f>IF('Data Checking'!CI17="","",'Data Checking'!CI17)</f>
        <v>0</v>
      </c>
      <c r="BX17" t="str">
        <f>IF('Data Checking'!CJ17="","",'Data Checking'!CJ17)</f>
        <v>1</v>
      </c>
      <c r="BY17" t="str">
        <f>IF('Data Checking'!CK17="","",'Data Checking'!CK17)</f>
        <v>0</v>
      </c>
      <c r="BZ17" t="str">
        <f>IF('Data Checking'!CL17="","",'Data Checking'!CL17)</f>
        <v>0</v>
      </c>
      <c r="CA17" t="str">
        <f>IF('Data Checking'!CM17="","",'Data Checking'!CM17)</f>
        <v>0</v>
      </c>
      <c r="CB17" t="str">
        <f>IF('Data Checking'!CN17="","",'Data Checking'!CN17)</f>
        <v>0</v>
      </c>
      <c r="CC17" t="str">
        <f>IF('Data Checking'!CO17="","",'Data Checking'!CO17)</f>
        <v>1</v>
      </c>
      <c r="CD17" t="str">
        <f>IF('Data Checking'!CP17="","",'Data Checking'!CP17)</f>
        <v>0</v>
      </c>
      <c r="CE17" t="str">
        <f>IF('Data Checking'!CQ17="","",'Data Checking'!CQ17)</f>
        <v>0</v>
      </c>
      <c r="CF17" t="str">
        <f>IF('Data Checking'!CR17="","",'Data Checking'!CR17)</f>
        <v>0</v>
      </c>
      <c r="CG17" t="str">
        <f>IF('Data Checking'!CS17="","",'Data Checking'!CS17)</f>
        <v>0</v>
      </c>
      <c r="CH17" t="str">
        <f>IF('Data Checking'!CT17="","",'Data Checking'!CT17)</f>
        <v/>
      </c>
      <c r="CI17" t="str">
        <f>IF('Data Checking'!CU17="","",'Data Checking'!CU17)</f>
        <v>Femmes_agees Hommes_ages Bebes/Bambins</v>
      </c>
      <c r="CJ17" t="str">
        <f>IF('Data Checking'!CV17="","",'Data Checking'!CV17)</f>
        <v>1</v>
      </c>
      <c r="CK17" t="str">
        <f>IF('Data Checking'!CW17="","",'Data Checking'!CW17)</f>
        <v>0</v>
      </c>
      <c r="CL17" t="str">
        <f>IF('Data Checking'!CX17="","",'Data Checking'!CX17)</f>
        <v>0</v>
      </c>
      <c r="CM17" t="str">
        <f>IF('Data Checking'!CY17="","",'Data Checking'!CY17)</f>
        <v>0</v>
      </c>
      <c r="CN17" t="str">
        <f>IF('Data Checking'!CZ17="","",'Data Checking'!CZ17)</f>
        <v>0</v>
      </c>
      <c r="CO17" t="str">
        <f>IF('Data Checking'!DA17="","",'Data Checking'!DA17)</f>
        <v>0</v>
      </c>
      <c r="CP17" t="str">
        <f>IF('Data Checking'!DB17="","",'Data Checking'!DB17)</f>
        <v>1</v>
      </c>
      <c r="CQ17" t="str">
        <f>IF('Data Checking'!DC17="","",'Data Checking'!DC17)</f>
        <v>1</v>
      </c>
      <c r="CR17" t="str">
        <f>IF('Data Checking'!DD17="","",'Data Checking'!DD17)</f>
        <v>0</v>
      </c>
      <c r="CS17" t="str">
        <f>IF('Data Checking'!DE17="","",'Data Checking'!DE17)</f>
        <v>0</v>
      </c>
      <c r="CT17" t="str">
        <f>IF('Data Checking'!DF17="","",'Data Checking'!DF17)</f>
        <v>0</v>
      </c>
      <c r="CU17" t="str">
        <f>IF('Data Checking'!DG17="","",'Data Checking'!DG17)</f>
        <v>0</v>
      </c>
      <c r="CV17" t="str">
        <f>IF('Data Checking'!DH17="","",'Data Checking'!DH17)</f>
        <v>0</v>
      </c>
      <c r="CW17" t="str">
        <f>IF('Data Checking'!DI17="","",'Data Checking'!DI17)</f>
        <v>0</v>
      </c>
      <c r="CX17" t="str">
        <f>IF('Data Checking'!DJ17="","",'Data Checking'!DJ17)</f>
        <v/>
      </c>
      <c r="CY17" t="str">
        <f>IF('Data Checking'!DK17="","",'Data Checking'!DK17)</f>
        <v>1</v>
      </c>
      <c r="CZ17" t="str">
        <f>IF('Data Checking'!DL17="","",'Data Checking'!DL17)</f>
        <v>augmente</v>
      </c>
      <c r="DA17" t="str">
        <f>IF('Data Checking'!DM17="","",'Data Checking'!DM17)</f>
        <v/>
      </c>
      <c r="DB17" t="str">
        <f>IF('Data Checking'!DN17="","",'Data Checking'!DN17)</f>
        <v>diminution_moyens_existence hausse_tensions_intercomm hausse_chomeurs</v>
      </c>
      <c r="DC17" t="str">
        <f>IF('Data Checking'!DO17="","",'Data Checking'!DO17)</f>
        <v>1</v>
      </c>
      <c r="DD17" t="str">
        <f>IF('Data Checking'!DP17="","",'Data Checking'!DP17)</f>
        <v>0</v>
      </c>
      <c r="DE17" t="str">
        <f>IF('Data Checking'!DQ17="","",'Data Checking'!DQ17)</f>
        <v>0</v>
      </c>
      <c r="DF17" t="str">
        <f>IF('Data Checking'!DR17="","",'Data Checking'!DR17)</f>
        <v>1</v>
      </c>
      <c r="DG17" t="str">
        <f>IF('Data Checking'!DS17="","",'Data Checking'!DS17)</f>
        <v>0</v>
      </c>
      <c r="DH17" t="str">
        <f>IF('Data Checking'!DT17="","",'Data Checking'!DT17)</f>
        <v>0</v>
      </c>
      <c r="DI17" t="str">
        <f>IF('Data Checking'!DU17="","",'Data Checking'!DU17)</f>
        <v>1</v>
      </c>
      <c r="DJ17" t="str">
        <f>IF('Data Checking'!DV17="","",'Data Checking'!DV17)</f>
        <v>0</v>
      </c>
      <c r="DK17" t="str">
        <f>IF('Data Checking'!DW17="","",'Data Checking'!DW17)</f>
        <v>0</v>
      </c>
      <c r="DL17" t="str">
        <f>IF('Data Checking'!DX17="","",'Data Checking'!DX17)</f>
        <v>0</v>
      </c>
      <c r="DM17" t="str">
        <f>IF('Data Checking'!DY17="","",'Data Checking'!DY17)</f>
        <v/>
      </c>
      <c r="DN17" t="str">
        <f>IF('Data Checking'!DZ17="","",'Data Checking'!DZ17)</f>
        <v/>
      </c>
      <c r="DO17" t="str">
        <f>IF('Data Checking'!EA17="","",'Data Checking'!EA17)</f>
        <v/>
      </c>
      <c r="DP17" t="str">
        <f>IF('Data Checking'!EB17="","",'Data Checking'!EB17)</f>
        <v/>
      </c>
      <c r="DQ17" t="str">
        <f>IF('Data Checking'!EC17="","",'Data Checking'!EC17)</f>
        <v/>
      </c>
      <c r="DR17" t="str">
        <f>IF('Data Checking'!ED17="","",'Data Checking'!ED17)</f>
        <v/>
      </c>
      <c r="DS17" t="str">
        <f>IF('Data Checking'!EE17="","",'Data Checking'!EE17)</f>
        <v/>
      </c>
      <c r="DT17" t="str">
        <f>IF('Data Checking'!EF17="","",'Data Checking'!EF17)</f>
        <v/>
      </c>
      <c r="DU17" t="str">
        <f>IF('Data Checking'!EG17="","",'Data Checking'!EG17)</f>
        <v/>
      </c>
      <c r="DV17" t="str">
        <f>IF('Data Checking'!EH17="","",'Data Checking'!EH17)</f>
        <v/>
      </c>
      <c r="DW17" t="str">
        <f>IF('Data Checking'!EI17="","",'Data Checking'!EI17)</f>
        <v/>
      </c>
      <c r="DX17" t="str">
        <f>IF('Data Checking'!EJ17="","",'Data Checking'!EJ17)</f>
        <v/>
      </c>
      <c r="DY17" t="str">
        <f>IF('Data Checking'!EK17="","",'Data Checking'!EK17)</f>
        <v/>
      </c>
      <c r="DZ17" t="str">
        <f>IF('Data Checking'!EL17="","",'Data Checking'!EL17)</f>
        <v>dplct_abords_com Integration_com_hote Soutien_famille_amis Soutien_chef_village Soutien_psychosocial Soutien_en_AGR</v>
      </c>
      <c r="EA17" t="str">
        <f>IF('Data Checking'!EM17="","",'Data Checking'!EM17)</f>
        <v>1</v>
      </c>
      <c r="EB17" t="str">
        <f>IF('Data Checking'!EN17="","",'Data Checking'!EN17)</f>
        <v>1</v>
      </c>
      <c r="EC17" t="str">
        <f>IF('Data Checking'!EO17="","",'Data Checking'!EO17)</f>
        <v>1</v>
      </c>
      <c r="ED17" t="str">
        <f>IF('Data Checking'!EP17="","",'Data Checking'!EP17)</f>
        <v>1</v>
      </c>
      <c r="EE17" t="str">
        <f>IF('Data Checking'!EQ17="","",'Data Checking'!EQ17)</f>
        <v>1</v>
      </c>
      <c r="EF17" t="str">
        <f>IF('Data Checking'!ER17="","",'Data Checking'!ER17)</f>
        <v>1</v>
      </c>
      <c r="EG17" t="str">
        <f>IF('Data Checking'!ES17="","",'Data Checking'!ES17)</f>
        <v>0</v>
      </c>
      <c r="EH17" t="str">
        <f>IF('Data Checking'!ET17="","",'Data Checking'!ET17)</f>
        <v>0</v>
      </c>
      <c r="EI17" t="str">
        <f>IF('Data Checking'!EU17="","",'Data Checking'!EU17)</f>
        <v>0</v>
      </c>
      <c r="EJ17" t="str">
        <f>IF('Data Checking'!EV17="","",'Data Checking'!EV17)</f>
        <v/>
      </c>
      <c r="EK17" t="str">
        <f>IF('Data Checking'!EW17="","",'Data Checking'!EW17)</f>
        <v/>
      </c>
      <c r="EL17" t="str">
        <f>IF('Data Checking'!EX17="","",'Data Checking'!EX17)</f>
        <v>comite_protection famille_accueil comite_redevabilite comite_alerte</v>
      </c>
      <c r="EM17" t="str">
        <f>IF('Data Checking'!EY17="","",'Data Checking'!EY17)</f>
        <v>0</v>
      </c>
      <c r="EN17" t="str">
        <f>IF('Data Checking'!EZ17="","",'Data Checking'!EZ17)</f>
        <v>1</v>
      </c>
      <c r="EO17" t="str">
        <f>IF('Data Checking'!FA17="","",'Data Checking'!FA17)</f>
        <v>1</v>
      </c>
      <c r="EP17" t="str">
        <f>IF('Data Checking'!FB17="","",'Data Checking'!FB17)</f>
        <v>1</v>
      </c>
      <c r="EQ17" t="str">
        <f>IF('Data Checking'!FC17="","",'Data Checking'!FC17)</f>
        <v>1</v>
      </c>
      <c r="ER17" t="str">
        <f>IF('Data Checking'!FD17="","",'Data Checking'!FD17)</f>
        <v>0</v>
      </c>
      <c r="ES17" t="str">
        <f>IF('Data Checking'!FE17="","",'Data Checking'!FE17)</f>
        <v>0</v>
      </c>
      <c r="ET17" t="str">
        <f>IF('Data Checking'!FF17="","",'Data Checking'!FF17)</f>
        <v>0</v>
      </c>
      <c r="EU17" t="str">
        <f>IF('Data Checking'!FG17="","",'Data Checking'!FG17)</f>
        <v>0</v>
      </c>
      <c r="EV17" t="str">
        <f>IF('Data Checking'!FH17="","",'Data Checking'!FH17)</f>
        <v>0</v>
      </c>
      <c r="EW17" t="str">
        <f>IF('Data Checking'!FI17="","",'Data Checking'!FI17)</f>
        <v/>
      </c>
      <c r="EX17" t="str">
        <f>IF('Data Checking'!FJ17="","",'Data Checking'!FJ17)</f>
        <v>oui</v>
      </c>
      <c r="EY17" t="str">
        <f>IF('Data Checking'!FK17="","",'Data Checking'!FK17)</f>
        <v>Radio_television Internet manif_sociales Chef_village famille_amis Leaders_religieux Groupement_femmes Differents_comites_villageois Travailleurs_sociaux/hum Gouvernement</v>
      </c>
      <c r="EZ17" t="str">
        <f>IF('Data Checking'!FL17="","",'Data Checking'!FL17)</f>
        <v>1</v>
      </c>
      <c r="FA17" t="str">
        <f>IF('Data Checking'!FM17="","",'Data Checking'!FM17)</f>
        <v>0</v>
      </c>
      <c r="FB17" t="str">
        <f>IF('Data Checking'!FN17="","",'Data Checking'!FN17)</f>
        <v>1</v>
      </c>
      <c r="FC17" t="str">
        <f>IF('Data Checking'!FO17="","",'Data Checking'!FO17)</f>
        <v>1</v>
      </c>
      <c r="FD17" t="str">
        <f>IF('Data Checking'!FP17="","",'Data Checking'!FP17)</f>
        <v>1</v>
      </c>
      <c r="FE17" t="str">
        <f>IF('Data Checking'!FQ17="","",'Data Checking'!FQ17)</f>
        <v>1</v>
      </c>
      <c r="FF17" t="str">
        <f>IF('Data Checking'!FR17="","",'Data Checking'!FR17)</f>
        <v>1</v>
      </c>
      <c r="FG17" t="str">
        <f>IF('Data Checking'!FS17="","",'Data Checking'!FS17)</f>
        <v>1</v>
      </c>
      <c r="FH17" t="str">
        <f>IF('Data Checking'!FT17="","",'Data Checking'!FT17)</f>
        <v>1</v>
      </c>
      <c r="FI17" t="str">
        <f>IF('Data Checking'!FU17="","",'Data Checking'!FU17)</f>
        <v>1</v>
      </c>
      <c r="FJ17" t="str">
        <f>IF('Data Checking'!FV17="","",'Data Checking'!FV17)</f>
        <v>1</v>
      </c>
      <c r="FK17" t="str">
        <f>IF('Data Checking'!FW17="","",'Data Checking'!FW17)</f>
        <v>0</v>
      </c>
      <c r="FL17" t="str">
        <f>IF('Data Checking'!FX17="","",'Data Checking'!FX17)</f>
        <v>0</v>
      </c>
      <c r="FM17" t="str">
        <f>IF('Data Checking'!FY17="","",'Data Checking'!FY17)</f>
        <v>0</v>
      </c>
      <c r="FN17" t="str">
        <f>IF('Data Checking'!FZ17="","",'Data Checking'!FZ17)</f>
        <v/>
      </c>
      <c r="FO17" t="str">
        <f>IF('Data Checking'!GA17="","",'Data Checking'!GA17)</f>
        <v>oui_ensemble</v>
      </c>
      <c r="FP17" t="str">
        <f>IF('Data Checking'!GB17="","",'Data Checking'!GB17)</f>
        <v>oui_majorite</v>
      </c>
      <c r="FQ17" t="str">
        <f>IF('Data Checking'!GC17="","",'Data Checking'!GC17)</f>
        <v>non_fonctionnelle</v>
      </c>
      <c r="FR17" t="str">
        <f>IF('Data Checking'!GD17="","",'Data Checking'!GD17)</f>
        <v>1</v>
      </c>
      <c r="FS17" t="str">
        <f>IF('Data Checking'!GE17="","",'Data Checking'!GE17)</f>
        <v>0</v>
      </c>
      <c r="FT17" t="str">
        <f>IF('Data Checking'!GF17="","",'Data Checking'!GF17)</f>
        <v>0</v>
      </c>
      <c r="FU17" t="str">
        <f>IF('Data Checking'!GG17="","",'Data Checking'!GG17)</f>
        <v>0</v>
      </c>
      <c r="FV17" t="str">
        <f>IF('Data Checking'!GH17="","",'Data Checking'!GH17)</f>
        <v>0</v>
      </c>
      <c r="FW17" t="str">
        <f>IF('Data Checking'!GI17="","",'Data Checking'!GI17)</f>
        <v>0</v>
      </c>
      <c r="FX17" t="str">
        <f>IF('Data Checking'!GJ17="","",'Data Checking'!GJ17)</f>
        <v>0</v>
      </c>
      <c r="FY17" t="str">
        <f>IF('Data Checking'!GK17="","",'Data Checking'!GK17)</f>
        <v>0</v>
      </c>
      <c r="FZ17" t="str">
        <f>IF('Data Checking'!GL17="","",'Data Checking'!GL17)</f>
        <v/>
      </c>
      <c r="GA17" t="str">
        <f>IF('Data Checking'!GM17="","",'Data Checking'!GM17)</f>
        <v>majorite</v>
      </c>
      <c r="GB17" t="str">
        <f>IF('Data Checking'!GN17="","",'Data Checking'!GN17)</f>
        <v>majorite</v>
      </c>
      <c r="GC17" t="str">
        <f>IF('Data Checking'!GO17="","",'Data Checking'!GO17)</f>
        <v>Education Appui_psychosocial Services_de_sante Acces_aux_doc Programme_AGR</v>
      </c>
      <c r="GD17" t="str">
        <f>IF('Data Checking'!GP17="","",'Data Checking'!GP17)</f>
        <v>1</v>
      </c>
      <c r="GE17" t="str">
        <f>IF('Data Checking'!GQ17="","",'Data Checking'!GQ17)</f>
        <v>1</v>
      </c>
      <c r="GF17" t="str">
        <f>IF('Data Checking'!GR17="","",'Data Checking'!GR17)</f>
        <v>0</v>
      </c>
      <c r="GG17" t="str">
        <f>IF('Data Checking'!GS17="","",'Data Checking'!GS17)</f>
        <v>1</v>
      </c>
      <c r="GH17" t="str">
        <f>IF('Data Checking'!GT17="","",'Data Checking'!GT17)</f>
        <v>1</v>
      </c>
      <c r="GI17" t="str">
        <f>IF('Data Checking'!GU17="","",'Data Checking'!GU17)</f>
        <v>0</v>
      </c>
      <c r="GJ17" t="str">
        <f>IF('Data Checking'!GV17="","",'Data Checking'!GV17)</f>
        <v>1</v>
      </c>
      <c r="GK17" t="str">
        <f>IF('Data Checking'!GW17="","",'Data Checking'!GW17)</f>
        <v>0</v>
      </c>
      <c r="GL17" t="str">
        <f>IF('Data Checking'!GX17="","",'Data Checking'!GX17)</f>
        <v>0</v>
      </c>
      <c r="GM17" t="str">
        <f>IF('Data Checking'!GY17="","",'Data Checking'!GY17)</f>
        <v/>
      </c>
      <c r="GN17" t="str">
        <f>IF('Data Checking'!GZ17="","",'Data Checking'!GZ17)</f>
        <v>oui_majorite</v>
      </c>
      <c r="GO17" t="str">
        <f>IF('Data Checking'!HA17="","",'Data Checking'!HA17)</f>
        <v>oui_majorite</v>
      </c>
      <c r="GP17" t="str">
        <f>IF('Data Checking'!HB17="","",'Data Checking'!HB17)</f>
        <v>amelioration_futur repond_besoins_pop permet_eviter_conflits</v>
      </c>
      <c r="GQ17" t="str">
        <f>IF('Data Checking'!HC17="","",'Data Checking'!HC17)</f>
        <v>1</v>
      </c>
      <c r="GR17" t="str">
        <f>IF('Data Checking'!HD17="","",'Data Checking'!HD17)</f>
        <v>1</v>
      </c>
      <c r="GS17" t="str">
        <f>IF('Data Checking'!HE17="","",'Data Checking'!HE17)</f>
        <v>0</v>
      </c>
      <c r="GT17" t="str">
        <f>IF('Data Checking'!HF17="","",'Data Checking'!HF17)</f>
        <v>1</v>
      </c>
      <c r="GU17" t="str">
        <f>IF('Data Checking'!HG17="","",'Data Checking'!HG17)</f>
        <v>0</v>
      </c>
      <c r="GV17" t="str">
        <f>IF('Data Checking'!HH17="","",'Data Checking'!HH17)</f>
        <v>0</v>
      </c>
      <c r="GW17" t="str">
        <f>IF('Data Checking'!HI17="","",'Data Checking'!HI17)</f>
        <v>0</v>
      </c>
      <c r="GX17" t="str">
        <f>IF('Data Checking'!HJ17="","",'Data Checking'!HJ17)</f>
        <v>0</v>
      </c>
      <c r="GY17" t="str">
        <f>IF('Data Checking'!HK17="","",'Data Checking'!HK17)</f>
        <v/>
      </c>
      <c r="GZ17" t="str">
        <f>IF('Data Checking'!HL17="","",'Data Checking'!HL17)</f>
        <v>ne_contribue_pas</v>
      </c>
      <c r="HA17" t="str">
        <f>IF('Data Checking'!HM17="","",'Data Checking'!HM17)</f>
        <v>1</v>
      </c>
      <c r="HB17" t="str">
        <f>IF('Data Checking'!HN17="","",'Data Checking'!HN17)</f>
        <v>0</v>
      </c>
      <c r="HC17" t="str">
        <f>IF('Data Checking'!HO17="","",'Data Checking'!HO17)</f>
        <v>0</v>
      </c>
      <c r="HD17" t="str">
        <f>IF('Data Checking'!HP17="","",'Data Checking'!HP17)</f>
        <v>0</v>
      </c>
      <c r="HE17" t="str">
        <f>IF('Data Checking'!HQ17="","",'Data Checking'!HQ17)</f>
        <v>0</v>
      </c>
      <c r="HF17" t="str">
        <f>IF('Data Checking'!HR17="","",'Data Checking'!HR17)</f>
        <v>0</v>
      </c>
      <c r="HG17" t="str">
        <f>IF('Data Checking'!HS17="","",'Data Checking'!HS17)</f>
        <v/>
      </c>
      <c r="HH17" t="str">
        <f>IF('Data Checking'!HT17="","",'Data Checking'!HT17)</f>
        <v/>
      </c>
      <c r="HI17" t="str">
        <f>IF('Data Checking'!HU17="","",'Data Checking'!HU17)</f>
        <v>oui_minorite</v>
      </c>
      <c r="HJ17" t="str">
        <f>IF('Data Checking'!HV17="","",'Data Checking'!HV17)</f>
        <v>gvt fds_arme autorite_locale_leaders ingo ong_locale famille_amis</v>
      </c>
      <c r="HK17" t="str">
        <f>IF('Data Checking'!HW17="","",'Data Checking'!HW17)</f>
        <v>1</v>
      </c>
      <c r="HL17" t="str">
        <f>IF('Data Checking'!HX17="","",'Data Checking'!HX17)</f>
        <v>1</v>
      </c>
      <c r="HM17" t="str">
        <f>IF('Data Checking'!HY17="","",'Data Checking'!HY17)</f>
        <v>1</v>
      </c>
      <c r="HN17" t="str">
        <f>IF('Data Checking'!HZ17="","",'Data Checking'!HZ17)</f>
        <v>0</v>
      </c>
      <c r="HO17" t="str">
        <f>IF('Data Checking'!IA17="","",'Data Checking'!IA17)</f>
        <v>1</v>
      </c>
      <c r="HP17" t="str">
        <f>IF('Data Checking'!IB17="","",'Data Checking'!IB17)</f>
        <v>1</v>
      </c>
      <c r="HQ17" t="str">
        <f>IF('Data Checking'!IC17="","",'Data Checking'!IC17)</f>
        <v>1</v>
      </c>
      <c r="HR17" t="str">
        <f>IF('Data Checking'!ID17="","",'Data Checking'!ID17)</f>
        <v>0</v>
      </c>
      <c r="HS17" t="str">
        <f>IF('Data Checking'!IE17="","",'Data Checking'!IE17)</f>
        <v>0</v>
      </c>
      <c r="HT17" t="str">
        <f>IF('Data Checking'!IF17="","",'Data Checking'!IF17)</f>
        <v>0</v>
      </c>
      <c r="HU17" t="str">
        <f>IF('Data Checking'!IG17="","",'Data Checking'!IG17)</f>
        <v/>
      </c>
      <c r="HV17" t="str">
        <f>IF('Data Checking'!IH17="","",'Data Checking'!IH17)</f>
        <v>oui</v>
      </c>
      <c r="HW17" t="str">
        <f>IF('Data Checking'!II17="","",'Data Checking'!II17)</f>
        <v/>
      </c>
      <c r="HX17" t="str">
        <f>IF('Data Checking'!IJ17="","",'Data Checking'!IJ17)</f>
        <v>Bebes/Bambins Enfants Filles Garçons Femmes_agees Hommes_ages</v>
      </c>
      <c r="HY17" t="str">
        <f>IF('Data Checking'!IK17="","",'Data Checking'!IK17)</f>
        <v>1</v>
      </c>
      <c r="HZ17" t="str">
        <f>IF('Data Checking'!IL17="","",'Data Checking'!IL17)</f>
        <v>1</v>
      </c>
      <c r="IA17" t="str">
        <f>IF('Data Checking'!IM17="","",'Data Checking'!IM17)</f>
        <v>1</v>
      </c>
      <c r="IB17" t="str">
        <f>IF('Data Checking'!IN17="","",'Data Checking'!IN17)</f>
        <v>1</v>
      </c>
      <c r="IC17" t="str">
        <f>IF('Data Checking'!IO17="","",'Data Checking'!IO17)</f>
        <v>0</v>
      </c>
      <c r="ID17" t="str">
        <f>IF('Data Checking'!IP17="","",'Data Checking'!IP17)</f>
        <v>0</v>
      </c>
      <c r="IE17" t="str">
        <f>IF('Data Checking'!IQ17="","",'Data Checking'!IQ17)</f>
        <v>1</v>
      </c>
      <c r="IF17" t="str">
        <f>IF('Data Checking'!IR17="","",'Data Checking'!IR17)</f>
        <v>1</v>
      </c>
      <c r="IG17" t="str">
        <f>IF('Data Checking'!IS17="","",'Data Checking'!IS17)</f>
        <v>0</v>
      </c>
      <c r="IH17" t="str">
        <f>IF('Data Checking'!IT17="","",'Data Checking'!IT17)</f>
        <v>0</v>
      </c>
      <c r="II17" t="str">
        <f>IF('Data Checking'!IU17="","",'Data Checking'!IU17)</f>
        <v>0</v>
      </c>
      <c r="IJ17" t="str">
        <f>IF('Data Checking'!IV17="","",'Data Checking'!IV17)</f>
        <v>0</v>
      </c>
      <c r="IK17" t="str">
        <f>IF('Data Checking'!IW17="","",'Data Checking'!IW17)</f>
        <v>0</v>
      </c>
      <c r="IL17" t="str">
        <f>IF('Data Checking'!IX17="","",'Data Checking'!IX17)</f>
        <v>0</v>
      </c>
      <c r="IM17" t="str">
        <f>IF('Data Checking'!IY17="","",'Data Checking'!IY17)</f>
        <v/>
      </c>
      <c r="IN17" t="str">
        <f>IF('Data Checking'!IZ17="","",'Data Checking'!IZ17)</f>
        <v>12</v>
      </c>
      <c r="IO17" t="str">
        <f>IF('Data Checking'!JA17="","",'Data Checking'!JA17)</f>
        <v>Appui_psychosocial Services_medicaux Services_educatifs Services_conseil acces_docs programme_agr points_ecoute</v>
      </c>
      <c r="IP17" t="str">
        <f>IF('Data Checking'!JB17="","",'Data Checking'!JB17)</f>
        <v>1</v>
      </c>
      <c r="IQ17" t="str">
        <f>IF('Data Checking'!JC17="","",'Data Checking'!JC17)</f>
        <v>1</v>
      </c>
      <c r="IR17" t="str">
        <f>IF('Data Checking'!JD17="","",'Data Checking'!JD17)</f>
        <v>1</v>
      </c>
      <c r="IS17" t="str">
        <f>IF('Data Checking'!JE17="","",'Data Checking'!JE17)</f>
        <v>1</v>
      </c>
      <c r="IT17" t="str">
        <f>IF('Data Checking'!JF17="","",'Data Checking'!JF17)</f>
        <v>1</v>
      </c>
      <c r="IU17" t="str">
        <f>IF('Data Checking'!JG17="","",'Data Checking'!JG17)</f>
        <v>0</v>
      </c>
      <c r="IV17" t="str">
        <f>IF('Data Checking'!JH17="","",'Data Checking'!JH17)</f>
        <v>1</v>
      </c>
      <c r="IW17" t="str">
        <f>IF('Data Checking'!JI17="","",'Data Checking'!JI17)</f>
        <v>1</v>
      </c>
      <c r="IX17" t="str">
        <f>IF('Data Checking'!JJ17="","",'Data Checking'!JJ17)</f>
        <v>0</v>
      </c>
      <c r="IY17" t="str">
        <f>IF('Data Checking'!JK17="","",'Data Checking'!JK17)</f>
        <v>0</v>
      </c>
      <c r="IZ17" t="str">
        <f>IF('Data Checking'!JL17="","",'Data Checking'!JL17)</f>
        <v/>
      </c>
      <c r="JA17" t="str">
        <f>IF('Data Checking'!JM17="","",'Data Checking'!JM17)</f>
        <v>reorientation signalement</v>
      </c>
      <c r="JB17" t="str">
        <f>IF('Data Checking'!JN17="","",'Data Checking'!JN17)</f>
        <v>0</v>
      </c>
      <c r="JC17" t="str">
        <f>IF('Data Checking'!JO17="","",'Data Checking'!JO17)</f>
        <v>1</v>
      </c>
      <c r="JD17" t="str">
        <f>IF('Data Checking'!JP17="","",'Data Checking'!JP17)</f>
        <v>1</v>
      </c>
      <c r="JE17" t="str">
        <f>IF('Data Checking'!JQ17="","",'Data Checking'!JQ17)</f>
        <v>0</v>
      </c>
      <c r="JF17" t="str">
        <f>IF('Data Checking'!JR17="","",'Data Checking'!JR17)</f>
        <v>0</v>
      </c>
      <c r="JG17" t="str">
        <f>IF('Data Checking'!JS17="","",'Data Checking'!JS17)</f>
        <v>0</v>
      </c>
      <c r="JH17" t="str">
        <f>IF('Data Checking'!JT17="","",'Data Checking'!JT17)</f>
        <v/>
      </c>
      <c r="JI17" t="str">
        <f>IF('Data Checking'!JU17="","",'Data Checking'!JU17)</f>
        <v/>
      </c>
      <c r="JJ17" t="str">
        <f>IF('Data Checking'!JV17="","",'Data Checking'!JV17)</f>
        <v/>
      </c>
      <c r="JK17" t="str">
        <f>IF('Data Checking'!JW17="","",'Data Checking'!JW17)</f>
        <v/>
      </c>
      <c r="JL17" t="str">
        <f>IF('Data Checking'!JX17="","",'Data Checking'!JX17)</f>
        <v/>
      </c>
      <c r="JM17" t="str">
        <f>IF('Data Checking'!JY17="","",'Data Checking'!JY17)</f>
        <v/>
      </c>
      <c r="JN17" t="str">
        <f>IF('Data Checking'!JZ17="","",'Data Checking'!JZ17)</f>
        <v/>
      </c>
      <c r="JO17" t="str">
        <f>IF('Data Checking'!KA17="","",'Data Checking'!KA17)</f>
        <v/>
      </c>
      <c r="JP17" t="str">
        <f>IF('Data Checking'!KB17="","",'Data Checking'!KB17)</f>
        <v/>
      </c>
      <c r="JQ17" t="str">
        <f>IF('Data Checking'!KC17="","",'Data Checking'!KC17)</f>
        <v/>
      </c>
      <c r="JR17" t="str">
        <f>IF('Data Checking'!KD17="","",'Data Checking'!KD17)</f>
        <v/>
      </c>
      <c r="JS17" t="str">
        <f>IF('Data Checking'!KE17="","",'Data Checking'!KE17)</f>
        <v/>
      </c>
      <c r="JT17" t="str">
        <f>IF('Data Checking'!KF17="","",'Data Checking'!KF17)</f>
        <v>medical reinsertion juridique centre_formation</v>
      </c>
      <c r="JU17" t="str">
        <f>IF('Data Checking'!KG17="","",'Data Checking'!KG17)</f>
        <v>1</v>
      </c>
      <c r="JV17" t="str">
        <f>IF('Data Checking'!KH17="","",'Data Checking'!KH17)</f>
        <v>0</v>
      </c>
      <c r="JW17" t="str">
        <f>IF('Data Checking'!KI17="","",'Data Checking'!KI17)</f>
        <v>0</v>
      </c>
      <c r="JX17" t="str">
        <f>IF('Data Checking'!KJ17="","",'Data Checking'!KJ17)</f>
        <v>1</v>
      </c>
      <c r="JY17" t="str">
        <f>IF('Data Checking'!KK17="","",'Data Checking'!KK17)</f>
        <v>0</v>
      </c>
      <c r="JZ17" t="str">
        <f>IF('Data Checking'!KL17="","",'Data Checking'!KL17)</f>
        <v>1</v>
      </c>
      <c r="KA17" t="str">
        <f>IF('Data Checking'!KM17="","",'Data Checking'!KM17)</f>
        <v>1</v>
      </c>
      <c r="KB17" t="str">
        <f>IF('Data Checking'!KN17="","",'Data Checking'!KN17)</f>
        <v>0</v>
      </c>
      <c r="KC17" t="str">
        <f>IF('Data Checking'!KO17="","",'Data Checking'!KO17)</f>
        <v>0</v>
      </c>
      <c r="KD17" t="str">
        <f>IF('Data Checking'!KP17="","",'Data Checking'!KP17)</f>
        <v/>
      </c>
      <c r="KE17" t="str">
        <f>IF('Data Checking'!KQ17="","",'Data Checking'!KQ17)</f>
        <v/>
      </c>
      <c r="KF17" t="str">
        <f>IF('Data Checking'!KR17="","",'Data Checking'!KR17)</f>
        <v>non</v>
      </c>
      <c r="KG17" t="str">
        <f>IF('Data Checking'!KS17="","",'Data Checking'!KS17)</f>
        <v/>
      </c>
      <c r="KH17" t="str">
        <f>IF('Data Checking'!KT17="","",'Data Checking'!KT17)</f>
        <v/>
      </c>
      <c r="KI17" t="str">
        <f>IF('Data Checking'!KU17="","",'Data Checking'!KU17)</f>
        <v/>
      </c>
      <c r="KJ17" t="str">
        <f>IF('Data Checking'!KV17="","",'Data Checking'!KV17)</f>
        <v/>
      </c>
      <c r="KK17" t="str">
        <f>IF('Data Checking'!KW17="","",'Data Checking'!KW17)</f>
        <v/>
      </c>
      <c r="KL17" t="str">
        <f>IF('Data Checking'!KX17="","",'Data Checking'!KX17)</f>
        <v/>
      </c>
      <c r="KM17" t="str">
        <f>IF('Data Checking'!KY17="","",'Data Checking'!KY17)</f>
        <v/>
      </c>
      <c r="KN17" t="str">
        <f>IF('Data Checking'!KZ17="","",'Data Checking'!KZ17)</f>
        <v/>
      </c>
      <c r="KO17" t="str">
        <f>IF('Data Checking'!LA17="","",'Data Checking'!LA17)</f>
        <v/>
      </c>
      <c r="KP17" t="str">
        <f>IF('Data Checking'!LB17="","",'Data Checking'!LB17)</f>
        <v/>
      </c>
      <c r="KQ17" t="str">
        <f>IF('Data Checking'!LC17="","",'Data Checking'!LC17)</f>
        <v/>
      </c>
      <c r="KR17" t="str">
        <f>IF('Data Checking'!LD17="","",'Data Checking'!LD17)</f>
        <v/>
      </c>
      <c r="KS17" t="str">
        <f>IF('Data Checking'!LE17="","",'Data Checking'!LE17)</f>
        <v/>
      </c>
      <c r="KT17" t="str">
        <f>IF('Data Checking'!LF17="","",'Data Checking'!LF17)</f>
        <v/>
      </c>
      <c r="KU17" t="str">
        <f>IF('Data Checking'!LG17="","",'Data Checking'!LG17)</f>
        <v/>
      </c>
      <c r="KV17" t="str">
        <f>IF('Data Checking'!LH17="","",'Data Checking'!LH17)</f>
        <v/>
      </c>
      <c r="KW17" t="str">
        <f>IF('Data Checking'!LI17="","",'Data Checking'!LI17)</f>
        <v/>
      </c>
      <c r="KX17" t="str">
        <f>IF('Data Checking'!LJ17="","",'Data Checking'!LJ17)</f>
        <v/>
      </c>
      <c r="KY17" t="str">
        <f>IF('Data Checking'!LK17="","",'Data Checking'!LK17)</f>
        <v/>
      </c>
      <c r="KZ17" t="str">
        <f>IF('Data Checking'!LL17="","",'Data Checking'!LL17)</f>
        <v/>
      </c>
      <c r="LA17" t="str">
        <f>IF('Data Checking'!LM17="","",'Data Checking'!LM17)</f>
        <v/>
      </c>
      <c r="LB17" t="str">
        <f>IF('Data Checking'!LN17="","",'Data Checking'!LN17)</f>
        <v>non</v>
      </c>
      <c r="LC17" t="str">
        <f>IF('Data Checking'!LO17="","",'Data Checking'!LO17)</f>
        <v/>
      </c>
      <c r="LD17" t="str">
        <f>IF('Data Checking'!LP17="","",'Data Checking'!LP17)</f>
        <v/>
      </c>
      <c r="LE17" t="str">
        <f>IF('Data Checking'!LQ17="","",'Data Checking'!LQ17)</f>
        <v/>
      </c>
      <c r="LF17" t="str">
        <f>IF('Data Checking'!LR17="","",'Data Checking'!LR17)</f>
        <v/>
      </c>
      <c r="LG17" t="str">
        <f>IF('Data Checking'!LS17="","",'Data Checking'!LS17)</f>
        <v/>
      </c>
      <c r="LH17" t="str">
        <f>IF('Data Checking'!LT17="","",'Data Checking'!LT17)</f>
        <v/>
      </c>
      <c r="LI17" t="str">
        <f>IF('Data Checking'!LU17="","",'Data Checking'!LU17)</f>
        <v/>
      </c>
      <c r="LJ17" t="str">
        <f>IF('Data Checking'!LV17="","",'Data Checking'!LV17)</f>
        <v/>
      </c>
      <c r="LK17" t="str">
        <f>IF('Data Checking'!LW17="","",'Data Checking'!LW17)</f>
        <v/>
      </c>
      <c r="LL17" t="str">
        <f>IF('Data Checking'!LX17="","",'Data Checking'!LX17)</f>
        <v/>
      </c>
      <c r="LM17" t="str">
        <f>IF('Data Checking'!LY17="","",'Data Checking'!LY17)</f>
        <v/>
      </c>
      <c r="LN17" t="str">
        <f>IF('Data Checking'!LZ17="","",'Data Checking'!LZ17)</f>
        <v/>
      </c>
      <c r="LO17" t="str">
        <f>IF('Data Checking'!MA17="","",'Data Checking'!MA17)</f>
        <v/>
      </c>
      <c r="LP17" t="str">
        <f>IF('Data Checking'!MB17="","",'Data Checking'!MB17)</f>
        <v>oui</v>
      </c>
      <c r="LQ17" t="str">
        <f>IF('Data Checking'!MC17="","",'Data Checking'!MC17)</f>
        <v/>
      </c>
      <c r="LR17" t="str">
        <f>IF('Data Checking'!MD17="","",'Data Checking'!MD17)</f>
        <v/>
      </c>
      <c r="LS17">
        <f>IF('Data Checking'!ME17="","",'Data Checking'!ME17)</f>
        <v>169587325</v>
      </c>
      <c r="LT17" t="str">
        <f>IF('Data Checking'!MF17="","",'Data Checking'!MF17)</f>
        <v>886e1903-9c3e-423f-9439-be35bd95a87c</v>
      </c>
      <c r="LU17" t="str">
        <f>IF('Data Checking'!MG17="","",'Data Checking'!MG17)</f>
        <v>2021-04-04T12:27:18</v>
      </c>
      <c r="LV17" t="str">
        <f>IF('Data Checking'!MH17="","",'Data Checking'!MH17)</f>
        <v/>
      </c>
      <c r="LW17" t="str">
        <f>IF('Data Checking'!MI17="","",'Data Checking'!MI17)</f>
        <v>[]</v>
      </c>
      <c r="LX17" t="str">
        <f>IF('Data Checking'!MJ17="","",'Data Checking'!MJ17)</f>
        <v>submitted_via_web</v>
      </c>
      <c r="LY17" t="str">
        <f>IF('Data Checking'!MK17="","",'Data Checking'!MK17)</f>
        <v>reach_niger</v>
      </c>
      <c r="LZ17" t="str">
        <f>IF('Data Checking'!ML17="","",'Data Checking'!ML17)</f>
        <v/>
      </c>
      <c r="MA17">
        <f>IF('Data Checking'!MM17="","",'Data Checking'!MM17)</f>
        <v>41</v>
      </c>
    </row>
    <row r="18" spans="1:339" x14ac:dyDescent="0.3">
      <c r="A18" t="str">
        <f>IF('Data Checking'!D18="","",'Data Checking'!D18)</f>
        <v>2021-04-02T11:53:05.642+01:00</v>
      </c>
      <c r="B18" t="str">
        <f>IF('Data Checking'!E18="","",'Data Checking'!E18)</f>
        <v>2021-04-02T12:08:41.777+01:00</v>
      </c>
      <c r="C18" t="str">
        <f>IF('Data Checking'!M18="","",'Data Checking'!M18)</f>
        <v>2021-04-02</v>
      </c>
      <c r="D18" t="str">
        <f>IF('Data Checking'!N18="","",'Data Checking'!N18)</f>
        <v/>
      </c>
      <c r="E18" t="str">
        <f>IF('Data Checking'!O18="","",'Data Checking'!O18)</f>
        <v/>
      </c>
      <c r="F18" t="str">
        <f>IF('Data Checking'!R18="","",'Data Checking'!R18)</f>
        <v>Homme</v>
      </c>
      <c r="G18" t="str">
        <f>IF('Data Checking'!S18="","",'Data Checking'!S18)</f>
        <v>bankilare</v>
      </c>
      <c r="H18" t="str">
        <f>IF('Data Checking'!T18="","",'Data Checking'!T18)</f>
        <v>bankilare</v>
      </c>
      <c r="I18" t="str">
        <f>IF('Data Checking'!U18="","",'Data Checking'!U18)</f>
        <v>Intikinderie</v>
      </c>
      <c r="J18" t="str">
        <f>IF('Data Checking'!V18="","",'Data Checking'!V18)</f>
        <v>Intikinderie</v>
      </c>
      <c r="K18" t="str">
        <f>IF('Data Checking'!W18="","",'Data Checking'!W18)</f>
        <v/>
      </c>
      <c r="L18" t="str">
        <f>IF('Data Checking'!X18="","",'Data Checking'!X18)</f>
        <v/>
      </c>
      <c r="M18" t="str">
        <f>IF('Data Checking'!Y18="","",'Data Checking'!Y18)</f>
        <v/>
      </c>
      <c r="N18" t="str">
        <f>IF('Data Checking'!Z18="","",'Data Checking'!Z18)</f>
        <v/>
      </c>
      <c r="O18" t="str">
        <f>IF('Data Checking'!AA18="","",'Data Checking'!AA18)</f>
        <v/>
      </c>
      <c r="P18" t="str">
        <f>IF('Data Checking'!AB18="","",'Data Checking'!AB18)</f>
        <v/>
      </c>
      <c r="Q18" t="str">
        <f>IF('Data Checking'!AC18="","",'Data Checking'!AC18)</f>
        <v/>
      </c>
      <c r="R18" t="str">
        <f>IF('Data Checking'!AD18="","",'Data Checking'!AD18)</f>
        <v>Homme</v>
      </c>
      <c r="S18" t="str">
        <f>IF('Data Checking'!AE18="","",'Data Checking'!AE18)</f>
        <v>35</v>
      </c>
      <c r="T18" t="str">
        <f>IF('Data Checking'!AF18="","",'Data Checking'!AF18)</f>
        <v>refugie</v>
      </c>
      <c r="U18" t="str">
        <f>IF('Data Checking'!AG18="","",'Data Checking'!AG18)</f>
        <v/>
      </c>
      <c r="V18" t="str">
        <f>IF('Data Checking'!AH18="","",'Data Checking'!AH18)</f>
        <v/>
      </c>
      <c r="W18" t="str">
        <f>IF('Data Checking'!AI18="","",'Data Checking'!AI18)</f>
        <v/>
      </c>
      <c r="X18" t="str">
        <f>IF('Data Checking'!AJ18="","",'Data Checking'!AJ18)</f>
        <v/>
      </c>
      <c r="Y18" t="str">
        <f>IF('Data Checking'!AK18="","",'Data Checking'!AK18)</f>
        <v/>
      </c>
      <c r="Z18" t="str">
        <f>IF('Data Checking'!AL18="","",'Data Checking'!AL18)</f>
        <v>burkina_faso</v>
      </c>
      <c r="AA18" t="str">
        <f>IF('Data Checking'!AM18="","",'Data Checking'!AM18)</f>
        <v>sahel</v>
      </c>
      <c r="AB18" t="str">
        <f>IF('Data Checking'!AN18="","",'Data Checking'!AN18)</f>
        <v>oudalan</v>
      </c>
      <c r="AC18" t="str">
        <f>IF('Data Checking'!AO18="","",'Data Checking'!AO18)</f>
        <v/>
      </c>
      <c r="AD18" t="str">
        <f>IF('Data Checking'!AP18="","",'Data Checking'!AP18)</f>
        <v/>
      </c>
      <c r="AE18" t="str">
        <f>IF('Data Checking'!AQ18="","",'Data Checking'!AQ18)</f>
        <v/>
      </c>
      <c r="AF18" t="str">
        <f>IF('Data Checking'!AR18="","",'Data Checking'!AR18)</f>
        <v/>
      </c>
      <c r="AG18" t="str">
        <f>IF('Data Checking'!AS18="","",'Data Checking'!AS18)</f>
        <v>oui</v>
      </c>
      <c r="AH18" t="str">
        <f>IF('Data Checking'!AT18="","",'Data Checking'!AT18)</f>
        <v>Disputes_intercommunataires Vols_braquages extorsions Violences_physique_civils Recrutement_enfants</v>
      </c>
      <c r="AI18" t="str">
        <f>IF('Data Checking'!AU18="","",'Data Checking'!AU18)</f>
        <v>0</v>
      </c>
      <c r="AJ18" t="str">
        <f>IF('Data Checking'!AV18="","",'Data Checking'!AV18)</f>
        <v>1</v>
      </c>
      <c r="AK18" t="str">
        <f>IF('Data Checking'!AW18="","",'Data Checking'!AW18)</f>
        <v>1</v>
      </c>
      <c r="AL18" t="str">
        <f>IF('Data Checking'!AX18="","",'Data Checking'!AX18)</f>
        <v>1</v>
      </c>
      <c r="AM18" t="str">
        <f>IF('Data Checking'!AY18="","",'Data Checking'!AY18)</f>
        <v>1</v>
      </c>
      <c r="AN18" t="str">
        <f>IF('Data Checking'!AZ18="","",'Data Checking'!AZ18)</f>
        <v>0</v>
      </c>
      <c r="AO18" t="str">
        <f>IF('Data Checking'!BA18="","",'Data Checking'!BA18)</f>
        <v>1</v>
      </c>
      <c r="AP18" t="str">
        <f>IF('Data Checking'!BB18="","",'Data Checking'!BB18)</f>
        <v>0</v>
      </c>
      <c r="AQ18" t="str">
        <f>IF('Data Checking'!BC18="","",'Data Checking'!BC18)</f>
        <v>0</v>
      </c>
      <c r="AR18" t="str">
        <f>IF('Data Checking'!BD18="","",'Data Checking'!BD18)</f>
        <v>0</v>
      </c>
      <c r="AS18" t="str">
        <f>IF('Data Checking'!BE18="","",'Data Checking'!BE18)</f>
        <v>0</v>
      </c>
      <c r="AT18" t="str">
        <f>IF('Data Checking'!BF18="","",'Data Checking'!BF18)</f>
        <v>0</v>
      </c>
      <c r="AU18" t="str">
        <f>IF('Data Checking'!BG18="","",'Data Checking'!BG18)</f>
        <v>0</v>
      </c>
      <c r="AV18" t="str">
        <f>IF('Data Checking'!BH18="","",'Data Checking'!BH18)</f>
        <v>0</v>
      </c>
      <c r="AW18" t="str">
        <f>IF('Data Checking'!BI18="","",'Data Checking'!BI18)</f>
        <v/>
      </c>
      <c r="AX18" t="str">
        <f>IF('Data Checking'!BJ18="","",'Data Checking'!BJ18)</f>
        <v>Bebes/Bambins Enfants Filles Garçons Femmes</v>
      </c>
      <c r="AY18" t="str">
        <f>IF('Data Checking'!BK18="","",'Data Checking'!BK18)</f>
        <v>1</v>
      </c>
      <c r="AZ18" t="str">
        <f>IF('Data Checking'!BL18="","",'Data Checking'!BL18)</f>
        <v>1</v>
      </c>
      <c r="BA18" t="str">
        <f>IF('Data Checking'!BM18="","",'Data Checking'!BM18)</f>
        <v>1</v>
      </c>
      <c r="BB18" t="str">
        <f>IF('Data Checking'!BN18="","",'Data Checking'!BN18)</f>
        <v>1</v>
      </c>
      <c r="BC18" t="str">
        <f>IF('Data Checking'!BO18="","",'Data Checking'!BO18)</f>
        <v>1</v>
      </c>
      <c r="BD18" t="str">
        <f>IF('Data Checking'!BP18="","",'Data Checking'!BP18)</f>
        <v>0</v>
      </c>
      <c r="BE18" t="str">
        <f>IF('Data Checking'!BQ18="","",'Data Checking'!BQ18)</f>
        <v>0</v>
      </c>
      <c r="BF18" t="str">
        <f>IF('Data Checking'!BR18="","",'Data Checking'!BR18)</f>
        <v>0</v>
      </c>
      <c r="BG18" t="str">
        <f>IF('Data Checking'!BS18="","",'Data Checking'!BS18)</f>
        <v>0</v>
      </c>
      <c r="BH18" t="str">
        <f>IF('Data Checking'!BT18="","",'Data Checking'!BT18)</f>
        <v>0</v>
      </c>
      <c r="BI18" t="str">
        <f>IF('Data Checking'!BU18="","",'Data Checking'!BU18)</f>
        <v>0</v>
      </c>
      <c r="BJ18" t="str">
        <f>IF('Data Checking'!BV18="","",'Data Checking'!BV18)</f>
        <v>0</v>
      </c>
      <c r="BK18" t="str">
        <f>IF('Data Checking'!BW18="","",'Data Checking'!BW18)</f>
        <v>0</v>
      </c>
      <c r="BL18" t="str">
        <f>IF('Data Checking'!BX18="","",'Data Checking'!BX18)</f>
        <v>0</v>
      </c>
      <c r="BM18" t="str">
        <f>IF('Data Checking'!BY18="","",'Data Checking'!BY18)</f>
        <v/>
      </c>
      <c r="BN18" t="str">
        <f>IF('Data Checking'!BZ18="","",'Data Checking'!BZ18)</f>
        <v>3</v>
      </c>
      <c r="BO18" t="str">
        <f>IF('Data Checking'!CA18="","",'Data Checking'!CA18)</f>
        <v>augmente</v>
      </c>
      <c r="BP18" t="str">
        <f>IF('Data Checking'!CB18="","",'Data Checking'!CB18)</f>
        <v/>
      </c>
      <c r="BQ18" t="str">
        <f>IF('Data Checking'!CC18="","",'Data Checking'!CC18)</f>
        <v>oui</v>
      </c>
      <c r="BR18" t="str">
        <f>IF('Data Checking'!CD18="","",'Data Checking'!CD18)</f>
        <v>agression_physique agression_psychologique defus_de_acces_aide exploitations_enfant menace</v>
      </c>
      <c r="BS18" t="str">
        <f>IF('Data Checking'!CE18="","",'Data Checking'!CE18)</f>
        <v>0</v>
      </c>
      <c r="BT18" t="str">
        <f>IF('Data Checking'!CF18="","",'Data Checking'!CF18)</f>
        <v>0</v>
      </c>
      <c r="BU18" t="str">
        <f>IF('Data Checking'!CG18="","",'Data Checking'!CG18)</f>
        <v>1</v>
      </c>
      <c r="BV18" t="str">
        <f>IF('Data Checking'!CH18="","",'Data Checking'!CH18)</f>
        <v>0</v>
      </c>
      <c r="BW18" t="str">
        <f>IF('Data Checking'!CI18="","",'Data Checking'!CI18)</f>
        <v>1</v>
      </c>
      <c r="BX18" t="str">
        <f>IF('Data Checking'!CJ18="","",'Data Checking'!CJ18)</f>
        <v>0</v>
      </c>
      <c r="BY18" t="str">
        <f>IF('Data Checking'!CK18="","",'Data Checking'!CK18)</f>
        <v>0</v>
      </c>
      <c r="BZ18" t="str">
        <f>IF('Data Checking'!CL18="","",'Data Checking'!CL18)</f>
        <v>1</v>
      </c>
      <c r="CA18" t="str">
        <f>IF('Data Checking'!CM18="","",'Data Checking'!CM18)</f>
        <v>1</v>
      </c>
      <c r="CB18" t="str">
        <f>IF('Data Checking'!CN18="","",'Data Checking'!CN18)</f>
        <v>0</v>
      </c>
      <c r="CC18" t="str">
        <f>IF('Data Checking'!CO18="","",'Data Checking'!CO18)</f>
        <v>1</v>
      </c>
      <c r="CD18" t="str">
        <f>IF('Data Checking'!CP18="","",'Data Checking'!CP18)</f>
        <v>0</v>
      </c>
      <c r="CE18" t="str">
        <f>IF('Data Checking'!CQ18="","",'Data Checking'!CQ18)</f>
        <v>0</v>
      </c>
      <c r="CF18" t="str">
        <f>IF('Data Checking'!CR18="","",'Data Checking'!CR18)</f>
        <v>0</v>
      </c>
      <c r="CG18" t="str">
        <f>IF('Data Checking'!CS18="","",'Data Checking'!CS18)</f>
        <v>0</v>
      </c>
      <c r="CH18" t="str">
        <f>IF('Data Checking'!CT18="","",'Data Checking'!CT18)</f>
        <v/>
      </c>
      <c r="CI18" t="str">
        <f>IF('Data Checking'!CU18="","",'Data Checking'!CU18)</f>
        <v>Bebes/Bambins Enfants Garçons Filles Femmes</v>
      </c>
      <c r="CJ18" t="str">
        <f>IF('Data Checking'!CV18="","",'Data Checking'!CV18)</f>
        <v>1</v>
      </c>
      <c r="CK18" t="str">
        <f>IF('Data Checking'!CW18="","",'Data Checking'!CW18)</f>
        <v>1</v>
      </c>
      <c r="CL18" t="str">
        <f>IF('Data Checking'!CX18="","",'Data Checking'!CX18)</f>
        <v>1</v>
      </c>
      <c r="CM18" t="str">
        <f>IF('Data Checking'!CY18="","",'Data Checking'!CY18)</f>
        <v>1</v>
      </c>
      <c r="CN18" t="str">
        <f>IF('Data Checking'!CZ18="","",'Data Checking'!CZ18)</f>
        <v>1</v>
      </c>
      <c r="CO18" t="str">
        <f>IF('Data Checking'!DA18="","",'Data Checking'!DA18)</f>
        <v>0</v>
      </c>
      <c r="CP18" t="str">
        <f>IF('Data Checking'!DB18="","",'Data Checking'!DB18)</f>
        <v>0</v>
      </c>
      <c r="CQ18" t="str">
        <f>IF('Data Checking'!DC18="","",'Data Checking'!DC18)</f>
        <v>0</v>
      </c>
      <c r="CR18" t="str">
        <f>IF('Data Checking'!DD18="","",'Data Checking'!DD18)</f>
        <v>0</v>
      </c>
      <c r="CS18" t="str">
        <f>IF('Data Checking'!DE18="","",'Data Checking'!DE18)</f>
        <v>0</v>
      </c>
      <c r="CT18" t="str">
        <f>IF('Data Checking'!DF18="","",'Data Checking'!DF18)</f>
        <v>0</v>
      </c>
      <c r="CU18" t="str">
        <f>IF('Data Checking'!DG18="","",'Data Checking'!DG18)</f>
        <v>0</v>
      </c>
      <c r="CV18" t="str">
        <f>IF('Data Checking'!DH18="","",'Data Checking'!DH18)</f>
        <v>0</v>
      </c>
      <c r="CW18" t="str">
        <f>IF('Data Checking'!DI18="","",'Data Checking'!DI18)</f>
        <v>0</v>
      </c>
      <c r="CX18" t="str">
        <f>IF('Data Checking'!DJ18="","",'Data Checking'!DJ18)</f>
        <v/>
      </c>
      <c r="CY18" t="str">
        <f>IF('Data Checking'!DK18="","",'Data Checking'!DK18)</f>
        <v>3</v>
      </c>
      <c r="CZ18" t="str">
        <f>IF('Data Checking'!DL18="","",'Data Checking'!DL18)</f>
        <v>augmente</v>
      </c>
      <c r="DA18" t="str">
        <f>IF('Data Checking'!DM18="","",'Data Checking'!DM18)</f>
        <v/>
      </c>
      <c r="DB18" t="str">
        <f>IF('Data Checking'!DN18="","",'Data Checking'!DN18)</f>
        <v>deterioration_con_abris deterioration_acces_service_base diminution_moyens_existence</v>
      </c>
      <c r="DC18" t="str">
        <f>IF('Data Checking'!DO18="","",'Data Checking'!DO18)</f>
        <v>1</v>
      </c>
      <c r="DD18" t="str">
        <f>IF('Data Checking'!DP18="","",'Data Checking'!DP18)</f>
        <v>1</v>
      </c>
      <c r="DE18" t="str">
        <f>IF('Data Checking'!DQ18="","",'Data Checking'!DQ18)</f>
        <v>1</v>
      </c>
      <c r="DF18" t="str">
        <f>IF('Data Checking'!DR18="","",'Data Checking'!DR18)</f>
        <v>0</v>
      </c>
      <c r="DG18" t="str">
        <f>IF('Data Checking'!DS18="","",'Data Checking'!DS18)</f>
        <v>0</v>
      </c>
      <c r="DH18" t="str">
        <f>IF('Data Checking'!DT18="","",'Data Checking'!DT18)</f>
        <v>0</v>
      </c>
      <c r="DI18" t="str">
        <f>IF('Data Checking'!DU18="","",'Data Checking'!DU18)</f>
        <v>0</v>
      </c>
      <c r="DJ18" t="str">
        <f>IF('Data Checking'!DV18="","",'Data Checking'!DV18)</f>
        <v>0</v>
      </c>
      <c r="DK18" t="str">
        <f>IF('Data Checking'!DW18="","",'Data Checking'!DW18)</f>
        <v>0</v>
      </c>
      <c r="DL18" t="str">
        <f>IF('Data Checking'!DX18="","",'Data Checking'!DX18)</f>
        <v>0</v>
      </c>
      <c r="DM18" t="str">
        <f>IF('Data Checking'!DY18="","",'Data Checking'!DY18)</f>
        <v/>
      </c>
      <c r="DN18" t="str">
        <f>IF('Data Checking'!DZ18="","",'Data Checking'!DZ18)</f>
        <v/>
      </c>
      <c r="DO18" t="str">
        <f>IF('Data Checking'!EA18="","",'Data Checking'!EA18)</f>
        <v/>
      </c>
      <c r="DP18" t="str">
        <f>IF('Data Checking'!EB18="","",'Data Checking'!EB18)</f>
        <v/>
      </c>
      <c r="DQ18" t="str">
        <f>IF('Data Checking'!EC18="","",'Data Checking'!EC18)</f>
        <v/>
      </c>
      <c r="DR18" t="str">
        <f>IF('Data Checking'!ED18="","",'Data Checking'!ED18)</f>
        <v/>
      </c>
      <c r="DS18" t="str">
        <f>IF('Data Checking'!EE18="","",'Data Checking'!EE18)</f>
        <v/>
      </c>
      <c r="DT18" t="str">
        <f>IF('Data Checking'!EF18="","",'Data Checking'!EF18)</f>
        <v/>
      </c>
      <c r="DU18" t="str">
        <f>IF('Data Checking'!EG18="","",'Data Checking'!EG18)</f>
        <v/>
      </c>
      <c r="DV18" t="str">
        <f>IF('Data Checking'!EH18="","",'Data Checking'!EH18)</f>
        <v/>
      </c>
      <c r="DW18" t="str">
        <f>IF('Data Checking'!EI18="","",'Data Checking'!EI18)</f>
        <v/>
      </c>
      <c r="DX18" t="str">
        <f>IF('Data Checking'!EJ18="","",'Data Checking'!EJ18)</f>
        <v/>
      </c>
      <c r="DY18" t="str">
        <f>IF('Data Checking'!EK18="","",'Data Checking'!EK18)</f>
        <v/>
      </c>
      <c r="DZ18" t="str">
        <f>IF('Data Checking'!EL18="","",'Data Checking'!EL18)</f>
        <v>dplct_abords_com Soutien_famille_amis Integration_com_hote</v>
      </c>
      <c r="EA18" t="str">
        <f>IF('Data Checking'!EM18="","",'Data Checking'!EM18)</f>
        <v>1</v>
      </c>
      <c r="EB18" t="str">
        <f>IF('Data Checking'!EN18="","",'Data Checking'!EN18)</f>
        <v>1</v>
      </c>
      <c r="EC18" t="str">
        <f>IF('Data Checking'!EO18="","",'Data Checking'!EO18)</f>
        <v>1</v>
      </c>
      <c r="ED18" t="str">
        <f>IF('Data Checking'!EP18="","",'Data Checking'!EP18)</f>
        <v>0</v>
      </c>
      <c r="EE18" t="str">
        <f>IF('Data Checking'!EQ18="","",'Data Checking'!EQ18)</f>
        <v>0</v>
      </c>
      <c r="EF18" t="str">
        <f>IF('Data Checking'!ER18="","",'Data Checking'!ER18)</f>
        <v>0</v>
      </c>
      <c r="EG18" t="str">
        <f>IF('Data Checking'!ES18="","",'Data Checking'!ES18)</f>
        <v>0</v>
      </c>
      <c r="EH18" t="str">
        <f>IF('Data Checking'!ET18="","",'Data Checking'!ET18)</f>
        <v>0</v>
      </c>
      <c r="EI18" t="str">
        <f>IF('Data Checking'!EU18="","",'Data Checking'!EU18)</f>
        <v>0</v>
      </c>
      <c r="EJ18" t="str">
        <f>IF('Data Checking'!EV18="","",'Data Checking'!EV18)</f>
        <v/>
      </c>
      <c r="EK18" t="str">
        <f>IF('Data Checking'!EW18="","",'Data Checking'!EW18)</f>
        <v/>
      </c>
      <c r="EL18" t="str">
        <f>IF('Data Checking'!EX18="","",'Data Checking'!EX18)</f>
        <v>comite_protection famille_accueil comite_alerte comite_gestion_conflits</v>
      </c>
      <c r="EM18" t="str">
        <f>IF('Data Checking'!EY18="","",'Data Checking'!EY18)</f>
        <v>0</v>
      </c>
      <c r="EN18" t="str">
        <f>IF('Data Checking'!EZ18="","",'Data Checking'!EZ18)</f>
        <v>1</v>
      </c>
      <c r="EO18" t="str">
        <f>IF('Data Checking'!FA18="","",'Data Checking'!FA18)</f>
        <v>1</v>
      </c>
      <c r="EP18" t="str">
        <f>IF('Data Checking'!FB18="","",'Data Checking'!FB18)</f>
        <v>1</v>
      </c>
      <c r="EQ18" t="str">
        <f>IF('Data Checking'!FC18="","",'Data Checking'!FC18)</f>
        <v>0</v>
      </c>
      <c r="ER18" t="str">
        <f>IF('Data Checking'!FD18="","",'Data Checking'!FD18)</f>
        <v>1</v>
      </c>
      <c r="ES18" t="str">
        <f>IF('Data Checking'!FE18="","",'Data Checking'!FE18)</f>
        <v>0</v>
      </c>
      <c r="ET18" t="str">
        <f>IF('Data Checking'!FF18="","",'Data Checking'!FF18)</f>
        <v>0</v>
      </c>
      <c r="EU18" t="str">
        <f>IF('Data Checking'!FG18="","",'Data Checking'!FG18)</f>
        <v>0</v>
      </c>
      <c r="EV18" t="str">
        <f>IF('Data Checking'!FH18="","",'Data Checking'!FH18)</f>
        <v>0</v>
      </c>
      <c r="EW18" t="str">
        <f>IF('Data Checking'!FI18="","",'Data Checking'!FI18)</f>
        <v/>
      </c>
      <c r="EX18" t="str">
        <f>IF('Data Checking'!FJ18="","",'Data Checking'!FJ18)</f>
        <v>non</v>
      </c>
      <c r="EY18" t="str">
        <f>IF('Data Checking'!FK18="","",'Data Checking'!FK18)</f>
        <v/>
      </c>
      <c r="EZ18" t="str">
        <f>IF('Data Checking'!FL18="","",'Data Checking'!FL18)</f>
        <v/>
      </c>
      <c r="FA18" t="str">
        <f>IF('Data Checking'!FM18="","",'Data Checking'!FM18)</f>
        <v/>
      </c>
      <c r="FB18" t="str">
        <f>IF('Data Checking'!FN18="","",'Data Checking'!FN18)</f>
        <v/>
      </c>
      <c r="FC18" t="str">
        <f>IF('Data Checking'!FO18="","",'Data Checking'!FO18)</f>
        <v/>
      </c>
      <c r="FD18" t="str">
        <f>IF('Data Checking'!FP18="","",'Data Checking'!FP18)</f>
        <v/>
      </c>
      <c r="FE18" t="str">
        <f>IF('Data Checking'!FQ18="","",'Data Checking'!FQ18)</f>
        <v/>
      </c>
      <c r="FF18" t="str">
        <f>IF('Data Checking'!FR18="","",'Data Checking'!FR18)</f>
        <v/>
      </c>
      <c r="FG18" t="str">
        <f>IF('Data Checking'!FS18="","",'Data Checking'!FS18)</f>
        <v/>
      </c>
      <c r="FH18" t="str">
        <f>IF('Data Checking'!FT18="","",'Data Checking'!FT18)</f>
        <v/>
      </c>
      <c r="FI18" t="str">
        <f>IF('Data Checking'!FU18="","",'Data Checking'!FU18)</f>
        <v/>
      </c>
      <c r="FJ18" t="str">
        <f>IF('Data Checking'!FV18="","",'Data Checking'!FV18)</f>
        <v/>
      </c>
      <c r="FK18" t="str">
        <f>IF('Data Checking'!FW18="","",'Data Checking'!FW18)</f>
        <v/>
      </c>
      <c r="FL18" t="str">
        <f>IF('Data Checking'!FX18="","",'Data Checking'!FX18)</f>
        <v/>
      </c>
      <c r="FM18" t="str">
        <f>IF('Data Checking'!FY18="","",'Data Checking'!FY18)</f>
        <v/>
      </c>
      <c r="FN18" t="str">
        <f>IF('Data Checking'!FZ18="","",'Data Checking'!FZ18)</f>
        <v/>
      </c>
      <c r="FO18" t="str">
        <f>IF('Data Checking'!GA18="","",'Data Checking'!GA18)</f>
        <v/>
      </c>
      <c r="FP18" t="str">
        <f>IF('Data Checking'!GB18="","",'Data Checking'!GB18)</f>
        <v/>
      </c>
      <c r="FQ18" t="str">
        <f>IF('Data Checking'!GC18="","",'Data Checking'!GC18)</f>
        <v/>
      </c>
      <c r="FR18" t="str">
        <f>IF('Data Checking'!GD18="","",'Data Checking'!GD18)</f>
        <v/>
      </c>
      <c r="FS18" t="str">
        <f>IF('Data Checking'!GE18="","",'Data Checking'!GE18)</f>
        <v/>
      </c>
      <c r="FT18" t="str">
        <f>IF('Data Checking'!GF18="","",'Data Checking'!GF18)</f>
        <v/>
      </c>
      <c r="FU18" t="str">
        <f>IF('Data Checking'!GG18="","",'Data Checking'!GG18)</f>
        <v/>
      </c>
      <c r="FV18" t="str">
        <f>IF('Data Checking'!GH18="","",'Data Checking'!GH18)</f>
        <v/>
      </c>
      <c r="FW18" t="str">
        <f>IF('Data Checking'!GI18="","",'Data Checking'!GI18)</f>
        <v/>
      </c>
      <c r="FX18" t="str">
        <f>IF('Data Checking'!GJ18="","",'Data Checking'!GJ18)</f>
        <v/>
      </c>
      <c r="FY18" t="str">
        <f>IF('Data Checking'!GK18="","",'Data Checking'!GK18)</f>
        <v/>
      </c>
      <c r="FZ18" t="str">
        <f>IF('Data Checking'!GL18="","",'Data Checking'!GL18)</f>
        <v/>
      </c>
      <c r="GA18" t="str">
        <f>IF('Data Checking'!GM18="","",'Data Checking'!GM18)</f>
        <v/>
      </c>
      <c r="GB18" t="str">
        <f>IF('Data Checking'!GN18="","",'Data Checking'!GN18)</f>
        <v/>
      </c>
      <c r="GC18" t="str">
        <f>IF('Data Checking'!GO18="","",'Data Checking'!GO18)</f>
        <v/>
      </c>
      <c r="GD18" t="str">
        <f>IF('Data Checking'!GP18="","",'Data Checking'!GP18)</f>
        <v/>
      </c>
      <c r="GE18" t="str">
        <f>IF('Data Checking'!GQ18="","",'Data Checking'!GQ18)</f>
        <v/>
      </c>
      <c r="GF18" t="str">
        <f>IF('Data Checking'!GR18="","",'Data Checking'!GR18)</f>
        <v/>
      </c>
      <c r="GG18" t="str">
        <f>IF('Data Checking'!GS18="","",'Data Checking'!GS18)</f>
        <v/>
      </c>
      <c r="GH18" t="str">
        <f>IF('Data Checking'!GT18="","",'Data Checking'!GT18)</f>
        <v/>
      </c>
      <c r="GI18" t="str">
        <f>IF('Data Checking'!GU18="","",'Data Checking'!GU18)</f>
        <v/>
      </c>
      <c r="GJ18" t="str">
        <f>IF('Data Checking'!GV18="","",'Data Checking'!GV18)</f>
        <v/>
      </c>
      <c r="GK18" t="str">
        <f>IF('Data Checking'!GW18="","",'Data Checking'!GW18)</f>
        <v/>
      </c>
      <c r="GL18" t="str">
        <f>IF('Data Checking'!GX18="","",'Data Checking'!GX18)</f>
        <v/>
      </c>
      <c r="GM18" t="str">
        <f>IF('Data Checking'!GY18="","",'Data Checking'!GY18)</f>
        <v/>
      </c>
      <c r="GN18" t="str">
        <f>IF('Data Checking'!GZ18="","",'Data Checking'!GZ18)</f>
        <v/>
      </c>
      <c r="GO18" t="str">
        <f>IF('Data Checking'!HA18="","",'Data Checking'!HA18)</f>
        <v/>
      </c>
      <c r="GP18" t="str">
        <f>IF('Data Checking'!HB18="","",'Data Checking'!HB18)</f>
        <v/>
      </c>
      <c r="GQ18" t="str">
        <f>IF('Data Checking'!HC18="","",'Data Checking'!HC18)</f>
        <v/>
      </c>
      <c r="GR18" t="str">
        <f>IF('Data Checking'!HD18="","",'Data Checking'!HD18)</f>
        <v/>
      </c>
      <c r="GS18" t="str">
        <f>IF('Data Checking'!HE18="","",'Data Checking'!HE18)</f>
        <v/>
      </c>
      <c r="GT18" t="str">
        <f>IF('Data Checking'!HF18="","",'Data Checking'!HF18)</f>
        <v/>
      </c>
      <c r="GU18" t="str">
        <f>IF('Data Checking'!HG18="","",'Data Checking'!HG18)</f>
        <v/>
      </c>
      <c r="GV18" t="str">
        <f>IF('Data Checking'!HH18="","",'Data Checking'!HH18)</f>
        <v/>
      </c>
      <c r="GW18" t="str">
        <f>IF('Data Checking'!HI18="","",'Data Checking'!HI18)</f>
        <v/>
      </c>
      <c r="GX18" t="str">
        <f>IF('Data Checking'!HJ18="","",'Data Checking'!HJ18)</f>
        <v/>
      </c>
      <c r="GY18" t="str">
        <f>IF('Data Checking'!HK18="","",'Data Checking'!HK18)</f>
        <v/>
      </c>
      <c r="GZ18" t="str">
        <f>IF('Data Checking'!HL18="","",'Data Checking'!HL18)</f>
        <v/>
      </c>
      <c r="HA18" t="str">
        <f>IF('Data Checking'!HM18="","",'Data Checking'!HM18)</f>
        <v/>
      </c>
      <c r="HB18" t="str">
        <f>IF('Data Checking'!HN18="","",'Data Checking'!HN18)</f>
        <v/>
      </c>
      <c r="HC18" t="str">
        <f>IF('Data Checking'!HO18="","",'Data Checking'!HO18)</f>
        <v/>
      </c>
      <c r="HD18" t="str">
        <f>IF('Data Checking'!HP18="","",'Data Checking'!HP18)</f>
        <v/>
      </c>
      <c r="HE18" t="str">
        <f>IF('Data Checking'!HQ18="","",'Data Checking'!HQ18)</f>
        <v/>
      </c>
      <c r="HF18" t="str">
        <f>IF('Data Checking'!HR18="","",'Data Checking'!HR18)</f>
        <v/>
      </c>
      <c r="HG18" t="str">
        <f>IF('Data Checking'!HS18="","",'Data Checking'!HS18)</f>
        <v/>
      </c>
      <c r="HH18" t="str">
        <f>IF('Data Checking'!HT18="","",'Data Checking'!HT18)</f>
        <v/>
      </c>
      <c r="HI18" t="str">
        <f>IF('Data Checking'!HU18="","",'Data Checking'!HU18)</f>
        <v>non</v>
      </c>
      <c r="HJ18" t="str">
        <f>IF('Data Checking'!HV18="","",'Data Checking'!HV18)</f>
        <v/>
      </c>
      <c r="HK18" t="str">
        <f>IF('Data Checking'!HW18="","",'Data Checking'!HW18)</f>
        <v/>
      </c>
      <c r="HL18" t="str">
        <f>IF('Data Checking'!HX18="","",'Data Checking'!HX18)</f>
        <v/>
      </c>
      <c r="HM18" t="str">
        <f>IF('Data Checking'!HY18="","",'Data Checking'!HY18)</f>
        <v/>
      </c>
      <c r="HN18" t="str">
        <f>IF('Data Checking'!HZ18="","",'Data Checking'!HZ18)</f>
        <v/>
      </c>
      <c r="HO18" t="str">
        <f>IF('Data Checking'!IA18="","",'Data Checking'!IA18)</f>
        <v/>
      </c>
      <c r="HP18" t="str">
        <f>IF('Data Checking'!IB18="","",'Data Checking'!IB18)</f>
        <v/>
      </c>
      <c r="HQ18" t="str">
        <f>IF('Data Checking'!IC18="","",'Data Checking'!IC18)</f>
        <v/>
      </c>
      <c r="HR18" t="str">
        <f>IF('Data Checking'!ID18="","",'Data Checking'!ID18)</f>
        <v/>
      </c>
      <c r="HS18" t="str">
        <f>IF('Data Checking'!IE18="","",'Data Checking'!IE18)</f>
        <v/>
      </c>
      <c r="HT18" t="str">
        <f>IF('Data Checking'!IF18="","",'Data Checking'!IF18)</f>
        <v/>
      </c>
      <c r="HU18" t="str">
        <f>IF('Data Checking'!IG18="","",'Data Checking'!IG18)</f>
        <v/>
      </c>
      <c r="HV18" t="str">
        <f>IF('Data Checking'!IH18="","",'Data Checking'!IH18)</f>
        <v>oui</v>
      </c>
      <c r="HW18" t="str">
        <f>IF('Data Checking'!II18="","",'Data Checking'!II18)</f>
        <v/>
      </c>
      <c r="HX18" t="str">
        <f>IF('Data Checking'!IJ18="","",'Data Checking'!IJ18)</f>
        <v>Bebes/Bambins Enfants Filles Garçons Femmes</v>
      </c>
      <c r="HY18" t="str">
        <f>IF('Data Checking'!IK18="","",'Data Checking'!IK18)</f>
        <v>1</v>
      </c>
      <c r="HZ18" t="str">
        <f>IF('Data Checking'!IL18="","",'Data Checking'!IL18)</f>
        <v>1</v>
      </c>
      <c r="IA18" t="str">
        <f>IF('Data Checking'!IM18="","",'Data Checking'!IM18)</f>
        <v>1</v>
      </c>
      <c r="IB18" t="str">
        <f>IF('Data Checking'!IN18="","",'Data Checking'!IN18)</f>
        <v>1</v>
      </c>
      <c r="IC18" t="str">
        <f>IF('Data Checking'!IO18="","",'Data Checking'!IO18)</f>
        <v>1</v>
      </c>
      <c r="ID18" t="str">
        <f>IF('Data Checking'!IP18="","",'Data Checking'!IP18)</f>
        <v>0</v>
      </c>
      <c r="IE18" t="str">
        <f>IF('Data Checking'!IQ18="","",'Data Checking'!IQ18)</f>
        <v>0</v>
      </c>
      <c r="IF18" t="str">
        <f>IF('Data Checking'!IR18="","",'Data Checking'!IR18)</f>
        <v>0</v>
      </c>
      <c r="IG18" t="str">
        <f>IF('Data Checking'!IS18="","",'Data Checking'!IS18)</f>
        <v>0</v>
      </c>
      <c r="IH18" t="str">
        <f>IF('Data Checking'!IT18="","",'Data Checking'!IT18)</f>
        <v>0</v>
      </c>
      <c r="II18" t="str">
        <f>IF('Data Checking'!IU18="","",'Data Checking'!IU18)</f>
        <v>0</v>
      </c>
      <c r="IJ18" t="str">
        <f>IF('Data Checking'!IV18="","",'Data Checking'!IV18)</f>
        <v>0</v>
      </c>
      <c r="IK18" t="str">
        <f>IF('Data Checking'!IW18="","",'Data Checking'!IW18)</f>
        <v>0</v>
      </c>
      <c r="IL18" t="str">
        <f>IF('Data Checking'!IX18="","",'Data Checking'!IX18)</f>
        <v>0</v>
      </c>
      <c r="IM18" t="str">
        <f>IF('Data Checking'!IY18="","",'Data Checking'!IY18)</f>
        <v/>
      </c>
      <c r="IN18" t="str">
        <f>IF('Data Checking'!IZ18="","",'Data Checking'!IZ18)</f>
        <v>4</v>
      </c>
      <c r="IO18" t="str">
        <f>IF('Data Checking'!JA18="","",'Data Checking'!JA18)</f>
        <v>NA</v>
      </c>
      <c r="IP18" t="str">
        <f>IF('Data Checking'!JB18="","",'Data Checking'!JB18)</f>
        <v>NA</v>
      </c>
      <c r="IQ18" t="str">
        <f>IF('Data Checking'!JC18="","",'Data Checking'!JC18)</f>
        <v>NA</v>
      </c>
      <c r="IR18" t="str">
        <f>IF('Data Checking'!JD18="","",'Data Checking'!JD18)</f>
        <v>NA</v>
      </c>
      <c r="IS18" t="str">
        <f>IF('Data Checking'!JE18="","",'Data Checking'!JE18)</f>
        <v>NA</v>
      </c>
      <c r="IT18" t="str">
        <f>IF('Data Checking'!JF18="","",'Data Checking'!JF18)</f>
        <v>NA</v>
      </c>
      <c r="IU18" t="str">
        <f>IF('Data Checking'!JG18="","",'Data Checking'!JG18)</f>
        <v>NA</v>
      </c>
      <c r="IV18" t="str">
        <f>IF('Data Checking'!JH18="","",'Data Checking'!JH18)</f>
        <v>NA</v>
      </c>
      <c r="IW18" t="str">
        <f>IF('Data Checking'!JI18="","",'Data Checking'!JI18)</f>
        <v>NA</v>
      </c>
      <c r="IX18" t="str">
        <f>IF('Data Checking'!JJ18="","",'Data Checking'!JJ18)</f>
        <v>NA</v>
      </c>
      <c r="IY18" t="str">
        <f>IF('Data Checking'!JK18="","",'Data Checking'!JK18)</f>
        <v>NA</v>
      </c>
      <c r="IZ18" t="str">
        <f>IF('Data Checking'!JL18="","",'Data Checking'!JL18)</f>
        <v/>
      </c>
      <c r="JA18" t="str">
        <f>IF('Data Checking'!JM18="","",'Data Checking'!JM18)</f>
        <v>prise_enchage reorientation signalement</v>
      </c>
      <c r="JB18" t="str">
        <f>IF('Data Checking'!JN18="","",'Data Checking'!JN18)</f>
        <v>1</v>
      </c>
      <c r="JC18" t="str">
        <f>IF('Data Checking'!JO18="","",'Data Checking'!JO18)</f>
        <v>1</v>
      </c>
      <c r="JD18" t="str">
        <f>IF('Data Checking'!JP18="","",'Data Checking'!JP18)</f>
        <v>1</v>
      </c>
      <c r="JE18" t="str">
        <f>IF('Data Checking'!JQ18="","",'Data Checking'!JQ18)</f>
        <v>0</v>
      </c>
      <c r="JF18" t="str">
        <f>IF('Data Checking'!JR18="","",'Data Checking'!JR18)</f>
        <v>0</v>
      </c>
      <c r="JG18" t="str">
        <f>IF('Data Checking'!JS18="","",'Data Checking'!JS18)</f>
        <v>0</v>
      </c>
      <c r="JH18" t="str">
        <f>IF('Data Checking'!JT18="","",'Data Checking'!JT18)</f>
        <v/>
      </c>
      <c r="JI18" t="str">
        <f>IF('Data Checking'!JU18="","",'Data Checking'!JU18)</f>
        <v>medical juridique surete Psychosocia point_ecoute</v>
      </c>
      <c r="JJ18" t="str">
        <f>IF('Data Checking'!JV18="","",'Data Checking'!JV18)</f>
        <v>1</v>
      </c>
      <c r="JK18" t="str">
        <f>IF('Data Checking'!JW18="","",'Data Checking'!JW18)</f>
        <v>1</v>
      </c>
      <c r="JL18" t="str">
        <f>IF('Data Checking'!JX18="","",'Data Checking'!JX18)</f>
        <v>1</v>
      </c>
      <c r="JM18" t="str">
        <f>IF('Data Checking'!JY18="","",'Data Checking'!JY18)</f>
        <v>1</v>
      </c>
      <c r="JN18" t="str">
        <f>IF('Data Checking'!JZ18="","",'Data Checking'!JZ18)</f>
        <v>1</v>
      </c>
      <c r="JO18" t="str">
        <f>IF('Data Checking'!KA18="","",'Data Checking'!KA18)</f>
        <v>0</v>
      </c>
      <c r="JP18" t="str">
        <f>IF('Data Checking'!KB18="","",'Data Checking'!KB18)</f>
        <v>0</v>
      </c>
      <c r="JQ18" t="str">
        <f>IF('Data Checking'!KC18="","",'Data Checking'!KC18)</f>
        <v>0</v>
      </c>
      <c r="JR18" t="str">
        <f>IF('Data Checking'!KD18="","",'Data Checking'!KD18)</f>
        <v>0</v>
      </c>
      <c r="JS18" t="str">
        <f>IF('Data Checking'!KE18="","",'Data Checking'!KE18)</f>
        <v/>
      </c>
      <c r="JT18" t="str">
        <f>IF('Data Checking'!KF18="","",'Data Checking'!KF18)</f>
        <v>medical surete point_ecoute Psychosocia reinsertion</v>
      </c>
      <c r="JU18" t="str">
        <f>IF('Data Checking'!KG18="","",'Data Checking'!KG18)</f>
        <v>1</v>
      </c>
      <c r="JV18" t="str">
        <f>IF('Data Checking'!KH18="","",'Data Checking'!KH18)</f>
        <v>1</v>
      </c>
      <c r="JW18" t="str">
        <f>IF('Data Checking'!KI18="","",'Data Checking'!KI18)</f>
        <v>1</v>
      </c>
      <c r="JX18" t="str">
        <f>IF('Data Checking'!KJ18="","",'Data Checking'!KJ18)</f>
        <v>0</v>
      </c>
      <c r="JY18" t="str">
        <f>IF('Data Checking'!KK18="","",'Data Checking'!KK18)</f>
        <v>1</v>
      </c>
      <c r="JZ18" t="str">
        <f>IF('Data Checking'!KL18="","",'Data Checking'!KL18)</f>
        <v>1</v>
      </c>
      <c r="KA18" t="str">
        <f>IF('Data Checking'!KM18="","",'Data Checking'!KM18)</f>
        <v>0</v>
      </c>
      <c r="KB18" t="str">
        <f>IF('Data Checking'!KN18="","",'Data Checking'!KN18)</f>
        <v>0</v>
      </c>
      <c r="KC18" t="str">
        <f>IF('Data Checking'!KO18="","",'Data Checking'!KO18)</f>
        <v>0</v>
      </c>
      <c r="KD18" t="str">
        <f>IF('Data Checking'!KP18="","",'Data Checking'!KP18)</f>
        <v/>
      </c>
      <c r="KE18" t="str">
        <f>IF('Data Checking'!KQ18="","",'Data Checking'!KQ18)</f>
        <v/>
      </c>
      <c r="KF18" t="str">
        <f>IF('Data Checking'!KR18="","",'Data Checking'!KR18)</f>
        <v>oui</v>
      </c>
      <c r="KG18" t="str">
        <f>IF('Data Checking'!KS18="","",'Data Checking'!KS18)</f>
        <v>manque_moyens manque_personnes manque_d'information insecurite_zone tensions_locales</v>
      </c>
      <c r="KH18" t="str">
        <f>IF('Data Checking'!KT18="","",'Data Checking'!KT18)</f>
        <v>1</v>
      </c>
      <c r="KI18" t="str">
        <f>IF('Data Checking'!KU18="","",'Data Checking'!KU18)</f>
        <v>1</v>
      </c>
      <c r="KJ18" t="str">
        <f>IF('Data Checking'!KV18="","",'Data Checking'!KV18)</f>
        <v>1</v>
      </c>
      <c r="KK18" t="str">
        <f>IF('Data Checking'!KW18="","",'Data Checking'!KW18)</f>
        <v>0</v>
      </c>
      <c r="KL18" t="str">
        <f>IF('Data Checking'!KX18="","",'Data Checking'!KX18)</f>
        <v>1</v>
      </c>
      <c r="KM18" t="str">
        <f>IF('Data Checking'!KY18="","",'Data Checking'!KY18)</f>
        <v>1</v>
      </c>
      <c r="KN18" t="str">
        <f>IF('Data Checking'!KZ18="","",'Data Checking'!KZ18)</f>
        <v>0</v>
      </c>
      <c r="KO18" t="str">
        <f>IF('Data Checking'!LA18="","",'Data Checking'!LA18)</f>
        <v>0</v>
      </c>
      <c r="KP18" t="str">
        <f>IF('Data Checking'!LB18="","",'Data Checking'!LB18)</f>
        <v>0</v>
      </c>
      <c r="KQ18" t="str">
        <f>IF('Data Checking'!LC18="","",'Data Checking'!LC18)</f>
        <v>0</v>
      </c>
      <c r="KR18" t="str">
        <f>IF('Data Checking'!LD18="","",'Data Checking'!LD18)</f>
        <v>0</v>
      </c>
      <c r="KS18" t="str">
        <f>IF('Data Checking'!LE18="","",'Data Checking'!LE18)</f>
        <v/>
      </c>
      <c r="KT18" t="str">
        <f>IF('Data Checking'!LF18="","",'Data Checking'!LF18)</f>
        <v/>
      </c>
      <c r="KU18" t="str">
        <f>IF('Data Checking'!LG18="","",'Data Checking'!LG18)</f>
        <v/>
      </c>
      <c r="KV18" t="str">
        <f>IF('Data Checking'!LH18="","",'Data Checking'!LH18)</f>
        <v/>
      </c>
      <c r="KW18" t="str">
        <f>IF('Data Checking'!LI18="","",'Data Checking'!LI18)</f>
        <v/>
      </c>
      <c r="KX18" t="str">
        <f>IF('Data Checking'!LJ18="","",'Data Checking'!LJ18)</f>
        <v/>
      </c>
      <c r="KY18" t="str">
        <f>IF('Data Checking'!LK18="","",'Data Checking'!LK18)</f>
        <v/>
      </c>
      <c r="KZ18" t="str">
        <f>IF('Data Checking'!LL18="","",'Data Checking'!LL18)</f>
        <v/>
      </c>
      <c r="LA18" t="str">
        <f>IF('Data Checking'!LM18="","",'Data Checking'!LM18)</f>
        <v/>
      </c>
      <c r="LB18" t="str">
        <f>IF('Data Checking'!LN18="","",'Data Checking'!LN18)</f>
        <v>non</v>
      </c>
      <c r="LC18" t="str">
        <f>IF('Data Checking'!LO18="","",'Data Checking'!LO18)</f>
        <v/>
      </c>
      <c r="LD18" t="str">
        <f>IF('Data Checking'!LP18="","",'Data Checking'!LP18)</f>
        <v/>
      </c>
      <c r="LE18" t="str">
        <f>IF('Data Checking'!LQ18="","",'Data Checking'!LQ18)</f>
        <v/>
      </c>
      <c r="LF18" t="str">
        <f>IF('Data Checking'!LR18="","",'Data Checking'!LR18)</f>
        <v/>
      </c>
      <c r="LG18" t="str">
        <f>IF('Data Checking'!LS18="","",'Data Checking'!LS18)</f>
        <v/>
      </c>
      <c r="LH18" t="str">
        <f>IF('Data Checking'!LT18="","",'Data Checking'!LT18)</f>
        <v/>
      </c>
      <c r="LI18" t="str">
        <f>IF('Data Checking'!LU18="","",'Data Checking'!LU18)</f>
        <v/>
      </c>
      <c r="LJ18" t="str">
        <f>IF('Data Checking'!LV18="","",'Data Checking'!LV18)</f>
        <v/>
      </c>
      <c r="LK18" t="str">
        <f>IF('Data Checking'!LW18="","",'Data Checking'!LW18)</f>
        <v/>
      </c>
      <c r="LL18" t="str">
        <f>IF('Data Checking'!LX18="","",'Data Checking'!LX18)</f>
        <v/>
      </c>
      <c r="LM18" t="str">
        <f>IF('Data Checking'!LY18="","",'Data Checking'!LY18)</f>
        <v/>
      </c>
      <c r="LN18" t="str">
        <f>IF('Data Checking'!LZ18="","",'Data Checking'!LZ18)</f>
        <v/>
      </c>
      <c r="LO18" t="str">
        <f>IF('Data Checking'!MA18="","",'Data Checking'!MA18)</f>
        <v/>
      </c>
      <c r="LP18" t="str">
        <f>IF('Data Checking'!MB18="","",'Data Checking'!MB18)</f>
        <v>oui</v>
      </c>
      <c r="LQ18" t="str">
        <f>IF('Data Checking'!MC18="","",'Data Checking'!MC18)</f>
        <v/>
      </c>
      <c r="LR18" t="str">
        <f>IF('Data Checking'!MD18="","",'Data Checking'!MD18)</f>
        <v>Besoin de case de santé</v>
      </c>
      <c r="LS18">
        <f>IF('Data Checking'!ME18="","",'Data Checking'!ME18)</f>
        <v>169351669</v>
      </c>
      <c r="LT18" t="str">
        <f>IF('Data Checking'!MF18="","",'Data Checking'!MF18)</f>
        <v>a543808c-cb82-4e75-9a6e-6e92595b12e4</v>
      </c>
      <c r="LU18" t="str">
        <f>IF('Data Checking'!MG18="","",'Data Checking'!MG18)</f>
        <v>2021-04-02T19:02:07</v>
      </c>
      <c r="LV18" t="str">
        <f>IF('Data Checking'!MH18="","",'Data Checking'!MH18)</f>
        <v/>
      </c>
      <c r="LW18" t="str">
        <f>IF('Data Checking'!MI18="","",'Data Checking'!MI18)</f>
        <v>[]</v>
      </c>
      <c r="LX18" t="str">
        <f>IF('Data Checking'!MJ18="","",'Data Checking'!MJ18)</f>
        <v>submitted_via_web</v>
      </c>
      <c r="LY18" t="str">
        <f>IF('Data Checking'!MK18="","",'Data Checking'!MK18)</f>
        <v>reach_niger</v>
      </c>
      <c r="LZ18" t="str">
        <f>IF('Data Checking'!ML18="","",'Data Checking'!ML18)</f>
        <v/>
      </c>
      <c r="MA18">
        <f>IF('Data Checking'!MM18="","",'Data Checking'!MM18)</f>
        <v>29</v>
      </c>
    </row>
    <row r="19" spans="1:339" x14ac:dyDescent="0.3">
      <c r="A19" t="str">
        <f>IF('Data Checking'!D19="","",'Data Checking'!D19)</f>
        <v>2021-04-02T13:35:31.112+01:00</v>
      </c>
      <c r="B19" t="str">
        <f>IF('Data Checking'!E19="","",'Data Checking'!E19)</f>
        <v>2021-04-02T13:53:52.439+01:00</v>
      </c>
      <c r="C19" t="str">
        <f>IF('Data Checking'!M19="","",'Data Checking'!M19)</f>
        <v>2021-04-02</v>
      </c>
      <c r="D19" t="str">
        <f>IF('Data Checking'!N19="","",'Data Checking'!N19)</f>
        <v/>
      </c>
      <c r="E19" t="str">
        <f>IF('Data Checking'!O19="","",'Data Checking'!O19)</f>
        <v/>
      </c>
      <c r="F19" t="str">
        <f>IF('Data Checking'!R19="","",'Data Checking'!R19)</f>
        <v>Homme</v>
      </c>
      <c r="G19" t="str">
        <f>IF('Data Checking'!S19="","",'Data Checking'!S19)</f>
        <v>bankilare</v>
      </c>
      <c r="H19" t="str">
        <f>IF('Data Checking'!T19="","",'Data Checking'!T19)</f>
        <v>bankilare</v>
      </c>
      <c r="I19" t="str">
        <f>IF('Data Checking'!U19="","",'Data Checking'!U19)</f>
        <v>Houberi</v>
      </c>
      <c r="J19" t="str">
        <f>IF('Data Checking'!V19="","",'Data Checking'!V19)</f>
        <v>Houberi</v>
      </c>
      <c r="K19" t="str">
        <f>IF('Data Checking'!W19="","",'Data Checking'!W19)</f>
        <v/>
      </c>
      <c r="L19" t="str">
        <f>IF('Data Checking'!X19="","",'Data Checking'!X19)</f>
        <v/>
      </c>
      <c r="M19" t="str">
        <f>IF('Data Checking'!Y19="","",'Data Checking'!Y19)</f>
        <v/>
      </c>
      <c r="N19" t="str">
        <f>IF('Data Checking'!Z19="","",'Data Checking'!Z19)</f>
        <v/>
      </c>
      <c r="O19" t="str">
        <f>IF('Data Checking'!AA19="","",'Data Checking'!AA19)</f>
        <v/>
      </c>
      <c r="P19" t="str">
        <f>IF('Data Checking'!AB19="","",'Data Checking'!AB19)</f>
        <v/>
      </c>
      <c r="Q19" t="str">
        <f>IF('Data Checking'!AC19="","",'Data Checking'!AC19)</f>
        <v/>
      </c>
      <c r="R19" t="str">
        <f>IF('Data Checking'!AD19="","",'Data Checking'!AD19)</f>
        <v>Homme</v>
      </c>
      <c r="S19" t="str">
        <f>IF('Data Checking'!AE19="","",'Data Checking'!AE19)</f>
        <v>59</v>
      </c>
      <c r="T19" t="str">
        <f>IF('Data Checking'!AF19="","",'Data Checking'!AF19)</f>
        <v>deplace_interne</v>
      </c>
      <c r="U19" t="str">
        <f>IF('Data Checking'!AG19="","",'Data Checking'!AG19)</f>
        <v/>
      </c>
      <c r="V19" t="str">
        <f>IF('Data Checking'!AH19="","",'Data Checking'!AH19)</f>
        <v/>
      </c>
      <c r="W19" t="str">
        <f>IF('Data Checking'!AI19="","",'Data Checking'!AI19)</f>
        <v/>
      </c>
      <c r="X19" t="str">
        <f>IF('Data Checking'!AJ19="","",'Data Checking'!AJ19)</f>
        <v/>
      </c>
      <c r="Y19" t="str">
        <f>IF('Data Checking'!AK19="","",'Data Checking'!AK19)</f>
        <v/>
      </c>
      <c r="Z19" t="str">
        <f>IF('Data Checking'!AL19="","",'Data Checking'!AL19)</f>
        <v>niger</v>
      </c>
      <c r="AA19" t="str">
        <f>IF('Data Checking'!AM19="","",'Data Checking'!AM19)</f>
        <v>tillaberi</v>
      </c>
      <c r="AB19" t="str">
        <f>IF('Data Checking'!AN19="","",'Data Checking'!AN19)</f>
        <v>bankilare</v>
      </c>
      <c r="AC19" t="str">
        <f>IF('Data Checking'!AO19="","",'Data Checking'!AO19)</f>
        <v/>
      </c>
      <c r="AD19" t="str">
        <f>IF('Data Checking'!AP19="","",'Data Checking'!AP19)</f>
        <v/>
      </c>
      <c r="AE19" t="str">
        <f>IF('Data Checking'!AQ19="","",'Data Checking'!AQ19)</f>
        <v/>
      </c>
      <c r="AF19" t="str">
        <f>IF('Data Checking'!AR19="","",'Data Checking'!AR19)</f>
        <v/>
      </c>
      <c r="AG19" t="str">
        <f>IF('Data Checking'!AS19="","",'Data Checking'!AS19)</f>
        <v>oui</v>
      </c>
      <c r="AH19" t="str">
        <f>IF('Data Checking'!AT19="","",'Data Checking'!AT19)</f>
        <v>Disputes_intercommunataires Vols_braquages extorsions Violences_physique_civils Attaques_ecoles_sante</v>
      </c>
      <c r="AI19" t="str">
        <f>IF('Data Checking'!AU19="","",'Data Checking'!AU19)</f>
        <v>0</v>
      </c>
      <c r="AJ19" t="str">
        <f>IF('Data Checking'!AV19="","",'Data Checking'!AV19)</f>
        <v>1</v>
      </c>
      <c r="AK19" t="str">
        <f>IF('Data Checking'!AW19="","",'Data Checking'!AW19)</f>
        <v>1</v>
      </c>
      <c r="AL19" t="str">
        <f>IF('Data Checking'!AX19="","",'Data Checking'!AX19)</f>
        <v>1</v>
      </c>
      <c r="AM19" t="str">
        <f>IF('Data Checking'!AY19="","",'Data Checking'!AY19)</f>
        <v>1</v>
      </c>
      <c r="AN19" t="str">
        <f>IF('Data Checking'!AZ19="","",'Data Checking'!AZ19)</f>
        <v>0</v>
      </c>
      <c r="AO19" t="str">
        <f>IF('Data Checking'!BA19="","",'Data Checking'!BA19)</f>
        <v>0</v>
      </c>
      <c r="AP19" t="str">
        <f>IF('Data Checking'!BB19="","",'Data Checking'!BB19)</f>
        <v>1</v>
      </c>
      <c r="AQ19" t="str">
        <f>IF('Data Checking'!BC19="","",'Data Checking'!BC19)</f>
        <v>0</v>
      </c>
      <c r="AR19" t="str">
        <f>IF('Data Checking'!BD19="","",'Data Checking'!BD19)</f>
        <v>0</v>
      </c>
      <c r="AS19" t="str">
        <f>IF('Data Checking'!BE19="","",'Data Checking'!BE19)</f>
        <v>0</v>
      </c>
      <c r="AT19" t="str">
        <f>IF('Data Checking'!BF19="","",'Data Checking'!BF19)</f>
        <v>0</v>
      </c>
      <c r="AU19" t="str">
        <f>IF('Data Checking'!BG19="","",'Data Checking'!BG19)</f>
        <v>0</v>
      </c>
      <c r="AV19" t="str">
        <f>IF('Data Checking'!BH19="","",'Data Checking'!BH19)</f>
        <v>0</v>
      </c>
      <c r="AW19" t="str">
        <f>IF('Data Checking'!BI19="","",'Data Checking'!BI19)</f>
        <v/>
      </c>
      <c r="AX19" t="str">
        <f>IF('Data Checking'!BJ19="","",'Data Checking'!BJ19)</f>
        <v>Bebes/Bambins Enfants Filles Garçons Femmes</v>
      </c>
      <c r="AY19" t="str">
        <f>IF('Data Checking'!BK19="","",'Data Checking'!BK19)</f>
        <v>1</v>
      </c>
      <c r="AZ19" t="str">
        <f>IF('Data Checking'!BL19="","",'Data Checking'!BL19)</f>
        <v>1</v>
      </c>
      <c r="BA19" t="str">
        <f>IF('Data Checking'!BM19="","",'Data Checking'!BM19)</f>
        <v>1</v>
      </c>
      <c r="BB19" t="str">
        <f>IF('Data Checking'!BN19="","",'Data Checking'!BN19)</f>
        <v>1</v>
      </c>
      <c r="BC19" t="str">
        <f>IF('Data Checking'!BO19="","",'Data Checking'!BO19)</f>
        <v>1</v>
      </c>
      <c r="BD19" t="str">
        <f>IF('Data Checking'!BP19="","",'Data Checking'!BP19)</f>
        <v>0</v>
      </c>
      <c r="BE19" t="str">
        <f>IF('Data Checking'!BQ19="","",'Data Checking'!BQ19)</f>
        <v>0</v>
      </c>
      <c r="BF19" t="str">
        <f>IF('Data Checking'!BR19="","",'Data Checking'!BR19)</f>
        <v>0</v>
      </c>
      <c r="BG19" t="str">
        <f>IF('Data Checking'!BS19="","",'Data Checking'!BS19)</f>
        <v>0</v>
      </c>
      <c r="BH19" t="str">
        <f>IF('Data Checking'!BT19="","",'Data Checking'!BT19)</f>
        <v>0</v>
      </c>
      <c r="BI19" t="str">
        <f>IF('Data Checking'!BU19="","",'Data Checking'!BU19)</f>
        <v>0</v>
      </c>
      <c r="BJ19" t="str">
        <f>IF('Data Checking'!BV19="","",'Data Checking'!BV19)</f>
        <v>0</v>
      </c>
      <c r="BK19" t="str">
        <f>IF('Data Checking'!BW19="","",'Data Checking'!BW19)</f>
        <v>0</v>
      </c>
      <c r="BL19" t="str">
        <f>IF('Data Checking'!BX19="","",'Data Checking'!BX19)</f>
        <v>0</v>
      </c>
      <c r="BM19" t="str">
        <f>IF('Data Checking'!BY19="","",'Data Checking'!BY19)</f>
        <v/>
      </c>
      <c r="BN19" t="str">
        <f>IF('Data Checking'!BZ19="","",'Data Checking'!BZ19)</f>
        <v>5</v>
      </c>
      <c r="BO19" t="str">
        <f>IF('Data Checking'!CA19="","",'Data Checking'!CA19)</f>
        <v>augmente</v>
      </c>
      <c r="BP19" t="str">
        <f>IF('Data Checking'!CB19="","",'Data Checking'!CB19)</f>
        <v/>
      </c>
      <c r="BQ19" t="str">
        <f>IF('Data Checking'!CC19="","",'Data Checking'!CC19)</f>
        <v>oui</v>
      </c>
      <c r="BR19" t="str">
        <f>IF('Data Checking'!CD19="","",'Data Checking'!CD19)</f>
        <v>agression_physique agression_psychologique exploitations_enfant menace enscrimination_acces_services</v>
      </c>
      <c r="BS19" t="str">
        <f>IF('Data Checking'!CE19="","",'Data Checking'!CE19)</f>
        <v>0</v>
      </c>
      <c r="BT19" t="str">
        <f>IF('Data Checking'!CF19="","",'Data Checking'!CF19)</f>
        <v>0</v>
      </c>
      <c r="BU19" t="str">
        <f>IF('Data Checking'!CG19="","",'Data Checking'!CG19)</f>
        <v>1</v>
      </c>
      <c r="BV19" t="str">
        <f>IF('Data Checking'!CH19="","",'Data Checking'!CH19)</f>
        <v>0</v>
      </c>
      <c r="BW19" t="str">
        <f>IF('Data Checking'!CI19="","",'Data Checking'!CI19)</f>
        <v>1</v>
      </c>
      <c r="BX19" t="str">
        <f>IF('Data Checking'!CJ19="","",'Data Checking'!CJ19)</f>
        <v>0</v>
      </c>
      <c r="BY19" t="str">
        <f>IF('Data Checking'!CK19="","",'Data Checking'!CK19)</f>
        <v>0</v>
      </c>
      <c r="BZ19" t="str">
        <f>IF('Data Checking'!CL19="","",'Data Checking'!CL19)</f>
        <v>0</v>
      </c>
      <c r="CA19" t="str">
        <f>IF('Data Checking'!CM19="","",'Data Checking'!CM19)</f>
        <v>1</v>
      </c>
      <c r="CB19" t="str">
        <f>IF('Data Checking'!CN19="","",'Data Checking'!CN19)</f>
        <v>0</v>
      </c>
      <c r="CC19" t="str">
        <f>IF('Data Checking'!CO19="","",'Data Checking'!CO19)</f>
        <v>1</v>
      </c>
      <c r="CD19" t="str">
        <f>IF('Data Checking'!CP19="","",'Data Checking'!CP19)</f>
        <v>1</v>
      </c>
      <c r="CE19" t="str">
        <f>IF('Data Checking'!CQ19="","",'Data Checking'!CQ19)</f>
        <v>0</v>
      </c>
      <c r="CF19" t="str">
        <f>IF('Data Checking'!CR19="","",'Data Checking'!CR19)</f>
        <v>0</v>
      </c>
      <c r="CG19" t="str">
        <f>IF('Data Checking'!CS19="","",'Data Checking'!CS19)</f>
        <v>0</v>
      </c>
      <c r="CH19" t="str">
        <f>IF('Data Checking'!CT19="","",'Data Checking'!CT19)</f>
        <v/>
      </c>
      <c r="CI19" t="str">
        <f>IF('Data Checking'!CU19="","",'Data Checking'!CU19)</f>
        <v>Bebes/Bambins Enfants Filles Garçons Femmes</v>
      </c>
      <c r="CJ19" t="str">
        <f>IF('Data Checking'!CV19="","",'Data Checking'!CV19)</f>
        <v>1</v>
      </c>
      <c r="CK19" t="str">
        <f>IF('Data Checking'!CW19="","",'Data Checking'!CW19)</f>
        <v>1</v>
      </c>
      <c r="CL19" t="str">
        <f>IF('Data Checking'!CX19="","",'Data Checking'!CX19)</f>
        <v>1</v>
      </c>
      <c r="CM19" t="str">
        <f>IF('Data Checking'!CY19="","",'Data Checking'!CY19)</f>
        <v>1</v>
      </c>
      <c r="CN19" t="str">
        <f>IF('Data Checking'!CZ19="","",'Data Checking'!CZ19)</f>
        <v>1</v>
      </c>
      <c r="CO19" t="str">
        <f>IF('Data Checking'!DA19="","",'Data Checking'!DA19)</f>
        <v>0</v>
      </c>
      <c r="CP19" t="str">
        <f>IF('Data Checking'!DB19="","",'Data Checking'!DB19)</f>
        <v>0</v>
      </c>
      <c r="CQ19" t="str">
        <f>IF('Data Checking'!DC19="","",'Data Checking'!DC19)</f>
        <v>0</v>
      </c>
      <c r="CR19" t="str">
        <f>IF('Data Checking'!DD19="","",'Data Checking'!DD19)</f>
        <v>0</v>
      </c>
      <c r="CS19" t="str">
        <f>IF('Data Checking'!DE19="","",'Data Checking'!DE19)</f>
        <v>0</v>
      </c>
      <c r="CT19" t="str">
        <f>IF('Data Checking'!DF19="","",'Data Checking'!DF19)</f>
        <v>0</v>
      </c>
      <c r="CU19" t="str">
        <f>IF('Data Checking'!DG19="","",'Data Checking'!DG19)</f>
        <v>0</v>
      </c>
      <c r="CV19" t="str">
        <f>IF('Data Checking'!DH19="","",'Data Checking'!DH19)</f>
        <v>0</v>
      </c>
      <c r="CW19" t="str">
        <f>IF('Data Checking'!DI19="","",'Data Checking'!DI19)</f>
        <v>0</v>
      </c>
      <c r="CX19" t="str">
        <f>IF('Data Checking'!DJ19="","",'Data Checking'!DJ19)</f>
        <v/>
      </c>
      <c r="CY19" t="str">
        <f>IF('Data Checking'!DK19="","",'Data Checking'!DK19)</f>
        <v>5</v>
      </c>
      <c r="CZ19" t="str">
        <f>IF('Data Checking'!DL19="","",'Data Checking'!DL19)</f>
        <v>augmente</v>
      </c>
      <c r="DA19" t="str">
        <f>IF('Data Checking'!DM19="","",'Data Checking'!DM19)</f>
        <v/>
      </c>
      <c r="DB19" t="str">
        <f>IF('Data Checking'!DN19="","",'Data Checking'!DN19)</f>
        <v>diminution_moyens_existence deterioration_con_abris deterioration_acces_service_base</v>
      </c>
      <c r="DC19" t="str">
        <f>IF('Data Checking'!DO19="","",'Data Checking'!DO19)</f>
        <v>1</v>
      </c>
      <c r="DD19" t="str">
        <f>IF('Data Checking'!DP19="","",'Data Checking'!DP19)</f>
        <v>1</v>
      </c>
      <c r="DE19" t="str">
        <f>IF('Data Checking'!DQ19="","",'Data Checking'!DQ19)</f>
        <v>1</v>
      </c>
      <c r="DF19" t="str">
        <f>IF('Data Checking'!DR19="","",'Data Checking'!DR19)</f>
        <v>0</v>
      </c>
      <c r="DG19" t="str">
        <f>IF('Data Checking'!DS19="","",'Data Checking'!DS19)</f>
        <v>0</v>
      </c>
      <c r="DH19" t="str">
        <f>IF('Data Checking'!DT19="","",'Data Checking'!DT19)</f>
        <v>0</v>
      </c>
      <c r="DI19" t="str">
        <f>IF('Data Checking'!DU19="","",'Data Checking'!DU19)</f>
        <v>0</v>
      </c>
      <c r="DJ19" t="str">
        <f>IF('Data Checking'!DV19="","",'Data Checking'!DV19)</f>
        <v>0</v>
      </c>
      <c r="DK19" t="str">
        <f>IF('Data Checking'!DW19="","",'Data Checking'!DW19)</f>
        <v>0</v>
      </c>
      <c r="DL19" t="str">
        <f>IF('Data Checking'!DX19="","",'Data Checking'!DX19)</f>
        <v>0</v>
      </c>
      <c r="DM19" t="str">
        <f>IF('Data Checking'!DY19="","",'Data Checking'!DY19)</f>
        <v/>
      </c>
      <c r="DN19" t="str">
        <f>IF('Data Checking'!DZ19="","",'Data Checking'!DZ19)</f>
        <v/>
      </c>
      <c r="DO19" t="str">
        <f>IF('Data Checking'!EA19="","",'Data Checking'!EA19)</f>
        <v/>
      </c>
      <c r="DP19" t="str">
        <f>IF('Data Checking'!EB19="","",'Data Checking'!EB19)</f>
        <v/>
      </c>
      <c r="DQ19" t="str">
        <f>IF('Data Checking'!EC19="","",'Data Checking'!EC19)</f>
        <v/>
      </c>
      <c r="DR19" t="str">
        <f>IF('Data Checking'!ED19="","",'Data Checking'!ED19)</f>
        <v/>
      </c>
      <c r="DS19" t="str">
        <f>IF('Data Checking'!EE19="","",'Data Checking'!EE19)</f>
        <v/>
      </c>
      <c r="DT19" t="str">
        <f>IF('Data Checking'!EF19="","",'Data Checking'!EF19)</f>
        <v/>
      </c>
      <c r="DU19" t="str">
        <f>IF('Data Checking'!EG19="","",'Data Checking'!EG19)</f>
        <v/>
      </c>
      <c r="DV19" t="str">
        <f>IF('Data Checking'!EH19="","",'Data Checking'!EH19)</f>
        <v/>
      </c>
      <c r="DW19" t="str">
        <f>IF('Data Checking'!EI19="","",'Data Checking'!EI19)</f>
        <v/>
      </c>
      <c r="DX19" t="str">
        <f>IF('Data Checking'!EJ19="","",'Data Checking'!EJ19)</f>
        <v/>
      </c>
      <c r="DY19" t="str">
        <f>IF('Data Checking'!EK19="","",'Data Checking'!EK19)</f>
        <v/>
      </c>
      <c r="DZ19" t="str">
        <f>IF('Data Checking'!EL19="","",'Data Checking'!EL19)</f>
        <v>Integration_com_hote Soutien_famille_amis dplct_abords_com</v>
      </c>
      <c r="EA19" t="str">
        <f>IF('Data Checking'!EM19="","",'Data Checking'!EM19)</f>
        <v>1</v>
      </c>
      <c r="EB19" t="str">
        <f>IF('Data Checking'!EN19="","",'Data Checking'!EN19)</f>
        <v>1</v>
      </c>
      <c r="EC19" t="str">
        <f>IF('Data Checking'!EO19="","",'Data Checking'!EO19)</f>
        <v>1</v>
      </c>
      <c r="ED19" t="str">
        <f>IF('Data Checking'!EP19="","",'Data Checking'!EP19)</f>
        <v>0</v>
      </c>
      <c r="EE19" t="str">
        <f>IF('Data Checking'!EQ19="","",'Data Checking'!EQ19)</f>
        <v>0</v>
      </c>
      <c r="EF19" t="str">
        <f>IF('Data Checking'!ER19="","",'Data Checking'!ER19)</f>
        <v>0</v>
      </c>
      <c r="EG19" t="str">
        <f>IF('Data Checking'!ES19="","",'Data Checking'!ES19)</f>
        <v>0</v>
      </c>
      <c r="EH19" t="str">
        <f>IF('Data Checking'!ET19="","",'Data Checking'!ET19)</f>
        <v>0</v>
      </c>
      <c r="EI19" t="str">
        <f>IF('Data Checking'!EU19="","",'Data Checking'!EU19)</f>
        <v>0</v>
      </c>
      <c r="EJ19" t="str">
        <f>IF('Data Checking'!EV19="","",'Data Checking'!EV19)</f>
        <v/>
      </c>
      <c r="EK19" t="str">
        <f>IF('Data Checking'!EW19="","",'Data Checking'!EW19)</f>
        <v/>
      </c>
      <c r="EL19" t="str">
        <f>IF('Data Checking'!EX19="","",'Data Checking'!EX19)</f>
        <v>comite_protection famille_accueil comite_redevabilite</v>
      </c>
      <c r="EM19" t="str">
        <f>IF('Data Checking'!EY19="","",'Data Checking'!EY19)</f>
        <v>0</v>
      </c>
      <c r="EN19" t="str">
        <f>IF('Data Checking'!EZ19="","",'Data Checking'!EZ19)</f>
        <v>1</v>
      </c>
      <c r="EO19" t="str">
        <f>IF('Data Checking'!FA19="","",'Data Checking'!FA19)</f>
        <v>1</v>
      </c>
      <c r="EP19" t="str">
        <f>IF('Data Checking'!FB19="","",'Data Checking'!FB19)</f>
        <v>0</v>
      </c>
      <c r="EQ19" t="str">
        <f>IF('Data Checking'!FC19="","",'Data Checking'!FC19)</f>
        <v>1</v>
      </c>
      <c r="ER19" t="str">
        <f>IF('Data Checking'!FD19="","",'Data Checking'!FD19)</f>
        <v>0</v>
      </c>
      <c r="ES19" t="str">
        <f>IF('Data Checking'!FE19="","",'Data Checking'!FE19)</f>
        <v>0</v>
      </c>
      <c r="ET19" t="str">
        <f>IF('Data Checking'!FF19="","",'Data Checking'!FF19)</f>
        <v>0</v>
      </c>
      <c r="EU19" t="str">
        <f>IF('Data Checking'!FG19="","",'Data Checking'!FG19)</f>
        <v>0</v>
      </c>
      <c r="EV19" t="str">
        <f>IF('Data Checking'!FH19="","",'Data Checking'!FH19)</f>
        <v>0</v>
      </c>
      <c r="EW19" t="str">
        <f>IF('Data Checking'!FI19="","",'Data Checking'!FI19)</f>
        <v/>
      </c>
      <c r="EX19" t="str">
        <f>IF('Data Checking'!FJ19="","",'Data Checking'!FJ19)</f>
        <v>non</v>
      </c>
      <c r="EY19" t="str">
        <f>IF('Data Checking'!FK19="","",'Data Checking'!FK19)</f>
        <v/>
      </c>
      <c r="EZ19" t="str">
        <f>IF('Data Checking'!FL19="","",'Data Checking'!FL19)</f>
        <v/>
      </c>
      <c r="FA19" t="str">
        <f>IF('Data Checking'!FM19="","",'Data Checking'!FM19)</f>
        <v/>
      </c>
      <c r="FB19" t="str">
        <f>IF('Data Checking'!FN19="","",'Data Checking'!FN19)</f>
        <v/>
      </c>
      <c r="FC19" t="str">
        <f>IF('Data Checking'!FO19="","",'Data Checking'!FO19)</f>
        <v/>
      </c>
      <c r="FD19" t="str">
        <f>IF('Data Checking'!FP19="","",'Data Checking'!FP19)</f>
        <v/>
      </c>
      <c r="FE19" t="str">
        <f>IF('Data Checking'!FQ19="","",'Data Checking'!FQ19)</f>
        <v/>
      </c>
      <c r="FF19" t="str">
        <f>IF('Data Checking'!FR19="","",'Data Checking'!FR19)</f>
        <v/>
      </c>
      <c r="FG19" t="str">
        <f>IF('Data Checking'!FS19="","",'Data Checking'!FS19)</f>
        <v/>
      </c>
      <c r="FH19" t="str">
        <f>IF('Data Checking'!FT19="","",'Data Checking'!FT19)</f>
        <v/>
      </c>
      <c r="FI19" t="str">
        <f>IF('Data Checking'!FU19="","",'Data Checking'!FU19)</f>
        <v/>
      </c>
      <c r="FJ19" t="str">
        <f>IF('Data Checking'!FV19="","",'Data Checking'!FV19)</f>
        <v/>
      </c>
      <c r="FK19" t="str">
        <f>IF('Data Checking'!FW19="","",'Data Checking'!FW19)</f>
        <v/>
      </c>
      <c r="FL19" t="str">
        <f>IF('Data Checking'!FX19="","",'Data Checking'!FX19)</f>
        <v/>
      </c>
      <c r="FM19" t="str">
        <f>IF('Data Checking'!FY19="","",'Data Checking'!FY19)</f>
        <v/>
      </c>
      <c r="FN19" t="str">
        <f>IF('Data Checking'!FZ19="","",'Data Checking'!FZ19)</f>
        <v/>
      </c>
      <c r="FO19" t="str">
        <f>IF('Data Checking'!GA19="","",'Data Checking'!GA19)</f>
        <v/>
      </c>
      <c r="FP19" t="str">
        <f>IF('Data Checking'!GB19="","",'Data Checking'!GB19)</f>
        <v/>
      </c>
      <c r="FQ19" t="str">
        <f>IF('Data Checking'!GC19="","",'Data Checking'!GC19)</f>
        <v/>
      </c>
      <c r="FR19" t="str">
        <f>IF('Data Checking'!GD19="","",'Data Checking'!GD19)</f>
        <v/>
      </c>
      <c r="FS19" t="str">
        <f>IF('Data Checking'!GE19="","",'Data Checking'!GE19)</f>
        <v/>
      </c>
      <c r="FT19" t="str">
        <f>IF('Data Checking'!GF19="","",'Data Checking'!GF19)</f>
        <v/>
      </c>
      <c r="FU19" t="str">
        <f>IF('Data Checking'!GG19="","",'Data Checking'!GG19)</f>
        <v/>
      </c>
      <c r="FV19" t="str">
        <f>IF('Data Checking'!GH19="","",'Data Checking'!GH19)</f>
        <v/>
      </c>
      <c r="FW19" t="str">
        <f>IF('Data Checking'!GI19="","",'Data Checking'!GI19)</f>
        <v/>
      </c>
      <c r="FX19" t="str">
        <f>IF('Data Checking'!GJ19="","",'Data Checking'!GJ19)</f>
        <v/>
      </c>
      <c r="FY19" t="str">
        <f>IF('Data Checking'!GK19="","",'Data Checking'!GK19)</f>
        <v/>
      </c>
      <c r="FZ19" t="str">
        <f>IF('Data Checking'!GL19="","",'Data Checking'!GL19)</f>
        <v/>
      </c>
      <c r="GA19" t="str">
        <f>IF('Data Checking'!GM19="","",'Data Checking'!GM19)</f>
        <v/>
      </c>
      <c r="GB19" t="str">
        <f>IF('Data Checking'!GN19="","",'Data Checking'!GN19)</f>
        <v/>
      </c>
      <c r="GC19" t="str">
        <f>IF('Data Checking'!GO19="","",'Data Checking'!GO19)</f>
        <v/>
      </c>
      <c r="GD19" t="str">
        <f>IF('Data Checking'!GP19="","",'Data Checking'!GP19)</f>
        <v/>
      </c>
      <c r="GE19" t="str">
        <f>IF('Data Checking'!GQ19="","",'Data Checking'!GQ19)</f>
        <v/>
      </c>
      <c r="GF19" t="str">
        <f>IF('Data Checking'!GR19="","",'Data Checking'!GR19)</f>
        <v/>
      </c>
      <c r="GG19" t="str">
        <f>IF('Data Checking'!GS19="","",'Data Checking'!GS19)</f>
        <v/>
      </c>
      <c r="GH19" t="str">
        <f>IF('Data Checking'!GT19="","",'Data Checking'!GT19)</f>
        <v/>
      </c>
      <c r="GI19" t="str">
        <f>IF('Data Checking'!GU19="","",'Data Checking'!GU19)</f>
        <v/>
      </c>
      <c r="GJ19" t="str">
        <f>IF('Data Checking'!GV19="","",'Data Checking'!GV19)</f>
        <v/>
      </c>
      <c r="GK19" t="str">
        <f>IF('Data Checking'!GW19="","",'Data Checking'!GW19)</f>
        <v/>
      </c>
      <c r="GL19" t="str">
        <f>IF('Data Checking'!GX19="","",'Data Checking'!GX19)</f>
        <v/>
      </c>
      <c r="GM19" t="str">
        <f>IF('Data Checking'!GY19="","",'Data Checking'!GY19)</f>
        <v/>
      </c>
      <c r="GN19" t="str">
        <f>IF('Data Checking'!GZ19="","",'Data Checking'!GZ19)</f>
        <v/>
      </c>
      <c r="GO19" t="str">
        <f>IF('Data Checking'!HA19="","",'Data Checking'!HA19)</f>
        <v/>
      </c>
      <c r="GP19" t="str">
        <f>IF('Data Checking'!HB19="","",'Data Checking'!HB19)</f>
        <v/>
      </c>
      <c r="GQ19" t="str">
        <f>IF('Data Checking'!HC19="","",'Data Checking'!HC19)</f>
        <v/>
      </c>
      <c r="GR19" t="str">
        <f>IF('Data Checking'!HD19="","",'Data Checking'!HD19)</f>
        <v/>
      </c>
      <c r="GS19" t="str">
        <f>IF('Data Checking'!HE19="","",'Data Checking'!HE19)</f>
        <v/>
      </c>
      <c r="GT19" t="str">
        <f>IF('Data Checking'!HF19="","",'Data Checking'!HF19)</f>
        <v/>
      </c>
      <c r="GU19" t="str">
        <f>IF('Data Checking'!HG19="","",'Data Checking'!HG19)</f>
        <v/>
      </c>
      <c r="GV19" t="str">
        <f>IF('Data Checking'!HH19="","",'Data Checking'!HH19)</f>
        <v/>
      </c>
      <c r="GW19" t="str">
        <f>IF('Data Checking'!HI19="","",'Data Checking'!HI19)</f>
        <v/>
      </c>
      <c r="GX19" t="str">
        <f>IF('Data Checking'!HJ19="","",'Data Checking'!HJ19)</f>
        <v/>
      </c>
      <c r="GY19" t="str">
        <f>IF('Data Checking'!HK19="","",'Data Checking'!HK19)</f>
        <v/>
      </c>
      <c r="GZ19" t="str">
        <f>IF('Data Checking'!HL19="","",'Data Checking'!HL19)</f>
        <v/>
      </c>
      <c r="HA19" t="str">
        <f>IF('Data Checking'!HM19="","",'Data Checking'!HM19)</f>
        <v/>
      </c>
      <c r="HB19" t="str">
        <f>IF('Data Checking'!HN19="","",'Data Checking'!HN19)</f>
        <v/>
      </c>
      <c r="HC19" t="str">
        <f>IF('Data Checking'!HO19="","",'Data Checking'!HO19)</f>
        <v/>
      </c>
      <c r="HD19" t="str">
        <f>IF('Data Checking'!HP19="","",'Data Checking'!HP19)</f>
        <v/>
      </c>
      <c r="HE19" t="str">
        <f>IF('Data Checking'!HQ19="","",'Data Checking'!HQ19)</f>
        <v/>
      </c>
      <c r="HF19" t="str">
        <f>IF('Data Checking'!HR19="","",'Data Checking'!HR19)</f>
        <v/>
      </c>
      <c r="HG19" t="str">
        <f>IF('Data Checking'!HS19="","",'Data Checking'!HS19)</f>
        <v/>
      </c>
      <c r="HH19" t="str">
        <f>IF('Data Checking'!HT19="","",'Data Checking'!HT19)</f>
        <v/>
      </c>
      <c r="HI19" t="str">
        <f>IF('Data Checking'!HU19="","",'Data Checking'!HU19)</f>
        <v>non</v>
      </c>
      <c r="HJ19" t="str">
        <f>IF('Data Checking'!HV19="","",'Data Checking'!HV19)</f>
        <v/>
      </c>
      <c r="HK19" t="str">
        <f>IF('Data Checking'!HW19="","",'Data Checking'!HW19)</f>
        <v/>
      </c>
      <c r="HL19" t="str">
        <f>IF('Data Checking'!HX19="","",'Data Checking'!HX19)</f>
        <v/>
      </c>
      <c r="HM19" t="str">
        <f>IF('Data Checking'!HY19="","",'Data Checking'!HY19)</f>
        <v/>
      </c>
      <c r="HN19" t="str">
        <f>IF('Data Checking'!HZ19="","",'Data Checking'!HZ19)</f>
        <v/>
      </c>
      <c r="HO19" t="str">
        <f>IF('Data Checking'!IA19="","",'Data Checking'!IA19)</f>
        <v/>
      </c>
      <c r="HP19" t="str">
        <f>IF('Data Checking'!IB19="","",'Data Checking'!IB19)</f>
        <v/>
      </c>
      <c r="HQ19" t="str">
        <f>IF('Data Checking'!IC19="","",'Data Checking'!IC19)</f>
        <v/>
      </c>
      <c r="HR19" t="str">
        <f>IF('Data Checking'!ID19="","",'Data Checking'!ID19)</f>
        <v/>
      </c>
      <c r="HS19" t="str">
        <f>IF('Data Checking'!IE19="","",'Data Checking'!IE19)</f>
        <v/>
      </c>
      <c r="HT19" t="str">
        <f>IF('Data Checking'!IF19="","",'Data Checking'!IF19)</f>
        <v/>
      </c>
      <c r="HU19" t="str">
        <f>IF('Data Checking'!IG19="","",'Data Checking'!IG19)</f>
        <v/>
      </c>
      <c r="HV19" t="str">
        <f>IF('Data Checking'!IH19="","",'Data Checking'!IH19)</f>
        <v>oui</v>
      </c>
      <c r="HW19" t="str">
        <f>IF('Data Checking'!II19="","",'Data Checking'!II19)</f>
        <v/>
      </c>
      <c r="HX19" t="str">
        <f>IF('Data Checking'!IJ19="","",'Data Checking'!IJ19)</f>
        <v>Bebes/Bambins Enfants Filles Garçons Femmes</v>
      </c>
      <c r="HY19" t="str">
        <f>IF('Data Checking'!IK19="","",'Data Checking'!IK19)</f>
        <v>1</v>
      </c>
      <c r="HZ19" t="str">
        <f>IF('Data Checking'!IL19="","",'Data Checking'!IL19)</f>
        <v>1</v>
      </c>
      <c r="IA19" t="str">
        <f>IF('Data Checking'!IM19="","",'Data Checking'!IM19)</f>
        <v>1</v>
      </c>
      <c r="IB19" t="str">
        <f>IF('Data Checking'!IN19="","",'Data Checking'!IN19)</f>
        <v>1</v>
      </c>
      <c r="IC19" t="str">
        <f>IF('Data Checking'!IO19="","",'Data Checking'!IO19)</f>
        <v>1</v>
      </c>
      <c r="ID19" t="str">
        <f>IF('Data Checking'!IP19="","",'Data Checking'!IP19)</f>
        <v>0</v>
      </c>
      <c r="IE19" t="str">
        <f>IF('Data Checking'!IQ19="","",'Data Checking'!IQ19)</f>
        <v>0</v>
      </c>
      <c r="IF19" t="str">
        <f>IF('Data Checking'!IR19="","",'Data Checking'!IR19)</f>
        <v>0</v>
      </c>
      <c r="IG19" t="str">
        <f>IF('Data Checking'!IS19="","",'Data Checking'!IS19)</f>
        <v>0</v>
      </c>
      <c r="IH19" t="str">
        <f>IF('Data Checking'!IT19="","",'Data Checking'!IT19)</f>
        <v>0</v>
      </c>
      <c r="II19" t="str">
        <f>IF('Data Checking'!IU19="","",'Data Checking'!IU19)</f>
        <v>0</v>
      </c>
      <c r="IJ19" t="str">
        <f>IF('Data Checking'!IV19="","",'Data Checking'!IV19)</f>
        <v>0</v>
      </c>
      <c r="IK19" t="str">
        <f>IF('Data Checking'!IW19="","",'Data Checking'!IW19)</f>
        <v>0</v>
      </c>
      <c r="IL19" t="str">
        <f>IF('Data Checking'!IX19="","",'Data Checking'!IX19)</f>
        <v>0</v>
      </c>
      <c r="IM19" t="str">
        <f>IF('Data Checking'!IY19="","",'Data Checking'!IY19)</f>
        <v/>
      </c>
      <c r="IN19" t="str">
        <f>IF('Data Checking'!IZ19="","",'Data Checking'!IZ19)</f>
        <v>6</v>
      </c>
      <c r="IO19" t="str">
        <f>IF('Data Checking'!JA19="","",'Data Checking'!JA19)</f>
        <v>NA</v>
      </c>
      <c r="IP19" t="str">
        <f>IF('Data Checking'!JB19="","",'Data Checking'!JB19)</f>
        <v>NA</v>
      </c>
      <c r="IQ19" t="str">
        <f>IF('Data Checking'!JC19="","",'Data Checking'!JC19)</f>
        <v>NA</v>
      </c>
      <c r="IR19" t="str">
        <f>IF('Data Checking'!JD19="","",'Data Checking'!JD19)</f>
        <v>NA</v>
      </c>
      <c r="IS19" t="str">
        <f>IF('Data Checking'!JE19="","",'Data Checking'!JE19)</f>
        <v>NA</v>
      </c>
      <c r="IT19" t="str">
        <f>IF('Data Checking'!JF19="","",'Data Checking'!JF19)</f>
        <v>NA</v>
      </c>
      <c r="IU19" t="str">
        <f>IF('Data Checking'!JG19="","",'Data Checking'!JG19)</f>
        <v>NA</v>
      </c>
      <c r="IV19" t="str">
        <f>IF('Data Checking'!JH19="","",'Data Checking'!JH19)</f>
        <v>NA</v>
      </c>
      <c r="IW19" t="str">
        <f>IF('Data Checking'!JI19="","",'Data Checking'!JI19)</f>
        <v>NA</v>
      </c>
      <c r="IX19" t="str">
        <f>IF('Data Checking'!JJ19="","",'Data Checking'!JJ19)</f>
        <v>NA</v>
      </c>
      <c r="IY19" t="str">
        <f>IF('Data Checking'!JK19="","",'Data Checking'!JK19)</f>
        <v>NA</v>
      </c>
      <c r="IZ19" t="str">
        <f>IF('Data Checking'!JL19="","",'Data Checking'!JL19)</f>
        <v/>
      </c>
      <c r="JA19" t="str">
        <f>IF('Data Checking'!JM19="","",'Data Checking'!JM19)</f>
        <v>prise_enchage reorientation signalement</v>
      </c>
      <c r="JB19" t="str">
        <f>IF('Data Checking'!JN19="","",'Data Checking'!JN19)</f>
        <v>1</v>
      </c>
      <c r="JC19" t="str">
        <f>IF('Data Checking'!JO19="","",'Data Checking'!JO19)</f>
        <v>1</v>
      </c>
      <c r="JD19" t="str">
        <f>IF('Data Checking'!JP19="","",'Data Checking'!JP19)</f>
        <v>1</v>
      </c>
      <c r="JE19" t="str">
        <f>IF('Data Checking'!JQ19="","",'Data Checking'!JQ19)</f>
        <v>0</v>
      </c>
      <c r="JF19" t="str">
        <f>IF('Data Checking'!JR19="","",'Data Checking'!JR19)</f>
        <v>0</v>
      </c>
      <c r="JG19" t="str">
        <f>IF('Data Checking'!JS19="","",'Data Checking'!JS19)</f>
        <v>0</v>
      </c>
      <c r="JH19" t="str">
        <f>IF('Data Checking'!JT19="","",'Data Checking'!JT19)</f>
        <v/>
      </c>
      <c r="JI19" t="str">
        <f>IF('Data Checking'!JU19="","",'Data Checking'!JU19)</f>
        <v>reinsertion surete point_ecoute medical Psychosocia</v>
      </c>
      <c r="JJ19" t="str">
        <f>IF('Data Checking'!JV19="","",'Data Checking'!JV19)</f>
        <v>1</v>
      </c>
      <c r="JK19" t="str">
        <f>IF('Data Checking'!JW19="","",'Data Checking'!JW19)</f>
        <v>1</v>
      </c>
      <c r="JL19" t="str">
        <f>IF('Data Checking'!JX19="","",'Data Checking'!JX19)</f>
        <v>1</v>
      </c>
      <c r="JM19" t="str">
        <f>IF('Data Checking'!JY19="","",'Data Checking'!JY19)</f>
        <v>0</v>
      </c>
      <c r="JN19" t="str">
        <f>IF('Data Checking'!JZ19="","",'Data Checking'!JZ19)</f>
        <v>1</v>
      </c>
      <c r="JO19" t="str">
        <f>IF('Data Checking'!KA19="","",'Data Checking'!KA19)</f>
        <v>1</v>
      </c>
      <c r="JP19" t="str">
        <f>IF('Data Checking'!KB19="","",'Data Checking'!KB19)</f>
        <v>0</v>
      </c>
      <c r="JQ19" t="str">
        <f>IF('Data Checking'!KC19="","",'Data Checking'!KC19)</f>
        <v>0</v>
      </c>
      <c r="JR19" t="str">
        <f>IF('Data Checking'!KD19="","",'Data Checking'!KD19)</f>
        <v>0</v>
      </c>
      <c r="JS19" t="str">
        <f>IF('Data Checking'!KE19="","",'Data Checking'!KE19)</f>
        <v/>
      </c>
      <c r="JT19" t="str">
        <f>IF('Data Checking'!KF19="","",'Data Checking'!KF19)</f>
        <v>medical Psychosocia point_ecoute surete reinsertion</v>
      </c>
      <c r="JU19" t="str">
        <f>IF('Data Checking'!KG19="","",'Data Checking'!KG19)</f>
        <v>1</v>
      </c>
      <c r="JV19" t="str">
        <f>IF('Data Checking'!KH19="","",'Data Checking'!KH19)</f>
        <v>1</v>
      </c>
      <c r="JW19" t="str">
        <f>IF('Data Checking'!KI19="","",'Data Checking'!KI19)</f>
        <v>1</v>
      </c>
      <c r="JX19" t="str">
        <f>IF('Data Checking'!KJ19="","",'Data Checking'!KJ19)</f>
        <v>0</v>
      </c>
      <c r="JY19" t="str">
        <f>IF('Data Checking'!KK19="","",'Data Checking'!KK19)</f>
        <v>1</v>
      </c>
      <c r="JZ19" t="str">
        <f>IF('Data Checking'!KL19="","",'Data Checking'!KL19)</f>
        <v>1</v>
      </c>
      <c r="KA19" t="str">
        <f>IF('Data Checking'!KM19="","",'Data Checking'!KM19)</f>
        <v>0</v>
      </c>
      <c r="KB19" t="str">
        <f>IF('Data Checking'!KN19="","",'Data Checking'!KN19)</f>
        <v>0</v>
      </c>
      <c r="KC19" t="str">
        <f>IF('Data Checking'!KO19="","",'Data Checking'!KO19)</f>
        <v>0</v>
      </c>
      <c r="KD19" t="str">
        <f>IF('Data Checking'!KP19="","",'Data Checking'!KP19)</f>
        <v/>
      </c>
      <c r="KE19" t="str">
        <f>IF('Data Checking'!KQ19="","",'Data Checking'!KQ19)</f>
        <v/>
      </c>
      <c r="KF19" t="str">
        <f>IF('Data Checking'!KR19="","",'Data Checking'!KR19)</f>
        <v>oui</v>
      </c>
      <c r="KG19" t="str">
        <f>IF('Data Checking'!KS19="","",'Data Checking'!KS19)</f>
        <v>manque_moyens manque_d'information manque_personnes insecurite_zone probleme_orientation</v>
      </c>
      <c r="KH19" t="str">
        <f>IF('Data Checking'!KT19="","",'Data Checking'!KT19)</f>
        <v>1</v>
      </c>
      <c r="KI19" t="str">
        <f>IF('Data Checking'!KU19="","",'Data Checking'!KU19)</f>
        <v>1</v>
      </c>
      <c r="KJ19" t="str">
        <f>IF('Data Checking'!KV19="","",'Data Checking'!KV19)</f>
        <v>1</v>
      </c>
      <c r="KK19" t="str">
        <f>IF('Data Checking'!KW19="","",'Data Checking'!KW19)</f>
        <v>1</v>
      </c>
      <c r="KL19" t="str">
        <f>IF('Data Checking'!KX19="","",'Data Checking'!KX19)</f>
        <v>1</v>
      </c>
      <c r="KM19" t="str">
        <f>IF('Data Checking'!KY19="","",'Data Checking'!KY19)</f>
        <v>0</v>
      </c>
      <c r="KN19" t="str">
        <f>IF('Data Checking'!KZ19="","",'Data Checking'!KZ19)</f>
        <v>0</v>
      </c>
      <c r="KO19" t="str">
        <f>IF('Data Checking'!LA19="","",'Data Checking'!LA19)</f>
        <v>0</v>
      </c>
      <c r="KP19" t="str">
        <f>IF('Data Checking'!LB19="","",'Data Checking'!LB19)</f>
        <v>0</v>
      </c>
      <c r="KQ19" t="str">
        <f>IF('Data Checking'!LC19="","",'Data Checking'!LC19)</f>
        <v>0</v>
      </c>
      <c r="KR19" t="str">
        <f>IF('Data Checking'!LD19="","",'Data Checking'!LD19)</f>
        <v>0</v>
      </c>
      <c r="KS19" t="str">
        <f>IF('Data Checking'!LE19="","",'Data Checking'!LE19)</f>
        <v/>
      </c>
      <c r="KT19" t="str">
        <f>IF('Data Checking'!LF19="","",'Data Checking'!LF19)</f>
        <v>pb_protection_donnee pb_logistiques pb_secu</v>
      </c>
      <c r="KU19" t="str">
        <f>IF('Data Checking'!LG19="","",'Data Checking'!LG19)</f>
        <v>1</v>
      </c>
      <c r="KV19" t="str">
        <f>IF('Data Checking'!LH19="","",'Data Checking'!LH19)</f>
        <v>1</v>
      </c>
      <c r="KW19" t="str">
        <f>IF('Data Checking'!LI19="","",'Data Checking'!LI19)</f>
        <v>1</v>
      </c>
      <c r="KX19" t="str">
        <f>IF('Data Checking'!LJ19="","",'Data Checking'!LJ19)</f>
        <v>0</v>
      </c>
      <c r="KY19" t="str">
        <f>IF('Data Checking'!LK19="","",'Data Checking'!LK19)</f>
        <v>0</v>
      </c>
      <c r="KZ19" t="str">
        <f>IF('Data Checking'!LL19="","",'Data Checking'!LL19)</f>
        <v>0</v>
      </c>
      <c r="LA19" t="str">
        <f>IF('Data Checking'!LM19="","",'Data Checking'!LM19)</f>
        <v/>
      </c>
      <c r="LB19" t="str">
        <f>IF('Data Checking'!LN19="","",'Data Checking'!LN19)</f>
        <v>oui</v>
      </c>
      <c r="LC19" t="str">
        <f>IF('Data Checking'!LO19="","",'Data Checking'!LO19)</f>
        <v>violence_physique violence_psycho menace_mort</v>
      </c>
      <c r="LD19" t="str">
        <f>IF('Data Checking'!LP19="","",'Data Checking'!LP19)</f>
        <v>1</v>
      </c>
      <c r="LE19" t="str">
        <f>IF('Data Checking'!LQ19="","",'Data Checking'!LQ19)</f>
        <v>1</v>
      </c>
      <c r="LF19" t="str">
        <f>IF('Data Checking'!LR19="","",'Data Checking'!LR19)</f>
        <v>0</v>
      </c>
      <c r="LG19" t="str">
        <f>IF('Data Checking'!LS19="","",'Data Checking'!LS19)</f>
        <v>0</v>
      </c>
      <c r="LH19" t="str">
        <f>IF('Data Checking'!LT19="","",'Data Checking'!LT19)</f>
        <v>1</v>
      </c>
      <c r="LI19" t="str">
        <f>IF('Data Checking'!LU19="","",'Data Checking'!LU19)</f>
        <v>0</v>
      </c>
      <c r="LJ19" t="str">
        <f>IF('Data Checking'!LV19="","",'Data Checking'!LV19)</f>
        <v>0</v>
      </c>
      <c r="LK19" t="str">
        <f>IF('Data Checking'!LW19="","",'Data Checking'!LW19)</f>
        <v>0</v>
      </c>
      <c r="LL19" t="str">
        <f>IF('Data Checking'!LX19="","",'Data Checking'!LX19)</f>
        <v>0</v>
      </c>
      <c r="LM19" t="str">
        <f>IF('Data Checking'!LY19="","",'Data Checking'!LY19)</f>
        <v>0</v>
      </c>
      <c r="LN19" t="str">
        <f>IF('Data Checking'!LZ19="","",'Data Checking'!LZ19)</f>
        <v/>
      </c>
      <c r="LO19" t="str">
        <f>IF('Data Checking'!MA19="","",'Data Checking'!MA19)</f>
        <v>oui</v>
      </c>
      <c r="LP19" t="str">
        <f>IF('Data Checking'!MB19="","",'Data Checking'!MB19)</f>
        <v>oui</v>
      </c>
      <c r="LQ19" t="str">
        <f>IF('Data Checking'!MC19="","",'Data Checking'!MC19)</f>
        <v/>
      </c>
      <c r="LR19" t="str">
        <f>IF('Data Checking'!MD19="","",'Data Checking'!MD19)</f>
        <v>Famine totale et surtout instauré la cohésion totale,la paix</v>
      </c>
      <c r="LS19">
        <f>IF('Data Checking'!ME19="","",'Data Checking'!ME19)</f>
        <v>169351678</v>
      </c>
      <c r="LT19" t="str">
        <f>IF('Data Checking'!MF19="","",'Data Checking'!MF19)</f>
        <v>590d4d25-2b3c-4d68-93fc-06d004a5efe4</v>
      </c>
      <c r="LU19" t="str">
        <f>IF('Data Checking'!MG19="","",'Data Checking'!MG19)</f>
        <v>2021-04-02T19:02:13</v>
      </c>
      <c r="LV19" t="str">
        <f>IF('Data Checking'!MH19="","",'Data Checking'!MH19)</f>
        <v/>
      </c>
      <c r="LW19" t="str">
        <f>IF('Data Checking'!MI19="","",'Data Checking'!MI19)</f>
        <v>[]</v>
      </c>
      <c r="LX19" t="str">
        <f>IF('Data Checking'!MJ19="","",'Data Checking'!MJ19)</f>
        <v>submitted_via_web</v>
      </c>
      <c r="LY19" t="str">
        <f>IF('Data Checking'!MK19="","",'Data Checking'!MK19)</f>
        <v>reach_niger</v>
      </c>
      <c r="LZ19" t="str">
        <f>IF('Data Checking'!ML19="","",'Data Checking'!ML19)</f>
        <v/>
      </c>
      <c r="MA19">
        <f>IF('Data Checking'!MM19="","",'Data Checking'!MM19)</f>
        <v>30</v>
      </c>
    </row>
    <row r="20" spans="1:339" x14ac:dyDescent="0.3">
      <c r="A20" t="str">
        <f>IF('Data Checking'!D20="","",'Data Checking'!D20)</f>
        <v>2021-04-02T11:02:19.303+01:00</v>
      </c>
      <c r="B20" t="str">
        <f>IF('Data Checking'!E20="","",'Data Checking'!E20)</f>
        <v>2021-04-02T11:32:01.883+01:00</v>
      </c>
      <c r="C20" t="str">
        <f>IF('Data Checking'!M20="","",'Data Checking'!M20)</f>
        <v>2021-04-02</v>
      </c>
      <c r="D20" t="str">
        <f>IF('Data Checking'!N20="","",'Data Checking'!N20)</f>
        <v/>
      </c>
      <c r="E20" t="str">
        <f>IF('Data Checking'!O20="","",'Data Checking'!O20)</f>
        <v/>
      </c>
      <c r="F20" t="str">
        <f>IF('Data Checking'!R20="","",'Data Checking'!R20)</f>
        <v>Homme</v>
      </c>
      <c r="G20" t="str">
        <f>IF('Data Checking'!S20="","",'Data Checking'!S20)</f>
        <v>bankilare</v>
      </c>
      <c r="H20" t="str">
        <f>IF('Data Checking'!T20="","",'Data Checking'!T20)</f>
        <v>bankilare</v>
      </c>
      <c r="I20" t="str">
        <f>IF('Data Checking'!U20="","",'Data Checking'!U20)</f>
        <v>Tazizguirte</v>
      </c>
      <c r="J20" t="str">
        <f>IF('Data Checking'!V20="","",'Data Checking'!V20)</f>
        <v>Tazizguirte</v>
      </c>
      <c r="K20" t="str">
        <f>IF('Data Checking'!W20="","",'Data Checking'!W20)</f>
        <v/>
      </c>
      <c r="L20" t="str">
        <f>IF('Data Checking'!X20="","",'Data Checking'!X20)</f>
        <v/>
      </c>
      <c r="M20" t="str">
        <f>IF('Data Checking'!Y20="","",'Data Checking'!Y20)</f>
        <v/>
      </c>
      <c r="N20" t="str">
        <f>IF('Data Checking'!Z20="","",'Data Checking'!Z20)</f>
        <v/>
      </c>
      <c r="O20" t="str">
        <f>IF('Data Checking'!AA20="","",'Data Checking'!AA20)</f>
        <v/>
      </c>
      <c r="P20" t="str">
        <f>IF('Data Checking'!AB20="","",'Data Checking'!AB20)</f>
        <v/>
      </c>
      <c r="Q20" t="str">
        <f>IF('Data Checking'!AC20="","",'Data Checking'!AC20)</f>
        <v/>
      </c>
      <c r="R20" t="str">
        <f>IF('Data Checking'!AD20="","",'Data Checking'!AD20)</f>
        <v>Homme</v>
      </c>
      <c r="S20" t="str">
        <f>IF('Data Checking'!AE20="","",'Data Checking'!AE20)</f>
        <v>34</v>
      </c>
      <c r="T20" t="str">
        <f>IF('Data Checking'!AF20="","",'Data Checking'!AF20)</f>
        <v>deplace_interne</v>
      </c>
      <c r="U20" t="str">
        <f>IF('Data Checking'!AG20="","",'Data Checking'!AG20)</f>
        <v/>
      </c>
      <c r="V20" t="str">
        <f>IF('Data Checking'!AH20="","",'Data Checking'!AH20)</f>
        <v/>
      </c>
      <c r="W20" t="str">
        <f>IF('Data Checking'!AI20="","",'Data Checking'!AI20)</f>
        <v/>
      </c>
      <c r="X20" t="str">
        <f>IF('Data Checking'!AJ20="","",'Data Checking'!AJ20)</f>
        <v/>
      </c>
      <c r="Y20" t="str">
        <f>IF('Data Checking'!AK20="","",'Data Checking'!AK20)</f>
        <v/>
      </c>
      <c r="Z20" t="str">
        <f>IF('Data Checking'!AL20="","",'Data Checking'!AL20)</f>
        <v>niger</v>
      </c>
      <c r="AA20" t="str">
        <f>IF('Data Checking'!AM20="","",'Data Checking'!AM20)</f>
        <v>tillaberi</v>
      </c>
      <c r="AB20" t="str">
        <f>IF('Data Checking'!AN20="","",'Data Checking'!AN20)</f>
        <v>bankilare</v>
      </c>
      <c r="AC20" t="str">
        <f>IF('Data Checking'!AO20="","",'Data Checking'!AO20)</f>
        <v/>
      </c>
      <c r="AD20" t="str">
        <f>IF('Data Checking'!AP20="","",'Data Checking'!AP20)</f>
        <v/>
      </c>
      <c r="AE20" t="str">
        <f>IF('Data Checking'!AQ20="","",'Data Checking'!AQ20)</f>
        <v/>
      </c>
      <c r="AF20" t="str">
        <f>IF('Data Checking'!AR20="","",'Data Checking'!AR20)</f>
        <v/>
      </c>
      <c r="AG20" t="str">
        <f>IF('Data Checking'!AS20="","",'Data Checking'!AS20)</f>
        <v>oui</v>
      </c>
      <c r="AH20" t="str">
        <f>IF('Data Checking'!AT20="","",'Data Checking'!AT20)</f>
        <v>Vols_braquages extorsions Violences_physique_civils Attaques_ecoles_sante Disputes_intercommunataires</v>
      </c>
      <c r="AI20" t="str">
        <f>IF('Data Checking'!AU20="","",'Data Checking'!AU20)</f>
        <v>0</v>
      </c>
      <c r="AJ20" t="str">
        <f>IF('Data Checking'!AV20="","",'Data Checking'!AV20)</f>
        <v>1</v>
      </c>
      <c r="AK20" t="str">
        <f>IF('Data Checking'!AW20="","",'Data Checking'!AW20)</f>
        <v>1</v>
      </c>
      <c r="AL20" t="str">
        <f>IF('Data Checking'!AX20="","",'Data Checking'!AX20)</f>
        <v>1</v>
      </c>
      <c r="AM20" t="str">
        <f>IF('Data Checking'!AY20="","",'Data Checking'!AY20)</f>
        <v>1</v>
      </c>
      <c r="AN20" t="str">
        <f>IF('Data Checking'!AZ20="","",'Data Checking'!AZ20)</f>
        <v>0</v>
      </c>
      <c r="AO20" t="str">
        <f>IF('Data Checking'!BA20="","",'Data Checking'!BA20)</f>
        <v>0</v>
      </c>
      <c r="AP20" t="str">
        <f>IF('Data Checking'!BB20="","",'Data Checking'!BB20)</f>
        <v>1</v>
      </c>
      <c r="AQ20" t="str">
        <f>IF('Data Checking'!BC20="","",'Data Checking'!BC20)</f>
        <v>0</v>
      </c>
      <c r="AR20" t="str">
        <f>IF('Data Checking'!BD20="","",'Data Checking'!BD20)</f>
        <v>0</v>
      </c>
      <c r="AS20" t="str">
        <f>IF('Data Checking'!BE20="","",'Data Checking'!BE20)</f>
        <v>0</v>
      </c>
      <c r="AT20" t="str">
        <f>IF('Data Checking'!BF20="","",'Data Checking'!BF20)</f>
        <v>0</v>
      </c>
      <c r="AU20" t="str">
        <f>IF('Data Checking'!BG20="","",'Data Checking'!BG20)</f>
        <v>0</v>
      </c>
      <c r="AV20" t="str">
        <f>IF('Data Checking'!BH20="","",'Data Checking'!BH20)</f>
        <v>0</v>
      </c>
      <c r="AW20" t="str">
        <f>IF('Data Checking'!BI20="","",'Data Checking'!BI20)</f>
        <v/>
      </c>
      <c r="AX20" t="str">
        <f>IF('Data Checking'!BJ20="","",'Data Checking'!BJ20)</f>
        <v>Bebes/Bambins Enfants Filles Femmes Femmes_agees</v>
      </c>
      <c r="AY20" t="str">
        <f>IF('Data Checking'!BK20="","",'Data Checking'!BK20)</f>
        <v>1</v>
      </c>
      <c r="AZ20" t="str">
        <f>IF('Data Checking'!BL20="","",'Data Checking'!BL20)</f>
        <v>1</v>
      </c>
      <c r="BA20" t="str">
        <f>IF('Data Checking'!BM20="","",'Data Checking'!BM20)</f>
        <v>1</v>
      </c>
      <c r="BB20" t="str">
        <f>IF('Data Checking'!BN20="","",'Data Checking'!BN20)</f>
        <v>0</v>
      </c>
      <c r="BC20" t="str">
        <f>IF('Data Checking'!BO20="","",'Data Checking'!BO20)</f>
        <v>1</v>
      </c>
      <c r="BD20" t="str">
        <f>IF('Data Checking'!BP20="","",'Data Checking'!BP20)</f>
        <v>0</v>
      </c>
      <c r="BE20" t="str">
        <f>IF('Data Checking'!BQ20="","",'Data Checking'!BQ20)</f>
        <v>1</v>
      </c>
      <c r="BF20" t="str">
        <f>IF('Data Checking'!BR20="","",'Data Checking'!BR20)</f>
        <v>0</v>
      </c>
      <c r="BG20" t="str">
        <f>IF('Data Checking'!BS20="","",'Data Checking'!BS20)</f>
        <v>0</v>
      </c>
      <c r="BH20" t="str">
        <f>IF('Data Checking'!BT20="","",'Data Checking'!BT20)</f>
        <v>0</v>
      </c>
      <c r="BI20" t="str">
        <f>IF('Data Checking'!BU20="","",'Data Checking'!BU20)</f>
        <v>0</v>
      </c>
      <c r="BJ20" t="str">
        <f>IF('Data Checking'!BV20="","",'Data Checking'!BV20)</f>
        <v>0</v>
      </c>
      <c r="BK20" t="str">
        <f>IF('Data Checking'!BW20="","",'Data Checking'!BW20)</f>
        <v>0</v>
      </c>
      <c r="BL20" t="str">
        <f>IF('Data Checking'!BX20="","",'Data Checking'!BX20)</f>
        <v>0</v>
      </c>
      <c r="BM20" t="str">
        <f>IF('Data Checking'!BY20="","",'Data Checking'!BY20)</f>
        <v/>
      </c>
      <c r="BN20" t="str">
        <f>IF('Data Checking'!BZ20="","",'Data Checking'!BZ20)</f>
        <v>3</v>
      </c>
      <c r="BO20" t="str">
        <f>IF('Data Checking'!CA20="","",'Data Checking'!CA20)</f>
        <v>augmente</v>
      </c>
      <c r="BP20" t="str">
        <f>IF('Data Checking'!CB20="","",'Data Checking'!CB20)</f>
        <v/>
      </c>
      <c r="BQ20" t="str">
        <f>IF('Data Checking'!CC20="","",'Data Checking'!CC20)</f>
        <v>oui</v>
      </c>
      <c r="BR20" t="str">
        <f>IF('Data Checking'!CD20="","",'Data Checking'!CD20)</f>
        <v>agression_physique agression_psychologique travail_force exploitations_enfant menace</v>
      </c>
      <c r="BS20" t="str">
        <f>IF('Data Checking'!CE20="","",'Data Checking'!CE20)</f>
        <v>0</v>
      </c>
      <c r="BT20" t="str">
        <f>IF('Data Checking'!CF20="","",'Data Checking'!CF20)</f>
        <v>0</v>
      </c>
      <c r="BU20" t="str">
        <f>IF('Data Checking'!CG20="","",'Data Checking'!CG20)</f>
        <v>1</v>
      </c>
      <c r="BV20" t="str">
        <f>IF('Data Checking'!CH20="","",'Data Checking'!CH20)</f>
        <v>0</v>
      </c>
      <c r="BW20" t="str">
        <f>IF('Data Checking'!CI20="","",'Data Checking'!CI20)</f>
        <v>1</v>
      </c>
      <c r="BX20" t="str">
        <f>IF('Data Checking'!CJ20="","",'Data Checking'!CJ20)</f>
        <v>0</v>
      </c>
      <c r="BY20" t="str">
        <f>IF('Data Checking'!CK20="","",'Data Checking'!CK20)</f>
        <v>1</v>
      </c>
      <c r="BZ20" t="str">
        <f>IF('Data Checking'!CL20="","",'Data Checking'!CL20)</f>
        <v>0</v>
      </c>
      <c r="CA20" t="str">
        <f>IF('Data Checking'!CM20="","",'Data Checking'!CM20)</f>
        <v>1</v>
      </c>
      <c r="CB20" t="str">
        <f>IF('Data Checking'!CN20="","",'Data Checking'!CN20)</f>
        <v>0</v>
      </c>
      <c r="CC20" t="str">
        <f>IF('Data Checking'!CO20="","",'Data Checking'!CO20)</f>
        <v>1</v>
      </c>
      <c r="CD20" t="str">
        <f>IF('Data Checking'!CP20="","",'Data Checking'!CP20)</f>
        <v>0</v>
      </c>
      <c r="CE20" t="str">
        <f>IF('Data Checking'!CQ20="","",'Data Checking'!CQ20)</f>
        <v>0</v>
      </c>
      <c r="CF20" t="str">
        <f>IF('Data Checking'!CR20="","",'Data Checking'!CR20)</f>
        <v>0</v>
      </c>
      <c r="CG20" t="str">
        <f>IF('Data Checking'!CS20="","",'Data Checking'!CS20)</f>
        <v>0</v>
      </c>
      <c r="CH20" t="str">
        <f>IF('Data Checking'!CT20="","",'Data Checking'!CT20)</f>
        <v/>
      </c>
      <c r="CI20" t="str">
        <f>IF('Data Checking'!CU20="","",'Data Checking'!CU20)</f>
        <v>Bebes/Bambins Enfants Filles Garçons Femmes</v>
      </c>
      <c r="CJ20" t="str">
        <f>IF('Data Checking'!CV20="","",'Data Checking'!CV20)</f>
        <v>1</v>
      </c>
      <c r="CK20" t="str">
        <f>IF('Data Checking'!CW20="","",'Data Checking'!CW20)</f>
        <v>1</v>
      </c>
      <c r="CL20" t="str">
        <f>IF('Data Checking'!CX20="","",'Data Checking'!CX20)</f>
        <v>1</v>
      </c>
      <c r="CM20" t="str">
        <f>IF('Data Checking'!CY20="","",'Data Checking'!CY20)</f>
        <v>1</v>
      </c>
      <c r="CN20" t="str">
        <f>IF('Data Checking'!CZ20="","",'Data Checking'!CZ20)</f>
        <v>1</v>
      </c>
      <c r="CO20" t="str">
        <f>IF('Data Checking'!DA20="","",'Data Checking'!DA20)</f>
        <v>0</v>
      </c>
      <c r="CP20" t="str">
        <f>IF('Data Checking'!DB20="","",'Data Checking'!DB20)</f>
        <v>0</v>
      </c>
      <c r="CQ20" t="str">
        <f>IF('Data Checking'!DC20="","",'Data Checking'!DC20)</f>
        <v>0</v>
      </c>
      <c r="CR20" t="str">
        <f>IF('Data Checking'!DD20="","",'Data Checking'!DD20)</f>
        <v>0</v>
      </c>
      <c r="CS20" t="str">
        <f>IF('Data Checking'!DE20="","",'Data Checking'!DE20)</f>
        <v>0</v>
      </c>
      <c r="CT20" t="str">
        <f>IF('Data Checking'!DF20="","",'Data Checking'!DF20)</f>
        <v>0</v>
      </c>
      <c r="CU20" t="str">
        <f>IF('Data Checking'!DG20="","",'Data Checking'!DG20)</f>
        <v>0</v>
      </c>
      <c r="CV20" t="str">
        <f>IF('Data Checking'!DH20="","",'Data Checking'!DH20)</f>
        <v>0</v>
      </c>
      <c r="CW20" t="str">
        <f>IF('Data Checking'!DI20="","",'Data Checking'!DI20)</f>
        <v>0</v>
      </c>
      <c r="CX20" t="str">
        <f>IF('Data Checking'!DJ20="","",'Data Checking'!DJ20)</f>
        <v/>
      </c>
      <c r="CY20" t="str">
        <f>IF('Data Checking'!DK20="","",'Data Checking'!DK20)</f>
        <v>3</v>
      </c>
      <c r="CZ20" t="str">
        <f>IF('Data Checking'!DL20="","",'Data Checking'!DL20)</f>
        <v>augmente</v>
      </c>
      <c r="DA20" t="str">
        <f>IF('Data Checking'!DM20="","",'Data Checking'!DM20)</f>
        <v/>
      </c>
      <c r="DB20" t="str">
        <f>IF('Data Checking'!DN20="","",'Data Checking'!DN20)</f>
        <v>deterioration_con_abris deterioration_acces_service_base diminution_moyens_existence</v>
      </c>
      <c r="DC20" t="str">
        <f>IF('Data Checking'!DO20="","",'Data Checking'!DO20)</f>
        <v>1</v>
      </c>
      <c r="DD20" t="str">
        <f>IF('Data Checking'!DP20="","",'Data Checking'!DP20)</f>
        <v>1</v>
      </c>
      <c r="DE20" t="str">
        <f>IF('Data Checking'!DQ20="","",'Data Checking'!DQ20)</f>
        <v>1</v>
      </c>
      <c r="DF20" t="str">
        <f>IF('Data Checking'!DR20="","",'Data Checking'!DR20)</f>
        <v>0</v>
      </c>
      <c r="DG20" t="str">
        <f>IF('Data Checking'!DS20="","",'Data Checking'!DS20)</f>
        <v>0</v>
      </c>
      <c r="DH20" t="str">
        <f>IF('Data Checking'!DT20="","",'Data Checking'!DT20)</f>
        <v>0</v>
      </c>
      <c r="DI20" t="str">
        <f>IF('Data Checking'!DU20="","",'Data Checking'!DU20)</f>
        <v>0</v>
      </c>
      <c r="DJ20" t="str">
        <f>IF('Data Checking'!DV20="","",'Data Checking'!DV20)</f>
        <v>0</v>
      </c>
      <c r="DK20" t="str">
        <f>IF('Data Checking'!DW20="","",'Data Checking'!DW20)</f>
        <v>0</v>
      </c>
      <c r="DL20" t="str">
        <f>IF('Data Checking'!DX20="","",'Data Checking'!DX20)</f>
        <v>0</v>
      </c>
      <c r="DM20" t="str">
        <f>IF('Data Checking'!DY20="","",'Data Checking'!DY20)</f>
        <v/>
      </c>
      <c r="DN20" t="str">
        <f>IF('Data Checking'!DZ20="","",'Data Checking'!DZ20)</f>
        <v/>
      </c>
      <c r="DO20" t="str">
        <f>IF('Data Checking'!EA20="","",'Data Checking'!EA20)</f>
        <v/>
      </c>
      <c r="DP20" t="str">
        <f>IF('Data Checking'!EB20="","",'Data Checking'!EB20)</f>
        <v/>
      </c>
      <c r="DQ20" t="str">
        <f>IF('Data Checking'!EC20="","",'Data Checking'!EC20)</f>
        <v/>
      </c>
      <c r="DR20" t="str">
        <f>IF('Data Checking'!ED20="","",'Data Checking'!ED20)</f>
        <v/>
      </c>
      <c r="DS20" t="str">
        <f>IF('Data Checking'!EE20="","",'Data Checking'!EE20)</f>
        <v/>
      </c>
      <c r="DT20" t="str">
        <f>IF('Data Checking'!EF20="","",'Data Checking'!EF20)</f>
        <v/>
      </c>
      <c r="DU20" t="str">
        <f>IF('Data Checking'!EG20="","",'Data Checking'!EG20)</f>
        <v/>
      </c>
      <c r="DV20" t="str">
        <f>IF('Data Checking'!EH20="","",'Data Checking'!EH20)</f>
        <v/>
      </c>
      <c r="DW20" t="str">
        <f>IF('Data Checking'!EI20="","",'Data Checking'!EI20)</f>
        <v/>
      </c>
      <c r="DX20" t="str">
        <f>IF('Data Checking'!EJ20="","",'Data Checking'!EJ20)</f>
        <v/>
      </c>
      <c r="DY20" t="str">
        <f>IF('Data Checking'!EK20="","",'Data Checking'!EK20)</f>
        <v/>
      </c>
      <c r="DZ20" t="str">
        <f>IF('Data Checking'!EL20="","",'Data Checking'!EL20)</f>
        <v>dplct_abords_com Integration_com_hote Soutien_famille_amis</v>
      </c>
      <c r="EA20" t="str">
        <f>IF('Data Checking'!EM20="","",'Data Checking'!EM20)</f>
        <v>1</v>
      </c>
      <c r="EB20" t="str">
        <f>IF('Data Checking'!EN20="","",'Data Checking'!EN20)</f>
        <v>1</v>
      </c>
      <c r="EC20" t="str">
        <f>IF('Data Checking'!EO20="","",'Data Checking'!EO20)</f>
        <v>1</v>
      </c>
      <c r="ED20" t="str">
        <f>IF('Data Checking'!EP20="","",'Data Checking'!EP20)</f>
        <v>0</v>
      </c>
      <c r="EE20" t="str">
        <f>IF('Data Checking'!EQ20="","",'Data Checking'!EQ20)</f>
        <v>0</v>
      </c>
      <c r="EF20" t="str">
        <f>IF('Data Checking'!ER20="","",'Data Checking'!ER20)</f>
        <v>0</v>
      </c>
      <c r="EG20" t="str">
        <f>IF('Data Checking'!ES20="","",'Data Checking'!ES20)</f>
        <v>0</v>
      </c>
      <c r="EH20" t="str">
        <f>IF('Data Checking'!ET20="","",'Data Checking'!ET20)</f>
        <v>0</v>
      </c>
      <c r="EI20" t="str">
        <f>IF('Data Checking'!EU20="","",'Data Checking'!EU20)</f>
        <v>0</v>
      </c>
      <c r="EJ20" t="str">
        <f>IF('Data Checking'!EV20="","",'Data Checking'!EV20)</f>
        <v/>
      </c>
      <c r="EK20" t="str">
        <f>IF('Data Checking'!EW20="","",'Data Checking'!EW20)</f>
        <v/>
      </c>
      <c r="EL20" t="str">
        <f>IF('Data Checking'!EX20="","",'Data Checking'!EX20)</f>
        <v>comite_protection famille_accueil comite_gestion_conflits comite_redevabilite</v>
      </c>
      <c r="EM20" t="str">
        <f>IF('Data Checking'!EY20="","",'Data Checking'!EY20)</f>
        <v>0</v>
      </c>
      <c r="EN20" t="str">
        <f>IF('Data Checking'!EZ20="","",'Data Checking'!EZ20)</f>
        <v>1</v>
      </c>
      <c r="EO20" t="str">
        <f>IF('Data Checking'!FA20="","",'Data Checking'!FA20)</f>
        <v>1</v>
      </c>
      <c r="EP20" t="str">
        <f>IF('Data Checking'!FB20="","",'Data Checking'!FB20)</f>
        <v>0</v>
      </c>
      <c r="EQ20" t="str">
        <f>IF('Data Checking'!FC20="","",'Data Checking'!FC20)</f>
        <v>1</v>
      </c>
      <c r="ER20" t="str">
        <f>IF('Data Checking'!FD20="","",'Data Checking'!FD20)</f>
        <v>1</v>
      </c>
      <c r="ES20" t="str">
        <f>IF('Data Checking'!FE20="","",'Data Checking'!FE20)</f>
        <v>0</v>
      </c>
      <c r="ET20" t="str">
        <f>IF('Data Checking'!FF20="","",'Data Checking'!FF20)</f>
        <v>0</v>
      </c>
      <c r="EU20" t="str">
        <f>IF('Data Checking'!FG20="","",'Data Checking'!FG20)</f>
        <v>0</v>
      </c>
      <c r="EV20" t="str">
        <f>IF('Data Checking'!FH20="","",'Data Checking'!FH20)</f>
        <v>0</v>
      </c>
      <c r="EW20" t="str">
        <f>IF('Data Checking'!FI20="","",'Data Checking'!FI20)</f>
        <v/>
      </c>
      <c r="EX20" t="str">
        <f>IF('Data Checking'!FJ20="","",'Data Checking'!FJ20)</f>
        <v>oui</v>
      </c>
      <c r="EY20" t="str">
        <f>IF('Data Checking'!FK20="","",'Data Checking'!FK20)</f>
        <v>manif_sociales Leaders_religieux Groupement_femmes Differents_comites_villageois famille_amis</v>
      </c>
      <c r="EZ20" t="str">
        <f>IF('Data Checking'!FL20="","",'Data Checking'!FL20)</f>
        <v>0</v>
      </c>
      <c r="FA20" t="str">
        <f>IF('Data Checking'!FM20="","",'Data Checking'!FM20)</f>
        <v>0</v>
      </c>
      <c r="FB20" t="str">
        <f>IF('Data Checking'!FN20="","",'Data Checking'!FN20)</f>
        <v>0</v>
      </c>
      <c r="FC20" t="str">
        <f>IF('Data Checking'!FO20="","",'Data Checking'!FO20)</f>
        <v>1</v>
      </c>
      <c r="FD20" t="str">
        <f>IF('Data Checking'!FP20="","",'Data Checking'!FP20)</f>
        <v>0</v>
      </c>
      <c r="FE20" t="str">
        <f>IF('Data Checking'!FQ20="","",'Data Checking'!FQ20)</f>
        <v>1</v>
      </c>
      <c r="FF20" t="str">
        <f>IF('Data Checking'!FR20="","",'Data Checking'!FR20)</f>
        <v>1</v>
      </c>
      <c r="FG20" t="str">
        <f>IF('Data Checking'!FS20="","",'Data Checking'!FS20)</f>
        <v>1</v>
      </c>
      <c r="FH20" t="str">
        <f>IF('Data Checking'!FT20="","",'Data Checking'!FT20)</f>
        <v>1</v>
      </c>
      <c r="FI20" t="str">
        <f>IF('Data Checking'!FU20="","",'Data Checking'!FU20)</f>
        <v>0</v>
      </c>
      <c r="FJ20" t="str">
        <f>IF('Data Checking'!FV20="","",'Data Checking'!FV20)</f>
        <v>0</v>
      </c>
      <c r="FK20" t="str">
        <f>IF('Data Checking'!FW20="","",'Data Checking'!FW20)</f>
        <v>0</v>
      </c>
      <c r="FL20" t="str">
        <f>IF('Data Checking'!FX20="","",'Data Checking'!FX20)</f>
        <v>0</v>
      </c>
      <c r="FM20" t="str">
        <f>IF('Data Checking'!FY20="","",'Data Checking'!FY20)</f>
        <v>0</v>
      </c>
      <c r="FN20" t="str">
        <f>IF('Data Checking'!FZ20="","",'Data Checking'!FZ20)</f>
        <v/>
      </c>
      <c r="FO20" t="str">
        <f>IF('Data Checking'!GA20="","",'Data Checking'!GA20)</f>
        <v>oui_minorite</v>
      </c>
      <c r="FP20" t="str">
        <f>IF('Data Checking'!GB20="","",'Data Checking'!GB20)</f>
        <v>oui_minorite</v>
      </c>
      <c r="FQ20" t="str">
        <f>IF('Data Checking'!GC20="","",'Data Checking'!GC20)</f>
        <v>manque_info discrimination non_utilisation</v>
      </c>
      <c r="FR20" t="str">
        <f>IF('Data Checking'!GD20="","",'Data Checking'!GD20)</f>
        <v>0</v>
      </c>
      <c r="FS20" t="str">
        <f>IF('Data Checking'!GE20="","",'Data Checking'!GE20)</f>
        <v>1</v>
      </c>
      <c r="FT20" t="str">
        <f>IF('Data Checking'!GF20="","",'Data Checking'!GF20)</f>
        <v>1</v>
      </c>
      <c r="FU20" t="str">
        <f>IF('Data Checking'!GG20="","",'Data Checking'!GG20)</f>
        <v>1</v>
      </c>
      <c r="FV20" t="str">
        <f>IF('Data Checking'!GH20="","",'Data Checking'!GH20)</f>
        <v>0</v>
      </c>
      <c r="FW20" t="str">
        <f>IF('Data Checking'!GI20="","",'Data Checking'!GI20)</f>
        <v>0</v>
      </c>
      <c r="FX20" t="str">
        <f>IF('Data Checking'!GJ20="","",'Data Checking'!GJ20)</f>
        <v>0</v>
      </c>
      <c r="FY20" t="str">
        <f>IF('Data Checking'!GK20="","",'Data Checking'!GK20)</f>
        <v>0</v>
      </c>
      <c r="FZ20" t="str">
        <f>IF('Data Checking'!GL20="","",'Data Checking'!GL20)</f>
        <v/>
      </c>
      <c r="GA20" t="str">
        <f>IF('Data Checking'!GM20="","",'Data Checking'!GM20)</f>
        <v>minorite</v>
      </c>
      <c r="GB20" t="str">
        <f>IF('Data Checking'!GN20="","",'Data Checking'!GN20)</f>
        <v>minorite</v>
      </c>
      <c r="GC20" t="str">
        <f>IF('Data Checking'!GO20="","",'Data Checking'!GO20)</f>
        <v>Education Service_de_counseling Services_de_sante Appui_psychosocial</v>
      </c>
      <c r="GD20" t="str">
        <f>IF('Data Checking'!GP20="","",'Data Checking'!GP20)</f>
        <v>1</v>
      </c>
      <c r="GE20" t="str">
        <f>IF('Data Checking'!GQ20="","",'Data Checking'!GQ20)</f>
        <v>1</v>
      </c>
      <c r="GF20" t="str">
        <f>IF('Data Checking'!GR20="","",'Data Checking'!GR20)</f>
        <v>1</v>
      </c>
      <c r="GG20" t="str">
        <f>IF('Data Checking'!GS20="","",'Data Checking'!GS20)</f>
        <v>1</v>
      </c>
      <c r="GH20" t="str">
        <f>IF('Data Checking'!GT20="","",'Data Checking'!GT20)</f>
        <v>0</v>
      </c>
      <c r="GI20" t="str">
        <f>IF('Data Checking'!GU20="","",'Data Checking'!GU20)</f>
        <v>0</v>
      </c>
      <c r="GJ20" t="str">
        <f>IF('Data Checking'!GV20="","",'Data Checking'!GV20)</f>
        <v>0</v>
      </c>
      <c r="GK20" t="str">
        <f>IF('Data Checking'!GW20="","",'Data Checking'!GW20)</f>
        <v>0</v>
      </c>
      <c r="GL20" t="str">
        <f>IF('Data Checking'!GX20="","",'Data Checking'!GX20)</f>
        <v>0</v>
      </c>
      <c r="GM20" t="str">
        <f>IF('Data Checking'!GY20="","",'Data Checking'!GY20)</f>
        <v/>
      </c>
      <c r="GN20" t="str">
        <f>IF('Data Checking'!GZ20="","",'Data Checking'!GZ20)</f>
        <v>oui_minorite</v>
      </c>
      <c r="GO20" t="str">
        <f>IF('Data Checking'!HA20="","",'Data Checking'!HA20)</f>
        <v>oui_minorite</v>
      </c>
      <c r="GP20" t="str">
        <f>IF('Data Checking'!HB20="","",'Data Checking'!HB20)</f>
        <v>repond_besoins_pop permet_obtenir_conseils permet_eviter_conflits</v>
      </c>
      <c r="GQ20" t="str">
        <f>IF('Data Checking'!HC20="","",'Data Checking'!HC20)</f>
        <v>0</v>
      </c>
      <c r="GR20" t="str">
        <f>IF('Data Checking'!HD20="","",'Data Checking'!HD20)</f>
        <v>1</v>
      </c>
      <c r="GS20" t="str">
        <f>IF('Data Checking'!HE20="","",'Data Checking'!HE20)</f>
        <v>1</v>
      </c>
      <c r="GT20" t="str">
        <f>IF('Data Checking'!HF20="","",'Data Checking'!HF20)</f>
        <v>1</v>
      </c>
      <c r="GU20" t="str">
        <f>IF('Data Checking'!HG20="","",'Data Checking'!HG20)</f>
        <v>0</v>
      </c>
      <c r="GV20" t="str">
        <f>IF('Data Checking'!HH20="","",'Data Checking'!HH20)</f>
        <v>0</v>
      </c>
      <c r="GW20" t="str">
        <f>IF('Data Checking'!HI20="","",'Data Checking'!HI20)</f>
        <v>0</v>
      </c>
      <c r="GX20" t="str">
        <f>IF('Data Checking'!HJ20="","",'Data Checking'!HJ20)</f>
        <v>0</v>
      </c>
      <c r="GY20" t="str">
        <f>IF('Data Checking'!HK20="","",'Data Checking'!HK20)</f>
        <v/>
      </c>
      <c r="GZ20" t="str">
        <f>IF('Data Checking'!HL20="","",'Data Checking'!HL20)</f>
        <v>ne_repond_pas non_obtention_info ne_contribue_pas</v>
      </c>
      <c r="HA20" t="str">
        <f>IF('Data Checking'!HM20="","",'Data Checking'!HM20)</f>
        <v>1</v>
      </c>
      <c r="HB20" t="str">
        <f>IF('Data Checking'!HN20="","",'Data Checking'!HN20)</f>
        <v>1</v>
      </c>
      <c r="HC20" t="str">
        <f>IF('Data Checking'!HO20="","",'Data Checking'!HO20)</f>
        <v>1</v>
      </c>
      <c r="HD20" t="str">
        <f>IF('Data Checking'!HP20="","",'Data Checking'!HP20)</f>
        <v>0</v>
      </c>
      <c r="HE20" t="str">
        <f>IF('Data Checking'!HQ20="","",'Data Checking'!HQ20)</f>
        <v>0</v>
      </c>
      <c r="HF20" t="str">
        <f>IF('Data Checking'!HR20="","",'Data Checking'!HR20)</f>
        <v>0</v>
      </c>
      <c r="HG20" t="str">
        <f>IF('Data Checking'!HS20="","",'Data Checking'!HS20)</f>
        <v/>
      </c>
      <c r="HH20" t="str">
        <f>IF('Data Checking'!HT20="","",'Data Checking'!HT20)</f>
        <v/>
      </c>
      <c r="HI20" t="str">
        <f>IF('Data Checking'!HU20="","",'Data Checking'!HU20)</f>
        <v>non</v>
      </c>
      <c r="HJ20" t="str">
        <f>IF('Data Checking'!HV20="","",'Data Checking'!HV20)</f>
        <v/>
      </c>
      <c r="HK20" t="str">
        <f>IF('Data Checking'!HW20="","",'Data Checking'!HW20)</f>
        <v/>
      </c>
      <c r="HL20" t="str">
        <f>IF('Data Checking'!HX20="","",'Data Checking'!HX20)</f>
        <v/>
      </c>
      <c r="HM20" t="str">
        <f>IF('Data Checking'!HY20="","",'Data Checking'!HY20)</f>
        <v/>
      </c>
      <c r="HN20" t="str">
        <f>IF('Data Checking'!HZ20="","",'Data Checking'!HZ20)</f>
        <v/>
      </c>
      <c r="HO20" t="str">
        <f>IF('Data Checking'!IA20="","",'Data Checking'!IA20)</f>
        <v/>
      </c>
      <c r="HP20" t="str">
        <f>IF('Data Checking'!IB20="","",'Data Checking'!IB20)</f>
        <v/>
      </c>
      <c r="HQ20" t="str">
        <f>IF('Data Checking'!IC20="","",'Data Checking'!IC20)</f>
        <v/>
      </c>
      <c r="HR20" t="str">
        <f>IF('Data Checking'!ID20="","",'Data Checking'!ID20)</f>
        <v/>
      </c>
      <c r="HS20" t="str">
        <f>IF('Data Checking'!IE20="","",'Data Checking'!IE20)</f>
        <v/>
      </c>
      <c r="HT20" t="str">
        <f>IF('Data Checking'!IF20="","",'Data Checking'!IF20)</f>
        <v/>
      </c>
      <c r="HU20" t="str">
        <f>IF('Data Checking'!IG20="","",'Data Checking'!IG20)</f>
        <v/>
      </c>
      <c r="HV20" t="str">
        <f>IF('Data Checking'!IH20="","",'Data Checking'!IH20)</f>
        <v>oui</v>
      </c>
      <c r="HW20" t="str">
        <f>IF('Data Checking'!II20="","",'Data Checking'!II20)</f>
        <v/>
      </c>
      <c r="HX20" t="str">
        <f>IF('Data Checking'!IJ20="","",'Data Checking'!IJ20)</f>
        <v>Bebes/Bambins Enfants Filles Garçons Femmes</v>
      </c>
      <c r="HY20" t="str">
        <f>IF('Data Checking'!IK20="","",'Data Checking'!IK20)</f>
        <v>1</v>
      </c>
      <c r="HZ20" t="str">
        <f>IF('Data Checking'!IL20="","",'Data Checking'!IL20)</f>
        <v>1</v>
      </c>
      <c r="IA20" t="str">
        <f>IF('Data Checking'!IM20="","",'Data Checking'!IM20)</f>
        <v>1</v>
      </c>
      <c r="IB20" t="str">
        <f>IF('Data Checking'!IN20="","",'Data Checking'!IN20)</f>
        <v>1</v>
      </c>
      <c r="IC20" t="str">
        <f>IF('Data Checking'!IO20="","",'Data Checking'!IO20)</f>
        <v>1</v>
      </c>
      <c r="ID20" t="str">
        <f>IF('Data Checking'!IP20="","",'Data Checking'!IP20)</f>
        <v>0</v>
      </c>
      <c r="IE20" t="str">
        <f>IF('Data Checking'!IQ20="","",'Data Checking'!IQ20)</f>
        <v>0</v>
      </c>
      <c r="IF20" t="str">
        <f>IF('Data Checking'!IR20="","",'Data Checking'!IR20)</f>
        <v>0</v>
      </c>
      <c r="IG20" t="str">
        <f>IF('Data Checking'!IS20="","",'Data Checking'!IS20)</f>
        <v>0</v>
      </c>
      <c r="IH20" t="str">
        <f>IF('Data Checking'!IT20="","",'Data Checking'!IT20)</f>
        <v>0</v>
      </c>
      <c r="II20" t="str">
        <f>IF('Data Checking'!IU20="","",'Data Checking'!IU20)</f>
        <v>0</v>
      </c>
      <c r="IJ20" t="str">
        <f>IF('Data Checking'!IV20="","",'Data Checking'!IV20)</f>
        <v>0</v>
      </c>
      <c r="IK20" t="str">
        <f>IF('Data Checking'!IW20="","",'Data Checking'!IW20)</f>
        <v>0</v>
      </c>
      <c r="IL20" t="str">
        <f>IF('Data Checking'!IX20="","",'Data Checking'!IX20)</f>
        <v>0</v>
      </c>
      <c r="IM20" t="str">
        <f>IF('Data Checking'!IY20="","",'Data Checking'!IY20)</f>
        <v/>
      </c>
      <c r="IN20" t="str">
        <f>IF('Data Checking'!IZ20="","",'Data Checking'!IZ20)</f>
        <v>7</v>
      </c>
      <c r="IO20" t="str">
        <f>IF('Data Checking'!JA20="","",'Data Checking'!JA20)</f>
        <v>Services_medicaux Services_educatifs Services_conseil points_ecoute</v>
      </c>
      <c r="IP20" t="str">
        <f>IF('Data Checking'!JB20="","",'Data Checking'!JB20)</f>
        <v>0</v>
      </c>
      <c r="IQ20" t="str">
        <f>IF('Data Checking'!JC20="","",'Data Checking'!JC20)</f>
        <v>1</v>
      </c>
      <c r="IR20" t="str">
        <f>IF('Data Checking'!JD20="","",'Data Checking'!JD20)</f>
        <v>1</v>
      </c>
      <c r="IS20" t="str">
        <f>IF('Data Checking'!JE20="","",'Data Checking'!JE20)</f>
        <v>1</v>
      </c>
      <c r="IT20" t="str">
        <f>IF('Data Checking'!JF20="","",'Data Checking'!JF20)</f>
        <v>0</v>
      </c>
      <c r="IU20" t="str">
        <f>IF('Data Checking'!JG20="","",'Data Checking'!JG20)</f>
        <v>0</v>
      </c>
      <c r="IV20" t="str">
        <f>IF('Data Checking'!JH20="","",'Data Checking'!JH20)</f>
        <v>0</v>
      </c>
      <c r="IW20" t="str">
        <f>IF('Data Checking'!JI20="","",'Data Checking'!JI20)</f>
        <v>1</v>
      </c>
      <c r="IX20" t="str">
        <f>IF('Data Checking'!JJ20="","",'Data Checking'!JJ20)</f>
        <v>0</v>
      </c>
      <c r="IY20" t="str">
        <f>IF('Data Checking'!JK20="","",'Data Checking'!JK20)</f>
        <v>0</v>
      </c>
      <c r="IZ20" t="str">
        <f>IF('Data Checking'!JL20="","",'Data Checking'!JL20)</f>
        <v/>
      </c>
      <c r="JA20" t="str">
        <f>IF('Data Checking'!JM20="","",'Data Checking'!JM20)</f>
        <v>prise_enchage reorientation signalement</v>
      </c>
      <c r="JB20" t="str">
        <f>IF('Data Checking'!JN20="","",'Data Checking'!JN20)</f>
        <v>1</v>
      </c>
      <c r="JC20" t="str">
        <f>IF('Data Checking'!JO20="","",'Data Checking'!JO20)</f>
        <v>1</v>
      </c>
      <c r="JD20" t="str">
        <f>IF('Data Checking'!JP20="","",'Data Checking'!JP20)</f>
        <v>1</v>
      </c>
      <c r="JE20" t="str">
        <f>IF('Data Checking'!JQ20="","",'Data Checking'!JQ20)</f>
        <v>0</v>
      </c>
      <c r="JF20" t="str">
        <f>IF('Data Checking'!JR20="","",'Data Checking'!JR20)</f>
        <v>0</v>
      </c>
      <c r="JG20" t="str">
        <f>IF('Data Checking'!JS20="","",'Data Checking'!JS20)</f>
        <v>0</v>
      </c>
      <c r="JH20" t="str">
        <f>IF('Data Checking'!JT20="","",'Data Checking'!JT20)</f>
        <v/>
      </c>
      <c r="JI20" t="str">
        <f>IF('Data Checking'!JU20="","",'Data Checking'!JU20)</f>
        <v>medical point_ecoute surete centre_formation reinsertion</v>
      </c>
      <c r="JJ20" t="str">
        <f>IF('Data Checking'!JV20="","",'Data Checking'!JV20)</f>
        <v>1</v>
      </c>
      <c r="JK20" t="str">
        <f>IF('Data Checking'!JW20="","",'Data Checking'!JW20)</f>
        <v>0</v>
      </c>
      <c r="JL20" t="str">
        <f>IF('Data Checking'!JX20="","",'Data Checking'!JX20)</f>
        <v>1</v>
      </c>
      <c r="JM20" t="str">
        <f>IF('Data Checking'!JY20="","",'Data Checking'!JY20)</f>
        <v>0</v>
      </c>
      <c r="JN20" t="str">
        <f>IF('Data Checking'!JZ20="","",'Data Checking'!JZ20)</f>
        <v>1</v>
      </c>
      <c r="JO20" t="str">
        <f>IF('Data Checking'!KA20="","",'Data Checking'!KA20)</f>
        <v>1</v>
      </c>
      <c r="JP20" t="str">
        <f>IF('Data Checking'!KB20="","",'Data Checking'!KB20)</f>
        <v>1</v>
      </c>
      <c r="JQ20" t="str">
        <f>IF('Data Checking'!KC20="","",'Data Checking'!KC20)</f>
        <v>0</v>
      </c>
      <c r="JR20" t="str">
        <f>IF('Data Checking'!KD20="","",'Data Checking'!KD20)</f>
        <v>0</v>
      </c>
      <c r="JS20" t="str">
        <f>IF('Data Checking'!KE20="","",'Data Checking'!KE20)</f>
        <v/>
      </c>
      <c r="JT20" t="str">
        <f>IF('Data Checking'!KF20="","",'Data Checking'!KF20)</f>
        <v>medical Psychosocia point_ecoute surete reinsertion</v>
      </c>
      <c r="JU20" t="str">
        <f>IF('Data Checking'!KG20="","",'Data Checking'!KG20)</f>
        <v>1</v>
      </c>
      <c r="JV20" t="str">
        <f>IF('Data Checking'!KH20="","",'Data Checking'!KH20)</f>
        <v>1</v>
      </c>
      <c r="JW20" t="str">
        <f>IF('Data Checking'!KI20="","",'Data Checking'!KI20)</f>
        <v>1</v>
      </c>
      <c r="JX20" t="str">
        <f>IF('Data Checking'!KJ20="","",'Data Checking'!KJ20)</f>
        <v>0</v>
      </c>
      <c r="JY20" t="str">
        <f>IF('Data Checking'!KK20="","",'Data Checking'!KK20)</f>
        <v>1</v>
      </c>
      <c r="JZ20" t="str">
        <f>IF('Data Checking'!KL20="","",'Data Checking'!KL20)</f>
        <v>1</v>
      </c>
      <c r="KA20" t="str">
        <f>IF('Data Checking'!KM20="","",'Data Checking'!KM20)</f>
        <v>0</v>
      </c>
      <c r="KB20" t="str">
        <f>IF('Data Checking'!KN20="","",'Data Checking'!KN20)</f>
        <v>0</v>
      </c>
      <c r="KC20" t="str">
        <f>IF('Data Checking'!KO20="","",'Data Checking'!KO20)</f>
        <v>0</v>
      </c>
      <c r="KD20" t="str">
        <f>IF('Data Checking'!KP20="","",'Data Checking'!KP20)</f>
        <v/>
      </c>
      <c r="KE20" t="str">
        <f>IF('Data Checking'!KQ20="","",'Data Checking'!KQ20)</f>
        <v/>
      </c>
      <c r="KF20" t="str">
        <f>IF('Data Checking'!KR20="","",'Data Checking'!KR20)</f>
        <v>oui</v>
      </c>
      <c r="KG20" t="str">
        <f>IF('Data Checking'!KS20="","",'Data Checking'!KS20)</f>
        <v>manque_moyens manque_d'information insecurite_zone probleme_orientation manque_personnes</v>
      </c>
      <c r="KH20" t="str">
        <f>IF('Data Checking'!KT20="","",'Data Checking'!KT20)</f>
        <v>1</v>
      </c>
      <c r="KI20" t="str">
        <f>IF('Data Checking'!KU20="","",'Data Checking'!KU20)</f>
        <v>1</v>
      </c>
      <c r="KJ20" t="str">
        <f>IF('Data Checking'!KV20="","",'Data Checking'!KV20)</f>
        <v>1</v>
      </c>
      <c r="KK20" t="str">
        <f>IF('Data Checking'!KW20="","",'Data Checking'!KW20)</f>
        <v>1</v>
      </c>
      <c r="KL20" t="str">
        <f>IF('Data Checking'!KX20="","",'Data Checking'!KX20)</f>
        <v>1</v>
      </c>
      <c r="KM20" t="str">
        <f>IF('Data Checking'!KY20="","",'Data Checking'!KY20)</f>
        <v>0</v>
      </c>
      <c r="KN20" t="str">
        <f>IF('Data Checking'!KZ20="","",'Data Checking'!KZ20)</f>
        <v>0</v>
      </c>
      <c r="KO20" t="str">
        <f>IF('Data Checking'!LA20="","",'Data Checking'!LA20)</f>
        <v>0</v>
      </c>
      <c r="KP20" t="str">
        <f>IF('Data Checking'!LB20="","",'Data Checking'!LB20)</f>
        <v>0</v>
      </c>
      <c r="KQ20" t="str">
        <f>IF('Data Checking'!LC20="","",'Data Checking'!LC20)</f>
        <v>0</v>
      </c>
      <c r="KR20" t="str">
        <f>IF('Data Checking'!LD20="","",'Data Checking'!LD20)</f>
        <v>0</v>
      </c>
      <c r="KS20" t="str">
        <f>IF('Data Checking'!LE20="","",'Data Checking'!LE20)</f>
        <v/>
      </c>
      <c r="KT20" t="str">
        <f>IF('Data Checking'!LF20="","",'Data Checking'!LF20)</f>
        <v>pb_logistiques pb_protection_donnee pb_secu</v>
      </c>
      <c r="KU20" t="str">
        <f>IF('Data Checking'!LG20="","",'Data Checking'!LG20)</f>
        <v>1</v>
      </c>
      <c r="KV20" t="str">
        <f>IF('Data Checking'!LH20="","",'Data Checking'!LH20)</f>
        <v>1</v>
      </c>
      <c r="KW20" t="str">
        <f>IF('Data Checking'!LI20="","",'Data Checking'!LI20)</f>
        <v>1</v>
      </c>
      <c r="KX20" t="str">
        <f>IF('Data Checking'!LJ20="","",'Data Checking'!LJ20)</f>
        <v>0</v>
      </c>
      <c r="KY20" t="str">
        <f>IF('Data Checking'!LK20="","",'Data Checking'!LK20)</f>
        <v>0</v>
      </c>
      <c r="KZ20" t="str">
        <f>IF('Data Checking'!LL20="","",'Data Checking'!LL20)</f>
        <v>0</v>
      </c>
      <c r="LA20" t="str">
        <f>IF('Data Checking'!LM20="","",'Data Checking'!LM20)</f>
        <v/>
      </c>
      <c r="LB20" t="str">
        <f>IF('Data Checking'!LN20="","",'Data Checking'!LN20)</f>
        <v>non</v>
      </c>
      <c r="LC20" t="str">
        <f>IF('Data Checking'!LO20="","",'Data Checking'!LO20)</f>
        <v/>
      </c>
      <c r="LD20" t="str">
        <f>IF('Data Checking'!LP20="","",'Data Checking'!LP20)</f>
        <v/>
      </c>
      <c r="LE20" t="str">
        <f>IF('Data Checking'!LQ20="","",'Data Checking'!LQ20)</f>
        <v/>
      </c>
      <c r="LF20" t="str">
        <f>IF('Data Checking'!LR20="","",'Data Checking'!LR20)</f>
        <v/>
      </c>
      <c r="LG20" t="str">
        <f>IF('Data Checking'!LS20="","",'Data Checking'!LS20)</f>
        <v/>
      </c>
      <c r="LH20" t="str">
        <f>IF('Data Checking'!LT20="","",'Data Checking'!LT20)</f>
        <v/>
      </c>
      <c r="LI20" t="str">
        <f>IF('Data Checking'!LU20="","",'Data Checking'!LU20)</f>
        <v/>
      </c>
      <c r="LJ20" t="str">
        <f>IF('Data Checking'!LV20="","",'Data Checking'!LV20)</f>
        <v/>
      </c>
      <c r="LK20" t="str">
        <f>IF('Data Checking'!LW20="","",'Data Checking'!LW20)</f>
        <v/>
      </c>
      <c r="LL20" t="str">
        <f>IF('Data Checking'!LX20="","",'Data Checking'!LX20)</f>
        <v/>
      </c>
      <c r="LM20" t="str">
        <f>IF('Data Checking'!LY20="","",'Data Checking'!LY20)</f>
        <v/>
      </c>
      <c r="LN20" t="str">
        <f>IF('Data Checking'!LZ20="","",'Data Checking'!LZ20)</f>
        <v/>
      </c>
      <c r="LO20" t="str">
        <f>IF('Data Checking'!MA20="","",'Data Checking'!MA20)</f>
        <v/>
      </c>
      <c r="LP20" t="str">
        <f>IF('Data Checking'!MB20="","",'Data Checking'!MB20)</f>
        <v>oui</v>
      </c>
      <c r="LQ20" t="str">
        <f>IF('Data Checking'!MC20="","",'Data Checking'!MC20)</f>
        <v/>
      </c>
      <c r="LR20" t="str">
        <f>IF('Data Checking'!MD20="","",'Data Checking'!MD20)</f>
        <v>Problème de nourriture et appui conseil</v>
      </c>
      <c r="LS20">
        <f>IF('Data Checking'!ME20="","",'Data Checking'!ME20)</f>
        <v>169351662</v>
      </c>
      <c r="LT20" t="str">
        <f>IF('Data Checking'!MF20="","",'Data Checking'!MF20)</f>
        <v>fcd0c38c-be4e-4ab1-ae99-c54b5563b42e</v>
      </c>
      <c r="LU20" t="str">
        <f>IF('Data Checking'!MG20="","",'Data Checking'!MG20)</f>
        <v>2021-04-02T19:02:03</v>
      </c>
      <c r="LV20" t="str">
        <f>IF('Data Checking'!MH20="","",'Data Checking'!MH20)</f>
        <v/>
      </c>
      <c r="LW20" t="str">
        <f>IF('Data Checking'!MI20="","",'Data Checking'!MI20)</f>
        <v>[]</v>
      </c>
      <c r="LX20" t="str">
        <f>IF('Data Checking'!MJ20="","",'Data Checking'!MJ20)</f>
        <v>submitted_via_web</v>
      </c>
      <c r="LY20" t="str">
        <f>IF('Data Checking'!MK20="","",'Data Checking'!MK20)</f>
        <v>reach_niger</v>
      </c>
      <c r="LZ20" t="str">
        <f>IF('Data Checking'!ML20="","",'Data Checking'!ML20)</f>
        <v/>
      </c>
      <c r="MA20">
        <f>IF('Data Checking'!MM20="","",'Data Checking'!MM20)</f>
        <v>28</v>
      </c>
    </row>
    <row r="21" spans="1:339" x14ac:dyDescent="0.3">
      <c r="A21" t="str">
        <f>IF('Data Checking'!D21="","",'Data Checking'!D21)</f>
        <v>2021-04-01T12:47:49.980+01:00</v>
      </c>
      <c r="B21" t="str">
        <f>IF('Data Checking'!E21="","",'Data Checking'!E21)</f>
        <v>2021-04-01T13:05:12.105+01:00</v>
      </c>
      <c r="C21" t="str">
        <f>IF('Data Checking'!M21="","",'Data Checking'!M21)</f>
        <v>2021-04-01</v>
      </c>
      <c r="D21" t="str">
        <f>IF('Data Checking'!N21="","",'Data Checking'!N21)</f>
        <v/>
      </c>
      <c r="E21" t="str">
        <f>IF('Data Checking'!O21="","",'Data Checking'!O21)</f>
        <v/>
      </c>
      <c r="F21" t="str">
        <f>IF('Data Checking'!R21="","",'Data Checking'!R21)</f>
        <v>Homme</v>
      </c>
      <c r="G21" t="str">
        <f>IF('Data Checking'!S21="","",'Data Checking'!S21)</f>
        <v>tera</v>
      </c>
      <c r="H21" t="str">
        <f>IF('Data Checking'!T21="","",'Data Checking'!T21)</f>
        <v>diagourou</v>
      </c>
      <c r="I21" t="str">
        <f>IF('Data Checking'!U21="","",'Data Checking'!U21)</f>
        <v>lilingou</v>
      </c>
      <c r="J21" t="str">
        <f>IF('Data Checking'!V21="","",'Data Checking'!V21)</f>
        <v/>
      </c>
      <c r="K21" t="str">
        <f>IF('Data Checking'!W21="","",'Data Checking'!W21)</f>
        <v/>
      </c>
      <c r="L21" t="str">
        <f>IF('Data Checking'!X21="","",'Data Checking'!X21)</f>
        <v/>
      </c>
      <c r="M21" t="str">
        <f>IF('Data Checking'!Y21="","",'Data Checking'!Y21)</f>
        <v/>
      </c>
      <c r="N21" t="str">
        <f>IF('Data Checking'!Z21="","",'Data Checking'!Z21)</f>
        <v/>
      </c>
      <c r="O21" t="str">
        <f>IF('Data Checking'!AA21="","",'Data Checking'!AA21)</f>
        <v/>
      </c>
      <c r="P21" t="str">
        <f>IF('Data Checking'!AB21="","",'Data Checking'!AB21)</f>
        <v/>
      </c>
      <c r="Q21" t="str">
        <f>IF('Data Checking'!AC21="","",'Data Checking'!AC21)</f>
        <v/>
      </c>
      <c r="R21" t="str">
        <f>IF('Data Checking'!AD21="","",'Data Checking'!AD21)</f>
        <v>Homme</v>
      </c>
      <c r="S21" t="str">
        <f>IF('Data Checking'!AE21="","",'Data Checking'!AE21)</f>
        <v>41</v>
      </c>
      <c r="T21" t="str">
        <f>IF('Data Checking'!AF21="","",'Data Checking'!AF21)</f>
        <v>Hote</v>
      </c>
      <c r="U21" t="str">
        <f>IF('Data Checking'!AG21="","",'Data Checking'!AG21)</f>
        <v/>
      </c>
      <c r="V21" t="str">
        <f>IF('Data Checking'!AH21="","",'Data Checking'!AH21)</f>
        <v/>
      </c>
      <c r="W21" t="str">
        <f>IF('Data Checking'!AI21="","",'Data Checking'!AI21)</f>
        <v/>
      </c>
      <c r="X21" t="str">
        <f>IF('Data Checking'!AJ21="","",'Data Checking'!AJ21)</f>
        <v/>
      </c>
      <c r="Y21" t="str">
        <f>IF('Data Checking'!AK21="","",'Data Checking'!AK21)</f>
        <v/>
      </c>
      <c r="Z21" t="str">
        <f>IF('Data Checking'!AL21="","",'Data Checking'!AL21)</f>
        <v/>
      </c>
      <c r="AA21" t="str">
        <f>IF('Data Checking'!AM21="","",'Data Checking'!AM21)</f>
        <v/>
      </c>
      <c r="AB21" t="str">
        <f>IF('Data Checking'!AN21="","",'Data Checking'!AN21)</f>
        <v/>
      </c>
      <c r="AC21" t="str">
        <f>IF('Data Checking'!AO21="","",'Data Checking'!AO21)</f>
        <v/>
      </c>
      <c r="AD21" t="str">
        <f>IF('Data Checking'!AP21="","",'Data Checking'!AP21)</f>
        <v/>
      </c>
      <c r="AE21" t="str">
        <f>IF('Data Checking'!AQ21="","",'Data Checking'!AQ21)</f>
        <v/>
      </c>
      <c r="AF21" t="str">
        <f>IF('Data Checking'!AR21="","",'Data Checking'!AR21)</f>
        <v/>
      </c>
      <c r="AG21" t="str">
        <f>IF('Data Checking'!AS21="","",'Data Checking'!AS21)</f>
        <v>oui</v>
      </c>
      <c r="AH21" t="str">
        <f>IF('Data Checking'!AT21="","",'Data Checking'!AT21)</f>
        <v>extorsions Vols_braquages Combat_groupes_armes Violences_physique_civils Attaques_ecoles_sante</v>
      </c>
      <c r="AI21" t="str">
        <f>IF('Data Checking'!AU21="","",'Data Checking'!AU21)</f>
        <v>1</v>
      </c>
      <c r="AJ21" t="str">
        <f>IF('Data Checking'!AV21="","",'Data Checking'!AV21)</f>
        <v>0</v>
      </c>
      <c r="AK21" t="str">
        <f>IF('Data Checking'!AW21="","",'Data Checking'!AW21)</f>
        <v>1</v>
      </c>
      <c r="AL21" t="str">
        <f>IF('Data Checking'!AX21="","",'Data Checking'!AX21)</f>
        <v>1</v>
      </c>
      <c r="AM21" t="str">
        <f>IF('Data Checking'!AY21="","",'Data Checking'!AY21)</f>
        <v>1</v>
      </c>
      <c r="AN21" t="str">
        <f>IF('Data Checking'!AZ21="","",'Data Checking'!AZ21)</f>
        <v>0</v>
      </c>
      <c r="AO21" t="str">
        <f>IF('Data Checking'!BA21="","",'Data Checking'!BA21)</f>
        <v>0</v>
      </c>
      <c r="AP21" t="str">
        <f>IF('Data Checking'!BB21="","",'Data Checking'!BB21)</f>
        <v>1</v>
      </c>
      <c r="AQ21" t="str">
        <f>IF('Data Checking'!BC21="","",'Data Checking'!BC21)</f>
        <v>0</v>
      </c>
      <c r="AR21" t="str">
        <f>IF('Data Checking'!BD21="","",'Data Checking'!BD21)</f>
        <v>0</v>
      </c>
      <c r="AS21" t="str">
        <f>IF('Data Checking'!BE21="","",'Data Checking'!BE21)</f>
        <v>0</v>
      </c>
      <c r="AT21" t="str">
        <f>IF('Data Checking'!BF21="","",'Data Checking'!BF21)</f>
        <v>0</v>
      </c>
      <c r="AU21" t="str">
        <f>IF('Data Checking'!BG21="","",'Data Checking'!BG21)</f>
        <v>0</v>
      </c>
      <c r="AV21" t="str">
        <f>IF('Data Checking'!BH21="","",'Data Checking'!BH21)</f>
        <v>0</v>
      </c>
      <c r="AW21" t="str">
        <f>IF('Data Checking'!BI21="","",'Data Checking'!BI21)</f>
        <v/>
      </c>
      <c r="AX21" t="str">
        <f>IF('Data Checking'!BJ21="","",'Data Checking'!BJ21)</f>
        <v>Bebes/Bambins Enfants Filles Femmes_agees Hommes_ages</v>
      </c>
      <c r="AY21" t="str">
        <f>IF('Data Checking'!BK21="","",'Data Checking'!BK21)</f>
        <v>1</v>
      </c>
      <c r="AZ21" t="str">
        <f>IF('Data Checking'!BL21="","",'Data Checking'!BL21)</f>
        <v>1</v>
      </c>
      <c r="BA21" t="str">
        <f>IF('Data Checking'!BM21="","",'Data Checking'!BM21)</f>
        <v>1</v>
      </c>
      <c r="BB21" t="str">
        <f>IF('Data Checking'!BN21="","",'Data Checking'!BN21)</f>
        <v>0</v>
      </c>
      <c r="BC21" t="str">
        <f>IF('Data Checking'!BO21="","",'Data Checking'!BO21)</f>
        <v>0</v>
      </c>
      <c r="BD21" t="str">
        <f>IF('Data Checking'!BP21="","",'Data Checking'!BP21)</f>
        <v>0</v>
      </c>
      <c r="BE21" t="str">
        <f>IF('Data Checking'!BQ21="","",'Data Checking'!BQ21)</f>
        <v>1</v>
      </c>
      <c r="BF21" t="str">
        <f>IF('Data Checking'!BR21="","",'Data Checking'!BR21)</f>
        <v>1</v>
      </c>
      <c r="BG21" t="str">
        <f>IF('Data Checking'!BS21="","",'Data Checking'!BS21)</f>
        <v>0</v>
      </c>
      <c r="BH21" t="str">
        <f>IF('Data Checking'!BT21="","",'Data Checking'!BT21)</f>
        <v>0</v>
      </c>
      <c r="BI21" t="str">
        <f>IF('Data Checking'!BU21="","",'Data Checking'!BU21)</f>
        <v>0</v>
      </c>
      <c r="BJ21" t="str">
        <f>IF('Data Checking'!BV21="","",'Data Checking'!BV21)</f>
        <v>0</v>
      </c>
      <c r="BK21" t="str">
        <f>IF('Data Checking'!BW21="","",'Data Checking'!BW21)</f>
        <v>0</v>
      </c>
      <c r="BL21" t="str">
        <f>IF('Data Checking'!BX21="","",'Data Checking'!BX21)</f>
        <v>0</v>
      </c>
      <c r="BM21" t="str">
        <f>IF('Data Checking'!BY21="","",'Data Checking'!BY21)</f>
        <v/>
      </c>
      <c r="BN21" t="str">
        <f>IF('Data Checking'!BZ21="","",'Data Checking'!BZ21)</f>
        <v>4</v>
      </c>
      <c r="BO21" t="str">
        <f>IF('Data Checking'!CA21="","",'Data Checking'!CA21)</f>
        <v>augmente</v>
      </c>
      <c r="BP21" t="str">
        <f>IF('Data Checking'!CB21="","",'Data Checking'!CB21)</f>
        <v/>
      </c>
      <c r="BQ21" t="str">
        <f>IF('Data Checking'!CC21="","",'Data Checking'!CC21)</f>
        <v>oui</v>
      </c>
      <c r="BR21" t="str">
        <f>IF('Data Checking'!CD21="","",'Data Checking'!CD21)</f>
        <v>menace agression_psychologique agression_physique viol defus_de_acces_aide</v>
      </c>
      <c r="BS21" t="str">
        <f>IF('Data Checking'!CE21="","",'Data Checking'!CE21)</f>
        <v>1</v>
      </c>
      <c r="BT21" t="str">
        <f>IF('Data Checking'!CF21="","",'Data Checking'!CF21)</f>
        <v>0</v>
      </c>
      <c r="BU21" t="str">
        <f>IF('Data Checking'!CG21="","",'Data Checking'!CG21)</f>
        <v>1</v>
      </c>
      <c r="BV21" t="str">
        <f>IF('Data Checking'!CH21="","",'Data Checking'!CH21)</f>
        <v>0</v>
      </c>
      <c r="BW21" t="str">
        <f>IF('Data Checking'!CI21="","",'Data Checking'!CI21)</f>
        <v>1</v>
      </c>
      <c r="BX21" t="str">
        <f>IF('Data Checking'!CJ21="","",'Data Checking'!CJ21)</f>
        <v>0</v>
      </c>
      <c r="BY21" t="str">
        <f>IF('Data Checking'!CK21="","",'Data Checking'!CK21)</f>
        <v>0</v>
      </c>
      <c r="BZ21" t="str">
        <f>IF('Data Checking'!CL21="","",'Data Checking'!CL21)</f>
        <v>1</v>
      </c>
      <c r="CA21" t="str">
        <f>IF('Data Checking'!CM21="","",'Data Checking'!CM21)</f>
        <v>0</v>
      </c>
      <c r="CB21" t="str">
        <f>IF('Data Checking'!CN21="","",'Data Checking'!CN21)</f>
        <v>0</v>
      </c>
      <c r="CC21" t="str">
        <f>IF('Data Checking'!CO21="","",'Data Checking'!CO21)</f>
        <v>1</v>
      </c>
      <c r="CD21" t="str">
        <f>IF('Data Checking'!CP21="","",'Data Checking'!CP21)</f>
        <v>0</v>
      </c>
      <c r="CE21" t="str">
        <f>IF('Data Checking'!CQ21="","",'Data Checking'!CQ21)</f>
        <v>0</v>
      </c>
      <c r="CF21" t="str">
        <f>IF('Data Checking'!CR21="","",'Data Checking'!CR21)</f>
        <v>0</v>
      </c>
      <c r="CG21" t="str">
        <f>IF('Data Checking'!CS21="","",'Data Checking'!CS21)</f>
        <v>0</v>
      </c>
      <c r="CH21" t="str">
        <f>IF('Data Checking'!CT21="","",'Data Checking'!CT21)</f>
        <v/>
      </c>
      <c r="CI21" t="str">
        <f>IF('Data Checking'!CU21="","",'Data Checking'!CU21)</f>
        <v>Bebes/Bambins Enfants Filles Femmes_agees Hommes_ages</v>
      </c>
      <c r="CJ21" t="str">
        <f>IF('Data Checking'!CV21="","",'Data Checking'!CV21)</f>
        <v>1</v>
      </c>
      <c r="CK21" t="str">
        <f>IF('Data Checking'!CW21="","",'Data Checking'!CW21)</f>
        <v>1</v>
      </c>
      <c r="CL21" t="str">
        <f>IF('Data Checking'!CX21="","",'Data Checking'!CX21)</f>
        <v>1</v>
      </c>
      <c r="CM21" t="str">
        <f>IF('Data Checking'!CY21="","",'Data Checking'!CY21)</f>
        <v>0</v>
      </c>
      <c r="CN21" t="str">
        <f>IF('Data Checking'!CZ21="","",'Data Checking'!CZ21)</f>
        <v>0</v>
      </c>
      <c r="CO21" t="str">
        <f>IF('Data Checking'!DA21="","",'Data Checking'!DA21)</f>
        <v>0</v>
      </c>
      <c r="CP21" t="str">
        <f>IF('Data Checking'!DB21="","",'Data Checking'!DB21)</f>
        <v>1</v>
      </c>
      <c r="CQ21" t="str">
        <f>IF('Data Checking'!DC21="","",'Data Checking'!DC21)</f>
        <v>1</v>
      </c>
      <c r="CR21" t="str">
        <f>IF('Data Checking'!DD21="","",'Data Checking'!DD21)</f>
        <v>0</v>
      </c>
      <c r="CS21" t="str">
        <f>IF('Data Checking'!DE21="","",'Data Checking'!DE21)</f>
        <v>0</v>
      </c>
      <c r="CT21" t="str">
        <f>IF('Data Checking'!DF21="","",'Data Checking'!DF21)</f>
        <v>0</v>
      </c>
      <c r="CU21" t="str">
        <f>IF('Data Checking'!DG21="","",'Data Checking'!DG21)</f>
        <v>0</v>
      </c>
      <c r="CV21" t="str">
        <f>IF('Data Checking'!DH21="","",'Data Checking'!DH21)</f>
        <v>0</v>
      </c>
      <c r="CW21" t="str">
        <f>IF('Data Checking'!DI21="","",'Data Checking'!DI21)</f>
        <v>0</v>
      </c>
      <c r="CX21" t="str">
        <f>IF('Data Checking'!DJ21="","",'Data Checking'!DJ21)</f>
        <v/>
      </c>
      <c r="CY21" t="str">
        <f>IF('Data Checking'!DK21="","",'Data Checking'!DK21)</f>
        <v>4</v>
      </c>
      <c r="CZ21" t="str">
        <f>IF('Data Checking'!DL21="","",'Data Checking'!DL21)</f>
        <v>augmente</v>
      </c>
      <c r="DA21" t="str">
        <f>IF('Data Checking'!DM21="","",'Data Checking'!DM21)</f>
        <v/>
      </c>
      <c r="DB21" t="str">
        <f>IF('Data Checking'!DN21="","",'Data Checking'!DN21)</f>
        <v>hausse_chomeurs deterioration_con_abris deterioration_acces_service_base</v>
      </c>
      <c r="DC21" t="str">
        <f>IF('Data Checking'!DO21="","",'Data Checking'!DO21)</f>
        <v>0</v>
      </c>
      <c r="DD21" t="str">
        <f>IF('Data Checking'!DP21="","",'Data Checking'!DP21)</f>
        <v>1</v>
      </c>
      <c r="DE21" t="str">
        <f>IF('Data Checking'!DQ21="","",'Data Checking'!DQ21)</f>
        <v>1</v>
      </c>
      <c r="DF21" t="str">
        <f>IF('Data Checking'!DR21="","",'Data Checking'!DR21)</f>
        <v>0</v>
      </c>
      <c r="DG21" t="str">
        <f>IF('Data Checking'!DS21="","",'Data Checking'!DS21)</f>
        <v>0</v>
      </c>
      <c r="DH21" t="str">
        <f>IF('Data Checking'!DT21="","",'Data Checking'!DT21)</f>
        <v>0</v>
      </c>
      <c r="DI21" t="str">
        <f>IF('Data Checking'!DU21="","",'Data Checking'!DU21)</f>
        <v>1</v>
      </c>
      <c r="DJ21" t="str">
        <f>IF('Data Checking'!DV21="","",'Data Checking'!DV21)</f>
        <v>0</v>
      </c>
      <c r="DK21" t="str">
        <f>IF('Data Checking'!DW21="","",'Data Checking'!DW21)</f>
        <v>0</v>
      </c>
      <c r="DL21" t="str">
        <f>IF('Data Checking'!DX21="","",'Data Checking'!DX21)</f>
        <v>0</v>
      </c>
      <c r="DM21" t="str">
        <f>IF('Data Checking'!DY21="","",'Data Checking'!DY21)</f>
        <v/>
      </c>
      <c r="DN21" t="str">
        <f>IF('Data Checking'!DZ21="","",'Data Checking'!DZ21)</f>
        <v/>
      </c>
      <c r="DO21" t="str">
        <f>IF('Data Checking'!EA21="","",'Data Checking'!EA21)</f>
        <v/>
      </c>
      <c r="DP21" t="str">
        <f>IF('Data Checking'!EB21="","",'Data Checking'!EB21)</f>
        <v/>
      </c>
      <c r="DQ21" t="str">
        <f>IF('Data Checking'!EC21="","",'Data Checking'!EC21)</f>
        <v/>
      </c>
      <c r="DR21" t="str">
        <f>IF('Data Checking'!ED21="","",'Data Checking'!ED21)</f>
        <v/>
      </c>
      <c r="DS21" t="str">
        <f>IF('Data Checking'!EE21="","",'Data Checking'!EE21)</f>
        <v/>
      </c>
      <c r="DT21" t="str">
        <f>IF('Data Checking'!EF21="","",'Data Checking'!EF21)</f>
        <v/>
      </c>
      <c r="DU21" t="str">
        <f>IF('Data Checking'!EG21="","",'Data Checking'!EG21)</f>
        <v/>
      </c>
      <c r="DV21" t="str">
        <f>IF('Data Checking'!EH21="","",'Data Checking'!EH21)</f>
        <v/>
      </c>
      <c r="DW21" t="str">
        <f>IF('Data Checking'!EI21="","",'Data Checking'!EI21)</f>
        <v/>
      </c>
      <c r="DX21" t="str">
        <f>IF('Data Checking'!EJ21="","",'Data Checking'!EJ21)</f>
        <v/>
      </c>
      <c r="DY21" t="str">
        <f>IF('Data Checking'!EK21="","",'Data Checking'!EK21)</f>
        <v/>
      </c>
      <c r="DZ21" t="str">
        <f>IF('Data Checking'!EL21="","",'Data Checking'!EL21)</f>
        <v>Soutien_famille_amis</v>
      </c>
      <c r="EA21" t="str">
        <f>IF('Data Checking'!EM21="","",'Data Checking'!EM21)</f>
        <v>0</v>
      </c>
      <c r="EB21" t="str">
        <f>IF('Data Checking'!EN21="","",'Data Checking'!EN21)</f>
        <v>0</v>
      </c>
      <c r="EC21" t="str">
        <f>IF('Data Checking'!EO21="","",'Data Checking'!EO21)</f>
        <v>1</v>
      </c>
      <c r="ED21" t="str">
        <f>IF('Data Checking'!EP21="","",'Data Checking'!EP21)</f>
        <v>0</v>
      </c>
      <c r="EE21" t="str">
        <f>IF('Data Checking'!EQ21="","",'Data Checking'!EQ21)</f>
        <v>0</v>
      </c>
      <c r="EF21" t="str">
        <f>IF('Data Checking'!ER21="","",'Data Checking'!ER21)</f>
        <v>0</v>
      </c>
      <c r="EG21" t="str">
        <f>IF('Data Checking'!ES21="","",'Data Checking'!ES21)</f>
        <v>0</v>
      </c>
      <c r="EH21" t="str">
        <f>IF('Data Checking'!ET21="","",'Data Checking'!ET21)</f>
        <v>0</v>
      </c>
      <c r="EI21" t="str">
        <f>IF('Data Checking'!EU21="","",'Data Checking'!EU21)</f>
        <v>0</v>
      </c>
      <c r="EJ21" t="str">
        <f>IF('Data Checking'!EV21="","",'Data Checking'!EV21)</f>
        <v/>
      </c>
      <c r="EK21" t="str">
        <f>IF('Data Checking'!EW21="","",'Data Checking'!EW21)</f>
        <v/>
      </c>
      <c r="EL21" t="str">
        <f>IF('Data Checking'!EX21="","",'Data Checking'!EX21)</f>
        <v>famille_accueil comite_protection comite_redevabilite</v>
      </c>
      <c r="EM21" t="str">
        <f>IF('Data Checking'!EY21="","",'Data Checking'!EY21)</f>
        <v>0</v>
      </c>
      <c r="EN21" t="str">
        <f>IF('Data Checking'!EZ21="","",'Data Checking'!EZ21)</f>
        <v>1</v>
      </c>
      <c r="EO21" t="str">
        <f>IF('Data Checking'!FA21="","",'Data Checking'!FA21)</f>
        <v>1</v>
      </c>
      <c r="EP21" t="str">
        <f>IF('Data Checking'!FB21="","",'Data Checking'!FB21)</f>
        <v>0</v>
      </c>
      <c r="EQ21" t="str">
        <f>IF('Data Checking'!FC21="","",'Data Checking'!FC21)</f>
        <v>1</v>
      </c>
      <c r="ER21" t="str">
        <f>IF('Data Checking'!FD21="","",'Data Checking'!FD21)</f>
        <v>0</v>
      </c>
      <c r="ES21" t="str">
        <f>IF('Data Checking'!FE21="","",'Data Checking'!FE21)</f>
        <v>0</v>
      </c>
      <c r="ET21" t="str">
        <f>IF('Data Checking'!FF21="","",'Data Checking'!FF21)</f>
        <v>0</v>
      </c>
      <c r="EU21" t="str">
        <f>IF('Data Checking'!FG21="","",'Data Checking'!FG21)</f>
        <v>0</v>
      </c>
      <c r="EV21" t="str">
        <f>IF('Data Checking'!FH21="","",'Data Checking'!FH21)</f>
        <v>0</v>
      </c>
      <c r="EW21" t="str">
        <f>IF('Data Checking'!FI21="","",'Data Checking'!FI21)</f>
        <v/>
      </c>
      <c r="EX21" t="str">
        <f>IF('Data Checking'!FJ21="","",'Data Checking'!FJ21)</f>
        <v>oui</v>
      </c>
      <c r="EY21" t="str">
        <f>IF('Data Checking'!FK21="","",'Data Checking'!FK21)</f>
        <v>manif_sociales Leaders_religieux famille_amis</v>
      </c>
      <c r="EZ21" t="str">
        <f>IF('Data Checking'!FL21="","",'Data Checking'!FL21)</f>
        <v>0</v>
      </c>
      <c r="FA21" t="str">
        <f>IF('Data Checking'!FM21="","",'Data Checking'!FM21)</f>
        <v>0</v>
      </c>
      <c r="FB21" t="str">
        <f>IF('Data Checking'!FN21="","",'Data Checking'!FN21)</f>
        <v>0</v>
      </c>
      <c r="FC21" t="str">
        <f>IF('Data Checking'!FO21="","",'Data Checking'!FO21)</f>
        <v>1</v>
      </c>
      <c r="FD21" t="str">
        <f>IF('Data Checking'!FP21="","",'Data Checking'!FP21)</f>
        <v>0</v>
      </c>
      <c r="FE21" t="str">
        <f>IF('Data Checking'!FQ21="","",'Data Checking'!FQ21)</f>
        <v>1</v>
      </c>
      <c r="FF21" t="str">
        <f>IF('Data Checking'!FR21="","",'Data Checking'!FR21)</f>
        <v>1</v>
      </c>
      <c r="FG21" t="str">
        <f>IF('Data Checking'!FS21="","",'Data Checking'!FS21)</f>
        <v>0</v>
      </c>
      <c r="FH21" t="str">
        <f>IF('Data Checking'!FT21="","",'Data Checking'!FT21)</f>
        <v>0</v>
      </c>
      <c r="FI21" t="str">
        <f>IF('Data Checking'!FU21="","",'Data Checking'!FU21)</f>
        <v>0</v>
      </c>
      <c r="FJ21" t="str">
        <f>IF('Data Checking'!FV21="","",'Data Checking'!FV21)</f>
        <v>0</v>
      </c>
      <c r="FK21" t="str">
        <f>IF('Data Checking'!FW21="","",'Data Checking'!FW21)</f>
        <v>0</v>
      </c>
      <c r="FL21" t="str">
        <f>IF('Data Checking'!FX21="","",'Data Checking'!FX21)</f>
        <v>0</v>
      </c>
      <c r="FM21" t="str">
        <f>IF('Data Checking'!FY21="","",'Data Checking'!FY21)</f>
        <v>0</v>
      </c>
      <c r="FN21" t="str">
        <f>IF('Data Checking'!FZ21="","",'Data Checking'!FZ21)</f>
        <v/>
      </c>
      <c r="FO21" t="str">
        <f>IF('Data Checking'!GA21="","",'Data Checking'!GA21)</f>
        <v>oui_minorite</v>
      </c>
      <c r="FP21" t="str">
        <f>IF('Data Checking'!GB21="","",'Data Checking'!GB21)</f>
        <v>oui_minorite</v>
      </c>
      <c r="FQ21" t="str">
        <f>IF('Data Checking'!GC21="","",'Data Checking'!GC21)</f>
        <v>manque_info trop_du_monde non_fonctionnelle</v>
      </c>
      <c r="FR21" t="str">
        <f>IF('Data Checking'!GD21="","",'Data Checking'!GD21)</f>
        <v>1</v>
      </c>
      <c r="FS21" t="str">
        <f>IF('Data Checking'!GE21="","",'Data Checking'!GE21)</f>
        <v>1</v>
      </c>
      <c r="FT21" t="str">
        <f>IF('Data Checking'!GF21="","",'Data Checking'!GF21)</f>
        <v>0</v>
      </c>
      <c r="FU21" t="str">
        <f>IF('Data Checking'!GG21="","",'Data Checking'!GG21)</f>
        <v>0</v>
      </c>
      <c r="FV21" t="str">
        <f>IF('Data Checking'!GH21="","",'Data Checking'!GH21)</f>
        <v>1</v>
      </c>
      <c r="FW21" t="str">
        <f>IF('Data Checking'!GI21="","",'Data Checking'!GI21)</f>
        <v>0</v>
      </c>
      <c r="FX21" t="str">
        <f>IF('Data Checking'!GJ21="","",'Data Checking'!GJ21)</f>
        <v>0</v>
      </c>
      <c r="FY21" t="str">
        <f>IF('Data Checking'!GK21="","",'Data Checking'!GK21)</f>
        <v>0</v>
      </c>
      <c r="FZ21" t="str">
        <f>IF('Data Checking'!GL21="","",'Data Checking'!GL21)</f>
        <v/>
      </c>
      <c r="GA21" t="str">
        <f>IF('Data Checking'!GM21="","",'Data Checking'!GM21)</f>
        <v>minorite</v>
      </c>
      <c r="GB21" t="str">
        <f>IF('Data Checking'!GN21="","",'Data Checking'!GN21)</f>
        <v>minorite</v>
      </c>
      <c r="GC21" t="str">
        <f>IF('Data Checking'!GO21="","",'Data Checking'!GO21)</f>
        <v>Service_de_counseling Education Services_de_sante Appui_psychosocial</v>
      </c>
      <c r="GD21" t="str">
        <f>IF('Data Checking'!GP21="","",'Data Checking'!GP21)</f>
        <v>1</v>
      </c>
      <c r="GE21" t="str">
        <f>IF('Data Checking'!GQ21="","",'Data Checking'!GQ21)</f>
        <v>1</v>
      </c>
      <c r="GF21" t="str">
        <f>IF('Data Checking'!GR21="","",'Data Checking'!GR21)</f>
        <v>1</v>
      </c>
      <c r="GG21" t="str">
        <f>IF('Data Checking'!GS21="","",'Data Checking'!GS21)</f>
        <v>1</v>
      </c>
      <c r="GH21" t="str">
        <f>IF('Data Checking'!GT21="","",'Data Checking'!GT21)</f>
        <v>0</v>
      </c>
      <c r="GI21" t="str">
        <f>IF('Data Checking'!GU21="","",'Data Checking'!GU21)</f>
        <v>0</v>
      </c>
      <c r="GJ21" t="str">
        <f>IF('Data Checking'!GV21="","",'Data Checking'!GV21)</f>
        <v>0</v>
      </c>
      <c r="GK21" t="str">
        <f>IF('Data Checking'!GW21="","",'Data Checking'!GW21)</f>
        <v>0</v>
      </c>
      <c r="GL21" t="str">
        <f>IF('Data Checking'!GX21="","",'Data Checking'!GX21)</f>
        <v>0</v>
      </c>
      <c r="GM21" t="str">
        <f>IF('Data Checking'!GY21="","",'Data Checking'!GY21)</f>
        <v/>
      </c>
      <c r="GN21" t="str">
        <f>IF('Data Checking'!GZ21="","",'Data Checking'!GZ21)</f>
        <v>oui_minorite</v>
      </c>
      <c r="GO21" t="str">
        <f>IF('Data Checking'!HA21="","",'Data Checking'!HA21)</f>
        <v>oui_minorite</v>
      </c>
      <c r="GP21" t="str">
        <f>IF('Data Checking'!HB21="","",'Data Checking'!HB21)</f>
        <v>permet_obtenir_conseils permet_eviter_conflits repond_besoins_pop</v>
      </c>
      <c r="GQ21" t="str">
        <f>IF('Data Checking'!HC21="","",'Data Checking'!HC21)</f>
        <v>0</v>
      </c>
      <c r="GR21" t="str">
        <f>IF('Data Checking'!HD21="","",'Data Checking'!HD21)</f>
        <v>1</v>
      </c>
      <c r="GS21" t="str">
        <f>IF('Data Checking'!HE21="","",'Data Checking'!HE21)</f>
        <v>1</v>
      </c>
      <c r="GT21" t="str">
        <f>IF('Data Checking'!HF21="","",'Data Checking'!HF21)</f>
        <v>1</v>
      </c>
      <c r="GU21" t="str">
        <f>IF('Data Checking'!HG21="","",'Data Checking'!HG21)</f>
        <v>0</v>
      </c>
      <c r="GV21" t="str">
        <f>IF('Data Checking'!HH21="","",'Data Checking'!HH21)</f>
        <v>0</v>
      </c>
      <c r="GW21" t="str">
        <f>IF('Data Checking'!HI21="","",'Data Checking'!HI21)</f>
        <v>0</v>
      </c>
      <c r="GX21" t="str">
        <f>IF('Data Checking'!HJ21="","",'Data Checking'!HJ21)</f>
        <v>0</v>
      </c>
      <c r="GY21" t="str">
        <f>IF('Data Checking'!HK21="","",'Data Checking'!HK21)</f>
        <v/>
      </c>
      <c r="GZ21" t="str">
        <f>IF('Data Checking'!HL21="","",'Data Checking'!HL21)</f>
        <v>ne_repond_pas non_obtention_info ne_contribue_pas</v>
      </c>
      <c r="HA21" t="str">
        <f>IF('Data Checking'!HM21="","",'Data Checking'!HM21)</f>
        <v>1</v>
      </c>
      <c r="HB21" t="str">
        <f>IF('Data Checking'!HN21="","",'Data Checking'!HN21)</f>
        <v>1</v>
      </c>
      <c r="HC21" t="str">
        <f>IF('Data Checking'!HO21="","",'Data Checking'!HO21)</f>
        <v>1</v>
      </c>
      <c r="HD21" t="str">
        <f>IF('Data Checking'!HP21="","",'Data Checking'!HP21)</f>
        <v>0</v>
      </c>
      <c r="HE21" t="str">
        <f>IF('Data Checking'!HQ21="","",'Data Checking'!HQ21)</f>
        <v>0</v>
      </c>
      <c r="HF21" t="str">
        <f>IF('Data Checking'!HR21="","",'Data Checking'!HR21)</f>
        <v>0</v>
      </c>
      <c r="HG21" t="str">
        <f>IF('Data Checking'!HS21="","",'Data Checking'!HS21)</f>
        <v/>
      </c>
      <c r="HH21" t="str">
        <f>IF('Data Checking'!HT21="","",'Data Checking'!HT21)</f>
        <v/>
      </c>
      <c r="HI21" t="str">
        <f>IF('Data Checking'!HU21="","",'Data Checking'!HU21)</f>
        <v>oui_minorite</v>
      </c>
      <c r="HJ21" t="str">
        <f>IF('Data Checking'!HV21="","",'Data Checking'!HV21)</f>
        <v>ong_locale ingo un_agencies</v>
      </c>
      <c r="HK21" t="str">
        <f>IF('Data Checking'!HW21="","",'Data Checking'!HW21)</f>
        <v>0</v>
      </c>
      <c r="HL21" t="str">
        <f>IF('Data Checking'!HX21="","",'Data Checking'!HX21)</f>
        <v>0</v>
      </c>
      <c r="HM21" t="str">
        <f>IF('Data Checking'!HY21="","",'Data Checking'!HY21)</f>
        <v>0</v>
      </c>
      <c r="HN21" t="str">
        <f>IF('Data Checking'!HZ21="","",'Data Checking'!HZ21)</f>
        <v>1</v>
      </c>
      <c r="HO21" t="str">
        <f>IF('Data Checking'!IA21="","",'Data Checking'!IA21)</f>
        <v>1</v>
      </c>
      <c r="HP21" t="str">
        <f>IF('Data Checking'!IB21="","",'Data Checking'!IB21)</f>
        <v>1</v>
      </c>
      <c r="HQ21" t="str">
        <f>IF('Data Checking'!IC21="","",'Data Checking'!IC21)</f>
        <v>0</v>
      </c>
      <c r="HR21" t="str">
        <f>IF('Data Checking'!ID21="","",'Data Checking'!ID21)</f>
        <v>0</v>
      </c>
      <c r="HS21" t="str">
        <f>IF('Data Checking'!IE21="","",'Data Checking'!IE21)</f>
        <v>0</v>
      </c>
      <c r="HT21" t="str">
        <f>IF('Data Checking'!IF21="","",'Data Checking'!IF21)</f>
        <v>0</v>
      </c>
      <c r="HU21" t="str">
        <f>IF('Data Checking'!IG21="","",'Data Checking'!IG21)</f>
        <v/>
      </c>
      <c r="HV21" t="str">
        <f>IF('Data Checking'!IH21="","",'Data Checking'!IH21)</f>
        <v>oui</v>
      </c>
      <c r="HW21" t="str">
        <f>IF('Data Checking'!II21="","",'Data Checking'!II21)</f>
        <v/>
      </c>
      <c r="HX21" t="str">
        <f>IF('Data Checking'!IJ21="","",'Data Checking'!IJ21)</f>
        <v>Bebes/Bambins Enfants Filles Femmes_agees Hommes_ages</v>
      </c>
      <c r="HY21" t="str">
        <f>IF('Data Checking'!IK21="","",'Data Checking'!IK21)</f>
        <v>1</v>
      </c>
      <c r="HZ21" t="str">
        <f>IF('Data Checking'!IL21="","",'Data Checking'!IL21)</f>
        <v>1</v>
      </c>
      <c r="IA21" t="str">
        <f>IF('Data Checking'!IM21="","",'Data Checking'!IM21)</f>
        <v>1</v>
      </c>
      <c r="IB21" t="str">
        <f>IF('Data Checking'!IN21="","",'Data Checking'!IN21)</f>
        <v>0</v>
      </c>
      <c r="IC21" t="str">
        <f>IF('Data Checking'!IO21="","",'Data Checking'!IO21)</f>
        <v>0</v>
      </c>
      <c r="ID21" t="str">
        <f>IF('Data Checking'!IP21="","",'Data Checking'!IP21)</f>
        <v>0</v>
      </c>
      <c r="IE21" t="str">
        <f>IF('Data Checking'!IQ21="","",'Data Checking'!IQ21)</f>
        <v>1</v>
      </c>
      <c r="IF21" t="str">
        <f>IF('Data Checking'!IR21="","",'Data Checking'!IR21)</f>
        <v>1</v>
      </c>
      <c r="IG21" t="str">
        <f>IF('Data Checking'!IS21="","",'Data Checking'!IS21)</f>
        <v>0</v>
      </c>
      <c r="IH21" t="str">
        <f>IF('Data Checking'!IT21="","",'Data Checking'!IT21)</f>
        <v>0</v>
      </c>
      <c r="II21" t="str">
        <f>IF('Data Checking'!IU21="","",'Data Checking'!IU21)</f>
        <v>0</v>
      </c>
      <c r="IJ21" t="str">
        <f>IF('Data Checking'!IV21="","",'Data Checking'!IV21)</f>
        <v>0</v>
      </c>
      <c r="IK21" t="str">
        <f>IF('Data Checking'!IW21="","",'Data Checking'!IW21)</f>
        <v>0</v>
      </c>
      <c r="IL21" t="str">
        <f>IF('Data Checking'!IX21="","",'Data Checking'!IX21)</f>
        <v>0</v>
      </c>
      <c r="IM21" t="str">
        <f>IF('Data Checking'!IY21="","",'Data Checking'!IY21)</f>
        <v/>
      </c>
      <c r="IN21" t="str">
        <f>IF('Data Checking'!IZ21="","",'Data Checking'!IZ21)</f>
        <v>7</v>
      </c>
      <c r="IO21" t="str">
        <f>IF('Data Checking'!JA21="","",'Data Checking'!JA21)</f>
        <v>Services_medicaux Services_educatifs Services_conseil acces_docs Appui_psychosocial</v>
      </c>
      <c r="IP21" t="str">
        <f>IF('Data Checking'!JB21="","",'Data Checking'!JB21)</f>
        <v>1</v>
      </c>
      <c r="IQ21" t="str">
        <f>IF('Data Checking'!JC21="","",'Data Checking'!JC21)</f>
        <v>1</v>
      </c>
      <c r="IR21" t="str">
        <f>IF('Data Checking'!JD21="","",'Data Checking'!JD21)</f>
        <v>1</v>
      </c>
      <c r="IS21" t="str">
        <f>IF('Data Checking'!JE21="","",'Data Checking'!JE21)</f>
        <v>1</v>
      </c>
      <c r="IT21" t="str">
        <f>IF('Data Checking'!JF21="","",'Data Checking'!JF21)</f>
        <v>1</v>
      </c>
      <c r="IU21" t="str">
        <f>IF('Data Checking'!JG21="","",'Data Checking'!JG21)</f>
        <v>0</v>
      </c>
      <c r="IV21" t="str">
        <f>IF('Data Checking'!JH21="","",'Data Checking'!JH21)</f>
        <v>0</v>
      </c>
      <c r="IW21" t="str">
        <f>IF('Data Checking'!JI21="","",'Data Checking'!JI21)</f>
        <v>0</v>
      </c>
      <c r="IX21" t="str">
        <f>IF('Data Checking'!JJ21="","",'Data Checking'!JJ21)</f>
        <v>0</v>
      </c>
      <c r="IY21" t="str">
        <f>IF('Data Checking'!JK21="","",'Data Checking'!JK21)</f>
        <v>0</v>
      </c>
      <c r="IZ21" t="str">
        <f>IF('Data Checking'!JL21="","",'Data Checking'!JL21)</f>
        <v/>
      </c>
      <c r="JA21" t="str">
        <f>IF('Data Checking'!JM21="","",'Data Checking'!JM21)</f>
        <v>prise_enchage reorientation signalement</v>
      </c>
      <c r="JB21" t="str">
        <f>IF('Data Checking'!JN21="","",'Data Checking'!JN21)</f>
        <v>1</v>
      </c>
      <c r="JC21" t="str">
        <f>IF('Data Checking'!JO21="","",'Data Checking'!JO21)</f>
        <v>1</v>
      </c>
      <c r="JD21" t="str">
        <f>IF('Data Checking'!JP21="","",'Data Checking'!JP21)</f>
        <v>1</v>
      </c>
      <c r="JE21" t="str">
        <f>IF('Data Checking'!JQ21="","",'Data Checking'!JQ21)</f>
        <v>0</v>
      </c>
      <c r="JF21" t="str">
        <f>IF('Data Checking'!JR21="","",'Data Checking'!JR21)</f>
        <v>0</v>
      </c>
      <c r="JG21" t="str">
        <f>IF('Data Checking'!JS21="","",'Data Checking'!JS21)</f>
        <v>0</v>
      </c>
      <c r="JH21" t="str">
        <f>IF('Data Checking'!JT21="","",'Data Checking'!JT21)</f>
        <v/>
      </c>
      <c r="JI21" t="str">
        <f>IF('Data Checking'!JU21="","",'Data Checking'!JU21)</f>
        <v>medical reinsertion Psychosocia juridique surete</v>
      </c>
      <c r="JJ21" t="str">
        <f>IF('Data Checking'!JV21="","",'Data Checking'!JV21)</f>
        <v>1</v>
      </c>
      <c r="JK21" t="str">
        <f>IF('Data Checking'!JW21="","",'Data Checking'!JW21)</f>
        <v>1</v>
      </c>
      <c r="JL21" t="str">
        <f>IF('Data Checking'!JX21="","",'Data Checking'!JX21)</f>
        <v>0</v>
      </c>
      <c r="JM21" t="str">
        <f>IF('Data Checking'!JY21="","",'Data Checking'!JY21)</f>
        <v>1</v>
      </c>
      <c r="JN21" t="str">
        <f>IF('Data Checking'!JZ21="","",'Data Checking'!JZ21)</f>
        <v>1</v>
      </c>
      <c r="JO21" t="str">
        <f>IF('Data Checking'!KA21="","",'Data Checking'!KA21)</f>
        <v>1</v>
      </c>
      <c r="JP21" t="str">
        <f>IF('Data Checking'!KB21="","",'Data Checking'!KB21)</f>
        <v>0</v>
      </c>
      <c r="JQ21" t="str">
        <f>IF('Data Checking'!KC21="","",'Data Checking'!KC21)</f>
        <v>0</v>
      </c>
      <c r="JR21" t="str">
        <f>IF('Data Checking'!KD21="","",'Data Checking'!KD21)</f>
        <v>0</v>
      </c>
      <c r="JS21" t="str">
        <f>IF('Data Checking'!KE21="","",'Data Checking'!KE21)</f>
        <v/>
      </c>
      <c r="JT21" t="str">
        <f>IF('Data Checking'!KF21="","",'Data Checking'!KF21)</f>
        <v>medical Psychosocia surete reinsertion point_ecoute</v>
      </c>
      <c r="JU21" t="str">
        <f>IF('Data Checking'!KG21="","",'Data Checking'!KG21)</f>
        <v>1</v>
      </c>
      <c r="JV21" t="str">
        <f>IF('Data Checking'!KH21="","",'Data Checking'!KH21)</f>
        <v>1</v>
      </c>
      <c r="JW21" t="str">
        <f>IF('Data Checking'!KI21="","",'Data Checking'!KI21)</f>
        <v>1</v>
      </c>
      <c r="JX21" t="str">
        <f>IF('Data Checking'!KJ21="","",'Data Checking'!KJ21)</f>
        <v>0</v>
      </c>
      <c r="JY21" t="str">
        <f>IF('Data Checking'!KK21="","",'Data Checking'!KK21)</f>
        <v>1</v>
      </c>
      <c r="JZ21" t="str">
        <f>IF('Data Checking'!KL21="","",'Data Checking'!KL21)</f>
        <v>1</v>
      </c>
      <c r="KA21" t="str">
        <f>IF('Data Checking'!KM21="","",'Data Checking'!KM21)</f>
        <v>0</v>
      </c>
      <c r="KB21" t="str">
        <f>IF('Data Checking'!KN21="","",'Data Checking'!KN21)</f>
        <v>0</v>
      </c>
      <c r="KC21" t="str">
        <f>IF('Data Checking'!KO21="","",'Data Checking'!KO21)</f>
        <v>0</v>
      </c>
      <c r="KD21" t="str">
        <f>IF('Data Checking'!KP21="","",'Data Checking'!KP21)</f>
        <v/>
      </c>
      <c r="KE21" t="str">
        <f>IF('Data Checking'!KQ21="","",'Data Checking'!KQ21)</f>
        <v/>
      </c>
      <c r="KF21" t="str">
        <f>IF('Data Checking'!KR21="","",'Data Checking'!KR21)</f>
        <v>non</v>
      </c>
      <c r="KG21" t="str">
        <f>IF('Data Checking'!KS21="","",'Data Checking'!KS21)</f>
        <v/>
      </c>
      <c r="KH21" t="str">
        <f>IF('Data Checking'!KT21="","",'Data Checking'!KT21)</f>
        <v/>
      </c>
      <c r="KI21" t="str">
        <f>IF('Data Checking'!KU21="","",'Data Checking'!KU21)</f>
        <v/>
      </c>
      <c r="KJ21" t="str">
        <f>IF('Data Checking'!KV21="","",'Data Checking'!KV21)</f>
        <v/>
      </c>
      <c r="KK21" t="str">
        <f>IF('Data Checking'!KW21="","",'Data Checking'!KW21)</f>
        <v/>
      </c>
      <c r="KL21" t="str">
        <f>IF('Data Checking'!KX21="","",'Data Checking'!KX21)</f>
        <v/>
      </c>
      <c r="KM21" t="str">
        <f>IF('Data Checking'!KY21="","",'Data Checking'!KY21)</f>
        <v/>
      </c>
      <c r="KN21" t="str">
        <f>IF('Data Checking'!KZ21="","",'Data Checking'!KZ21)</f>
        <v/>
      </c>
      <c r="KO21" t="str">
        <f>IF('Data Checking'!LA21="","",'Data Checking'!LA21)</f>
        <v/>
      </c>
      <c r="KP21" t="str">
        <f>IF('Data Checking'!LB21="","",'Data Checking'!LB21)</f>
        <v/>
      </c>
      <c r="KQ21" t="str">
        <f>IF('Data Checking'!LC21="","",'Data Checking'!LC21)</f>
        <v/>
      </c>
      <c r="KR21" t="str">
        <f>IF('Data Checking'!LD21="","",'Data Checking'!LD21)</f>
        <v/>
      </c>
      <c r="KS21" t="str">
        <f>IF('Data Checking'!LE21="","",'Data Checking'!LE21)</f>
        <v/>
      </c>
      <c r="KT21" t="str">
        <f>IF('Data Checking'!LF21="","",'Data Checking'!LF21)</f>
        <v/>
      </c>
      <c r="KU21" t="str">
        <f>IF('Data Checking'!LG21="","",'Data Checking'!LG21)</f>
        <v/>
      </c>
      <c r="KV21" t="str">
        <f>IF('Data Checking'!LH21="","",'Data Checking'!LH21)</f>
        <v/>
      </c>
      <c r="KW21" t="str">
        <f>IF('Data Checking'!LI21="","",'Data Checking'!LI21)</f>
        <v/>
      </c>
      <c r="KX21" t="str">
        <f>IF('Data Checking'!LJ21="","",'Data Checking'!LJ21)</f>
        <v/>
      </c>
      <c r="KY21" t="str">
        <f>IF('Data Checking'!LK21="","",'Data Checking'!LK21)</f>
        <v/>
      </c>
      <c r="KZ21" t="str">
        <f>IF('Data Checking'!LL21="","",'Data Checking'!LL21)</f>
        <v/>
      </c>
      <c r="LA21" t="str">
        <f>IF('Data Checking'!LM21="","",'Data Checking'!LM21)</f>
        <v/>
      </c>
      <c r="LB21" t="str">
        <f>IF('Data Checking'!LN21="","",'Data Checking'!LN21)</f>
        <v>oui</v>
      </c>
      <c r="LC21" t="str">
        <f>IF('Data Checking'!LO21="","",'Data Checking'!LO21)</f>
        <v>violence_physique menace_entourage violence_psycho</v>
      </c>
      <c r="LD21" t="str">
        <f>IF('Data Checking'!LP21="","",'Data Checking'!LP21)</f>
        <v>1</v>
      </c>
      <c r="LE21" t="str">
        <f>IF('Data Checking'!LQ21="","",'Data Checking'!LQ21)</f>
        <v>1</v>
      </c>
      <c r="LF21" t="str">
        <f>IF('Data Checking'!LR21="","",'Data Checking'!LR21)</f>
        <v>0</v>
      </c>
      <c r="LG21" t="str">
        <f>IF('Data Checking'!LS21="","",'Data Checking'!LS21)</f>
        <v>1</v>
      </c>
      <c r="LH21" t="str">
        <f>IF('Data Checking'!LT21="","",'Data Checking'!LT21)</f>
        <v>0</v>
      </c>
      <c r="LI21" t="str">
        <f>IF('Data Checking'!LU21="","",'Data Checking'!LU21)</f>
        <v>0</v>
      </c>
      <c r="LJ21" t="str">
        <f>IF('Data Checking'!LV21="","",'Data Checking'!LV21)</f>
        <v>0</v>
      </c>
      <c r="LK21" t="str">
        <f>IF('Data Checking'!LW21="","",'Data Checking'!LW21)</f>
        <v>0</v>
      </c>
      <c r="LL21" t="str">
        <f>IF('Data Checking'!LX21="","",'Data Checking'!LX21)</f>
        <v>0</v>
      </c>
      <c r="LM21" t="str">
        <f>IF('Data Checking'!LY21="","",'Data Checking'!LY21)</f>
        <v>0</v>
      </c>
      <c r="LN21" t="str">
        <f>IF('Data Checking'!LZ21="","",'Data Checking'!LZ21)</f>
        <v/>
      </c>
      <c r="LO21" t="str">
        <f>IF('Data Checking'!MA21="","",'Data Checking'!MA21)</f>
        <v>oui</v>
      </c>
      <c r="LP21" t="str">
        <f>IF('Data Checking'!MB21="","",'Data Checking'!MB21)</f>
        <v>oui</v>
      </c>
      <c r="LQ21" t="str">
        <f>IF('Data Checking'!MC21="","",'Data Checking'!MC21)</f>
        <v/>
      </c>
      <c r="LR21" t="str">
        <f>IF('Data Checking'!MD21="","",'Data Checking'!MD21)</f>
        <v>Aide alimentaire et surtout la sensibilisation aux relais et la sécurité</v>
      </c>
      <c r="LS21">
        <f>IF('Data Checking'!ME21="","",'Data Checking'!ME21)</f>
        <v>169351628</v>
      </c>
      <c r="LT21" t="str">
        <f>IF('Data Checking'!MF21="","",'Data Checking'!MF21)</f>
        <v>da3345dd-a270-4710-bd73-3491a6a19bb6</v>
      </c>
      <c r="LU21" t="str">
        <f>IF('Data Checking'!MG21="","",'Data Checking'!MG21)</f>
        <v>2021-04-02T19:01:47</v>
      </c>
      <c r="LV21" t="str">
        <f>IF('Data Checking'!MH21="","",'Data Checking'!MH21)</f>
        <v/>
      </c>
      <c r="LW21" t="str">
        <f>IF('Data Checking'!MI21="","",'Data Checking'!MI21)</f>
        <v>[]</v>
      </c>
      <c r="LX21" t="str">
        <f>IF('Data Checking'!MJ21="","",'Data Checking'!MJ21)</f>
        <v>submitted_via_web</v>
      </c>
      <c r="LY21" t="str">
        <f>IF('Data Checking'!MK21="","",'Data Checking'!MK21)</f>
        <v>reach_niger</v>
      </c>
      <c r="LZ21" t="str">
        <f>IF('Data Checking'!ML21="","",'Data Checking'!ML21)</f>
        <v/>
      </c>
      <c r="MA21">
        <f>IF('Data Checking'!MM21="","",'Data Checking'!MM21)</f>
        <v>23</v>
      </c>
    </row>
    <row r="22" spans="1:339" x14ac:dyDescent="0.3">
      <c r="A22" t="str">
        <f>IF('Data Checking'!D22="","",'Data Checking'!D22)</f>
        <v>2021-03-31T10:05:59.828+01:00</v>
      </c>
      <c r="B22" t="str">
        <f>IF('Data Checking'!E22="","",'Data Checking'!E22)</f>
        <v>2021-03-31T10:34:16.376+01:00</v>
      </c>
      <c r="C22" t="str">
        <f>IF('Data Checking'!M22="","",'Data Checking'!M22)</f>
        <v>2021-03-31</v>
      </c>
      <c r="D22" t="str">
        <f>IF('Data Checking'!N22="","",'Data Checking'!N22)</f>
        <v/>
      </c>
      <c r="E22" t="str">
        <f>IF('Data Checking'!O22="","",'Data Checking'!O22)</f>
        <v/>
      </c>
      <c r="F22" t="str">
        <f>IF('Data Checking'!R22="","",'Data Checking'!R22)</f>
        <v>Homme</v>
      </c>
      <c r="G22" t="str">
        <f>IF('Data Checking'!S22="","",'Data Checking'!S22)</f>
        <v>tera</v>
      </c>
      <c r="H22" t="str">
        <f>IF('Data Checking'!T22="","",'Data Checking'!T22)</f>
        <v>tera</v>
      </c>
      <c r="I22" t="str">
        <f>IF('Data Checking'!U22="","",'Data Checking'!U22)</f>
        <v>tera</v>
      </c>
      <c r="J22" t="str">
        <f>IF('Data Checking'!V22="","",'Data Checking'!V22)</f>
        <v/>
      </c>
      <c r="K22" t="str">
        <f>IF('Data Checking'!W22="","",'Data Checking'!W22)</f>
        <v/>
      </c>
      <c r="L22" t="str">
        <f>IF('Data Checking'!X22="","",'Data Checking'!X22)</f>
        <v/>
      </c>
      <c r="M22" t="str">
        <f>IF('Data Checking'!Y22="","",'Data Checking'!Y22)</f>
        <v/>
      </c>
      <c r="N22" t="str">
        <f>IF('Data Checking'!Z22="","",'Data Checking'!Z22)</f>
        <v/>
      </c>
      <c r="O22" t="str">
        <f>IF('Data Checking'!AA22="","",'Data Checking'!AA22)</f>
        <v/>
      </c>
      <c r="P22" t="str">
        <f>IF('Data Checking'!AB22="","",'Data Checking'!AB22)</f>
        <v/>
      </c>
      <c r="Q22" t="str">
        <f>IF('Data Checking'!AC22="","",'Data Checking'!AC22)</f>
        <v/>
      </c>
      <c r="R22" t="str">
        <f>IF('Data Checking'!AD22="","",'Data Checking'!AD22)</f>
        <v>Femme</v>
      </c>
      <c r="S22" t="str">
        <f>IF('Data Checking'!AE22="","",'Data Checking'!AE22)</f>
        <v>37</v>
      </c>
      <c r="T22" t="str">
        <f>IF('Data Checking'!AF22="","",'Data Checking'!AF22)</f>
        <v>deplace_interne</v>
      </c>
      <c r="U22" t="str">
        <f>IF('Data Checking'!AG22="","",'Data Checking'!AG22)</f>
        <v/>
      </c>
      <c r="V22" t="str">
        <f>IF('Data Checking'!AH22="","",'Data Checking'!AH22)</f>
        <v/>
      </c>
      <c r="W22" t="str">
        <f>IF('Data Checking'!AI22="","",'Data Checking'!AI22)</f>
        <v/>
      </c>
      <c r="X22" t="str">
        <f>IF('Data Checking'!AJ22="","",'Data Checking'!AJ22)</f>
        <v/>
      </c>
      <c r="Y22" t="str">
        <f>IF('Data Checking'!AK22="","",'Data Checking'!AK22)</f>
        <v/>
      </c>
      <c r="Z22" t="str">
        <f>IF('Data Checking'!AL22="","",'Data Checking'!AL22)</f>
        <v>niger</v>
      </c>
      <c r="AA22" t="str">
        <f>IF('Data Checking'!AM22="","",'Data Checking'!AM22)</f>
        <v>tillaberi</v>
      </c>
      <c r="AB22" t="str">
        <f>IF('Data Checking'!AN22="","",'Data Checking'!AN22)</f>
        <v>tera</v>
      </c>
      <c r="AC22" t="str">
        <f>IF('Data Checking'!AO22="","",'Data Checking'!AO22)</f>
        <v/>
      </c>
      <c r="AD22" t="str">
        <f>IF('Data Checking'!AP22="","",'Data Checking'!AP22)</f>
        <v/>
      </c>
      <c r="AE22" t="str">
        <f>IF('Data Checking'!AQ22="","",'Data Checking'!AQ22)</f>
        <v/>
      </c>
      <c r="AF22" t="str">
        <f>IF('Data Checking'!AR22="","",'Data Checking'!AR22)</f>
        <v/>
      </c>
      <c r="AG22" t="str">
        <f>IF('Data Checking'!AS22="","",'Data Checking'!AS22)</f>
        <v>oui</v>
      </c>
      <c r="AH22" t="str">
        <f>IF('Data Checking'!AT22="","",'Data Checking'!AT22)</f>
        <v>Vols_braquages extorsions Attaques_ecoles_sante Disputes_intercommunataires Violences_physique_civils</v>
      </c>
      <c r="AI22" t="str">
        <f>IF('Data Checking'!AU22="","",'Data Checking'!AU22)</f>
        <v>0</v>
      </c>
      <c r="AJ22" t="str">
        <f>IF('Data Checking'!AV22="","",'Data Checking'!AV22)</f>
        <v>1</v>
      </c>
      <c r="AK22" t="str">
        <f>IF('Data Checking'!AW22="","",'Data Checking'!AW22)</f>
        <v>1</v>
      </c>
      <c r="AL22" t="str">
        <f>IF('Data Checking'!AX22="","",'Data Checking'!AX22)</f>
        <v>1</v>
      </c>
      <c r="AM22" t="str">
        <f>IF('Data Checking'!AY22="","",'Data Checking'!AY22)</f>
        <v>1</v>
      </c>
      <c r="AN22" t="str">
        <f>IF('Data Checking'!AZ22="","",'Data Checking'!AZ22)</f>
        <v>0</v>
      </c>
      <c r="AO22" t="str">
        <f>IF('Data Checking'!BA22="","",'Data Checking'!BA22)</f>
        <v>0</v>
      </c>
      <c r="AP22" t="str">
        <f>IF('Data Checking'!BB22="","",'Data Checking'!BB22)</f>
        <v>1</v>
      </c>
      <c r="AQ22" t="str">
        <f>IF('Data Checking'!BC22="","",'Data Checking'!BC22)</f>
        <v>0</v>
      </c>
      <c r="AR22" t="str">
        <f>IF('Data Checking'!BD22="","",'Data Checking'!BD22)</f>
        <v>0</v>
      </c>
      <c r="AS22" t="str">
        <f>IF('Data Checking'!BE22="","",'Data Checking'!BE22)</f>
        <v>0</v>
      </c>
      <c r="AT22" t="str">
        <f>IF('Data Checking'!BF22="","",'Data Checking'!BF22)</f>
        <v>0</v>
      </c>
      <c r="AU22" t="str">
        <f>IF('Data Checking'!BG22="","",'Data Checking'!BG22)</f>
        <v>0</v>
      </c>
      <c r="AV22" t="str">
        <f>IF('Data Checking'!BH22="","",'Data Checking'!BH22)</f>
        <v>0</v>
      </c>
      <c r="AW22" t="str">
        <f>IF('Data Checking'!BI22="","",'Data Checking'!BI22)</f>
        <v/>
      </c>
      <c r="AX22" t="str">
        <f>IF('Data Checking'!BJ22="","",'Data Checking'!BJ22)</f>
        <v>Bebes/Bambins Enfants Femmes_agees Filles Garçons</v>
      </c>
      <c r="AY22" t="str">
        <f>IF('Data Checking'!BK22="","",'Data Checking'!BK22)</f>
        <v>1</v>
      </c>
      <c r="AZ22" t="str">
        <f>IF('Data Checking'!BL22="","",'Data Checking'!BL22)</f>
        <v>1</v>
      </c>
      <c r="BA22" t="str">
        <f>IF('Data Checking'!BM22="","",'Data Checking'!BM22)</f>
        <v>1</v>
      </c>
      <c r="BB22" t="str">
        <f>IF('Data Checking'!BN22="","",'Data Checking'!BN22)</f>
        <v>1</v>
      </c>
      <c r="BC22" t="str">
        <f>IF('Data Checking'!BO22="","",'Data Checking'!BO22)</f>
        <v>0</v>
      </c>
      <c r="BD22" t="str">
        <f>IF('Data Checking'!BP22="","",'Data Checking'!BP22)</f>
        <v>0</v>
      </c>
      <c r="BE22" t="str">
        <f>IF('Data Checking'!BQ22="","",'Data Checking'!BQ22)</f>
        <v>1</v>
      </c>
      <c r="BF22" t="str">
        <f>IF('Data Checking'!BR22="","",'Data Checking'!BR22)</f>
        <v>0</v>
      </c>
      <c r="BG22" t="str">
        <f>IF('Data Checking'!BS22="","",'Data Checking'!BS22)</f>
        <v>0</v>
      </c>
      <c r="BH22" t="str">
        <f>IF('Data Checking'!BT22="","",'Data Checking'!BT22)</f>
        <v>0</v>
      </c>
      <c r="BI22" t="str">
        <f>IF('Data Checking'!BU22="","",'Data Checking'!BU22)</f>
        <v>0</v>
      </c>
      <c r="BJ22" t="str">
        <f>IF('Data Checking'!BV22="","",'Data Checking'!BV22)</f>
        <v>0</v>
      </c>
      <c r="BK22" t="str">
        <f>IF('Data Checking'!BW22="","",'Data Checking'!BW22)</f>
        <v>0</v>
      </c>
      <c r="BL22" t="str">
        <f>IF('Data Checking'!BX22="","",'Data Checking'!BX22)</f>
        <v>0</v>
      </c>
      <c r="BM22" t="str">
        <f>IF('Data Checking'!BY22="","",'Data Checking'!BY22)</f>
        <v/>
      </c>
      <c r="BN22" t="str">
        <f>IF('Data Checking'!BZ22="","",'Data Checking'!BZ22)</f>
        <v>4</v>
      </c>
      <c r="BO22" t="str">
        <f>IF('Data Checking'!CA22="","",'Data Checking'!CA22)</f>
        <v>augmente</v>
      </c>
      <c r="BP22" t="str">
        <f>IF('Data Checking'!CB22="","",'Data Checking'!CB22)</f>
        <v/>
      </c>
      <c r="BQ22" t="str">
        <f>IF('Data Checking'!CC22="","",'Data Checking'!CC22)</f>
        <v>non</v>
      </c>
      <c r="BR22" t="str">
        <f>IF('Data Checking'!CD22="","",'Data Checking'!CD22)</f>
        <v/>
      </c>
      <c r="BS22" t="str">
        <f>IF('Data Checking'!CE22="","",'Data Checking'!CE22)</f>
        <v/>
      </c>
      <c r="BT22" t="str">
        <f>IF('Data Checking'!CF22="","",'Data Checking'!CF22)</f>
        <v/>
      </c>
      <c r="BU22" t="str">
        <f>IF('Data Checking'!CG22="","",'Data Checking'!CG22)</f>
        <v/>
      </c>
      <c r="BV22" t="str">
        <f>IF('Data Checking'!CH22="","",'Data Checking'!CH22)</f>
        <v/>
      </c>
      <c r="BW22" t="str">
        <f>IF('Data Checking'!CI22="","",'Data Checking'!CI22)</f>
        <v/>
      </c>
      <c r="BX22" t="str">
        <f>IF('Data Checking'!CJ22="","",'Data Checking'!CJ22)</f>
        <v/>
      </c>
      <c r="BY22" t="str">
        <f>IF('Data Checking'!CK22="","",'Data Checking'!CK22)</f>
        <v/>
      </c>
      <c r="BZ22" t="str">
        <f>IF('Data Checking'!CL22="","",'Data Checking'!CL22)</f>
        <v/>
      </c>
      <c r="CA22" t="str">
        <f>IF('Data Checking'!CM22="","",'Data Checking'!CM22)</f>
        <v/>
      </c>
      <c r="CB22" t="str">
        <f>IF('Data Checking'!CN22="","",'Data Checking'!CN22)</f>
        <v/>
      </c>
      <c r="CC22" t="str">
        <f>IF('Data Checking'!CO22="","",'Data Checking'!CO22)</f>
        <v/>
      </c>
      <c r="CD22" t="str">
        <f>IF('Data Checking'!CP22="","",'Data Checking'!CP22)</f>
        <v/>
      </c>
      <c r="CE22" t="str">
        <f>IF('Data Checking'!CQ22="","",'Data Checking'!CQ22)</f>
        <v/>
      </c>
      <c r="CF22" t="str">
        <f>IF('Data Checking'!CR22="","",'Data Checking'!CR22)</f>
        <v/>
      </c>
      <c r="CG22" t="str">
        <f>IF('Data Checking'!CS22="","",'Data Checking'!CS22)</f>
        <v/>
      </c>
      <c r="CH22" t="str">
        <f>IF('Data Checking'!CT22="","",'Data Checking'!CT22)</f>
        <v/>
      </c>
      <c r="CI22" t="str">
        <f>IF('Data Checking'!CU22="","",'Data Checking'!CU22)</f>
        <v/>
      </c>
      <c r="CJ22" t="str">
        <f>IF('Data Checking'!CV22="","",'Data Checking'!CV22)</f>
        <v/>
      </c>
      <c r="CK22" t="str">
        <f>IF('Data Checking'!CW22="","",'Data Checking'!CW22)</f>
        <v/>
      </c>
      <c r="CL22" t="str">
        <f>IF('Data Checking'!CX22="","",'Data Checking'!CX22)</f>
        <v/>
      </c>
      <c r="CM22" t="str">
        <f>IF('Data Checking'!CY22="","",'Data Checking'!CY22)</f>
        <v/>
      </c>
      <c r="CN22" t="str">
        <f>IF('Data Checking'!CZ22="","",'Data Checking'!CZ22)</f>
        <v/>
      </c>
      <c r="CO22" t="str">
        <f>IF('Data Checking'!DA22="","",'Data Checking'!DA22)</f>
        <v/>
      </c>
      <c r="CP22" t="str">
        <f>IF('Data Checking'!DB22="","",'Data Checking'!DB22)</f>
        <v/>
      </c>
      <c r="CQ22" t="str">
        <f>IF('Data Checking'!DC22="","",'Data Checking'!DC22)</f>
        <v/>
      </c>
      <c r="CR22" t="str">
        <f>IF('Data Checking'!DD22="","",'Data Checking'!DD22)</f>
        <v/>
      </c>
      <c r="CS22" t="str">
        <f>IF('Data Checking'!DE22="","",'Data Checking'!DE22)</f>
        <v/>
      </c>
      <c r="CT22" t="str">
        <f>IF('Data Checking'!DF22="","",'Data Checking'!DF22)</f>
        <v/>
      </c>
      <c r="CU22" t="str">
        <f>IF('Data Checking'!DG22="","",'Data Checking'!DG22)</f>
        <v/>
      </c>
      <c r="CV22" t="str">
        <f>IF('Data Checking'!DH22="","",'Data Checking'!DH22)</f>
        <v/>
      </c>
      <c r="CW22" t="str">
        <f>IF('Data Checking'!DI22="","",'Data Checking'!DI22)</f>
        <v/>
      </c>
      <c r="CX22" t="str">
        <f>IF('Data Checking'!DJ22="","",'Data Checking'!DJ22)</f>
        <v/>
      </c>
      <c r="CY22" t="str">
        <f>IF('Data Checking'!DK22="","",'Data Checking'!DK22)</f>
        <v/>
      </c>
      <c r="CZ22" t="str">
        <f>IF('Data Checking'!DL22="","",'Data Checking'!DL22)</f>
        <v/>
      </c>
      <c r="DA22" t="str">
        <f>IF('Data Checking'!DM22="","",'Data Checking'!DM22)</f>
        <v/>
      </c>
      <c r="DB22" t="str">
        <f>IF('Data Checking'!DN22="","",'Data Checking'!DN22)</f>
        <v>deterioration_con_abris diminution_moyens_existence hausse_chomeurs</v>
      </c>
      <c r="DC22" t="str">
        <f>IF('Data Checking'!DO22="","",'Data Checking'!DO22)</f>
        <v>1</v>
      </c>
      <c r="DD22" t="str">
        <f>IF('Data Checking'!DP22="","",'Data Checking'!DP22)</f>
        <v>1</v>
      </c>
      <c r="DE22" t="str">
        <f>IF('Data Checking'!DQ22="","",'Data Checking'!DQ22)</f>
        <v>0</v>
      </c>
      <c r="DF22" t="str">
        <f>IF('Data Checking'!DR22="","",'Data Checking'!DR22)</f>
        <v>0</v>
      </c>
      <c r="DG22" t="str">
        <f>IF('Data Checking'!DS22="","",'Data Checking'!DS22)</f>
        <v>0</v>
      </c>
      <c r="DH22" t="str">
        <f>IF('Data Checking'!DT22="","",'Data Checking'!DT22)</f>
        <v>0</v>
      </c>
      <c r="DI22" t="str">
        <f>IF('Data Checking'!DU22="","",'Data Checking'!DU22)</f>
        <v>1</v>
      </c>
      <c r="DJ22" t="str">
        <f>IF('Data Checking'!DV22="","",'Data Checking'!DV22)</f>
        <v>0</v>
      </c>
      <c r="DK22" t="str">
        <f>IF('Data Checking'!DW22="","",'Data Checking'!DW22)</f>
        <v>0</v>
      </c>
      <c r="DL22" t="str">
        <f>IF('Data Checking'!DX22="","",'Data Checking'!DX22)</f>
        <v>0</v>
      </c>
      <c r="DM22" t="str">
        <f>IF('Data Checking'!DY22="","",'Data Checking'!DY22)</f>
        <v/>
      </c>
      <c r="DN22" t="str">
        <f>IF('Data Checking'!DZ22="","",'Data Checking'!DZ22)</f>
        <v/>
      </c>
      <c r="DO22" t="str">
        <f>IF('Data Checking'!EA22="","",'Data Checking'!EA22)</f>
        <v/>
      </c>
      <c r="DP22" t="str">
        <f>IF('Data Checking'!EB22="","",'Data Checking'!EB22)</f>
        <v/>
      </c>
      <c r="DQ22" t="str">
        <f>IF('Data Checking'!EC22="","",'Data Checking'!EC22)</f>
        <v/>
      </c>
      <c r="DR22" t="str">
        <f>IF('Data Checking'!ED22="","",'Data Checking'!ED22)</f>
        <v/>
      </c>
      <c r="DS22" t="str">
        <f>IF('Data Checking'!EE22="","",'Data Checking'!EE22)</f>
        <v/>
      </c>
      <c r="DT22" t="str">
        <f>IF('Data Checking'!EF22="","",'Data Checking'!EF22)</f>
        <v/>
      </c>
      <c r="DU22" t="str">
        <f>IF('Data Checking'!EG22="","",'Data Checking'!EG22)</f>
        <v/>
      </c>
      <c r="DV22" t="str">
        <f>IF('Data Checking'!EH22="","",'Data Checking'!EH22)</f>
        <v/>
      </c>
      <c r="DW22" t="str">
        <f>IF('Data Checking'!EI22="","",'Data Checking'!EI22)</f>
        <v/>
      </c>
      <c r="DX22" t="str">
        <f>IF('Data Checking'!EJ22="","",'Data Checking'!EJ22)</f>
        <v/>
      </c>
      <c r="DY22" t="str">
        <f>IF('Data Checking'!EK22="","",'Data Checking'!EK22)</f>
        <v/>
      </c>
      <c r="DZ22" t="str">
        <f>IF('Data Checking'!EL22="","",'Data Checking'!EL22)</f>
        <v>Integration_com_hote dplct_abords_com Soutien_famille_amis Soutien_chef_village</v>
      </c>
      <c r="EA22" t="str">
        <f>IF('Data Checking'!EM22="","",'Data Checking'!EM22)</f>
        <v>1</v>
      </c>
      <c r="EB22" t="str">
        <f>IF('Data Checking'!EN22="","",'Data Checking'!EN22)</f>
        <v>1</v>
      </c>
      <c r="EC22" t="str">
        <f>IF('Data Checking'!EO22="","",'Data Checking'!EO22)</f>
        <v>1</v>
      </c>
      <c r="ED22" t="str">
        <f>IF('Data Checking'!EP22="","",'Data Checking'!EP22)</f>
        <v>1</v>
      </c>
      <c r="EE22" t="str">
        <f>IF('Data Checking'!EQ22="","",'Data Checking'!EQ22)</f>
        <v>0</v>
      </c>
      <c r="EF22" t="str">
        <f>IF('Data Checking'!ER22="","",'Data Checking'!ER22)</f>
        <v>0</v>
      </c>
      <c r="EG22" t="str">
        <f>IF('Data Checking'!ES22="","",'Data Checking'!ES22)</f>
        <v>0</v>
      </c>
      <c r="EH22" t="str">
        <f>IF('Data Checking'!ET22="","",'Data Checking'!ET22)</f>
        <v>0</v>
      </c>
      <c r="EI22" t="str">
        <f>IF('Data Checking'!EU22="","",'Data Checking'!EU22)</f>
        <v>0</v>
      </c>
      <c r="EJ22" t="str">
        <f>IF('Data Checking'!EV22="","",'Data Checking'!EV22)</f>
        <v/>
      </c>
      <c r="EK22" t="str">
        <f>IF('Data Checking'!EW22="","",'Data Checking'!EW22)</f>
        <v/>
      </c>
      <c r="EL22" t="str">
        <f>IF('Data Checking'!EX22="","",'Data Checking'!EX22)</f>
        <v>femmes_elite famille_accueil</v>
      </c>
      <c r="EM22" t="str">
        <f>IF('Data Checking'!EY22="","",'Data Checking'!EY22)</f>
        <v>1</v>
      </c>
      <c r="EN22" t="str">
        <f>IF('Data Checking'!EZ22="","",'Data Checking'!EZ22)</f>
        <v>0</v>
      </c>
      <c r="EO22" t="str">
        <f>IF('Data Checking'!FA22="","",'Data Checking'!FA22)</f>
        <v>1</v>
      </c>
      <c r="EP22" t="str">
        <f>IF('Data Checking'!FB22="","",'Data Checking'!FB22)</f>
        <v>0</v>
      </c>
      <c r="EQ22" t="str">
        <f>IF('Data Checking'!FC22="","",'Data Checking'!FC22)</f>
        <v>0</v>
      </c>
      <c r="ER22" t="str">
        <f>IF('Data Checking'!FD22="","",'Data Checking'!FD22)</f>
        <v>0</v>
      </c>
      <c r="ES22" t="str">
        <f>IF('Data Checking'!FE22="","",'Data Checking'!FE22)</f>
        <v>0</v>
      </c>
      <c r="ET22" t="str">
        <f>IF('Data Checking'!FF22="","",'Data Checking'!FF22)</f>
        <v>0</v>
      </c>
      <c r="EU22" t="str">
        <f>IF('Data Checking'!FG22="","",'Data Checking'!FG22)</f>
        <v>0</v>
      </c>
      <c r="EV22" t="str">
        <f>IF('Data Checking'!FH22="","",'Data Checking'!FH22)</f>
        <v>0</v>
      </c>
      <c r="EW22" t="str">
        <f>IF('Data Checking'!FI22="","",'Data Checking'!FI22)</f>
        <v/>
      </c>
      <c r="EX22" t="str">
        <f>IF('Data Checking'!FJ22="","",'Data Checking'!FJ22)</f>
        <v>non</v>
      </c>
      <c r="EY22" t="str">
        <f>IF('Data Checking'!FK22="","",'Data Checking'!FK22)</f>
        <v/>
      </c>
      <c r="EZ22" t="str">
        <f>IF('Data Checking'!FL22="","",'Data Checking'!FL22)</f>
        <v/>
      </c>
      <c r="FA22" t="str">
        <f>IF('Data Checking'!FM22="","",'Data Checking'!FM22)</f>
        <v/>
      </c>
      <c r="FB22" t="str">
        <f>IF('Data Checking'!FN22="","",'Data Checking'!FN22)</f>
        <v/>
      </c>
      <c r="FC22" t="str">
        <f>IF('Data Checking'!FO22="","",'Data Checking'!FO22)</f>
        <v/>
      </c>
      <c r="FD22" t="str">
        <f>IF('Data Checking'!FP22="","",'Data Checking'!FP22)</f>
        <v/>
      </c>
      <c r="FE22" t="str">
        <f>IF('Data Checking'!FQ22="","",'Data Checking'!FQ22)</f>
        <v/>
      </c>
      <c r="FF22" t="str">
        <f>IF('Data Checking'!FR22="","",'Data Checking'!FR22)</f>
        <v/>
      </c>
      <c r="FG22" t="str">
        <f>IF('Data Checking'!FS22="","",'Data Checking'!FS22)</f>
        <v/>
      </c>
      <c r="FH22" t="str">
        <f>IF('Data Checking'!FT22="","",'Data Checking'!FT22)</f>
        <v/>
      </c>
      <c r="FI22" t="str">
        <f>IF('Data Checking'!FU22="","",'Data Checking'!FU22)</f>
        <v/>
      </c>
      <c r="FJ22" t="str">
        <f>IF('Data Checking'!FV22="","",'Data Checking'!FV22)</f>
        <v/>
      </c>
      <c r="FK22" t="str">
        <f>IF('Data Checking'!FW22="","",'Data Checking'!FW22)</f>
        <v/>
      </c>
      <c r="FL22" t="str">
        <f>IF('Data Checking'!FX22="","",'Data Checking'!FX22)</f>
        <v/>
      </c>
      <c r="FM22" t="str">
        <f>IF('Data Checking'!FY22="","",'Data Checking'!FY22)</f>
        <v/>
      </c>
      <c r="FN22" t="str">
        <f>IF('Data Checking'!FZ22="","",'Data Checking'!FZ22)</f>
        <v/>
      </c>
      <c r="FO22" t="str">
        <f>IF('Data Checking'!GA22="","",'Data Checking'!GA22)</f>
        <v/>
      </c>
      <c r="FP22" t="str">
        <f>IF('Data Checking'!GB22="","",'Data Checking'!GB22)</f>
        <v/>
      </c>
      <c r="FQ22" t="str">
        <f>IF('Data Checking'!GC22="","",'Data Checking'!GC22)</f>
        <v/>
      </c>
      <c r="FR22" t="str">
        <f>IF('Data Checking'!GD22="","",'Data Checking'!GD22)</f>
        <v/>
      </c>
      <c r="FS22" t="str">
        <f>IF('Data Checking'!GE22="","",'Data Checking'!GE22)</f>
        <v/>
      </c>
      <c r="FT22" t="str">
        <f>IF('Data Checking'!GF22="","",'Data Checking'!GF22)</f>
        <v/>
      </c>
      <c r="FU22" t="str">
        <f>IF('Data Checking'!GG22="","",'Data Checking'!GG22)</f>
        <v/>
      </c>
      <c r="FV22" t="str">
        <f>IF('Data Checking'!GH22="","",'Data Checking'!GH22)</f>
        <v/>
      </c>
      <c r="FW22" t="str">
        <f>IF('Data Checking'!GI22="","",'Data Checking'!GI22)</f>
        <v/>
      </c>
      <c r="FX22" t="str">
        <f>IF('Data Checking'!GJ22="","",'Data Checking'!GJ22)</f>
        <v/>
      </c>
      <c r="FY22" t="str">
        <f>IF('Data Checking'!GK22="","",'Data Checking'!GK22)</f>
        <v/>
      </c>
      <c r="FZ22" t="str">
        <f>IF('Data Checking'!GL22="","",'Data Checking'!GL22)</f>
        <v/>
      </c>
      <c r="GA22" t="str">
        <f>IF('Data Checking'!GM22="","",'Data Checking'!GM22)</f>
        <v/>
      </c>
      <c r="GB22" t="str">
        <f>IF('Data Checking'!GN22="","",'Data Checking'!GN22)</f>
        <v/>
      </c>
      <c r="GC22" t="str">
        <f>IF('Data Checking'!GO22="","",'Data Checking'!GO22)</f>
        <v/>
      </c>
      <c r="GD22" t="str">
        <f>IF('Data Checking'!GP22="","",'Data Checking'!GP22)</f>
        <v/>
      </c>
      <c r="GE22" t="str">
        <f>IF('Data Checking'!GQ22="","",'Data Checking'!GQ22)</f>
        <v/>
      </c>
      <c r="GF22" t="str">
        <f>IF('Data Checking'!GR22="","",'Data Checking'!GR22)</f>
        <v/>
      </c>
      <c r="GG22" t="str">
        <f>IF('Data Checking'!GS22="","",'Data Checking'!GS22)</f>
        <v/>
      </c>
      <c r="GH22" t="str">
        <f>IF('Data Checking'!GT22="","",'Data Checking'!GT22)</f>
        <v/>
      </c>
      <c r="GI22" t="str">
        <f>IF('Data Checking'!GU22="","",'Data Checking'!GU22)</f>
        <v/>
      </c>
      <c r="GJ22" t="str">
        <f>IF('Data Checking'!GV22="","",'Data Checking'!GV22)</f>
        <v/>
      </c>
      <c r="GK22" t="str">
        <f>IF('Data Checking'!GW22="","",'Data Checking'!GW22)</f>
        <v/>
      </c>
      <c r="GL22" t="str">
        <f>IF('Data Checking'!GX22="","",'Data Checking'!GX22)</f>
        <v/>
      </c>
      <c r="GM22" t="str">
        <f>IF('Data Checking'!GY22="","",'Data Checking'!GY22)</f>
        <v/>
      </c>
      <c r="GN22" t="str">
        <f>IF('Data Checking'!GZ22="","",'Data Checking'!GZ22)</f>
        <v/>
      </c>
      <c r="GO22" t="str">
        <f>IF('Data Checking'!HA22="","",'Data Checking'!HA22)</f>
        <v/>
      </c>
      <c r="GP22" t="str">
        <f>IF('Data Checking'!HB22="","",'Data Checking'!HB22)</f>
        <v/>
      </c>
      <c r="GQ22" t="str">
        <f>IF('Data Checking'!HC22="","",'Data Checking'!HC22)</f>
        <v/>
      </c>
      <c r="GR22" t="str">
        <f>IF('Data Checking'!HD22="","",'Data Checking'!HD22)</f>
        <v/>
      </c>
      <c r="GS22" t="str">
        <f>IF('Data Checking'!HE22="","",'Data Checking'!HE22)</f>
        <v/>
      </c>
      <c r="GT22" t="str">
        <f>IF('Data Checking'!HF22="","",'Data Checking'!HF22)</f>
        <v/>
      </c>
      <c r="GU22" t="str">
        <f>IF('Data Checking'!HG22="","",'Data Checking'!HG22)</f>
        <v/>
      </c>
      <c r="GV22" t="str">
        <f>IF('Data Checking'!HH22="","",'Data Checking'!HH22)</f>
        <v/>
      </c>
      <c r="GW22" t="str">
        <f>IF('Data Checking'!HI22="","",'Data Checking'!HI22)</f>
        <v/>
      </c>
      <c r="GX22" t="str">
        <f>IF('Data Checking'!HJ22="","",'Data Checking'!HJ22)</f>
        <v/>
      </c>
      <c r="GY22" t="str">
        <f>IF('Data Checking'!HK22="","",'Data Checking'!HK22)</f>
        <v/>
      </c>
      <c r="GZ22" t="str">
        <f>IF('Data Checking'!HL22="","",'Data Checking'!HL22)</f>
        <v/>
      </c>
      <c r="HA22" t="str">
        <f>IF('Data Checking'!HM22="","",'Data Checking'!HM22)</f>
        <v/>
      </c>
      <c r="HB22" t="str">
        <f>IF('Data Checking'!HN22="","",'Data Checking'!HN22)</f>
        <v/>
      </c>
      <c r="HC22" t="str">
        <f>IF('Data Checking'!HO22="","",'Data Checking'!HO22)</f>
        <v/>
      </c>
      <c r="HD22" t="str">
        <f>IF('Data Checking'!HP22="","",'Data Checking'!HP22)</f>
        <v/>
      </c>
      <c r="HE22" t="str">
        <f>IF('Data Checking'!HQ22="","",'Data Checking'!HQ22)</f>
        <v/>
      </c>
      <c r="HF22" t="str">
        <f>IF('Data Checking'!HR22="","",'Data Checking'!HR22)</f>
        <v/>
      </c>
      <c r="HG22" t="str">
        <f>IF('Data Checking'!HS22="","",'Data Checking'!HS22)</f>
        <v/>
      </c>
      <c r="HH22" t="str">
        <f>IF('Data Checking'!HT22="","",'Data Checking'!HT22)</f>
        <v/>
      </c>
      <c r="HI22" t="str">
        <f>IF('Data Checking'!HU22="","",'Data Checking'!HU22)</f>
        <v>oui_moitie</v>
      </c>
      <c r="HJ22" t="str">
        <f>IF('Data Checking'!HV22="","",'Data Checking'!HV22)</f>
        <v>ingo</v>
      </c>
      <c r="HK22" t="str">
        <f>IF('Data Checking'!HW22="","",'Data Checking'!HW22)</f>
        <v>0</v>
      </c>
      <c r="HL22" t="str">
        <f>IF('Data Checking'!HX22="","",'Data Checking'!HX22)</f>
        <v>0</v>
      </c>
      <c r="HM22" t="str">
        <f>IF('Data Checking'!HY22="","",'Data Checking'!HY22)</f>
        <v>0</v>
      </c>
      <c r="HN22" t="str">
        <f>IF('Data Checking'!HZ22="","",'Data Checking'!HZ22)</f>
        <v>0</v>
      </c>
      <c r="HO22" t="str">
        <f>IF('Data Checking'!IA22="","",'Data Checking'!IA22)</f>
        <v>1</v>
      </c>
      <c r="HP22" t="str">
        <f>IF('Data Checking'!IB22="","",'Data Checking'!IB22)</f>
        <v>0</v>
      </c>
      <c r="HQ22" t="str">
        <f>IF('Data Checking'!IC22="","",'Data Checking'!IC22)</f>
        <v>0</v>
      </c>
      <c r="HR22" t="str">
        <f>IF('Data Checking'!ID22="","",'Data Checking'!ID22)</f>
        <v>0</v>
      </c>
      <c r="HS22" t="str">
        <f>IF('Data Checking'!IE22="","",'Data Checking'!IE22)</f>
        <v>0</v>
      </c>
      <c r="HT22" t="str">
        <f>IF('Data Checking'!IF22="","",'Data Checking'!IF22)</f>
        <v>0</v>
      </c>
      <c r="HU22" t="str">
        <f>IF('Data Checking'!IG22="","",'Data Checking'!IG22)</f>
        <v/>
      </c>
      <c r="HV22" t="str">
        <f>IF('Data Checking'!IH22="","",'Data Checking'!IH22)</f>
        <v>oui</v>
      </c>
      <c r="HW22" t="str">
        <f>IF('Data Checking'!II22="","",'Data Checking'!II22)</f>
        <v/>
      </c>
      <c r="HX22" t="str">
        <f>IF('Data Checking'!IJ22="","",'Data Checking'!IJ22)</f>
        <v>Bebes/Bambins Enfants Filles Femmes_agees Hommes_ages</v>
      </c>
      <c r="HY22" t="str">
        <f>IF('Data Checking'!IK22="","",'Data Checking'!IK22)</f>
        <v>1</v>
      </c>
      <c r="HZ22" t="str">
        <f>IF('Data Checking'!IL22="","",'Data Checking'!IL22)</f>
        <v>1</v>
      </c>
      <c r="IA22" t="str">
        <f>IF('Data Checking'!IM22="","",'Data Checking'!IM22)</f>
        <v>1</v>
      </c>
      <c r="IB22" t="str">
        <f>IF('Data Checking'!IN22="","",'Data Checking'!IN22)</f>
        <v>0</v>
      </c>
      <c r="IC22" t="str">
        <f>IF('Data Checking'!IO22="","",'Data Checking'!IO22)</f>
        <v>0</v>
      </c>
      <c r="ID22" t="str">
        <f>IF('Data Checking'!IP22="","",'Data Checking'!IP22)</f>
        <v>0</v>
      </c>
      <c r="IE22" t="str">
        <f>IF('Data Checking'!IQ22="","",'Data Checking'!IQ22)</f>
        <v>1</v>
      </c>
      <c r="IF22" t="str">
        <f>IF('Data Checking'!IR22="","",'Data Checking'!IR22)</f>
        <v>1</v>
      </c>
      <c r="IG22" t="str">
        <f>IF('Data Checking'!IS22="","",'Data Checking'!IS22)</f>
        <v>0</v>
      </c>
      <c r="IH22" t="str">
        <f>IF('Data Checking'!IT22="","",'Data Checking'!IT22)</f>
        <v>0</v>
      </c>
      <c r="II22" t="str">
        <f>IF('Data Checking'!IU22="","",'Data Checking'!IU22)</f>
        <v>0</v>
      </c>
      <c r="IJ22" t="str">
        <f>IF('Data Checking'!IV22="","",'Data Checking'!IV22)</f>
        <v>0</v>
      </c>
      <c r="IK22" t="str">
        <f>IF('Data Checking'!IW22="","",'Data Checking'!IW22)</f>
        <v>0</v>
      </c>
      <c r="IL22" t="str">
        <f>IF('Data Checking'!IX22="","",'Data Checking'!IX22)</f>
        <v>0</v>
      </c>
      <c r="IM22" t="str">
        <f>IF('Data Checking'!IY22="","",'Data Checking'!IY22)</f>
        <v/>
      </c>
      <c r="IN22" t="str">
        <f>IF('Data Checking'!IZ22="","",'Data Checking'!IZ22)</f>
        <v>10</v>
      </c>
      <c r="IO22" t="str">
        <f>IF('Data Checking'!JA22="","",'Data Checking'!JA22)</f>
        <v>NA</v>
      </c>
      <c r="IP22" t="str">
        <f>IF('Data Checking'!JB22="","",'Data Checking'!JB22)</f>
        <v>NA</v>
      </c>
      <c r="IQ22" t="str">
        <f>IF('Data Checking'!JC22="","",'Data Checking'!JC22)</f>
        <v>NA</v>
      </c>
      <c r="IR22" t="str">
        <f>IF('Data Checking'!JD22="","",'Data Checking'!JD22)</f>
        <v>NA</v>
      </c>
      <c r="IS22" t="str">
        <f>IF('Data Checking'!JE22="","",'Data Checking'!JE22)</f>
        <v>NA</v>
      </c>
      <c r="IT22" t="str">
        <f>IF('Data Checking'!JF22="","",'Data Checking'!JF22)</f>
        <v>NA</v>
      </c>
      <c r="IU22" t="str">
        <f>IF('Data Checking'!JG22="","",'Data Checking'!JG22)</f>
        <v>NA</v>
      </c>
      <c r="IV22" t="str">
        <f>IF('Data Checking'!JH22="","",'Data Checking'!JH22)</f>
        <v>NA</v>
      </c>
      <c r="IW22" t="str">
        <f>IF('Data Checking'!JI22="","",'Data Checking'!JI22)</f>
        <v>NA</v>
      </c>
      <c r="IX22" t="str">
        <f>IF('Data Checking'!JJ22="","",'Data Checking'!JJ22)</f>
        <v>NA</v>
      </c>
      <c r="IY22" t="str">
        <f>IF('Data Checking'!JK22="","",'Data Checking'!JK22)</f>
        <v>NA</v>
      </c>
      <c r="IZ22" t="str">
        <f>IF('Data Checking'!JL22="","",'Data Checking'!JL22)</f>
        <v/>
      </c>
      <c r="JA22" t="str">
        <f>IF('Data Checking'!JM22="","",'Data Checking'!JM22)</f>
        <v>signalement reorientation</v>
      </c>
      <c r="JB22" t="str">
        <f>IF('Data Checking'!JN22="","",'Data Checking'!JN22)</f>
        <v>0</v>
      </c>
      <c r="JC22" t="str">
        <f>IF('Data Checking'!JO22="","",'Data Checking'!JO22)</f>
        <v>1</v>
      </c>
      <c r="JD22" t="str">
        <f>IF('Data Checking'!JP22="","",'Data Checking'!JP22)</f>
        <v>1</v>
      </c>
      <c r="JE22">
        <f>IF('Data Checking'!JQ22="","",'Data Checking'!JQ22)</f>
        <v>0</v>
      </c>
      <c r="JF22" t="str">
        <f>IF('Data Checking'!JR22="","",'Data Checking'!JR22)</f>
        <v>0</v>
      </c>
      <c r="JG22" t="str">
        <f>IF('Data Checking'!JS22="","",'Data Checking'!JS22)</f>
        <v>0</v>
      </c>
      <c r="JH22" t="str">
        <f>IF('Data Checking'!JT22="","",'Data Checking'!JT22)</f>
        <v/>
      </c>
      <c r="JI22" t="str">
        <f>IF('Data Checking'!JU22="","",'Data Checking'!JU22)</f>
        <v/>
      </c>
      <c r="JJ22" t="str">
        <f>IF('Data Checking'!JV22="","",'Data Checking'!JV22)</f>
        <v/>
      </c>
      <c r="JK22" t="str">
        <f>IF('Data Checking'!JW22="","",'Data Checking'!JW22)</f>
        <v/>
      </c>
      <c r="JL22" t="str">
        <f>IF('Data Checking'!JX22="","",'Data Checking'!JX22)</f>
        <v/>
      </c>
      <c r="JM22" t="str">
        <f>IF('Data Checking'!JY22="","",'Data Checking'!JY22)</f>
        <v/>
      </c>
      <c r="JN22" t="str">
        <f>IF('Data Checking'!JZ22="","",'Data Checking'!JZ22)</f>
        <v/>
      </c>
      <c r="JO22" t="str">
        <f>IF('Data Checking'!KA22="","",'Data Checking'!KA22)</f>
        <v/>
      </c>
      <c r="JP22" t="str">
        <f>IF('Data Checking'!KB22="","",'Data Checking'!KB22)</f>
        <v/>
      </c>
      <c r="JQ22" t="str">
        <f>IF('Data Checking'!KC22="","",'Data Checking'!KC22)</f>
        <v/>
      </c>
      <c r="JR22" t="str">
        <f>IF('Data Checking'!KD22="","",'Data Checking'!KD22)</f>
        <v/>
      </c>
      <c r="JS22" t="str">
        <f>IF('Data Checking'!KE22="","",'Data Checking'!KE22)</f>
        <v/>
      </c>
      <c r="JT22" t="str">
        <f>IF('Data Checking'!KF22="","",'Data Checking'!KF22)</f>
        <v>surete centre_formation medical Psychosocia</v>
      </c>
      <c r="JU22" t="str">
        <f>IF('Data Checking'!KG22="","",'Data Checking'!KG22)</f>
        <v>1</v>
      </c>
      <c r="JV22" t="str">
        <f>IF('Data Checking'!KH22="","",'Data Checking'!KH22)</f>
        <v>1</v>
      </c>
      <c r="JW22" t="str">
        <f>IF('Data Checking'!KI22="","",'Data Checking'!KI22)</f>
        <v>0</v>
      </c>
      <c r="JX22" t="str">
        <f>IF('Data Checking'!KJ22="","",'Data Checking'!KJ22)</f>
        <v>0</v>
      </c>
      <c r="JY22" t="str">
        <f>IF('Data Checking'!KK22="","",'Data Checking'!KK22)</f>
        <v>1</v>
      </c>
      <c r="JZ22" t="str">
        <f>IF('Data Checking'!KL22="","",'Data Checking'!KL22)</f>
        <v>0</v>
      </c>
      <c r="KA22" t="str">
        <f>IF('Data Checking'!KM22="","",'Data Checking'!KM22)</f>
        <v>1</v>
      </c>
      <c r="KB22" t="str">
        <f>IF('Data Checking'!KN22="","",'Data Checking'!KN22)</f>
        <v>0</v>
      </c>
      <c r="KC22" t="str">
        <f>IF('Data Checking'!KO22="","",'Data Checking'!KO22)</f>
        <v>0</v>
      </c>
      <c r="KD22" t="str">
        <f>IF('Data Checking'!KP22="","",'Data Checking'!KP22)</f>
        <v/>
      </c>
      <c r="KE22" t="str">
        <f>IF('Data Checking'!KQ22="","",'Data Checking'!KQ22)</f>
        <v/>
      </c>
      <c r="KF22" t="str">
        <f>IF('Data Checking'!KR22="","",'Data Checking'!KR22)</f>
        <v>oui</v>
      </c>
      <c r="KG22" t="str">
        <f>IF('Data Checking'!KS22="","",'Data Checking'!KS22)</f>
        <v>manque_moyens manque_personnes manque_d'information insecurite_zone tensions_locales</v>
      </c>
      <c r="KH22" t="str">
        <f>IF('Data Checking'!KT22="","",'Data Checking'!KT22)</f>
        <v>1</v>
      </c>
      <c r="KI22" t="str">
        <f>IF('Data Checking'!KU22="","",'Data Checking'!KU22)</f>
        <v>1</v>
      </c>
      <c r="KJ22" t="str">
        <f>IF('Data Checking'!KV22="","",'Data Checking'!KV22)</f>
        <v>1</v>
      </c>
      <c r="KK22" t="str">
        <f>IF('Data Checking'!KW22="","",'Data Checking'!KW22)</f>
        <v>0</v>
      </c>
      <c r="KL22" t="str">
        <f>IF('Data Checking'!KX22="","",'Data Checking'!KX22)</f>
        <v>1</v>
      </c>
      <c r="KM22" t="str">
        <f>IF('Data Checking'!KY22="","",'Data Checking'!KY22)</f>
        <v>1</v>
      </c>
      <c r="KN22" t="str">
        <f>IF('Data Checking'!KZ22="","",'Data Checking'!KZ22)</f>
        <v>0</v>
      </c>
      <c r="KO22" t="str">
        <f>IF('Data Checking'!LA22="","",'Data Checking'!LA22)</f>
        <v>0</v>
      </c>
      <c r="KP22" t="str">
        <f>IF('Data Checking'!LB22="","",'Data Checking'!LB22)</f>
        <v>0</v>
      </c>
      <c r="KQ22" t="str">
        <f>IF('Data Checking'!LC22="","",'Data Checking'!LC22)</f>
        <v>0</v>
      </c>
      <c r="KR22" t="str">
        <f>IF('Data Checking'!LD22="","",'Data Checking'!LD22)</f>
        <v>0</v>
      </c>
      <c r="KS22" t="str">
        <f>IF('Data Checking'!LE22="","",'Data Checking'!LE22)</f>
        <v/>
      </c>
      <c r="KT22" t="str">
        <f>IF('Data Checking'!LF22="","",'Data Checking'!LF22)</f>
        <v/>
      </c>
      <c r="KU22" t="str">
        <f>IF('Data Checking'!LG22="","",'Data Checking'!LG22)</f>
        <v/>
      </c>
      <c r="KV22" t="str">
        <f>IF('Data Checking'!LH22="","",'Data Checking'!LH22)</f>
        <v/>
      </c>
      <c r="KW22" t="str">
        <f>IF('Data Checking'!LI22="","",'Data Checking'!LI22)</f>
        <v/>
      </c>
      <c r="KX22" t="str">
        <f>IF('Data Checking'!LJ22="","",'Data Checking'!LJ22)</f>
        <v/>
      </c>
      <c r="KY22" t="str">
        <f>IF('Data Checking'!LK22="","",'Data Checking'!LK22)</f>
        <v/>
      </c>
      <c r="KZ22" t="str">
        <f>IF('Data Checking'!LL22="","",'Data Checking'!LL22)</f>
        <v/>
      </c>
      <c r="LA22" t="str">
        <f>IF('Data Checking'!LM22="","",'Data Checking'!LM22)</f>
        <v/>
      </c>
      <c r="LB22" t="str">
        <f>IF('Data Checking'!LN22="","",'Data Checking'!LN22)</f>
        <v>non</v>
      </c>
      <c r="LC22" t="str">
        <f>IF('Data Checking'!LO22="","",'Data Checking'!LO22)</f>
        <v/>
      </c>
      <c r="LD22" t="str">
        <f>IF('Data Checking'!LP22="","",'Data Checking'!LP22)</f>
        <v/>
      </c>
      <c r="LE22" t="str">
        <f>IF('Data Checking'!LQ22="","",'Data Checking'!LQ22)</f>
        <v/>
      </c>
      <c r="LF22" t="str">
        <f>IF('Data Checking'!LR22="","",'Data Checking'!LR22)</f>
        <v/>
      </c>
      <c r="LG22" t="str">
        <f>IF('Data Checking'!LS22="","",'Data Checking'!LS22)</f>
        <v/>
      </c>
      <c r="LH22" t="str">
        <f>IF('Data Checking'!LT22="","",'Data Checking'!LT22)</f>
        <v/>
      </c>
      <c r="LI22" t="str">
        <f>IF('Data Checking'!LU22="","",'Data Checking'!LU22)</f>
        <v/>
      </c>
      <c r="LJ22" t="str">
        <f>IF('Data Checking'!LV22="","",'Data Checking'!LV22)</f>
        <v/>
      </c>
      <c r="LK22" t="str">
        <f>IF('Data Checking'!LW22="","",'Data Checking'!LW22)</f>
        <v/>
      </c>
      <c r="LL22" t="str">
        <f>IF('Data Checking'!LX22="","",'Data Checking'!LX22)</f>
        <v/>
      </c>
      <c r="LM22" t="str">
        <f>IF('Data Checking'!LY22="","",'Data Checking'!LY22)</f>
        <v/>
      </c>
      <c r="LN22" t="str">
        <f>IF('Data Checking'!LZ22="","",'Data Checking'!LZ22)</f>
        <v/>
      </c>
      <c r="LO22" t="str">
        <f>IF('Data Checking'!MA22="","",'Data Checking'!MA22)</f>
        <v/>
      </c>
      <c r="LP22" t="str">
        <f>IF('Data Checking'!MB22="","",'Data Checking'!MB22)</f>
        <v>oui</v>
      </c>
      <c r="LQ22" t="str">
        <f>IF('Data Checking'!MC22="","",'Data Checking'!MC22)</f>
        <v/>
      </c>
      <c r="LR22" t="str">
        <f>IF('Data Checking'!MD22="","",'Data Checking'!MD22)</f>
        <v>Appel aux ONG et appu aux régénératrice de revenus</v>
      </c>
      <c r="LS22">
        <f>IF('Data Checking'!ME22="","",'Data Checking'!ME22)</f>
        <v>168983515</v>
      </c>
      <c r="LT22" t="str">
        <f>IF('Data Checking'!MF22="","",'Data Checking'!MF22)</f>
        <v>ff465deb-b738-4edb-80b3-18b7db548378</v>
      </c>
      <c r="LU22" t="str">
        <f>IF('Data Checking'!MG22="","",'Data Checking'!MG22)</f>
        <v>2021-03-31T21:00:12</v>
      </c>
      <c r="LV22" t="str">
        <f>IF('Data Checking'!MH22="","",'Data Checking'!MH22)</f>
        <v/>
      </c>
      <c r="LW22" t="str">
        <f>IF('Data Checking'!MI22="","",'Data Checking'!MI22)</f>
        <v>[]</v>
      </c>
      <c r="LX22" t="str">
        <f>IF('Data Checking'!MJ22="","",'Data Checking'!MJ22)</f>
        <v>submitted_via_web</v>
      </c>
      <c r="LY22" t="str">
        <f>IF('Data Checking'!MK22="","",'Data Checking'!MK22)</f>
        <v>reach_niger</v>
      </c>
      <c r="LZ22" t="str">
        <f>IF('Data Checking'!ML22="","",'Data Checking'!ML22)</f>
        <v/>
      </c>
      <c r="MA22">
        <f>IF('Data Checking'!MM22="","",'Data Checking'!MM22)</f>
        <v>4</v>
      </c>
    </row>
    <row r="23" spans="1:339" x14ac:dyDescent="0.3">
      <c r="A23" t="str">
        <f>IF('Data Checking'!D23="","",'Data Checking'!D23)</f>
        <v>2021-04-01T19:48:23.558+01:00</v>
      </c>
      <c r="B23" t="str">
        <f>IF('Data Checking'!E23="","",'Data Checking'!E23)</f>
        <v>2021-04-01T20:01:04.538+01:00</v>
      </c>
      <c r="C23" t="str">
        <f>IF('Data Checking'!M23="","",'Data Checking'!M23)</f>
        <v>2021-04-01</v>
      </c>
      <c r="D23" t="str">
        <f>IF('Data Checking'!N23="","",'Data Checking'!N23)</f>
        <v/>
      </c>
      <c r="E23" t="str">
        <f>IF('Data Checking'!O23="","",'Data Checking'!O23)</f>
        <v/>
      </c>
      <c r="F23" t="str">
        <f>IF('Data Checking'!R23="","",'Data Checking'!R23)</f>
        <v>Homme</v>
      </c>
      <c r="G23" t="str">
        <f>IF('Data Checking'!S23="","",'Data Checking'!S23)</f>
        <v>tera</v>
      </c>
      <c r="H23" t="str">
        <f>IF('Data Checking'!T23="","",'Data Checking'!T23)</f>
        <v>tera</v>
      </c>
      <c r="I23" t="str">
        <f>IF('Data Checking'!U23="","",'Data Checking'!U23)</f>
        <v>foneko</v>
      </c>
      <c r="J23" t="str">
        <f>IF('Data Checking'!V23="","",'Data Checking'!V23)</f>
        <v/>
      </c>
      <c r="K23" t="str">
        <f>IF('Data Checking'!W23="","",'Data Checking'!W23)</f>
        <v/>
      </c>
      <c r="L23" t="str">
        <f>IF('Data Checking'!X23="","",'Data Checking'!X23)</f>
        <v/>
      </c>
      <c r="M23" t="str">
        <f>IF('Data Checking'!Y23="","",'Data Checking'!Y23)</f>
        <v/>
      </c>
      <c r="N23" t="str">
        <f>IF('Data Checking'!Z23="","",'Data Checking'!Z23)</f>
        <v/>
      </c>
      <c r="O23" t="str">
        <f>IF('Data Checking'!AA23="","",'Data Checking'!AA23)</f>
        <v/>
      </c>
      <c r="P23" t="str">
        <f>IF('Data Checking'!AB23="","",'Data Checking'!AB23)</f>
        <v/>
      </c>
      <c r="Q23" t="str">
        <f>IF('Data Checking'!AC23="","",'Data Checking'!AC23)</f>
        <v/>
      </c>
      <c r="R23" t="str">
        <f>IF('Data Checking'!AD23="","",'Data Checking'!AD23)</f>
        <v>Homme</v>
      </c>
      <c r="S23" t="str">
        <f>IF('Data Checking'!AE23="","",'Data Checking'!AE23)</f>
        <v>54</v>
      </c>
      <c r="T23" t="str">
        <f>IF('Data Checking'!AF23="","",'Data Checking'!AF23)</f>
        <v>deplace_interne</v>
      </c>
      <c r="U23" t="str">
        <f>IF('Data Checking'!AG23="","",'Data Checking'!AG23)</f>
        <v/>
      </c>
      <c r="V23" t="str">
        <f>IF('Data Checking'!AH23="","",'Data Checking'!AH23)</f>
        <v/>
      </c>
      <c r="W23" t="str">
        <f>IF('Data Checking'!AI23="","",'Data Checking'!AI23)</f>
        <v/>
      </c>
      <c r="X23" t="str">
        <f>IF('Data Checking'!AJ23="","",'Data Checking'!AJ23)</f>
        <v/>
      </c>
      <c r="Y23" t="str">
        <f>IF('Data Checking'!AK23="","",'Data Checking'!AK23)</f>
        <v/>
      </c>
      <c r="Z23" t="str">
        <f>IF('Data Checking'!AL23="","",'Data Checking'!AL23)</f>
        <v>niger</v>
      </c>
      <c r="AA23" t="str">
        <f>IF('Data Checking'!AM23="","",'Data Checking'!AM23)</f>
        <v>tillaberi</v>
      </c>
      <c r="AB23" t="str">
        <f>IF('Data Checking'!AN23="","",'Data Checking'!AN23)</f>
        <v>tera</v>
      </c>
      <c r="AC23" t="str">
        <f>IF('Data Checking'!AO23="","",'Data Checking'!AO23)</f>
        <v/>
      </c>
      <c r="AD23" t="str">
        <f>IF('Data Checking'!AP23="","",'Data Checking'!AP23)</f>
        <v/>
      </c>
      <c r="AE23" t="str">
        <f>IF('Data Checking'!AQ23="","",'Data Checking'!AQ23)</f>
        <v/>
      </c>
      <c r="AF23" t="str">
        <f>IF('Data Checking'!AR23="","",'Data Checking'!AR23)</f>
        <v/>
      </c>
      <c r="AG23" t="str">
        <f>IF('Data Checking'!AS23="","",'Data Checking'!AS23)</f>
        <v>oui</v>
      </c>
      <c r="AH23" t="str">
        <f>IF('Data Checking'!AT23="","",'Data Checking'!AT23)</f>
        <v>Disputes_intercommunataires Vols_braquages extorsions Attaques_ecoles_sante Recrutement_enfants</v>
      </c>
      <c r="AI23" t="str">
        <f>IF('Data Checking'!AU23="","",'Data Checking'!AU23)</f>
        <v>0</v>
      </c>
      <c r="AJ23" t="str">
        <f>IF('Data Checking'!AV23="","",'Data Checking'!AV23)</f>
        <v>1</v>
      </c>
      <c r="AK23" t="str">
        <f>IF('Data Checking'!AW23="","",'Data Checking'!AW23)</f>
        <v>1</v>
      </c>
      <c r="AL23" t="str">
        <f>IF('Data Checking'!AX23="","",'Data Checking'!AX23)</f>
        <v>1</v>
      </c>
      <c r="AM23" t="str">
        <f>IF('Data Checking'!AY23="","",'Data Checking'!AY23)</f>
        <v>0</v>
      </c>
      <c r="AN23" t="str">
        <f>IF('Data Checking'!AZ23="","",'Data Checking'!AZ23)</f>
        <v>0</v>
      </c>
      <c r="AO23" t="str">
        <f>IF('Data Checking'!BA23="","",'Data Checking'!BA23)</f>
        <v>1</v>
      </c>
      <c r="AP23" t="str">
        <f>IF('Data Checking'!BB23="","",'Data Checking'!BB23)</f>
        <v>1</v>
      </c>
      <c r="AQ23" t="str">
        <f>IF('Data Checking'!BC23="","",'Data Checking'!BC23)</f>
        <v>0</v>
      </c>
      <c r="AR23" t="str">
        <f>IF('Data Checking'!BD23="","",'Data Checking'!BD23)</f>
        <v>0</v>
      </c>
      <c r="AS23" t="str">
        <f>IF('Data Checking'!BE23="","",'Data Checking'!BE23)</f>
        <v>0</v>
      </c>
      <c r="AT23" t="str">
        <f>IF('Data Checking'!BF23="","",'Data Checking'!BF23)</f>
        <v>0</v>
      </c>
      <c r="AU23" t="str">
        <f>IF('Data Checking'!BG23="","",'Data Checking'!BG23)</f>
        <v>0</v>
      </c>
      <c r="AV23" t="str">
        <f>IF('Data Checking'!BH23="","",'Data Checking'!BH23)</f>
        <v>0</v>
      </c>
      <c r="AW23" t="str">
        <f>IF('Data Checking'!BI23="","",'Data Checking'!BI23)</f>
        <v/>
      </c>
      <c r="AX23" t="str">
        <f>IF('Data Checking'!BJ23="","",'Data Checking'!BJ23)</f>
        <v>Bebes/Bambins Enfants Filles Femmes Hommes</v>
      </c>
      <c r="AY23" t="str">
        <f>IF('Data Checking'!BK23="","",'Data Checking'!BK23)</f>
        <v>1</v>
      </c>
      <c r="AZ23" t="str">
        <f>IF('Data Checking'!BL23="","",'Data Checking'!BL23)</f>
        <v>1</v>
      </c>
      <c r="BA23" t="str">
        <f>IF('Data Checking'!BM23="","",'Data Checking'!BM23)</f>
        <v>1</v>
      </c>
      <c r="BB23" t="str">
        <f>IF('Data Checking'!BN23="","",'Data Checking'!BN23)</f>
        <v>0</v>
      </c>
      <c r="BC23" t="str">
        <f>IF('Data Checking'!BO23="","",'Data Checking'!BO23)</f>
        <v>1</v>
      </c>
      <c r="BD23" t="str">
        <f>IF('Data Checking'!BP23="","",'Data Checking'!BP23)</f>
        <v>1</v>
      </c>
      <c r="BE23" t="str">
        <f>IF('Data Checking'!BQ23="","",'Data Checking'!BQ23)</f>
        <v>0</v>
      </c>
      <c r="BF23" t="str">
        <f>IF('Data Checking'!BR23="","",'Data Checking'!BR23)</f>
        <v>0</v>
      </c>
      <c r="BG23" t="str">
        <f>IF('Data Checking'!BS23="","",'Data Checking'!BS23)</f>
        <v>0</v>
      </c>
      <c r="BH23" t="str">
        <f>IF('Data Checking'!BT23="","",'Data Checking'!BT23)</f>
        <v>0</v>
      </c>
      <c r="BI23" t="str">
        <f>IF('Data Checking'!BU23="","",'Data Checking'!BU23)</f>
        <v>0</v>
      </c>
      <c r="BJ23" t="str">
        <f>IF('Data Checking'!BV23="","",'Data Checking'!BV23)</f>
        <v>0</v>
      </c>
      <c r="BK23" t="str">
        <f>IF('Data Checking'!BW23="","",'Data Checking'!BW23)</f>
        <v>0</v>
      </c>
      <c r="BL23" t="str">
        <f>IF('Data Checking'!BX23="","",'Data Checking'!BX23)</f>
        <v>0</v>
      </c>
      <c r="BM23" t="str">
        <f>IF('Data Checking'!BY23="","",'Data Checking'!BY23)</f>
        <v/>
      </c>
      <c r="BN23" t="str">
        <f>IF('Data Checking'!BZ23="","",'Data Checking'!BZ23)</f>
        <v>3</v>
      </c>
      <c r="BO23" t="str">
        <f>IF('Data Checking'!CA23="","",'Data Checking'!CA23)</f>
        <v>augmente</v>
      </c>
      <c r="BP23" t="str">
        <f>IF('Data Checking'!CB23="","",'Data Checking'!CB23)</f>
        <v/>
      </c>
      <c r="BQ23" t="str">
        <f>IF('Data Checking'!CC23="","",'Data Checking'!CC23)</f>
        <v>oui</v>
      </c>
      <c r="BR23" t="str">
        <f>IF('Data Checking'!CD23="","",'Data Checking'!CD23)</f>
        <v>agression_physique agression_psychologique travail_force exploitations_sexuelles exploitations_enfant</v>
      </c>
      <c r="BS23" t="str">
        <f>IF('Data Checking'!CE23="","",'Data Checking'!CE23)</f>
        <v>0</v>
      </c>
      <c r="BT23" t="str">
        <f>IF('Data Checking'!CF23="","",'Data Checking'!CF23)</f>
        <v>0</v>
      </c>
      <c r="BU23" t="str">
        <f>IF('Data Checking'!CG23="","",'Data Checking'!CG23)</f>
        <v>1</v>
      </c>
      <c r="BV23" t="str">
        <f>IF('Data Checking'!CH23="","",'Data Checking'!CH23)</f>
        <v>0</v>
      </c>
      <c r="BW23" t="str">
        <f>IF('Data Checking'!CI23="","",'Data Checking'!CI23)</f>
        <v>1</v>
      </c>
      <c r="BX23" t="str">
        <f>IF('Data Checking'!CJ23="","",'Data Checking'!CJ23)</f>
        <v>0</v>
      </c>
      <c r="BY23" t="str">
        <f>IF('Data Checking'!CK23="","",'Data Checking'!CK23)</f>
        <v>1</v>
      </c>
      <c r="BZ23" t="str">
        <f>IF('Data Checking'!CL23="","",'Data Checking'!CL23)</f>
        <v>0</v>
      </c>
      <c r="CA23" t="str">
        <f>IF('Data Checking'!CM23="","",'Data Checking'!CM23)</f>
        <v>1</v>
      </c>
      <c r="CB23" t="str">
        <f>IF('Data Checking'!CN23="","",'Data Checking'!CN23)</f>
        <v>1</v>
      </c>
      <c r="CC23" t="str">
        <f>IF('Data Checking'!CO23="","",'Data Checking'!CO23)</f>
        <v>0</v>
      </c>
      <c r="CD23" t="str">
        <f>IF('Data Checking'!CP23="","",'Data Checking'!CP23)</f>
        <v>0</v>
      </c>
      <c r="CE23" t="str">
        <f>IF('Data Checking'!CQ23="","",'Data Checking'!CQ23)</f>
        <v>0</v>
      </c>
      <c r="CF23" t="str">
        <f>IF('Data Checking'!CR23="","",'Data Checking'!CR23)</f>
        <v>0</v>
      </c>
      <c r="CG23" t="str">
        <f>IF('Data Checking'!CS23="","",'Data Checking'!CS23)</f>
        <v>0</v>
      </c>
      <c r="CH23" t="str">
        <f>IF('Data Checking'!CT23="","",'Data Checking'!CT23)</f>
        <v/>
      </c>
      <c r="CI23" t="str">
        <f>IF('Data Checking'!CU23="","",'Data Checking'!CU23)</f>
        <v>Bebes/Bambins Enfants Filles Femmes Hommes</v>
      </c>
      <c r="CJ23" t="str">
        <f>IF('Data Checking'!CV23="","",'Data Checking'!CV23)</f>
        <v>1</v>
      </c>
      <c r="CK23" t="str">
        <f>IF('Data Checking'!CW23="","",'Data Checking'!CW23)</f>
        <v>1</v>
      </c>
      <c r="CL23" t="str">
        <f>IF('Data Checking'!CX23="","",'Data Checking'!CX23)</f>
        <v>1</v>
      </c>
      <c r="CM23" t="str">
        <f>IF('Data Checking'!CY23="","",'Data Checking'!CY23)</f>
        <v>0</v>
      </c>
      <c r="CN23" t="str">
        <f>IF('Data Checking'!CZ23="","",'Data Checking'!CZ23)</f>
        <v>1</v>
      </c>
      <c r="CO23" t="str">
        <f>IF('Data Checking'!DA23="","",'Data Checking'!DA23)</f>
        <v>1</v>
      </c>
      <c r="CP23" t="str">
        <f>IF('Data Checking'!DB23="","",'Data Checking'!DB23)</f>
        <v>0</v>
      </c>
      <c r="CQ23" t="str">
        <f>IF('Data Checking'!DC23="","",'Data Checking'!DC23)</f>
        <v>0</v>
      </c>
      <c r="CR23" t="str">
        <f>IF('Data Checking'!DD23="","",'Data Checking'!DD23)</f>
        <v>0</v>
      </c>
      <c r="CS23" t="str">
        <f>IF('Data Checking'!DE23="","",'Data Checking'!DE23)</f>
        <v>0</v>
      </c>
      <c r="CT23" t="str">
        <f>IF('Data Checking'!DF23="","",'Data Checking'!DF23)</f>
        <v>0</v>
      </c>
      <c r="CU23" t="str">
        <f>IF('Data Checking'!DG23="","",'Data Checking'!DG23)</f>
        <v>0</v>
      </c>
      <c r="CV23" t="str">
        <f>IF('Data Checking'!DH23="","",'Data Checking'!DH23)</f>
        <v>0</v>
      </c>
      <c r="CW23" t="str">
        <f>IF('Data Checking'!DI23="","",'Data Checking'!DI23)</f>
        <v>0</v>
      </c>
      <c r="CX23" t="str">
        <f>IF('Data Checking'!DJ23="","",'Data Checking'!DJ23)</f>
        <v/>
      </c>
      <c r="CY23" t="str">
        <f>IF('Data Checking'!DK23="","",'Data Checking'!DK23)</f>
        <v>3</v>
      </c>
      <c r="CZ23" t="str">
        <f>IF('Data Checking'!DL23="","",'Data Checking'!DL23)</f>
        <v>augmente</v>
      </c>
      <c r="DA23" t="str">
        <f>IF('Data Checking'!DM23="","",'Data Checking'!DM23)</f>
        <v/>
      </c>
      <c r="DB23" t="str">
        <f>IF('Data Checking'!DN23="","",'Data Checking'!DN23)</f>
        <v>deterioration_con_abris deterioration_acces_service_base hausse_chomeurs</v>
      </c>
      <c r="DC23" t="str">
        <f>IF('Data Checking'!DO23="","",'Data Checking'!DO23)</f>
        <v>0</v>
      </c>
      <c r="DD23" t="str">
        <f>IF('Data Checking'!DP23="","",'Data Checking'!DP23)</f>
        <v>1</v>
      </c>
      <c r="DE23" t="str">
        <f>IF('Data Checking'!DQ23="","",'Data Checking'!DQ23)</f>
        <v>1</v>
      </c>
      <c r="DF23" t="str">
        <f>IF('Data Checking'!DR23="","",'Data Checking'!DR23)</f>
        <v>0</v>
      </c>
      <c r="DG23" t="str">
        <f>IF('Data Checking'!DS23="","",'Data Checking'!DS23)</f>
        <v>0</v>
      </c>
      <c r="DH23" t="str">
        <f>IF('Data Checking'!DT23="","",'Data Checking'!DT23)</f>
        <v>0</v>
      </c>
      <c r="DI23" t="str">
        <f>IF('Data Checking'!DU23="","",'Data Checking'!DU23)</f>
        <v>1</v>
      </c>
      <c r="DJ23" t="str">
        <f>IF('Data Checking'!DV23="","",'Data Checking'!DV23)</f>
        <v>0</v>
      </c>
      <c r="DK23" t="str">
        <f>IF('Data Checking'!DW23="","",'Data Checking'!DW23)</f>
        <v>0</v>
      </c>
      <c r="DL23" t="str">
        <f>IF('Data Checking'!DX23="","",'Data Checking'!DX23)</f>
        <v>0</v>
      </c>
      <c r="DM23" t="str">
        <f>IF('Data Checking'!DY23="","",'Data Checking'!DY23)</f>
        <v/>
      </c>
      <c r="DN23" t="str">
        <f>IF('Data Checking'!DZ23="","",'Data Checking'!DZ23)</f>
        <v/>
      </c>
      <c r="DO23" t="str">
        <f>IF('Data Checking'!EA23="","",'Data Checking'!EA23)</f>
        <v/>
      </c>
      <c r="DP23" t="str">
        <f>IF('Data Checking'!EB23="","",'Data Checking'!EB23)</f>
        <v/>
      </c>
      <c r="DQ23" t="str">
        <f>IF('Data Checking'!EC23="","",'Data Checking'!EC23)</f>
        <v/>
      </c>
      <c r="DR23" t="str">
        <f>IF('Data Checking'!ED23="","",'Data Checking'!ED23)</f>
        <v/>
      </c>
      <c r="DS23" t="str">
        <f>IF('Data Checking'!EE23="","",'Data Checking'!EE23)</f>
        <v/>
      </c>
      <c r="DT23" t="str">
        <f>IF('Data Checking'!EF23="","",'Data Checking'!EF23)</f>
        <v/>
      </c>
      <c r="DU23" t="str">
        <f>IF('Data Checking'!EG23="","",'Data Checking'!EG23)</f>
        <v/>
      </c>
      <c r="DV23" t="str">
        <f>IF('Data Checking'!EH23="","",'Data Checking'!EH23)</f>
        <v/>
      </c>
      <c r="DW23" t="str">
        <f>IF('Data Checking'!EI23="","",'Data Checking'!EI23)</f>
        <v/>
      </c>
      <c r="DX23" t="str">
        <f>IF('Data Checking'!EJ23="","",'Data Checking'!EJ23)</f>
        <v/>
      </c>
      <c r="DY23" t="str">
        <f>IF('Data Checking'!EK23="","",'Data Checking'!EK23)</f>
        <v/>
      </c>
      <c r="DZ23" t="str">
        <f>IF('Data Checking'!EL23="","",'Data Checking'!EL23)</f>
        <v>Integration_com_hote Soutien_famille_amis Soutien_psychosocial</v>
      </c>
      <c r="EA23" t="str">
        <f>IF('Data Checking'!EM23="","",'Data Checking'!EM23)</f>
        <v>0</v>
      </c>
      <c r="EB23" t="str">
        <f>IF('Data Checking'!EN23="","",'Data Checking'!EN23)</f>
        <v>1</v>
      </c>
      <c r="EC23" t="str">
        <f>IF('Data Checking'!EO23="","",'Data Checking'!EO23)</f>
        <v>1</v>
      </c>
      <c r="ED23" t="str">
        <f>IF('Data Checking'!EP23="","",'Data Checking'!EP23)</f>
        <v>0</v>
      </c>
      <c r="EE23" t="str">
        <f>IF('Data Checking'!EQ23="","",'Data Checking'!EQ23)</f>
        <v>1</v>
      </c>
      <c r="EF23" t="str">
        <f>IF('Data Checking'!ER23="","",'Data Checking'!ER23)</f>
        <v>0</v>
      </c>
      <c r="EG23" t="str">
        <f>IF('Data Checking'!ES23="","",'Data Checking'!ES23)</f>
        <v>0</v>
      </c>
      <c r="EH23" t="str">
        <f>IF('Data Checking'!ET23="","",'Data Checking'!ET23)</f>
        <v>0</v>
      </c>
      <c r="EI23" t="str">
        <f>IF('Data Checking'!EU23="","",'Data Checking'!EU23)</f>
        <v>0</v>
      </c>
      <c r="EJ23" t="str">
        <f>IF('Data Checking'!EV23="","",'Data Checking'!EV23)</f>
        <v/>
      </c>
      <c r="EK23" t="str">
        <f>IF('Data Checking'!EW23="","",'Data Checking'!EW23)</f>
        <v/>
      </c>
      <c r="EL23" t="str">
        <f>IF('Data Checking'!EX23="","",'Data Checking'!EX23)</f>
        <v>femmes_elite comite_protection famille_accueil comite_redevabilite</v>
      </c>
      <c r="EM23" t="str">
        <f>IF('Data Checking'!EY23="","",'Data Checking'!EY23)</f>
        <v>1</v>
      </c>
      <c r="EN23" t="str">
        <f>IF('Data Checking'!EZ23="","",'Data Checking'!EZ23)</f>
        <v>1</v>
      </c>
      <c r="EO23" t="str">
        <f>IF('Data Checking'!FA23="","",'Data Checking'!FA23)</f>
        <v>1</v>
      </c>
      <c r="EP23" t="str">
        <f>IF('Data Checking'!FB23="","",'Data Checking'!FB23)</f>
        <v>0</v>
      </c>
      <c r="EQ23" t="str">
        <f>IF('Data Checking'!FC23="","",'Data Checking'!FC23)</f>
        <v>1</v>
      </c>
      <c r="ER23" t="str">
        <f>IF('Data Checking'!FD23="","",'Data Checking'!FD23)</f>
        <v>0</v>
      </c>
      <c r="ES23" t="str">
        <f>IF('Data Checking'!FE23="","",'Data Checking'!FE23)</f>
        <v>0</v>
      </c>
      <c r="ET23" t="str">
        <f>IF('Data Checking'!FF23="","",'Data Checking'!FF23)</f>
        <v>0</v>
      </c>
      <c r="EU23" t="str">
        <f>IF('Data Checking'!FG23="","",'Data Checking'!FG23)</f>
        <v>0</v>
      </c>
      <c r="EV23" t="str">
        <f>IF('Data Checking'!FH23="","",'Data Checking'!FH23)</f>
        <v>0</v>
      </c>
      <c r="EW23" t="str">
        <f>IF('Data Checking'!FI23="","",'Data Checking'!FI23)</f>
        <v/>
      </c>
      <c r="EX23" t="str">
        <f>IF('Data Checking'!FJ23="","",'Data Checking'!FJ23)</f>
        <v>non</v>
      </c>
      <c r="EY23" t="str">
        <f>IF('Data Checking'!FK23="","",'Data Checking'!FK23)</f>
        <v/>
      </c>
      <c r="EZ23" t="str">
        <f>IF('Data Checking'!FL23="","",'Data Checking'!FL23)</f>
        <v/>
      </c>
      <c r="FA23" t="str">
        <f>IF('Data Checking'!FM23="","",'Data Checking'!FM23)</f>
        <v/>
      </c>
      <c r="FB23" t="str">
        <f>IF('Data Checking'!FN23="","",'Data Checking'!FN23)</f>
        <v/>
      </c>
      <c r="FC23" t="str">
        <f>IF('Data Checking'!FO23="","",'Data Checking'!FO23)</f>
        <v/>
      </c>
      <c r="FD23" t="str">
        <f>IF('Data Checking'!FP23="","",'Data Checking'!FP23)</f>
        <v/>
      </c>
      <c r="FE23" t="str">
        <f>IF('Data Checking'!FQ23="","",'Data Checking'!FQ23)</f>
        <v/>
      </c>
      <c r="FF23" t="str">
        <f>IF('Data Checking'!FR23="","",'Data Checking'!FR23)</f>
        <v/>
      </c>
      <c r="FG23" t="str">
        <f>IF('Data Checking'!FS23="","",'Data Checking'!FS23)</f>
        <v/>
      </c>
      <c r="FH23" t="str">
        <f>IF('Data Checking'!FT23="","",'Data Checking'!FT23)</f>
        <v/>
      </c>
      <c r="FI23" t="str">
        <f>IF('Data Checking'!FU23="","",'Data Checking'!FU23)</f>
        <v/>
      </c>
      <c r="FJ23" t="str">
        <f>IF('Data Checking'!FV23="","",'Data Checking'!FV23)</f>
        <v/>
      </c>
      <c r="FK23" t="str">
        <f>IF('Data Checking'!FW23="","",'Data Checking'!FW23)</f>
        <v/>
      </c>
      <c r="FL23" t="str">
        <f>IF('Data Checking'!FX23="","",'Data Checking'!FX23)</f>
        <v/>
      </c>
      <c r="FM23" t="str">
        <f>IF('Data Checking'!FY23="","",'Data Checking'!FY23)</f>
        <v/>
      </c>
      <c r="FN23" t="str">
        <f>IF('Data Checking'!FZ23="","",'Data Checking'!FZ23)</f>
        <v/>
      </c>
      <c r="FO23" t="str">
        <f>IF('Data Checking'!GA23="","",'Data Checking'!GA23)</f>
        <v/>
      </c>
      <c r="FP23" t="str">
        <f>IF('Data Checking'!GB23="","",'Data Checking'!GB23)</f>
        <v/>
      </c>
      <c r="FQ23" t="str">
        <f>IF('Data Checking'!GC23="","",'Data Checking'!GC23)</f>
        <v/>
      </c>
      <c r="FR23" t="str">
        <f>IF('Data Checking'!GD23="","",'Data Checking'!GD23)</f>
        <v/>
      </c>
      <c r="FS23" t="str">
        <f>IF('Data Checking'!GE23="","",'Data Checking'!GE23)</f>
        <v/>
      </c>
      <c r="FT23" t="str">
        <f>IF('Data Checking'!GF23="","",'Data Checking'!GF23)</f>
        <v/>
      </c>
      <c r="FU23" t="str">
        <f>IF('Data Checking'!GG23="","",'Data Checking'!GG23)</f>
        <v/>
      </c>
      <c r="FV23" t="str">
        <f>IF('Data Checking'!GH23="","",'Data Checking'!GH23)</f>
        <v/>
      </c>
      <c r="FW23" t="str">
        <f>IF('Data Checking'!GI23="","",'Data Checking'!GI23)</f>
        <v/>
      </c>
      <c r="FX23" t="str">
        <f>IF('Data Checking'!GJ23="","",'Data Checking'!GJ23)</f>
        <v/>
      </c>
      <c r="FY23" t="str">
        <f>IF('Data Checking'!GK23="","",'Data Checking'!GK23)</f>
        <v/>
      </c>
      <c r="FZ23" t="str">
        <f>IF('Data Checking'!GL23="","",'Data Checking'!GL23)</f>
        <v/>
      </c>
      <c r="GA23" t="str">
        <f>IF('Data Checking'!GM23="","",'Data Checking'!GM23)</f>
        <v/>
      </c>
      <c r="GB23" t="str">
        <f>IF('Data Checking'!GN23="","",'Data Checking'!GN23)</f>
        <v/>
      </c>
      <c r="GC23" t="str">
        <f>IF('Data Checking'!GO23="","",'Data Checking'!GO23)</f>
        <v/>
      </c>
      <c r="GD23" t="str">
        <f>IF('Data Checking'!GP23="","",'Data Checking'!GP23)</f>
        <v/>
      </c>
      <c r="GE23" t="str">
        <f>IF('Data Checking'!GQ23="","",'Data Checking'!GQ23)</f>
        <v/>
      </c>
      <c r="GF23" t="str">
        <f>IF('Data Checking'!GR23="","",'Data Checking'!GR23)</f>
        <v/>
      </c>
      <c r="GG23" t="str">
        <f>IF('Data Checking'!GS23="","",'Data Checking'!GS23)</f>
        <v/>
      </c>
      <c r="GH23" t="str">
        <f>IF('Data Checking'!GT23="","",'Data Checking'!GT23)</f>
        <v/>
      </c>
      <c r="GI23" t="str">
        <f>IF('Data Checking'!GU23="","",'Data Checking'!GU23)</f>
        <v/>
      </c>
      <c r="GJ23" t="str">
        <f>IF('Data Checking'!GV23="","",'Data Checking'!GV23)</f>
        <v/>
      </c>
      <c r="GK23" t="str">
        <f>IF('Data Checking'!GW23="","",'Data Checking'!GW23)</f>
        <v/>
      </c>
      <c r="GL23" t="str">
        <f>IF('Data Checking'!GX23="","",'Data Checking'!GX23)</f>
        <v/>
      </c>
      <c r="GM23" t="str">
        <f>IF('Data Checking'!GY23="","",'Data Checking'!GY23)</f>
        <v/>
      </c>
      <c r="GN23" t="str">
        <f>IF('Data Checking'!GZ23="","",'Data Checking'!GZ23)</f>
        <v/>
      </c>
      <c r="GO23" t="str">
        <f>IF('Data Checking'!HA23="","",'Data Checking'!HA23)</f>
        <v/>
      </c>
      <c r="GP23" t="str">
        <f>IF('Data Checking'!HB23="","",'Data Checking'!HB23)</f>
        <v/>
      </c>
      <c r="GQ23" t="str">
        <f>IF('Data Checking'!HC23="","",'Data Checking'!HC23)</f>
        <v/>
      </c>
      <c r="GR23" t="str">
        <f>IF('Data Checking'!HD23="","",'Data Checking'!HD23)</f>
        <v/>
      </c>
      <c r="GS23" t="str">
        <f>IF('Data Checking'!HE23="","",'Data Checking'!HE23)</f>
        <v/>
      </c>
      <c r="GT23" t="str">
        <f>IF('Data Checking'!HF23="","",'Data Checking'!HF23)</f>
        <v/>
      </c>
      <c r="GU23" t="str">
        <f>IF('Data Checking'!HG23="","",'Data Checking'!HG23)</f>
        <v/>
      </c>
      <c r="GV23" t="str">
        <f>IF('Data Checking'!HH23="","",'Data Checking'!HH23)</f>
        <v/>
      </c>
      <c r="GW23" t="str">
        <f>IF('Data Checking'!HI23="","",'Data Checking'!HI23)</f>
        <v/>
      </c>
      <c r="GX23" t="str">
        <f>IF('Data Checking'!HJ23="","",'Data Checking'!HJ23)</f>
        <v/>
      </c>
      <c r="GY23" t="str">
        <f>IF('Data Checking'!HK23="","",'Data Checking'!HK23)</f>
        <v/>
      </c>
      <c r="GZ23" t="str">
        <f>IF('Data Checking'!HL23="","",'Data Checking'!HL23)</f>
        <v/>
      </c>
      <c r="HA23" t="str">
        <f>IF('Data Checking'!HM23="","",'Data Checking'!HM23)</f>
        <v/>
      </c>
      <c r="HB23" t="str">
        <f>IF('Data Checking'!HN23="","",'Data Checking'!HN23)</f>
        <v/>
      </c>
      <c r="HC23" t="str">
        <f>IF('Data Checking'!HO23="","",'Data Checking'!HO23)</f>
        <v/>
      </c>
      <c r="HD23" t="str">
        <f>IF('Data Checking'!HP23="","",'Data Checking'!HP23)</f>
        <v/>
      </c>
      <c r="HE23" t="str">
        <f>IF('Data Checking'!HQ23="","",'Data Checking'!HQ23)</f>
        <v/>
      </c>
      <c r="HF23" t="str">
        <f>IF('Data Checking'!HR23="","",'Data Checking'!HR23)</f>
        <v/>
      </c>
      <c r="HG23" t="str">
        <f>IF('Data Checking'!HS23="","",'Data Checking'!HS23)</f>
        <v/>
      </c>
      <c r="HH23" t="str">
        <f>IF('Data Checking'!HT23="","",'Data Checking'!HT23)</f>
        <v/>
      </c>
      <c r="HI23" t="str">
        <f>IF('Data Checking'!HU23="","",'Data Checking'!HU23)</f>
        <v>non</v>
      </c>
      <c r="HJ23" t="str">
        <f>IF('Data Checking'!HV23="","",'Data Checking'!HV23)</f>
        <v/>
      </c>
      <c r="HK23" t="str">
        <f>IF('Data Checking'!HW23="","",'Data Checking'!HW23)</f>
        <v/>
      </c>
      <c r="HL23" t="str">
        <f>IF('Data Checking'!HX23="","",'Data Checking'!HX23)</f>
        <v/>
      </c>
      <c r="HM23" t="str">
        <f>IF('Data Checking'!HY23="","",'Data Checking'!HY23)</f>
        <v/>
      </c>
      <c r="HN23" t="str">
        <f>IF('Data Checking'!HZ23="","",'Data Checking'!HZ23)</f>
        <v/>
      </c>
      <c r="HO23" t="str">
        <f>IF('Data Checking'!IA23="","",'Data Checking'!IA23)</f>
        <v/>
      </c>
      <c r="HP23" t="str">
        <f>IF('Data Checking'!IB23="","",'Data Checking'!IB23)</f>
        <v/>
      </c>
      <c r="HQ23" t="str">
        <f>IF('Data Checking'!IC23="","",'Data Checking'!IC23)</f>
        <v/>
      </c>
      <c r="HR23" t="str">
        <f>IF('Data Checking'!ID23="","",'Data Checking'!ID23)</f>
        <v/>
      </c>
      <c r="HS23" t="str">
        <f>IF('Data Checking'!IE23="","",'Data Checking'!IE23)</f>
        <v/>
      </c>
      <c r="HT23" t="str">
        <f>IF('Data Checking'!IF23="","",'Data Checking'!IF23)</f>
        <v/>
      </c>
      <c r="HU23" t="str">
        <f>IF('Data Checking'!IG23="","",'Data Checking'!IG23)</f>
        <v/>
      </c>
      <c r="HV23" t="str">
        <f>IF('Data Checking'!IH23="","",'Data Checking'!IH23)</f>
        <v>oui</v>
      </c>
      <c r="HW23" t="str">
        <f>IF('Data Checking'!II23="","",'Data Checking'!II23)</f>
        <v/>
      </c>
      <c r="HX23" t="str">
        <f>IF('Data Checking'!IJ23="","",'Data Checking'!IJ23)</f>
        <v>Bebes/Bambins Filles Enfants Femmes Garçons</v>
      </c>
      <c r="HY23" t="str">
        <f>IF('Data Checking'!IK23="","",'Data Checking'!IK23)</f>
        <v>1</v>
      </c>
      <c r="HZ23" t="str">
        <f>IF('Data Checking'!IL23="","",'Data Checking'!IL23)</f>
        <v>1</v>
      </c>
      <c r="IA23" t="str">
        <f>IF('Data Checking'!IM23="","",'Data Checking'!IM23)</f>
        <v>1</v>
      </c>
      <c r="IB23" t="str">
        <f>IF('Data Checking'!IN23="","",'Data Checking'!IN23)</f>
        <v>1</v>
      </c>
      <c r="IC23" t="str">
        <f>IF('Data Checking'!IO23="","",'Data Checking'!IO23)</f>
        <v>1</v>
      </c>
      <c r="ID23" t="str">
        <f>IF('Data Checking'!IP23="","",'Data Checking'!IP23)</f>
        <v>0</v>
      </c>
      <c r="IE23" t="str">
        <f>IF('Data Checking'!IQ23="","",'Data Checking'!IQ23)</f>
        <v>0</v>
      </c>
      <c r="IF23" t="str">
        <f>IF('Data Checking'!IR23="","",'Data Checking'!IR23)</f>
        <v>0</v>
      </c>
      <c r="IG23" t="str">
        <f>IF('Data Checking'!IS23="","",'Data Checking'!IS23)</f>
        <v>0</v>
      </c>
      <c r="IH23" t="str">
        <f>IF('Data Checking'!IT23="","",'Data Checking'!IT23)</f>
        <v>0</v>
      </c>
      <c r="II23" t="str">
        <f>IF('Data Checking'!IU23="","",'Data Checking'!IU23)</f>
        <v>0</v>
      </c>
      <c r="IJ23" t="str">
        <f>IF('Data Checking'!IV23="","",'Data Checking'!IV23)</f>
        <v>0</v>
      </c>
      <c r="IK23" t="str">
        <f>IF('Data Checking'!IW23="","",'Data Checking'!IW23)</f>
        <v>0</v>
      </c>
      <c r="IL23" t="str">
        <f>IF('Data Checking'!IX23="","",'Data Checking'!IX23)</f>
        <v>0</v>
      </c>
      <c r="IM23" t="str">
        <f>IF('Data Checking'!IY23="","",'Data Checking'!IY23)</f>
        <v/>
      </c>
      <c r="IN23" t="str">
        <f>IF('Data Checking'!IZ23="","",'Data Checking'!IZ23)</f>
        <v>6</v>
      </c>
      <c r="IO23" t="str">
        <f>IF('Data Checking'!JA23="","",'Data Checking'!JA23)</f>
        <v>NA</v>
      </c>
      <c r="IP23" t="str">
        <f>IF('Data Checking'!JB23="","",'Data Checking'!JB23)</f>
        <v>NA</v>
      </c>
      <c r="IQ23" t="str">
        <f>IF('Data Checking'!JC23="","",'Data Checking'!JC23)</f>
        <v>NA</v>
      </c>
      <c r="IR23" t="str">
        <f>IF('Data Checking'!JD23="","",'Data Checking'!JD23)</f>
        <v>NA</v>
      </c>
      <c r="IS23" t="str">
        <f>IF('Data Checking'!JE23="","",'Data Checking'!JE23)</f>
        <v>NA</v>
      </c>
      <c r="IT23" t="str">
        <f>IF('Data Checking'!JF23="","",'Data Checking'!JF23)</f>
        <v>NA</v>
      </c>
      <c r="IU23" t="str">
        <f>IF('Data Checking'!JG23="","",'Data Checking'!JG23)</f>
        <v>NA</v>
      </c>
      <c r="IV23" t="str">
        <f>IF('Data Checking'!JH23="","",'Data Checking'!JH23)</f>
        <v>NA</v>
      </c>
      <c r="IW23" t="str">
        <f>IF('Data Checking'!JI23="","",'Data Checking'!JI23)</f>
        <v>NA</v>
      </c>
      <c r="IX23" t="str">
        <f>IF('Data Checking'!JJ23="","",'Data Checking'!JJ23)</f>
        <v>NA</v>
      </c>
      <c r="IY23" t="str">
        <f>IF('Data Checking'!JK23="","",'Data Checking'!JK23)</f>
        <v>NA</v>
      </c>
      <c r="IZ23" t="str">
        <f>IF('Data Checking'!JL23="","",'Data Checking'!JL23)</f>
        <v/>
      </c>
      <c r="JA23" t="str">
        <f>IF('Data Checking'!JM23="","",'Data Checking'!JM23)</f>
        <v>prise_enchage reorientation signalement</v>
      </c>
      <c r="JB23" t="str">
        <f>IF('Data Checking'!JN23="","",'Data Checking'!JN23)</f>
        <v>1</v>
      </c>
      <c r="JC23" t="str">
        <f>IF('Data Checking'!JO23="","",'Data Checking'!JO23)</f>
        <v>1</v>
      </c>
      <c r="JD23" t="str">
        <f>IF('Data Checking'!JP23="","",'Data Checking'!JP23)</f>
        <v>1</v>
      </c>
      <c r="JE23" t="str">
        <f>IF('Data Checking'!JQ23="","",'Data Checking'!JQ23)</f>
        <v>0</v>
      </c>
      <c r="JF23" t="str">
        <f>IF('Data Checking'!JR23="","",'Data Checking'!JR23)</f>
        <v>0</v>
      </c>
      <c r="JG23" t="str">
        <f>IF('Data Checking'!JS23="","",'Data Checking'!JS23)</f>
        <v>0</v>
      </c>
      <c r="JH23" t="str">
        <f>IF('Data Checking'!JT23="","",'Data Checking'!JT23)</f>
        <v/>
      </c>
      <c r="JI23" t="str">
        <f>IF('Data Checking'!JU23="","",'Data Checking'!JU23)</f>
        <v>medical juridique centre_formation surete Psychosocia</v>
      </c>
      <c r="JJ23" t="str">
        <f>IF('Data Checking'!JV23="","",'Data Checking'!JV23)</f>
        <v>1</v>
      </c>
      <c r="JK23" t="str">
        <f>IF('Data Checking'!JW23="","",'Data Checking'!JW23)</f>
        <v>1</v>
      </c>
      <c r="JL23" t="str">
        <f>IF('Data Checking'!JX23="","",'Data Checking'!JX23)</f>
        <v>0</v>
      </c>
      <c r="JM23" t="str">
        <f>IF('Data Checking'!JY23="","",'Data Checking'!JY23)</f>
        <v>1</v>
      </c>
      <c r="JN23" t="str">
        <f>IF('Data Checking'!JZ23="","",'Data Checking'!JZ23)</f>
        <v>1</v>
      </c>
      <c r="JO23" t="str">
        <f>IF('Data Checking'!KA23="","",'Data Checking'!KA23)</f>
        <v>0</v>
      </c>
      <c r="JP23" t="str">
        <f>IF('Data Checking'!KB23="","",'Data Checking'!KB23)</f>
        <v>1</v>
      </c>
      <c r="JQ23" t="str">
        <f>IF('Data Checking'!KC23="","",'Data Checking'!KC23)</f>
        <v>0</v>
      </c>
      <c r="JR23" t="str">
        <f>IF('Data Checking'!KD23="","",'Data Checking'!KD23)</f>
        <v>0</v>
      </c>
      <c r="JS23" t="str">
        <f>IF('Data Checking'!KE23="","",'Data Checking'!KE23)</f>
        <v/>
      </c>
      <c r="JT23" t="str">
        <f>IF('Data Checking'!KF23="","",'Data Checking'!KF23)</f>
        <v>medical Psychosocia point_ecoute surete centre_formation</v>
      </c>
      <c r="JU23" t="str">
        <f>IF('Data Checking'!KG23="","",'Data Checking'!KG23)</f>
        <v>1</v>
      </c>
      <c r="JV23" t="str">
        <f>IF('Data Checking'!KH23="","",'Data Checking'!KH23)</f>
        <v>1</v>
      </c>
      <c r="JW23" t="str">
        <f>IF('Data Checking'!KI23="","",'Data Checking'!KI23)</f>
        <v>1</v>
      </c>
      <c r="JX23" t="str">
        <f>IF('Data Checking'!KJ23="","",'Data Checking'!KJ23)</f>
        <v>0</v>
      </c>
      <c r="JY23" t="str">
        <f>IF('Data Checking'!KK23="","",'Data Checking'!KK23)</f>
        <v>1</v>
      </c>
      <c r="JZ23" t="str">
        <f>IF('Data Checking'!KL23="","",'Data Checking'!KL23)</f>
        <v>0</v>
      </c>
      <c r="KA23" t="str">
        <f>IF('Data Checking'!KM23="","",'Data Checking'!KM23)</f>
        <v>1</v>
      </c>
      <c r="KB23" t="str">
        <f>IF('Data Checking'!KN23="","",'Data Checking'!KN23)</f>
        <v>0</v>
      </c>
      <c r="KC23" t="str">
        <f>IF('Data Checking'!KO23="","",'Data Checking'!KO23)</f>
        <v>0</v>
      </c>
      <c r="KD23" t="str">
        <f>IF('Data Checking'!KP23="","",'Data Checking'!KP23)</f>
        <v/>
      </c>
      <c r="KE23" t="str">
        <f>IF('Data Checking'!KQ23="","",'Data Checking'!KQ23)</f>
        <v/>
      </c>
      <c r="KF23" t="str">
        <f>IF('Data Checking'!KR23="","",'Data Checking'!KR23)</f>
        <v>oui</v>
      </c>
      <c r="KG23" t="str">
        <f>IF('Data Checking'!KS23="","",'Data Checking'!KS23)</f>
        <v>manque_moyens manque_personnes manque_d'information insecurite_zone manque_cordination</v>
      </c>
      <c r="KH23" t="str">
        <f>IF('Data Checking'!KT23="","",'Data Checking'!KT23)</f>
        <v>1</v>
      </c>
      <c r="KI23" t="str">
        <f>IF('Data Checking'!KU23="","",'Data Checking'!KU23)</f>
        <v>1</v>
      </c>
      <c r="KJ23" t="str">
        <f>IF('Data Checking'!KV23="","",'Data Checking'!KV23)</f>
        <v>1</v>
      </c>
      <c r="KK23" t="str">
        <f>IF('Data Checking'!KW23="","",'Data Checking'!KW23)</f>
        <v>0</v>
      </c>
      <c r="KL23" t="str">
        <f>IF('Data Checking'!KX23="","",'Data Checking'!KX23)</f>
        <v>1</v>
      </c>
      <c r="KM23" t="str">
        <f>IF('Data Checking'!KY23="","",'Data Checking'!KY23)</f>
        <v>0</v>
      </c>
      <c r="KN23" t="str">
        <f>IF('Data Checking'!KZ23="","",'Data Checking'!KZ23)</f>
        <v>1</v>
      </c>
      <c r="KO23" t="str">
        <f>IF('Data Checking'!LA23="","",'Data Checking'!LA23)</f>
        <v>0</v>
      </c>
      <c r="KP23" t="str">
        <f>IF('Data Checking'!LB23="","",'Data Checking'!LB23)</f>
        <v>0</v>
      </c>
      <c r="KQ23" t="str">
        <f>IF('Data Checking'!LC23="","",'Data Checking'!LC23)</f>
        <v>0</v>
      </c>
      <c r="KR23" t="str">
        <f>IF('Data Checking'!LD23="","",'Data Checking'!LD23)</f>
        <v>0</v>
      </c>
      <c r="KS23" t="str">
        <f>IF('Data Checking'!LE23="","",'Data Checking'!LE23)</f>
        <v/>
      </c>
      <c r="KT23" t="str">
        <f>IF('Data Checking'!LF23="","",'Data Checking'!LF23)</f>
        <v/>
      </c>
      <c r="KU23" t="str">
        <f>IF('Data Checking'!LG23="","",'Data Checking'!LG23)</f>
        <v/>
      </c>
      <c r="KV23" t="str">
        <f>IF('Data Checking'!LH23="","",'Data Checking'!LH23)</f>
        <v/>
      </c>
      <c r="KW23" t="str">
        <f>IF('Data Checking'!LI23="","",'Data Checking'!LI23)</f>
        <v/>
      </c>
      <c r="KX23" t="str">
        <f>IF('Data Checking'!LJ23="","",'Data Checking'!LJ23)</f>
        <v/>
      </c>
      <c r="KY23" t="str">
        <f>IF('Data Checking'!LK23="","",'Data Checking'!LK23)</f>
        <v/>
      </c>
      <c r="KZ23" t="str">
        <f>IF('Data Checking'!LL23="","",'Data Checking'!LL23)</f>
        <v/>
      </c>
      <c r="LA23" t="str">
        <f>IF('Data Checking'!LM23="","",'Data Checking'!LM23)</f>
        <v/>
      </c>
      <c r="LB23" t="str">
        <f>IF('Data Checking'!LN23="","",'Data Checking'!LN23)</f>
        <v>oui</v>
      </c>
      <c r="LC23" t="str">
        <f>IF('Data Checking'!LO23="","",'Data Checking'!LO23)</f>
        <v>violence_physique violence_psycho menace_entourage menace_mort</v>
      </c>
      <c r="LD23" t="str">
        <f>IF('Data Checking'!LP23="","",'Data Checking'!LP23)</f>
        <v>1</v>
      </c>
      <c r="LE23" t="str">
        <f>IF('Data Checking'!LQ23="","",'Data Checking'!LQ23)</f>
        <v>1</v>
      </c>
      <c r="LF23" t="str">
        <f>IF('Data Checking'!LR23="","",'Data Checking'!LR23)</f>
        <v>0</v>
      </c>
      <c r="LG23" t="str">
        <f>IF('Data Checking'!LS23="","",'Data Checking'!LS23)</f>
        <v>1</v>
      </c>
      <c r="LH23" t="str">
        <f>IF('Data Checking'!LT23="","",'Data Checking'!LT23)</f>
        <v>1</v>
      </c>
      <c r="LI23" t="str">
        <f>IF('Data Checking'!LU23="","",'Data Checking'!LU23)</f>
        <v>0</v>
      </c>
      <c r="LJ23" t="str">
        <f>IF('Data Checking'!LV23="","",'Data Checking'!LV23)</f>
        <v>0</v>
      </c>
      <c r="LK23" t="str">
        <f>IF('Data Checking'!LW23="","",'Data Checking'!LW23)</f>
        <v>0</v>
      </c>
      <c r="LL23" t="str">
        <f>IF('Data Checking'!LX23="","",'Data Checking'!LX23)</f>
        <v>0</v>
      </c>
      <c r="LM23" t="str">
        <f>IF('Data Checking'!LY23="","",'Data Checking'!LY23)</f>
        <v>0</v>
      </c>
      <c r="LN23" t="str">
        <f>IF('Data Checking'!LZ23="","",'Data Checking'!LZ23)</f>
        <v/>
      </c>
      <c r="LO23" t="str">
        <f>IF('Data Checking'!MA23="","",'Data Checking'!MA23)</f>
        <v>oui</v>
      </c>
      <c r="LP23" t="str">
        <f>IF('Data Checking'!MB23="","",'Data Checking'!MB23)</f>
        <v>oui</v>
      </c>
      <c r="LQ23" t="str">
        <f>IF('Data Checking'!MC23="","",'Data Checking'!MC23)</f>
        <v/>
      </c>
      <c r="LR23" t="str">
        <f>IF('Data Checking'!MD23="","",'Data Checking'!MD23)</f>
        <v>Nous avons un manque d abris et nourriture</v>
      </c>
      <c r="LS23">
        <f>IF('Data Checking'!ME23="","",'Data Checking'!ME23)</f>
        <v>169351660</v>
      </c>
      <c r="LT23" t="str">
        <f>IF('Data Checking'!MF23="","",'Data Checking'!MF23)</f>
        <v>dbf6ba85-c1d2-4a12-8e3b-52ab89ac6183</v>
      </c>
      <c r="LU23" t="str">
        <f>IF('Data Checking'!MG23="","",'Data Checking'!MG23)</f>
        <v>2021-04-02T19:02:01</v>
      </c>
      <c r="LV23" t="str">
        <f>IF('Data Checking'!MH23="","",'Data Checking'!MH23)</f>
        <v/>
      </c>
      <c r="LW23" t="str">
        <f>IF('Data Checking'!MI23="","",'Data Checking'!MI23)</f>
        <v>[]</v>
      </c>
      <c r="LX23" t="str">
        <f>IF('Data Checking'!MJ23="","",'Data Checking'!MJ23)</f>
        <v>submitted_via_web</v>
      </c>
      <c r="LY23" t="str">
        <f>IF('Data Checking'!MK23="","",'Data Checking'!MK23)</f>
        <v>reach_niger</v>
      </c>
      <c r="LZ23" t="str">
        <f>IF('Data Checking'!ML23="","",'Data Checking'!ML23)</f>
        <v/>
      </c>
      <c r="MA23">
        <f>IF('Data Checking'!MM23="","",'Data Checking'!MM23)</f>
        <v>27</v>
      </c>
    </row>
    <row r="24" spans="1:339" x14ac:dyDescent="0.3">
      <c r="A24" t="str">
        <f>IF('Data Checking'!D24="","",'Data Checking'!D24)</f>
        <v>2021-04-01T18:28:51.655+01:00</v>
      </c>
      <c r="B24" t="str">
        <f>IF('Data Checking'!E24="","",'Data Checking'!E24)</f>
        <v>2021-04-01T18:58:33.343+01:00</v>
      </c>
      <c r="C24" t="str">
        <f>IF('Data Checking'!M24="","",'Data Checking'!M24)</f>
        <v>2021-04-01</v>
      </c>
      <c r="D24" t="str">
        <f>IF('Data Checking'!N24="","",'Data Checking'!N24)</f>
        <v/>
      </c>
      <c r="E24" t="str">
        <f>IF('Data Checking'!O24="","",'Data Checking'!O24)</f>
        <v/>
      </c>
      <c r="F24" t="str">
        <f>IF('Data Checking'!R24="","",'Data Checking'!R24)</f>
        <v>Homme</v>
      </c>
      <c r="G24" t="str">
        <f>IF('Data Checking'!S24="","",'Data Checking'!S24)</f>
        <v>tera</v>
      </c>
      <c r="H24" t="str">
        <f>IF('Data Checking'!T24="","",'Data Checking'!T24)</f>
        <v>tera</v>
      </c>
      <c r="I24" t="str">
        <f>IF('Data Checking'!U24="","",'Data Checking'!U24)</f>
        <v>Farko</v>
      </c>
      <c r="J24" t="str">
        <f>IF('Data Checking'!V24="","",'Data Checking'!V24)</f>
        <v>Farko</v>
      </c>
      <c r="K24" t="str">
        <f>IF('Data Checking'!W24="","",'Data Checking'!W24)</f>
        <v/>
      </c>
      <c r="L24" t="str">
        <f>IF('Data Checking'!X24="","",'Data Checking'!X24)</f>
        <v/>
      </c>
      <c r="M24" t="str">
        <f>IF('Data Checking'!Y24="","",'Data Checking'!Y24)</f>
        <v/>
      </c>
      <c r="N24" t="str">
        <f>IF('Data Checking'!Z24="","",'Data Checking'!Z24)</f>
        <v/>
      </c>
      <c r="O24" t="str">
        <f>IF('Data Checking'!AA24="","",'Data Checking'!AA24)</f>
        <v/>
      </c>
      <c r="P24" t="str">
        <f>IF('Data Checking'!AB24="","",'Data Checking'!AB24)</f>
        <v/>
      </c>
      <c r="Q24" t="str">
        <f>IF('Data Checking'!AC24="","",'Data Checking'!AC24)</f>
        <v/>
      </c>
      <c r="R24" t="str">
        <f>IF('Data Checking'!AD24="","",'Data Checking'!AD24)</f>
        <v>Femme</v>
      </c>
      <c r="S24" t="str">
        <f>IF('Data Checking'!AE24="","",'Data Checking'!AE24)</f>
        <v>45</v>
      </c>
      <c r="T24" t="str">
        <f>IF('Data Checking'!AF24="","",'Data Checking'!AF24)</f>
        <v>deplace_interne</v>
      </c>
      <c r="U24" t="str">
        <f>IF('Data Checking'!AG24="","",'Data Checking'!AG24)</f>
        <v/>
      </c>
      <c r="V24" t="str">
        <f>IF('Data Checking'!AH24="","",'Data Checking'!AH24)</f>
        <v>Volontaire_comm</v>
      </c>
      <c r="W24" t="str">
        <f>IF('Data Checking'!AI24="","",'Data Checking'!AI24)</f>
        <v/>
      </c>
      <c r="X24" t="str">
        <f>IF('Data Checking'!AJ24="","",'Data Checking'!AJ24)</f>
        <v/>
      </c>
      <c r="Y24" t="str">
        <f>IF('Data Checking'!AK24="","",'Data Checking'!AK24)</f>
        <v/>
      </c>
      <c r="Z24" t="str">
        <f>IF('Data Checking'!AL24="","",'Data Checking'!AL24)</f>
        <v>niger</v>
      </c>
      <c r="AA24" t="str">
        <f>IF('Data Checking'!AM24="","",'Data Checking'!AM24)</f>
        <v>tillaberi</v>
      </c>
      <c r="AB24" t="str">
        <f>IF('Data Checking'!AN24="","",'Data Checking'!AN24)</f>
        <v>tera</v>
      </c>
      <c r="AC24" t="str">
        <f>IF('Data Checking'!AO24="","",'Data Checking'!AO24)</f>
        <v/>
      </c>
      <c r="AD24" t="str">
        <f>IF('Data Checking'!AP24="","",'Data Checking'!AP24)</f>
        <v/>
      </c>
      <c r="AE24" t="str">
        <f>IF('Data Checking'!AQ24="","",'Data Checking'!AQ24)</f>
        <v/>
      </c>
      <c r="AF24" t="str">
        <f>IF('Data Checking'!AR24="","",'Data Checking'!AR24)</f>
        <v/>
      </c>
      <c r="AG24" t="str">
        <f>IF('Data Checking'!AS24="","",'Data Checking'!AS24)</f>
        <v>oui</v>
      </c>
      <c r="AH24" t="str">
        <f>IF('Data Checking'!AT24="","",'Data Checking'!AT24)</f>
        <v>extorsions Violences_physique_civils Attaques_ecoles_sante Vols_braquages Disputes_intercommunataires</v>
      </c>
      <c r="AI24" t="str">
        <f>IF('Data Checking'!AU24="","",'Data Checking'!AU24)</f>
        <v>0</v>
      </c>
      <c r="AJ24" t="str">
        <f>IF('Data Checking'!AV24="","",'Data Checking'!AV24)</f>
        <v>1</v>
      </c>
      <c r="AK24" t="str">
        <f>IF('Data Checking'!AW24="","",'Data Checking'!AW24)</f>
        <v>1</v>
      </c>
      <c r="AL24" t="str">
        <f>IF('Data Checking'!AX24="","",'Data Checking'!AX24)</f>
        <v>1</v>
      </c>
      <c r="AM24" t="str">
        <f>IF('Data Checking'!AY24="","",'Data Checking'!AY24)</f>
        <v>1</v>
      </c>
      <c r="AN24" t="str">
        <f>IF('Data Checking'!AZ24="","",'Data Checking'!AZ24)</f>
        <v>0</v>
      </c>
      <c r="AO24" t="str">
        <f>IF('Data Checking'!BA24="","",'Data Checking'!BA24)</f>
        <v>0</v>
      </c>
      <c r="AP24" t="str">
        <f>IF('Data Checking'!BB24="","",'Data Checking'!BB24)</f>
        <v>1</v>
      </c>
      <c r="AQ24" t="str">
        <f>IF('Data Checking'!BC24="","",'Data Checking'!BC24)</f>
        <v>0</v>
      </c>
      <c r="AR24" t="str">
        <f>IF('Data Checking'!BD24="","",'Data Checking'!BD24)</f>
        <v>0</v>
      </c>
      <c r="AS24" t="str">
        <f>IF('Data Checking'!BE24="","",'Data Checking'!BE24)</f>
        <v>0</v>
      </c>
      <c r="AT24" t="str">
        <f>IF('Data Checking'!BF24="","",'Data Checking'!BF24)</f>
        <v>0</v>
      </c>
      <c r="AU24" t="str">
        <f>IF('Data Checking'!BG24="","",'Data Checking'!BG24)</f>
        <v>0</v>
      </c>
      <c r="AV24" t="str">
        <f>IF('Data Checking'!BH24="","",'Data Checking'!BH24)</f>
        <v>0</v>
      </c>
      <c r="AW24" t="str">
        <f>IF('Data Checking'!BI24="","",'Data Checking'!BI24)</f>
        <v/>
      </c>
      <c r="AX24" t="str">
        <f>IF('Data Checking'!BJ24="","",'Data Checking'!BJ24)</f>
        <v>Bebes/Bambins Enfants Filles Femmes Garçons</v>
      </c>
      <c r="AY24" t="str">
        <f>IF('Data Checking'!BK24="","",'Data Checking'!BK24)</f>
        <v>1</v>
      </c>
      <c r="AZ24" t="str">
        <f>IF('Data Checking'!BL24="","",'Data Checking'!BL24)</f>
        <v>1</v>
      </c>
      <c r="BA24" t="str">
        <f>IF('Data Checking'!BM24="","",'Data Checking'!BM24)</f>
        <v>1</v>
      </c>
      <c r="BB24" t="str">
        <f>IF('Data Checking'!BN24="","",'Data Checking'!BN24)</f>
        <v>1</v>
      </c>
      <c r="BC24" t="str">
        <f>IF('Data Checking'!BO24="","",'Data Checking'!BO24)</f>
        <v>1</v>
      </c>
      <c r="BD24" t="str">
        <f>IF('Data Checking'!BP24="","",'Data Checking'!BP24)</f>
        <v>0</v>
      </c>
      <c r="BE24" t="str">
        <f>IF('Data Checking'!BQ24="","",'Data Checking'!BQ24)</f>
        <v>0</v>
      </c>
      <c r="BF24" t="str">
        <f>IF('Data Checking'!BR24="","",'Data Checking'!BR24)</f>
        <v>0</v>
      </c>
      <c r="BG24" t="str">
        <f>IF('Data Checking'!BS24="","",'Data Checking'!BS24)</f>
        <v>0</v>
      </c>
      <c r="BH24" t="str">
        <f>IF('Data Checking'!BT24="","",'Data Checking'!BT24)</f>
        <v>0</v>
      </c>
      <c r="BI24" t="str">
        <f>IF('Data Checking'!BU24="","",'Data Checking'!BU24)</f>
        <v>0</v>
      </c>
      <c r="BJ24" t="str">
        <f>IF('Data Checking'!BV24="","",'Data Checking'!BV24)</f>
        <v>0</v>
      </c>
      <c r="BK24" t="str">
        <f>IF('Data Checking'!BW24="","",'Data Checking'!BW24)</f>
        <v>0</v>
      </c>
      <c r="BL24" t="str">
        <f>IF('Data Checking'!BX24="","",'Data Checking'!BX24)</f>
        <v>0</v>
      </c>
      <c r="BM24" t="str">
        <f>IF('Data Checking'!BY24="","",'Data Checking'!BY24)</f>
        <v/>
      </c>
      <c r="BN24" t="str">
        <f>IF('Data Checking'!BZ24="","",'Data Checking'!BZ24)</f>
        <v>2</v>
      </c>
      <c r="BO24" t="str">
        <f>IF('Data Checking'!CA24="","",'Data Checking'!CA24)</f>
        <v>augmente</v>
      </c>
      <c r="BP24" t="str">
        <f>IF('Data Checking'!CB24="","",'Data Checking'!CB24)</f>
        <v/>
      </c>
      <c r="BQ24" t="str">
        <f>IF('Data Checking'!CC24="","",'Data Checking'!CC24)</f>
        <v>oui</v>
      </c>
      <c r="BR24" t="str">
        <f>IF('Data Checking'!CD24="","",'Data Checking'!CD24)</f>
        <v>agression_physique agression_psychologique menace defus_de_acces_aide exploitations_enfant</v>
      </c>
      <c r="BS24" t="str">
        <f>IF('Data Checking'!CE24="","",'Data Checking'!CE24)</f>
        <v>0</v>
      </c>
      <c r="BT24" t="str">
        <f>IF('Data Checking'!CF24="","",'Data Checking'!CF24)</f>
        <v>0</v>
      </c>
      <c r="BU24" t="str">
        <f>IF('Data Checking'!CG24="","",'Data Checking'!CG24)</f>
        <v>1</v>
      </c>
      <c r="BV24" t="str">
        <f>IF('Data Checking'!CH24="","",'Data Checking'!CH24)</f>
        <v>0</v>
      </c>
      <c r="BW24" t="str">
        <f>IF('Data Checking'!CI24="","",'Data Checking'!CI24)</f>
        <v>1</v>
      </c>
      <c r="BX24" t="str">
        <f>IF('Data Checking'!CJ24="","",'Data Checking'!CJ24)</f>
        <v>0</v>
      </c>
      <c r="BY24" t="str">
        <f>IF('Data Checking'!CK24="","",'Data Checking'!CK24)</f>
        <v>0</v>
      </c>
      <c r="BZ24" t="str">
        <f>IF('Data Checking'!CL24="","",'Data Checking'!CL24)</f>
        <v>1</v>
      </c>
      <c r="CA24" t="str">
        <f>IF('Data Checking'!CM24="","",'Data Checking'!CM24)</f>
        <v>1</v>
      </c>
      <c r="CB24" t="str">
        <f>IF('Data Checking'!CN24="","",'Data Checking'!CN24)</f>
        <v>0</v>
      </c>
      <c r="CC24" t="str">
        <f>IF('Data Checking'!CO24="","",'Data Checking'!CO24)</f>
        <v>1</v>
      </c>
      <c r="CD24" t="str">
        <f>IF('Data Checking'!CP24="","",'Data Checking'!CP24)</f>
        <v>0</v>
      </c>
      <c r="CE24" t="str">
        <f>IF('Data Checking'!CQ24="","",'Data Checking'!CQ24)</f>
        <v>0</v>
      </c>
      <c r="CF24" t="str">
        <f>IF('Data Checking'!CR24="","",'Data Checking'!CR24)</f>
        <v>0</v>
      </c>
      <c r="CG24" t="str">
        <f>IF('Data Checking'!CS24="","",'Data Checking'!CS24)</f>
        <v>0</v>
      </c>
      <c r="CH24" t="str">
        <f>IF('Data Checking'!CT24="","",'Data Checking'!CT24)</f>
        <v/>
      </c>
      <c r="CI24" t="str">
        <f>IF('Data Checking'!CU24="","",'Data Checking'!CU24)</f>
        <v>Bebes/Bambins Enfants Femmes Filles Hommes</v>
      </c>
      <c r="CJ24" t="str">
        <f>IF('Data Checking'!CV24="","",'Data Checking'!CV24)</f>
        <v>1</v>
      </c>
      <c r="CK24" t="str">
        <f>IF('Data Checking'!CW24="","",'Data Checking'!CW24)</f>
        <v>1</v>
      </c>
      <c r="CL24" t="str">
        <f>IF('Data Checking'!CX24="","",'Data Checking'!CX24)</f>
        <v>1</v>
      </c>
      <c r="CM24" t="str">
        <f>IF('Data Checking'!CY24="","",'Data Checking'!CY24)</f>
        <v>0</v>
      </c>
      <c r="CN24" t="str">
        <f>IF('Data Checking'!CZ24="","",'Data Checking'!CZ24)</f>
        <v>1</v>
      </c>
      <c r="CO24" t="str">
        <f>IF('Data Checking'!DA24="","",'Data Checking'!DA24)</f>
        <v>1</v>
      </c>
      <c r="CP24" t="str">
        <f>IF('Data Checking'!DB24="","",'Data Checking'!DB24)</f>
        <v>0</v>
      </c>
      <c r="CQ24" t="str">
        <f>IF('Data Checking'!DC24="","",'Data Checking'!DC24)</f>
        <v>0</v>
      </c>
      <c r="CR24" t="str">
        <f>IF('Data Checking'!DD24="","",'Data Checking'!DD24)</f>
        <v>0</v>
      </c>
      <c r="CS24" t="str">
        <f>IF('Data Checking'!DE24="","",'Data Checking'!DE24)</f>
        <v>0</v>
      </c>
      <c r="CT24" t="str">
        <f>IF('Data Checking'!DF24="","",'Data Checking'!DF24)</f>
        <v>0</v>
      </c>
      <c r="CU24" t="str">
        <f>IF('Data Checking'!DG24="","",'Data Checking'!DG24)</f>
        <v>0</v>
      </c>
      <c r="CV24" t="str">
        <f>IF('Data Checking'!DH24="","",'Data Checking'!DH24)</f>
        <v>0</v>
      </c>
      <c r="CW24" t="str">
        <f>IF('Data Checking'!DI24="","",'Data Checking'!DI24)</f>
        <v>0</v>
      </c>
      <c r="CX24" t="str">
        <f>IF('Data Checking'!DJ24="","",'Data Checking'!DJ24)</f>
        <v/>
      </c>
      <c r="CY24" t="str">
        <f>IF('Data Checking'!DK24="","",'Data Checking'!DK24)</f>
        <v>2</v>
      </c>
      <c r="CZ24" t="str">
        <f>IF('Data Checking'!DL24="","",'Data Checking'!DL24)</f>
        <v>augmente</v>
      </c>
      <c r="DA24" t="str">
        <f>IF('Data Checking'!DM24="","",'Data Checking'!DM24)</f>
        <v/>
      </c>
      <c r="DB24" t="str">
        <f>IF('Data Checking'!DN24="","",'Data Checking'!DN24)</f>
        <v>deterioration_con_abris deterioration_acces_service_base hausse_chomeurs</v>
      </c>
      <c r="DC24" t="str">
        <f>IF('Data Checking'!DO24="","",'Data Checking'!DO24)</f>
        <v>0</v>
      </c>
      <c r="DD24" t="str">
        <f>IF('Data Checking'!DP24="","",'Data Checking'!DP24)</f>
        <v>1</v>
      </c>
      <c r="DE24" t="str">
        <f>IF('Data Checking'!DQ24="","",'Data Checking'!DQ24)</f>
        <v>1</v>
      </c>
      <c r="DF24" t="str">
        <f>IF('Data Checking'!DR24="","",'Data Checking'!DR24)</f>
        <v>0</v>
      </c>
      <c r="DG24" t="str">
        <f>IF('Data Checking'!DS24="","",'Data Checking'!DS24)</f>
        <v>0</v>
      </c>
      <c r="DH24" t="str">
        <f>IF('Data Checking'!DT24="","",'Data Checking'!DT24)</f>
        <v>0</v>
      </c>
      <c r="DI24" t="str">
        <f>IF('Data Checking'!DU24="","",'Data Checking'!DU24)</f>
        <v>1</v>
      </c>
      <c r="DJ24" t="str">
        <f>IF('Data Checking'!DV24="","",'Data Checking'!DV24)</f>
        <v>0</v>
      </c>
      <c r="DK24" t="str">
        <f>IF('Data Checking'!DW24="","",'Data Checking'!DW24)</f>
        <v>0</v>
      </c>
      <c r="DL24" t="str">
        <f>IF('Data Checking'!DX24="","",'Data Checking'!DX24)</f>
        <v>0</v>
      </c>
      <c r="DM24" t="str">
        <f>IF('Data Checking'!DY24="","",'Data Checking'!DY24)</f>
        <v/>
      </c>
      <c r="DN24" t="str">
        <f>IF('Data Checking'!DZ24="","",'Data Checking'!DZ24)</f>
        <v/>
      </c>
      <c r="DO24" t="str">
        <f>IF('Data Checking'!EA24="","",'Data Checking'!EA24)</f>
        <v/>
      </c>
      <c r="DP24" t="str">
        <f>IF('Data Checking'!EB24="","",'Data Checking'!EB24)</f>
        <v/>
      </c>
      <c r="DQ24" t="str">
        <f>IF('Data Checking'!EC24="","",'Data Checking'!EC24)</f>
        <v/>
      </c>
      <c r="DR24" t="str">
        <f>IF('Data Checking'!ED24="","",'Data Checking'!ED24)</f>
        <v/>
      </c>
      <c r="DS24" t="str">
        <f>IF('Data Checking'!EE24="","",'Data Checking'!EE24)</f>
        <v/>
      </c>
      <c r="DT24" t="str">
        <f>IF('Data Checking'!EF24="","",'Data Checking'!EF24)</f>
        <v/>
      </c>
      <c r="DU24" t="str">
        <f>IF('Data Checking'!EG24="","",'Data Checking'!EG24)</f>
        <v/>
      </c>
      <c r="DV24" t="str">
        <f>IF('Data Checking'!EH24="","",'Data Checking'!EH24)</f>
        <v/>
      </c>
      <c r="DW24" t="str">
        <f>IF('Data Checking'!EI24="","",'Data Checking'!EI24)</f>
        <v/>
      </c>
      <c r="DX24" t="str">
        <f>IF('Data Checking'!EJ24="","",'Data Checking'!EJ24)</f>
        <v/>
      </c>
      <c r="DY24" t="str">
        <f>IF('Data Checking'!EK24="","",'Data Checking'!EK24)</f>
        <v/>
      </c>
      <c r="DZ24" t="str">
        <f>IF('Data Checking'!EL24="","",'Data Checking'!EL24)</f>
        <v>Integration_com_hote Soutien_famille_amis Soutien_psychosocial dplct_abords_com</v>
      </c>
      <c r="EA24" t="str">
        <f>IF('Data Checking'!EM24="","",'Data Checking'!EM24)</f>
        <v>1</v>
      </c>
      <c r="EB24" t="str">
        <f>IF('Data Checking'!EN24="","",'Data Checking'!EN24)</f>
        <v>1</v>
      </c>
      <c r="EC24" t="str">
        <f>IF('Data Checking'!EO24="","",'Data Checking'!EO24)</f>
        <v>1</v>
      </c>
      <c r="ED24" t="str">
        <f>IF('Data Checking'!EP24="","",'Data Checking'!EP24)</f>
        <v>0</v>
      </c>
      <c r="EE24" t="str">
        <f>IF('Data Checking'!EQ24="","",'Data Checking'!EQ24)</f>
        <v>1</v>
      </c>
      <c r="EF24" t="str">
        <f>IF('Data Checking'!ER24="","",'Data Checking'!ER24)</f>
        <v>0</v>
      </c>
      <c r="EG24" t="str">
        <f>IF('Data Checking'!ES24="","",'Data Checking'!ES24)</f>
        <v>0</v>
      </c>
      <c r="EH24" t="str">
        <f>IF('Data Checking'!ET24="","",'Data Checking'!ET24)</f>
        <v>0</v>
      </c>
      <c r="EI24" t="str">
        <f>IF('Data Checking'!EU24="","",'Data Checking'!EU24)</f>
        <v>0</v>
      </c>
      <c r="EJ24" t="str">
        <f>IF('Data Checking'!EV24="","",'Data Checking'!EV24)</f>
        <v/>
      </c>
      <c r="EK24" t="str">
        <f>IF('Data Checking'!EW24="","",'Data Checking'!EW24)</f>
        <v/>
      </c>
      <c r="EL24" t="str">
        <f>IF('Data Checking'!EX24="","",'Data Checking'!EX24)</f>
        <v>comite_protection famille_accueil comite_gestion_conflits</v>
      </c>
      <c r="EM24" t="str">
        <f>IF('Data Checking'!EY24="","",'Data Checking'!EY24)</f>
        <v>0</v>
      </c>
      <c r="EN24" t="str">
        <f>IF('Data Checking'!EZ24="","",'Data Checking'!EZ24)</f>
        <v>1</v>
      </c>
      <c r="EO24" t="str">
        <f>IF('Data Checking'!FA24="","",'Data Checking'!FA24)</f>
        <v>1</v>
      </c>
      <c r="EP24" t="str">
        <f>IF('Data Checking'!FB24="","",'Data Checking'!FB24)</f>
        <v>0</v>
      </c>
      <c r="EQ24" t="str">
        <f>IF('Data Checking'!FC24="","",'Data Checking'!FC24)</f>
        <v>0</v>
      </c>
      <c r="ER24" t="str">
        <f>IF('Data Checking'!FD24="","",'Data Checking'!FD24)</f>
        <v>1</v>
      </c>
      <c r="ES24" t="str">
        <f>IF('Data Checking'!FE24="","",'Data Checking'!FE24)</f>
        <v>0</v>
      </c>
      <c r="ET24" t="str">
        <f>IF('Data Checking'!FF24="","",'Data Checking'!FF24)</f>
        <v>0</v>
      </c>
      <c r="EU24" t="str">
        <f>IF('Data Checking'!FG24="","",'Data Checking'!FG24)</f>
        <v>0</v>
      </c>
      <c r="EV24" t="str">
        <f>IF('Data Checking'!FH24="","",'Data Checking'!FH24)</f>
        <v>0</v>
      </c>
      <c r="EW24" t="str">
        <f>IF('Data Checking'!FI24="","",'Data Checking'!FI24)</f>
        <v/>
      </c>
      <c r="EX24" t="str">
        <f>IF('Data Checking'!FJ24="","",'Data Checking'!FJ24)</f>
        <v>non</v>
      </c>
      <c r="EY24" t="str">
        <f>IF('Data Checking'!FK24="","",'Data Checking'!FK24)</f>
        <v/>
      </c>
      <c r="EZ24" t="str">
        <f>IF('Data Checking'!FL24="","",'Data Checking'!FL24)</f>
        <v/>
      </c>
      <c r="FA24" t="str">
        <f>IF('Data Checking'!FM24="","",'Data Checking'!FM24)</f>
        <v/>
      </c>
      <c r="FB24" t="str">
        <f>IF('Data Checking'!FN24="","",'Data Checking'!FN24)</f>
        <v/>
      </c>
      <c r="FC24" t="str">
        <f>IF('Data Checking'!FO24="","",'Data Checking'!FO24)</f>
        <v/>
      </c>
      <c r="FD24" t="str">
        <f>IF('Data Checking'!FP24="","",'Data Checking'!FP24)</f>
        <v/>
      </c>
      <c r="FE24" t="str">
        <f>IF('Data Checking'!FQ24="","",'Data Checking'!FQ24)</f>
        <v/>
      </c>
      <c r="FF24" t="str">
        <f>IF('Data Checking'!FR24="","",'Data Checking'!FR24)</f>
        <v/>
      </c>
      <c r="FG24" t="str">
        <f>IF('Data Checking'!FS24="","",'Data Checking'!FS24)</f>
        <v/>
      </c>
      <c r="FH24" t="str">
        <f>IF('Data Checking'!FT24="","",'Data Checking'!FT24)</f>
        <v/>
      </c>
      <c r="FI24" t="str">
        <f>IF('Data Checking'!FU24="","",'Data Checking'!FU24)</f>
        <v/>
      </c>
      <c r="FJ24" t="str">
        <f>IF('Data Checking'!FV24="","",'Data Checking'!FV24)</f>
        <v/>
      </c>
      <c r="FK24" t="str">
        <f>IF('Data Checking'!FW24="","",'Data Checking'!FW24)</f>
        <v/>
      </c>
      <c r="FL24" t="str">
        <f>IF('Data Checking'!FX24="","",'Data Checking'!FX24)</f>
        <v/>
      </c>
      <c r="FM24" t="str">
        <f>IF('Data Checking'!FY24="","",'Data Checking'!FY24)</f>
        <v/>
      </c>
      <c r="FN24" t="str">
        <f>IF('Data Checking'!FZ24="","",'Data Checking'!FZ24)</f>
        <v/>
      </c>
      <c r="FO24" t="str">
        <f>IF('Data Checking'!GA24="","",'Data Checking'!GA24)</f>
        <v/>
      </c>
      <c r="FP24" t="str">
        <f>IF('Data Checking'!GB24="","",'Data Checking'!GB24)</f>
        <v/>
      </c>
      <c r="FQ24" t="str">
        <f>IF('Data Checking'!GC24="","",'Data Checking'!GC24)</f>
        <v/>
      </c>
      <c r="FR24" t="str">
        <f>IF('Data Checking'!GD24="","",'Data Checking'!GD24)</f>
        <v/>
      </c>
      <c r="FS24" t="str">
        <f>IF('Data Checking'!GE24="","",'Data Checking'!GE24)</f>
        <v/>
      </c>
      <c r="FT24" t="str">
        <f>IF('Data Checking'!GF24="","",'Data Checking'!GF24)</f>
        <v/>
      </c>
      <c r="FU24" t="str">
        <f>IF('Data Checking'!GG24="","",'Data Checking'!GG24)</f>
        <v/>
      </c>
      <c r="FV24" t="str">
        <f>IF('Data Checking'!GH24="","",'Data Checking'!GH24)</f>
        <v/>
      </c>
      <c r="FW24" t="str">
        <f>IF('Data Checking'!GI24="","",'Data Checking'!GI24)</f>
        <v/>
      </c>
      <c r="FX24" t="str">
        <f>IF('Data Checking'!GJ24="","",'Data Checking'!GJ24)</f>
        <v/>
      </c>
      <c r="FY24" t="str">
        <f>IF('Data Checking'!GK24="","",'Data Checking'!GK24)</f>
        <v/>
      </c>
      <c r="FZ24" t="str">
        <f>IF('Data Checking'!GL24="","",'Data Checking'!GL24)</f>
        <v/>
      </c>
      <c r="GA24" t="str">
        <f>IF('Data Checking'!GM24="","",'Data Checking'!GM24)</f>
        <v/>
      </c>
      <c r="GB24" t="str">
        <f>IF('Data Checking'!GN24="","",'Data Checking'!GN24)</f>
        <v/>
      </c>
      <c r="GC24" t="str">
        <f>IF('Data Checking'!GO24="","",'Data Checking'!GO24)</f>
        <v/>
      </c>
      <c r="GD24" t="str">
        <f>IF('Data Checking'!GP24="","",'Data Checking'!GP24)</f>
        <v/>
      </c>
      <c r="GE24" t="str">
        <f>IF('Data Checking'!GQ24="","",'Data Checking'!GQ24)</f>
        <v/>
      </c>
      <c r="GF24" t="str">
        <f>IF('Data Checking'!GR24="","",'Data Checking'!GR24)</f>
        <v/>
      </c>
      <c r="GG24" t="str">
        <f>IF('Data Checking'!GS24="","",'Data Checking'!GS24)</f>
        <v/>
      </c>
      <c r="GH24" t="str">
        <f>IF('Data Checking'!GT24="","",'Data Checking'!GT24)</f>
        <v/>
      </c>
      <c r="GI24" t="str">
        <f>IF('Data Checking'!GU24="","",'Data Checking'!GU24)</f>
        <v/>
      </c>
      <c r="GJ24" t="str">
        <f>IF('Data Checking'!GV24="","",'Data Checking'!GV24)</f>
        <v/>
      </c>
      <c r="GK24" t="str">
        <f>IF('Data Checking'!GW24="","",'Data Checking'!GW24)</f>
        <v/>
      </c>
      <c r="GL24" t="str">
        <f>IF('Data Checking'!GX24="","",'Data Checking'!GX24)</f>
        <v/>
      </c>
      <c r="GM24" t="str">
        <f>IF('Data Checking'!GY24="","",'Data Checking'!GY24)</f>
        <v/>
      </c>
      <c r="GN24" t="str">
        <f>IF('Data Checking'!GZ24="","",'Data Checking'!GZ24)</f>
        <v/>
      </c>
      <c r="GO24" t="str">
        <f>IF('Data Checking'!HA24="","",'Data Checking'!HA24)</f>
        <v/>
      </c>
      <c r="GP24" t="str">
        <f>IF('Data Checking'!HB24="","",'Data Checking'!HB24)</f>
        <v/>
      </c>
      <c r="GQ24" t="str">
        <f>IF('Data Checking'!HC24="","",'Data Checking'!HC24)</f>
        <v/>
      </c>
      <c r="GR24" t="str">
        <f>IF('Data Checking'!HD24="","",'Data Checking'!HD24)</f>
        <v/>
      </c>
      <c r="GS24" t="str">
        <f>IF('Data Checking'!HE24="","",'Data Checking'!HE24)</f>
        <v/>
      </c>
      <c r="GT24" t="str">
        <f>IF('Data Checking'!HF24="","",'Data Checking'!HF24)</f>
        <v/>
      </c>
      <c r="GU24" t="str">
        <f>IF('Data Checking'!HG24="","",'Data Checking'!HG24)</f>
        <v/>
      </c>
      <c r="GV24" t="str">
        <f>IF('Data Checking'!HH24="","",'Data Checking'!HH24)</f>
        <v/>
      </c>
      <c r="GW24" t="str">
        <f>IF('Data Checking'!HI24="","",'Data Checking'!HI24)</f>
        <v/>
      </c>
      <c r="GX24" t="str">
        <f>IF('Data Checking'!HJ24="","",'Data Checking'!HJ24)</f>
        <v/>
      </c>
      <c r="GY24" t="str">
        <f>IF('Data Checking'!HK24="","",'Data Checking'!HK24)</f>
        <v/>
      </c>
      <c r="GZ24" t="str">
        <f>IF('Data Checking'!HL24="","",'Data Checking'!HL24)</f>
        <v/>
      </c>
      <c r="HA24" t="str">
        <f>IF('Data Checking'!HM24="","",'Data Checking'!HM24)</f>
        <v/>
      </c>
      <c r="HB24" t="str">
        <f>IF('Data Checking'!HN24="","",'Data Checking'!HN24)</f>
        <v/>
      </c>
      <c r="HC24" t="str">
        <f>IF('Data Checking'!HO24="","",'Data Checking'!HO24)</f>
        <v/>
      </c>
      <c r="HD24" t="str">
        <f>IF('Data Checking'!HP24="","",'Data Checking'!HP24)</f>
        <v/>
      </c>
      <c r="HE24" t="str">
        <f>IF('Data Checking'!HQ24="","",'Data Checking'!HQ24)</f>
        <v/>
      </c>
      <c r="HF24" t="str">
        <f>IF('Data Checking'!HR24="","",'Data Checking'!HR24)</f>
        <v/>
      </c>
      <c r="HG24" t="str">
        <f>IF('Data Checking'!HS24="","",'Data Checking'!HS24)</f>
        <v/>
      </c>
      <c r="HH24" t="str">
        <f>IF('Data Checking'!HT24="","",'Data Checking'!HT24)</f>
        <v/>
      </c>
      <c r="HI24" t="str">
        <f>IF('Data Checking'!HU24="","",'Data Checking'!HU24)</f>
        <v>non</v>
      </c>
      <c r="HJ24" t="str">
        <f>IF('Data Checking'!HV24="","",'Data Checking'!HV24)</f>
        <v/>
      </c>
      <c r="HK24" t="str">
        <f>IF('Data Checking'!HW24="","",'Data Checking'!HW24)</f>
        <v/>
      </c>
      <c r="HL24" t="str">
        <f>IF('Data Checking'!HX24="","",'Data Checking'!HX24)</f>
        <v/>
      </c>
      <c r="HM24" t="str">
        <f>IF('Data Checking'!HY24="","",'Data Checking'!HY24)</f>
        <v/>
      </c>
      <c r="HN24" t="str">
        <f>IF('Data Checking'!HZ24="","",'Data Checking'!HZ24)</f>
        <v/>
      </c>
      <c r="HO24" t="str">
        <f>IF('Data Checking'!IA24="","",'Data Checking'!IA24)</f>
        <v/>
      </c>
      <c r="HP24" t="str">
        <f>IF('Data Checking'!IB24="","",'Data Checking'!IB24)</f>
        <v/>
      </c>
      <c r="HQ24" t="str">
        <f>IF('Data Checking'!IC24="","",'Data Checking'!IC24)</f>
        <v/>
      </c>
      <c r="HR24" t="str">
        <f>IF('Data Checking'!ID24="","",'Data Checking'!ID24)</f>
        <v/>
      </c>
      <c r="HS24" t="str">
        <f>IF('Data Checking'!IE24="","",'Data Checking'!IE24)</f>
        <v/>
      </c>
      <c r="HT24" t="str">
        <f>IF('Data Checking'!IF24="","",'Data Checking'!IF24)</f>
        <v/>
      </c>
      <c r="HU24" t="str">
        <f>IF('Data Checking'!IG24="","",'Data Checking'!IG24)</f>
        <v/>
      </c>
      <c r="HV24" t="str">
        <f>IF('Data Checking'!IH24="","",'Data Checking'!IH24)</f>
        <v>oui</v>
      </c>
      <c r="HW24" t="str">
        <f>IF('Data Checking'!II24="","",'Data Checking'!II24)</f>
        <v/>
      </c>
      <c r="HX24" t="str">
        <f>IF('Data Checking'!IJ24="","",'Data Checking'!IJ24)</f>
        <v>Bebes/Bambins Filles Enfants Hommes Femmes</v>
      </c>
      <c r="HY24" t="str">
        <f>IF('Data Checking'!IK24="","",'Data Checking'!IK24)</f>
        <v>1</v>
      </c>
      <c r="HZ24" t="str">
        <f>IF('Data Checking'!IL24="","",'Data Checking'!IL24)</f>
        <v>1</v>
      </c>
      <c r="IA24" t="str">
        <f>IF('Data Checking'!IM24="","",'Data Checking'!IM24)</f>
        <v>1</v>
      </c>
      <c r="IB24" t="str">
        <f>IF('Data Checking'!IN24="","",'Data Checking'!IN24)</f>
        <v>0</v>
      </c>
      <c r="IC24" t="str">
        <f>IF('Data Checking'!IO24="","",'Data Checking'!IO24)</f>
        <v>1</v>
      </c>
      <c r="ID24" t="str">
        <f>IF('Data Checking'!IP24="","",'Data Checking'!IP24)</f>
        <v>1</v>
      </c>
      <c r="IE24" t="str">
        <f>IF('Data Checking'!IQ24="","",'Data Checking'!IQ24)</f>
        <v>0</v>
      </c>
      <c r="IF24" t="str">
        <f>IF('Data Checking'!IR24="","",'Data Checking'!IR24)</f>
        <v>0</v>
      </c>
      <c r="IG24" t="str">
        <f>IF('Data Checking'!IS24="","",'Data Checking'!IS24)</f>
        <v>0</v>
      </c>
      <c r="IH24" t="str">
        <f>IF('Data Checking'!IT24="","",'Data Checking'!IT24)</f>
        <v>0</v>
      </c>
      <c r="II24" t="str">
        <f>IF('Data Checking'!IU24="","",'Data Checking'!IU24)</f>
        <v>0</v>
      </c>
      <c r="IJ24" t="str">
        <f>IF('Data Checking'!IV24="","",'Data Checking'!IV24)</f>
        <v>0</v>
      </c>
      <c r="IK24" t="str">
        <f>IF('Data Checking'!IW24="","",'Data Checking'!IW24)</f>
        <v>0</v>
      </c>
      <c r="IL24" t="str">
        <f>IF('Data Checking'!IX24="","",'Data Checking'!IX24)</f>
        <v>0</v>
      </c>
      <c r="IM24" t="str">
        <f>IF('Data Checking'!IY24="","",'Data Checking'!IY24)</f>
        <v/>
      </c>
      <c r="IN24" t="str">
        <f>IF('Data Checking'!IZ24="","",'Data Checking'!IZ24)</f>
        <v>5</v>
      </c>
      <c r="IO24" t="str">
        <f>IF('Data Checking'!JA24="","",'Data Checking'!JA24)</f>
        <v>NA</v>
      </c>
      <c r="IP24" t="str">
        <f>IF('Data Checking'!JB24="","",'Data Checking'!JB24)</f>
        <v>NA</v>
      </c>
      <c r="IQ24" t="str">
        <f>IF('Data Checking'!JC24="","",'Data Checking'!JC24)</f>
        <v>NA</v>
      </c>
      <c r="IR24" t="str">
        <f>IF('Data Checking'!JD24="","",'Data Checking'!JD24)</f>
        <v>NA</v>
      </c>
      <c r="IS24" t="str">
        <f>IF('Data Checking'!JE24="","",'Data Checking'!JE24)</f>
        <v>NA</v>
      </c>
      <c r="IT24" t="str">
        <f>IF('Data Checking'!JF24="","",'Data Checking'!JF24)</f>
        <v>NA</v>
      </c>
      <c r="IU24" t="str">
        <f>IF('Data Checking'!JG24="","",'Data Checking'!JG24)</f>
        <v>NA</v>
      </c>
      <c r="IV24" t="str">
        <f>IF('Data Checking'!JH24="","",'Data Checking'!JH24)</f>
        <v>NA</v>
      </c>
      <c r="IW24" t="str">
        <f>IF('Data Checking'!JI24="","",'Data Checking'!JI24)</f>
        <v>NA</v>
      </c>
      <c r="IX24" t="str">
        <f>IF('Data Checking'!JJ24="","",'Data Checking'!JJ24)</f>
        <v>NA</v>
      </c>
      <c r="IY24" t="str">
        <f>IF('Data Checking'!JK24="","",'Data Checking'!JK24)</f>
        <v>NA</v>
      </c>
      <c r="IZ24" t="str">
        <f>IF('Data Checking'!JL24="","",'Data Checking'!JL24)</f>
        <v/>
      </c>
      <c r="JA24" t="str">
        <f>IF('Data Checking'!JM24="","",'Data Checking'!JM24)</f>
        <v>prise_enchage reorientation signalement</v>
      </c>
      <c r="JB24" t="str">
        <f>IF('Data Checking'!JN24="","",'Data Checking'!JN24)</f>
        <v>1</v>
      </c>
      <c r="JC24" t="str">
        <f>IF('Data Checking'!JO24="","",'Data Checking'!JO24)</f>
        <v>1</v>
      </c>
      <c r="JD24" t="str">
        <f>IF('Data Checking'!JP24="","",'Data Checking'!JP24)</f>
        <v>1</v>
      </c>
      <c r="JE24" t="str">
        <f>IF('Data Checking'!JQ24="","",'Data Checking'!JQ24)</f>
        <v>0</v>
      </c>
      <c r="JF24" t="str">
        <f>IF('Data Checking'!JR24="","",'Data Checking'!JR24)</f>
        <v>0</v>
      </c>
      <c r="JG24" t="str">
        <f>IF('Data Checking'!JS24="","",'Data Checking'!JS24)</f>
        <v>0</v>
      </c>
      <c r="JH24" t="str">
        <f>IF('Data Checking'!JT24="","",'Data Checking'!JT24)</f>
        <v/>
      </c>
      <c r="JI24" t="str">
        <f>IF('Data Checking'!JU24="","",'Data Checking'!JU24)</f>
        <v>surete centre_formation point_ecoute Psychosocia medical</v>
      </c>
      <c r="JJ24" t="str">
        <f>IF('Data Checking'!JV24="","",'Data Checking'!JV24)</f>
        <v>1</v>
      </c>
      <c r="JK24" t="str">
        <f>IF('Data Checking'!JW24="","",'Data Checking'!JW24)</f>
        <v>1</v>
      </c>
      <c r="JL24" t="str">
        <f>IF('Data Checking'!JX24="","",'Data Checking'!JX24)</f>
        <v>1</v>
      </c>
      <c r="JM24" t="str">
        <f>IF('Data Checking'!JY24="","",'Data Checking'!JY24)</f>
        <v>0</v>
      </c>
      <c r="JN24" t="str">
        <f>IF('Data Checking'!JZ24="","",'Data Checking'!JZ24)</f>
        <v>1</v>
      </c>
      <c r="JO24" t="str">
        <f>IF('Data Checking'!KA24="","",'Data Checking'!KA24)</f>
        <v>0</v>
      </c>
      <c r="JP24" t="str">
        <f>IF('Data Checking'!KB24="","",'Data Checking'!KB24)</f>
        <v>1</v>
      </c>
      <c r="JQ24" t="str">
        <f>IF('Data Checking'!KC24="","",'Data Checking'!KC24)</f>
        <v>0</v>
      </c>
      <c r="JR24" t="str">
        <f>IF('Data Checking'!KD24="","",'Data Checking'!KD24)</f>
        <v>0</v>
      </c>
      <c r="JS24" t="str">
        <f>IF('Data Checking'!KE24="","",'Data Checking'!KE24)</f>
        <v/>
      </c>
      <c r="JT24" t="str">
        <f>IF('Data Checking'!KF24="","",'Data Checking'!KF24)</f>
        <v>medical Psychosocia point_ecoute centre_formation surete</v>
      </c>
      <c r="JU24" t="str">
        <f>IF('Data Checking'!KG24="","",'Data Checking'!KG24)</f>
        <v>1</v>
      </c>
      <c r="JV24" t="str">
        <f>IF('Data Checking'!KH24="","",'Data Checking'!KH24)</f>
        <v>1</v>
      </c>
      <c r="JW24" t="str">
        <f>IF('Data Checking'!KI24="","",'Data Checking'!KI24)</f>
        <v>1</v>
      </c>
      <c r="JX24" t="str">
        <f>IF('Data Checking'!KJ24="","",'Data Checking'!KJ24)</f>
        <v>0</v>
      </c>
      <c r="JY24" t="str">
        <f>IF('Data Checking'!KK24="","",'Data Checking'!KK24)</f>
        <v>1</v>
      </c>
      <c r="JZ24" t="str">
        <f>IF('Data Checking'!KL24="","",'Data Checking'!KL24)</f>
        <v>0</v>
      </c>
      <c r="KA24" t="str">
        <f>IF('Data Checking'!KM24="","",'Data Checking'!KM24)</f>
        <v>1</v>
      </c>
      <c r="KB24" t="str">
        <f>IF('Data Checking'!KN24="","",'Data Checking'!KN24)</f>
        <v>0</v>
      </c>
      <c r="KC24" t="str">
        <f>IF('Data Checking'!KO24="","",'Data Checking'!KO24)</f>
        <v>0</v>
      </c>
      <c r="KD24" t="str">
        <f>IF('Data Checking'!KP24="","",'Data Checking'!KP24)</f>
        <v/>
      </c>
      <c r="KE24" t="str">
        <f>IF('Data Checking'!KQ24="","",'Data Checking'!KQ24)</f>
        <v/>
      </c>
      <c r="KF24" t="str">
        <f>IF('Data Checking'!KR24="","",'Data Checking'!KR24)</f>
        <v>non</v>
      </c>
      <c r="KG24" t="str">
        <f>IF('Data Checking'!KS24="","",'Data Checking'!KS24)</f>
        <v/>
      </c>
      <c r="KH24" t="str">
        <f>IF('Data Checking'!KT24="","",'Data Checking'!KT24)</f>
        <v/>
      </c>
      <c r="KI24" t="str">
        <f>IF('Data Checking'!KU24="","",'Data Checking'!KU24)</f>
        <v/>
      </c>
      <c r="KJ24" t="str">
        <f>IF('Data Checking'!KV24="","",'Data Checking'!KV24)</f>
        <v/>
      </c>
      <c r="KK24" t="str">
        <f>IF('Data Checking'!KW24="","",'Data Checking'!KW24)</f>
        <v/>
      </c>
      <c r="KL24" t="str">
        <f>IF('Data Checking'!KX24="","",'Data Checking'!KX24)</f>
        <v/>
      </c>
      <c r="KM24" t="str">
        <f>IF('Data Checking'!KY24="","",'Data Checking'!KY24)</f>
        <v/>
      </c>
      <c r="KN24" t="str">
        <f>IF('Data Checking'!KZ24="","",'Data Checking'!KZ24)</f>
        <v/>
      </c>
      <c r="KO24" t="str">
        <f>IF('Data Checking'!LA24="","",'Data Checking'!LA24)</f>
        <v/>
      </c>
      <c r="KP24" t="str">
        <f>IF('Data Checking'!LB24="","",'Data Checking'!LB24)</f>
        <v/>
      </c>
      <c r="KQ24" t="str">
        <f>IF('Data Checking'!LC24="","",'Data Checking'!LC24)</f>
        <v/>
      </c>
      <c r="KR24" t="str">
        <f>IF('Data Checking'!LD24="","",'Data Checking'!LD24)</f>
        <v/>
      </c>
      <c r="KS24" t="str">
        <f>IF('Data Checking'!LE24="","",'Data Checking'!LE24)</f>
        <v/>
      </c>
      <c r="KT24" t="str">
        <f>IF('Data Checking'!LF24="","",'Data Checking'!LF24)</f>
        <v/>
      </c>
      <c r="KU24" t="str">
        <f>IF('Data Checking'!LG24="","",'Data Checking'!LG24)</f>
        <v/>
      </c>
      <c r="KV24" t="str">
        <f>IF('Data Checking'!LH24="","",'Data Checking'!LH24)</f>
        <v/>
      </c>
      <c r="KW24" t="str">
        <f>IF('Data Checking'!LI24="","",'Data Checking'!LI24)</f>
        <v/>
      </c>
      <c r="KX24" t="str">
        <f>IF('Data Checking'!LJ24="","",'Data Checking'!LJ24)</f>
        <v/>
      </c>
      <c r="KY24" t="str">
        <f>IF('Data Checking'!LK24="","",'Data Checking'!LK24)</f>
        <v/>
      </c>
      <c r="KZ24" t="str">
        <f>IF('Data Checking'!LL24="","",'Data Checking'!LL24)</f>
        <v/>
      </c>
      <c r="LA24" t="str">
        <f>IF('Data Checking'!LM24="","",'Data Checking'!LM24)</f>
        <v/>
      </c>
      <c r="LB24" t="str">
        <f>IF('Data Checking'!LN24="","",'Data Checking'!LN24)</f>
        <v>oui</v>
      </c>
      <c r="LC24" t="str">
        <f>IF('Data Checking'!LO24="","",'Data Checking'!LO24)</f>
        <v>violence_physique violence_psycho menace_entourage message menace_mort</v>
      </c>
      <c r="LD24" t="str">
        <f>IF('Data Checking'!LP24="","",'Data Checking'!LP24)</f>
        <v>1</v>
      </c>
      <c r="LE24" t="str">
        <f>IF('Data Checking'!LQ24="","",'Data Checking'!LQ24)</f>
        <v>1</v>
      </c>
      <c r="LF24" t="str">
        <f>IF('Data Checking'!LR24="","",'Data Checking'!LR24)</f>
        <v>1</v>
      </c>
      <c r="LG24" t="str">
        <f>IF('Data Checking'!LS24="","",'Data Checking'!LS24)</f>
        <v>1</v>
      </c>
      <c r="LH24" t="str">
        <f>IF('Data Checking'!LT24="","",'Data Checking'!LT24)</f>
        <v>1</v>
      </c>
      <c r="LI24" t="str">
        <f>IF('Data Checking'!LU24="","",'Data Checking'!LU24)</f>
        <v>0</v>
      </c>
      <c r="LJ24" t="str">
        <f>IF('Data Checking'!LV24="","",'Data Checking'!LV24)</f>
        <v>0</v>
      </c>
      <c r="LK24" t="str">
        <f>IF('Data Checking'!LW24="","",'Data Checking'!LW24)</f>
        <v>0</v>
      </c>
      <c r="LL24" t="str">
        <f>IF('Data Checking'!LX24="","",'Data Checking'!LX24)</f>
        <v>0</v>
      </c>
      <c r="LM24" t="str">
        <f>IF('Data Checking'!LY24="","",'Data Checking'!LY24)</f>
        <v>0</v>
      </c>
      <c r="LN24" t="str">
        <f>IF('Data Checking'!LZ24="","",'Data Checking'!LZ24)</f>
        <v/>
      </c>
      <c r="LO24" t="str">
        <f>IF('Data Checking'!MA24="","",'Data Checking'!MA24)</f>
        <v>oui</v>
      </c>
      <c r="LP24" t="str">
        <f>IF('Data Checking'!MB24="","",'Data Checking'!MB24)</f>
        <v>oui</v>
      </c>
      <c r="LQ24" t="str">
        <f>IF('Data Checking'!MC24="","",'Data Checking'!MC24)</f>
        <v/>
      </c>
      <c r="LR24" t="str">
        <f>IF('Data Checking'!MD24="","",'Data Checking'!MD24)</f>
        <v>Appu en formation professionnelle</v>
      </c>
      <c r="LS24">
        <f>IF('Data Checking'!ME24="","",'Data Checking'!ME24)</f>
        <v>169351652</v>
      </c>
      <c r="LT24" t="str">
        <f>IF('Data Checking'!MF24="","",'Data Checking'!MF24)</f>
        <v>13aa18d8-0988-415c-92d7-0665d942b2d0</v>
      </c>
      <c r="LU24" t="str">
        <f>IF('Data Checking'!MG24="","",'Data Checking'!MG24)</f>
        <v>2021-04-02T19:01:57</v>
      </c>
      <c r="LV24" t="str">
        <f>IF('Data Checking'!MH24="","",'Data Checking'!MH24)</f>
        <v/>
      </c>
      <c r="LW24" t="str">
        <f>IF('Data Checking'!MI24="","",'Data Checking'!MI24)</f>
        <v>[]</v>
      </c>
      <c r="LX24" t="str">
        <f>IF('Data Checking'!MJ24="","",'Data Checking'!MJ24)</f>
        <v>submitted_via_web</v>
      </c>
      <c r="LY24" t="str">
        <f>IF('Data Checking'!MK24="","",'Data Checking'!MK24)</f>
        <v>reach_niger</v>
      </c>
      <c r="LZ24" t="str">
        <f>IF('Data Checking'!ML24="","",'Data Checking'!ML24)</f>
        <v/>
      </c>
      <c r="MA24">
        <f>IF('Data Checking'!MM24="","",'Data Checking'!MM24)</f>
        <v>26</v>
      </c>
    </row>
    <row r="25" spans="1:339" x14ac:dyDescent="0.3">
      <c r="A25" t="str">
        <f>IF('Data Checking'!D25="","",'Data Checking'!D25)</f>
        <v>2021-04-01T14:01:03.046+01:00</v>
      </c>
      <c r="B25" t="str">
        <f>IF('Data Checking'!E25="","",'Data Checking'!E25)</f>
        <v>2021-04-01T14:30:25.597+01:00</v>
      </c>
      <c r="C25" t="str">
        <f>IF('Data Checking'!M25="","",'Data Checking'!M25)</f>
        <v>2021-04-01</v>
      </c>
      <c r="D25" t="str">
        <f>IF('Data Checking'!N25="","",'Data Checking'!N25)</f>
        <v/>
      </c>
      <c r="E25" t="str">
        <f>IF('Data Checking'!O25="","",'Data Checking'!O25)</f>
        <v/>
      </c>
      <c r="F25" t="str">
        <f>IF('Data Checking'!R25="","",'Data Checking'!R25)</f>
        <v>Homme</v>
      </c>
      <c r="G25" t="str">
        <f>IF('Data Checking'!S25="","",'Data Checking'!S25)</f>
        <v>tera</v>
      </c>
      <c r="H25" t="str">
        <f>IF('Data Checking'!T25="","",'Data Checking'!T25)</f>
        <v>tera</v>
      </c>
      <c r="I25" t="str">
        <f>IF('Data Checking'!U25="","",'Data Checking'!U25)</f>
        <v>Zongo</v>
      </c>
      <c r="J25" t="str">
        <f>IF('Data Checking'!V25="","",'Data Checking'!V25)</f>
        <v>Zongo</v>
      </c>
      <c r="K25" t="str">
        <f>IF('Data Checking'!W25="","",'Data Checking'!W25)</f>
        <v/>
      </c>
      <c r="L25" t="str">
        <f>IF('Data Checking'!X25="","",'Data Checking'!X25)</f>
        <v/>
      </c>
      <c r="M25" t="str">
        <f>IF('Data Checking'!Y25="","",'Data Checking'!Y25)</f>
        <v/>
      </c>
      <c r="N25" t="str">
        <f>IF('Data Checking'!Z25="","",'Data Checking'!Z25)</f>
        <v/>
      </c>
      <c r="O25" t="str">
        <f>IF('Data Checking'!AA25="","",'Data Checking'!AA25)</f>
        <v/>
      </c>
      <c r="P25" t="str">
        <f>IF('Data Checking'!AB25="","",'Data Checking'!AB25)</f>
        <v/>
      </c>
      <c r="Q25" t="str">
        <f>IF('Data Checking'!AC25="","",'Data Checking'!AC25)</f>
        <v/>
      </c>
      <c r="R25" t="str">
        <f>IF('Data Checking'!AD25="","",'Data Checking'!AD25)</f>
        <v>Homme</v>
      </c>
      <c r="S25" t="str">
        <f>IF('Data Checking'!AE25="","",'Data Checking'!AE25)</f>
        <v>56</v>
      </c>
      <c r="T25" t="str">
        <f>IF('Data Checking'!AF25="","",'Data Checking'!AF25)</f>
        <v>deplace_interne</v>
      </c>
      <c r="U25" t="str">
        <f>IF('Data Checking'!AG25="","",'Data Checking'!AG25)</f>
        <v/>
      </c>
      <c r="V25" t="str">
        <f>IF('Data Checking'!AH25="","",'Data Checking'!AH25)</f>
        <v/>
      </c>
      <c r="W25" t="str">
        <f>IF('Data Checking'!AI25="","",'Data Checking'!AI25)</f>
        <v/>
      </c>
      <c r="X25" t="str">
        <f>IF('Data Checking'!AJ25="","",'Data Checking'!AJ25)</f>
        <v/>
      </c>
      <c r="Y25" t="str">
        <f>IF('Data Checking'!AK25="","",'Data Checking'!AK25)</f>
        <v/>
      </c>
      <c r="Z25" t="str">
        <f>IF('Data Checking'!AL25="","",'Data Checking'!AL25)</f>
        <v>niger</v>
      </c>
      <c r="AA25" t="str">
        <f>IF('Data Checking'!AM25="","",'Data Checking'!AM25)</f>
        <v>tillaberi</v>
      </c>
      <c r="AB25" t="str">
        <f>IF('Data Checking'!AN25="","",'Data Checking'!AN25)</f>
        <v>tera</v>
      </c>
      <c r="AC25" t="str">
        <f>IF('Data Checking'!AO25="","",'Data Checking'!AO25)</f>
        <v/>
      </c>
      <c r="AD25" t="str">
        <f>IF('Data Checking'!AP25="","",'Data Checking'!AP25)</f>
        <v/>
      </c>
      <c r="AE25" t="str">
        <f>IF('Data Checking'!AQ25="","",'Data Checking'!AQ25)</f>
        <v/>
      </c>
      <c r="AF25" t="str">
        <f>IF('Data Checking'!AR25="","",'Data Checking'!AR25)</f>
        <v/>
      </c>
      <c r="AG25" t="str">
        <f>IF('Data Checking'!AS25="","",'Data Checking'!AS25)</f>
        <v>oui</v>
      </c>
      <c r="AH25" t="str">
        <f>IF('Data Checking'!AT25="","",'Data Checking'!AT25)</f>
        <v>Vols_braquages extorsions Violences_physique_civils Combat_groupes_armes Attaques_ecoles_sante</v>
      </c>
      <c r="AI25" t="str">
        <f>IF('Data Checking'!AU25="","",'Data Checking'!AU25)</f>
        <v>1</v>
      </c>
      <c r="AJ25" t="str">
        <f>IF('Data Checking'!AV25="","",'Data Checking'!AV25)</f>
        <v>0</v>
      </c>
      <c r="AK25" t="str">
        <f>IF('Data Checking'!AW25="","",'Data Checking'!AW25)</f>
        <v>1</v>
      </c>
      <c r="AL25" t="str">
        <f>IF('Data Checking'!AX25="","",'Data Checking'!AX25)</f>
        <v>1</v>
      </c>
      <c r="AM25" t="str">
        <f>IF('Data Checking'!AY25="","",'Data Checking'!AY25)</f>
        <v>1</v>
      </c>
      <c r="AN25" t="str">
        <f>IF('Data Checking'!AZ25="","",'Data Checking'!AZ25)</f>
        <v>0</v>
      </c>
      <c r="AO25" t="str">
        <f>IF('Data Checking'!BA25="","",'Data Checking'!BA25)</f>
        <v>0</v>
      </c>
      <c r="AP25" t="str">
        <f>IF('Data Checking'!BB25="","",'Data Checking'!BB25)</f>
        <v>1</v>
      </c>
      <c r="AQ25" t="str">
        <f>IF('Data Checking'!BC25="","",'Data Checking'!BC25)</f>
        <v>0</v>
      </c>
      <c r="AR25" t="str">
        <f>IF('Data Checking'!BD25="","",'Data Checking'!BD25)</f>
        <v>0</v>
      </c>
      <c r="AS25" t="str">
        <f>IF('Data Checking'!BE25="","",'Data Checking'!BE25)</f>
        <v>0</v>
      </c>
      <c r="AT25" t="str">
        <f>IF('Data Checking'!BF25="","",'Data Checking'!BF25)</f>
        <v>0</v>
      </c>
      <c r="AU25" t="str">
        <f>IF('Data Checking'!BG25="","",'Data Checking'!BG25)</f>
        <v>0</v>
      </c>
      <c r="AV25" t="str">
        <f>IF('Data Checking'!BH25="","",'Data Checking'!BH25)</f>
        <v>0</v>
      </c>
      <c r="AW25" t="str">
        <f>IF('Data Checking'!BI25="","",'Data Checking'!BI25)</f>
        <v/>
      </c>
      <c r="AX25" t="str">
        <f>IF('Data Checking'!BJ25="","",'Data Checking'!BJ25)</f>
        <v>Bebes/Bambins Enfants Filles Femmes_agees Hommes_ages</v>
      </c>
      <c r="AY25" t="str">
        <f>IF('Data Checking'!BK25="","",'Data Checking'!BK25)</f>
        <v>1</v>
      </c>
      <c r="AZ25" t="str">
        <f>IF('Data Checking'!BL25="","",'Data Checking'!BL25)</f>
        <v>1</v>
      </c>
      <c r="BA25" t="str">
        <f>IF('Data Checking'!BM25="","",'Data Checking'!BM25)</f>
        <v>1</v>
      </c>
      <c r="BB25" t="str">
        <f>IF('Data Checking'!BN25="","",'Data Checking'!BN25)</f>
        <v>0</v>
      </c>
      <c r="BC25" t="str">
        <f>IF('Data Checking'!BO25="","",'Data Checking'!BO25)</f>
        <v>0</v>
      </c>
      <c r="BD25" t="str">
        <f>IF('Data Checking'!BP25="","",'Data Checking'!BP25)</f>
        <v>0</v>
      </c>
      <c r="BE25" t="str">
        <f>IF('Data Checking'!BQ25="","",'Data Checking'!BQ25)</f>
        <v>1</v>
      </c>
      <c r="BF25" t="str">
        <f>IF('Data Checking'!BR25="","",'Data Checking'!BR25)</f>
        <v>1</v>
      </c>
      <c r="BG25" t="str">
        <f>IF('Data Checking'!BS25="","",'Data Checking'!BS25)</f>
        <v>0</v>
      </c>
      <c r="BH25" t="str">
        <f>IF('Data Checking'!BT25="","",'Data Checking'!BT25)</f>
        <v>0</v>
      </c>
      <c r="BI25" t="str">
        <f>IF('Data Checking'!BU25="","",'Data Checking'!BU25)</f>
        <v>0</v>
      </c>
      <c r="BJ25" t="str">
        <f>IF('Data Checking'!BV25="","",'Data Checking'!BV25)</f>
        <v>0</v>
      </c>
      <c r="BK25" t="str">
        <f>IF('Data Checking'!BW25="","",'Data Checking'!BW25)</f>
        <v>0</v>
      </c>
      <c r="BL25" t="str">
        <f>IF('Data Checking'!BX25="","",'Data Checking'!BX25)</f>
        <v>0</v>
      </c>
      <c r="BM25" t="str">
        <f>IF('Data Checking'!BY25="","",'Data Checking'!BY25)</f>
        <v/>
      </c>
      <c r="BN25" t="str">
        <f>IF('Data Checking'!BZ25="","",'Data Checking'!BZ25)</f>
        <v>4</v>
      </c>
      <c r="BO25" t="str">
        <f>IF('Data Checking'!CA25="","",'Data Checking'!CA25)</f>
        <v>augmente</v>
      </c>
      <c r="BP25" t="str">
        <f>IF('Data Checking'!CB25="","",'Data Checking'!CB25)</f>
        <v/>
      </c>
      <c r="BQ25" t="str">
        <f>IF('Data Checking'!CC25="","",'Data Checking'!CC25)</f>
        <v>oui</v>
      </c>
      <c r="BR25" t="str">
        <f>IF('Data Checking'!CD25="","",'Data Checking'!CD25)</f>
        <v>agression_physique agression_psychologique exploitations_enfant menace travail_force</v>
      </c>
      <c r="BS25" t="str">
        <f>IF('Data Checking'!CE25="","",'Data Checking'!CE25)</f>
        <v>0</v>
      </c>
      <c r="BT25" t="str">
        <f>IF('Data Checking'!CF25="","",'Data Checking'!CF25)</f>
        <v>0</v>
      </c>
      <c r="BU25" t="str">
        <f>IF('Data Checking'!CG25="","",'Data Checking'!CG25)</f>
        <v>1</v>
      </c>
      <c r="BV25" t="str">
        <f>IF('Data Checking'!CH25="","",'Data Checking'!CH25)</f>
        <v>0</v>
      </c>
      <c r="BW25" t="str">
        <f>IF('Data Checking'!CI25="","",'Data Checking'!CI25)</f>
        <v>1</v>
      </c>
      <c r="BX25" t="str">
        <f>IF('Data Checking'!CJ25="","",'Data Checking'!CJ25)</f>
        <v>0</v>
      </c>
      <c r="BY25" t="str">
        <f>IF('Data Checking'!CK25="","",'Data Checking'!CK25)</f>
        <v>1</v>
      </c>
      <c r="BZ25" t="str">
        <f>IF('Data Checking'!CL25="","",'Data Checking'!CL25)</f>
        <v>0</v>
      </c>
      <c r="CA25" t="str">
        <f>IF('Data Checking'!CM25="","",'Data Checking'!CM25)</f>
        <v>1</v>
      </c>
      <c r="CB25" t="str">
        <f>IF('Data Checking'!CN25="","",'Data Checking'!CN25)</f>
        <v>0</v>
      </c>
      <c r="CC25" t="str">
        <f>IF('Data Checking'!CO25="","",'Data Checking'!CO25)</f>
        <v>1</v>
      </c>
      <c r="CD25" t="str">
        <f>IF('Data Checking'!CP25="","",'Data Checking'!CP25)</f>
        <v>0</v>
      </c>
      <c r="CE25" t="str">
        <f>IF('Data Checking'!CQ25="","",'Data Checking'!CQ25)</f>
        <v>0</v>
      </c>
      <c r="CF25" t="str">
        <f>IF('Data Checking'!CR25="","",'Data Checking'!CR25)</f>
        <v>0</v>
      </c>
      <c r="CG25" t="str">
        <f>IF('Data Checking'!CS25="","",'Data Checking'!CS25)</f>
        <v>0</v>
      </c>
      <c r="CH25" t="str">
        <f>IF('Data Checking'!CT25="","",'Data Checking'!CT25)</f>
        <v/>
      </c>
      <c r="CI25" t="str">
        <f>IF('Data Checking'!CU25="","",'Data Checking'!CU25)</f>
        <v>Bebes/Bambins Enfants Filles Hommes_ages Femmes_agees</v>
      </c>
      <c r="CJ25" t="str">
        <f>IF('Data Checking'!CV25="","",'Data Checking'!CV25)</f>
        <v>1</v>
      </c>
      <c r="CK25" t="str">
        <f>IF('Data Checking'!CW25="","",'Data Checking'!CW25)</f>
        <v>1</v>
      </c>
      <c r="CL25" t="str">
        <f>IF('Data Checking'!CX25="","",'Data Checking'!CX25)</f>
        <v>1</v>
      </c>
      <c r="CM25" t="str">
        <f>IF('Data Checking'!CY25="","",'Data Checking'!CY25)</f>
        <v>0</v>
      </c>
      <c r="CN25" t="str">
        <f>IF('Data Checking'!CZ25="","",'Data Checking'!CZ25)</f>
        <v>0</v>
      </c>
      <c r="CO25" t="str">
        <f>IF('Data Checking'!DA25="","",'Data Checking'!DA25)</f>
        <v>0</v>
      </c>
      <c r="CP25" t="str">
        <f>IF('Data Checking'!DB25="","",'Data Checking'!DB25)</f>
        <v>1</v>
      </c>
      <c r="CQ25" t="str">
        <f>IF('Data Checking'!DC25="","",'Data Checking'!DC25)</f>
        <v>1</v>
      </c>
      <c r="CR25" t="str">
        <f>IF('Data Checking'!DD25="","",'Data Checking'!DD25)</f>
        <v>0</v>
      </c>
      <c r="CS25" t="str">
        <f>IF('Data Checking'!DE25="","",'Data Checking'!DE25)</f>
        <v>0</v>
      </c>
      <c r="CT25" t="str">
        <f>IF('Data Checking'!DF25="","",'Data Checking'!DF25)</f>
        <v>0</v>
      </c>
      <c r="CU25" t="str">
        <f>IF('Data Checking'!DG25="","",'Data Checking'!DG25)</f>
        <v>0</v>
      </c>
      <c r="CV25" t="str">
        <f>IF('Data Checking'!DH25="","",'Data Checking'!DH25)</f>
        <v>0</v>
      </c>
      <c r="CW25" t="str">
        <f>IF('Data Checking'!DI25="","",'Data Checking'!DI25)</f>
        <v>0</v>
      </c>
      <c r="CX25" t="str">
        <f>IF('Data Checking'!DJ25="","",'Data Checking'!DJ25)</f>
        <v/>
      </c>
      <c r="CY25" t="str">
        <f>IF('Data Checking'!DK25="","",'Data Checking'!DK25)</f>
        <v>4</v>
      </c>
      <c r="CZ25" t="str">
        <f>IF('Data Checking'!DL25="","",'Data Checking'!DL25)</f>
        <v>augmente</v>
      </c>
      <c r="DA25" t="str">
        <f>IF('Data Checking'!DM25="","",'Data Checking'!DM25)</f>
        <v/>
      </c>
      <c r="DB25" t="str">
        <f>IF('Data Checking'!DN25="","",'Data Checking'!DN25)</f>
        <v>deterioration_con_abris deterioration_acces_service_base hausse_chomeurs</v>
      </c>
      <c r="DC25" t="str">
        <f>IF('Data Checking'!DO25="","",'Data Checking'!DO25)</f>
        <v>0</v>
      </c>
      <c r="DD25" t="str">
        <f>IF('Data Checking'!DP25="","",'Data Checking'!DP25)</f>
        <v>1</v>
      </c>
      <c r="DE25" t="str">
        <f>IF('Data Checking'!DQ25="","",'Data Checking'!DQ25)</f>
        <v>1</v>
      </c>
      <c r="DF25" t="str">
        <f>IF('Data Checking'!DR25="","",'Data Checking'!DR25)</f>
        <v>0</v>
      </c>
      <c r="DG25" t="str">
        <f>IF('Data Checking'!DS25="","",'Data Checking'!DS25)</f>
        <v>0</v>
      </c>
      <c r="DH25" t="str">
        <f>IF('Data Checking'!DT25="","",'Data Checking'!DT25)</f>
        <v>0</v>
      </c>
      <c r="DI25" t="str">
        <f>IF('Data Checking'!DU25="","",'Data Checking'!DU25)</f>
        <v>1</v>
      </c>
      <c r="DJ25" t="str">
        <f>IF('Data Checking'!DV25="","",'Data Checking'!DV25)</f>
        <v>0</v>
      </c>
      <c r="DK25" t="str">
        <f>IF('Data Checking'!DW25="","",'Data Checking'!DW25)</f>
        <v>0</v>
      </c>
      <c r="DL25" t="str">
        <f>IF('Data Checking'!DX25="","",'Data Checking'!DX25)</f>
        <v>0</v>
      </c>
      <c r="DM25" t="str">
        <f>IF('Data Checking'!DY25="","",'Data Checking'!DY25)</f>
        <v/>
      </c>
      <c r="DN25" t="str">
        <f>IF('Data Checking'!DZ25="","",'Data Checking'!DZ25)</f>
        <v/>
      </c>
      <c r="DO25" t="str">
        <f>IF('Data Checking'!EA25="","",'Data Checking'!EA25)</f>
        <v/>
      </c>
      <c r="DP25" t="str">
        <f>IF('Data Checking'!EB25="","",'Data Checking'!EB25)</f>
        <v/>
      </c>
      <c r="DQ25" t="str">
        <f>IF('Data Checking'!EC25="","",'Data Checking'!EC25)</f>
        <v/>
      </c>
      <c r="DR25" t="str">
        <f>IF('Data Checking'!ED25="","",'Data Checking'!ED25)</f>
        <v/>
      </c>
      <c r="DS25" t="str">
        <f>IF('Data Checking'!EE25="","",'Data Checking'!EE25)</f>
        <v/>
      </c>
      <c r="DT25" t="str">
        <f>IF('Data Checking'!EF25="","",'Data Checking'!EF25)</f>
        <v/>
      </c>
      <c r="DU25" t="str">
        <f>IF('Data Checking'!EG25="","",'Data Checking'!EG25)</f>
        <v/>
      </c>
      <c r="DV25" t="str">
        <f>IF('Data Checking'!EH25="","",'Data Checking'!EH25)</f>
        <v/>
      </c>
      <c r="DW25" t="str">
        <f>IF('Data Checking'!EI25="","",'Data Checking'!EI25)</f>
        <v/>
      </c>
      <c r="DX25" t="str">
        <f>IF('Data Checking'!EJ25="","",'Data Checking'!EJ25)</f>
        <v/>
      </c>
      <c r="DY25" t="str">
        <f>IF('Data Checking'!EK25="","",'Data Checking'!EK25)</f>
        <v/>
      </c>
      <c r="DZ25" t="str">
        <f>IF('Data Checking'!EL25="","",'Data Checking'!EL25)</f>
        <v>Soutien_famille_amis Integration_com_hote dplct_abords_com</v>
      </c>
      <c r="EA25" t="str">
        <f>IF('Data Checking'!EM25="","",'Data Checking'!EM25)</f>
        <v>1</v>
      </c>
      <c r="EB25" t="str">
        <f>IF('Data Checking'!EN25="","",'Data Checking'!EN25)</f>
        <v>1</v>
      </c>
      <c r="EC25" t="str">
        <f>IF('Data Checking'!EO25="","",'Data Checking'!EO25)</f>
        <v>1</v>
      </c>
      <c r="ED25" t="str">
        <f>IF('Data Checking'!EP25="","",'Data Checking'!EP25)</f>
        <v>0</v>
      </c>
      <c r="EE25" t="str">
        <f>IF('Data Checking'!EQ25="","",'Data Checking'!EQ25)</f>
        <v>0</v>
      </c>
      <c r="EF25" t="str">
        <f>IF('Data Checking'!ER25="","",'Data Checking'!ER25)</f>
        <v>0</v>
      </c>
      <c r="EG25" t="str">
        <f>IF('Data Checking'!ES25="","",'Data Checking'!ES25)</f>
        <v>0</v>
      </c>
      <c r="EH25" t="str">
        <f>IF('Data Checking'!ET25="","",'Data Checking'!ET25)</f>
        <v>0</v>
      </c>
      <c r="EI25" t="str">
        <f>IF('Data Checking'!EU25="","",'Data Checking'!EU25)</f>
        <v>0</v>
      </c>
      <c r="EJ25" t="str">
        <f>IF('Data Checking'!EV25="","",'Data Checking'!EV25)</f>
        <v/>
      </c>
      <c r="EK25" t="str">
        <f>IF('Data Checking'!EW25="","",'Data Checking'!EW25)</f>
        <v/>
      </c>
      <c r="EL25" t="str">
        <f>IF('Data Checking'!EX25="","",'Data Checking'!EX25)</f>
        <v>famille_accueil comite_protection femmes_elite comite_alerte</v>
      </c>
      <c r="EM25" t="str">
        <f>IF('Data Checking'!EY25="","",'Data Checking'!EY25)</f>
        <v>1</v>
      </c>
      <c r="EN25" t="str">
        <f>IF('Data Checking'!EZ25="","",'Data Checking'!EZ25)</f>
        <v>1</v>
      </c>
      <c r="EO25" t="str">
        <f>IF('Data Checking'!FA25="","",'Data Checking'!FA25)</f>
        <v>1</v>
      </c>
      <c r="EP25" t="str">
        <f>IF('Data Checking'!FB25="","",'Data Checking'!FB25)</f>
        <v>1</v>
      </c>
      <c r="EQ25" t="str">
        <f>IF('Data Checking'!FC25="","",'Data Checking'!FC25)</f>
        <v>0</v>
      </c>
      <c r="ER25" t="str">
        <f>IF('Data Checking'!FD25="","",'Data Checking'!FD25)</f>
        <v>0</v>
      </c>
      <c r="ES25" t="str">
        <f>IF('Data Checking'!FE25="","",'Data Checking'!FE25)</f>
        <v>0</v>
      </c>
      <c r="ET25" t="str">
        <f>IF('Data Checking'!FF25="","",'Data Checking'!FF25)</f>
        <v>0</v>
      </c>
      <c r="EU25" t="str">
        <f>IF('Data Checking'!FG25="","",'Data Checking'!FG25)</f>
        <v>0</v>
      </c>
      <c r="EV25" t="str">
        <f>IF('Data Checking'!FH25="","",'Data Checking'!FH25)</f>
        <v>0</v>
      </c>
      <c r="EW25" t="str">
        <f>IF('Data Checking'!FI25="","",'Data Checking'!FI25)</f>
        <v/>
      </c>
      <c r="EX25" t="str">
        <f>IF('Data Checking'!FJ25="","",'Data Checking'!FJ25)</f>
        <v>non</v>
      </c>
      <c r="EY25" t="str">
        <f>IF('Data Checking'!FK25="","",'Data Checking'!FK25)</f>
        <v/>
      </c>
      <c r="EZ25" t="str">
        <f>IF('Data Checking'!FL25="","",'Data Checking'!FL25)</f>
        <v/>
      </c>
      <c r="FA25" t="str">
        <f>IF('Data Checking'!FM25="","",'Data Checking'!FM25)</f>
        <v/>
      </c>
      <c r="FB25" t="str">
        <f>IF('Data Checking'!FN25="","",'Data Checking'!FN25)</f>
        <v/>
      </c>
      <c r="FC25" t="str">
        <f>IF('Data Checking'!FO25="","",'Data Checking'!FO25)</f>
        <v/>
      </c>
      <c r="FD25" t="str">
        <f>IF('Data Checking'!FP25="","",'Data Checking'!FP25)</f>
        <v/>
      </c>
      <c r="FE25" t="str">
        <f>IF('Data Checking'!FQ25="","",'Data Checking'!FQ25)</f>
        <v/>
      </c>
      <c r="FF25" t="str">
        <f>IF('Data Checking'!FR25="","",'Data Checking'!FR25)</f>
        <v/>
      </c>
      <c r="FG25" t="str">
        <f>IF('Data Checking'!FS25="","",'Data Checking'!FS25)</f>
        <v/>
      </c>
      <c r="FH25" t="str">
        <f>IF('Data Checking'!FT25="","",'Data Checking'!FT25)</f>
        <v/>
      </c>
      <c r="FI25" t="str">
        <f>IF('Data Checking'!FU25="","",'Data Checking'!FU25)</f>
        <v/>
      </c>
      <c r="FJ25" t="str">
        <f>IF('Data Checking'!FV25="","",'Data Checking'!FV25)</f>
        <v/>
      </c>
      <c r="FK25" t="str">
        <f>IF('Data Checking'!FW25="","",'Data Checking'!FW25)</f>
        <v/>
      </c>
      <c r="FL25" t="str">
        <f>IF('Data Checking'!FX25="","",'Data Checking'!FX25)</f>
        <v/>
      </c>
      <c r="FM25" t="str">
        <f>IF('Data Checking'!FY25="","",'Data Checking'!FY25)</f>
        <v/>
      </c>
      <c r="FN25" t="str">
        <f>IF('Data Checking'!FZ25="","",'Data Checking'!FZ25)</f>
        <v/>
      </c>
      <c r="FO25" t="str">
        <f>IF('Data Checking'!GA25="","",'Data Checking'!GA25)</f>
        <v/>
      </c>
      <c r="FP25" t="str">
        <f>IF('Data Checking'!GB25="","",'Data Checking'!GB25)</f>
        <v/>
      </c>
      <c r="FQ25" t="str">
        <f>IF('Data Checking'!GC25="","",'Data Checking'!GC25)</f>
        <v/>
      </c>
      <c r="FR25" t="str">
        <f>IF('Data Checking'!GD25="","",'Data Checking'!GD25)</f>
        <v/>
      </c>
      <c r="FS25" t="str">
        <f>IF('Data Checking'!GE25="","",'Data Checking'!GE25)</f>
        <v/>
      </c>
      <c r="FT25" t="str">
        <f>IF('Data Checking'!GF25="","",'Data Checking'!GF25)</f>
        <v/>
      </c>
      <c r="FU25" t="str">
        <f>IF('Data Checking'!GG25="","",'Data Checking'!GG25)</f>
        <v/>
      </c>
      <c r="FV25" t="str">
        <f>IF('Data Checking'!GH25="","",'Data Checking'!GH25)</f>
        <v/>
      </c>
      <c r="FW25" t="str">
        <f>IF('Data Checking'!GI25="","",'Data Checking'!GI25)</f>
        <v/>
      </c>
      <c r="FX25" t="str">
        <f>IF('Data Checking'!GJ25="","",'Data Checking'!GJ25)</f>
        <v/>
      </c>
      <c r="FY25" t="str">
        <f>IF('Data Checking'!GK25="","",'Data Checking'!GK25)</f>
        <v/>
      </c>
      <c r="FZ25" t="str">
        <f>IF('Data Checking'!GL25="","",'Data Checking'!GL25)</f>
        <v/>
      </c>
      <c r="GA25" t="str">
        <f>IF('Data Checking'!GM25="","",'Data Checking'!GM25)</f>
        <v/>
      </c>
      <c r="GB25" t="str">
        <f>IF('Data Checking'!GN25="","",'Data Checking'!GN25)</f>
        <v/>
      </c>
      <c r="GC25" t="str">
        <f>IF('Data Checking'!GO25="","",'Data Checking'!GO25)</f>
        <v/>
      </c>
      <c r="GD25" t="str">
        <f>IF('Data Checking'!GP25="","",'Data Checking'!GP25)</f>
        <v/>
      </c>
      <c r="GE25" t="str">
        <f>IF('Data Checking'!GQ25="","",'Data Checking'!GQ25)</f>
        <v/>
      </c>
      <c r="GF25" t="str">
        <f>IF('Data Checking'!GR25="","",'Data Checking'!GR25)</f>
        <v/>
      </c>
      <c r="GG25" t="str">
        <f>IF('Data Checking'!GS25="","",'Data Checking'!GS25)</f>
        <v/>
      </c>
      <c r="GH25" t="str">
        <f>IF('Data Checking'!GT25="","",'Data Checking'!GT25)</f>
        <v/>
      </c>
      <c r="GI25" t="str">
        <f>IF('Data Checking'!GU25="","",'Data Checking'!GU25)</f>
        <v/>
      </c>
      <c r="GJ25" t="str">
        <f>IF('Data Checking'!GV25="","",'Data Checking'!GV25)</f>
        <v/>
      </c>
      <c r="GK25" t="str">
        <f>IF('Data Checking'!GW25="","",'Data Checking'!GW25)</f>
        <v/>
      </c>
      <c r="GL25" t="str">
        <f>IF('Data Checking'!GX25="","",'Data Checking'!GX25)</f>
        <v/>
      </c>
      <c r="GM25" t="str">
        <f>IF('Data Checking'!GY25="","",'Data Checking'!GY25)</f>
        <v/>
      </c>
      <c r="GN25" t="str">
        <f>IF('Data Checking'!GZ25="","",'Data Checking'!GZ25)</f>
        <v/>
      </c>
      <c r="GO25" t="str">
        <f>IF('Data Checking'!HA25="","",'Data Checking'!HA25)</f>
        <v/>
      </c>
      <c r="GP25" t="str">
        <f>IF('Data Checking'!HB25="","",'Data Checking'!HB25)</f>
        <v/>
      </c>
      <c r="GQ25" t="str">
        <f>IF('Data Checking'!HC25="","",'Data Checking'!HC25)</f>
        <v/>
      </c>
      <c r="GR25" t="str">
        <f>IF('Data Checking'!HD25="","",'Data Checking'!HD25)</f>
        <v/>
      </c>
      <c r="GS25" t="str">
        <f>IF('Data Checking'!HE25="","",'Data Checking'!HE25)</f>
        <v/>
      </c>
      <c r="GT25" t="str">
        <f>IF('Data Checking'!HF25="","",'Data Checking'!HF25)</f>
        <v/>
      </c>
      <c r="GU25" t="str">
        <f>IF('Data Checking'!HG25="","",'Data Checking'!HG25)</f>
        <v/>
      </c>
      <c r="GV25" t="str">
        <f>IF('Data Checking'!HH25="","",'Data Checking'!HH25)</f>
        <v/>
      </c>
      <c r="GW25" t="str">
        <f>IF('Data Checking'!HI25="","",'Data Checking'!HI25)</f>
        <v/>
      </c>
      <c r="GX25" t="str">
        <f>IF('Data Checking'!HJ25="","",'Data Checking'!HJ25)</f>
        <v/>
      </c>
      <c r="GY25" t="str">
        <f>IF('Data Checking'!HK25="","",'Data Checking'!HK25)</f>
        <v/>
      </c>
      <c r="GZ25" t="str">
        <f>IF('Data Checking'!HL25="","",'Data Checking'!HL25)</f>
        <v/>
      </c>
      <c r="HA25" t="str">
        <f>IF('Data Checking'!HM25="","",'Data Checking'!HM25)</f>
        <v/>
      </c>
      <c r="HB25" t="str">
        <f>IF('Data Checking'!HN25="","",'Data Checking'!HN25)</f>
        <v/>
      </c>
      <c r="HC25" t="str">
        <f>IF('Data Checking'!HO25="","",'Data Checking'!HO25)</f>
        <v/>
      </c>
      <c r="HD25" t="str">
        <f>IF('Data Checking'!HP25="","",'Data Checking'!HP25)</f>
        <v/>
      </c>
      <c r="HE25" t="str">
        <f>IF('Data Checking'!HQ25="","",'Data Checking'!HQ25)</f>
        <v/>
      </c>
      <c r="HF25" t="str">
        <f>IF('Data Checking'!HR25="","",'Data Checking'!HR25)</f>
        <v/>
      </c>
      <c r="HG25" t="str">
        <f>IF('Data Checking'!HS25="","",'Data Checking'!HS25)</f>
        <v/>
      </c>
      <c r="HH25" t="str">
        <f>IF('Data Checking'!HT25="","",'Data Checking'!HT25)</f>
        <v/>
      </c>
      <c r="HI25" t="str">
        <f>IF('Data Checking'!HU25="","",'Data Checking'!HU25)</f>
        <v>oui_minorite</v>
      </c>
      <c r="HJ25" t="str">
        <f>IF('Data Checking'!HV25="","",'Data Checking'!HV25)</f>
        <v>ingo ong_locale famille_amis</v>
      </c>
      <c r="HK25" t="str">
        <f>IF('Data Checking'!HW25="","",'Data Checking'!HW25)</f>
        <v>0</v>
      </c>
      <c r="HL25" t="str">
        <f>IF('Data Checking'!HX25="","",'Data Checking'!HX25)</f>
        <v>0</v>
      </c>
      <c r="HM25" t="str">
        <f>IF('Data Checking'!HY25="","",'Data Checking'!HY25)</f>
        <v>0</v>
      </c>
      <c r="HN25" t="str">
        <f>IF('Data Checking'!HZ25="","",'Data Checking'!HZ25)</f>
        <v>0</v>
      </c>
      <c r="HO25" t="str">
        <f>IF('Data Checking'!IA25="","",'Data Checking'!IA25)</f>
        <v>1</v>
      </c>
      <c r="HP25" t="str">
        <f>IF('Data Checking'!IB25="","",'Data Checking'!IB25)</f>
        <v>1</v>
      </c>
      <c r="HQ25" t="str">
        <f>IF('Data Checking'!IC25="","",'Data Checking'!IC25)</f>
        <v>1</v>
      </c>
      <c r="HR25" t="str">
        <f>IF('Data Checking'!ID25="","",'Data Checking'!ID25)</f>
        <v>0</v>
      </c>
      <c r="HS25" t="str">
        <f>IF('Data Checking'!IE25="","",'Data Checking'!IE25)</f>
        <v>0</v>
      </c>
      <c r="HT25" t="str">
        <f>IF('Data Checking'!IF25="","",'Data Checking'!IF25)</f>
        <v>0</v>
      </c>
      <c r="HU25" t="str">
        <f>IF('Data Checking'!IG25="","",'Data Checking'!IG25)</f>
        <v/>
      </c>
      <c r="HV25" t="str">
        <f>IF('Data Checking'!IH25="","",'Data Checking'!IH25)</f>
        <v>oui</v>
      </c>
      <c r="HW25" t="str">
        <f>IF('Data Checking'!II25="","",'Data Checking'!II25)</f>
        <v/>
      </c>
      <c r="HX25" t="str">
        <f>IF('Data Checking'!IJ25="","",'Data Checking'!IJ25)</f>
        <v>Bebes/Bambins Enfants Femmes_agees Hommes_ages</v>
      </c>
      <c r="HY25" t="str">
        <f>IF('Data Checking'!IK25="","",'Data Checking'!IK25)</f>
        <v>1</v>
      </c>
      <c r="HZ25" t="str">
        <f>IF('Data Checking'!IL25="","",'Data Checking'!IL25)</f>
        <v>1</v>
      </c>
      <c r="IA25" t="str">
        <f>IF('Data Checking'!IM25="","",'Data Checking'!IM25)</f>
        <v>0</v>
      </c>
      <c r="IB25" t="str">
        <f>IF('Data Checking'!IN25="","",'Data Checking'!IN25)</f>
        <v>0</v>
      </c>
      <c r="IC25" t="str">
        <f>IF('Data Checking'!IO25="","",'Data Checking'!IO25)</f>
        <v>0</v>
      </c>
      <c r="ID25" t="str">
        <f>IF('Data Checking'!IP25="","",'Data Checking'!IP25)</f>
        <v>0</v>
      </c>
      <c r="IE25" t="str">
        <f>IF('Data Checking'!IQ25="","",'Data Checking'!IQ25)</f>
        <v>1</v>
      </c>
      <c r="IF25" t="str">
        <f>IF('Data Checking'!IR25="","",'Data Checking'!IR25)</f>
        <v>1</v>
      </c>
      <c r="IG25" t="str">
        <f>IF('Data Checking'!IS25="","",'Data Checking'!IS25)</f>
        <v>0</v>
      </c>
      <c r="IH25" t="str">
        <f>IF('Data Checking'!IT25="","",'Data Checking'!IT25)</f>
        <v>0</v>
      </c>
      <c r="II25" t="str">
        <f>IF('Data Checking'!IU25="","",'Data Checking'!IU25)</f>
        <v>0</v>
      </c>
      <c r="IJ25" t="str">
        <f>IF('Data Checking'!IV25="","",'Data Checking'!IV25)</f>
        <v>0</v>
      </c>
      <c r="IK25" t="str">
        <f>IF('Data Checking'!IW25="","",'Data Checking'!IW25)</f>
        <v>0</v>
      </c>
      <c r="IL25" t="str">
        <f>IF('Data Checking'!IX25="","",'Data Checking'!IX25)</f>
        <v>0</v>
      </c>
      <c r="IM25" t="str">
        <f>IF('Data Checking'!IY25="","",'Data Checking'!IY25)</f>
        <v/>
      </c>
      <c r="IN25" t="str">
        <f>IF('Data Checking'!IZ25="","",'Data Checking'!IZ25)</f>
        <v>13</v>
      </c>
      <c r="IO25" t="str">
        <f>IF('Data Checking'!JA25="","",'Data Checking'!JA25)</f>
        <v>NA</v>
      </c>
      <c r="IP25" t="str">
        <f>IF('Data Checking'!JB25="","",'Data Checking'!JB25)</f>
        <v>NA</v>
      </c>
      <c r="IQ25" t="str">
        <f>IF('Data Checking'!JC25="","",'Data Checking'!JC25)</f>
        <v>NA</v>
      </c>
      <c r="IR25" t="str">
        <f>IF('Data Checking'!JD25="","",'Data Checking'!JD25)</f>
        <v>NA</v>
      </c>
      <c r="IS25" t="str">
        <f>IF('Data Checking'!JE25="","",'Data Checking'!JE25)</f>
        <v>NA</v>
      </c>
      <c r="IT25" t="str">
        <f>IF('Data Checking'!JF25="","",'Data Checking'!JF25)</f>
        <v>NA</v>
      </c>
      <c r="IU25" t="str">
        <f>IF('Data Checking'!JG25="","",'Data Checking'!JG25)</f>
        <v>NA</v>
      </c>
      <c r="IV25" t="str">
        <f>IF('Data Checking'!JH25="","",'Data Checking'!JH25)</f>
        <v>NA</v>
      </c>
      <c r="IW25" t="str">
        <f>IF('Data Checking'!JI25="","",'Data Checking'!JI25)</f>
        <v>NA</v>
      </c>
      <c r="IX25" t="str">
        <f>IF('Data Checking'!JJ25="","",'Data Checking'!JJ25)</f>
        <v>NA</v>
      </c>
      <c r="IY25" t="str">
        <f>IF('Data Checking'!JK25="","",'Data Checking'!JK25)</f>
        <v>NA</v>
      </c>
      <c r="IZ25" t="str">
        <f>IF('Data Checking'!JL25="","",'Data Checking'!JL25)</f>
        <v/>
      </c>
      <c r="JA25" t="str">
        <f>IF('Data Checking'!JM25="","",'Data Checking'!JM25)</f>
        <v>prise_enchage reorientation signalement</v>
      </c>
      <c r="JB25" t="str">
        <f>IF('Data Checking'!JN25="","",'Data Checking'!JN25)</f>
        <v>1</v>
      </c>
      <c r="JC25" t="str">
        <f>IF('Data Checking'!JO25="","",'Data Checking'!JO25)</f>
        <v>1</v>
      </c>
      <c r="JD25" t="str">
        <f>IF('Data Checking'!JP25="","",'Data Checking'!JP25)</f>
        <v>1</v>
      </c>
      <c r="JE25" t="str">
        <f>IF('Data Checking'!JQ25="","",'Data Checking'!JQ25)</f>
        <v>0</v>
      </c>
      <c r="JF25" t="str">
        <f>IF('Data Checking'!JR25="","",'Data Checking'!JR25)</f>
        <v>0</v>
      </c>
      <c r="JG25" t="str">
        <f>IF('Data Checking'!JS25="","",'Data Checking'!JS25)</f>
        <v>0</v>
      </c>
      <c r="JH25" t="str">
        <f>IF('Data Checking'!JT25="","",'Data Checking'!JT25)</f>
        <v/>
      </c>
      <c r="JI25" t="str">
        <f>IF('Data Checking'!JU25="","",'Data Checking'!JU25)</f>
        <v>medical Psychosocia surete centre_formation point_ecoute</v>
      </c>
      <c r="JJ25" t="str">
        <f>IF('Data Checking'!JV25="","",'Data Checking'!JV25)</f>
        <v>1</v>
      </c>
      <c r="JK25" t="str">
        <f>IF('Data Checking'!JW25="","",'Data Checking'!JW25)</f>
        <v>1</v>
      </c>
      <c r="JL25" t="str">
        <f>IF('Data Checking'!JX25="","",'Data Checking'!JX25)</f>
        <v>1</v>
      </c>
      <c r="JM25" t="str">
        <f>IF('Data Checking'!JY25="","",'Data Checking'!JY25)</f>
        <v>0</v>
      </c>
      <c r="JN25" t="str">
        <f>IF('Data Checking'!JZ25="","",'Data Checking'!JZ25)</f>
        <v>1</v>
      </c>
      <c r="JO25" t="str">
        <f>IF('Data Checking'!KA25="","",'Data Checking'!KA25)</f>
        <v>0</v>
      </c>
      <c r="JP25" t="str">
        <f>IF('Data Checking'!KB25="","",'Data Checking'!KB25)</f>
        <v>1</v>
      </c>
      <c r="JQ25" t="str">
        <f>IF('Data Checking'!KC25="","",'Data Checking'!KC25)</f>
        <v>0</v>
      </c>
      <c r="JR25" t="str">
        <f>IF('Data Checking'!KD25="","",'Data Checking'!KD25)</f>
        <v>0</v>
      </c>
      <c r="JS25" t="str">
        <f>IF('Data Checking'!KE25="","",'Data Checking'!KE25)</f>
        <v/>
      </c>
      <c r="JT25" t="str">
        <f>IF('Data Checking'!KF25="","",'Data Checking'!KF25)</f>
        <v>medical Psychosocia point_ecoute surete centre_formation</v>
      </c>
      <c r="JU25" t="str">
        <f>IF('Data Checking'!KG25="","",'Data Checking'!KG25)</f>
        <v>1</v>
      </c>
      <c r="JV25" t="str">
        <f>IF('Data Checking'!KH25="","",'Data Checking'!KH25)</f>
        <v>1</v>
      </c>
      <c r="JW25" t="str">
        <f>IF('Data Checking'!KI25="","",'Data Checking'!KI25)</f>
        <v>1</v>
      </c>
      <c r="JX25" t="str">
        <f>IF('Data Checking'!KJ25="","",'Data Checking'!KJ25)</f>
        <v>0</v>
      </c>
      <c r="JY25" t="str">
        <f>IF('Data Checking'!KK25="","",'Data Checking'!KK25)</f>
        <v>1</v>
      </c>
      <c r="JZ25" t="str">
        <f>IF('Data Checking'!KL25="","",'Data Checking'!KL25)</f>
        <v>0</v>
      </c>
      <c r="KA25" t="str">
        <f>IF('Data Checking'!KM25="","",'Data Checking'!KM25)</f>
        <v>1</v>
      </c>
      <c r="KB25" t="str">
        <f>IF('Data Checking'!KN25="","",'Data Checking'!KN25)</f>
        <v>0</v>
      </c>
      <c r="KC25" t="str">
        <f>IF('Data Checking'!KO25="","",'Data Checking'!KO25)</f>
        <v>0</v>
      </c>
      <c r="KD25" t="str">
        <f>IF('Data Checking'!KP25="","",'Data Checking'!KP25)</f>
        <v/>
      </c>
      <c r="KE25" t="str">
        <f>IF('Data Checking'!KQ25="","",'Data Checking'!KQ25)</f>
        <v/>
      </c>
      <c r="KF25" t="str">
        <f>IF('Data Checking'!KR25="","",'Data Checking'!KR25)</f>
        <v>oui</v>
      </c>
      <c r="KG25" t="str">
        <f>IF('Data Checking'!KS25="","",'Data Checking'!KS25)</f>
        <v>manque_moyens manque_d'information insecurite_zone manque_cordination manque_personnes</v>
      </c>
      <c r="KH25" t="str">
        <f>IF('Data Checking'!KT25="","",'Data Checking'!KT25)</f>
        <v>1</v>
      </c>
      <c r="KI25" t="str">
        <f>IF('Data Checking'!KU25="","",'Data Checking'!KU25)</f>
        <v>1</v>
      </c>
      <c r="KJ25" t="str">
        <f>IF('Data Checking'!KV25="","",'Data Checking'!KV25)</f>
        <v>1</v>
      </c>
      <c r="KK25" t="str">
        <f>IF('Data Checking'!KW25="","",'Data Checking'!KW25)</f>
        <v>0</v>
      </c>
      <c r="KL25" t="str">
        <f>IF('Data Checking'!KX25="","",'Data Checking'!KX25)</f>
        <v>1</v>
      </c>
      <c r="KM25" t="str">
        <f>IF('Data Checking'!KY25="","",'Data Checking'!KY25)</f>
        <v>0</v>
      </c>
      <c r="KN25" t="str">
        <f>IF('Data Checking'!KZ25="","",'Data Checking'!KZ25)</f>
        <v>1</v>
      </c>
      <c r="KO25" t="str">
        <f>IF('Data Checking'!LA25="","",'Data Checking'!LA25)</f>
        <v>0</v>
      </c>
      <c r="KP25" t="str">
        <f>IF('Data Checking'!LB25="","",'Data Checking'!LB25)</f>
        <v>0</v>
      </c>
      <c r="KQ25" t="str">
        <f>IF('Data Checking'!LC25="","",'Data Checking'!LC25)</f>
        <v>0</v>
      </c>
      <c r="KR25" t="str">
        <f>IF('Data Checking'!LD25="","",'Data Checking'!LD25)</f>
        <v>0</v>
      </c>
      <c r="KS25" t="str">
        <f>IF('Data Checking'!LE25="","",'Data Checking'!LE25)</f>
        <v/>
      </c>
      <c r="KT25" t="str">
        <f>IF('Data Checking'!LF25="","",'Data Checking'!LF25)</f>
        <v/>
      </c>
      <c r="KU25" t="str">
        <f>IF('Data Checking'!LG25="","",'Data Checking'!LG25)</f>
        <v/>
      </c>
      <c r="KV25" t="str">
        <f>IF('Data Checking'!LH25="","",'Data Checking'!LH25)</f>
        <v/>
      </c>
      <c r="KW25" t="str">
        <f>IF('Data Checking'!LI25="","",'Data Checking'!LI25)</f>
        <v/>
      </c>
      <c r="KX25" t="str">
        <f>IF('Data Checking'!LJ25="","",'Data Checking'!LJ25)</f>
        <v/>
      </c>
      <c r="KY25" t="str">
        <f>IF('Data Checking'!LK25="","",'Data Checking'!LK25)</f>
        <v/>
      </c>
      <c r="KZ25" t="str">
        <f>IF('Data Checking'!LL25="","",'Data Checking'!LL25)</f>
        <v/>
      </c>
      <c r="LA25" t="str">
        <f>IF('Data Checking'!LM25="","",'Data Checking'!LM25)</f>
        <v/>
      </c>
      <c r="LB25" t="str">
        <f>IF('Data Checking'!LN25="","",'Data Checking'!LN25)</f>
        <v>oui</v>
      </c>
      <c r="LC25" t="str">
        <f>IF('Data Checking'!LO25="","",'Data Checking'!LO25)</f>
        <v>violence_physique menace_mort violence_psycho menace_entourage</v>
      </c>
      <c r="LD25" t="str">
        <f>IF('Data Checking'!LP25="","",'Data Checking'!LP25)</f>
        <v>1</v>
      </c>
      <c r="LE25" t="str">
        <f>IF('Data Checking'!LQ25="","",'Data Checking'!LQ25)</f>
        <v>1</v>
      </c>
      <c r="LF25" t="str">
        <f>IF('Data Checking'!LR25="","",'Data Checking'!LR25)</f>
        <v>0</v>
      </c>
      <c r="LG25" t="str">
        <f>IF('Data Checking'!LS25="","",'Data Checking'!LS25)</f>
        <v>1</v>
      </c>
      <c r="LH25" t="str">
        <f>IF('Data Checking'!LT25="","",'Data Checking'!LT25)</f>
        <v>1</v>
      </c>
      <c r="LI25" t="str">
        <f>IF('Data Checking'!LU25="","",'Data Checking'!LU25)</f>
        <v>0</v>
      </c>
      <c r="LJ25" t="str">
        <f>IF('Data Checking'!LV25="","",'Data Checking'!LV25)</f>
        <v>0</v>
      </c>
      <c r="LK25" t="str">
        <f>IF('Data Checking'!LW25="","",'Data Checking'!LW25)</f>
        <v>0</v>
      </c>
      <c r="LL25" t="str">
        <f>IF('Data Checking'!LX25="","",'Data Checking'!LX25)</f>
        <v>0</v>
      </c>
      <c r="LM25" t="str">
        <f>IF('Data Checking'!LY25="","",'Data Checking'!LY25)</f>
        <v>0</v>
      </c>
      <c r="LN25" t="str">
        <f>IF('Data Checking'!LZ25="","",'Data Checking'!LZ25)</f>
        <v/>
      </c>
      <c r="LO25" t="str">
        <f>IF('Data Checking'!MA25="","",'Data Checking'!MA25)</f>
        <v>oui</v>
      </c>
      <c r="LP25" t="str">
        <f>IF('Data Checking'!MB25="","",'Data Checking'!MB25)</f>
        <v>oui</v>
      </c>
      <c r="LQ25" t="str">
        <f>IF('Data Checking'!MC25="","",'Data Checking'!MC25)</f>
        <v/>
      </c>
      <c r="LR25" t="str">
        <f>IF('Data Checking'!MD25="","",'Data Checking'!MD25)</f>
        <v>Manque d abris et surtout l alimentation</v>
      </c>
      <c r="LS25">
        <f>IF('Data Checking'!ME25="","",'Data Checking'!ME25)</f>
        <v>169351634</v>
      </c>
      <c r="LT25" t="str">
        <f>IF('Data Checking'!MF25="","",'Data Checking'!MF25)</f>
        <v>7d4602c8-7b62-46e7-bf3b-e3652356e498</v>
      </c>
      <c r="LU25" t="str">
        <f>IF('Data Checking'!MG25="","",'Data Checking'!MG25)</f>
        <v>2021-04-02T19:01:50</v>
      </c>
      <c r="LV25" t="str">
        <f>IF('Data Checking'!MH25="","",'Data Checking'!MH25)</f>
        <v/>
      </c>
      <c r="LW25" t="str">
        <f>IF('Data Checking'!MI25="","",'Data Checking'!MI25)</f>
        <v>[]</v>
      </c>
      <c r="LX25" t="str">
        <f>IF('Data Checking'!MJ25="","",'Data Checking'!MJ25)</f>
        <v>submitted_via_web</v>
      </c>
      <c r="LY25" t="str">
        <f>IF('Data Checking'!MK25="","",'Data Checking'!MK25)</f>
        <v>reach_niger</v>
      </c>
      <c r="LZ25" t="str">
        <f>IF('Data Checking'!ML25="","",'Data Checking'!ML25)</f>
        <v/>
      </c>
      <c r="MA25">
        <f>IF('Data Checking'!MM25="","",'Data Checking'!MM25)</f>
        <v>24</v>
      </c>
    </row>
    <row r="26" spans="1:339" x14ac:dyDescent="0.3">
      <c r="A26" t="str">
        <f>IF('Data Checking'!D26="","",'Data Checking'!D26)</f>
        <v>2021-04-01T08:32:40.948+01:00</v>
      </c>
      <c r="B26" t="str">
        <f>IF('Data Checking'!E26="","",'Data Checking'!E26)</f>
        <v>2021-04-01T09:07:36.245+01:00</v>
      </c>
      <c r="C26" t="str">
        <f>IF('Data Checking'!M26="","",'Data Checking'!M26)</f>
        <v>2021-04-01</v>
      </c>
      <c r="D26" t="str">
        <f>IF('Data Checking'!N26="","",'Data Checking'!N26)</f>
        <v/>
      </c>
      <c r="E26" t="str">
        <f>IF('Data Checking'!O26="","",'Data Checking'!O26)</f>
        <v/>
      </c>
      <c r="F26" t="str">
        <f>IF('Data Checking'!R26="","",'Data Checking'!R26)</f>
        <v>Homme</v>
      </c>
      <c r="G26" t="str">
        <f>IF('Data Checking'!S26="","",'Data Checking'!S26)</f>
        <v>tera</v>
      </c>
      <c r="H26" t="str">
        <f>IF('Data Checking'!T26="","",'Data Checking'!T26)</f>
        <v>tera</v>
      </c>
      <c r="I26" t="str">
        <f>IF('Data Checking'!U26="","",'Data Checking'!U26)</f>
        <v>tera</v>
      </c>
      <c r="J26" t="str">
        <f>IF('Data Checking'!V26="","",'Data Checking'!V26)</f>
        <v/>
      </c>
      <c r="K26" t="str">
        <f>IF('Data Checking'!W26="","",'Data Checking'!W26)</f>
        <v/>
      </c>
      <c r="L26" t="str">
        <f>IF('Data Checking'!X26="","",'Data Checking'!X26)</f>
        <v/>
      </c>
      <c r="M26" t="str">
        <f>IF('Data Checking'!Y26="","",'Data Checking'!Y26)</f>
        <v/>
      </c>
      <c r="N26" t="str">
        <f>IF('Data Checking'!Z26="","",'Data Checking'!Z26)</f>
        <v/>
      </c>
      <c r="O26" t="str">
        <f>IF('Data Checking'!AA26="","",'Data Checking'!AA26)</f>
        <v/>
      </c>
      <c r="P26" t="str">
        <f>IF('Data Checking'!AB26="","",'Data Checking'!AB26)</f>
        <v/>
      </c>
      <c r="Q26" t="str">
        <f>IF('Data Checking'!AC26="","",'Data Checking'!AC26)</f>
        <v/>
      </c>
      <c r="R26" t="str">
        <f>IF('Data Checking'!AD26="","",'Data Checking'!AD26)</f>
        <v>Homme</v>
      </c>
      <c r="S26" t="str">
        <f>IF('Data Checking'!AE26="","",'Data Checking'!AE26)</f>
        <v>55</v>
      </c>
      <c r="T26" t="str">
        <f>IF('Data Checking'!AF26="","",'Data Checking'!AF26)</f>
        <v>Hote</v>
      </c>
      <c r="U26" t="str">
        <f>IF('Data Checking'!AG26="","",'Data Checking'!AG26)</f>
        <v/>
      </c>
      <c r="V26" t="str">
        <f>IF('Data Checking'!AH26="","",'Data Checking'!AH26)</f>
        <v/>
      </c>
      <c r="W26" t="str">
        <f>IF('Data Checking'!AI26="","",'Data Checking'!AI26)</f>
        <v/>
      </c>
      <c r="X26" t="str">
        <f>IF('Data Checking'!AJ26="","",'Data Checking'!AJ26)</f>
        <v/>
      </c>
      <c r="Y26" t="str">
        <f>IF('Data Checking'!AK26="","",'Data Checking'!AK26)</f>
        <v/>
      </c>
      <c r="Z26" t="str">
        <f>IF('Data Checking'!AL26="","",'Data Checking'!AL26)</f>
        <v/>
      </c>
      <c r="AA26" t="str">
        <f>IF('Data Checking'!AM26="","",'Data Checking'!AM26)</f>
        <v/>
      </c>
      <c r="AB26" t="str">
        <f>IF('Data Checking'!AN26="","",'Data Checking'!AN26)</f>
        <v/>
      </c>
      <c r="AC26" t="str">
        <f>IF('Data Checking'!AO26="","",'Data Checking'!AO26)</f>
        <v/>
      </c>
      <c r="AD26" t="str">
        <f>IF('Data Checking'!AP26="","",'Data Checking'!AP26)</f>
        <v/>
      </c>
      <c r="AE26" t="str">
        <f>IF('Data Checking'!AQ26="","",'Data Checking'!AQ26)</f>
        <v/>
      </c>
      <c r="AF26" t="str">
        <f>IF('Data Checking'!AR26="","",'Data Checking'!AR26)</f>
        <v/>
      </c>
      <c r="AG26" t="str">
        <f>IF('Data Checking'!AS26="","",'Data Checking'!AS26)</f>
        <v>oui</v>
      </c>
      <c r="AH26" t="str">
        <f>IF('Data Checking'!AT26="","",'Data Checking'!AT26)</f>
        <v>Vols_braquages extorsions Attaques_ecoles_sante Violences_physique_civils Recrutement_enfants</v>
      </c>
      <c r="AI26" t="str">
        <f>IF('Data Checking'!AU26="","",'Data Checking'!AU26)</f>
        <v>0</v>
      </c>
      <c r="AJ26" t="str">
        <f>IF('Data Checking'!AV26="","",'Data Checking'!AV26)</f>
        <v>0</v>
      </c>
      <c r="AK26" t="str">
        <f>IF('Data Checking'!AW26="","",'Data Checking'!AW26)</f>
        <v>1</v>
      </c>
      <c r="AL26" t="str">
        <f>IF('Data Checking'!AX26="","",'Data Checking'!AX26)</f>
        <v>1</v>
      </c>
      <c r="AM26" t="str">
        <f>IF('Data Checking'!AY26="","",'Data Checking'!AY26)</f>
        <v>1</v>
      </c>
      <c r="AN26" t="str">
        <f>IF('Data Checking'!AZ26="","",'Data Checking'!AZ26)</f>
        <v>0</v>
      </c>
      <c r="AO26" t="str">
        <f>IF('Data Checking'!BA26="","",'Data Checking'!BA26)</f>
        <v>1</v>
      </c>
      <c r="AP26" t="str">
        <f>IF('Data Checking'!BB26="","",'Data Checking'!BB26)</f>
        <v>1</v>
      </c>
      <c r="AQ26" t="str">
        <f>IF('Data Checking'!BC26="","",'Data Checking'!BC26)</f>
        <v>0</v>
      </c>
      <c r="AR26" t="str">
        <f>IF('Data Checking'!BD26="","",'Data Checking'!BD26)</f>
        <v>0</v>
      </c>
      <c r="AS26" t="str">
        <f>IF('Data Checking'!BE26="","",'Data Checking'!BE26)</f>
        <v>0</v>
      </c>
      <c r="AT26" t="str">
        <f>IF('Data Checking'!BF26="","",'Data Checking'!BF26)</f>
        <v>0</v>
      </c>
      <c r="AU26" t="str">
        <f>IF('Data Checking'!BG26="","",'Data Checking'!BG26)</f>
        <v>0</v>
      </c>
      <c r="AV26" t="str">
        <f>IF('Data Checking'!BH26="","",'Data Checking'!BH26)</f>
        <v>0</v>
      </c>
      <c r="AW26" t="str">
        <f>IF('Data Checking'!BI26="","",'Data Checking'!BI26)</f>
        <v/>
      </c>
      <c r="AX26" t="str">
        <f>IF('Data Checking'!BJ26="","",'Data Checking'!BJ26)</f>
        <v>Bebes/Bambins Enfants Filles Femmes_agees Hommes_ages</v>
      </c>
      <c r="AY26" t="str">
        <f>IF('Data Checking'!BK26="","",'Data Checking'!BK26)</f>
        <v>1</v>
      </c>
      <c r="AZ26" t="str">
        <f>IF('Data Checking'!BL26="","",'Data Checking'!BL26)</f>
        <v>1</v>
      </c>
      <c r="BA26" t="str">
        <f>IF('Data Checking'!BM26="","",'Data Checking'!BM26)</f>
        <v>1</v>
      </c>
      <c r="BB26" t="str">
        <f>IF('Data Checking'!BN26="","",'Data Checking'!BN26)</f>
        <v>0</v>
      </c>
      <c r="BC26" t="str">
        <f>IF('Data Checking'!BO26="","",'Data Checking'!BO26)</f>
        <v>0</v>
      </c>
      <c r="BD26" t="str">
        <f>IF('Data Checking'!BP26="","",'Data Checking'!BP26)</f>
        <v>0</v>
      </c>
      <c r="BE26" t="str">
        <f>IF('Data Checking'!BQ26="","",'Data Checking'!BQ26)</f>
        <v>1</v>
      </c>
      <c r="BF26" t="str">
        <f>IF('Data Checking'!BR26="","",'Data Checking'!BR26)</f>
        <v>1</v>
      </c>
      <c r="BG26" t="str">
        <f>IF('Data Checking'!BS26="","",'Data Checking'!BS26)</f>
        <v>0</v>
      </c>
      <c r="BH26" t="str">
        <f>IF('Data Checking'!BT26="","",'Data Checking'!BT26)</f>
        <v>0</v>
      </c>
      <c r="BI26" t="str">
        <f>IF('Data Checking'!BU26="","",'Data Checking'!BU26)</f>
        <v>0</v>
      </c>
      <c r="BJ26" t="str">
        <f>IF('Data Checking'!BV26="","",'Data Checking'!BV26)</f>
        <v>0</v>
      </c>
      <c r="BK26" t="str">
        <f>IF('Data Checking'!BW26="","",'Data Checking'!BW26)</f>
        <v>0</v>
      </c>
      <c r="BL26" t="str">
        <f>IF('Data Checking'!BX26="","",'Data Checking'!BX26)</f>
        <v>0</v>
      </c>
      <c r="BM26" t="str">
        <f>IF('Data Checking'!BY26="","",'Data Checking'!BY26)</f>
        <v/>
      </c>
      <c r="BN26" t="str">
        <f>IF('Data Checking'!BZ26="","",'Data Checking'!BZ26)</f>
        <v>4</v>
      </c>
      <c r="BO26" t="str">
        <f>IF('Data Checking'!CA26="","",'Data Checking'!CA26)</f>
        <v>augmente</v>
      </c>
      <c r="BP26" t="str">
        <f>IF('Data Checking'!CB26="","",'Data Checking'!CB26)</f>
        <v/>
      </c>
      <c r="BQ26" t="str">
        <f>IF('Data Checking'!CC26="","",'Data Checking'!CC26)</f>
        <v>oui</v>
      </c>
      <c r="BR26" t="str">
        <f>IF('Data Checking'!CD26="","",'Data Checking'!CD26)</f>
        <v>viol agression_sexuelle agression_physique travail_force menace</v>
      </c>
      <c r="BS26" t="str">
        <f>IF('Data Checking'!CE26="","",'Data Checking'!CE26)</f>
        <v>1</v>
      </c>
      <c r="BT26" t="str">
        <f>IF('Data Checking'!CF26="","",'Data Checking'!CF26)</f>
        <v>1</v>
      </c>
      <c r="BU26" t="str">
        <f>IF('Data Checking'!CG26="","",'Data Checking'!CG26)</f>
        <v>1</v>
      </c>
      <c r="BV26" t="str">
        <f>IF('Data Checking'!CH26="","",'Data Checking'!CH26)</f>
        <v>0</v>
      </c>
      <c r="BW26" t="str">
        <f>IF('Data Checking'!CI26="","",'Data Checking'!CI26)</f>
        <v>0</v>
      </c>
      <c r="BX26" t="str">
        <f>IF('Data Checking'!CJ26="","",'Data Checking'!CJ26)</f>
        <v>0</v>
      </c>
      <c r="BY26" t="str">
        <f>IF('Data Checking'!CK26="","",'Data Checking'!CK26)</f>
        <v>1</v>
      </c>
      <c r="BZ26" t="str">
        <f>IF('Data Checking'!CL26="","",'Data Checking'!CL26)</f>
        <v>0</v>
      </c>
      <c r="CA26" t="str">
        <f>IF('Data Checking'!CM26="","",'Data Checking'!CM26)</f>
        <v>0</v>
      </c>
      <c r="CB26" t="str">
        <f>IF('Data Checking'!CN26="","",'Data Checking'!CN26)</f>
        <v>0</v>
      </c>
      <c r="CC26" t="str">
        <f>IF('Data Checking'!CO26="","",'Data Checking'!CO26)</f>
        <v>1</v>
      </c>
      <c r="CD26" t="str">
        <f>IF('Data Checking'!CP26="","",'Data Checking'!CP26)</f>
        <v>0</v>
      </c>
      <c r="CE26" t="str">
        <f>IF('Data Checking'!CQ26="","",'Data Checking'!CQ26)</f>
        <v>0</v>
      </c>
      <c r="CF26" t="str">
        <f>IF('Data Checking'!CR26="","",'Data Checking'!CR26)</f>
        <v>0</v>
      </c>
      <c r="CG26" t="str">
        <f>IF('Data Checking'!CS26="","",'Data Checking'!CS26)</f>
        <v>0</v>
      </c>
      <c r="CH26" t="str">
        <f>IF('Data Checking'!CT26="","",'Data Checking'!CT26)</f>
        <v/>
      </c>
      <c r="CI26" t="str">
        <f>IF('Data Checking'!CU26="","",'Data Checking'!CU26)</f>
        <v>Bebes/Bambins Enfants Filles Femmes_agees Hommes_ages</v>
      </c>
      <c r="CJ26" t="str">
        <f>IF('Data Checking'!CV26="","",'Data Checking'!CV26)</f>
        <v>1</v>
      </c>
      <c r="CK26" t="str">
        <f>IF('Data Checking'!CW26="","",'Data Checking'!CW26)</f>
        <v>1</v>
      </c>
      <c r="CL26" t="str">
        <f>IF('Data Checking'!CX26="","",'Data Checking'!CX26)</f>
        <v>1</v>
      </c>
      <c r="CM26" t="str">
        <f>IF('Data Checking'!CY26="","",'Data Checking'!CY26)</f>
        <v>0</v>
      </c>
      <c r="CN26" t="str">
        <f>IF('Data Checking'!CZ26="","",'Data Checking'!CZ26)</f>
        <v>0</v>
      </c>
      <c r="CO26" t="str">
        <f>IF('Data Checking'!DA26="","",'Data Checking'!DA26)</f>
        <v>0</v>
      </c>
      <c r="CP26" t="str">
        <f>IF('Data Checking'!DB26="","",'Data Checking'!DB26)</f>
        <v>1</v>
      </c>
      <c r="CQ26" t="str">
        <f>IF('Data Checking'!DC26="","",'Data Checking'!DC26)</f>
        <v>1</v>
      </c>
      <c r="CR26" t="str">
        <f>IF('Data Checking'!DD26="","",'Data Checking'!DD26)</f>
        <v>0</v>
      </c>
      <c r="CS26" t="str">
        <f>IF('Data Checking'!DE26="","",'Data Checking'!DE26)</f>
        <v>0</v>
      </c>
      <c r="CT26" t="str">
        <f>IF('Data Checking'!DF26="","",'Data Checking'!DF26)</f>
        <v>0</v>
      </c>
      <c r="CU26" t="str">
        <f>IF('Data Checking'!DG26="","",'Data Checking'!DG26)</f>
        <v>0</v>
      </c>
      <c r="CV26" t="str">
        <f>IF('Data Checking'!DH26="","",'Data Checking'!DH26)</f>
        <v>0</v>
      </c>
      <c r="CW26" t="str">
        <f>IF('Data Checking'!DI26="","",'Data Checking'!DI26)</f>
        <v>0</v>
      </c>
      <c r="CX26" t="str">
        <f>IF('Data Checking'!DJ26="","",'Data Checking'!DJ26)</f>
        <v/>
      </c>
      <c r="CY26" t="str">
        <f>IF('Data Checking'!DK26="","",'Data Checking'!DK26)</f>
        <v>4</v>
      </c>
      <c r="CZ26" t="str">
        <f>IF('Data Checking'!DL26="","",'Data Checking'!DL26)</f>
        <v>augmente</v>
      </c>
      <c r="DA26" t="str">
        <f>IF('Data Checking'!DM26="","",'Data Checking'!DM26)</f>
        <v/>
      </c>
      <c r="DB26" t="str">
        <f>IF('Data Checking'!DN26="","",'Data Checking'!DN26)</f>
        <v>deterioration_con_abris hausse_chomeurs diminution_moyens_existence</v>
      </c>
      <c r="DC26" t="str">
        <f>IF('Data Checking'!DO26="","",'Data Checking'!DO26)</f>
        <v>1</v>
      </c>
      <c r="DD26" t="str">
        <f>IF('Data Checking'!DP26="","",'Data Checking'!DP26)</f>
        <v>1</v>
      </c>
      <c r="DE26" t="str">
        <f>IF('Data Checking'!DQ26="","",'Data Checking'!DQ26)</f>
        <v>0</v>
      </c>
      <c r="DF26" t="str">
        <f>IF('Data Checking'!DR26="","",'Data Checking'!DR26)</f>
        <v>0</v>
      </c>
      <c r="DG26" t="str">
        <f>IF('Data Checking'!DS26="","",'Data Checking'!DS26)</f>
        <v>0</v>
      </c>
      <c r="DH26" t="str">
        <f>IF('Data Checking'!DT26="","",'Data Checking'!DT26)</f>
        <v>0</v>
      </c>
      <c r="DI26" t="str">
        <f>IF('Data Checking'!DU26="","",'Data Checking'!DU26)</f>
        <v>1</v>
      </c>
      <c r="DJ26" t="str">
        <f>IF('Data Checking'!DV26="","",'Data Checking'!DV26)</f>
        <v>0</v>
      </c>
      <c r="DK26" t="str">
        <f>IF('Data Checking'!DW26="","",'Data Checking'!DW26)</f>
        <v>0</v>
      </c>
      <c r="DL26" t="str">
        <f>IF('Data Checking'!DX26="","",'Data Checking'!DX26)</f>
        <v>0</v>
      </c>
      <c r="DM26" t="str">
        <f>IF('Data Checking'!DY26="","",'Data Checking'!DY26)</f>
        <v/>
      </c>
      <c r="DN26" t="str">
        <f>IF('Data Checking'!DZ26="","",'Data Checking'!DZ26)</f>
        <v/>
      </c>
      <c r="DO26" t="str">
        <f>IF('Data Checking'!EA26="","",'Data Checking'!EA26)</f>
        <v/>
      </c>
      <c r="DP26" t="str">
        <f>IF('Data Checking'!EB26="","",'Data Checking'!EB26)</f>
        <v/>
      </c>
      <c r="DQ26" t="str">
        <f>IF('Data Checking'!EC26="","",'Data Checking'!EC26)</f>
        <v/>
      </c>
      <c r="DR26" t="str">
        <f>IF('Data Checking'!ED26="","",'Data Checking'!ED26)</f>
        <v/>
      </c>
      <c r="DS26" t="str">
        <f>IF('Data Checking'!EE26="","",'Data Checking'!EE26)</f>
        <v/>
      </c>
      <c r="DT26" t="str">
        <f>IF('Data Checking'!EF26="","",'Data Checking'!EF26)</f>
        <v/>
      </c>
      <c r="DU26" t="str">
        <f>IF('Data Checking'!EG26="","",'Data Checking'!EG26)</f>
        <v/>
      </c>
      <c r="DV26" t="str">
        <f>IF('Data Checking'!EH26="","",'Data Checking'!EH26)</f>
        <v/>
      </c>
      <c r="DW26" t="str">
        <f>IF('Data Checking'!EI26="","",'Data Checking'!EI26)</f>
        <v/>
      </c>
      <c r="DX26" t="str">
        <f>IF('Data Checking'!EJ26="","",'Data Checking'!EJ26)</f>
        <v/>
      </c>
      <c r="DY26" t="str">
        <f>IF('Data Checking'!EK26="","",'Data Checking'!EK26)</f>
        <v/>
      </c>
      <c r="DZ26" t="str">
        <f>IF('Data Checking'!EL26="","",'Data Checking'!EL26)</f>
        <v>Soutien_famille_amis Soutien_chef_village dplct_abords_com</v>
      </c>
      <c r="EA26" t="str">
        <f>IF('Data Checking'!EM26="","",'Data Checking'!EM26)</f>
        <v>1</v>
      </c>
      <c r="EB26" t="str">
        <f>IF('Data Checking'!EN26="","",'Data Checking'!EN26)</f>
        <v>0</v>
      </c>
      <c r="EC26" t="str">
        <f>IF('Data Checking'!EO26="","",'Data Checking'!EO26)</f>
        <v>1</v>
      </c>
      <c r="ED26" t="str">
        <f>IF('Data Checking'!EP26="","",'Data Checking'!EP26)</f>
        <v>1</v>
      </c>
      <c r="EE26" t="str">
        <f>IF('Data Checking'!EQ26="","",'Data Checking'!EQ26)</f>
        <v>0</v>
      </c>
      <c r="EF26" t="str">
        <f>IF('Data Checking'!ER26="","",'Data Checking'!ER26)</f>
        <v>0</v>
      </c>
      <c r="EG26" t="str">
        <f>IF('Data Checking'!ES26="","",'Data Checking'!ES26)</f>
        <v>0</v>
      </c>
      <c r="EH26" t="str">
        <f>IF('Data Checking'!ET26="","",'Data Checking'!ET26)</f>
        <v>0</v>
      </c>
      <c r="EI26" t="str">
        <f>IF('Data Checking'!EU26="","",'Data Checking'!EU26)</f>
        <v>0</v>
      </c>
      <c r="EJ26" t="str">
        <f>IF('Data Checking'!EV26="","",'Data Checking'!EV26)</f>
        <v/>
      </c>
      <c r="EK26" t="str">
        <f>IF('Data Checking'!EW26="","",'Data Checking'!EW26)</f>
        <v/>
      </c>
      <c r="EL26" t="str">
        <f>IF('Data Checking'!EX26="","",'Data Checking'!EX26)</f>
        <v>famille_accueil comite_alerte femmes_elite</v>
      </c>
      <c r="EM26" t="str">
        <f>IF('Data Checking'!EY26="","",'Data Checking'!EY26)</f>
        <v>1</v>
      </c>
      <c r="EN26" t="str">
        <f>IF('Data Checking'!EZ26="","",'Data Checking'!EZ26)</f>
        <v>0</v>
      </c>
      <c r="EO26" t="str">
        <f>IF('Data Checking'!FA26="","",'Data Checking'!FA26)</f>
        <v>1</v>
      </c>
      <c r="EP26" t="str">
        <f>IF('Data Checking'!FB26="","",'Data Checking'!FB26)</f>
        <v>1</v>
      </c>
      <c r="EQ26" t="str">
        <f>IF('Data Checking'!FC26="","",'Data Checking'!FC26)</f>
        <v>0</v>
      </c>
      <c r="ER26" t="str">
        <f>IF('Data Checking'!FD26="","",'Data Checking'!FD26)</f>
        <v>0</v>
      </c>
      <c r="ES26" t="str">
        <f>IF('Data Checking'!FE26="","",'Data Checking'!FE26)</f>
        <v>0</v>
      </c>
      <c r="ET26" t="str">
        <f>IF('Data Checking'!FF26="","",'Data Checking'!FF26)</f>
        <v>0</v>
      </c>
      <c r="EU26" t="str">
        <f>IF('Data Checking'!FG26="","",'Data Checking'!FG26)</f>
        <v>0</v>
      </c>
      <c r="EV26" t="str">
        <f>IF('Data Checking'!FH26="","",'Data Checking'!FH26)</f>
        <v>0</v>
      </c>
      <c r="EW26" t="str">
        <f>IF('Data Checking'!FI26="","",'Data Checking'!FI26)</f>
        <v/>
      </c>
      <c r="EX26" t="str">
        <f>IF('Data Checking'!FJ26="","",'Data Checking'!FJ26)</f>
        <v>oui</v>
      </c>
      <c r="EY26" t="str">
        <f>IF('Data Checking'!FK26="","",'Data Checking'!FK26)</f>
        <v>manif_sociales Chef_village Groupement_femmes Leaders_religieux</v>
      </c>
      <c r="EZ26" t="str">
        <f>IF('Data Checking'!FL26="","",'Data Checking'!FL26)</f>
        <v>0</v>
      </c>
      <c r="FA26" t="str">
        <f>IF('Data Checking'!FM26="","",'Data Checking'!FM26)</f>
        <v>0</v>
      </c>
      <c r="FB26" t="str">
        <f>IF('Data Checking'!FN26="","",'Data Checking'!FN26)</f>
        <v>0</v>
      </c>
      <c r="FC26" t="str">
        <f>IF('Data Checking'!FO26="","",'Data Checking'!FO26)</f>
        <v>1</v>
      </c>
      <c r="FD26" t="str">
        <f>IF('Data Checking'!FP26="","",'Data Checking'!FP26)</f>
        <v>1</v>
      </c>
      <c r="FE26" t="str">
        <f>IF('Data Checking'!FQ26="","",'Data Checking'!FQ26)</f>
        <v>0</v>
      </c>
      <c r="FF26" t="str">
        <f>IF('Data Checking'!FR26="","",'Data Checking'!FR26)</f>
        <v>1</v>
      </c>
      <c r="FG26" t="str">
        <f>IF('Data Checking'!FS26="","",'Data Checking'!FS26)</f>
        <v>1</v>
      </c>
      <c r="FH26" t="str">
        <f>IF('Data Checking'!FT26="","",'Data Checking'!FT26)</f>
        <v>0</v>
      </c>
      <c r="FI26" t="str">
        <f>IF('Data Checking'!FU26="","",'Data Checking'!FU26)</f>
        <v>0</v>
      </c>
      <c r="FJ26" t="str">
        <f>IF('Data Checking'!FV26="","",'Data Checking'!FV26)</f>
        <v>0</v>
      </c>
      <c r="FK26" t="str">
        <f>IF('Data Checking'!FW26="","",'Data Checking'!FW26)</f>
        <v>0</v>
      </c>
      <c r="FL26" t="str">
        <f>IF('Data Checking'!FX26="","",'Data Checking'!FX26)</f>
        <v>0</v>
      </c>
      <c r="FM26" t="str">
        <f>IF('Data Checking'!FY26="","",'Data Checking'!FY26)</f>
        <v>0</v>
      </c>
      <c r="FN26" t="str">
        <f>IF('Data Checking'!FZ26="","",'Data Checking'!FZ26)</f>
        <v/>
      </c>
      <c r="FO26" t="str">
        <f>IF('Data Checking'!GA26="","",'Data Checking'!GA26)</f>
        <v>oui_minorite</v>
      </c>
      <c r="FP26" t="str">
        <f>IF('Data Checking'!GB26="","",'Data Checking'!GB26)</f>
        <v>oui_minorite</v>
      </c>
      <c r="FQ26" t="str">
        <f>IF('Data Checking'!GC26="","",'Data Checking'!GC26)</f>
        <v>manque_info trop_du_monde insecurite</v>
      </c>
      <c r="FR26" t="str">
        <f>IF('Data Checking'!GD26="","",'Data Checking'!GD26)</f>
        <v>0</v>
      </c>
      <c r="FS26" t="str">
        <f>IF('Data Checking'!GE26="","",'Data Checking'!GE26)</f>
        <v>1</v>
      </c>
      <c r="FT26" t="str">
        <f>IF('Data Checking'!GF26="","",'Data Checking'!GF26)</f>
        <v>0</v>
      </c>
      <c r="FU26" t="str">
        <f>IF('Data Checking'!GG26="","",'Data Checking'!GG26)</f>
        <v>0</v>
      </c>
      <c r="FV26" t="str">
        <f>IF('Data Checking'!GH26="","",'Data Checking'!GH26)</f>
        <v>1</v>
      </c>
      <c r="FW26" t="str">
        <f>IF('Data Checking'!GI26="","",'Data Checking'!GI26)</f>
        <v>1</v>
      </c>
      <c r="FX26" t="str">
        <f>IF('Data Checking'!GJ26="","",'Data Checking'!GJ26)</f>
        <v>0</v>
      </c>
      <c r="FY26" t="str">
        <f>IF('Data Checking'!GK26="","",'Data Checking'!GK26)</f>
        <v>0</v>
      </c>
      <c r="FZ26" t="str">
        <f>IF('Data Checking'!GL26="","",'Data Checking'!GL26)</f>
        <v/>
      </c>
      <c r="GA26" t="str">
        <f>IF('Data Checking'!GM26="","",'Data Checking'!GM26)</f>
        <v>minorite</v>
      </c>
      <c r="GB26" t="str">
        <f>IF('Data Checking'!GN26="","",'Data Checking'!GN26)</f>
        <v>minorite</v>
      </c>
      <c r="GC26" t="str">
        <f>IF('Data Checking'!GO26="","",'Data Checking'!GO26)</f>
        <v>Education Service_de_counseling Services_de_sante Appui_psychosocial</v>
      </c>
      <c r="GD26" t="str">
        <f>IF('Data Checking'!GP26="","",'Data Checking'!GP26)</f>
        <v>1</v>
      </c>
      <c r="GE26" t="str">
        <f>IF('Data Checking'!GQ26="","",'Data Checking'!GQ26)</f>
        <v>1</v>
      </c>
      <c r="GF26" t="str">
        <f>IF('Data Checking'!GR26="","",'Data Checking'!GR26)</f>
        <v>1</v>
      </c>
      <c r="GG26" t="str">
        <f>IF('Data Checking'!GS26="","",'Data Checking'!GS26)</f>
        <v>1</v>
      </c>
      <c r="GH26" t="str">
        <f>IF('Data Checking'!GT26="","",'Data Checking'!GT26)</f>
        <v>0</v>
      </c>
      <c r="GI26" t="str">
        <f>IF('Data Checking'!GU26="","",'Data Checking'!GU26)</f>
        <v>0</v>
      </c>
      <c r="GJ26" t="str">
        <f>IF('Data Checking'!GV26="","",'Data Checking'!GV26)</f>
        <v>0</v>
      </c>
      <c r="GK26" t="str">
        <f>IF('Data Checking'!GW26="","",'Data Checking'!GW26)</f>
        <v>0</v>
      </c>
      <c r="GL26" t="str">
        <f>IF('Data Checking'!GX26="","",'Data Checking'!GX26)</f>
        <v>0</v>
      </c>
      <c r="GM26" t="str">
        <f>IF('Data Checking'!GY26="","",'Data Checking'!GY26)</f>
        <v/>
      </c>
      <c r="GN26" t="str">
        <f>IF('Data Checking'!GZ26="","",'Data Checking'!GZ26)</f>
        <v>oui_minorite</v>
      </c>
      <c r="GO26" t="str">
        <f>IF('Data Checking'!HA26="","",'Data Checking'!HA26)</f>
        <v>oui_minorite</v>
      </c>
      <c r="GP26" t="str">
        <f>IF('Data Checking'!HB26="","",'Data Checking'!HB26)</f>
        <v>diminution_tensions repond_besoins_pop permet_negociation</v>
      </c>
      <c r="GQ26" t="str">
        <f>IF('Data Checking'!HC26="","",'Data Checking'!HC26)</f>
        <v>0</v>
      </c>
      <c r="GR26" t="str">
        <f>IF('Data Checking'!HD26="","",'Data Checking'!HD26)</f>
        <v>1</v>
      </c>
      <c r="GS26" t="str">
        <f>IF('Data Checking'!HE26="","",'Data Checking'!HE26)</f>
        <v>0</v>
      </c>
      <c r="GT26" t="str">
        <f>IF('Data Checking'!HF26="","",'Data Checking'!HF26)</f>
        <v>0</v>
      </c>
      <c r="GU26" t="str">
        <f>IF('Data Checking'!HG26="","",'Data Checking'!HG26)</f>
        <v>1</v>
      </c>
      <c r="GV26" t="str">
        <f>IF('Data Checking'!HH26="","",'Data Checking'!HH26)</f>
        <v>1</v>
      </c>
      <c r="GW26" t="str">
        <f>IF('Data Checking'!HI26="","",'Data Checking'!HI26)</f>
        <v>0</v>
      </c>
      <c r="GX26" t="str">
        <f>IF('Data Checking'!HJ26="","",'Data Checking'!HJ26)</f>
        <v>0</v>
      </c>
      <c r="GY26" t="str">
        <f>IF('Data Checking'!HK26="","",'Data Checking'!HK26)</f>
        <v/>
      </c>
      <c r="GZ26" t="str">
        <f>IF('Data Checking'!HL26="","",'Data Checking'!HL26)</f>
        <v>ne_repond_pas non_obtention_info ne_contribue_pas</v>
      </c>
      <c r="HA26" t="str">
        <f>IF('Data Checking'!HM26="","",'Data Checking'!HM26)</f>
        <v>1</v>
      </c>
      <c r="HB26" t="str">
        <f>IF('Data Checking'!HN26="","",'Data Checking'!HN26)</f>
        <v>1</v>
      </c>
      <c r="HC26" t="str">
        <f>IF('Data Checking'!HO26="","",'Data Checking'!HO26)</f>
        <v>1</v>
      </c>
      <c r="HD26" t="str">
        <f>IF('Data Checking'!HP26="","",'Data Checking'!HP26)</f>
        <v>0</v>
      </c>
      <c r="HE26" t="str">
        <f>IF('Data Checking'!HQ26="","",'Data Checking'!HQ26)</f>
        <v>0</v>
      </c>
      <c r="HF26" t="str">
        <f>IF('Data Checking'!HR26="","",'Data Checking'!HR26)</f>
        <v>0</v>
      </c>
      <c r="HG26" t="str">
        <f>IF('Data Checking'!HS26="","",'Data Checking'!HS26)</f>
        <v/>
      </c>
      <c r="HH26" t="str">
        <f>IF('Data Checking'!HT26="","",'Data Checking'!HT26)</f>
        <v/>
      </c>
      <c r="HI26" t="str">
        <f>IF('Data Checking'!HU26="","",'Data Checking'!HU26)</f>
        <v>oui_minorite</v>
      </c>
      <c r="HJ26" t="str">
        <f>IF('Data Checking'!HV26="","",'Data Checking'!HV26)</f>
        <v>ingo autorite_locale_leaders ong_locale</v>
      </c>
      <c r="HK26" t="str">
        <f>IF('Data Checking'!HW26="","",'Data Checking'!HW26)</f>
        <v>0</v>
      </c>
      <c r="HL26" t="str">
        <f>IF('Data Checking'!HX26="","",'Data Checking'!HX26)</f>
        <v>0</v>
      </c>
      <c r="HM26" t="str">
        <f>IF('Data Checking'!HY26="","",'Data Checking'!HY26)</f>
        <v>1</v>
      </c>
      <c r="HN26" t="str">
        <f>IF('Data Checking'!HZ26="","",'Data Checking'!HZ26)</f>
        <v>0</v>
      </c>
      <c r="HO26" t="str">
        <f>IF('Data Checking'!IA26="","",'Data Checking'!IA26)</f>
        <v>1</v>
      </c>
      <c r="HP26" t="str">
        <f>IF('Data Checking'!IB26="","",'Data Checking'!IB26)</f>
        <v>1</v>
      </c>
      <c r="HQ26" t="str">
        <f>IF('Data Checking'!IC26="","",'Data Checking'!IC26)</f>
        <v>0</v>
      </c>
      <c r="HR26" t="str">
        <f>IF('Data Checking'!ID26="","",'Data Checking'!ID26)</f>
        <v>0</v>
      </c>
      <c r="HS26" t="str">
        <f>IF('Data Checking'!IE26="","",'Data Checking'!IE26)</f>
        <v>0</v>
      </c>
      <c r="HT26" t="str">
        <f>IF('Data Checking'!IF26="","",'Data Checking'!IF26)</f>
        <v>0</v>
      </c>
      <c r="HU26" t="str">
        <f>IF('Data Checking'!IG26="","",'Data Checking'!IG26)</f>
        <v/>
      </c>
      <c r="HV26" t="str">
        <f>IF('Data Checking'!IH26="","",'Data Checking'!IH26)</f>
        <v>oui</v>
      </c>
      <c r="HW26" t="str">
        <f>IF('Data Checking'!II26="","",'Data Checking'!II26)</f>
        <v/>
      </c>
      <c r="HX26" t="str">
        <f>IF('Data Checking'!IJ26="","",'Data Checking'!IJ26)</f>
        <v>Bebes/Bambins Enfants Filles Femmes_agees Hommes_ages</v>
      </c>
      <c r="HY26" t="str">
        <f>IF('Data Checking'!IK26="","",'Data Checking'!IK26)</f>
        <v>1</v>
      </c>
      <c r="HZ26" t="str">
        <f>IF('Data Checking'!IL26="","",'Data Checking'!IL26)</f>
        <v>1</v>
      </c>
      <c r="IA26" t="str">
        <f>IF('Data Checking'!IM26="","",'Data Checking'!IM26)</f>
        <v>1</v>
      </c>
      <c r="IB26" t="str">
        <f>IF('Data Checking'!IN26="","",'Data Checking'!IN26)</f>
        <v>0</v>
      </c>
      <c r="IC26" t="str">
        <f>IF('Data Checking'!IO26="","",'Data Checking'!IO26)</f>
        <v>0</v>
      </c>
      <c r="ID26" t="str">
        <f>IF('Data Checking'!IP26="","",'Data Checking'!IP26)</f>
        <v>0</v>
      </c>
      <c r="IE26" t="str">
        <f>IF('Data Checking'!IQ26="","",'Data Checking'!IQ26)</f>
        <v>1</v>
      </c>
      <c r="IF26" t="str">
        <f>IF('Data Checking'!IR26="","",'Data Checking'!IR26)</f>
        <v>1</v>
      </c>
      <c r="IG26" t="str">
        <f>IF('Data Checking'!IS26="","",'Data Checking'!IS26)</f>
        <v>0</v>
      </c>
      <c r="IH26" t="str">
        <f>IF('Data Checking'!IT26="","",'Data Checking'!IT26)</f>
        <v>0</v>
      </c>
      <c r="II26" t="str">
        <f>IF('Data Checking'!IU26="","",'Data Checking'!IU26)</f>
        <v>0</v>
      </c>
      <c r="IJ26" t="str">
        <f>IF('Data Checking'!IV26="","",'Data Checking'!IV26)</f>
        <v>0</v>
      </c>
      <c r="IK26" t="str">
        <f>IF('Data Checking'!IW26="","",'Data Checking'!IW26)</f>
        <v>0</v>
      </c>
      <c r="IL26" t="str">
        <f>IF('Data Checking'!IX26="","",'Data Checking'!IX26)</f>
        <v>0</v>
      </c>
      <c r="IM26" t="str">
        <f>IF('Data Checking'!IY26="","",'Data Checking'!IY26)</f>
        <v/>
      </c>
      <c r="IN26" t="str">
        <f>IF('Data Checking'!IZ26="","",'Data Checking'!IZ26)</f>
        <v>10</v>
      </c>
      <c r="IO26" t="str">
        <f>IF('Data Checking'!JA26="","",'Data Checking'!JA26)</f>
        <v>Services_conseil Services_educatifs Services_medicaux Appui_psychosocial</v>
      </c>
      <c r="IP26" t="str">
        <f>IF('Data Checking'!JB26="","",'Data Checking'!JB26)</f>
        <v>1</v>
      </c>
      <c r="IQ26" t="str">
        <f>IF('Data Checking'!JC26="","",'Data Checking'!JC26)</f>
        <v>1</v>
      </c>
      <c r="IR26" t="str">
        <f>IF('Data Checking'!JD26="","",'Data Checking'!JD26)</f>
        <v>1</v>
      </c>
      <c r="IS26" t="str">
        <f>IF('Data Checking'!JE26="","",'Data Checking'!JE26)</f>
        <v>1</v>
      </c>
      <c r="IT26" t="str">
        <f>IF('Data Checking'!JF26="","",'Data Checking'!JF26)</f>
        <v>0</v>
      </c>
      <c r="IU26" t="str">
        <f>IF('Data Checking'!JG26="","",'Data Checking'!JG26)</f>
        <v>0</v>
      </c>
      <c r="IV26" t="str">
        <f>IF('Data Checking'!JH26="","",'Data Checking'!JH26)</f>
        <v>0</v>
      </c>
      <c r="IW26" t="str">
        <f>IF('Data Checking'!JI26="","",'Data Checking'!JI26)</f>
        <v>0</v>
      </c>
      <c r="IX26" t="str">
        <f>IF('Data Checking'!JJ26="","",'Data Checking'!JJ26)</f>
        <v>0</v>
      </c>
      <c r="IY26" t="str">
        <f>IF('Data Checking'!JK26="","",'Data Checking'!JK26)</f>
        <v>0</v>
      </c>
      <c r="IZ26" t="str">
        <f>IF('Data Checking'!JL26="","",'Data Checking'!JL26)</f>
        <v/>
      </c>
      <c r="JA26" t="str">
        <f>IF('Data Checking'!JM26="","",'Data Checking'!JM26)</f>
        <v>prise_enchage reorientation signalement</v>
      </c>
      <c r="JB26" t="str">
        <f>IF('Data Checking'!JN26="","",'Data Checking'!JN26)</f>
        <v>1</v>
      </c>
      <c r="JC26" t="str">
        <f>IF('Data Checking'!JO26="","",'Data Checking'!JO26)</f>
        <v>1</v>
      </c>
      <c r="JD26" t="str">
        <f>IF('Data Checking'!JP26="","",'Data Checking'!JP26)</f>
        <v>1</v>
      </c>
      <c r="JE26" t="str">
        <f>IF('Data Checking'!JQ26="","",'Data Checking'!JQ26)</f>
        <v>0</v>
      </c>
      <c r="JF26" t="str">
        <f>IF('Data Checking'!JR26="","",'Data Checking'!JR26)</f>
        <v>0</v>
      </c>
      <c r="JG26" t="str">
        <f>IF('Data Checking'!JS26="","",'Data Checking'!JS26)</f>
        <v>0</v>
      </c>
      <c r="JH26" t="str">
        <f>IF('Data Checking'!JT26="","",'Data Checking'!JT26)</f>
        <v/>
      </c>
      <c r="JI26" t="str">
        <f>IF('Data Checking'!JU26="","",'Data Checking'!JU26)</f>
        <v>medical Psychosocia point_ecoute juridique centre_formation</v>
      </c>
      <c r="JJ26" t="str">
        <f>IF('Data Checking'!JV26="","",'Data Checking'!JV26)</f>
        <v>1</v>
      </c>
      <c r="JK26" t="str">
        <f>IF('Data Checking'!JW26="","",'Data Checking'!JW26)</f>
        <v>1</v>
      </c>
      <c r="JL26" t="str">
        <f>IF('Data Checking'!JX26="","",'Data Checking'!JX26)</f>
        <v>1</v>
      </c>
      <c r="JM26" t="str">
        <f>IF('Data Checking'!JY26="","",'Data Checking'!JY26)</f>
        <v>1</v>
      </c>
      <c r="JN26" t="str">
        <f>IF('Data Checking'!JZ26="","",'Data Checking'!JZ26)</f>
        <v>0</v>
      </c>
      <c r="JO26" t="str">
        <f>IF('Data Checking'!KA26="","",'Data Checking'!KA26)</f>
        <v>0</v>
      </c>
      <c r="JP26" t="str">
        <f>IF('Data Checking'!KB26="","",'Data Checking'!KB26)</f>
        <v>1</v>
      </c>
      <c r="JQ26" t="str">
        <f>IF('Data Checking'!KC26="","",'Data Checking'!KC26)</f>
        <v>0</v>
      </c>
      <c r="JR26" t="str">
        <f>IF('Data Checking'!KD26="","",'Data Checking'!KD26)</f>
        <v>0</v>
      </c>
      <c r="JS26" t="str">
        <f>IF('Data Checking'!KE26="","",'Data Checking'!KE26)</f>
        <v/>
      </c>
      <c r="JT26" t="str">
        <f>IF('Data Checking'!KF26="","",'Data Checking'!KF26)</f>
        <v>medical Psychosocia point_ecoute surete reinsertion</v>
      </c>
      <c r="JU26" t="str">
        <f>IF('Data Checking'!KG26="","",'Data Checking'!KG26)</f>
        <v>1</v>
      </c>
      <c r="JV26" t="str">
        <f>IF('Data Checking'!KH26="","",'Data Checking'!KH26)</f>
        <v>1</v>
      </c>
      <c r="JW26" t="str">
        <f>IF('Data Checking'!KI26="","",'Data Checking'!KI26)</f>
        <v>1</v>
      </c>
      <c r="JX26" t="str">
        <f>IF('Data Checking'!KJ26="","",'Data Checking'!KJ26)</f>
        <v>0</v>
      </c>
      <c r="JY26" t="str">
        <f>IF('Data Checking'!KK26="","",'Data Checking'!KK26)</f>
        <v>1</v>
      </c>
      <c r="JZ26" t="str">
        <f>IF('Data Checking'!KL26="","",'Data Checking'!KL26)</f>
        <v>1</v>
      </c>
      <c r="KA26" t="str">
        <f>IF('Data Checking'!KM26="","",'Data Checking'!KM26)</f>
        <v>0</v>
      </c>
      <c r="KB26" t="str">
        <f>IF('Data Checking'!KN26="","",'Data Checking'!KN26)</f>
        <v>0</v>
      </c>
      <c r="KC26" t="str">
        <f>IF('Data Checking'!KO26="","",'Data Checking'!KO26)</f>
        <v>0</v>
      </c>
      <c r="KD26" t="str">
        <f>IF('Data Checking'!KP26="","",'Data Checking'!KP26)</f>
        <v/>
      </c>
      <c r="KE26" t="str">
        <f>IF('Data Checking'!KQ26="","",'Data Checking'!KQ26)</f>
        <v/>
      </c>
      <c r="KF26" t="str">
        <f>IF('Data Checking'!KR26="","",'Data Checking'!KR26)</f>
        <v>oui</v>
      </c>
      <c r="KG26" t="str">
        <f>IF('Data Checking'!KS26="","",'Data Checking'!KS26)</f>
        <v>manque_moyens manque_d'information manque_personnes tensions_locales manque_cordination</v>
      </c>
      <c r="KH26" t="str">
        <f>IF('Data Checking'!KT26="","",'Data Checking'!KT26)</f>
        <v>1</v>
      </c>
      <c r="KI26" t="str">
        <f>IF('Data Checking'!KU26="","",'Data Checking'!KU26)</f>
        <v>1</v>
      </c>
      <c r="KJ26" t="str">
        <f>IF('Data Checking'!KV26="","",'Data Checking'!KV26)</f>
        <v>1</v>
      </c>
      <c r="KK26" t="str">
        <f>IF('Data Checking'!KW26="","",'Data Checking'!KW26)</f>
        <v>0</v>
      </c>
      <c r="KL26" t="str">
        <f>IF('Data Checking'!KX26="","",'Data Checking'!KX26)</f>
        <v>0</v>
      </c>
      <c r="KM26" t="str">
        <f>IF('Data Checking'!KY26="","",'Data Checking'!KY26)</f>
        <v>1</v>
      </c>
      <c r="KN26" t="str">
        <f>IF('Data Checking'!KZ26="","",'Data Checking'!KZ26)</f>
        <v>1</v>
      </c>
      <c r="KO26" t="str">
        <f>IF('Data Checking'!LA26="","",'Data Checking'!LA26)</f>
        <v>0</v>
      </c>
      <c r="KP26" t="str">
        <f>IF('Data Checking'!LB26="","",'Data Checking'!LB26)</f>
        <v>0</v>
      </c>
      <c r="KQ26" t="str">
        <f>IF('Data Checking'!LC26="","",'Data Checking'!LC26)</f>
        <v>0</v>
      </c>
      <c r="KR26" t="str">
        <f>IF('Data Checking'!LD26="","",'Data Checking'!LD26)</f>
        <v>0</v>
      </c>
      <c r="KS26" t="str">
        <f>IF('Data Checking'!LE26="","",'Data Checking'!LE26)</f>
        <v/>
      </c>
      <c r="KT26" t="str">
        <f>IF('Data Checking'!LF26="","",'Data Checking'!LF26)</f>
        <v/>
      </c>
      <c r="KU26" t="str">
        <f>IF('Data Checking'!LG26="","",'Data Checking'!LG26)</f>
        <v/>
      </c>
      <c r="KV26" t="str">
        <f>IF('Data Checking'!LH26="","",'Data Checking'!LH26)</f>
        <v/>
      </c>
      <c r="KW26" t="str">
        <f>IF('Data Checking'!LI26="","",'Data Checking'!LI26)</f>
        <v/>
      </c>
      <c r="KX26" t="str">
        <f>IF('Data Checking'!LJ26="","",'Data Checking'!LJ26)</f>
        <v/>
      </c>
      <c r="KY26" t="str">
        <f>IF('Data Checking'!LK26="","",'Data Checking'!LK26)</f>
        <v/>
      </c>
      <c r="KZ26" t="str">
        <f>IF('Data Checking'!LL26="","",'Data Checking'!LL26)</f>
        <v/>
      </c>
      <c r="LA26" t="str">
        <f>IF('Data Checking'!LM26="","",'Data Checking'!LM26)</f>
        <v/>
      </c>
      <c r="LB26" t="str">
        <f>IF('Data Checking'!LN26="","",'Data Checking'!LN26)</f>
        <v>non</v>
      </c>
      <c r="LC26" t="str">
        <f>IF('Data Checking'!LO26="","",'Data Checking'!LO26)</f>
        <v/>
      </c>
      <c r="LD26" t="str">
        <f>IF('Data Checking'!LP26="","",'Data Checking'!LP26)</f>
        <v/>
      </c>
      <c r="LE26" t="str">
        <f>IF('Data Checking'!LQ26="","",'Data Checking'!LQ26)</f>
        <v/>
      </c>
      <c r="LF26" t="str">
        <f>IF('Data Checking'!LR26="","",'Data Checking'!LR26)</f>
        <v/>
      </c>
      <c r="LG26" t="str">
        <f>IF('Data Checking'!LS26="","",'Data Checking'!LS26)</f>
        <v/>
      </c>
      <c r="LH26" t="str">
        <f>IF('Data Checking'!LT26="","",'Data Checking'!LT26)</f>
        <v/>
      </c>
      <c r="LI26" t="str">
        <f>IF('Data Checking'!LU26="","",'Data Checking'!LU26)</f>
        <v/>
      </c>
      <c r="LJ26" t="str">
        <f>IF('Data Checking'!LV26="","",'Data Checking'!LV26)</f>
        <v/>
      </c>
      <c r="LK26" t="str">
        <f>IF('Data Checking'!LW26="","",'Data Checking'!LW26)</f>
        <v/>
      </c>
      <c r="LL26" t="str">
        <f>IF('Data Checking'!LX26="","",'Data Checking'!LX26)</f>
        <v/>
      </c>
      <c r="LM26" t="str">
        <f>IF('Data Checking'!LY26="","",'Data Checking'!LY26)</f>
        <v/>
      </c>
      <c r="LN26" t="str">
        <f>IF('Data Checking'!LZ26="","",'Data Checking'!LZ26)</f>
        <v/>
      </c>
      <c r="LO26" t="str">
        <f>IF('Data Checking'!MA26="","",'Data Checking'!MA26)</f>
        <v/>
      </c>
      <c r="LP26" t="str">
        <f>IF('Data Checking'!MB26="","",'Data Checking'!MB26)</f>
        <v>oui</v>
      </c>
      <c r="LQ26" t="str">
        <f>IF('Data Checking'!MC26="","",'Data Checking'!MC26)</f>
        <v/>
      </c>
      <c r="LR26" t="str">
        <f>IF('Data Checking'!MD26="","",'Data Checking'!MD26)</f>
        <v>Plan d action</v>
      </c>
      <c r="LS26">
        <f>IF('Data Checking'!ME26="","",'Data Checking'!ME26)</f>
        <v>169351621</v>
      </c>
      <c r="LT26" t="str">
        <f>IF('Data Checking'!MF26="","",'Data Checking'!MF26)</f>
        <v>2c45eae5-09b0-45df-aaa6-49943c949afb</v>
      </c>
      <c r="LU26" t="str">
        <f>IF('Data Checking'!MG26="","",'Data Checking'!MG26)</f>
        <v>2021-04-02T19:01:44</v>
      </c>
      <c r="LV26" t="str">
        <f>IF('Data Checking'!MH26="","",'Data Checking'!MH26)</f>
        <v/>
      </c>
      <c r="LW26" t="str">
        <f>IF('Data Checking'!MI26="","",'Data Checking'!MI26)</f>
        <v>[]</v>
      </c>
      <c r="LX26" t="str">
        <f>IF('Data Checking'!MJ26="","",'Data Checking'!MJ26)</f>
        <v>submitted_via_web</v>
      </c>
      <c r="LY26" t="str">
        <f>IF('Data Checking'!MK26="","",'Data Checking'!MK26)</f>
        <v>reach_niger</v>
      </c>
      <c r="LZ26" t="str">
        <f>IF('Data Checking'!ML26="","",'Data Checking'!ML26)</f>
        <v/>
      </c>
      <c r="MA26">
        <f>IF('Data Checking'!MM26="","",'Data Checking'!MM26)</f>
        <v>22</v>
      </c>
    </row>
    <row r="27" spans="1:339" x14ac:dyDescent="0.3">
      <c r="A27" t="str">
        <f>IF('Data Checking'!D27="","",'Data Checking'!D27)</f>
        <v>2021-03-31T15:47:17.884+01:00</v>
      </c>
      <c r="B27" t="str">
        <f>IF('Data Checking'!E27="","",'Data Checking'!E27)</f>
        <v>2021-03-31T16:21:21.778+01:00</v>
      </c>
      <c r="C27" t="str">
        <f>IF('Data Checking'!M27="","",'Data Checking'!M27)</f>
        <v>2021-03-31</v>
      </c>
      <c r="D27" t="str">
        <f>IF('Data Checking'!N27="","",'Data Checking'!N27)</f>
        <v/>
      </c>
      <c r="E27" t="str">
        <f>IF('Data Checking'!O27="","",'Data Checking'!O27)</f>
        <v/>
      </c>
      <c r="F27" t="str">
        <f>IF('Data Checking'!R27="","",'Data Checking'!R27)</f>
        <v>Homme</v>
      </c>
      <c r="G27" t="str">
        <f>IF('Data Checking'!S27="","",'Data Checking'!S27)</f>
        <v>tera</v>
      </c>
      <c r="H27" t="str">
        <f>IF('Data Checking'!T27="","",'Data Checking'!T27)</f>
        <v>tera</v>
      </c>
      <c r="I27" t="str">
        <f>IF('Data Checking'!U27="","",'Data Checking'!U27)</f>
        <v>carre</v>
      </c>
      <c r="J27" t="str">
        <f>IF('Data Checking'!V27="","",'Data Checking'!V27)</f>
        <v/>
      </c>
      <c r="K27" t="str">
        <f>IF('Data Checking'!W27="","",'Data Checking'!W27)</f>
        <v/>
      </c>
      <c r="L27" t="str">
        <f>IF('Data Checking'!X27="","",'Data Checking'!X27)</f>
        <v/>
      </c>
      <c r="M27" t="str">
        <f>IF('Data Checking'!Y27="","",'Data Checking'!Y27)</f>
        <v/>
      </c>
      <c r="N27" t="str">
        <f>IF('Data Checking'!Z27="","",'Data Checking'!Z27)</f>
        <v/>
      </c>
      <c r="O27" t="str">
        <f>IF('Data Checking'!AA27="","",'Data Checking'!AA27)</f>
        <v/>
      </c>
      <c r="P27" t="str">
        <f>IF('Data Checking'!AB27="","",'Data Checking'!AB27)</f>
        <v/>
      </c>
      <c r="Q27" t="str">
        <f>IF('Data Checking'!AC27="","",'Data Checking'!AC27)</f>
        <v/>
      </c>
      <c r="R27" t="str">
        <f>IF('Data Checking'!AD27="","",'Data Checking'!AD27)</f>
        <v>Homme</v>
      </c>
      <c r="S27" t="str">
        <f>IF('Data Checking'!AE27="","",'Data Checking'!AE27)</f>
        <v>25</v>
      </c>
      <c r="T27" t="str">
        <f>IF('Data Checking'!AF27="","",'Data Checking'!AF27)</f>
        <v>deplace_interne</v>
      </c>
      <c r="U27" t="str">
        <f>IF('Data Checking'!AG27="","",'Data Checking'!AG27)</f>
        <v/>
      </c>
      <c r="V27" t="str">
        <f>IF('Data Checking'!AH27="","",'Data Checking'!AH27)</f>
        <v/>
      </c>
      <c r="W27" t="str">
        <f>IF('Data Checking'!AI27="","",'Data Checking'!AI27)</f>
        <v/>
      </c>
      <c r="X27" t="str">
        <f>IF('Data Checking'!AJ27="","",'Data Checking'!AJ27)</f>
        <v/>
      </c>
      <c r="Y27" t="str">
        <f>IF('Data Checking'!AK27="","",'Data Checking'!AK27)</f>
        <v/>
      </c>
      <c r="Z27" t="str">
        <f>IF('Data Checking'!AL27="","",'Data Checking'!AL27)</f>
        <v>niger</v>
      </c>
      <c r="AA27" t="str">
        <f>IF('Data Checking'!AM27="","",'Data Checking'!AM27)</f>
        <v>tillaberi</v>
      </c>
      <c r="AB27" t="str">
        <f>IF('Data Checking'!AN27="","",'Data Checking'!AN27)</f>
        <v>tera</v>
      </c>
      <c r="AC27" t="str">
        <f>IF('Data Checking'!AO27="","",'Data Checking'!AO27)</f>
        <v/>
      </c>
      <c r="AD27" t="str">
        <f>IF('Data Checking'!AP27="","",'Data Checking'!AP27)</f>
        <v/>
      </c>
      <c r="AE27" t="str">
        <f>IF('Data Checking'!AQ27="","",'Data Checking'!AQ27)</f>
        <v/>
      </c>
      <c r="AF27" t="str">
        <f>IF('Data Checking'!AR27="","",'Data Checking'!AR27)</f>
        <v/>
      </c>
      <c r="AG27" t="str">
        <f>IF('Data Checking'!AS27="","",'Data Checking'!AS27)</f>
        <v>oui</v>
      </c>
      <c r="AH27" t="str">
        <f>IF('Data Checking'!AT27="","",'Data Checking'!AT27)</f>
        <v>Attaques_ecoles_sante extorsions Violences_physique_civils Vols_braquages Kidnapping_Disparitions_forcees</v>
      </c>
      <c r="AI27" t="str">
        <f>IF('Data Checking'!AU27="","",'Data Checking'!AU27)</f>
        <v>0</v>
      </c>
      <c r="AJ27" t="str">
        <f>IF('Data Checking'!AV27="","",'Data Checking'!AV27)</f>
        <v>0</v>
      </c>
      <c r="AK27" t="str">
        <f>IF('Data Checking'!AW27="","",'Data Checking'!AW27)</f>
        <v>1</v>
      </c>
      <c r="AL27" t="str">
        <f>IF('Data Checking'!AX27="","",'Data Checking'!AX27)</f>
        <v>1</v>
      </c>
      <c r="AM27" t="str">
        <f>IF('Data Checking'!AY27="","",'Data Checking'!AY27)</f>
        <v>1</v>
      </c>
      <c r="AN27" t="str">
        <f>IF('Data Checking'!AZ27="","",'Data Checking'!AZ27)</f>
        <v>1</v>
      </c>
      <c r="AO27" t="str">
        <f>IF('Data Checking'!BA27="","",'Data Checking'!BA27)</f>
        <v>0</v>
      </c>
      <c r="AP27" t="str">
        <f>IF('Data Checking'!BB27="","",'Data Checking'!BB27)</f>
        <v>1</v>
      </c>
      <c r="AQ27" t="str">
        <f>IF('Data Checking'!BC27="","",'Data Checking'!BC27)</f>
        <v>0</v>
      </c>
      <c r="AR27" t="str">
        <f>IF('Data Checking'!BD27="","",'Data Checking'!BD27)</f>
        <v>0</v>
      </c>
      <c r="AS27" t="str">
        <f>IF('Data Checking'!BE27="","",'Data Checking'!BE27)</f>
        <v>0</v>
      </c>
      <c r="AT27" t="str">
        <f>IF('Data Checking'!BF27="","",'Data Checking'!BF27)</f>
        <v>0</v>
      </c>
      <c r="AU27" t="str">
        <f>IF('Data Checking'!BG27="","",'Data Checking'!BG27)</f>
        <v>0</v>
      </c>
      <c r="AV27" t="str">
        <f>IF('Data Checking'!BH27="","",'Data Checking'!BH27)</f>
        <v>0</v>
      </c>
      <c r="AW27" t="str">
        <f>IF('Data Checking'!BI27="","",'Data Checking'!BI27)</f>
        <v/>
      </c>
      <c r="AX27" t="str">
        <f>IF('Data Checking'!BJ27="","",'Data Checking'!BJ27)</f>
        <v>Bebes/Bambins Enfants Filles Femmes_agees Hommes_ages</v>
      </c>
      <c r="AY27" t="str">
        <f>IF('Data Checking'!BK27="","",'Data Checking'!BK27)</f>
        <v>1</v>
      </c>
      <c r="AZ27" t="str">
        <f>IF('Data Checking'!BL27="","",'Data Checking'!BL27)</f>
        <v>1</v>
      </c>
      <c r="BA27" t="str">
        <f>IF('Data Checking'!BM27="","",'Data Checking'!BM27)</f>
        <v>1</v>
      </c>
      <c r="BB27" t="str">
        <f>IF('Data Checking'!BN27="","",'Data Checking'!BN27)</f>
        <v>0</v>
      </c>
      <c r="BC27" t="str">
        <f>IF('Data Checking'!BO27="","",'Data Checking'!BO27)</f>
        <v>0</v>
      </c>
      <c r="BD27" t="str">
        <f>IF('Data Checking'!BP27="","",'Data Checking'!BP27)</f>
        <v>0</v>
      </c>
      <c r="BE27" t="str">
        <f>IF('Data Checking'!BQ27="","",'Data Checking'!BQ27)</f>
        <v>1</v>
      </c>
      <c r="BF27" t="str">
        <f>IF('Data Checking'!BR27="","",'Data Checking'!BR27)</f>
        <v>1</v>
      </c>
      <c r="BG27" t="str">
        <f>IF('Data Checking'!BS27="","",'Data Checking'!BS27)</f>
        <v>0</v>
      </c>
      <c r="BH27" t="str">
        <f>IF('Data Checking'!BT27="","",'Data Checking'!BT27)</f>
        <v>0</v>
      </c>
      <c r="BI27" t="str">
        <f>IF('Data Checking'!BU27="","",'Data Checking'!BU27)</f>
        <v>0</v>
      </c>
      <c r="BJ27" t="str">
        <f>IF('Data Checking'!BV27="","",'Data Checking'!BV27)</f>
        <v>0</v>
      </c>
      <c r="BK27" t="str">
        <f>IF('Data Checking'!BW27="","",'Data Checking'!BW27)</f>
        <v>0</v>
      </c>
      <c r="BL27" t="str">
        <f>IF('Data Checking'!BX27="","",'Data Checking'!BX27)</f>
        <v>0</v>
      </c>
      <c r="BM27" t="str">
        <f>IF('Data Checking'!BY27="","",'Data Checking'!BY27)</f>
        <v/>
      </c>
      <c r="BN27" t="str">
        <f>IF('Data Checking'!BZ27="","",'Data Checking'!BZ27)</f>
        <v>4</v>
      </c>
      <c r="BO27" t="str">
        <f>IF('Data Checking'!CA27="","",'Data Checking'!CA27)</f>
        <v>augmente</v>
      </c>
      <c r="BP27" t="str">
        <f>IF('Data Checking'!CB27="","",'Data Checking'!CB27)</f>
        <v/>
      </c>
      <c r="BQ27" t="str">
        <f>IF('Data Checking'!CC27="","",'Data Checking'!CC27)</f>
        <v>oui</v>
      </c>
      <c r="BR27" t="str">
        <f>IF('Data Checking'!CD27="","",'Data Checking'!CD27)</f>
        <v>agression_physique travail_force exploitations_enfant menace enscrimination_acces_services</v>
      </c>
      <c r="BS27" t="str">
        <f>IF('Data Checking'!CE27="","",'Data Checking'!CE27)</f>
        <v>0</v>
      </c>
      <c r="BT27" t="str">
        <f>IF('Data Checking'!CF27="","",'Data Checking'!CF27)</f>
        <v>0</v>
      </c>
      <c r="BU27" t="str">
        <f>IF('Data Checking'!CG27="","",'Data Checking'!CG27)</f>
        <v>1</v>
      </c>
      <c r="BV27" t="str">
        <f>IF('Data Checking'!CH27="","",'Data Checking'!CH27)</f>
        <v>0</v>
      </c>
      <c r="BW27" t="str">
        <f>IF('Data Checking'!CI27="","",'Data Checking'!CI27)</f>
        <v>0</v>
      </c>
      <c r="BX27" t="str">
        <f>IF('Data Checking'!CJ27="","",'Data Checking'!CJ27)</f>
        <v>0</v>
      </c>
      <c r="BY27" t="str">
        <f>IF('Data Checking'!CK27="","",'Data Checking'!CK27)</f>
        <v>1</v>
      </c>
      <c r="BZ27" t="str">
        <f>IF('Data Checking'!CL27="","",'Data Checking'!CL27)</f>
        <v>0</v>
      </c>
      <c r="CA27" t="str">
        <f>IF('Data Checking'!CM27="","",'Data Checking'!CM27)</f>
        <v>1</v>
      </c>
      <c r="CB27" t="str">
        <f>IF('Data Checking'!CN27="","",'Data Checking'!CN27)</f>
        <v>0</v>
      </c>
      <c r="CC27" t="str">
        <f>IF('Data Checking'!CO27="","",'Data Checking'!CO27)</f>
        <v>1</v>
      </c>
      <c r="CD27" t="str">
        <f>IF('Data Checking'!CP27="","",'Data Checking'!CP27)</f>
        <v>1</v>
      </c>
      <c r="CE27" t="str">
        <f>IF('Data Checking'!CQ27="","",'Data Checking'!CQ27)</f>
        <v>0</v>
      </c>
      <c r="CF27" t="str">
        <f>IF('Data Checking'!CR27="","",'Data Checking'!CR27)</f>
        <v>0</v>
      </c>
      <c r="CG27" t="str">
        <f>IF('Data Checking'!CS27="","",'Data Checking'!CS27)</f>
        <v>0</v>
      </c>
      <c r="CH27" t="str">
        <f>IF('Data Checking'!CT27="","",'Data Checking'!CT27)</f>
        <v/>
      </c>
      <c r="CI27" t="str">
        <f>IF('Data Checking'!CU27="","",'Data Checking'!CU27)</f>
        <v>Bebes/Bambins Enfants Filles Femmes_agees Hommes_ages</v>
      </c>
      <c r="CJ27" t="str">
        <f>IF('Data Checking'!CV27="","",'Data Checking'!CV27)</f>
        <v>1</v>
      </c>
      <c r="CK27" t="str">
        <f>IF('Data Checking'!CW27="","",'Data Checking'!CW27)</f>
        <v>1</v>
      </c>
      <c r="CL27" t="str">
        <f>IF('Data Checking'!CX27="","",'Data Checking'!CX27)</f>
        <v>1</v>
      </c>
      <c r="CM27" t="str">
        <f>IF('Data Checking'!CY27="","",'Data Checking'!CY27)</f>
        <v>0</v>
      </c>
      <c r="CN27" t="str">
        <f>IF('Data Checking'!CZ27="","",'Data Checking'!CZ27)</f>
        <v>0</v>
      </c>
      <c r="CO27" t="str">
        <f>IF('Data Checking'!DA27="","",'Data Checking'!DA27)</f>
        <v>0</v>
      </c>
      <c r="CP27" t="str">
        <f>IF('Data Checking'!DB27="","",'Data Checking'!DB27)</f>
        <v>1</v>
      </c>
      <c r="CQ27" t="str">
        <f>IF('Data Checking'!DC27="","",'Data Checking'!DC27)</f>
        <v>1</v>
      </c>
      <c r="CR27" t="str">
        <f>IF('Data Checking'!DD27="","",'Data Checking'!DD27)</f>
        <v>0</v>
      </c>
      <c r="CS27" t="str">
        <f>IF('Data Checking'!DE27="","",'Data Checking'!DE27)</f>
        <v>0</v>
      </c>
      <c r="CT27" t="str">
        <f>IF('Data Checking'!DF27="","",'Data Checking'!DF27)</f>
        <v>0</v>
      </c>
      <c r="CU27" t="str">
        <f>IF('Data Checking'!DG27="","",'Data Checking'!DG27)</f>
        <v>0</v>
      </c>
      <c r="CV27" t="str">
        <f>IF('Data Checking'!DH27="","",'Data Checking'!DH27)</f>
        <v>0</v>
      </c>
      <c r="CW27" t="str">
        <f>IF('Data Checking'!DI27="","",'Data Checking'!DI27)</f>
        <v>0</v>
      </c>
      <c r="CX27" t="str">
        <f>IF('Data Checking'!DJ27="","",'Data Checking'!DJ27)</f>
        <v/>
      </c>
      <c r="CY27" t="str">
        <f>IF('Data Checking'!DK27="","",'Data Checking'!DK27)</f>
        <v>4</v>
      </c>
      <c r="CZ27" t="str">
        <f>IF('Data Checking'!DL27="","",'Data Checking'!DL27)</f>
        <v>augmente</v>
      </c>
      <c r="DA27" t="str">
        <f>IF('Data Checking'!DM27="","",'Data Checking'!DM27)</f>
        <v/>
      </c>
      <c r="DB27" t="str">
        <f>IF('Data Checking'!DN27="","",'Data Checking'!DN27)</f>
        <v>diminution_moyens_existence deterioration_con_abris hausse_chomeurs</v>
      </c>
      <c r="DC27" t="str">
        <f>IF('Data Checking'!DO27="","",'Data Checking'!DO27)</f>
        <v>1</v>
      </c>
      <c r="DD27" t="str">
        <f>IF('Data Checking'!DP27="","",'Data Checking'!DP27)</f>
        <v>1</v>
      </c>
      <c r="DE27" t="str">
        <f>IF('Data Checking'!DQ27="","",'Data Checking'!DQ27)</f>
        <v>0</v>
      </c>
      <c r="DF27" t="str">
        <f>IF('Data Checking'!DR27="","",'Data Checking'!DR27)</f>
        <v>0</v>
      </c>
      <c r="DG27" t="str">
        <f>IF('Data Checking'!DS27="","",'Data Checking'!DS27)</f>
        <v>0</v>
      </c>
      <c r="DH27" t="str">
        <f>IF('Data Checking'!DT27="","",'Data Checking'!DT27)</f>
        <v>0</v>
      </c>
      <c r="DI27" t="str">
        <f>IF('Data Checking'!DU27="","",'Data Checking'!DU27)</f>
        <v>1</v>
      </c>
      <c r="DJ27" t="str">
        <f>IF('Data Checking'!DV27="","",'Data Checking'!DV27)</f>
        <v>0</v>
      </c>
      <c r="DK27" t="str">
        <f>IF('Data Checking'!DW27="","",'Data Checking'!DW27)</f>
        <v>0</v>
      </c>
      <c r="DL27" t="str">
        <f>IF('Data Checking'!DX27="","",'Data Checking'!DX27)</f>
        <v>0</v>
      </c>
      <c r="DM27" t="str">
        <f>IF('Data Checking'!DY27="","",'Data Checking'!DY27)</f>
        <v/>
      </c>
      <c r="DN27" t="str">
        <f>IF('Data Checking'!DZ27="","",'Data Checking'!DZ27)</f>
        <v/>
      </c>
      <c r="DO27" t="str">
        <f>IF('Data Checking'!EA27="","",'Data Checking'!EA27)</f>
        <v/>
      </c>
      <c r="DP27" t="str">
        <f>IF('Data Checking'!EB27="","",'Data Checking'!EB27)</f>
        <v/>
      </c>
      <c r="DQ27" t="str">
        <f>IF('Data Checking'!EC27="","",'Data Checking'!EC27)</f>
        <v/>
      </c>
      <c r="DR27" t="str">
        <f>IF('Data Checking'!ED27="","",'Data Checking'!ED27)</f>
        <v/>
      </c>
      <c r="DS27" t="str">
        <f>IF('Data Checking'!EE27="","",'Data Checking'!EE27)</f>
        <v/>
      </c>
      <c r="DT27" t="str">
        <f>IF('Data Checking'!EF27="","",'Data Checking'!EF27)</f>
        <v/>
      </c>
      <c r="DU27" t="str">
        <f>IF('Data Checking'!EG27="","",'Data Checking'!EG27)</f>
        <v/>
      </c>
      <c r="DV27" t="str">
        <f>IF('Data Checking'!EH27="","",'Data Checking'!EH27)</f>
        <v/>
      </c>
      <c r="DW27" t="str">
        <f>IF('Data Checking'!EI27="","",'Data Checking'!EI27)</f>
        <v/>
      </c>
      <c r="DX27" t="str">
        <f>IF('Data Checking'!EJ27="","",'Data Checking'!EJ27)</f>
        <v/>
      </c>
      <c r="DY27" t="str">
        <f>IF('Data Checking'!EK27="","",'Data Checking'!EK27)</f>
        <v/>
      </c>
      <c r="DZ27" t="str">
        <f>IF('Data Checking'!EL27="","",'Data Checking'!EL27)</f>
        <v>Soutien_famille_amis dplct_abords_com Integration_com_hote</v>
      </c>
      <c r="EA27" t="str">
        <f>IF('Data Checking'!EM27="","",'Data Checking'!EM27)</f>
        <v>1</v>
      </c>
      <c r="EB27" t="str">
        <f>IF('Data Checking'!EN27="","",'Data Checking'!EN27)</f>
        <v>1</v>
      </c>
      <c r="EC27" t="str">
        <f>IF('Data Checking'!EO27="","",'Data Checking'!EO27)</f>
        <v>1</v>
      </c>
      <c r="ED27" t="str">
        <f>IF('Data Checking'!EP27="","",'Data Checking'!EP27)</f>
        <v>0</v>
      </c>
      <c r="EE27" t="str">
        <f>IF('Data Checking'!EQ27="","",'Data Checking'!EQ27)</f>
        <v>0</v>
      </c>
      <c r="EF27" t="str">
        <f>IF('Data Checking'!ER27="","",'Data Checking'!ER27)</f>
        <v>0</v>
      </c>
      <c r="EG27" t="str">
        <f>IF('Data Checking'!ES27="","",'Data Checking'!ES27)</f>
        <v>0</v>
      </c>
      <c r="EH27" t="str">
        <f>IF('Data Checking'!ET27="","",'Data Checking'!ET27)</f>
        <v>0</v>
      </c>
      <c r="EI27" t="str">
        <f>IF('Data Checking'!EU27="","",'Data Checking'!EU27)</f>
        <v>0</v>
      </c>
      <c r="EJ27" t="str">
        <f>IF('Data Checking'!EV27="","",'Data Checking'!EV27)</f>
        <v/>
      </c>
      <c r="EK27" t="str">
        <f>IF('Data Checking'!EW27="","",'Data Checking'!EW27)</f>
        <v/>
      </c>
      <c r="EL27" t="str">
        <f>IF('Data Checking'!EX27="","",'Data Checking'!EX27)</f>
        <v>famille_accueil comite_redevabilite femmes_elite</v>
      </c>
      <c r="EM27" t="str">
        <f>IF('Data Checking'!EY27="","",'Data Checking'!EY27)</f>
        <v>1</v>
      </c>
      <c r="EN27" t="str">
        <f>IF('Data Checking'!EZ27="","",'Data Checking'!EZ27)</f>
        <v>0</v>
      </c>
      <c r="EO27" t="str">
        <f>IF('Data Checking'!FA27="","",'Data Checking'!FA27)</f>
        <v>1</v>
      </c>
      <c r="EP27" t="str">
        <f>IF('Data Checking'!FB27="","",'Data Checking'!FB27)</f>
        <v>0</v>
      </c>
      <c r="EQ27" t="str">
        <f>IF('Data Checking'!FC27="","",'Data Checking'!FC27)</f>
        <v>1</v>
      </c>
      <c r="ER27" t="str">
        <f>IF('Data Checking'!FD27="","",'Data Checking'!FD27)</f>
        <v>0</v>
      </c>
      <c r="ES27" t="str">
        <f>IF('Data Checking'!FE27="","",'Data Checking'!FE27)</f>
        <v>0</v>
      </c>
      <c r="ET27" t="str">
        <f>IF('Data Checking'!FF27="","",'Data Checking'!FF27)</f>
        <v>0</v>
      </c>
      <c r="EU27" t="str">
        <f>IF('Data Checking'!FG27="","",'Data Checking'!FG27)</f>
        <v>0</v>
      </c>
      <c r="EV27" t="str">
        <f>IF('Data Checking'!FH27="","",'Data Checking'!FH27)</f>
        <v>0</v>
      </c>
      <c r="EW27" t="str">
        <f>IF('Data Checking'!FI27="","",'Data Checking'!FI27)</f>
        <v/>
      </c>
      <c r="EX27" t="str">
        <f>IF('Data Checking'!FJ27="","",'Data Checking'!FJ27)</f>
        <v>oui</v>
      </c>
      <c r="EY27" t="str">
        <f>IF('Data Checking'!FK27="","",'Data Checking'!FK27)</f>
        <v>famille_amis Differents_comites_villageois manif_sociales Chef_village</v>
      </c>
      <c r="EZ27" t="str">
        <f>IF('Data Checking'!FL27="","",'Data Checking'!FL27)</f>
        <v>0</v>
      </c>
      <c r="FA27" t="str">
        <f>IF('Data Checking'!FM27="","",'Data Checking'!FM27)</f>
        <v>0</v>
      </c>
      <c r="FB27" t="str">
        <f>IF('Data Checking'!FN27="","",'Data Checking'!FN27)</f>
        <v>0</v>
      </c>
      <c r="FC27" t="str">
        <f>IF('Data Checking'!FO27="","",'Data Checking'!FO27)</f>
        <v>1</v>
      </c>
      <c r="FD27" t="str">
        <f>IF('Data Checking'!FP27="","",'Data Checking'!FP27)</f>
        <v>1</v>
      </c>
      <c r="FE27" t="str">
        <f>IF('Data Checking'!FQ27="","",'Data Checking'!FQ27)</f>
        <v>1</v>
      </c>
      <c r="FF27" t="str">
        <f>IF('Data Checking'!FR27="","",'Data Checking'!FR27)</f>
        <v>0</v>
      </c>
      <c r="FG27" t="str">
        <f>IF('Data Checking'!FS27="","",'Data Checking'!FS27)</f>
        <v>0</v>
      </c>
      <c r="FH27" t="str">
        <f>IF('Data Checking'!FT27="","",'Data Checking'!FT27)</f>
        <v>1</v>
      </c>
      <c r="FI27" t="str">
        <f>IF('Data Checking'!FU27="","",'Data Checking'!FU27)</f>
        <v>0</v>
      </c>
      <c r="FJ27" t="str">
        <f>IF('Data Checking'!FV27="","",'Data Checking'!FV27)</f>
        <v>0</v>
      </c>
      <c r="FK27" t="str">
        <f>IF('Data Checking'!FW27="","",'Data Checking'!FW27)</f>
        <v>0</v>
      </c>
      <c r="FL27" t="str">
        <f>IF('Data Checking'!FX27="","",'Data Checking'!FX27)</f>
        <v>0</v>
      </c>
      <c r="FM27" t="str">
        <f>IF('Data Checking'!FY27="","",'Data Checking'!FY27)</f>
        <v>0</v>
      </c>
      <c r="FN27" t="str">
        <f>IF('Data Checking'!FZ27="","",'Data Checking'!FZ27)</f>
        <v/>
      </c>
      <c r="FO27" t="str">
        <f>IF('Data Checking'!GA27="","",'Data Checking'!GA27)</f>
        <v>oui_minorite</v>
      </c>
      <c r="FP27" t="str">
        <f>IF('Data Checking'!GB27="","",'Data Checking'!GB27)</f>
        <v>oui_minorite</v>
      </c>
      <c r="FQ27" t="str">
        <f>IF('Data Checking'!GC27="","",'Data Checking'!GC27)</f>
        <v>manque_info trop_du_monde insecurite</v>
      </c>
      <c r="FR27" t="str">
        <f>IF('Data Checking'!GD27="","",'Data Checking'!GD27)</f>
        <v>0</v>
      </c>
      <c r="FS27" t="str">
        <f>IF('Data Checking'!GE27="","",'Data Checking'!GE27)</f>
        <v>1</v>
      </c>
      <c r="FT27" t="str">
        <f>IF('Data Checking'!GF27="","",'Data Checking'!GF27)</f>
        <v>0</v>
      </c>
      <c r="FU27" t="str">
        <f>IF('Data Checking'!GG27="","",'Data Checking'!GG27)</f>
        <v>0</v>
      </c>
      <c r="FV27" t="str">
        <f>IF('Data Checking'!GH27="","",'Data Checking'!GH27)</f>
        <v>1</v>
      </c>
      <c r="FW27" t="str">
        <f>IF('Data Checking'!GI27="","",'Data Checking'!GI27)</f>
        <v>1</v>
      </c>
      <c r="FX27" t="str">
        <f>IF('Data Checking'!GJ27="","",'Data Checking'!GJ27)</f>
        <v>0</v>
      </c>
      <c r="FY27" t="str">
        <f>IF('Data Checking'!GK27="","",'Data Checking'!GK27)</f>
        <v>0</v>
      </c>
      <c r="FZ27" t="str">
        <f>IF('Data Checking'!GL27="","",'Data Checking'!GL27)</f>
        <v/>
      </c>
      <c r="GA27" t="str">
        <f>IF('Data Checking'!GM27="","",'Data Checking'!GM27)</f>
        <v>minorite</v>
      </c>
      <c r="GB27" t="str">
        <f>IF('Data Checking'!GN27="","",'Data Checking'!GN27)</f>
        <v>minorite</v>
      </c>
      <c r="GC27" t="str">
        <f>IF('Data Checking'!GO27="","",'Data Checking'!GO27)</f>
        <v>Service_de_counseling Appui_psychosocial Education Services_de_sante</v>
      </c>
      <c r="GD27" t="str">
        <f>IF('Data Checking'!GP27="","",'Data Checking'!GP27)</f>
        <v>1</v>
      </c>
      <c r="GE27" t="str">
        <f>IF('Data Checking'!GQ27="","",'Data Checking'!GQ27)</f>
        <v>1</v>
      </c>
      <c r="GF27" t="str">
        <f>IF('Data Checking'!GR27="","",'Data Checking'!GR27)</f>
        <v>1</v>
      </c>
      <c r="GG27" t="str">
        <f>IF('Data Checking'!GS27="","",'Data Checking'!GS27)</f>
        <v>1</v>
      </c>
      <c r="GH27" t="str">
        <f>IF('Data Checking'!GT27="","",'Data Checking'!GT27)</f>
        <v>0</v>
      </c>
      <c r="GI27" t="str">
        <f>IF('Data Checking'!GU27="","",'Data Checking'!GU27)</f>
        <v>0</v>
      </c>
      <c r="GJ27" t="str">
        <f>IF('Data Checking'!GV27="","",'Data Checking'!GV27)</f>
        <v>0</v>
      </c>
      <c r="GK27" t="str">
        <f>IF('Data Checking'!GW27="","",'Data Checking'!GW27)</f>
        <v>0</v>
      </c>
      <c r="GL27" t="str">
        <f>IF('Data Checking'!GX27="","",'Data Checking'!GX27)</f>
        <v>0</v>
      </c>
      <c r="GM27" t="str">
        <f>IF('Data Checking'!GY27="","",'Data Checking'!GY27)</f>
        <v/>
      </c>
      <c r="GN27" t="str">
        <f>IF('Data Checking'!GZ27="","",'Data Checking'!GZ27)</f>
        <v>oui_minorite</v>
      </c>
      <c r="GO27" t="str">
        <f>IF('Data Checking'!HA27="","",'Data Checking'!HA27)</f>
        <v>oui_minorite</v>
      </c>
      <c r="GP27" t="str">
        <f>IF('Data Checking'!HB27="","",'Data Checking'!HB27)</f>
        <v>diminution_tensions permet_eviter_conflits amelioration_futur</v>
      </c>
      <c r="GQ27" t="str">
        <f>IF('Data Checking'!HC27="","",'Data Checking'!HC27)</f>
        <v>1</v>
      </c>
      <c r="GR27" t="str">
        <f>IF('Data Checking'!HD27="","",'Data Checking'!HD27)</f>
        <v>0</v>
      </c>
      <c r="GS27" t="str">
        <f>IF('Data Checking'!HE27="","",'Data Checking'!HE27)</f>
        <v>0</v>
      </c>
      <c r="GT27" t="str">
        <f>IF('Data Checking'!HF27="","",'Data Checking'!HF27)</f>
        <v>1</v>
      </c>
      <c r="GU27" t="str">
        <f>IF('Data Checking'!HG27="","",'Data Checking'!HG27)</f>
        <v>0</v>
      </c>
      <c r="GV27" t="str">
        <f>IF('Data Checking'!HH27="","",'Data Checking'!HH27)</f>
        <v>1</v>
      </c>
      <c r="GW27" t="str">
        <f>IF('Data Checking'!HI27="","",'Data Checking'!HI27)</f>
        <v>0</v>
      </c>
      <c r="GX27" t="str">
        <f>IF('Data Checking'!HJ27="","",'Data Checking'!HJ27)</f>
        <v>0</v>
      </c>
      <c r="GY27" t="str">
        <f>IF('Data Checking'!HK27="","",'Data Checking'!HK27)</f>
        <v/>
      </c>
      <c r="GZ27" t="str">
        <f>IF('Data Checking'!HL27="","",'Data Checking'!HL27)</f>
        <v>ne_repond_pas ne_contribue_pas non_obtention_info</v>
      </c>
      <c r="HA27" t="str">
        <f>IF('Data Checking'!HM27="","",'Data Checking'!HM27)</f>
        <v>1</v>
      </c>
      <c r="HB27" t="str">
        <f>IF('Data Checking'!HN27="","",'Data Checking'!HN27)</f>
        <v>1</v>
      </c>
      <c r="HC27" t="str">
        <f>IF('Data Checking'!HO27="","",'Data Checking'!HO27)</f>
        <v>1</v>
      </c>
      <c r="HD27" t="str">
        <f>IF('Data Checking'!HP27="","",'Data Checking'!HP27)</f>
        <v>0</v>
      </c>
      <c r="HE27" t="str">
        <f>IF('Data Checking'!HQ27="","",'Data Checking'!HQ27)</f>
        <v>0</v>
      </c>
      <c r="HF27" t="str">
        <f>IF('Data Checking'!HR27="","",'Data Checking'!HR27)</f>
        <v>0</v>
      </c>
      <c r="HG27" t="str">
        <f>IF('Data Checking'!HS27="","",'Data Checking'!HS27)</f>
        <v/>
      </c>
      <c r="HH27" t="str">
        <f>IF('Data Checking'!HT27="","",'Data Checking'!HT27)</f>
        <v/>
      </c>
      <c r="HI27" t="str">
        <f>IF('Data Checking'!HU27="","",'Data Checking'!HU27)</f>
        <v>oui_minorite</v>
      </c>
      <c r="HJ27" t="str">
        <f>IF('Data Checking'!HV27="","",'Data Checking'!HV27)</f>
        <v>ingo ong_locale autorite_locale_leaders</v>
      </c>
      <c r="HK27" t="str">
        <f>IF('Data Checking'!HW27="","",'Data Checking'!HW27)</f>
        <v>0</v>
      </c>
      <c r="HL27" t="str">
        <f>IF('Data Checking'!HX27="","",'Data Checking'!HX27)</f>
        <v>0</v>
      </c>
      <c r="HM27" t="str">
        <f>IF('Data Checking'!HY27="","",'Data Checking'!HY27)</f>
        <v>1</v>
      </c>
      <c r="HN27" t="str">
        <f>IF('Data Checking'!HZ27="","",'Data Checking'!HZ27)</f>
        <v>0</v>
      </c>
      <c r="HO27" t="str">
        <f>IF('Data Checking'!IA27="","",'Data Checking'!IA27)</f>
        <v>1</v>
      </c>
      <c r="HP27" t="str">
        <f>IF('Data Checking'!IB27="","",'Data Checking'!IB27)</f>
        <v>1</v>
      </c>
      <c r="HQ27" t="str">
        <f>IF('Data Checking'!IC27="","",'Data Checking'!IC27)</f>
        <v>0</v>
      </c>
      <c r="HR27" t="str">
        <f>IF('Data Checking'!ID27="","",'Data Checking'!ID27)</f>
        <v>0</v>
      </c>
      <c r="HS27" t="str">
        <f>IF('Data Checking'!IE27="","",'Data Checking'!IE27)</f>
        <v>0</v>
      </c>
      <c r="HT27" t="str">
        <f>IF('Data Checking'!IF27="","",'Data Checking'!IF27)</f>
        <v>0</v>
      </c>
      <c r="HU27" t="str">
        <f>IF('Data Checking'!IG27="","",'Data Checking'!IG27)</f>
        <v/>
      </c>
      <c r="HV27" t="str">
        <f>IF('Data Checking'!IH27="","",'Data Checking'!IH27)</f>
        <v>oui</v>
      </c>
      <c r="HW27" t="str">
        <f>IF('Data Checking'!II27="","",'Data Checking'!II27)</f>
        <v/>
      </c>
      <c r="HX27" t="str">
        <f>IF('Data Checking'!IJ27="","",'Data Checking'!IJ27)</f>
        <v>Bebes/Bambins Enfants Filles Femmes_agees Hommes_ages</v>
      </c>
      <c r="HY27" t="str">
        <f>IF('Data Checking'!IK27="","",'Data Checking'!IK27)</f>
        <v>1</v>
      </c>
      <c r="HZ27" t="str">
        <f>IF('Data Checking'!IL27="","",'Data Checking'!IL27)</f>
        <v>1</v>
      </c>
      <c r="IA27" t="str">
        <f>IF('Data Checking'!IM27="","",'Data Checking'!IM27)</f>
        <v>1</v>
      </c>
      <c r="IB27" t="str">
        <f>IF('Data Checking'!IN27="","",'Data Checking'!IN27)</f>
        <v>0</v>
      </c>
      <c r="IC27" t="str">
        <f>IF('Data Checking'!IO27="","",'Data Checking'!IO27)</f>
        <v>0</v>
      </c>
      <c r="ID27" t="str">
        <f>IF('Data Checking'!IP27="","",'Data Checking'!IP27)</f>
        <v>0</v>
      </c>
      <c r="IE27" t="str">
        <f>IF('Data Checking'!IQ27="","",'Data Checking'!IQ27)</f>
        <v>1</v>
      </c>
      <c r="IF27" t="str">
        <f>IF('Data Checking'!IR27="","",'Data Checking'!IR27)</f>
        <v>1</v>
      </c>
      <c r="IG27" t="str">
        <f>IF('Data Checking'!IS27="","",'Data Checking'!IS27)</f>
        <v>0</v>
      </c>
      <c r="IH27" t="str">
        <f>IF('Data Checking'!IT27="","",'Data Checking'!IT27)</f>
        <v>0</v>
      </c>
      <c r="II27" t="str">
        <f>IF('Data Checking'!IU27="","",'Data Checking'!IU27)</f>
        <v>0</v>
      </c>
      <c r="IJ27" t="str">
        <f>IF('Data Checking'!IV27="","",'Data Checking'!IV27)</f>
        <v>0</v>
      </c>
      <c r="IK27" t="str">
        <f>IF('Data Checking'!IW27="","",'Data Checking'!IW27)</f>
        <v>0</v>
      </c>
      <c r="IL27" t="str">
        <f>IF('Data Checking'!IX27="","",'Data Checking'!IX27)</f>
        <v>0</v>
      </c>
      <c r="IM27" t="str">
        <f>IF('Data Checking'!IY27="","",'Data Checking'!IY27)</f>
        <v/>
      </c>
      <c r="IN27" t="str">
        <f>IF('Data Checking'!IZ27="","",'Data Checking'!IZ27)</f>
        <v>10</v>
      </c>
      <c r="IO27" t="str">
        <f>IF('Data Checking'!JA27="","",'Data Checking'!JA27)</f>
        <v>Services_medicaux Services_educatifs Services_conseil acces_docs Appui_psychosocial</v>
      </c>
      <c r="IP27" t="str">
        <f>IF('Data Checking'!JB27="","",'Data Checking'!JB27)</f>
        <v>1</v>
      </c>
      <c r="IQ27" t="str">
        <f>IF('Data Checking'!JC27="","",'Data Checking'!JC27)</f>
        <v>1</v>
      </c>
      <c r="IR27" t="str">
        <f>IF('Data Checking'!JD27="","",'Data Checking'!JD27)</f>
        <v>1</v>
      </c>
      <c r="IS27" t="str">
        <f>IF('Data Checking'!JE27="","",'Data Checking'!JE27)</f>
        <v>1</v>
      </c>
      <c r="IT27" t="str">
        <f>IF('Data Checking'!JF27="","",'Data Checking'!JF27)</f>
        <v>1</v>
      </c>
      <c r="IU27" t="str">
        <f>IF('Data Checking'!JG27="","",'Data Checking'!JG27)</f>
        <v>0</v>
      </c>
      <c r="IV27" t="str">
        <f>IF('Data Checking'!JH27="","",'Data Checking'!JH27)</f>
        <v>0</v>
      </c>
      <c r="IW27" t="str">
        <f>IF('Data Checking'!JI27="","",'Data Checking'!JI27)</f>
        <v>0</v>
      </c>
      <c r="IX27" t="str">
        <f>IF('Data Checking'!JJ27="","",'Data Checking'!JJ27)</f>
        <v>0</v>
      </c>
      <c r="IY27" t="str">
        <f>IF('Data Checking'!JK27="","",'Data Checking'!JK27)</f>
        <v>0</v>
      </c>
      <c r="IZ27" t="str">
        <f>IF('Data Checking'!JL27="","",'Data Checking'!JL27)</f>
        <v/>
      </c>
      <c r="JA27" t="str">
        <f>IF('Data Checking'!JM27="","",'Data Checking'!JM27)</f>
        <v>reorientation prise_enchage signalement</v>
      </c>
      <c r="JB27" t="str">
        <f>IF('Data Checking'!JN27="","",'Data Checking'!JN27)</f>
        <v>1</v>
      </c>
      <c r="JC27" t="str">
        <f>IF('Data Checking'!JO27="","",'Data Checking'!JO27)</f>
        <v>1</v>
      </c>
      <c r="JD27" t="str">
        <f>IF('Data Checking'!JP27="","",'Data Checking'!JP27)</f>
        <v>1</v>
      </c>
      <c r="JE27" t="str">
        <f>IF('Data Checking'!JQ27="","",'Data Checking'!JQ27)</f>
        <v>0</v>
      </c>
      <c r="JF27" t="str">
        <f>IF('Data Checking'!JR27="","",'Data Checking'!JR27)</f>
        <v>0</v>
      </c>
      <c r="JG27" t="str">
        <f>IF('Data Checking'!JS27="","",'Data Checking'!JS27)</f>
        <v>0</v>
      </c>
      <c r="JH27" t="str">
        <f>IF('Data Checking'!JT27="","",'Data Checking'!JT27)</f>
        <v/>
      </c>
      <c r="JI27" t="str">
        <f>IF('Data Checking'!JU27="","",'Data Checking'!JU27)</f>
        <v>surete centre_formation Psychosocia medical point_ecoute</v>
      </c>
      <c r="JJ27" t="str">
        <f>IF('Data Checking'!JV27="","",'Data Checking'!JV27)</f>
        <v>1</v>
      </c>
      <c r="JK27" t="str">
        <f>IF('Data Checking'!JW27="","",'Data Checking'!JW27)</f>
        <v>1</v>
      </c>
      <c r="JL27" t="str">
        <f>IF('Data Checking'!JX27="","",'Data Checking'!JX27)</f>
        <v>1</v>
      </c>
      <c r="JM27" t="str">
        <f>IF('Data Checking'!JY27="","",'Data Checking'!JY27)</f>
        <v>0</v>
      </c>
      <c r="JN27" t="str">
        <f>IF('Data Checking'!JZ27="","",'Data Checking'!JZ27)</f>
        <v>1</v>
      </c>
      <c r="JO27" t="str">
        <f>IF('Data Checking'!KA27="","",'Data Checking'!KA27)</f>
        <v>0</v>
      </c>
      <c r="JP27" t="str">
        <f>IF('Data Checking'!KB27="","",'Data Checking'!KB27)</f>
        <v>1</v>
      </c>
      <c r="JQ27" t="str">
        <f>IF('Data Checking'!KC27="","",'Data Checking'!KC27)</f>
        <v>0</v>
      </c>
      <c r="JR27" t="str">
        <f>IF('Data Checking'!KD27="","",'Data Checking'!KD27)</f>
        <v>0</v>
      </c>
      <c r="JS27" t="str">
        <f>IF('Data Checking'!KE27="","",'Data Checking'!KE27)</f>
        <v/>
      </c>
      <c r="JT27" t="str">
        <f>IF('Data Checking'!KF27="","",'Data Checking'!KF27)</f>
        <v>medical Psychosocia surete centre_formation point_ecoute</v>
      </c>
      <c r="JU27" t="str">
        <f>IF('Data Checking'!KG27="","",'Data Checking'!KG27)</f>
        <v>1</v>
      </c>
      <c r="JV27" t="str">
        <f>IF('Data Checking'!KH27="","",'Data Checking'!KH27)</f>
        <v>1</v>
      </c>
      <c r="JW27" t="str">
        <f>IF('Data Checking'!KI27="","",'Data Checking'!KI27)</f>
        <v>1</v>
      </c>
      <c r="JX27" t="str">
        <f>IF('Data Checking'!KJ27="","",'Data Checking'!KJ27)</f>
        <v>0</v>
      </c>
      <c r="JY27" t="str">
        <f>IF('Data Checking'!KK27="","",'Data Checking'!KK27)</f>
        <v>1</v>
      </c>
      <c r="JZ27" t="str">
        <f>IF('Data Checking'!KL27="","",'Data Checking'!KL27)</f>
        <v>0</v>
      </c>
      <c r="KA27" t="str">
        <f>IF('Data Checking'!KM27="","",'Data Checking'!KM27)</f>
        <v>1</v>
      </c>
      <c r="KB27" t="str">
        <f>IF('Data Checking'!KN27="","",'Data Checking'!KN27)</f>
        <v>0</v>
      </c>
      <c r="KC27" t="str">
        <f>IF('Data Checking'!KO27="","",'Data Checking'!KO27)</f>
        <v>0</v>
      </c>
      <c r="KD27" t="str">
        <f>IF('Data Checking'!KP27="","",'Data Checking'!KP27)</f>
        <v/>
      </c>
      <c r="KE27" t="str">
        <f>IF('Data Checking'!KQ27="","",'Data Checking'!KQ27)</f>
        <v/>
      </c>
      <c r="KF27" t="str">
        <f>IF('Data Checking'!KR27="","",'Data Checking'!KR27)</f>
        <v>oui</v>
      </c>
      <c r="KG27" t="str">
        <f>IF('Data Checking'!KS27="","",'Data Checking'!KS27)</f>
        <v>manque_moyens manque_d'information manque_personnes tensions_locales manque_definition</v>
      </c>
      <c r="KH27" t="str">
        <f>IF('Data Checking'!KT27="","",'Data Checking'!KT27)</f>
        <v>1</v>
      </c>
      <c r="KI27" t="str">
        <f>IF('Data Checking'!KU27="","",'Data Checking'!KU27)</f>
        <v>1</v>
      </c>
      <c r="KJ27" t="str">
        <f>IF('Data Checking'!KV27="","",'Data Checking'!KV27)</f>
        <v>1</v>
      </c>
      <c r="KK27" t="str">
        <f>IF('Data Checking'!KW27="","",'Data Checking'!KW27)</f>
        <v>0</v>
      </c>
      <c r="KL27" t="str">
        <f>IF('Data Checking'!KX27="","",'Data Checking'!KX27)</f>
        <v>0</v>
      </c>
      <c r="KM27" t="str">
        <f>IF('Data Checking'!KY27="","",'Data Checking'!KY27)</f>
        <v>1</v>
      </c>
      <c r="KN27" t="str">
        <f>IF('Data Checking'!KZ27="","",'Data Checking'!KZ27)</f>
        <v>0</v>
      </c>
      <c r="KO27" t="str">
        <f>IF('Data Checking'!LA27="","",'Data Checking'!LA27)</f>
        <v>1</v>
      </c>
      <c r="KP27" t="str">
        <f>IF('Data Checking'!LB27="","",'Data Checking'!LB27)</f>
        <v>0</v>
      </c>
      <c r="KQ27" t="str">
        <f>IF('Data Checking'!LC27="","",'Data Checking'!LC27)</f>
        <v>0</v>
      </c>
      <c r="KR27" t="str">
        <f>IF('Data Checking'!LD27="","",'Data Checking'!LD27)</f>
        <v>0</v>
      </c>
      <c r="KS27" t="str">
        <f>IF('Data Checking'!LE27="","",'Data Checking'!LE27)</f>
        <v/>
      </c>
      <c r="KT27" t="str">
        <f>IF('Data Checking'!LF27="","",'Data Checking'!LF27)</f>
        <v/>
      </c>
      <c r="KU27" t="str">
        <f>IF('Data Checking'!LG27="","",'Data Checking'!LG27)</f>
        <v/>
      </c>
      <c r="KV27" t="str">
        <f>IF('Data Checking'!LH27="","",'Data Checking'!LH27)</f>
        <v/>
      </c>
      <c r="KW27" t="str">
        <f>IF('Data Checking'!LI27="","",'Data Checking'!LI27)</f>
        <v/>
      </c>
      <c r="KX27" t="str">
        <f>IF('Data Checking'!LJ27="","",'Data Checking'!LJ27)</f>
        <v/>
      </c>
      <c r="KY27" t="str">
        <f>IF('Data Checking'!LK27="","",'Data Checking'!LK27)</f>
        <v/>
      </c>
      <c r="KZ27" t="str">
        <f>IF('Data Checking'!LL27="","",'Data Checking'!LL27)</f>
        <v/>
      </c>
      <c r="LA27" t="str">
        <f>IF('Data Checking'!LM27="","",'Data Checking'!LM27)</f>
        <v/>
      </c>
      <c r="LB27" t="str">
        <f>IF('Data Checking'!LN27="","",'Data Checking'!LN27)</f>
        <v>oui</v>
      </c>
      <c r="LC27" t="str">
        <f>IF('Data Checking'!LO27="","",'Data Checking'!LO27)</f>
        <v>violence_physique violence_psycho menace_mort menace_enlevement</v>
      </c>
      <c r="LD27" t="str">
        <f>IF('Data Checking'!LP27="","",'Data Checking'!LP27)</f>
        <v>1</v>
      </c>
      <c r="LE27" t="str">
        <f>IF('Data Checking'!LQ27="","",'Data Checking'!LQ27)</f>
        <v>1</v>
      </c>
      <c r="LF27" t="str">
        <f>IF('Data Checking'!LR27="","",'Data Checking'!LR27)</f>
        <v>0</v>
      </c>
      <c r="LG27" t="str">
        <f>IF('Data Checking'!LS27="","",'Data Checking'!LS27)</f>
        <v>0</v>
      </c>
      <c r="LH27" t="str">
        <f>IF('Data Checking'!LT27="","",'Data Checking'!LT27)</f>
        <v>1</v>
      </c>
      <c r="LI27" t="str">
        <f>IF('Data Checking'!LU27="","",'Data Checking'!LU27)</f>
        <v>1</v>
      </c>
      <c r="LJ27" t="str">
        <f>IF('Data Checking'!LV27="","",'Data Checking'!LV27)</f>
        <v>0</v>
      </c>
      <c r="LK27" t="str">
        <f>IF('Data Checking'!LW27="","",'Data Checking'!LW27)</f>
        <v>0</v>
      </c>
      <c r="LL27" t="str">
        <f>IF('Data Checking'!LX27="","",'Data Checking'!LX27)</f>
        <v>0</v>
      </c>
      <c r="LM27" t="str">
        <f>IF('Data Checking'!LY27="","",'Data Checking'!LY27)</f>
        <v>0</v>
      </c>
      <c r="LN27" t="str">
        <f>IF('Data Checking'!LZ27="","",'Data Checking'!LZ27)</f>
        <v/>
      </c>
      <c r="LO27" t="str">
        <f>IF('Data Checking'!MA27="","",'Data Checking'!MA27)</f>
        <v>non</v>
      </c>
      <c r="LP27" t="str">
        <f>IF('Data Checking'!MB27="","",'Data Checking'!MB27)</f>
        <v>oui</v>
      </c>
      <c r="LQ27" t="str">
        <f>IF('Data Checking'!MC27="","",'Data Checking'!MC27)</f>
        <v/>
      </c>
      <c r="LR27" t="str">
        <f>IF('Data Checking'!MD27="","",'Data Checking'!MD27)</f>
        <v>Manque d eau et surtout manque de vivres alimentaire</v>
      </c>
      <c r="LS27">
        <f>IF('Data Checking'!ME27="","",'Data Checking'!ME27)</f>
        <v>168983534</v>
      </c>
      <c r="LT27" t="str">
        <f>IF('Data Checking'!MF27="","",'Data Checking'!MF27)</f>
        <v>5a69afca-39c4-42b3-adf8-6b7e98c35f20</v>
      </c>
      <c r="LU27" t="str">
        <f>IF('Data Checking'!MG27="","",'Data Checking'!MG27)</f>
        <v>2021-03-31T21:00:27</v>
      </c>
      <c r="LV27" t="str">
        <f>IF('Data Checking'!MH27="","",'Data Checking'!MH27)</f>
        <v/>
      </c>
      <c r="LW27" t="str">
        <f>IF('Data Checking'!MI27="","",'Data Checking'!MI27)</f>
        <v>[]</v>
      </c>
      <c r="LX27" t="str">
        <f>IF('Data Checking'!MJ27="","",'Data Checking'!MJ27)</f>
        <v>submitted_via_web</v>
      </c>
      <c r="LY27" t="str">
        <f>IF('Data Checking'!MK27="","",'Data Checking'!MK27)</f>
        <v>reach_niger</v>
      </c>
      <c r="LZ27" t="str">
        <f>IF('Data Checking'!ML27="","",'Data Checking'!ML27)</f>
        <v/>
      </c>
      <c r="MA27">
        <f>IF('Data Checking'!MM27="","",'Data Checking'!MM27)</f>
        <v>1</v>
      </c>
    </row>
    <row r="28" spans="1:339" x14ac:dyDescent="0.3">
      <c r="A28" t="str">
        <f>IF('Data Checking'!D28="","",'Data Checking'!D28)</f>
        <v>2021-04-16T10:50:10.170+01:00</v>
      </c>
      <c r="B28" t="str">
        <f>IF('Data Checking'!E28="","",'Data Checking'!E28)</f>
        <v>2021-04-16T11:16:23.863+01:00</v>
      </c>
      <c r="C28" t="str">
        <f>IF('Data Checking'!M28="","",'Data Checking'!M28)</f>
        <v>2021-04-16</v>
      </c>
      <c r="D28" t="str">
        <f>IF('Data Checking'!N28="","",'Data Checking'!N28)</f>
        <v/>
      </c>
      <c r="E28" t="str">
        <f>IF('Data Checking'!O28="","",'Data Checking'!O28)</f>
        <v/>
      </c>
      <c r="F28" t="str">
        <f>IF('Data Checking'!R28="","",'Data Checking'!R28)</f>
        <v>Homme</v>
      </c>
      <c r="G28" t="str">
        <f>IF('Data Checking'!S28="","",'Data Checking'!S28)</f>
        <v>ayerou</v>
      </c>
      <c r="H28" t="str">
        <f>IF('Data Checking'!T28="","",'Data Checking'!T28)</f>
        <v>ayerou</v>
      </c>
      <c r="I28" t="str">
        <f>IF('Data Checking'!U28="","",'Data Checking'!U28)</f>
        <v>ayarou_pdi</v>
      </c>
      <c r="J28" t="str">
        <f>IF('Data Checking'!V28="","",'Data Checking'!V28)</f>
        <v/>
      </c>
      <c r="K28" t="str">
        <f>IF('Data Checking'!W28="","",'Data Checking'!W28)</f>
        <v/>
      </c>
      <c r="L28" t="str">
        <f>IF('Data Checking'!X28="","",'Data Checking'!X28)</f>
        <v/>
      </c>
      <c r="M28" t="str">
        <f>IF('Data Checking'!Y28="","",'Data Checking'!Y28)</f>
        <v/>
      </c>
      <c r="N28" t="str">
        <f>IF('Data Checking'!Z28="","",'Data Checking'!Z28)</f>
        <v/>
      </c>
      <c r="O28" t="str">
        <f>IF('Data Checking'!AA28="","",'Data Checking'!AA28)</f>
        <v/>
      </c>
      <c r="P28" t="str">
        <f>IF('Data Checking'!AB28="","",'Data Checking'!AB28)</f>
        <v/>
      </c>
      <c r="Q28" t="str">
        <f>IF('Data Checking'!AC28="","",'Data Checking'!AC28)</f>
        <v/>
      </c>
      <c r="R28" t="str">
        <f>IF('Data Checking'!AD28="","",'Data Checking'!AD28)</f>
        <v>Femme</v>
      </c>
      <c r="S28" t="str">
        <f>IF('Data Checking'!AE28="","",'Data Checking'!AE28)</f>
        <v>21</v>
      </c>
      <c r="T28" t="str">
        <f>IF('Data Checking'!AF28="","",'Data Checking'!AF28)</f>
        <v>deplace_interne</v>
      </c>
      <c r="U28" t="str">
        <f>IF('Data Checking'!AG28="","",'Data Checking'!AG28)</f>
        <v/>
      </c>
      <c r="V28" t="str">
        <f>IF('Data Checking'!AH28="","",'Data Checking'!AH28)</f>
        <v/>
      </c>
      <c r="W28" t="str">
        <f>IF('Data Checking'!AI28="","",'Data Checking'!AI28)</f>
        <v/>
      </c>
      <c r="X28" t="str">
        <f>IF('Data Checking'!AJ28="","",'Data Checking'!AJ28)</f>
        <v/>
      </c>
      <c r="Y28" t="str">
        <f>IF('Data Checking'!AK28="","",'Data Checking'!AK28)</f>
        <v/>
      </c>
      <c r="Z28" t="str">
        <f>IF('Data Checking'!AL28="","",'Data Checking'!AL28)</f>
        <v>niger</v>
      </c>
      <c r="AA28" t="str">
        <f>IF('Data Checking'!AM28="","",'Data Checking'!AM28)</f>
        <v>tillaberi</v>
      </c>
      <c r="AB28" t="str">
        <f>IF('Data Checking'!AN28="","",'Data Checking'!AN28)</f>
        <v>ayerou</v>
      </c>
      <c r="AC28" t="str">
        <f>IF('Data Checking'!AO28="","",'Data Checking'!AO28)</f>
        <v/>
      </c>
      <c r="AD28" t="str">
        <f>IF('Data Checking'!AP28="","",'Data Checking'!AP28)</f>
        <v/>
      </c>
      <c r="AE28" t="str">
        <f>IF('Data Checking'!AQ28="","",'Data Checking'!AQ28)</f>
        <v/>
      </c>
      <c r="AF28" t="str">
        <f>IF('Data Checking'!AR28="","",'Data Checking'!AR28)</f>
        <v/>
      </c>
      <c r="AG28" t="str">
        <f>IF('Data Checking'!AS28="","",'Data Checking'!AS28)</f>
        <v>non</v>
      </c>
      <c r="AH28" t="str">
        <f>IF('Data Checking'!AT28="","",'Data Checking'!AT28)</f>
        <v/>
      </c>
      <c r="AI28" t="str">
        <f>IF('Data Checking'!AU28="","",'Data Checking'!AU28)</f>
        <v/>
      </c>
      <c r="AJ28" t="str">
        <f>IF('Data Checking'!AV28="","",'Data Checking'!AV28)</f>
        <v/>
      </c>
      <c r="AK28" t="str">
        <f>IF('Data Checking'!AW28="","",'Data Checking'!AW28)</f>
        <v/>
      </c>
      <c r="AL28" t="str">
        <f>IF('Data Checking'!AX28="","",'Data Checking'!AX28)</f>
        <v/>
      </c>
      <c r="AM28" t="str">
        <f>IF('Data Checking'!AY28="","",'Data Checking'!AY28)</f>
        <v/>
      </c>
      <c r="AN28" t="str">
        <f>IF('Data Checking'!AZ28="","",'Data Checking'!AZ28)</f>
        <v/>
      </c>
      <c r="AO28" t="str">
        <f>IF('Data Checking'!BA28="","",'Data Checking'!BA28)</f>
        <v/>
      </c>
      <c r="AP28" t="str">
        <f>IF('Data Checking'!BB28="","",'Data Checking'!BB28)</f>
        <v/>
      </c>
      <c r="AQ28" t="str">
        <f>IF('Data Checking'!BC28="","",'Data Checking'!BC28)</f>
        <v/>
      </c>
      <c r="AR28" t="str">
        <f>IF('Data Checking'!BD28="","",'Data Checking'!BD28)</f>
        <v/>
      </c>
      <c r="AS28" t="str">
        <f>IF('Data Checking'!BE28="","",'Data Checking'!BE28)</f>
        <v/>
      </c>
      <c r="AT28" t="str">
        <f>IF('Data Checking'!BF28="","",'Data Checking'!BF28)</f>
        <v/>
      </c>
      <c r="AU28" t="str">
        <f>IF('Data Checking'!BG28="","",'Data Checking'!BG28)</f>
        <v/>
      </c>
      <c r="AV28" t="str">
        <f>IF('Data Checking'!BH28="","",'Data Checking'!BH28)</f>
        <v/>
      </c>
      <c r="AW28" t="str">
        <f>IF('Data Checking'!BI28="","",'Data Checking'!BI28)</f>
        <v/>
      </c>
      <c r="AX28" t="str">
        <f>IF('Data Checking'!BJ28="","",'Data Checking'!BJ28)</f>
        <v/>
      </c>
      <c r="AY28" t="str">
        <f>IF('Data Checking'!BK28="","",'Data Checking'!BK28)</f>
        <v/>
      </c>
      <c r="AZ28" t="str">
        <f>IF('Data Checking'!BL28="","",'Data Checking'!BL28)</f>
        <v/>
      </c>
      <c r="BA28" t="str">
        <f>IF('Data Checking'!BM28="","",'Data Checking'!BM28)</f>
        <v/>
      </c>
      <c r="BB28" t="str">
        <f>IF('Data Checking'!BN28="","",'Data Checking'!BN28)</f>
        <v/>
      </c>
      <c r="BC28" t="str">
        <f>IF('Data Checking'!BO28="","",'Data Checking'!BO28)</f>
        <v/>
      </c>
      <c r="BD28" t="str">
        <f>IF('Data Checking'!BP28="","",'Data Checking'!BP28)</f>
        <v/>
      </c>
      <c r="BE28" t="str">
        <f>IF('Data Checking'!BQ28="","",'Data Checking'!BQ28)</f>
        <v/>
      </c>
      <c r="BF28" t="str">
        <f>IF('Data Checking'!BR28="","",'Data Checking'!BR28)</f>
        <v/>
      </c>
      <c r="BG28" t="str">
        <f>IF('Data Checking'!BS28="","",'Data Checking'!BS28)</f>
        <v/>
      </c>
      <c r="BH28" t="str">
        <f>IF('Data Checking'!BT28="","",'Data Checking'!BT28)</f>
        <v/>
      </c>
      <c r="BI28" t="str">
        <f>IF('Data Checking'!BU28="","",'Data Checking'!BU28)</f>
        <v/>
      </c>
      <c r="BJ28" t="str">
        <f>IF('Data Checking'!BV28="","",'Data Checking'!BV28)</f>
        <v/>
      </c>
      <c r="BK28" t="str">
        <f>IF('Data Checking'!BW28="","",'Data Checking'!BW28)</f>
        <v/>
      </c>
      <c r="BL28" t="str">
        <f>IF('Data Checking'!BX28="","",'Data Checking'!BX28)</f>
        <v/>
      </c>
      <c r="BM28" t="str">
        <f>IF('Data Checking'!BY28="","",'Data Checking'!BY28)</f>
        <v/>
      </c>
      <c r="BN28" t="str">
        <f>IF('Data Checking'!BZ28="","",'Data Checking'!BZ28)</f>
        <v/>
      </c>
      <c r="BO28" t="str">
        <f>IF('Data Checking'!CA28="","",'Data Checking'!CA28)</f>
        <v/>
      </c>
      <c r="BP28" t="str">
        <f>IF('Data Checking'!CB28="","",'Data Checking'!CB28)</f>
        <v/>
      </c>
      <c r="BQ28" t="str">
        <f>IF('Data Checking'!CC28="","",'Data Checking'!CC28)</f>
        <v>non</v>
      </c>
      <c r="BR28" t="str">
        <f>IF('Data Checking'!CD28="","",'Data Checking'!CD28)</f>
        <v/>
      </c>
      <c r="BS28" t="str">
        <f>IF('Data Checking'!CE28="","",'Data Checking'!CE28)</f>
        <v/>
      </c>
      <c r="BT28" t="str">
        <f>IF('Data Checking'!CF28="","",'Data Checking'!CF28)</f>
        <v/>
      </c>
      <c r="BU28" t="str">
        <f>IF('Data Checking'!CG28="","",'Data Checking'!CG28)</f>
        <v/>
      </c>
      <c r="BV28" t="str">
        <f>IF('Data Checking'!CH28="","",'Data Checking'!CH28)</f>
        <v/>
      </c>
      <c r="BW28" t="str">
        <f>IF('Data Checking'!CI28="","",'Data Checking'!CI28)</f>
        <v/>
      </c>
      <c r="BX28" t="str">
        <f>IF('Data Checking'!CJ28="","",'Data Checking'!CJ28)</f>
        <v/>
      </c>
      <c r="BY28" t="str">
        <f>IF('Data Checking'!CK28="","",'Data Checking'!CK28)</f>
        <v/>
      </c>
      <c r="BZ28" t="str">
        <f>IF('Data Checking'!CL28="","",'Data Checking'!CL28)</f>
        <v/>
      </c>
      <c r="CA28" t="str">
        <f>IF('Data Checking'!CM28="","",'Data Checking'!CM28)</f>
        <v/>
      </c>
      <c r="CB28" t="str">
        <f>IF('Data Checking'!CN28="","",'Data Checking'!CN28)</f>
        <v/>
      </c>
      <c r="CC28" t="str">
        <f>IF('Data Checking'!CO28="","",'Data Checking'!CO28)</f>
        <v/>
      </c>
      <c r="CD28" t="str">
        <f>IF('Data Checking'!CP28="","",'Data Checking'!CP28)</f>
        <v/>
      </c>
      <c r="CE28" t="str">
        <f>IF('Data Checking'!CQ28="","",'Data Checking'!CQ28)</f>
        <v/>
      </c>
      <c r="CF28" t="str">
        <f>IF('Data Checking'!CR28="","",'Data Checking'!CR28)</f>
        <v/>
      </c>
      <c r="CG28" t="str">
        <f>IF('Data Checking'!CS28="","",'Data Checking'!CS28)</f>
        <v/>
      </c>
      <c r="CH28" t="str">
        <f>IF('Data Checking'!CT28="","",'Data Checking'!CT28)</f>
        <v/>
      </c>
      <c r="CI28" t="str">
        <f>IF('Data Checking'!CU28="","",'Data Checking'!CU28)</f>
        <v/>
      </c>
      <c r="CJ28" t="str">
        <f>IF('Data Checking'!CV28="","",'Data Checking'!CV28)</f>
        <v/>
      </c>
      <c r="CK28" t="str">
        <f>IF('Data Checking'!CW28="","",'Data Checking'!CW28)</f>
        <v/>
      </c>
      <c r="CL28" t="str">
        <f>IF('Data Checking'!CX28="","",'Data Checking'!CX28)</f>
        <v/>
      </c>
      <c r="CM28" t="str">
        <f>IF('Data Checking'!CY28="","",'Data Checking'!CY28)</f>
        <v/>
      </c>
      <c r="CN28" t="str">
        <f>IF('Data Checking'!CZ28="","",'Data Checking'!CZ28)</f>
        <v/>
      </c>
      <c r="CO28" t="str">
        <f>IF('Data Checking'!DA28="","",'Data Checking'!DA28)</f>
        <v/>
      </c>
      <c r="CP28" t="str">
        <f>IF('Data Checking'!DB28="","",'Data Checking'!DB28)</f>
        <v/>
      </c>
      <c r="CQ28" t="str">
        <f>IF('Data Checking'!DC28="","",'Data Checking'!DC28)</f>
        <v/>
      </c>
      <c r="CR28" t="str">
        <f>IF('Data Checking'!DD28="","",'Data Checking'!DD28)</f>
        <v/>
      </c>
      <c r="CS28" t="str">
        <f>IF('Data Checking'!DE28="","",'Data Checking'!DE28)</f>
        <v/>
      </c>
      <c r="CT28" t="str">
        <f>IF('Data Checking'!DF28="","",'Data Checking'!DF28)</f>
        <v/>
      </c>
      <c r="CU28" t="str">
        <f>IF('Data Checking'!DG28="","",'Data Checking'!DG28)</f>
        <v/>
      </c>
      <c r="CV28" t="str">
        <f>IF('Data Checking'!DH28="","",'Data Checking'!DH28)</f>
        <v/>
      </c>
      <c r="CW28" t="str">
        <f>IF('Data Checking'!DI28="","",'Data Checking'!DI28)</f>
        <v/>
      </c>
      <c r="CX28" t="str">
        <f>IF('Data Checking'!DJ28="","",'Data Checking'!DJ28)</f>
        <v/>
      </c>
      <c r="CY28" t="str">
        <f>IF('Data Checking'!DK28="","",'Data Checking'!DK28)</f>
        <v/>
      </c>
      <c r="CZ28" t="str">
        <f>IF('Data Checking'!DL28="","",'Data Checking'!DL28)</f>
        <v/>
      </c>
      <c r="DA28" t="str">
        <f>IF('Data Checking'!DM28="","",'Data Checking'!DM28)</f>
        <v/>
      </c>
      <c r="DB28" t="str">
        <f>IF('Data Checking'!DN28="","",'Data Checking'!DN28)</f>
        <v/>
      </c>
      <c r="DC28" t="str">
        <f>IF('Data Checking'!DO28="","",'Data Checking'!DO28)</f>
        <v/>
      </c>
      <c r="DD28" t="str">
        <f>IF('Data Checking'!DP28="","",'Data Checking'!DP28)</f>
        <v/>
      </c>
      <c r="DE28" t="str">
        <f>IF('Data Checking'!DQ28="","",'Data Checking'!DQ28)</f>
        <v/>
      </c>
      <c r="DF28" t="str">
        <f>IF('Data Checking'!DR28="","",'Data Checking'!DR28)</f>
        <v/>
      </c>
      <c r="DG28" t="str">
        <f>IF('Data Checking'!DS28="","",'Data Checking'!DS28)</f>
        <v/>
      </c>
      <c r="DH28" t="str">
        <f>IF('Data Checking'!DT28="","",'Data Checking'!DT28)</f>
        <v/>
      </c>
      <c r="DI28" t="str">
        <f>IF('Data Checking'!DU28="","",'Data Checking'!DU28)</f>
        <v/>
      </c>
      <c r="DJ28" t="str">
        <f>IF('Data Checking'!DV28="","",'Data Checking'!DV28)</f>
        <v/>
      </c>
      <c r="DK28" t="str">
        <f>IF('Data Checking'!DW28="","",'Data Checking'!DW28)</f>
        <v/>
      </c>
      <c r="DL28" t="str">
        <f>IF('Data Checking'!DX28="","",'Data Checking'!DX28)</f>
        <v/>
      </c>
      <c r="DM28" t="str">
        <f>IF('Data Checking'!DY28="","",'Data Checking'!DY28)</f>
        <v/>
      </c>
      <c r="DN28" t="str">
        <f>IF('Data Checking'!DZ28="","",'Data Checking'!DZ28)</f>
        <v/>
      </c>
      <c r="DO28" t="str">
        <f>IF('Data Checking'!EA28="","",'Data Checking'!EA28)</f>
        <v/>
      </c>
      <c r="DP28" t="str">
        <f>IF('Data Checking'!EB28="","",'Data Checking'!EB28)</f>
        <v/>
      </c>
      <c r="DQ28" t="str">
        <f>IF('Data Checking'!EC28="","",'Data Checking'!EC28)</f>
        <v/>
      </c>
      <c r="DR28" t="str">
        <f>IF('Data Checking'!ED28="","",'Data Checking'!ED28)</f>
        <v/>
      </c>
      <c r="DS28" t="str">
        <f>IF('Data Checking'!EE28="","",'Data Checking'!EE28)</f>
        <v/>
      </c>
      <c r="DT28" t="str">
        <f>IF('Data Checking'!EF28="","",'Data Checking'!EF28)</f>
        <v/>
      </c>
      <c r="DU28" t="str">
        <f>IF('Data Checking'!EG28="","",'Data Checking'!EG28)</f>
        <v/>
      </c>
      <c r="DV28" t="str">
        <f>IF('Data Checking'!EH28="","",'Data Checking'!EH28)</f>
        <v/>
      </c>
      <c r="DW28" t="str">
        <f>IF('Data Checking'!EI28="","",'Data Checking'!EI28)</f>
        <v/>
      </c>
      <c r="DX28" t="str">
        <f>IF('Data Checking'!EJ28="","",'Data Checking'!EJ28)</f>
        <v/>
      </c>
      <c r="DY28" t="str">
        <f>IF('Data Checking'!EK28="","",'Data Checking'!EK28)</f>
        <v/>
      </c>
      <c r="DZ28" t="str">
        <f>IF('Data Checking'!EL28="","",'Data Checking'!EL28)</f>
        <v>Soutien_famille_amis</v>
      </c>
      <c r="EA28" t="str">
        <f>IF('Data Checking'!EM28="","",'Data Checking'!EM28)</f>
        <v>0</v>
      </c>
      <c r="EB28" t="str">
        <f>IF('Data Checking'!EN28="","",'Data Checking'!EN28)</f>
        <v>0</v>
      </c>
      <c r="EC28" t="str">
        <f>IF('Data Checking'!EO28="","",'Data Checking'!EO28)</f>
        <v>1</v>
      </c>
      <c r="ED28" t="str">
        <f>IF('Data Checking'!EP28="","",'Data Checking'!EP28)</f>
        <v>0</v>
      </c>
      <c r="EE28" t="str">
        <f>IF('Data Checking'!EQ28="","",'Data Checking'!EQ28)</f>
        <v>0</v>
      </c>
      <c r="EF28" t="str">
        <f>IF('Data Checking'!ER28="","",'Data Checking'!ER28)</f>
        <v>0</v>
      </c>
      <c r="EG28" t="str">
        <f>IF('Data Checking'!ES28="","",'Data Checking'!ES28)</f>
        <v>0</v>
      </c>
      <c r="EH28" t="str">
        <f>IF('Data Checking'!ET28="","",'Data Checking'!ET28)</f>
        <v>0</v>
      </c>
      <c r="EI28" t="str">
        <f>IF('Data Checking'!EU28="","",'Data Checking'!EU28)</f>
        <v>0</v>
      </c>
      <c r="EJ28" t="str">
        <f>IF('Data Checking'!EV28="","",'Data Checking'!EV28)</f>
        <v/>
      </c>
      <c r="EK28" t="str">
        <f>IF('Data Checking'!EW28="","",'Data Checking'!EW28)</f>
        <v/>
      </c>
      <c r="EL28" t="str">
        <f>IF('Data Checking'!EX28="","",'Data Checking'!EX28)</f>
        <v>Ne_sait_pas</v>
      </c>
      <c r="EM28" t="str">
        <f>IF('Data Checking'!EY28="","",'Data Checking'!EY28)</f>
        <v>0</v>
      </c>
      <c r="EN28" t="str">
        <f>IF('Data Checking'!EZ28="","",'Data Checking'!EZ28)</f>
        <v>0</v>
      </c>
      <c r="EO28" t="str">
        <f>IF('Data Checking'!FA28="","",'Data Checking'!FA28)</f>
        <v>0</v>
      </c>
      <c r="EP28" t="str">
        <f>IF('Data Checking'!FB28="","",'Data Checking'!FB28)</f>
        <v>0</v>
      </c>
      <c r="EQ28" t="str">
        <f>IF('Data Checking'!FC28="","",'Data Checking'!FC28)</f>
        <v>0</v>
      </c>
      <c r="ER28" t="str">
        <f>IF('Data Checking'!FD28="","",'Data Checking'!FD28)</f>
        <v>0</v>
      </c>
      <c r="ES28" t="str">
        <f>IF('Data Checking'!FE28="","",'Data Checking'!FE28)</f>
        <v>0</v>
      </c>
      <c r="ET28" t="str">
        <f>IF('Data Checking'!FF28="","",'Data Checking'!FF28)</f>
        <v>0</v>
      </c>
      <c r="EU28" t="str">
        <f>IF('Data Checking'!FG28="","",'Data Checking'!FG28)</f>
        <v>1</v>
      </c>
      <c r="EV28" t="str">
        <f>IF('Data Checking'!FH28="","",'Data Checking'!FH28)</f>
        <v>0</v>
      </c>
      <c r="EW28" t="str">
        <f>IF('Data Checking'!FI28="","",'Data Checking'!FI28)</f>
        <v/>
      </c>
      <c r="EX28" t="str">
        <f>IF('Data Checking'!FJ28="","",'Data Checking'!FJ28)</f>
        <v>non</v>
      </c>
      <c r="EY28" t="str">
        <f>IF('Data Checking'!FK28="","",'Data Checking'!FK28)</f>
        <v/>
      </c>
      <c r="EZ28" t="str">
        <f>IF('Data Checking'!FL28="","",'Data Checking'!FL28)</f>
        <v/>
      </c>
      <c r="FA28" t="str">
        <f>IF('Data Checking'!FM28="","",'Data Checking'!FM28)</f>
        <v/>
      </c>
      <c r="FB28" t="str">
        <f>IF('Data Checking'!FN28="","",'Data Checking'!FN28)</f>
        <v/>
      </c>
      <c r="FC28" t="str">
        <f>IF('Data Checking'!FO28="","",'Data Checking'!FO28)</f>
        <v/>
      </c>
      <c r="FD28" t="str">
        <f>IF('Data Checking'!FP28="","",'Data Checking'!FP28)</f>
        <v/>
      </c>
      <c r="FE28" t="str">
        <f>IF('Data Checking'!FQ28="","",'Data Checking'!FQ28)</f>
        <v/>
      </c>
      <c r="FF28" t="str">
        <f>IF('Data Checking'!FR28="","",'Data Checking'!FR28)</f>
        <v/>
      </c>
      <c r="FG28" t="str">
        <f>IF('Data Checking'!FS28="","",'Data Checking'!FS28)</f>
        <v/>
      </c>
      <c r="FH28" t="str">
        <f>IF('Data Checking'!FT28="","",'Data Checking'!FT28)</f>
        <v/>
      </c>
      <c r="FI28" t="str">
        <f>IF('Data Checking'!FU28="","",'Data Checking'!FU28)</f>
        <v/>
      </c>
      <c r="FJ28" t="str">
        <f>IF('Data Checking'!FV28="","",'Data Checking'!FV28)</f>
        <v/>
      </c>
      <c r="FK28" t="str">
        <f>IF('Data Checking'!FW28="","",'Data Checking'!FW28)</f>
        <v/>
      </c>
      <c r="FL28" t="str">
        <f>IF('Data Checking'!FX28="","",'Data Checking'!FX28)</f>
        <v/>
      </c>
      <c r="FM28" t="str">
        <f>IF('Data Checking'!FY28="","",'Data Checking'!FY28)</f>
        <v/>
      </c>
      <c r="FN28" t="str">
        <f>IF('Data Checking'!FZ28="","",'Data Checking'!FZ28)</f>
        <v/>
      </c>
      <c r="FO28" t="str">
        <f>IF('Data Checking'!GA28="","",'Data Checking'!GA28)</f>
        <v/>
      </c>
      <c r="FP28" t="str">
        <f>IF('Data Checking'!GB28="","",'Data Checking'!GB28)</f>
        <v/>
      </c>
      <c r="FQ28" t="str">
        <f>IF('Data Checking'!GC28="","",'Data Checking'!GC28)</f>
        <v/>
      </c>
      <c r="FR28" t="str">
        <f>IF('Data Checking'!GD28="","",'Data Checking'!GD28)</f>
        <v/>
      </c>
      <c r="FS28" t="str">
        <f>IF('Data Checking'!GE28="","",'Data Checking'!GE28)</f>
        <v/>
      </c>
      <c r="FT28" t="str">
        <f>IF('Data Checking'!GF28="","",'Data Checking'!GF28)</f>
        <v/>
      </c>
      <c r="FU28" t="str">
        <f>IF('Data Checking'!GG28="","",'Data Checking'!GG28)</f>
        <v/>
      </c>
      <c r="FV28" t="str">
        <f>IF('Data Checking'!GH28="","",'Data Checking'!GH28)</f>
        <v/>
      </c>
      <c r="FW28" t="str">
        <f>IF('Data Checking'!GI28="","",'Data Checking'!GI28)</f>
        <v/>
      </c>
      <c r="FX28" t="str">
        <f>IF('Data Checking'!GJ28="","",'Data Checking'!GJ28)</f>
        <v/>
      </c>
      <c r="FY28" t="str">
        <f>IF('Data Checking'!GK28="","",'Data Checking'!GK28)</f>
        <v/>
      </c>
      <c r="FZ28" t="str">
        <f>IF('Data Checking'!GL28="","",'Data Checking'!GL28)</f>
        <v/>
      </c>
      <c r="GA28" t="str">
        <f>IF('Data Checking'!GM28="","",'Data Checking'!GM28)</f>
        <v/>
      </c>
      <c r="GB28" t="str">
        <f>IF('Data Checking'!GN28="","",'Data Checking'!GN28)</f>
        <v/>
      </c>
      <c r="GC28" t="str">
        <f>IF('Data Checking'!GO28="","",'Data Checking'!GO28)</f>
        <v/>
      </c>
      <c r="GD28" t="str">
        <f>IF('Data Checking'!GP28="","",'Data Checking'!GP28)</f>
        <v/>
      </c>
      <c r="GE28" t="str">
        <f>IF('Data Checking'!GQ28="","",'Data Checking'!GQ28)</f>
        <v/>
      </c>
      <c r="GF28" t="str">
        <f>IF('Data Checking'!GR28="","",'Data Checking'!GR28)</f>
        <v/>
      </c>
      <c r="GG28" t="str">
        <f>IF('Data Checking'!GS28="","",'Data Checking'!GS28)</f>
        <v/>
      </c>
      <c r="GH28" t="str">
        <f>IF('Data Checking'!GT28="","",'Data Checking'!GT28)</f>
        <v/>
      </c>
      <c r="GI28" t="str">
        <f>IF('Data Checking'!GU28="","",'Data Checking'!GU28)</f>
        <v/>
      </c>
      <c r="GJ28" t="str">
        <f>IF('Data Checking'!GV28="","",'Data Checking'!GV28)</f>
        <v/>
      </c>
      <c r="GK28" t="str">
        <f>IF('Data Checking'!GW28="","",'Data Checking'!GW28)</f>
        <v/>
      </c>
      <c r="GL28" t="str">
        <f>IF('Data Checking'!GX28="","",'Data Checking'!GX28)</f>
        <v/>
      </c>
      <c r="GM28" t="str">
        <f>IF('Data Checking'!GY28="","",'Data Checking'!GY28)</f>
        <v/>
      </c>
      <c r="GN28" t="str">
        <f>IF('Data Checking'!GZ28="","",'Data Checking'!GZ28)</f>
        <v/>
      </c>
      <c r="GO28" t="str">
        <f>IF('Data Checking'!HA28="","",'Data Checking'!HA28)</f>
        <v/>
      </c>
      <c r="GP28" t="str">
        <f>IF('Data Checking'!HB28="","",'Data Checking'!HB28)</f>
        <v/>
      </c>
      <c r="GQ28" t="str">
        <f>IF('Data Checking'!HC28="","",'Data Checking'!HC28)</f>
        <v/>
      </c>
      <c r="GR28" t="str">
        <f>IF('Data Checking'!HD28="","",'Data Checking'!HD28)</f>
        <v/>
      </c>
      <c r="GS28" t="str">
        <f>IF('Data Checking'!HE28="","",'Data Checking'!HE28)</f>
        <v/>
      </c>
      <c r="GT28" t="str">
        <f>IF('Data Checking'!HF28="","",'Data Checking'!HF28)</f>
        <v/>
      </c>
      <c r="GU28" t="str">
        <f>IF('Data Checking'!HG28="","",'Data Checking'!HG28)</f>
        <v/>
      </c>
      <c r="GV28" t="str">
        <f>IF('Data Checking'!HH28="","",'Data Checking'!HH28)</f>
        <v/>
      </c>
      <c r="GW28" t="str">
        <f>IF('Data Checking'!HI28="","",'Data Checking'!HI28)</f>
        <v/>
      </c>
      <c r="GX28" t="str">
        <f>IF('Data Checking'!HJ28="","",'Data Checking'!HJ28)</f>
        <v/>
      </c>
      <c r="GY28" t="str">
        <f>IF('Data Checking'!HK28="","",'Data Checking'!HK28)</f>
        <v/>
      </c>
      <c r="GZ28" t="str">
        <f>IF('Data Checking'!HL28="","",'Data Checking'!HL28)</f>
        <v/>
      </c>
      <c r="HA28" t="str">
        <f>IF('Data Checking'!HM28="","",'Data Checking'!HM28)</f>
        <v/>
      </c>
      <c r="HB28" t="str">
        <f>IF('Data Checking'!HN28="","",'Data Checking'!HN28)</f>
        <v/>
      </c>
      <c r="HC28" t="str">
        <f>IF('Data Checking'!HO28="","",'Data Checking'!HO28)</f>
        <v/>
      </c>
      <c r="HD28" t="str">
        <f>IF('Data Checking'!HP28="","",'Data Checking'!HP28)</f>
        <v/>
      </c>
      <c r="HE28" t="str">
        <f>IF('Data Checking'!HQ28="","",'Data Checking'!HQ28)</f>
        <v/>
      </c>
      <c r="HF28" t="str">
        <f>IF('Data Checking'!HR28="","",'Data Checking'!HR28)</f>
        <v/>
      </c>
      <c r="HG28" t="str">
        <f>IF('Data Checking'!HS28="","",'Data Checking'!HS28)</f>
        <v/>
      </c>
      <c r="HH28" t="str">
        <f>IF('Data Checking'!HT28="","",'Data Checking'!HT28)</f>
        <v/>
      </c>
      <c r="HI28" t="str">
        <f>IF('Data Checking'!HU28="","",'Data Checking'!HU28)</f>
        <v>non</v>
      </c>
      <c r="HJ28" t="str">
        <f>IF('Data Checking'!HV28="","",'Data Checking'!HV28)</f>
        <v/>
      </c>
      <c r="HK28" t="str">
        <f>IF('Data Checking'!HW28="","",'Data Checking'!HW28)</f>
        <v/>
      </c>
      <c r="HL28" t="str">
        <f>IF('Data Checking'!HX28="","",'Data Checking'!HX28)</f>
        <v/>
      </c>
      <c r="HM28" t="str">
        <f>IF('Data Checking'!HY28="","",'Data Checking'!HY28)</f>
        <v/>
      </c>
      <c r="HN28" t="str">
        <f>IF('Data Checking'!HZ28="","",'Data Checking'!HZ28)</f>
        <v/>
      </c>
      <c r="HO28" t="str">
        <f>IF('Data Checking'!IA28="","",'Data Checking'!IA28)</f>
        <v/>
      </c>
      <c r="HP28" t="str">
        <f>IF('Data Checking'!IB28="","",'Data Checking'!IB28)</f>
        <v/>
      </c>
      <c r="HQ28" t="str">
        <f>IF('Data Checking'!IC28="","",'Data Checking'!IC28)</f>
        <v/>
      </c>
      <c r="HR28" t="str">
        <f>IF('Data Checking'!ID28="","",'Data Checking'!ID28)</f>
        <v/>
      </c>
      <c r="HS28" t="str">
        <f>IF('Data Checking'!IE28="","",'Data Checking'!IE28)</f>
        <v/>
      </c>
      <c r="HT28" t="str">
        <f>IF('Data Checking'!IF28="","",'Data Checking'!IF28)</f>
        <v/>
      </c>
      <c r="HU28" t="str">
        <f>IF('Data Checking'!IG28="","",'Data Checking'!IG28)</f>
        <v/>
      </c>
      <c r="HV28" t="str">
        <f>IF('Data Checking'!IH28="","",'Data Checking'!IH28)</f>
        <v>oui</v>
      </c>
      <c r="HW28" t="str">
        <f>IF('Data Checking'!II28="","",'Data Checking'!II28)</f>
        <v/>
      </c>
      <c r="HX28" t="str">
        <f>IF('Data Checking'!IJ28="","",'Data Checking'!IJ28)</f>
        <v/>
      </c>
      <c r="HY28" t="str">
        <f>IF('Data Checking'!IK28="","",'Data Checking'!IK28)</f>
        <v/>
      </c>
      <c r="HZ28" t="str">
        <f>IF('Data Checking'!IL28="","",'Data Checking'!IL28)</f>
        <v/>
      </c>
      <c r="IA28" t="str">
        <f>IF('Data Checking'!IM28="","",'Data Checking'!IM28)</f>
        <v/>
      </c>
      <c r="IB28" t="str">
        <f>IF('Data Checking'!IN28="","",'Data Checking'!IN28)</f>
        <v/>
      </c>
      <c r="IC28" t="str">
        <f>IF('Data Checking'!IO28="","",'Data Checking'!IO28)</f>
        <v/>
      </c>
      <c r="ID28" t="str">
        <f>IF('Data Checking'!IP28="","",'Data Checking'!IP28)</f>
        <v/>
      </c>
      <c r="IE28" t="str">
        <f>IF('Data Checking'!IQ28="","",'Data Checking'!IQ28)</f>
        <v/>
      </c>
      <c r="IF28" t="str">
        <f>IF('Data Checking'!IR28="","",'Data Checking'!IR28)</f>
        <v/>
      </c>
      <c r="IG28" t="str">
        <f>IF('Data Checking'!IS28="","",'Data Checking'!IS28)</f>
        <v/>
      </c>
      <c r="IH28" t="str">
        <f>IF('Data Checking'!IT28="","",'Data Checking'!IT28)</f>
        <v/>
      </c>
      <c r="II28" t="str">
        <f>IF('Data Checking'!IU28="","",'Data Checking'!IU28)</f>
        <v/>
      </c>
      <c r="IJ28" t="str">
        <f>IF('Data Checking'!IV28="","",'Data Checking'!IV28)</f>
        <v/>
      </c>
      <c r="IK28" t="str">
        <f>IF('Data Checking'!IW28="","",'Data Checking'!IW28)</f>
        <v/>
      </c>
      <c r="IL28" t="str">
        <f>IF('Data Checking'!IX28="","",'Data Checking'!IX28)</f>
        <v/>
      </c>
      <c r="IM28" t="str">
        <f>IF('Data Checking'!IY28="","",'Data Checking'!IY28)</f>
        <v/>
      </c>
      <c r="IN28" t="str">
        <f>IF('Data Checking'!IZ28="","",'Data Checking'!IZ28)</f>
        <v/>
      </c>
      <c r="IO28" t="str">
        <f>IF('Data Checking'!JA28="","",'Data Checking'!JA28)</f>
        <v/>
      </c>
      <c r="IP28" t="str">
        <f>IF('Data Checking'!JB28="","",'Data Checking'!JB28)</f>
        <v/>
      </c>
      <c r="IQ28" t="str">
        <f>IF('Data Checking'!JC28="","",'Data Checking'!JC28)</f>
        <v/>
      </c>
      <c r="IR28" t="str">
        <f>IF('Data Checking'!JD28="","",'Data Checking'!JD28)</f>
        <v/>
      </c>
      <c r="IS28" t="str">
        <f>IF('Data Checking'!JE28="","",'Data Checking'!JE28)</f>
        <v/>
      </c>
      <c r="IT28" t="str">
        <f>IF('Data Checking'!JF28="","",'Data Checking'!JF28)</f>
        <v/>
      </c>
      <c r="IU28" t="str">
        <f>IF('Data Checking'!JG28="","",'Data Checking'!JG28)</f>
        <v/>
      </c>
      <c r="IV28" t="str">
        <f>IF('Data Checking'!JH28="","",'Data Checking'!JH28)</f>
        <v/>
      </c>
      <c r="IW28" t="str">
        <f>IF('Data Checking'!JI28="","",'Data Checking'!JI28)</f>
        <v/>
      </c>
      <c r="IX28" t="str">
        <f>IF('Data Checking'!JJ28="","",'Data Checking'!JJ28)</f>
        <v/>
      </c>
      <c r="IY28" t="str">
        <f>IF('Data Checking'!JK28="","",'Data Checking'!JK28)</f>
        <v/>
      </c>
      <c r="IZ28" t="str">
        <f>IF('Data Checking'!JL28="","",'Data Checking'!JL28)</f>
        <v/>
      </c>
      <c r="JA28" t="str">
        <f>IF('Data Checking'!JM28="","",'Data Checking'!JM28)</f>
        <v/>
      </c>
      <c r="JB28" t="str">
        <f>IF('Data Checking'!JN28="","",'Data Checking'!JN28)</f>
        <v/>
      </c>
      <c r="JC28" t="str">
        <f>IF('Data Checking'!JO28="","",'Data Checking'!JO28)</f>
        <v/>
      </c>
      <c r="JD28" t="str">
        <f>IF('Data Checking'!JP28="","",'Data Checking'!JP28)</f>
        <v/>
      </c>
      <c r="JE28" t="str">
        <f>IF('Data Checking'!JQ28="","",'Data Checking'!JQ28)</f>
        <v/>
      </c>
      <c r="JF28" t="str">
        <f>IF('Data Checking'!JR28="","",'Data Checking'!JR28)</f>
        <v/>
      </c>
      <c r="JG28" t="str">
        <f>IF('Data Checking'!JS28="","",'Data Checking'!JS28)</f>
        <v/>
      </c>
      <c r="JH28" t="str">
        <f>IF('Data Checking'!JT28="","",'Data Checking'!JT28)</f>
        <v/>
      </c>
      <c r="JI28" t="str">
        <f>IF('Data Checking'!JU28="","",'Data Checking'!JU28)</f>
        <v/>
      </c>
      <c r="JJ28" t="str">
        <f>IF('Data Checking'!JV28="","",'Data Checking'!JV28)</f>
        <v/>
      </c>
      <c r="JK28" t="str">
        <f>IF('Data Checking'!JW28="","",'Data Checking'!JW28)</f>
        <v/>
      </c>
      <c r="JL28" t="str">
        <f>IF('Data Checking'!JX28="","",'Data Checking'!JX28)</f>
        <v/>
      </c>
      <c r="JM28" t="str">
        <f>IF('Data Checking'!JY28="","",'Data Checking'!JY28)</f>
        <v/>
      </c>
      <c r="JN28" t="str">
        <f>IF('Data Checking'!JZ28="","",'Data Checking'!JZ28)</f>
        <v/>
      </c>
      <c r="JO28" t="str">
        <f>IF('Data Checking'!KA28="","",'Data Checking'!KA28)</f>
        <v/>
      </c>
      <c r="JP28" t="str">
        <f>IF('Data Checking'!KB28="","",'Data Checking'!KB28)</f>
        <v/>
      </c>
      <c r="JQ28" t="str">
        <f>IF('Data Checking'!KC28="","",'Data Checking'!KC28)</f>
        <v/>
      </c>
      <c r="JR28" t="str">
        <f>IF('Data Checking'!KD28="","",'Data Checking'!KD28)</f>
        <v/>
      </c>
      <c r="JS28" t="str">
        <f>IF('Data Checking'!KE28="","",'Data Checking'!KE28)</f>
        <v/>
      </c>
      <c r="JT28" t="str">
        <f>IF('Data Checking'!KF28="","",'Data Checking'!KF28)</f>
        <v/>
      </c>
      <c r="JU28" t="str">
        <f>IF('Data Checking'!KG28="","",'Data Checking'!KG28)</f>
        <v/>
      </c>
      <c r="JV28" t="str">
        <f>IF('Data Checking'!KH28="","",'Data Checking'!KH28)</f>
        <v/>
      </c>
      <c r="JW28" t="str">
        <f>IF('Data Checking'!KI28="","",'Data Checking'!KI28)</f>
        <v/>
      </c>
      <c r="JX28" t="str">
        <f>IF('Data Checking'!KJ28="","",'Data Checking'!KJ28)</f>
        <v/>
      </c>
      <c r="JY28" t="str">
        <f>IF('Data Checking'!KK28="","",'Data Checking'!KK28)</f>
        <v/>
      </c>
      <c r="JZ28" t="str">
        <f>IF('Data Checking'!KL28="","",'Data Checking'!KL28)</f>
        <v/>
      </c>
      <c r="KA28" t="str">
        <f>IF('Data Checking'!KM28="","",'Data Checking'!KM28)</f>
        <v/>
      </c>
      <c r="KB28" t="str">
        <f>IF('Data Checking'!KN28="","",'Data Checking'!KN28)</f>
        <v/>
      </c>
      <c r="KC28" t="str">
        <f>IF('Data Checking'!KO28="","",'Data Checking'!KO28)</f>
        <v/>
      </c>
      <c r="KD28" t="str">
        <f>IF('Data Checking'!KP28="","",'Data Checking'!KP28)</f>
        <v/>
      </c>
      <c r="KE28" t="str">
        <f>IF('Data Checking'!KQ28="","",'Data Checking'!KQ28)</f>
        <v/>
      </c>
      <c r="KF28" t="str">
        <f>IF('Data Checking'!KR28="","",'Data Checking'!KR28)</f>
        <v/>
      </c>
      <c r="KG28" t="str">
        <f>IF('Data Checking'!KS28="","",'Data Checking'!KS28)</f>
        <v/>
      </c>
      <c r="KH28" t="str">
        <f>IF('Data Checking'!KT28="","",'Data Checking'!KT28)</f>
        <v/>
      </c>
      <c r="KI28" t="str">
        <f>IF('Data Checking'!KU28="","",'Data Checking'!KU28)</f>
        <v/>
      </c>
      <c r="KJ28" t="str">
        <f>IF('Data Checking'!KV28="","",'Data Checking'!KV28)</f>
        <v/>
      </c>
      <c r="KK28" t="str">
        <f>IF('Data Checking'!KW28="","",'Data Checking'!KW28)</f>
        <v/>
      </c>
      <c r="KL28" t="str">
        <f>IF('Data Checking'!KX28="","",'Data Checking'!KX28)</f>
        <v/>
      </c>
      <c r="KM28" t="str">
        <f>IF('Data Checking'!KY28="","",'Data Checking'!KY28)</f>
        <v/>
      </c>
      <c r="KN28" t="str">
        <f>IF('Data Checking'!KZ28="","",'Data Checking'!KZ28)</f>
        <v/>
      </c>
      <c r="KO28" t="str">
        <f>IF('Data Checking'!LA28="","",'Data Checking'!LA28)</f>
        <v/>
      </c>
      <c r="KP28" t="str">
        <f>IF('Data Checking'!LB28="","",'Data Checking'!LB28)</f>
        <v/>
      </c>
      <c r="KQ28" t="str">
        <f>IF('Data Checking'!LC28="","",'Data Checking'!LC28)</f>
        <v/>
      </c>
      <c r="KR28" t="str">
        <f>IF('Data Checking'!LD28="","",'Data Checking'!LD28)</f>
        <v/>
      </c>
      <c r="KS28" t="str">
        <f>IF('Data Checking'!LE28="","",'Data Checking'!LE28)</f>
        <v/>
      </c>
      <c r="KT28" t="str">
        <f>IF('Data Checking'!LF28="","",'Data Checking'!LF28)</f>
        <v/>
      </c>
      <c r="KU28" t="str">
        <f>IF('Data Checking'!LG28="","",'Data Checking'!LG28)</f>
        <v/>
      </c>
      <c r="KV28" t="str">
        <f>IF('Data Checking'!LH28="","",'Data Checking'!LH28)</f>
        <v/>
      </c>
      <c r="KW28" t="str">
        <f>IF('Data Checking'!LI28="","",'Data Checking'!LI28)</f>
        <v/>
      </c>
      <c r="KX28" t="str">
        <f>IF('Data Checking'!LJ28="","",'Data Checking'!LJ28)</f>
        <v/>
      </c>
      <c r="KY28" t="str">
        <f>IF('Data Checking'!LK28="","",'Data Checking'!LK28)</f>
        <v/>
      </c>
      <c r="KZ28" t="str">
        <f>IF('Data Checking'!LL28="","",'Data Checking'!LL28)</f>
        <v/>
      </c>
      <c r="LA28" t="str">
        <f>IF('Data Checking'!LM28="","",'Data Checking'!LM28)</f>
        <v/>
      </c>
      <c r="LB28" t="str">
        <f>IF('Data Checking'!LN28="","",'Data Checking'!LN28)</f>
        <v/>
      </c>
      <c r="LC28" t="str">
        <f>IF('Data Checking'!LO28="","",'Data Checking'!LO28)</f>
        <v/>
      </c>
      <c r="LD28" t="str">
        <f>IF('Data Checking'!LP28="","",'Data Checking'!LP28)</f>
        <v/>
      </c>
      <c r="LE28" t="str">
        <f>IF('Data Checking'!LQ28="","",'Data Checking'!LQ28)</f>
        <v/>
      </c>
      <c r="LF28" t="str">
        <f>IF('Data Checking'!LR28="","",'Data Checking'!LR28)</f>
        <v/>
      </c>
      <c r="LG28" t="str">
        <f>IF('Data Checking'!LS28="","",'Data Checking'!LS28)</f>
        <v/>
      </c>
      <c r="LH28" t="str">
        <f>IF('Data Checking'!LT28="","",'Data Checking'!LT28)</f>
        <v/>
      </c>
      <c r="LI28" t="str">
        <f>IF('Data Checking'!LU28="","",'Data Checking'!LU28)</f>
        <v/>
      </c>
      <c r="LJ28" t="str">
        <f>IF('Data Checking'!LV28="","",'Data Checking'!LV28)</f>
        <v/>
      </c>
      <c r="LK28" t="str">
        <f>IF('Data Checking'!LW28="","",'Data Checking'!LW28)</f>
        <v/>
      </c>
      <c r="LL28" t="str">
        <f>IF('Data Checking'!LX28="","",'Data Checking'!LX28)</f>
        <v/>
      </c>
      <c r="LM28" t="str">
        <f>IF('Data Checking'!LY28="","",'Data Checking'!LY28)</f>
        <v/>
      </c>
      <c r="LN28" t="str">
        <f>IF('Data Checking'!LZ28="","",'Data Checking'!LZ28)</f>
        <v/>
      </c>
      <c r="LO28" t="str">
        <f>IF('Data Checking'!MA28="","",'Data Checking'!MA28)</f>
        <v/>
      </c>
      <c r="LP28" t="str">
        <f>IF('Data Checking'!MB28="","",'Data Checking'!MB28)</f>
        <v>oui</v>
      </c>
      <c r="LQ28" t="str">
        <f>IF('Data Checking'!MC28="","",'Data Checking'!MC28)</f>
        <v/>
      </c>
      <c r="LR28" t="str">
        <f>IF('Data Checking'!MD28="","",'Data Checking'!MD28)</f>
        <v>Pas de problèmes  majeurs liés à la sécurité</v>
      </c>
      <c r="LS28">
        <f>IF('Data Checking'!ME28="","",'Data Checking'!ME28)</f>
        <v>171960792</v>
      </c>
      <c r="LT28" t="str">
        <f>IF('Data Checking'!MF28="","",'Data Checking'!MF28)</f>
        <v>59f44817-3708-4968-9688-e9c008862d84</v>
      </c>
      <c r="LU28" t="str">
        <f>IF('Data Checking'!MG28="","",'Data Checking'!MG28)</f>
        <v>2021-04-16T11:53:01</v>
      </c>
      <c r="LV28" t="str">
        <f>IF('Data Checking'!MH28="","",'Data Checking'!MH28)</f>
        <v/>
      </c>
      <c r="LW28" t="str">
        <f>IF('Data Checking'!MI28="","",'Data Checking'!MI28)</f>
        <v>[]</v>
      </c>
      <c r="LX28" t="str">
        <f>IF('Data Checking'!MJ28="","",'Data Checking'!MJ28)</f>
        <v>submitted_via_web</v>
      </c>
      <c r="LY28" t="str">
        <f>IF('Data Checking'!MK28="","",'Data Checking'!MK28)</f>
        <v>reach_niger</v>
      </c>
      <c r="LZ28" t="str">
        <f>IF('Data Checking'!ML28="","",'Data Checking'!ML28)</f>
        <v/>
      </c>
      <c r="MA28">
        <f>IF('Data Checking'!MM28="","",'Data Checking'!MM28)</f>
        <v>69</v>
      </c>
    </row>
    <row r="29" spans="1:339" x14ac:dyDescent="0.3">
      <c r="A29" t="str">
        <f>IF('Data Checking'!D29="","",'Data Checking'!D29)</f>
        <v>2021-04-16T09:18:49.356+01:00</v>
      </c>
      <c r="B29" t="str">
        <f>IF('Data Checking'!E29="","",'Data Checking'!E29)</f>
        <v>2021-04-16T10:40:20.601+01:00</v>
      </c>
      <c r="C29" t="str">
        <f>IF('Data Checking'!M29="","",'Data Checking'!M29)</f>
        <v>2021-04-16</v>
      </c>
      <c r="D29" t="str">
        <f>IF('Data Checking'!N29="","",'Data Checking'!N29)</f>
        <v/>
      </c>
      <c r="E29" t="str">
        <f>IF('Data Checking'!O29="","",'Data Checking'!O29)</f>
        <v/>
      </c>
      <c r="F29" t="str">
        <f>IF('Data Checking'!R29="","",'Data Checking'!R29)</f>
        <v>Homme</v>
      </c>
      <c r="G29" t="str">
        <f>IF('Data Checking'!S29="","",'Data Checking'!S29)</f>
        <v>ayerou</v>
      </c>
      <c r="H29" t="str">
        <f>IF('Data Checking'!T29="","",'Data Checking'!T29)</f>
        <v>ayerou</v>
      </c>
      <c r="I29" t="str">
        <f>IF('Data Checking'!U29="","",'Data Checking'!U29)</f>
        <v>ayarou_pdi</v>
      </c>
      <c r="J29" t="str">
        <f>IF('Data Checking'!V29="","",'Data Checking'!V29)</f>
        <v/>
      </c>
      <c r="K29" t="str">
        <f>IF('Data Checking'!W29="","",'Data Checking'!W29)</f>
        <v/>
      </c>
      <c r="L29" t="str">
        <f>IF('Data Checking'!X29="","",'Data Checking'!X29)</f>
        <v/>
      </c>
      <c r="M29" t="str">
        <f>IF('Data Checking'!Y29="","",'Data Checking'!Y29)</f>
        <v/>
      </c>
      <c r="N29" t="str">
        <f>IF('Data Checking'!Z29="","",'Data Checking'!Z29)</f>
        <v/>
      </c>
      <c r="O29" t="str">
        <f>IF('Data Checking'!AA29="","",'Data Checking'!AA29)</f>
        <v/>
      </c>
      <c r="P29" t="str">
        <f>IF('Data Checking'!AB29="","",'Data Checking'!AB29)</f>
        <v/>
      </c>
      <c r="Q29" t="str">
        <f>IF('Data Checking'!AC29="","",'Data Checking'!AC29)</f>
        <v/>
      </c>
      <c r="R29" t="str">
        <f>IF('Data Checking'!AD29="","",'Data Checking'!AD29)</f>
        <v>Homme</v>
      </c>
      <c r="S29" t="str">
        <f>IF('Data Checking'!AE29="","",'Data Checking'!AE29)</f>
        <v>54</v>
      </c>
      <c r="T29" t="str">
        <f>IF('Data Checking'!AF29="","",'Data Checking'!AF29)</f>
        <v>deplace_interne</v>
      </c>
      <c r="U29" t="str">
        <f>IF('Data Checking'!AG29="","",'Data Checking'!AG29)</f>
        <v/>
      </c>
      <c r="V29" t="str">
        <f>IF('Data Checking'!AH29="","",'Data Checking'!AH29)</f>
        <v/>
      </c>
      <c r="W29" t="str">
        <f>IF('Data Checking'!AI29="","",'Data Checking'!AI29)</f>
        <v/>
      </c>
      <c r="X29" t="str">
        <f>IF('Data Checking'!AJ29="","",'Data Checking'!AJ29)</f>
        <v/>
      </c>
      <c r="Y29" t="str">
        <f>IF('Data Checking'!AK29="","",'Data Checking'!AK29)</f>
        <v/>
      </c>
      <c r="Z29" t="str">
        <f>IF('Data Checking'!AL29="","",'Data Checking'!AL29)</f>
        <v>niger</v>
      </c>
      <c r="AA29" t="str">
        <f>IF('Data Checking'!AM29="","",'Data Checking'!AM29)</f>
        <v>tillaberi</v>
      </c>
      <c r="AB29" t="str">
        <f>IF('Data Checking'!AN29="","",'Data Checking'!AN29)</f>
        <v>ayerou</v>
      </c>
      <c r="AC29" t="str">
        <f>IF('Data Checking'!AO29="","",'Data Checking'!AO29)</f>
        <v/>
      </c>
      <c r="AD29" t="str">
        <f>IF('Data Checking'!AP29="","",'Data Checking'!AP29)</f>
        <v/>
      </c>
      <c r="AE29" t="str">
        <f>IF('Data Checking'!AQ29="","",'Data Checking'!AQ29)</f>
        <v/>
      </c>
      <c r="AF29" t="str">
        <f>IF('Data Checking'!AR29="","",'Data Checking'!AR29)</f>
        <v/>
      </c>
      <c r="AG29" t="str">
        <f>IF('Data Checking'!AS29="","",'Data Checking'!AS29)</f>
        <v>non</v>
      </c>
      <c r="AH29" t="str">
        <f>IF('Data Checking'!AT29="","",'Data Checking'!AT29)</f>
        <v/>
      </c>
      <c r="AI29" t="str">
        <f>IF('Data Checking'!AU29="","",'Data Checking'!AU29)</f>
        <v/>
      </c>
      <c r="AJ29" t="str">
        <f>IF('Data Checking'!AV29="","",'Data Checking'!AV29)</f>
        <v/>
      </c>
      <c r="AK29" t="str">
        <f>IF('Data Checking'!AW29="","",'Data Checking'!AW29)</f>
        <v/>
      </c>
      <c r="AL29" t="str">
        <f>IF('Data Checking'!AX29="","",'Data Checking'!AX29)</f>
        <v/>
      </c>
      <c r="AM29" t="str">
        <f>IF('Data Checking'!AY29="","",'Data Checking'!AY29)</f>
        <v/>
      </c>
      <c r="AN29" t="str">
        <f>IF('Data Checking'!AZ29="","",'Data Checking'!AZ29)</f>
        <v/>
      </c>
      <c r="AO29" t="str">
        <f>IF('Data Checking'!BA29="","",'Data Checking'!BA29)</f>
        <v/>
      </c>
      <c r="AP29" t="str">
        <f>IF('Data Checking'!BB29="","",'Data Checking'!BB29)</f>
        <v/>
      </c>
      <c r="AQ29" t="str">
        <f>IF('Data Checking'!BC29="","",'Data Checking'!BC29)</f>
        <v/>
      </c>
      <c r="AR29" t="str">
        <f>IF('Data Checking'!BD29="","",'Data Checking'!BD29)</f>
        <v/>
      </c>
      <c r="AS29" t="str">
        <f>IF('Data Checking'!BE29="","",'Data Checking'!BE29)</f>
        <v/>
      </c>
      <c r="AT29" t="str">
        <f>IF('Data Checking'!BF29="","",'Data Checking'!BF29)</f>
        <v/>
      </c>
      <c r="AU29" t="str">
        <f>IF('Data Checking'!BG29="","",'Data Checking'!BG29)</f>
        <v/>
      </c>
      <c r="AV29" t="str">
        <f>IF('Data Checking'!BH29="","",'Data Checking'!BH29)</f>
        <v/>
      </c>
      <c r="AW29" t="str">
        <f>IF('Data Checking'!BI29="","",'Data Checking'!BI29)</f>
        <v/>
      </c>
      <c r="AX29" t="str">
        <f>IF('Data Checking'!BJ29="","",'Data Checking'!BJ29)</f>
        <v/>
      </c>
      <c r="AY29" t="str">
        <f>IF('Data Checking'!BK29="","",'Data Checking'!BK29)</f>
        <v/>
      </c>
      <c r="AZ29" t="str">
        <f>IF('Data Checking'!BL29="","",'Data Checking'!BL29)</f>
        <v/>
      </c>
      <c r="BA29" t="str">
        <f>IF('Data Checking'!BM29="","",'Data Checking'!BM29)</f>
        <v/>
      </c>
      <c r="BB29" t="str">
        <f>IF('Data Checking'!BN29="","",'Data Checking'!BN29)</f>
        <v/>
      </c>
      <c r="BC29" t="str">
        <f>IF('Data Checking'!BO29="","",'Data Checking'!BO29)</f>
        <v/>
      </c>
      <c r="BD29" t="str">
        <f>IF('Data Checking'!BP29="","",'Data Checking'!BP29)</f>
        <v/>
      </c>
      <c r="BE29" t="str">
        <f>IF('Data Checking'!BQ29="","",'Data Checking'!BQ29)</f>
        <v/>
      </c>
      <c r="BF29" t="str">
        <f>IF('Data Checking'!BR29="","",'Data Checking'!BR29)</f>
        <v/>
      </c>
      <c r="BG29" t="str">
        <f>IF('Data Checking'!BS29="","",'Data Checking'!BS29)</f>
        <v/>
      </c>
      <c r="BH29" t="str">
        <f>IF('Data Checking'!BT29="","",'Data Checking'!BT29)</f>
        <v/>
      </c>
      <c r="BI29" t="str">
        <f>IF('Data Checking'!BU29="","",'Data Checking'!BU29)</f>
        <v/>
      </c>
      <c r="BJ29" t="str">
        <f>IF('Data Checking'!BV29="","",'Data Checking'!BV29)</f>
        <v/>
      </c>
      <c r="BK29" t="str">
        <f>IF('Data Checking'!BW29="","",'Data Checking'!BW29)</f>
        <v/>
      </c>
      <c r="BL29" t="str">
        <f>IF('Data Checking'!BX29="","",'Data Checking'!BX29)</f>
        <v/>
      </c>
      <c r="BM29" t="str">
        <f>IF('Data Checking'!BY29="","",'Data Checking'!BY29)</f>
        <v/>
      </c>
      <c r="BN29" t="str">
        <f>IF('Data Checking'!BZ29="","",'Data Checking'!BZ29)</f>
        <v/>
      </c>
      <c r="BO29" t="str">
        <f>IF('Data Checking'!CA29="","",'Data Checking'!CA29)</f>
        <v/>
      </c>
      <c r="BP29" t="str">
        <f>IF('Data Checking'!CB29="","",'Data Checking'!CB29)</f>
        <v/>
      </c>
      <c r="BQ29" t="str">
        <f>IF('Data Checking'!CC29="","",'Data Checking'!CC29)</f>
        <v>oui</v>
      </c>
      <c r="BR29" t="str">
        <f>IF('Data Checking'!CD29="","",'Data Checking'!CD29)</f>
        <v>viol</v>
      </c>
      <c r="BS29" t="str">
        <f>IF('Data Checking'!CE29="","",'Data Checking'!CE29)</f>
        <v>1</v>
      </c>
      <c r="BT29" t="str">
        <f>IF('Data Checking'!CF29="","",'Data Checking'!CF29)</f>
        <v>0</v>
      </c>
      <c r="BU29" t="str">
        <f>IF('Data Checking'!CG29="","",'Data Checking'!CG29)</f>
        <v>0</v>
      </c>
      <c r="BV29" t="str">
        <f>IF('Data Checking'!CH29="","",'Data Checking'!CH29)</f>
        <v>0</v>
      </c>
      <c r="BW29" t="str">
        <f>IF('Data Checking'!CI29="","",'Data Checking'!CI29)</f>
        <v>0</v>
      </c>
      <c r="BX29" t="str">
        <f>IF('Data Checking'!CJ29="","",'Data Checking'!CJ29)</f>
        <v>0</v>
      </c>
      <c r="BY29" t="str">
        <f>IF('Data Checking'!CK29="","",'Data Checking'!CK29)</f>
        <v>0</v>
      </c>
      <c r="BZ29" t="str">
        <f>IF('Data Checking'!CL29="","",'Data Checking'!CL29)</f>
        <v>0</v>
      </c>
      <c r="CA29" t="str">
        <f>IF('Data Checking'!CM29="","",'Data Checking'!CM29)</f>
        <v>0</v>
      </c>
      <c r="CB29" t="str">
        <f>IF('Data Checking'!CN29="","",'Data Checking'!CN29)</f>
        <v>0</v>
      </c>
      <c r="CC29" t="str">
        <f>IF('Data Checking'!CO29="","",'Data Checking'!CO29)</f>
        <v>0</v>
      </c>
      <c r="CD29" t="str">
        <f>IF('Data Checking'!CP29="","",'Data Checking'!CP29)</f>
        <v>0</v>
      </c>
      <c r="CE29" t="str">
        <f>IF('Data Checking'!CQ29="","",'Data Checking'!CQ29)</f>
        <v>0</v>
      </c>
      <c r="CF29" t="str">
        <f>IF('Data Checking'!CR29="","",'Data Checking'!CR29)</f>
        <v>0</v>
      </c>
      <c r="CG29" t="str">
        <f>IF('Data Checking'!CS29="","",'Data Checking'!CS29)</f>
        <v>0</v>
      </c>
      <c r="CH29" t="str">
        <f>IF('Data Checking'!CT29="","",'Data Checking'!CT29)</f>
        <v/>
      </c>
      <c r="CI29" t="str">
        <f>IF('Data Checking'!CU29="","",'Data Checking'!CU29)</f>
        <v>Femmes Filles</v>
      </c>
      <c r="CJ29" t="str">
        <f>IF('Data Checking'!CV29="","",'Data Checking'!CV29)</f>
        <v>0</v>
      </c>
      <c r="CK29" t="str">
        <f>IF('Data Checking'!CW29="","",'Data Checking'!CW29)</f>
        <v>0</v>
      </c>
      <c r="CL29" t="str">
        <f>IF('Data Checking'!CX29="","",'Data Checking'!CX29)</f>
        <v>1</v>
      </c>
      <c r="CM29" t="str">
        <f>IF('Data Checking'!CY29="","",'Data Checking'!CY29)</f>
        <v>0</v>
      </c>
      <c r="CN29" t="str">
        <f>IF('Data Checking'!CZ29="","",'Data Checking'!CZ29)</f>
        <v>1</v>
      </c>
      <c r="CO29" t="str">
        <f>IF('Data Checking'!DA29="","",'Data Checking'!DA29)</f>
        <v>0</v>
      </c>
      <c r="CP29" t="str">
        <f>IF('Data Checking'!DB29="","",'Data Checking'!DB29)</f>
        <v>0</v>
      </c>
      <c r="CQ29" t="str">
        <f>IF('Data Checking'!DC29="","",'Data Checking'!DC29)</f>
        <v>0</v>
      </c>
      <c r="CR29" t="str">
        <f>IF('Data Checking'!DD29="","",'Data Checking'!DD29)</f>
        <v>0</v>
      </c>
      <c r="CS29" t="str">
        <f>IF('Data Checking'!DE29="","",'Data Checking'!DE29)</f>
        <v>0</v>
      </c>
      <c r="CT29" t="str">
        <f>IF('Data Checking'!DF29="","",'Data Checking'!DF29)</f>
        <v>0</v>
      </c>
      <c r="CU29" t="str">
        <f>IF('Data Checking'!DG29="","",'Data Checking'!DG29)</f>
        <v>0</v>
      </c>
      <c r="CV29" t="str">
        <f>IF('Data Checking'!DH29="","",'Data Checking'!DH29)</f>
        <v>0</v>
      </c>
      <c r="CW29" t="str">
        <f>IF('Data Checking'!DI29="","",'Data Checking'!DI29)</f>
        <v>0</v>
      </c>
      <c r="CX29" t="str">
        <f>IF('Data Checking'!DJ29="","",'Data Checking'!DJ29)</f>
        <v/>
      </c>
      <c r="CY29" t="str">
        <f>IF('Data Checking'!DK29="","",'Data Checking'!DK29)</f>
        <v>1</v>
      </c>
      <c r="CZ29" t="str">
        <f>IF('Data Checking'!DL29="","",'Data Checking'!DL29)</f>
        <v>stable</v>
      </c>
      <c r="DA29" t="str">
        <f>IF('Data Checking'!DM29="","",'Data Checking'!DM29)</f>
        <v/>
      </c>
      <c r="DB29" t="str">
        <f>IF('Data Checking'!DN29="","",'Data Checking'!DN29)</f>
        <v/>
      </c>
      <c r="DC29" t="str">
        <f>IF('Data Checking'!DO29="","",'Data Checking'!DO29)</f>
        <v/>
      </c>
      <c r="DD29" t="str">
        <f>IF('Data Checking'!DP29="","",'Data Checking'!DP29)</f>
        <v/>
      </c>
      <c r="DE29" t="str">
        <f>IF('Data Checking'!DQ29="","",'Data Checking'!DQ29)</f>
        <v/>
      </c>
      <c r="DF29" t="str">
        <f>IF('Data Checking'!DR29="","",'Data Checking'!DR29)</f>
        <v/>
      </c>
      <c r="DG29" t="str">
        <f>IF('Data Checking'!DS29="","",'Data Checking'!DS29)</f>
        <v/>
      </c>
      <c r="DH29" t="str">
        <f>IF('Data Checking'!DT29="","",'Data Checking'!DT29)</f>
        <v/>
      </c>
      <c r="DI29" t="str">
        <f>IF('Data Checking'!DU29="","",'Data Checking'!DU29)</f>
        <v/>
      </c>
      <c r="DJ29" t="str">
        <f>IF('Data Checking'!DV29="","",'Data Checking'!DV29)</f>
        <v/>
      </c>
      <c r="DK29" t="str">
        <f>IF('Data Checking'!DW29="","",'Data Checking'!DW29)</f>
        <v/>
      </c>
      <c r="DL29" t="str">
        <f>IF('Data Checking'!DX29="","",'Data Checking'!DX29)</f>
        <v/>
      </c>
      <c r="DM29" t="str">
        <f>IF('Data Checking'!DY29="","",'Data Checking'!DY29)</f>
        <v/>
      </c>
      <c r="DN29" t="str">
        <f>IF('Data Checking'!DZ29="","",'Data Checking'!DZ29)</f>
        <v/>
      </c>
      <c r="DO29" t="str">
        <f>IF('Data Checking'!EA29="","",'Data Checking'!EA29)</f>
        <v/>
      </c>
      <c r="DP29" t="str">
        <f>IF('Data Checking'!EB29="","",'Data Checking'!EB29)</f>
        <v/>
      </c>
      <c r="DQ29" t="str">
        <f>IF('Data Checking'!EC29="","",'Data Checking'!EC29)</f>
        <v/>
      </c>
      <c r="DR29" t="str">
        <f>IF('Data Checking'!ED29="","",'Data Checking'!ED29)</f>
        <v/>
      </c>
      <c r="DS29" t="str">
        <f>IF('Data Checking'!EE29="","",'Data Checking'!EE29)</f>
        <v/>
      </c>
      <c r="DT29" t="str">
        <f>IF('Data Checking'!EF29="","",'Data Checking'!EF29)</f>
        <v/>
      </c>
      <c r="DU29" t="str">
        <f>IF('Data Checking'!EG29="","",'Data Checking'!EG29)</f>
        <v/>
      </c>
      <c r="DV29" t="str">
        <f>IF('Data Checking'!EH29="","",'Data Checking'!EH29)</f>
        <v/>
      </c>
      <c r="DW29" t="str">
        <f>IF('Data Checking'!EI29="","",'Data Checking'!EI29)</f>
        <v/>
      </c>
      <c r="DX29" t="str">
        <f>IF('Data Checking'!EJ29="","",'Data Checking'!EJ29)</f>
        <v/>
      </c>
      <c r="DY29" t="str">
        <f>IF('Data Checking'!EK29="","",'Data Checking'!EK29)</f>
        <v/>
      </c>
      <c r="DZ29" t="str">
        <f>IF('Data Checking'!EL29="","",'Data Checking'!EL29)</f>
        <v>Soutien_chef_village</v>
      </c>
      <c r="EA29" t="str">
        <f>IF('Data Checking'!EM29="","",'Data Checking'!EM29)</f>
        <v>0</v>
      </c>
      <c r="EB29" t="str">
        <f>IF('Data Checking'!EN29="","",'Data Checking'!EN29)</f>
        <v>0</v>
      </c>
      <c r="EC29" t="str">
        <f>IF('Data Checking'!EO29="","",'Data Checking'!EO29)</f>
        <v>0</v>
      </c>
      <c r="ED29" t="str">
        <f>IF('Data Checking'!EP29="","",'Data Checking'!EP29)</f>
        <v>1</v>
      </c>
      <c r="EE29" t="str">
        <f>IF('Data Checking'!EQ29="","",'Data Checking'!EQ29)</f>
        <v>0</v>
      </c>
      <c r="EF29" t="str">
        <f>IF('Data Checking'!ER29="","",'Data Checking'!ER29)</f>
        <v>0</v>
      </c>
      <c r="EG29" t="str">
        <f>IF('Data Checking'!ES29="","",'Data Checking'!ES29)</f>
        <v>0</v>
      </c>
      <c r="EH29" t="str">
        <f>IF('Data Checking'!ET29="","",'Data Checking'!ET29)</f>
        <v>0</v>
      </c>
      <c r="EI29" t="str">
        <f>IF('Data Checking'!EU29="","",'Data Checking'!EU29)</f>
        <v>0</v>
      </c>
      <c r="EJ29" t="str">
        <f>IF('Data Checking'!EV29="","",'Data Checking'!EV29)</f>
        <v/>
      </c>
      <c r="EK29" t="str">
        <f>IF('Data Checking'!EW29="","",'Data Checking'!EW29)</f>
        <v/>
      </c>
      <c r="EL29" t="str">
        <f>IF('Data Checking'!EX29="","",'Data Checking'!EX29)</f>
        <v>Ne_sait_pas</v>
      </c>
      <c r="EM29" t="str">
        <f>IF('Data Checking'!EY29="","",'Data Checking'!EY29)</f>
        <v>0</v>
      </c>
      <c r="EN29" t="str">
        <f>IF('Data Checking'!EZ29="","",'Data Checking'!EZ29)</f>
        <v>0</v>
      </c>
      <c r="EO29" t="str">
        <f>IF('Data Checking'!FA29="","",'Data Checking'!FA29)</f>
        <v>0</v>
      </c>
      <c r="EP29" t="str">
        <f>IF('Data Checking'!FB29="","",'Data Checking'!FB29)</f>
        <v>0</v>
      </c>
      <c r="EQ29" t="str">
        <f>IF('Data Checking'!FC29="","",'Data Checking'!FC29)</f>
        <v>0</v>
      </c>
      <c r="ER29" t="str">
        <f>IF('Data Checking'!FD29="","",'Data Checking'!FD29)</f>
        <v>0</v>
      </c>
      <c r="ES29" t="str">
        <f>IF('Data Checking'!FE29="","",'Data Checking'!FE29)</f>
        <v>0</v>
      </c>
      <c r="ET29" t="str">
        <f>IF('Data Checking'!FF29="","",'Data Checking'!FF29)</f>
        <v>0</v>
      </c>
      <c r="EU29" t="str">
        <f>IF('Data Checking'!FG29="","",'Data Checking'!FG29)</f>
        <v>1</v>
      </c>
      <c r="EV29" t="str">
        <f>IF('Data Checking'!FH29="","",'Data Checking'!FH29)</f>
        <v>0</v>
      </c>
      <c r="EW29" t="str">
        <f>IF('Data Checking'!FI29="","",'Data Checking'!FI29)</f>
        <v/>
      </c>
      <c r="EX29" t="str">
        <f>IF('Data Checking'!FJ29="","",'Data Checking'!FJ29)</f>
        <v>non</v>
      </c>
      <c r="EY29" t="str">
        <f>IF('Data Checking'!FK29="","",'Data Checking'!FK29)</f>
        <v/>
      </c>
      <c r="EZ29" t="str">
        <f>IF('Data Checking'!FL29="","",'Data Checking'!FL29)</f>
        <v/>
      </c>
      <c r="FA29" t="str">
        <f>IF('Data Checking'!FM29="","",'Data Checking'!FM29)</f>
        <v/>
      </c>
      <c r="FB29" t="str">
        <f>IF('Data Checking'!FN29="","",'Data Checking'!FN29)</f>
        <v/>
      </c>
      <c r="FC29" t="str">
        <f>IF('Data Checking'!FO29="","",'Data Checking'!FO29)</f>
        <v/>
      </c>
      <c r="FD29" t="str">
        <f>IF('Data Checking'!FP29="","",'Data Checking'!FP29)</f>
        <v/>
      </c>
      <c r="FE29" t="str">
        <f>IF('Data Checking'!FQ29="","",'Data Checking'!FQ29)</f>
        <v/>
      </c>
      <c r="FF29" t="str">
        <f>IF('Data Checking'!FR29="","",'Data Checking'!FR29)</f>
        <v/>
      </c>
      <c r="FG29" t="str">
        <f>IF('Data Checking'!FS29="","",'Data Checking'!FS29)</f>
        <v/>
      </c>
      <c r="FH29" t="str">
        <f>IF('Data Checking'!FT29="","",'Data Checking'!FT29)</f>
        <v/>
      </c>
      <c r="FI29" t="str">
        <f>IF('Data Checking'!FU29="","",'Data Checking'!FU29)</f>
        <v/>
      </c>
      <c r="FJ29" t="str">
        <f>IF('Data Checking'!FV29="","",'Data Checking'!FV29)</f>
        <v/>
      </c>
      <c r="FK29" t="str">
        <f>IF('Data Checking'!FW29="","",'Data Checking'!FW29)</f>
        <v/>
      </c>
      <c r="FL29" t="str">
        <f>IF('Data Checking'!FX29="","",'Data Checking'!FX29)</f>
        <v/>
      </c>
      <c r="FM29" t="str">
        <f>IF('Data Checking'!FY29="","",'Data Checking'!FY29)</f>
        <v/>
      </c>
      <c r="FN29" t="str">
        <f>IF('Data Checking'!FZ29="","",'Data Checking'!FZ29)</f>
        <v/>
      </c>
      <c r="FO29" t="str">
        <f>IF('Data Checking'!GA29="","",'Data Checking'!GA29)</f>
        <v/>
      </c>
      <c r="FP29" t="str">
        <f>IF('Data Checking'!GB29="","",'Data Checking'!GB29)</f>
        <v/>
      </c>
      <c r="FQ29" t="str">
        <f>IF('Data Checking'!GC29="","",'Data Checking'!GC29)</f>
        <v/>
      </c>
      <c r="FR29" t="str">
        <f>IF('Data Checking'!GD29="","",'Data Checking'!GD29)</f>
        <v/>
      </c>
      <c r="FS29" t="str">
        <f>IF('Data Checking'!GE29="","",'Data Checking'!GE29)</f>
        <v/>
      </c>
      <c r="FT29" t="str">
        <f>IF('Data Checking'!GF29="","",'Data Checking'!GF29)</f>
        <v/>
      </c>
      <c r="FU29" t="str">
        <f>IF('Data Checking'!GG29="","",'Data Checking'!GG29)</f>
        <v/>
      </c>
      <c r="FV29" t="str">
        <f>IF('Data Checking'!GH29="","",'Data Checking'!GH29)</f>
        <v/>
      </c>
      <c r="FW29" t="str">
        <f>IF('Data Checking'!GI29="","",'Data Checking'!GI29)</f>
        <v/>
      </c>
      <c r="FX29" t="str">
        <f>IF('Data Checking'!GJ29="","",'Data Checking'!GJ29)</f>
        <v/>
      </c>
      <c r="FY29" t="str">
        <f>IF('Data Checking'!GK29="","",'Data Checking'!GK29)</f>
        <v/>
      </c>
      <c r="FZ29" t="str">
        <f>IF('Data Checking'!GL29="","",'Data Checking'!GL29)</f>
        <v/>
      </c>
      <c r="GA29" t="str">
        <f>IF('Data Checking'!GM29="","",'Data Checking'!GM29)</f>
        <v/>
      </c>
      <c r="GB29" t="str">
        <f>IF('Data Checking'!GN29="","",'Data Checking'!GN29)</f>
        <v/>
      </c>
      <c r="GC29" t="str">
        <f>IF('Data Checking'!GO29="","",'Data Checking'!GO29)</f>
        <v/>
      </c>
      <c r="GD29" t="str">
        <f>IF('Data Checking'!GP29="","",'Data Checking'!GP29)</f>
        <v/>
      </c>
      <c r="GE29" t="str">
        <f>IF('Data Checking'!GQ29="","",'Data Checking'!GQ29)</f>
        <v/>
      </c>
      <c r="GF29" t="str">
        <f>IF('Data Checking'!GR29="","",'Data Checking'!GR29)</f>
        <v/>
      </c>
      <c r="GG29" t="str">
        <f>IF('Data Checking'!GS29="","",'Data Checking'!GS29)</f>
        <v/>
      </c>
      <c r="GH29" t="str">
        <f>IF('Data Checking'!GT29="","",'Data Checking'!GT29)</f>
        <v/>
      </c>
      <c r="GI29" t="str">
        <f>IF('Data Checking'!GU29="","",'Data Checking'!GU29)</f>
        <v/>
      </c>
      <c r="GJ29" t="str">
        <f>IF('Data Checking'!GV29="","",'Data Checking'!GV29)</f>
        <v/>
      </c>
      <c r="GK29" t="str">
        <f>IF('Data Checking'!GW29="","",'Data Checking'!GW29)</f>
        <v/>
      </c>
      <c r="GL29" t="str">
        <f>IF('Data Checking'!GX29="","",'Data Checking'!GX29)</f>
        <v/>
      </c>
      <c r="GM29" t="str">
        <f>IF('Data Checking'!GY29="","",'Data Checking'!GY29)</f>
        <v/>
      </c>
      <c r="GN29" t="str">
        <f>IF('Data Checking'!GZ29="","",'Data Checking'!GZ29)</f>
        <v/>
      </c>
      <c r="GO29" t="str">
        <f>IF('Data Checking'!HA29="","",'Data Checking'!HA29)</f>
        <v/>
      </c>
      <c r="GP29" t="str">
        <f>IF('Data Checking'!HB29="","",'Data Checking'!HB29)</f>
        <v/>
      </c>
      <c r="GQ29" t="str">
        <f>IF('Data Checking'!HC29="","",'Data Checking'!HC29)</f>
        <v/>
      </c>
      <c r="GR29" t="str">
        <f>IF('Data Checking'!HD29="","",'Data Checking'!HD29)</f>
        <v/>
      </c>
      <c r="GS29" t="str">
        <f>IF('Data Checking'!HE29="","",'Data Checking'!HE29)</f>
        <v/>
      </c>
      <c r="GT29" t="str">
        <f>IF('Data Checking'!HF29="","",'Data Checking'!HF29)</f>
        <v/>
      </c>
      <c r="GU29" t="str">
        <f>IF('Data Checking'!HG29="","",'Data Checking'!HG29)</f>
        <v/>
      </c>
      <c r="GV29" t="str">
        <f>IF('Data Checking'!HH29="","",'Data Checking'!HH29)</f>
        <v/>
      </c>
      <c r="GW29" t="str">
        <f>IF('Data Checking'!HI29="","",'Data Checking'!HI29)</f>
        <v/>
      </c>
      <c r="GX29" t="str">
        <f>IF('Data Checking'!HJ29="","",'Data Checking'!HJ29)</f>
        <v/>
      </c>
      <c r="GY29" t="str">
        <f>IF('Data Checking'!HK29="","",'Data Checking'!HK29)</f>
        <v/>
      </c>
      <c r="GZ29" t="str">
        <f>IF('Data Checking'!HL29="","",'Data Checking'!HL29)</f>
        <v/>
      </c>
      <c r="HA29" t="str">
        <f>IF('Data Checking'!HM29="","",'Data Checking'!HM29)</f>
        <v/>
      </c>
      <c r="HB29" t="str">
        <f>IF('Data Checking'!HN29="","",'Data Checking'!HN29)</f>
        <v/>
      </c>
      <c r="HC29" t="str">
        <f>IF('Data Checking'!HO29="","",'Data Checking'!HO29)</f>
        <v/>
      </c>
      <c r="HD29" t="str">
        <f>IF('Data Checking'!HP29="","",'Data Checking'!HP29)</f>
        <v/>
      </c>
      <c r="HE29" t="str">
        <f>IF('Data Checking'!HQ29="","",'Data Checking'!HQ29)</f>
        <v/>
      </c>
      <c r="HF29" t="str">
        <f>IF('Data Checking'!HR29="","",'Data Checking'!HR29)</f>
        <v/>
      </c>
      <c r="HG29" t="str">
        <f>IF('Data Checking'!HS29="","",'Data Checking'!HS29)</f>
        <v/>
      </c>
      <c r="HH29" t="str">
        <f>IF('Data Checking'!HT29="","",'Data Checking'!HT29)</f>
        <v/>
      </c>
      <c r="HI29" t="str">
        <f>IF('Data Checking'!HU29="","",'Data Checking'!HU29)</f>
        <v>oui_ensemble</v>
      </c>
      <c r="HJ29" t="str">
        <f>IF('Data Checking'!HV29="","",'Data Checking'!HV29)</f>
        <v>ingo</v>
      </c>
      <c r="HK29" t="str">
        <f>IF('Data Checking'!HW29="","",'Data Checking'!HW29)</f>
        <v>0</v>
      </c>
      <c r="HL29" t="str">
        <f>IF('Data Checking'!HX29="","",'Data Checking'!HX29)</f>
        <v>0</v>
      </c>
      <c r="HM29" t="str">
        <f>IF('Data Checking'!HY29="","",'Data Checking'!HY29)</f>
        <v>0</v>
      </c>
      <c r="HN29" t="str">
        <f>IF('Data Checking'!HZ29="","",'Data Checking'!HZ29)</f>
        <v>0</v>
      </c>
      <c r="HO29" t="str">
        <f>IF('Data Checking'!IA29="","",'Data Checking'!IA29)</f>
        <v>1</v>
      </c>
      <c r="HP29" t="str">
        <f>IF('Data Checking'!IB29="","",'Data Checking'!IB29)</f>
        <v>0</v>
      </c>
      <c r="HQ29" t="str">
        <f>IF('Data Checking'!IC29="","",'Data Checking'!IC29)</f>
        <v>0</v>
      </c>
      <c r="HR29" t="str">
        <f>IF('Data Checking'!ID29="","",'Data Checking'!ID29)</f>
        <v>0</v>
      </c>
      <c r="HS29" t="str">
        <f>IF('Data Checking'!IE29="","",'Data Checking'!IE29)</f>
        <v>0</v>
      </c>
      <c r="HT29" t="str">
        <f>IF('Data Checking'!IF29="","",'Data Checking'!IF29)</f>
        <v>0</v>
      </c>
      <c r="HU29" t="str">
        <f>IF('Data Checking'!IG29="","",'Data Checking'!IG29)</f>
        <v/>
      </c>
      <c r="HV29" t="str">
        <f>IF('Data Checking'!IH29="","",'Data Checking'!IH29)</f>
        <v/>
      </c>
      <c r="HW29" t="str">
        <f>IF('Data Checking'!II29="","",'Data Checking'!II29)</f>
        <v/>
      </c>
      <c r="HX29" t="str">
        <f>IF('Data Checking'!IJ29="","",'Data Checking'!IJ29)</f>
        <v>Ne_sait_pas</v>
      </c>
      <c r="HY29" t="str">
        <f>IF('Data Checking'!IK29="","",'Data Checking'!IK29)</f>
        <v>0</v>
      </c>
      <c r="HZ29" t="str">
        <f>IF('Data Checking'!IL29="","",'Data Checking'!IL29)</f>
        <v>0</v>
      </c>
      <c r="IA29" t="str">
        <f>IF('Data Checking'!IM29="","",'Data Checking'!IM29)</f>
        <v>0</v>
      </c>
      <c r="IB29" t="str">
        <f>IF('Data Checking'!IN29="","",'Data Checking'!IN29)</f>
        <v>0</v>
      </c>
      <c r="IC29" t="str">
        <f>IF('Data Checking'!IO29="","",'Data Checking'!IO29)</f>
        <v>0</v>
      </c>
      <c r="ID29" t="str">
        <f>IF('Data Checking'!IP29="","",'Data Checking'!IP29)</f>
        <v>0</v>
      </c>
      <c r="IE29" t="str">
        <f>IF('Data Checking'!IQ29="","",'Data Checking'!IQ29)</f>
        <v>0</v>
      </c>
      <c r="IF29" t="str">
        <f>IF('Data Checking'!IR29="","",'Data Checking'!IR29)</f>
        <v>0</v>
      </c>
      <c r="IG29" t="str">
        <f>IF('Data Checking'!IS29="","",'Data Checking'!IS29)</f>
        <v>0</v>
      </c>
      <c r="IH29" t="str">
        <f>IF('Data Checking'!IT29="","",'Data Checking'!IT29)</f>
        <v>0</v>
      </c>
      <c r="II29" t="str">
        <f>IF('Data Checking'!IU29="","",'Data Checking'!IU29)</f>
        <v>0</v>
      </c>
      <c r="IJ29" t="str">
        <f>IF('Data Checking'!IV29="","",'Data Checking'!IV29)</f>
        <v>1</v>
      </c>
      <c r="IK29" t="str">
        <f>IF('Data Checking'!IW29="","",'Data Checking'!IW29)</f>
        <v>0</v>
      </c>
      <c r="IL29" t="str">
        <f>IF('Data Checking'!IX29="","",'Data Checking'!IX29)</f>
        <v>0</v>
      </c>
      <c r="IM29" t="str">
        <f>IF('Data Checking'!IY29="","",'Data Checking'!IY29)</f>
        <v/>
      </c>
      <c r="IN29" t="str">
        <f>IF('Data Checking'!IZ29="","",'Data Checking'!IZ29)</f>
        <v>1</v>
      </c>
      <c r="IO29" t="str">
        <f>IF('Data Checking'!JA29="","",'Data Checking'!JA29)</f>
        <v>NA</v>
      </c>
      <c r="IP29" t="str">
        <f>IF('Data Checking'!JB29="","",'Data Checking'!JB29)</f>
        <v>NA</v>
      </c>
      <c r="IQ29" t="str">
        <f>IF('Data Checking'!JC29="","",'Data Checking'!JC29)</f>
        <v>NA</v>
      </c>
      <c r="IR29" t="str">
        <f>IF('Data Checking'!JD29="","",'Data Checking'!JD29)</f>
        <v>NA</v>
      </c>
      <c r="IS29" t="str">
        <f>IF('Data Checking'!JE29="","",'Data Checking'!JE29)</f>
        <v>NA</v>
      </c>
      <c r="IT29" t="str">
        <f>IF('Data Checking'!JF29="","",'Data Checking'!JF29)</f>
        <v>NA</v>
      </c>
      <c r="IU29" t="str">
        <f>IF('Data Checking'!JG29="","",'Data Checking'!JG29)</f>
        <v>NA</v>
      </c>
      <c r="IV29" t="str">
        <f>IF('Data Checking'!JH29="","",'Data Checking'!JH29)</f>
        <v>NA</v>
      </c>
      <c r="IW29" t="str">
        <f>IF('Data Checking'!JI29="","",'Data Checking'!JI29)</f>
        <v>NA</v>
      </c>
      <c r="IX29" t="str">
        <f>IF('Data Checking'!JJ29="","",'Data Checking'!JJ29)</f>
        <v>NA</v>
      </c>
      <c r="IY29" t="str">
        <f>IF('Data Checking'!JK29="","",'Data Checking'!JK29)</f>
        <v>NA</v>
      </c>
      <c r="IZ29" t="str">
        <f>IF('Data Checking'!JL29="","",'Data Checking'!JL29)</f>
        <v/>
      </c>
      <c r="JA29" t="str">
        <f>IF('Data Checking'!JM29="","",'Data Checking'!JM29)</f>
        <v>reorientation</v>
      </c>
      <c r="JB29" t="str">
        <f>IF('Data Checking'!JN29="","",'Data Checking'!JN29)</f>
        <v>0</v>
      </c>
      <c r="JC29" t="str">
        <f>IF('Data Checking'!JO29="","",'Data Checking'!JO29)</f>
        <v>1</v>
      </c>
      <c r="JD29" t="str">
        <f>IF('Data Checking'!JP29="","",'Data Checking'!JP29)</f>
        <v>0</v>
      </c>
      <c r="JE29" t="str">
        <f>IF('Data Checking'!JQ29="","",'Data Checking'!JQ29)</f>
        <v>0</v>
      </c>
      <c r="JF29" t="str">
        <f>IF('Data Checking'!JR29="","",'Data Checking'!JR29)</f>
        <v>0</v>
      </c>
      <c r="JG29" t="str">
        <f>IF('Data Checking'!JS29="","",'Data Checking'!JS29)</f>
        <v>0</v>
      </c>
      <c r="JH29" t="str">
        <f>IF('Data Checking'!JT29="","",'Data Checking'!JT29)</f>
        <v/>
      </c>
      <c r="JI29" t="str">
        <f>IF('Data Checking'!JU29="","",'Data Checking'!JU29)</f>
        <v/>
      </c>
      <c r="JJ29" t="str">
        <f>IF('Data Checking'!JV29="","",'Data Checking'!JV29)</f>
        <v/>
      </c>
      <c r="JK29" t="str">
        <f>IF('Data Checking'!JW29="","",'Data Checking'!JW29)</f>
        <v/>
      </c>
      <c r="JL29" t="str">
        <f>IF('Data Checking'!JX29="","",'Data Checking'!JX29)</f>
        <v/>
      </c>
      <c r="JM29" t="str">
        <f>IF('Data Checking'!JY29="","",'Data Checking'!JY29)</f>
        <v/>
      </c>
      <c r="JN29" t="str">
        <f>IF('Data Checking'!JZ29="","",'Data Checking'!JZ29)</f>
        <v/>
      </c>
      <c r="JO29" t="str">
        <f>IF('Data Checking'!KA29="","",'Data Checking'!KA29)</f>
        <v/>
      </c>
      <c r="JP29" t="str">
        <f>IF('Data Checking'!KB29="","",'Data Checking'!KB29)</f>
        <v/>
      </c>
      <c r="JQ29" t="str">
        <f>IF('Data Checking'!KC29="","",'Data Checking'!KC29)</f>
        <v/>
      </c>
      <c r="JR29" t="str">
        <f>IF('Data Checking'!KD29="","",'Data Checking'!KD29)</f>
        <v/>
      </c>
      <c r="JS29" t="str">
        <f>IF('Data Checking'!KE29="","",'Data Checking'!KE29)</f>
        <v/>
      </c>
      <c r="JT29" t="str">
        <f>IF('Data Checking'!KF29="","",'Data Checking'!KF29)</f>
        <v>juridique surete</v>
      </c>
      <c r="JU29" t="str">
        <f>IF('Data Checking'!KG29="","",'Data Checking'!KG29)</f>
        <v>0</v>
      </c>
      <c r="JV29" t="str">
        <f>IF('Data Checking'!KH29="","",'Data Checking'!KH29)</f>
        <v>0</v>
      </c>
      <c r="JW29" t="str">
        <f>IF('Data Checking'!KI29="","",'Data Checking'!KI29)</f>
        <v>0</v>
      </c>
      <c r="JX29" t="str">
        <f>IF('Data Checking'!KJ29="","",'Data Checking'!KJ29)</f>
        <v>1</v>
      </c>
      <c r="JY29" t="str">
        <f>IF('Data Checking'!KK29="","",'Data Checking'!KK29)</f>
        <v>1</v>
      </c>
      <c r="JZ29" t="str">
        <f>IF('Data Checking'!KL29="","",'Data Checking'!KL29)</f>
        <v>0</v>
      </c>
      <c r="KA29" t="str">
        <f>IF('Data Checking'!KM29="","",'Data Checking'!KM29)</f>
        <v>0</v>
      </c>
      <c r="KB29" t="str">
        <f>IF('Data Checking'!KN29="","",'Data Checking'!KN29)</f>
        <v>0</v>
      </c>
      <c r="KC29" t="str">
        <f>IF('Data Checking'!KO29="","",'Data Checking'!KO29)</f>
        <v>0</v>
      </c>
      <c r="KD29" t="str">
        <f>IF('Data Checking'!KP29="","",'Data Checking'!KP29)</f>
        <v/>
      </c>
      <c r="KE29" t="str">
        <f>IF('Data Checking'!KQ29="","",'Data Checking'!KQ29)</f>
        <v/>
      </c>
      <c r="KF29" t="str">
        <f>IF('Data Checking'!KR29="","",'Data Checking'!KR29)</f>
        <v>non</v>
      </c>
      <c r="KG29" t="str">
        <f>IF('Data Checking'!KS29="","",'Data Checking'!KS29)</f>
        <v/>
      </c>
      <c r="KH29" t="str">
        <f>IF('Data Checking'!KT29="","",'Data Checking'!KT29)</f>
        <v/>
      </c>
      <c r="KI29" t="str">
        <f>IF('Data Checking'!KU29="","",'Data Checking'!KU29)</f>
        <v/>
      </c>
      <c r="KJ29" t="str">
        <f>IF('Data Checking'!KV29="","",'Data Checking'!KV29)</f>
        <v/>
      </c>
      <c r="KK29" t="str">
        <f>IF('Data Checking'!KW29="","",'Data Checking'!KW29)</f>
        <v/>
      </c>
      <c r="KL29" t="str">
        <f>IF('Data Checking'!KX29="","",'Data Checking'!KX29)</f>
        <v/>
      </c>
      <c r="KM29" t="str">
        <f>IF('Data Checking'!KY29="","",'Data Checking'!KY29)</f>
        <v/>
      </c>
      <c r="KN29" t="str">
        <f>IF('Data Checking'!KZ29="","",'Data Checking'!KZ29)</f>
        <v/>
      </c>
      <c r="KO29" t="str">
        <f>IF('Data Checking'!LA29="","",'Data Checking'!LA29)</f>
        <v/>
      </c>
      <c r="KP29" t="str">
        <f>IF('Data Checking'!LB29="","",'Data Checking'!LB29)</f>
        <v/>
      </c>
      <c r="KQ29" t="str">
        <f>IF('Data Checking'!LC29="","",'Data Checking'!LC29)</f>
        <v/>
      </c>
      <c r="KR29" t="str">
        <f>IF('Data Checking'!LD29="","",'Data Checking'!LD29)</f>
        <v/>
      </c>
      <c r="KS29" t="str">
        <f>IF('Data Checking'!LE29="","",'Data Checking'!LE29)</f>
        <v/>
      </c>
      <c r="KT29" t="str">
        <f>IF('Data Checking'!LF29="","",'Data Checking'!LF29)</f>
        <v/>
      </c>
      <c r="KU29" t="str">
        <f>IF('Data Checking'!LG29="","",'Data Checking'!LG29)</f>
        <v/>
      </c>
      <c r="KV29" t="str">
        <f>IF('Data Checking'!LH29="","",'Data Checking'!LH29)</f>
        <v/>
      </c>
      <c r="KW29" t="str">
        <f>IF('Data Checking'!LI29="","",'Data Checking'!LI29)</f>
        <v/>
      </c>
      <c r="KX29" t="str">
        <f>IF('Data Checking'!LJ29="","",'Data Checking'!LJ29)</f>
        <v/>
      </c>
      <c r="KY29" t="str">
        <f>IF('Data Checking'!LK29="","",'Data Checking'!LK29)</f>
        <v/>
      </c>
      <c r="KZ29" t="str">
        <f>IF('Data Checking'!LL29="","",'Data Checking'!LL29)</f>
        <v/>
      </c>
      <c r="LA29" t="str">
        <f>IF('Data Checking'!LM29="","",'Data Checking'!LM29)</f>
        <v/>
      </c>
      <c r="LB29" t="str">
        <f>IF('Data Checking'!LN29="","",'Data Checking'!LN29)</f>
        <v>oui</v>
      </c>
      <c r="LC29" t="str">
        <f>IF('Data Checking'!LO29="","",'Data Checking'!LO29)</f>
        <v>menace_entourage menace_enlevement violence_physique</v>
      </c>
      <c r="LD29" t="str">
        <f>IF('Data Checking'!LP29="","",'Data Checking'!LP29)</f>
        <v>1</v>
      </c>
      <c r="LE29" t="str">
        <f>IF('Data Checking'!LQ29="","",'Data Checking'!LQ29)</f>
        <v>0</v>
      </c>
      <c r="LF29" t="str">
        <f>IF('Data Checking'!LR29="","",'Data Checking'!LR29)</f>
        <v>0</v>
      </c>
      <c r="LG29" t="str">
        <f>IF('Data Checking'!LS29="","",'Data Checking'!LS29)</f>
        <v>1</v>
      </c>
      <c r="LH29" t="str">
        <f>IF('Data Checking'!LT29="","",'Data Checking'!LT29)</f>
        <v>0</v>
      </c>
      <c r="LI29" t="str">
        <f>IF('Data Checking'!LU29="","",'Data Checking'!LU29)</f>
        <v>1</v>
      </c>
      <c r="LJ29" t="str">
        <f>IF('Data Checking'!LV29="","",'Data Checking'!LV29)</f>
        <v>0</v>
      </c>
      <c r="LK29" t="str">
        <f>IF('Data Checking'!LW29="","",'Data Checking'!LW29)</f>
        <v>0</v>
      </c>
      <c r="LL29" t="str">
        <f>IF('Data Checking'!LX29="","",'Data Checking'!LX29)</f>
        <v>0</v>
      </c>
      <c r="LM29" t="str">
        <f>IF('Data Checking'!LY29="","",'Data Checking'!LY29)</f>
        <v>0</v>
      </c>
      <c r="LN29" t="str">
        <f>IF('Data Checking'!LZ29="","",'Data Checking'!LZ29)</f>
        <v/>
      </c>
      <c r="LO29" t="str">
        <f>IF('Data Checking'!MA29="","",'Data Checking'!MA29)</f>
        <v>non</v>
      </c>
      <c r="LP29" t="str">
        <f>IF('Data Checking'!MB29="","",'Data Checking'!MB29)</f>
        <v>oui</v>
      </c>
      <c r="LQ29" t="str">
        <f>IF('Data Checking'!MC29="","",'Data Checking'!MC29)</f>
        <v/>
      </c>
      <c r="LR29" t="str">
        <f>IF('Data Checking'!MD29="","",'Data Checking'!MD29)</f>
        <v>Sensibilisation sur l'accès aux services de protection par les femmes et sur la consommation de drogues et autres stupéfiants par les jeunes sur le site</v>
      </c>
      <c r="LS29">
        <f>IF('Data Checking'!ME29="","",'Data Checking'!ME29)</f>
        <v>171960783</v>
      </c>
      <c r="LT29" t="str">
        <f>IF('Data Checking'!MF29="","",'Data Checking'!MF29)</f>
        <v>cb862c3a-2f65-4012-a589-4822ae7d753b</v>
      </c>
      <c r="LU29" t="str">
        <f>IF('Data Checking'!MG29="","",'Data Checking'!MG29)</f>
        <v>2021-04-16T11:53:00</v>
      </c>
      <c r="LV29" t="str">
        <f>IF('Data Checking'!MH29="","",'Data Checking'!MH29)</f>
        <v/>
      </c>
      <c r="LW29" t="str">
        <f>IF('Data Checking'!MI29="","",'Data Checking'!MI29)</f>
        <v>[]</v>
      </c>
      <c r="LX29" t="str">
        <f>IF('Data Checking'!MJ29="","",'Data Checking'!MJ29)</f>
        <v>submitted_via_web</v>
      </c>
      <c r="LY29" t="str">
        <f>IF('Data Checking'!MK29="","",'Data Checking'!MK29)</f>
        <v>reach_niger</v>
      </c>
      <c r="LZ29" t="str">
        <f>IF('Data Checking'!ML29="","",'Data Checking'!ML29)</f>
        <v/>
      </c>
      <c r="MA29">
        <f>IF('Data Checking'!MM29="","",'Data Checking'!MM29)</f>
        <v>68</v>
      </c>
    </row>
    <row r="30" spans="1:339" x14ac:dyDescent="0.3">
      <c r="A30" t="str">
        <f>IF('Data Checking'!D30="","",'Data Checking'!D30)</f>
        <v>2021-04-16T08:50:58.366+01:00</v>
      </c>
      <c r="B30" t="str">
        <f>IF('Data Checking'!E30="","",'Data Checking'!E30)</f>
        <v>2021-04-16T09:35:42.063+01:00</v>
      </c>
      <c r="C30" t="str">
        <f>IF('Data Checking'!M30="","",'Data Checking'!M30)</f>
        <v>2021-04-16</v>
      </c>
      <c r="D30" t="str">
        <f>IF('Data Checking'!N30="","",'Data Checking'!N30)</f>
        <v/>
      </c>
      <c r="E30" t="str">
        <f>IF('Data Checking'!O30="","",'Data Checking'!O30)</f>
        <v/>
      </c>
      <c r="F30" t="str">
        <f>IF('Data Checking'!R30="","",'Data Checking'!R30)</f>
        <v>Homme</v>
      </c>
      <c r="G30" t="str">
        <f>IF('Data Checking'!S30="","",'Data Checking'!S30)</f>
        <v>ayerou</v>
      </c>
      <c r="H30" t="str">
        <f>IF('Data Checking'!T30="","",'Data Checking'!T30)</f>
        <v>ayerou</v>
      </c>
      <c r="I30" t="str">
        <f>IF('Data Checking'!U30="","",'Data Checking'!U30)</f>
        <v>ayarou_pdi</v>
      </c>
      <c r="J30" t="str">
        <f>IF('Data Checking'!V30="","",'Data Checking'!V30)</f>
        <v/>
      </c>
      <c r="K30" t="str">
        <f>IF('Data Checking'!W30="","",'Data Checking'!W30)</f>
        <v/>
      </c>
      <c r="L30" t="str">
        <f>IF('Data Checking'!X30="","",'Data Checking'!X30)</f>
        <v/>
      </c>
      <c r="M30" t="str">
        <f>IF('Data Checking'!Y30="","",'Data Checking'!Y30)</f>
        <v/>
      </c>
      <c r="N30" t="str">
        <f>IF('Data Checking'!Z30="","",'Data Checking'!Z30)</f>
        <v/>
      </c>
      <c r="O30" t="str">
        <f>IF('Data Checking'!AA30="","",'Data Checking'!AA30)</f>
        <v/>
      </c>
      <c r="P30" t="str">
        <f>IF('Data Checking'!AB30="","",'Data Checking'!AB30)</f>
        <v/>
      </c>
      <c r="Q30" t="str">
        <f>IF('Data Checking'!AC30="","",'Data Checking'!AC30)</f>
        <v/>
      </c>
      <c r="R30" t="str">
        <f>IF('Data Checking'!AD30="","",'Data Checking'!AD30)</f>
        <v>Homme</v>
      </c>
      <c r="S30" t="str">
        <f>IF('Data Checking'!AE30="","",'Data Checking'!AE30)</f>
        <v>50</v>
      </c>
      <c r="T30" t="str">
        <f>IF('Data Checking'!AF30="","",'Data Checking'!AF30)</f>
        <v>deplace_interne</v>
      </c>
      <c r="U30" t="str">
        <f>IF('Data Checking'!AG30="","",'Data Checking'!AG30)</f>
        <v/>
      </c>
      <c r="V30" t="str">
        <f>IF('Data Checking'!AH30="","",'Data Checking'!AH30)</f>
        <v/>
      </c>
      <c r="W30" t="str">
        <f>IF('Data Checking'!AI30="","",'Data Checking'!AI30)</f>
        <v/>
      </c>
      <c r="X30" t="str">
        <f>IF('Data Checking'!AJ30="","",'Data Checking'!AJ30)</f>
        <v/>
      </c>
      <c r="Y30" t="str">
        <f>IF('Data Checking'!AK30="","",'Data Checking'!AK30)</f>
        <v/>
      </c>
      <c r="Z30" t="str">
        <f>IF('Data Checking'!AL30="","",'Data Checking'!AL30)</f>
        <v>niger</v>
      </c>
      <c r="AA30" t="str">
        <f>IF('Data Checking'!AM30="","",'Data Checking'!AM30)</f>
        <v>tillaberi</v>
      </c>
      <c r="AB30" t="str">
        <f>IF('Data Checking'!AN30="","",'Data Checking'!AN30)</f>
        <v>ayerou</v>
      </c>
      <c r="AC30" t="str">
        <f>IF('Data Checking'!AO30="","",'Data Checking'!AO30)</f>
        <v/>
      </c>
      <c r="AD30" t="str">
        <f>IF('Data Checking'!AP30="","",'Data Checking'!AP30)</f>
        <v/>
      </c>
      <c r="AE30" t="str">
        <f>IF('Data Checking'!AQ30="","",'Data Checking'!AQ30)</f>
        <v/>
      </c>
      <c r="AF30" t="str">
        <f>IF('Data Checking'!AR30="","",'Data Checking'!AR30)</f>
        <v/>
      </c>
      <c r="AG30" t="str">
        <f>IF('Data Checking'!AS30="","",'Data Checking'!AS30)</f>
        <v>non</v>
      </c>
      <c r="AH30" t="str">
        <f>IF('Data Checking'!AT30="","",'Data Checking'!AT30)</f>
        <v/>
      </c>
      <c r="AI30" t="str">
        <f>IF('Data Checking'!AU30="","",'Data Checking'!AU30)</f>
        <v/>
      </c>
      <c r="AJ30" t="str">
        <f>IF('Data Checking'!AV30="","",'Data Checking'!AV30)</f>
        <v/>
      </c>
      <c r="AK30" t="str">
        <f>IF('Data Checking'!AW30="","",'Data Checking'!AW30)</f>
        <v/>
      </c>
      <c r="AL30" t="str">
        <f>IF('Data Checking'!AX30="","",'Data Checking'!AX30)</f>
        <v/>
      </c>
      <c r="AM30" t="str">
        <f>IF('Data Checking'!AY30="","",'Data Checking'!AY30)</f>
        <v/>
      </c>
      <c r="AN30" t="str">
        <f>IF('Data Checking'!AZ30="","",'Data Checking'!AZ30)</f>
        <v/>
      </c>
      <c r="AO30" t="str">
        <f>IF('Data Checking'!BA30="","",'Data Checking'!BA30)</f>
        <v/>
      </c>
      <c r="AP30" t="str">
        <f>IF('Data Checking'!BB30="","",'Data Checking'!BB30)</f>
        <v/>
      </c>
      <c r="AQ30" t="str">
        <f>IF('Data Checking'!BC30="","",'Data Checking'!BC30)</f>
        <v/>
      </c>
      <c r="AR30" t="str">
        <f>IF('Data Checking'!BD30="","",'Data Checking'!BD30)</f>
        <v/>
      </c>
      <c r="AS30" t="str">
        <f>IF('Data Checking'!BE30="","",'Data Checking'!BE30)</f>
        <v/>
      </c>
      <c r="AT30" t="str">
        <f>IF('Data Checking'!BF30="","",'Data Checking'!BF30)</f>
        <v/>
      </c>
      <c r="AU30" t="str">
        <f>IF('Data Checking'!BG30="","",'Data Checking'!BG30)</f>
        <v/>
      </c>
      <c r="AV30" t="str">
        <f>IF('Data Checking'!BH30="","",'Data Checking'!BH30)</f>
        <v/>
      </c>
      <c r="AW30" t="str">
        <f>IF('Data Checking'!BI30="","",'Data Checking'!BI30)</f>
        <v/>
      </c>
      <c r="AX30" t="str">
        <f>IF('Data Checking'!BJ30="","",'Data Checking'!BJ30)</f>
        <v/>
      </c>
      <c r="AY30" t="str">
        <f>IF('Data Checking'!BK30="","",'Data Checking'!BK30)</f>
        <v/>
      </c>
      <c r="AZ30" t="str">
        <f>IF('Data Checking'!BL30="","",'Data Checking'!BL30)</f>
        <v/>
      </c>
      <c r="BA30" t="str">
        <f>IF('Data Checking'!BM30="","",'Data Checking'!BM30)</f>
        <v/>
      </c>
      <c r="BB30" t="str">
        <f>IF('Data Checking'!BN30="","",'Data Checking'!BN30)</f>
        <v/>
      </c>
      <c r="BC30" t="str">
        <f>IF('Data Checking'!BO30="","",'Data Checking'!BO30)</f>
        <v/>
      </c>
      <c r="BD30" t="str">
        <f>IF('Data Checking'!BP30="","",'Data Checking'!BP30)</f>
        <v/>
      </c>
      <c r="BE30" t="str">
        <f>IF('Data Checking'!BQ30="","",'Data Checking'!BQ30)</f>
        <v/>
      </c>
      <c r="BF30" t="str">
        <f>IF('Data Checking'!BR30="","",'Data Checking'!BR30)</f>
        <v/>
      </c>
      <c r="BG30" t="str">
        <f>IF('Data Checking'!BS30="","",'Data Checking'!BS30)</f>
        <v/>
      </c>
      <c r="BH30" t="str">
        <f>IF('Data Checking'!BT30="","",'Data Checking'!BT30)</f>
        <v/>
      </c>
      <c r="BI30" t="str">
        <f>IF('Data Checking'!BU30="","",'Data Checking'!BU30)</f>
        <v/>
      </c>
      <c r="BJ30" t="str">
        <f>IF('Data Checking'!BV30="","",'Data Checking'!BV30)</f>
        <v/>
      </c>
      <c r="BK30" t="str">
        <f>IF('Data Checking'!BW30="","",'Data Checking'!BW30)</f>
        <v/>
      </c>
      <c r="BL30" t="str">
        <f>IF('Data Checking'!BX30="","",'Data Checking'!BX30)</f>
        <v/>
      </c>
      <c r="BM30" t="str">
        <f>IF('Data Checking'!BY30="","",'Data Checking'!BY30)</f>
        <v/>
      </c>
      <c r="BN30" t="str">
        <f>IF('Data Checking'!BZ30="","",'Data Checking'!BZ30)</f>
        <v/>
      </c>
      <c r="BO30" t="str">
        <f>IF('Data Checking'!CA30="","",'Data Checking'!CA30)</f>
        <v/>
      </c>
      <c r="BP30" t="str">
        <f>IF('Data Checking'!CB30="","",'Data Checking'!CB30)</f>
        <v/>
      </c>
      <c r="BQ30" t="str">
        <f>IF('Data Checking'!CC30="","",'Data Checking'!CC30)</f>
        <v>non</v>
      </c>
      <c r="BR30" t="str">
        <f>IF('Data Checking'!CD30="","",'Data Checking'!CD30)</f>
        <v/>
      </c>
      <c r="BS30" t="str">
        <f>IF('Data Checking'!CE30="","",'Data Checking'!CE30)</f>
        <v/>
      </c>
      <c r="BT30" t="str">
        <f>IF('Data Checking'!CF30="","",'Data Checking'!CF30)</f>
        <v/>
      </c>
      <c r="BU30" t="str">
        <f>IF('Data Checking'!CG30="","",'Data Checking'!CG30)</f>
        <v/>
      </c>
      <c r="BV30" t="str">
        <f>IF('Data Checking'!CH30="","",'Data Checking'!CH30)</f>
        <v/>
      </c>
      <c r="BW30" t="str">
        <f>IF('Data Checking'!CI30="","",'Data Checking'!CI30)</f>
        <v/>
      </c>
      <c r="BX30" t="str">
        <f>IF('Data Checking'!CJ30="","",'Data Checking'!CJ30)</f>
        <v/>
      </c>
      <c r="BY30" t="str">
        <f>IF('Data Checking'!CK30="","",'Data Checking'!CK30)</f>
        <v/>
      </c>
      <c r="BZ30" t="str">
        <f>IF('Data Checking'!CL30="","",'Data Checking'!CL30)</f>
        <v/>
      </c>
      <c r="CA30" t="str">
        <f>IF('Data Checking'!CM30="","",'Data Checking'!CM30)</f>
        <v/>
      </c>
      <c r="CB30" t="str">
        <f>IF('Data Checking'!CN30="","",'Data Checking'!CN30)</f>
        <v/>
      </c>
      <c r="CC30" t="str">
        <f>IF('Data Checking'!CO30="","",'Data Checking'!CO30)</f>
        <v/>
      </c>
      <c r="CD30" t="str">
        <f>IF('Data Checking'!CP30="","",'Data Checking'!CP30)</f>
        <v/>
      </c>
      <c r="CE30" t="str">
        <f>IF('Data Checking'!CQ30="","",'Data Checking'!CQ30)</f>
        <v/>
      </c>
      <c r="CF30" t="str">
        <f>IF('Data Checking'!CR30="","",'Data Checking'!CR30)</f>
        <v/>
      </c>
      <c r="CG30" t="str">
        <f>IF('Data Checking'!CS30="","",'Data Checking'!CS30)</f>
        <v/>
      </c>
      <c r="CH30" t="str">
        <f>IF('Data Checking'!CT30="","",'Data Checking'!CT30)</f>
        <v/>
      </c>
      <c r="CI30" t="str">
        <f>IF('Data Checking'!CU30="","",'Data Checking'!CU30)</f>
        <v/>
      </c>
      <c r="CJ30" t="str">
        <f>IF('Data Checking'!CV30="","",'Data Checking'!CV30)</f>
        <v/>
      </c>
      <c r="CK30" t="str">
        <f>IF('Data Checking'!CW30="","",'Data Checking'!CW30)</f>
        <v/>
      </c>
      <c r="CL30" t="str">
        <f>IF('Data Checking'!CX30="","",'Data Checking'!CX30)</f>
        <v/>
      </c>
      <c r="CM30" t="str">
        <f>IF('Data Checking'!CY30="","",'Data Checking'!CY30)</f>
        <v/>
      </c>
      <c r="CN30" t="str">
        <f>IF('Data Checking'!CZ30="","",'Data Checking'!CZ30)</f>
        <v/>
      </c>
      <c r="CO30" t="str">
        <f>IF('Data Checking'!DA30="","",'Data Checking'!DA30)</f>
        <v/>
      </c>
      <c r="CP30" t="str">
        <f>IF('Data Checking'!DB30="","",'Data Checking'!DB30)</f>
        <v/>
      </c>
      <c r="CQ30" t="str">
        <f>IF('Data Checking'!DC30="","",'Data Checking'!DC30)</f>
        <v/>
      </c>
      <c r="CR30" t="str">
        <f>IF('Data Checking'!DD30="","",'Data Checking'!DD30)</f>
        <v/>
      </c>
      <c r="CS30" t="str">
        <f>IF('Data Checking'!DE30="","",'Data Checking'!DE30)</f>
        <v/>
      </c>
      <c r="CT30" t="str">
        <f>IF('Data Checking'!DF30="","",'Data Checking'!DF30)</f>
        <v/>
      </c>
      <c r="CU30" t="str">
        <f>IF('Data Checking'!DG30="","",'Data Checking'!DG30)</f>
        <v/>
      </c>
      <c r="CV30" t="str">
        <f>IF('Data Checking'!DH30="","",'Data Checking'!DH30)</f>
        <v/>
      </c>
      <c r="CW30" t="str">
        <f>IF('Data Checking'!DI30="","",'Data Checking'!DI30)</f>
        <v/>
      </c>
      <c r="CX30" t="str">
        <f>IF('Data Checking'!DJ30="","",'Data Checking'!DJ30)</f>
        <v/>
      </c>
      <c r="CY30" t="str">
        <f>IF('Data Checking'!DK30="","",'Data Checking'!DK30)</f>
        <v/>
      </c>
      <c r="CZ30" t="str">
        <f>IF('Data Checking'!DL30="","",'Data Checking'!DL30)</f>
        <v/>
      </c>
      <c r="DA30" t="str">
        <f>IF('Data Checking'!DM30="","",'Data Checking'!DM30)</f>
        <v/>
      </c>
      <c r="DB30" t="str">
        <f>IF('Data Checking'!DN30="","",'Data Checking'!DN30)</f>
        <v/>
      </c>
      <c r="DC30" t="str">
        <f>IF('Data Checking'!DO30="","",'Data Checking'!DO30)</f>
        <v/>
      </c>
      <c r="DD30" t="str">
        <f>IF('Data Checking'!DP30="","",'Data Checking'!DP30)</f>
        <v/>
      </c>
      <c r="DE30" t="str">
        <f>IF('Data Checking'!DQ30="","",'Data Checking'!DQ30)</f>
        <v/>
      </c>
      <c r="DF30" t="str">
        <f>IF('Data Checking'!DR30="","",'Data Checking'!DR30)</f>
        <v/>
      </c>
      <c r="DG30" t="str">
        <f>IF('Data Checking'!DS30="","",'Data Checking'!DS30)</f>
        <v/>
      </c>
      <c r="DH30" t="str">
        <f>IF('Data Checking'!DT30="","",'Data Checking'!DT30)</f>
        <v/>
      </c>
      <c r="DI30" t="str">
        <f>IF('Data Checking'!DU30="","",'Data Checking'!DU30)</f>
        <v/>
      </c>
      <c r="DJ30" t="str">
        <f>IF('Data Checking'!DV30="","",'Data Checking'!DV30)</f>
        <v/>
      </c>
      <c r="DK30" t="str">
        <f>IF('Data Checking'!DW30="","",'Data Checking'!DW30)</f>
        <v/>
      </c>
      <c r="DL30" t="str">
        <f>IF('Data Checking'!DX30="","",'Data Checking'!DX30)</f>
        <v/>
      </c>
      <c r="DM30" t="str">
        <f>IF('Data Checking'!DY30="","",'Data Checking'!DY30)</f>
        <v/>
      </c>
      <c r="DN30" t="str">
        <f>IF('Data Checking'!DZ30="","",'Data Checking'!DZ30)</f>
        <v/>
      </c>
      <c r="DO30" t="str">
        <f>IF('Data Checking'!EA30="","",'Data Checking'!EA30)</f>
        <v/>
      </c>
      <c r="DP30" t="str">
        <f>IF('Data Checking'!EB30="","",'Data Checking'!EB30)</f>
        <v/>
      </c>
      <c r="DQ30" t="str">
        <f>IF('Data Checking'!EC30="","",'Data Checking'!EC30)</f>
        <v/>
      </c>
      <c r="DR30" t="str">
        <f>IF('Data Checking'!ED30="","",'Data Checking'!ED30)</f>
        <v/>
      </c>
      <c r="DS30" t="str">
        <f>IF('Data Checking'!EE30="","",'Data Checking'!EE30)</f>
        <v/>
      </c>
      <c r="DT30" t="str">
        <f>IF('Data Checking'!EF30="","",'Data Checking'!EF30)</f>
        <v/>
      </c>
      <c r="DU30" t="str">
        <f>IF('Data Checking'!EG30="","",'Data Checking'!EG30)</f>
        <v/>
      </c>
      <c r="DV30" t="str">
        <f>IF('Data Checking'!EH30="","",'Data Checking'!EH30)</f>
        <v/>
      </c>
      <c r="DW30" t="str">
        <f>IF('Data Checking'!EI30="","",'Data Checking'!EI30)</f>
        <v/>
      </c>
      <c r="DX30" t="str">
        <f>IF('Data Checking'!EJ30="","",'Data Checking'!EJ30)</f>
        <v/>
      </c>
      <c r="DY30" t="str">
        <f>IF('Data Checking'!EK30="","",'Data Checking'!EK30)</f>
        <v/>
      </c>
      <c r="DZ30" t="str">
        <f>IF('Data Checking'!EL30="","",'Data Checking'!EL30)</f>
        <v>Integration_com_hote Soutien_chef_village</v>
      </c>
      <c r="EA30" t="str">
        <f>IF('Data Checking'!EM30="","",'Data Checking'!EM30)</f>
        <v>0</v>
      </c>
      <c r="EB30" t="str">
        <f>IF('Data Checking'!EN30="","",'Data Checking'!EN30)</f>
        <v>1</v>
      </c>
      <c r="EC30" t="str">
        <f>IF('Data Checking'!EO30="","",'Data Checking'!EO30)</f>
        <v>0</v>
      </c>
      <c r="ED30" t="str">
        <f>IF('Data Checking'!EP30="","",'Data Checking'!EP30)</f>
        <v>1</v>
      </c>
      <c r="EE30" t="str">
        <f>IF('Data Checking'!EQ30="","",'Data Checking'!EQ30)</f>
        <v>0</v>
      </c>
      <c r="EF30" t="str">
        <f>IF('Data Checking'!ER30="","",'Data Checking'!ER30)</f>
        <v>0</v>
      </c>
      <c r="EG30" t="str">
        <f>IF('Data Checking'!ES30="","",'Data Checking'!ES30)</f>
        <v>0</v>
      </c>
      <c r="EH30" t="str">
        <f>IF('Data Checking'!ET30="","",'Data Checking'!ET30)</f>
        <v>0</v>
      </c>
      <c r="EI30" t="str">
        <f>IF('Data Checking'!EU30="","",'Data Checking'!EU30)</f>
        <v>0</v>
      </c>
      <c r="EJ30" t="str">
        <f>IF('Data Checking'!EV30="","",'Data Checking'!EV30)</f>
        <v/>
      </c>
      <c r="EK30" t="str">
        <f>IF('Data Checking'!EW30="","",'Data Checking'!EW30)</f>
        <v/>
      </c>
      <c r="EL30" t="str">
        <f>IF('Data Checking'!EX30="","",'Data Checking'!EX30)</f>
        <v>comite_protection comite_gestion_conflits</v>
      </c>
      <c r="EM30" t="str">
        <f>IF('Data Checking'!EY30="","",'Data Checking'!EY30)</f>
        <v>0</v>
      </c>
      <c r="EN30" t="str">
        <f>IF('Data Checking'!EZ30="","",'Data Checking'!EZ30)</f>
        <v>1</v>
      </c>
      <c r="EO30" t="str">
        <f>IF('Data Checking'!FA30="","",'Data Checking'!FA30)</f>
        <v>0</v>
      </c>
      <c r="EP30" t="str">
        <f>IF('Data Checking'!FB30="","",'Data Checking'!FB30)</f>
        <v>0</v>
      </c>
      <c r="EQ30" t="str">
        <f>IF('Data Checking'!FC30="","",'Data Checking'!FC30)</f>
        <v>0</v>
      </c>
      <c r="ER30" t="str">
        <f>IF('Data Checking'!FD30="","",'Data Checking'!FD30)</f>
        <v>1</v>
      </c>
      <c r="ES30" t="str">
        <f>IF('Data Checking'!FE30="","",'Data Checking'!FE30)</f>
        <v>0</v>
      </c>
      <c r="ET30" t="str">
        <f>IF('Data Checking'!FF30="","",'Data Checking'!FF30)</f>
        <v>0</v>
      </c>
      <c r="EU30" t="str">
        <f>IF('Data Checking'!FG30="","",'Data Checking'!FG30)</f>
        <v>0</v>
      </c>
      <c r="EV30" t="str">
        <f>IF('Data Checking'!FH30="","",'Data Checking'!FH30)</f>
        <v>0</v>
      </c>
      <c r="EW30" t="str">
        <f>IF('Data Checking'!FI30="","",'Data Checking'!FI30)</f>
        <v/>
      </c>
      <c r="EX30" t="str">
        <f>IF('Data Checking'!FJ30="","",'Data Checking'!FJ30)</f>
        <v>oui</v>
      </c>
      <c r="EY30" t="str">
        <f>IF('Data Checking'!FK30="","",'Data Checking'!FK30)</f>
        <v>Radio_television Internet Differents_comites_villageois Chef_village</v>
      </c>
      <c r="EZ30" t="str">
        <f>IF('Data Checking'!FL30="","",'Data Checking'!FL30)</f>
        <v>1</v>
      </c>
      <c r="FA30" t="str">
        <f>IF('Data Checking'!FM30="","",'Data Checking'!FM30)</f>
        <v>0</v>
      </c>
      <c r="FB30" t="str">
        <f>IF('Data Checking'!FN30="","",'Data Checking'!FN30)</f>
        <v>1</v>
      </c>
      <c r="FC30" t="str">
        <f>IF('Data Checking'!FO30="","",'Data Checking'!FO30)</f>
        <v>0</v>
      </c>
      <c r="FD30" t="str">
        <f>IF('Data Checking'!FP30="","",'Data Checking'!FP30)</f>
        <v>1</v>
      </c>
      <c r="FE30" t="str">
        <f>IF('Data Checking'!FQ30="","",'Data Checking'!FQ30)</f>
        <v>0</v>
      </c>
      <c r="FF30" t="str">
        <f>IF('Data Checking'!FR30="","",'Data Checking'!FR30)</f>
        <v>0</v>
      </c>
      <c r="FG30" t="str">
        <f>IF('Data Checking'!FS30="","",'Data Checking'!FS30)</f>
        <v>0</v>
      </c>
      <c r="FH30" t="str">
        <f>IF('Data Checking'!FT30="","",'Data Checking'!FT30)</f>
        <v>1</v>
      </c>
      <c r="FI30" t="str">
        <f>IF('Data Checking'!FU30="","",'Data Checking'!FU30)</f>
        <v>0</v>
      </c>
      <c r="FJ30" t="str">
        <f>IF('Data Checking'!FV30="","",'Data Checking'!FV30)</f>
        <v>0</v>
      </c>
      <c r="FK30" t="str">
        <f>IF('Data Checking'!FW30="","",'Data Checking'!FW30)</f>
        <v>0</v>
      </c>
      <c r="FL30" t="str">
        <f>IF('Data Checking'!FX30="","",'Data Checking'!FX30)</f>
        <v>0</v>
      </c>
      <c r="FM30" t="str">
        <f>IF('Data Checking'!FY30="","",'Data Checking'!FY30)</f>
        <v>0</v>
      </c>
      <c r="FN30" t="str">
        <f>IF('Data Checking'!FZ30="","",'Data Checking'!FZ30)</f>
        <v/>
      </c>
      <c r="FO30" t="str">
        <f>IF('Data Checking'!GA30="","",'Data Checking'!GA30)</f>
        <v>oui_majorite</v>
      </c>
      <c r="FP30" t="str">
        <f>IF('Data Checking'!GB30="","",'Data Checking'!GB30)</f>
        <v>oui_ensemble</v>
      </c>
      <c r="FQ30" t="str">
        <f>IF('Data Checking'!GC30="","",'Data Checking'!GC30)</f>
        <v/>
      </c>
      <c r="FR30" t="str">
        <f>IF('Data Checking'!GD30="","",'Data Checking'!GD30)</f>
        <v/>
      </c>
      <c r="FS30" t="str">
        <f>IF('Data Checking'!GE30="","",'Data Checking'!GE30)</f>
        <v/>
      </c>
      <c r="FT30" t="str">
        <f>IF('Data Checking'!GF30="","",'Data Checking'!GF30)</f>
        <v/>
      </c>
      <c r="FU30" t="str">
        <f>IF('Data Checking'!GG30="","",'Data Checking'!GG30)</f>
        <v/>
      </c>
      <c r="FV30" t="str">
        <f>IF('Data Checking'!GH30="","",'Data Checking'!GH30)</f>
        <v/>
      </c>
      <c r="FW30" t="str">
        <f>IF('Data Checking'!GI30="","",'Data Checking'!GI30)</f>
        <v/>
      </c>
      <c r="FX30" t="str">
        <f>IF('Data Checking'!GJ30="","",'Data Checking'!GJ30)</f>
        <v/>
      </c>
      <c r="FY30" t="str">
        <f>IF('Data Checking'!GK30="","",'Data Checking'!GK30)</f>
        <v/>
      </c>
      <c r="FZ30" t="str">
        <f>IF('Data Checking'!GL30="","",'Data Checking'!GL30)</f>
        <v/>
      </c>
      <c r="GA30" t="str">
        <f>IF('Data Checking'!GM30="","",'Data Checking'!GM30)</f>
        <v>moitie</v>
      </c>
      <c r="GB30" t="str">
        <f>IF('Data Checking'!GN30="","",'Data Checking'!GN30)</f>
        <v>ensemble</v>
      </c>
      <c r="GC30" t="str">
        <f>IF('Data Checking'!GO30="","",'Data Checking'!GO30)</f>
        <v>Education Services_de_sante Acces_aux_doc Suivi_judiciaire</v>
      </c>
      <c r="GD30" t="str">
        <f>IF('Data Checking'!GP30="","",'Data Checking'!GP30)</f>
        <v>0</v>
      </c>
      <c r="GE30" t="str">
        <f>IF('Data Checking'!GQ30="","",'Data Checking'!GQ30)</f>
        <v>1</v>
      </c>
      <c r="GF30" t="str">
        <f>IF('Data Checking'!GR30="","",'Data Checking'!GR30)</f>
        <v>0</v>
      </c>
      <c r="GG30" t="str">
        <f>IF('Data Checking'!GS30="","",'Data Checking'!GS30)</f>
        <v>1</v>
      </c>
      <c r="GH30" t="str">
        <f>IF('Data Checking'!GT30="","",'Data Checking'!GT30)</f>
        <v>1</v>
      </c>
      <c r="GI30" t="str">
        <f>IF('Data Checking'!GU30="","",'Data Checking'!GU30)</f>
        <v>1</v>
      </c>
      <c r="GJ30" t="str">
        <f>IF('Data Checking'!GV30="","",'Data Checking'!GV30)</f>
        <v>0</v>
      </c>
      <c r="GK30" t="str">
        <f>IF('Data Checking'!GW30="","",'Data Checking'!GW30)</f>
        <v>0</v>
      </c>
      <c r="GL30" t="str">
        <f>IF('Data Checking'!GX30="","",'Data Checking'!GX30)</f>
        <v>0</v>
      </c>
      <c r="GM30" t="str">
        <f>IF('Data Checking'!GY30="","",'Data Checking'!GY30)</f>
        <v/>
      </c>
      <c r="GN30" t="str">
        <f>IF('Data Checking'!GZ30="","",'Data Checking'!GZ30)</f>
        <v>oui_majorite</v>
      </c>
      <c r="GO30" t="str">
        <f>IF('Data Checking'!HA30="","",'Data Checking'!HA30)</f>
        <v>oui_ensemble</v>
      </c>
      <c r="GP30" t="str">
        <f>IF('Data Checking'!HB30="","",'Data Checking'!HB30)</f>
        <v>repond_besoins_pop diminution_tensions amelioration_futur</v>
      </c>
      <c r="GQ30" t="str">
        <f>IF('Data Checking'!HC30="","",'Data Checking'!HC30)</f>
        <v>1</v>
      </c>
      <c r="GR30" t="str">
        <f>IF('Data Checking'!HD30="","",'Data Checking'!HD30)</f>
        <v>1</v>
      </c>
      <c r="GS30" t="str">
        <f>IF('Data Checking'!HE30="","",'Data Checking'!HE30)</f>
        <v>0</v>
      </c>
      <c r="GT30" t="str">
        <f>IF('Data Checking'!HF30="","",'Data Checking'!HF30)</f>
        <v>0</v>
      </c>
      <c r="GU30" t="str">
        <f>IF('Data Checking'!HG30="","",'Data Checking'!HG30)</f>
        <v>0</v>
      </c>
      <c r="GV30" t="str">
        <f>IF('Data Checking'!HH30="","",'Data Checking'!HH30)</f>
        <v>1</v>
      </c>
      <c r="GW30" t="str">
        <f>IF('Data Checking'!HI30="","",'Data Checking'!HI30)</f>
        <v>0</v>
      </c>
      <c r="GX30" t="str">
        <f>IF('Data Checking'!HJ30="","",'Data Checking'!HJ30)</f>
        <v>0</v>
      </c>
      <c r="GY30" t="str">
        <f>IF('Data Checking'!HK30="","",'Data Checking'!HK30)</f>
        <v/>
      </c>
      <c r="GZ30" t="str">
        <f>IF('Data Checking'!HL30="","",'Data Checking'!HL30)</f>
        <v>non_obtention_info ne_contribue_pas</v>
      </c>
      <c r="HA30" t="str">
        <f>IF('Data Checking'!HM30="","",'Data Checking'!HM30)</f>
        <v>1</v>
      </c>
      <c r="HB30" t="str">
        <f>IF('Data Checking'!HN30="","",'Data Checking'!HN30)</f>
        <v>0</v>
      </c>
      <c r="HC30" t="str">
        <f>IF('Data Checking'!HO30="","",'Data Checking'!HO30)</f>
        <v>1</v>
      </c>
      <c r="HD30" t="str">
        <f>IF('Data Checking'!HP30="","",'Data Checking'!HP30)</f>
        <v>0</v>
      </c>
      <c r="HE30" t="str">
        <f>IF('Data Checking'!HQ30="","",'Data Checking'!HQ30)</f>
        <v>0</v>
      </c>
      <c r="HF30" t="str">
        <f>IF('Data Checking'!HR30="","",'Data Checking'!HR30)</f>
        <v>0</v>
      </c>
      <c r="HG30" t="str">
        <f>IF('Data Checking'!HS30="","",'Data Checking'!HS30)</f>
        <v/>
      </c>
      <c r="HH30" t="str">
        <f>IF('Data Checking'!HT30="","",'Data Checking'!HT30)</f>
        <v/>
      </c>
      <c r="HI30" t="str">
        <f>IF('Data Checking'!HU30="","",'Data Checking'!HU30)</f>
        <v>oui_minorite</v>
      </c>
      <c r="HJ30" t="str">
        <f>IF('Data Checking'!HV30="","",'Data Checking'!HV30)</f>
        <v>ingo</v>
      </c>
      <c r="HK30" t="str">
        <f>IF('Data Checking'!HW30="","",'Data Checking'!HW30)</f>
        <v>0</v>
      </c>
      <c r="HL30" t="str">
        <f>IF('Data Checking'!HX30="","",'Data Checking'!HX30)</f>
        <v>0</v>
      </c>
      <c r="HM30" t="str">
        <f>IF('Data Checking'!HY30="","",'Data Checking'!HY30)</f>
        <v>0</v>
      </c>
      <c r="HN30" t="str">
        <f>IF('Data Checking'!HZ30="","",'Data Checking'!HZ30)</f>
        <v>0</v>
      </c>
      <c r="HO30" t="str">
        <f>IF('Data Checking'!IA30="","",'Data Checking'!IA30)</f>
        <v>1</v>
      </c>
      <c r="HP30" t="str">
        <f>IF('Data Checking'!IB30="","",'Data Checking'!IB30)</f>
        <v>0</v>
      </c>
      <c r="HQ30" t="str">
        <f>IF('Data Checking'!IC30="","",'Data Checking'!IC30)</f>
        <v>0</v>
      </c>
      <c r="HR30" t="str">
        <f>IF('Data Checking'!ID30="","",'Data Checking'!ID30)</f>
        <v>0</v>
      </c>
      <c r="HS30" t="str">
        <f>IF('Data Checking'!IE30="","",'Data Checking'!IE30)</f>
        <v>0</v>
      </c>
      <c r="HT30" t="str">
        <f>IF('Data Checking'!IF30="","",'Data Checking'!IF30)</f>
        <v>0</v>
      </c>
      <c r="HU30" t="str">
        <f>IF('Data Checking'!IG30="","",'Data Checking'!IG30)</f>
        <v/>
      </c>
      <c r="HV30" t="str">
        <f>IF('Data Checking'!IH30="","",'Data Checking'!IH30)</f>
        <v>oui</v>
      </c>
      <c r="HW30" t="str">
        <f>IF('Data Checking'!II30="","",'Data Checking'!II30)</f>
        <v/>
      </c>
      <c r="HX30" t="str">
        <f>IF('Data Checking'!IJ30="","",'Data Checking'!IJ30)</f>
        <v/>
      </c>
      <c r="HY30" t="str">
        <f>IF('Data Checking'!IK30="","",'Data Checking'!IK30)</f>
        <v/>
      </c>
      <c r="HZ30" t="str">
        <f>IF('Data Checking'!IL30="","",'Data Checking'!IL30)</f>
        <v/>
      </c>
      <c r="IA30" t="str">
        <f>IF('Data Checking'!IM30="","",'Data Checking'!IM30)</f>
        <v/>
      </c>
      <c r="IB30" t="str">
        <f>IF('Data Checking'!IN30="","",'Data Checking'!IN30)</f>
        <v/>
      </c>
      <c r="IC30" t="str">
        <f>IF('Data Checking'!IO30="","",'Data Checking'!IO30)</f>
        <v/>
      </c>
      <c r="ID30" t="str">
        <f>IF('Data Checking'!IP30="","",'Data Checking'!IP30)</f>
        <v/>
      </c>
      <c r="IE30" t="str">
        <f>IF('Data Checking'!IQ30="","",'Data Checking'!IQ30)</f>
        <v/>
      </c>
      <c r="IF30" t="str">
        <f>IF('Data Checking'!IR30="","",'Data Checking'!IR30)</f>
        <v/>
      </c>
      <c r="IG30" t="str">
        <f>IF('Data Checking'!IS30="","",'Data Checking'!IS30)</f>
        <v/>
      </c>
      <c r="IH30" t="str">
        <f>IF('Data Checking'!IT30="","",'Data Checking'!IT30)</f>
        <v/>
      </c>
      <c r="II30" t="str">
        <f>IF('Data Checking'!IU30="","",'Data Checking'!IU30)</f>
        <v/>
      </c>
      <c r="IJ30" t="str">
        <f>IF('Data Checking'!IV30="","",'Data Checking'!IV30)</f>
        <v/>
      </c>
      <c r="IK30" t="str">
        <f>IF('Data Checking'!IW30="","",'Data Checking'!IW30)</f>
        <v/>
      </c>
      <c r="IL30" t="str">
        <f>IF('Data Checking'!IX30="","",'Data Checking'!IX30)</f>
        <v/>
      </c>
      <c r="IM30" t="str">
        <f>IF('Data Checking'!IY30="","",'Data Checking'!IY30)</f>
        <v/>
      </c>
      <c r="IN30" t="str">
        <f>IF('Data Checking'!IZ30="","",'Data Checking'!IZ30)</f>
        <v>5</v>
      </c>
      <c r="IO30" t="str">
        <f>IF('Data Checking'!JA30="","",'Data Checking'!JA30)</f>
        <v>Services_medicaux acces_docs service_judiciaire points_ecoute</v>
      </c>
      <c r="IP30" t="str">
        <f>IF('Data Checking'!JB30="","",'Data Checking'!JB30)</f>
        <v>0</v>
      </c>
      <c r="IQ30" t="str">
        <f>IF('Data Checking'!JC30="","",'Data Checking'!JC30)</f>
        <v>1</v>
      </c>
      <c r="IR30" t="str">
        <f>IF('Data Checking'!JD30="","",'Data Checking'!JD30)</f>
        <v>0</v>
      </c>
      <c r="IS30" t="str">
        <f>IF('Data Checking'!JE30="","",'Data Checking'!JE30)</f>
        <v>0</v>
      </c>
      <c r="IT30" t="str">
        <f>IF('Data Checking'!JF30="","",'Data Checking'!JF30)</f>
        <v>1</v>
      </c>
      <c r="IU30" t="str">
        <f>IF('Data Checking'!JG30="","",'Data Checking'!JG30)</f>
        <v>1</v>
      </c>
      <c r="IV30" t="str">
        <f>IF('Data Checking'!JH30="","",'Data Checking'!JH30)</f>
        <v>0</v>
      </c>
      <c r="IW30" t="str">
        <f>IF('Data Checking'!JI30="","",'Data Checking'!JI30)</f>
        <v>1</v>
      </c>
      <c r="IX30" t="str">
        <f>IF('Data Checking'!JJ30="","",'Data Checking'!JJ30)</f>
        <v>0</v>
      </c>
      <c r="IY30" t="str">
        <f>IF('Data Checking'!JK30="","",'Data Checking'!JK30)</f>
        <v>0</v>
      </c>
      <c r="IZ30" t="str">
        <f>IF('Data Checking'!JL30="","",'Data Checking'!JL30)</f>
        <v/>
      </c>
      <c r="JA30" t="str">
        <f>IF('Data Checking'!JM30="","",'Data Checking'!JM30)</f>
        <v>signalement reorientation prise_enchage</v>
      </c>
      <c r="JB30" t="str">
        <f>IF('Data Checking'!JN30="","",'Data Checking'!JN30)</f>
        <v>1</v>
      </c>
      <c r="JC30" t="str">
        <f>IF('Data Checking'!JO30="","",'Data Checking'!JO30)</f>
        <v>1</v>
      </c>
      <c r="JD30" t="str">
        <f>IF('Data Checking'!JP30="","",'Data Checking'!JP30)</f>
        <v>1</v>
      </c>
      <c r="JE30" t="str">
        <f>IF('Data Checking'!JQ30="","",'Data Checking'!JQ30)</f>
        <v>0</v>
      </c>
      <c r="JF30" t="str">
        <f>IF('Data Checking'!JR30="","",'Data Checking'!JR30)</f>
        <v>0</v>
      </c>
      <c r="JG30" t="str">
        <f>IF('Data Checking'!JS30="","",'Data Checking'!JS30)</f>
        <v>0</v>
      </c>
      <c r="JH30" t="str">
        <f>IF('Data Checking'!JT30="","",'Data Checking'!JT30)</f>
        <v/>
      </c>
      <c r="JI30" t="str">
        <f>IF('Data Checking'!JU30="","",'Data Checking'!JU30)</f>
        <v>point_ecoute medical</v>
      </c>
      <c r="JJ30" t="str">
        <f>IF('Data Checking'!JV30="","",'Data Checking'!JV30)</f>
        <v>1</v>
      </c>
      <c r="JK30" t="str">
        <f>IF('Data Checking'!JW30="","",'Data Checking'!JW30)</f>
        <v>0</v>
      </c>
      <c r="JL30" t="str">
        <f>IF('Data Checking'!JX30="","",'Data Checking'!JX30)</f>
        <v>1</v>
      </c>
      <c r="JM30" t="str">
        <f>IF('Data Checking'!JY30="","",'Data Checking'!JY30)</f>
        <v>0</v>
      </c>
      <c r="JN30" t="str">
        <f>IF('Data Checking'!JZ30="","",'Data Checking'!JZ30)</f>
        <v>0</v>
      </c>
      <c r="JO30" t="str">
        <f>IF('Data Checking'!KA30="","",'Data Checking'!KA30)</f>
        <v>0</v>
      </c>
      <c r="JP30" t="str">
        <f>IF('Data Checking'!KB30="","",'Data Checking'!KB30)</f>
        <v>0</v>
      </c>
      <c r="JQ30" t="str">
        <f>IF('Data Checking'!KC30="","",'Data Checking'!KC30)</f>
        <v>0</v>
      </c>
      <c r="JR30" t="str">
        <f>IF('Data Checking'!KD30="","",'Data Checking'!KD30)</f>
        <v>0</v>
      </c>
      <c r="JS30" t="str">
        <f>IF('Data Checking'!KE30="","",'Data Checking'!KE30)</f>
        <v/>
      </c>
      <c r="JT30" t="str">
        <f>IF('Data Checking'!KF30="","",'Data Checking'!KF30)</f>
        <v>medical juridique surete</v>
      </c>
      <c r="JU30" t="str">
        <f>IF('Data Checking'!KG30="","",'Data Checking'!KG30)</f>
        <v>1</v>
      </c>
      <c r="JV30" t="str">
        <f>IF('Data Checking'!KH30="","",'Data Checking'!KH30)</f>
        <v>0</v>
      </c>
      <c r="JW30" t="str">
        <f>IF('Data Checking'!KI30="","",'Data Checking'!KI30)</f>
        <v>0</v>
      </c>
      <c r="JX30" t="str">
        <f>IF('Data Checking'!KJ30="","",'Data Checking'!KJ30)</f>
        <v>1</v>
      </c>
      <c r="JY30" t="str">
        <f>IF('Data Checking'!KK30="","",'Data Checking'!KK30)</f>
        <v>1</v>
      </c>
      <c r="JZ30" t="str">
        <f>IF('Data Checking'!KL30="","",'Data Checking'!KL30)</f>
        <v>0</v>
      </c>
      <c r="KA30" t="str">
        <f>IF('Data Checking'!KM30="","",'Data Checking'!KM30)</f>
        <v>0</v>
      </c>
      <c r="KB30" t="str">
        <f>IF('Data Checking'!KN30="","",'Data Checking'!KN30)</f>
        <v>0</v>
      </c>
      <c r="KC30" t="str">
        <f>IF('Data Checking'!KO30="","",'Data Checking'!KO30)</f>
        <v>0</v>
      </c>
      <c r="KD30" t="str">
        <f>IF('Data Checking'!KP30="","",'Data Checking'!KP30)</f>
        <v/>
      </c>
      <c r="KE30" t="str">
        <f>IF('Data Checking'!KQ30="","",'Data Checking'!KQ30)</f>
        <v/>
      </c>
      <c r="KF30" t="str">
        <f>IF('Data Checking'!KR30="","",'Data Checking'!KR30)</f>
        <v>non</v>
      </c>
      <c r="KG30" t="str">
        <f>IF('Data Checking'!KS30="","",'Data Checking'!KS30)</f>
        <v/>
      </c>
      <c r="KH30" t="str">
        <f>IF('Data Checking'!KT30="","",'Data Checking'!KT30)</f>
        <v/>
      </c>
      <c r="KI30" t="str">
        <f>IF('Data Checking'!KU30="","",'Data Checking'!KU30)</f>
        <v/>
      </c>
      <c r="KJ30" t="str">
        <f>IF('Data Checking'!KV30="","",'Data Checking'!KV30)</f>
        <v/>
      </c>
      <c r="KK30" t="str">
        <f>IF('Data Checking'!KW30="","",'Data Checking'!KW30)</f>
        <v/>
      </c>
      <c r="KL30" t="str">
        <f>IF('Data Checking'!KX30="","",'Data Checking'!KX30)</f>
        <v/>
      </c>
      <c r="KM30" t="str">
        <f>IF('Data Checking'!KY30="","",'Data Checking'!KY30)</f>
        <v/>
      </c>
      <c r="KN30" t="str">
        <f>IF('Data Checking'!KZ30="","",'Data Checking'!KZ30)</f>
        <v/>
      </c>
      <c r="KO30" t="str">
        <f>IF('Data Checking'!LA30="","",'Data Checking'!LA30)</f>
        <v/>
      </c>
      <c r="KP30" t="str">
        <f>IF('Data Checking'!LB30="","",'Data Checking'!LB30)</f>
        <v/>
      </c>
      <c r="KQ30" t="str">
        <f>IF('Data Checking'!LC30="","",'Data Checking'!LC30)</f>
        <v/>
      </c>
      <c r="KR30" t="str">
        <f>IF('Data Checking'!LD30="","",'Data Checking'!LD30)</f>
        <v/>
      </c>
      <c r="KS30" t="str">
        <f>IF('Data Checking'!LE30="","",'Data Checking'!LE30)</f>
        <v/>
      </c>
      <c r="KT30" t="str">
        <f>IF('Data Checking'!LF30="","",'Data Checking'!LF30)</f>
        <v/>
      </c>
      <c r="KU30" t="str">
        <f>IF('Data Checking'!LG30="","",'Data Checking'!LG30)</f>
        <v/>
      </c>
      <c r="KV30" t="str">
        <f>IF('Data Checking'!LH30="","",'Data Checking'!LH30)</f>
        <v/>
      </c>
      <c r="KW30" t="str">
        <f>IF('Data Checking'!LI30="","",'Data Checking'!LI30)</f>
        <v/>
      </c>
      <c r="KX30" t="str">
        <f>IF('Data Checking'!LJ30="","",'Data Checking'!LJ30)</f>
        <v/>
      </c>
      <c r="KY30" t="str">
        <f>IF('Data Checking'!LK30="","",'Data Checking'!LK30)</f>
        <v/>
      </c>
      <c r="KZ30" t="str">
        <f>IF('Data Checking'!LL30="","",'Data Checking'!LL30)</f>
        <v/>
      </c>
      <c r="LA30" t="str">
        <f>IF('Data Checking'!LM30="","",'Data Checking'!LM30)</f>
        <v/>
      </c>
      <c r="LB30" t="str">
        <f>IF('Data Checking'!LN30="","",'Data Checking'!LN30)</f>
        <v>non</v>
      </c>
      <c r="LC30" t="str">
        <f>IF('Data Checking'!LO30="","",'Data Checking'!LO30)</f>
        <v/>
      </c>
      <c r="LD30" t="str">
        <f>IF('Data Checking'!LP30="","",'Data Checking'!LP30)</f>
        <v/>
      </c>
      <c r="LE30" t="str">
        <f>IF('Data Checking'!LQ30="","",'Data Checking'!LQ30)</f>
        <v/>
      </c>
      <c r="LF30" t="str">
        <f>IF('Data Checking'!LR30="","",'Data Checking'!LR30)</f>
        <v/>
      </c>
      <c r="LG30" t="str">
        <f>IF('Data Checking'!LS30="","",'Data Checking'!LS30)</f>
        <v/>
      </c>
      <c r="LH30" t="str">
        <f>IF('Data Checking'!LT30="","",'Data Checking'!LT30)</f>
        <v/>
      </c>
      <c r="LI30" t="str">
        <f>IF('Data Checking'!LU30="","",'Data Checking'!LU30)</f>
        <v/>
      </c>
      <c r="LJ30" t="str">
        <f>IF('Data Checking'!LV30="","",'Data Checking'!LV30)</f>
        <v/>
      </c>
      <c r="LK30" t="str">
        <f>IF('Data Checking'!LW30="","",'Data Checking'!LW30)</f>
        <v/>
      </c>
      <c r="LL30" t="str">
        <f>IF('Data Checking'!LX30="","",'Data Checking'!LX30)</f>
        <v/>
      </c>
      <c r="LM30" t="str">
        <f>IF('Data Checking'!LY30="","",'Data Checking'!LY30)</f>
        <v/>
      </c>
      <c r="LN30" t="str">
        <f>IF('Data Checking'!LZ30="","",'Data Checking'!LZ30)</f>
        <v/>
      </c>
      <c r="LO30" t="str">
        <f>IF('Data Checking'!MA30="","",'Data Checking'!MA30)</f>
        <v/>
      </c>
      <c r="LP30" t="str">
        <f>IF('Data Checking'!MB30="","",'Data Checking'!MB30)</f>
        <v>oui</v>
      </c>
      <c r="LQ30" t="str">
        <f>IF('Data Checking'!MC30="","",'Data Checking'!MC30)</f>
        <v/>
      </c>
      <c r="LR30" t="str">
        <f>IF('Data Checking'!MD30="","",'Data Checking'!MD30)</f>
        <v/>
      </c>
      <c r="LS30">
        <f>IF('Data Checking'!ME30="","",'Data Checking'!ME30)</f>
        <v>172011402</v>
      </c>
      <c r="LT30" t="str">
        <f>IF('Data Checking'!MF30="","",'Data Checking'!MF30)</f>
        <v>f7fb0afa-f30b-4d64-80bc-b8350cfd417a</v>
      </c>
      <c r="LU30" t="str">
        <f>IF('Data Checking'!MG30="","",'Data Checking'!MG30)</f>
        <v>2021-04-16T16:12:05</v>
      </c>
      <c r="LV30" t="str">
        <f>IF('Data Checking'!MH30="","",'Data Checking'!MH30)</f>
        <v/>
      </c>
      <c r="LW30" t="str">
        <f>IF('Data Checking'!MI30="","",'Data Checking'!MI30)</f>
        <v>[]</v>
      </c>
      <c r="LX30" t="str">
        <f>IF('Data Checking'!MJ30="","",'Data Checking'!MJ30)</f>
        <v>submitted_via_web</v>
      </c>
      <c r="LY30" t="str">
        <f>IF('Data Checking'!MK30="","",'Data Checking'!MK30)</f>
        <v>reach_niger</v>
      </c>
      <c r="LZ30" t="str">
        <f>IF('Data Checking'!ML30="","",'Data Checking'!ML30)</f>
        <v/>
      </c>
      <c r="MA30">
        <f>IF('Data Checking'!MM30="","",'Data Checking'!MM30)</f>
        <v>72</v>
      </c>
    </row>
    <row r="31" spans="1:339" x14ac:dyDescent="0.3">
      <c r="A31" t="str">
        <f>IF('Data Checking'!D31="","",'Data Checking'!D31)</f>
        <v>2021-04-16T12:19:40.239+01:00</v>
      </c>
      <c r="B31" t="str">
        <f>IF('Data Checking'!E31="","",'Data Checking'!E31)</f>
        <v>2021-04-16T13:00:54.109+01:00</v>
      </c>
      <c r="C31" t="str">
        <f>IF('Data Checking'!M31="","",'Data Checking'!M31)</f>
        <v>2021-04-16</v>
      </c>
      <c r="D31" t="str">
        <f>IF('Data Checking'!N31="","",'Data Checking'!N31)</f>
        <v/>
      </c>
      <c r="E31" t="str">
        <f>IF('Data Checking'!O31="","",'Data Checking'!O31)</f>
        <v/>
      </c>
      <c r="F31" t="str">
        <f>IF('Data Checking'!R31="","",'Data Checking'!R31)</f>
        <v>Homme</v>
      </c>
      <c r="G31" t="str">
        <f>IF('Data Checking'!S31="","",'Data Checking'!S31)</f>
        <v>tera</v>
      </c>
      <c r="H31" t="str">
        <f>IF('Data Checking'!T31="","",'Data Checking'!T31)</f>
        <v>tera</v>
      </c>
      <c r="I31" t="str">
        <f>IF('Data Checking'!U31="","",'Data Checking'!U31)</f>
        <v>chateau</v>
      </c>
      <c r="J31" t="str">
        <f>IF('Data Checking'!V31="","",'Data Checking'!V31)</f>
        <v/>
      </c>
      <c r="K31" t="str">
        <f>IF('Data Checking'!W31="","",'Data Checking'!W31)</f>
        <v/>
      </c>
      <c r="L31" t="str">
        <f>IF('Data Checking'!X31="","",'Data Checking'!X31)</f>
        <v/>
      </c>
      <c r="M31" t="str">
        <f>IF('Data Checking'!Y31="","",'Data Checking'!Y31)</f>
        <v/>
      </c>
      <c r="N31" t="str">
        <f>IF('Data Checking'!Z31="","",'Data Checking'!Z31)</f>
        <v/>
      </c>
      <c r="O31" t="str">
        <f>IF('Data Checking'!AA31="","",'Data Checking'!AA31)</f>
        <v/>
      </c>
      <c r="P31" t="str">
        <f>IF('Data Checking'!AB31="","",'Data Checking'!AB31)</f>
        <v/>
      </c>
      <c r="Q31" t="str">
        <f>IF('Data Checking'!AC31="","",'Data Checking'!AC31)</f>
        <v/>
      </c>
      <c r="R31" t="str">
        <f>IF('Data Checking'!AD31="","",'Data Checking'!AD31)</f>
        <v>Homme</v>
      </c>
      <c r="S31" t="str">
        <f>IF('Data Checking'!AE31="","",'Data Checking'!AE31)</f>
        <v>62</v>
      </c>
      <c r="T31" t="str">
        <f>IF('Data Checking'!AF31="","",'Data Checking'!AF31)</f>
        <v>deplace_interne</v>
      </c>
      <c r="U31" t="str">
        <f>IF('Data Checking'!AG31="","",'Data Checking'!AG31)</f>
        <v/>
      </c>
      <c r="V31" t="str">
        <f>IF('Data Checking'!AH31="","",'Data Checking'!AH31)</f>
        <v/>
      </c>
      <c r="W31" t="str">
        <f>IF('Data Checking'!AI31="","",'Data Checking'!AI31)</f>
        <v/>
      </c>
      <c r="X31" t="str">
        <f>IF('Data Checking'!AJ31="","",'Data Checking'!AJ31)</f>
        <v/>
      </c>
      <c r="Y31" t="str">
        <f>IF('Data Checking'!AK31="","",'Data Checking'!AK31)</f>
        <v/>
      </c>
      <c r="Z31" t="str">
        <f>IF('Data Checking'!AL31="","",'Data Checking'!AL31)</f>
        <v>niger</v>
      </c>
      <c r="AA31" t="str">
        <f>IF('Data Checking'!AM31="","",'Data Checking'!AM31)</f>
        <v>tillaberi</v>
      </c>
      <c r="AB31" t="str">
        <f>IF('Data Checking'!AN31="","",'Data Checking'!AN31)</f>
        <v>tera</v>
      </c>
      <c r="AC31" t="str">
        <f>IF('Data Checking'!AO31="","",'Data Checking'!AO31)</f>
        <v/>
      </c>
      <c r="AD31" t="str">
        <f>IF('Data Checking'!AP31="","",'Data Checking'!AP31)</f>
        <v/>
      </c>
      <c r="AE31" t="str">
        <f>IF('Data Checking'!AQ31="","",'Data Checking'!AQ31)</f>
        <v/>
      </c>
      <c r="AF31" t="str">
        <f>IF('Data Checking'!AR31="","",'Data Checking'!AR31)</f>
        <v/>
      </c>
      <c r="AG31" t="str">
        <f>IF('Data Checking'!AS31="","",'Data Checking'!AS31)</f>
        <v>non</v>
      </c>
      <c r="AH31" t="str">
        <f>IF('Data Checking'!AT31="","",'Data Checking'!AT31)</f>
        <v/>
      </c>
      <c r="AI31" t="str">
        <f>IF('Data Checking'!AU31="","",'Data Checking'!AU31)</f>
        <v/>
      </c>
      <c r="AJ31" t="str">
        <f>IF('Data Checking'!AV31="","",'Data Checking'!AV31)</f>
        <v/>
      </c>
      <c r="AK31" t="str">
        <f>IF('Data Checking'!AW31="","",'Data Checking'!AW31)</f>
        <v/>
      </c>
      <c r="AL31" t="str">
        <f>IF('Data Checking'!AX31="","",'Data Checking'!AX31)</f>
        <v/>
      </c>
      <c r="AM31" t="str">
        <f>IF('Data Checking'!AY31="","",'Data Checking'!AY31)</f>
        <v/>
      </c>
      <c r="AN31" t="str">
        <f>IF('Data Checking'!AZ31="","",'Data Checking'!AZ31)</f>
        <v/>
      </c>
      <c r="AO31" t="str">
        <f>IF('Data Checking'!BA31="","",'Data Checking'!BA31)</f>
        <v/>
      </c>
      <c r="AP31" t="str">
        <f>IF('Data Checking'!BB31="","",'Data Checking'!BB31)</f>
        <v/>
      </c>
      <c r="AQ31" t="str">
        <f>IF('Data Checking'!BC31="","",'Data Checking'!BC31)</f>
        <v/>
      </c>
      <c r="AR31" t="str">
        <f>IF('Data Checking'!BD31="","",'Data Checking'!BD31)</f>
        <v/>
      </c>
      <c r="AS31" t="str">
        <f>IF('Data Checking'!BE31="","",'Data Checking'!BE31)</f>
        <v/>
      </c>
      <c r="AT31" t="str">
        <f>IF('Data Checking'!BF31="","",'Data Checking'!BF31)</f>
        <v/>
      </c>
      <c r="AU31" t="str">
        <f>IF('Data Checking'!BG31="","",'Data Checking'!BG31)</f>
        <v/>
      </c>
      <c r="AV31" t="str">
        <f>IF('Data Checking'!BH31="","",'Data Checking'!BH31)</f>
        <v/>
      </c>
      <c r="AW31" t="str">
        <f>IF('Data Checking'!BI31="","",'Data Checking'!BI31)</f>
        <v/>
      </c>
      <c r="AX31" t="str">
        <f>IF('Data Checking'!BJ31="","",'Data Checking'!BJ31)</f>
        <v/>
      </c>
      <c r="AY31" t="str">
        <f>IF('Data Checking'!BK31="","",'Data Checking'!BK31)</f>
        <v/>
      </c>
      <c r="AZ31" t="str">
        <f>IF('Data Checking'!BL31="","",'Data Checking'!BL31)</f>
        <v/>
      </c>
      <c r="BA31" t="str">
        <f>IF('Data Checking'!BM31="","",'Data Checking'!BM31)</f>
        <v/>
      </c>
      <c r="BB31" t="str">
        <f>IF('Data Checking'!BN31="","",'Data Checking'!BN31)</f>
        <v/>
      </c>
      <c r="BC31" t="str">
        <f>IF('Data Checking'!BO31="","",'Data Checking'!BO31)</f>
        <v/>
      </c>
      <c r="BD31" t="str">
        <f>IF('Data Checking'!BP31="","",'Data Checking'!BP31)</f>
        <v/>
      </c>
      <c r="BE31" t="str">
        <f>IF('Data Checking'!BQ31="","",'Data Checking'!BQ31)</f>
        <v/>
      </c>
      <c r="BF31" t="str">
        <f>IF('Data Checking'!BR31="","",'Data Checking'!BR31)</f>
        <v/>
      </c>
      <c r="BG31" t="str">
        <f>IF('Data Checking'!BS31="","",'Data Checking'!BS31)</f>
        <v/>
      </c>
      <c r="BH31" t="str">
        <f>IF('Data Checking'!BT31="","",'Data Checking'!BT31)</f>
        <v/>
      </c>
      <c r="BI31" t="str">
        <f>IF('Data Checking'!BU31="","",'Data Checking'!BU31)</f>
        <v/>
      </c>
      <c r="BJ31" t="str">
        <f>IF('Data Checking'!BV31="","",'Data Checking'!BV31)</f>
        <v/>
      </c>
      <c r="BK31" t="str">
        <f>IF('Data Checking'!BW31="","",'Data Checking'!BW31)</f>
        <v/>
      </c>
      <c r="BL31" t="str">
        <f>IF('Data Checking'!BX31="","",'Data Checking'!BX31)</f>
        <v/>
      </c>
      <c r="BM31" t="str">
        <f>IF('Data Checking'!BY31="","",'Data Checking'!BY31)</f>
        <v/>
      </c>
      <c r="BN31" t="str">
        <f>IF('Data Checking'!BZ31="","",'Data Checking'!BZ31)</f>
        <v/>
      </c>
      <c r="BO31" t="str">
        <f>IF('Data Checking'!CA31="","",'Data Checking'!CA31)</f>
        <v/>
      </c>
      <c r="BP31" t="str">
        <f>IF('Data Checking'!CB31="","",'Data Checking'!CB31)</f>
        <v/>
      </c>
      <c r="BQ31" t="str">
        <f>IF('Data Checking'!CC31="","",'Data Checking'!CC31)</f>
        <v>non</v>
      </c>
      <c r="BR31" t="str">
        <f>IF('Data Checking'!CD31="","",'Data Checking'!CD31)</f>
        <v/>
      </c>
      <c r="BS31" t="str">
        <f>IF('Data Checking'!CE31="","",'Data Checking'!CE31)</f>
        <v/>
      </c>
      <c r="BT31" t="str">
        <f>IF('Data Checking'!CF31="","",'Data Checking'!CF31)</f>
        <v/>
      </c>
      <c r="BU31" t="str">
        <f>IF('Data Checking'!CG31="","",'Data Checking'!CG31)</f>
        <v/>
      </c>
      <c r="BV31" t="str">
        <f>IF('Data Checking'!CH31="","",'Data Checking'!CH31)</f>
        <v/>
      </c>
      <c r="BW31" t="str">
        <f>IF('Data Checking'!CI31="","",'Data Checking'!CI31)</f>
        <v/>
      </c>
      <c r="BX31" t="str">
        <f>IF('Data Checking'!CJ31="","",'Data Checking'!CJ31)</f>
        <v/>
      </c>
      <c r="BY31" t="str">
        <f>IF('Data Checking'!CK31="","",'Data Checking'!CK31)</f>
        <v/>
      </c>
      <c r="BZ31" t="str">
        <f>IF('Data Checking'!CL31="","",'Data Checking'!CL31)</f>
        <v/>
      </c>
      <c r="CA31" t="str">
        <f>IF('Data Checking'!CM31="","",'Data Checking'!CM31)</f>
        <v/>
      </c>
      <c r="CB31" t="str">
        <f>IF('Data Checking'!CN31="","",'Data Checking'!CN31)</f>
        <v/>
      </c>
      <c r="CC31" t="str">
        <f>IF('Data Checking'!CO31="","",'Data Checking'!CO31)</f>
        <v/>
      </c>
      <c r="CD31" t="str">
        <f>IF('Data Checking'!CP31="","",'Data Checking'!CP31)</f>
        <v/>
      </c>
      <c r="CE31" t="str">
        <f>IF('Data Checking'!CQ31="","",'Data Checking'!CQ31)</f>
        <v/>
      </c>
      <c r="CF31" t="str">
        <f>IF('Data Checking'!CR31="","",'Data Checking'!CR31)</f>
        <v/>
      </c>
      <c r="CG31" t="str">
        <f>IF('Data Checking'!CS31="","",'Data Checking'!CS31)</f>
        <v/>
      </c>
      <c r="CH31" t="str">
        <f>IF('Data Checking'!CT31="","",'Data Checking'!CT31)</f>
        <v/>
      </c>
      <c r="CI31" t="str">
        <f>IF('Data Checking'!CU31="","",'Data Checking'!CU31)</f>
        <v/>
      </c>
      <c r="CJ31" t="str">
        <f>IF('Data Checking'!CV31="","",'Data Checking'!CV31)</f>
        <v/>
      </c>
      <c r="CK31" t="str">
        <f>IF('Data Checking'!CW31="","",'Data Checking'!CW31)</f>
        <v/>
      </c>
      <c r="CL31" t="str">
        <f>IF('Data Checking'!CX31="","",'Data Checking'!CX31)</f>
        <v/>
      </c>
      <c r="CM31" t="str">
        <f>IF('Data Checking'!CY31="","",'Data Checking'!CY31)</f>
        <v/>
      </c>
      <c r="CN31" t="str">
        <f>IF('Data Checking'!CZ31="","",'Data Checking'!CZ31)</f>
        <v/>
      </c>
      <c r="CO31" t="str">
        <f>IF('Data Checking'!DA31="","",'Data Checking'!DA31)</f>
        <v/>
      </c>
      <c r="CP31" t="str">
        <f>IF('Data Checking'!DB31="","",'Data Checking'!DB31)</f>
        <v/>
      </c>
      <c r="CQ31" t="str">
        <f>IF('Data Checking'!DC31="","",'Data Checking'!DC31)</f>
        <v/>
      </c>
      <c r="CR31" t="str">
        <f>IF('Data Checking'!DD31="","",'Data Checking'!DD31)</f>
        <v/>
      </c>
      <c r="CS31" t="str">
        <f>IF('Data Checking'!DE31="","",'Data Checking'!DE31)</f>
        <v/>
      </c>
      <c r="CT31" t="str">
        <f>IF('Data Checking'!DF31="","",'Data Checking'!DF31)</f>
        <v/>
      </c>
      <c r="CU31" t="str">
        <f>IF('Data Checking'!DG31="","",'Data Checking'!DG31)</f>
        <v/>
      </c>
      <c r="CV31" t="str">
        <f>IF('Data Checking'!DH31="","",'Data Checking'!DH31)</f>
        <v/>
      </c>
      <c r="CW31" t="str">
        <f>IF('Data Checking'!DI31="","",'Data Checking'!DI31)</f>
        <v/>
      </c>
      <c r="CX31" t="str">
        <f>IF('Data Checking'!DJ31="","",'Data Checking'!DJ31)</f>
        <v/>
      </c>
      <c r="CY31" t="str">
        <f>IF('Data Checking'!DK31="","",'Data Checking'!DK31)</f>
        <v/>
      </c>
      <c r="CZ31" t="str">
        <f>IF('Data Checking'!DL31="","",'Data Checking'!DL31)</f>
        <v/>
      </c>
      <c r="DA31" t="str">
        <f>IF('Data Checking'!DM31="","",'Data Checking'!DM31)</f>
        <v/>
      </c>
      <c r="DB31" t="str">
        <f>IF('Data Checking'!DN31="","",'Data Checking'!DN31)</f>
        <v/>
      </c>
      <c r="DC31" t="str">
        <f>IF('Data Checking'!DO31="","",'Data Checking'!DO31)</f>
        <v/>
      </c>
      <c r="DD31" t="str">
        <f>IF('Data Checking'!DP31="","",'Data Checking'!DP31)</f>
        <v/>
      </c>
      <c r="DE31" t="str">
        <f>IF('Data Checking'!DQ31="","",'Data Checking'!DQ31)</f>
        <v/>
      </c>
      <c r="DF31" t="str">
        <f>IF('Data Checking'!DR31="","",'Data Checking'!DR31)</f>
        <v/>
      </c>
      <c r="DG31" t="str">
        <f>IF('Data Checking'!DS31="","",'Data Checking'!DS31)</f>
        <v/>
      </c>
      <c r="DH31" t="str">
        <f>IF('Data Checking'!DT31="","",'Data Checking'!DT31)</f>
        <v/>
      </c>
      <c r="DI31" t="str">
        <f>IF('Data Checking'!DU31="","",'Data Checking'!DU31)</f>
        <v/>
      </c>
      <c r="DJ31" t="str">
        <f>IF('Data Checking'!DV31="","",'Data Checking'!DV31)</f>
        <v/>
      </c>
      <c r="DK31" t="str">
        <f>IF('Data Checking'!DW31="","",'Data Checking'!DW31)</f>
        <v/>
      </c>
      <c r="DL31" t="str">
        <f>IF('Data Checking'!DX31="","",'Data Checking'!DX31)</f>
        <v/>
      </c>
      <c r="DM31" t="str">
        <f>IF('Data Checking'!DY31="","",'Data Checking'!DY31)</f>
        <v/>
      </c>
      <c r="DN31" t="str">
        <f>IF('Data Checking'!DZ31="","",'Data Checking'!DZ31)</f>
        <v/>
      </c>
      <c r="DO31" t="str">
        <f>IF('Data Checking'!EA31="","",'Data Checking'!EA31)</f>
        <v/>
      </c>
      <c r="DP31" t="str">
        <f>IF('Data Checking'!EB31="","",'Data Checking'!EB31)</f>
        <v/>
      </c>
      <c r="DQ31" t="str">
        <f>IF('Data Checking'!EC31="","",'Data Checking'!EC31)</f>
        <v/>
      </c>
      <c r="DR31" t="str">
        <f>IF('Data Checking'!ED31="","",'Data Checking'!ED31)</f>
        <v/>
      </c>
      <c r="DS31" t="str">
        <f>IF('Data Checking'!EE31="","",'Data Checking'!EE31)</f>
        <v/>
      </c>
      <c r="DT31" t="str">
        <f>IF('Data Checking'!EF31="","",'Data Checking'!EF31)</f>
        <v/>
      </c>
      <c r="DU31" t="str">
        <f>IF('Data Checking'!EG31="","",'Data Checking'!EG31)</f>
        <v/>
      </c>
      <c r="DV31" t="str">
        <f>IF('Data Checking'!EH31="","",'Data Checking'!EH31)</f>
        <v/>
      </c>
      <c r="DW31" t="str">
        <f>IF('Data Checking'!EI31="","",'Data Checking'!EI31)</f>
        <v/>
      </c>
      <c r="DX31" t="str">
        <f>IF('Data Checking'!EJ31="","",'Data Checking'!EJ31)</f>
        <v/>
      </c>
      <c r="DY31" t="str">
        <f>IF('Data Checking'!EK31="","",'Data Checking'!EK31)</f>
        <v/>
      </c>
      <c r="DZ31" t="str">
        <f>IF('Data Checking'!EL31="","",'Data Checking'!EL31)</f>
        <v>Integration_com_hote Soutien_chef_village Soutien_famille_amis</v>
      </c>
      <c r="EA31" t="str">
        <f>IF('Data Checking'!EM31="","",'Data Checking'!EM31)</f>
        <v>0</v>
      </c>
      <c r="EB31" t="str">
        <f>IF('Data Checking'!EN31="","",'Data Checking'!EN31)</f>
        <v>1</v>
      </c>
      <c r="EC31" t="str">
        <f>IF('Data Checking'!EO31="","",'Data Checking'!EO31)</f>
        <v>1</v>
      </c>
      <c r="ED31" t="str">
        <f>IF('Data Checking'!EP31="","",'Data Checking'!EP31)</f>
        <v>1</v>
      </c>
      <c r="EE31" t="str">
        <f>IF('Data Checking'!EQ31="","",'Data Checking'!EQ31)</f>
        <v>0</v>
      </c>
      <c r="EF31" t="str">
        <f>IF('Data Checking'!ER31="","",'Data Checking'!ER31)</f>
        <v>0</v>
      </c>
      <c r="EG31" t="str">
        <f>IF('Data Checking'!ES31="","",'Data Checking'!ES31)</f>
        <v>0</v>
      </c>
      <c r="EH31" t="str">
        <f>IF('Data Checking'!ET31="","",'Data Checking'!ET31)</f>
        <v>0</v>
      </c>
      <c r="EI31" t="str">
        <f>IF('Data Checking'!EU31="","",'Data Checking'!EU31)</f>
        <v>0</v>
      </c>
      <c r="EJ31" t="str">
        <f>IF('Data Checking'!EV31="","",'Data Checking'!EV31)</f>
        <v/>
      </c>
      <c r="EK31" t="str">
        <f>IF('Data Checking'!EW31="","",'Data Checking'!EW31)</f>
        <v/>
      </c>
      <c r="EL31" t="str">
        <f>IF('Data Checking'!EX31="","",'Data Checking'!EX31)</f>
        <v>comite_protection comite_gestion_conflits famille_accueil</v>
      </c>
      <c r="EM31" t="str">
        <f>IF('Data Checking'!EY31="","",'Data Checking'!EY31)</f>
        <v>0</v>
      </c>
      <c r="EN31" t="str">
        <f>IF('Data Checking'!EZ31="","",'Data Checking'!EZ31)</f>
        <v>1</v>
      </c>
      <c r="EO31" t="str">
        <f>IF('Data Checking'!FA31="","",'Data Checking'!FA31)</f>
        <v>1</v>
      </c>
      <c r="EP31" t="str">
        <f>IF('Data Checking'!FB31="","",'Data Checking'!FB31)</f>
        <v>0</v>
      </c>
      <c r="EQ31" t="str">
        <f>IF('Data Checking'!FC31="","",'Data Checking'!FC31)</f>
        <v>0</v>
      </c>
      <c r="ER31" t="str">
        <f>IF('Data Checking'!FD31="","",'Data Checking'!FD31)</f>
        <v>1</v>
      </c>
      <c r="ES31" t="str">
        <f>IF('Data Checking'!FE31="","",'Data Checking'!FE31)</f>
        <v>0</v>
      </c>
      <c r="ET31" t="str">
        <f>IF('Data Checking'!FF31="","",'Data Checking'!FF31)</f>
        <v>0</v>
      </c>
      <c r="EU31" t="str">
        <f>IF('Data Checking'!FG31="","",'Data Checking'!FG31)</f>
        <v>0</v>
      </c>
      <c r="EV31" t="str">
        <f>IF('Data Checking'!FH31="","",'Data Checking'!FH31)</f>
        <v>0</v>
      </c>
      <c r="EW31" t="str">
        <f>IF('Data Checking'!FI31="","",'Data Checking'!FI31)</f>
        <v/>
      </c>
      <c r="EX31" t="str">
        <f>IF('Data Checking'!FJ31="","",'Data Checking'!FJ31)</f>
        <v>oui</v>
      </c>
      <c r="EY31" t="str">
        <f>IF('Data Checking'!FK31="","",'Data Checking'!FK31)</f>
        <v>Internet Chef_village Differents_comites_villageois</v>
      </c>
      <c r="EZ31" t="str">
        <f>IF('Data Checking'!FL31="","",'Data Checking'!FL31)</f>
        <v>0</v>
      </c>
      <c r="FA31" t="str">
        <f>IF('Data Checking'!FM31="","",'Data Checking'!FM31)</f>
        <v>0</v>
      </c>
      <c r="FB31" t="str">
        <f>IF('Data Checking'!FN31="","",'Data Checking'!FN31)</f>
        <v>1</v>
      </c>
      <c r="FC31" t="str">
        <f>IF('Data Checking'!FO31="","",'Data Checking'!FO31)</f>
        <v>0</v>
      </c>
      <c r="FD31" t="str">
        <f>IF('Data Checking'!FP31="","",'Data Checking'!FP31)</f>
        <v>1</v>
      </c>
      <c r="FE31" t="str">
        <f>IF('Data Checking'!FQ31="","",'Data Checking'!FQ31)</f>
        <v>0</v>
      </c>
      <c r="FF31" t="str">
        <f>IF('Data Checking'!FR31="","",'Data Checking'!FR31)</f>
        <v>0</v>
      </c>
      <c r="FG31" t="str">
        <f>IF('Data Checking'!FS31="","",'Data Checking'!FS31)</f>
        <v>0</v>
      </c>
      <c r="FH31" t="str">
        <f>IF('Data Checking'!FT31="","",'Data Checking'!FT31)</f>
        <v>1</v>
      </c>
      <c r="FI31" t="str">
        <f>IF('Data Checking'!FU31="","",'Data Checking'!FU31)</f>
        <v>0</v>
      </c>
      <c r="FJ31" t="str">
        <f>IF('Data Checking'!FV31="","",'Data Checking'!FV31)</f>
        <v>0</v>
      </c>
      <c r="FK31" t="str">
        <f>IF('Data Checking'!FW31="","",'Data Checking'!FW31)</f>
        <v>0</v>
      </c>
      <c r="FL31" t="str">
        <f>IF('Data Checking'!FX31="","",'Data Checking'!FX31)</f>
        <v>0</v>
      </c>
      <c r="FM31" t="str">
        <f>IF('Data Checking'!FY31="","",'Data Checking'!FY31)</f>
        <v>0</v>
      </c>
      <c r="FN31" t="str">
        <f>IF('Data Checking'!FZ31="","",'Data Checking'!FZ31)</f>
        <v/>
      </c>
      <c r="FO31" t="str">
        <f>IF('Data Checking'!GA31="","",'Data Checking'!GA31)</f>
        <v>oui_ensemble</v>
      </c>
      <c r="FP31" t="str">
        <f>IF('Data Checking'!GB31="","",'Data Checking'!GB31)</f>
        <v>oui_ensemble</v>
      </c>
      <c r="FQ31" t="str">
        <f>IF('Data Checking'!GC31="","",'Data Checking'!GC31)</f>
        <v/>
      </c>
      <c r="FR31" t="str">
        <f>IF('Data Checking'!GD31="","",'Data Checking'!GD31)</f>
        <v/>
      </c>
      <c r="FS31" t="str">
        <f>IF('Data Checking'!GE31="","",'Data Checking'!GE31)</f>
        <v/>
      </c>
      <c r="FT31" t="str">
        <f>IF('Data Checking'!GF31="","",'Data Checking'!GF31)</f>
        <v/>
      </c>
      <c r="FU31" t="str">
        <f>IF('Data Checking'!GG31="","",'Data Checking'!GG31)</f>
        <v/>
      </c>
      <c r="FV31" t="str">
        <f>IF('Data Checking'!GH31="","",'Data Checking'!GH31)</f>
        <v/>
      </c>
      <c r="FW31" t="str">
        <f>IF('Data Checking'!GI31="","",'Data Checking'!GI31)</f>
        <v/>
      </c>
      <c r="FX31" t="str">
        <f>IF('Data Checking'!GJ31="","",'Data Checking'!GJ31)</f>
        <v/>
      </c>
      <c r="FY31" t="str">
        <f>IF('Data Checking'!GK31="","",'Data Checking'!GK31)</f>
        <v/>
      </c>
      <c r="FZ31" t="str">
        <f>IF('Data Checking'!GL31="","",'Data Checking'!GL31)</f>
        <v/>
      </c>
      <c r="GA31" t="str">
        <f>IF('Data Checking'!GM31="","",'Data Checking'!GM31)</f>
        <v>ensemble</v>
      </c>
      <c r="GB31" t="str">
        <f>IF('Data Checking'!GN31="","",'Data Checking'!GN31)</f>
        <v>ensemble</v>
      </c>
      <c r="GC31" t="str">
        <f>IF('Data Checking'!GO31="","",'Data Checking'!GO31)</f>
        <v>Services_de_sante Acces_aux_doc</v>
      </c>
      <c r="GD31" t="str">
        <f>IF('Data Checking'!GP31="","",'Data Checking'!GP31)</f>
        <v>0</v>
      </c>
      <c r="GE31" t="str">
        <f>IF('Data Checking'!GQ31="","",'Data Checking'!GQ31)</f>
        <v>0</v>
      </c>
      <c r="GF31" t="str">
        <f>IF('Data Checking'!GR31="","",'Data Checking'!GR31)</f>
        <v>0</v>
      </c>
      <c r="GG31" t="str">
        <f>IF('Data Checking'!GS31="","",'Data Checking'!GS31)</f>
        <v>1</v>
      </c>
      <c r="GH31" t="str">
        <f>IF('Data Checking'!GT31="","",'Data Checking'!GT31)</f>
        <v>1</v>
      </c>
      <c r="GI31" t="str">
        <f>IF('Data Checking'!GU31="","",'Data Checking'!GU31)</f>
        <v>0</v>
      </c>
      <c r="GJ31" t="str">
        <f>IF('Data Checking'!GV31="","",'Data Checking'!GV31)</f>
        <v>0</v>
      </c>
      <c r="GK31" t="str">
        <f>IF('Data Checking'!GW31="","",'Data Checking'!GW31)</f>
        <v>0</v>
      </c>
      <c r="GL31" t="str">
        <f>IF('Data Checking'!GX31="","",'Data Checking'!GX31)</f>
        <v>0</v>
      </c>
      <c r="GM31" t="str">
        <f>IF('Data Checking'!GY31="","",'Data Checking'!GY31)</f>
        <v/>
      </c>
      <c r="GN31" t="str">
        <f>IF('Data Checking'!GZ31="","",'Data Checking'!GZ31)</f>
        <v>oui_majorite</v>
      </c>
      <c r="GO31" t="str">
        <f>IF('Data Checking'!HA31="","",'Data Checking'!HA31)</f>
        <v>oui_ensemble</v>
      </c>
      <c r="GP31" t="str">
        <f>IF('Data Checking'!HB31="","",'Data Checking'!HB31)</f>
        <v>repond_besoins_pop diminution_tensions amelioration_futur</v>
      </c>
      <c r="GQ31" t="str">
        <f>IF('Data Checking'!HC31="","",'Data Checking'!HC31)</f>
        <v>1</v>
      </c>
      <c r="GR31" t="str">
        <f>IF('Data Checking'!HD31="","",'Data Checking'!HD31)</f>
        <v>1</v>
      </c>
      <c r="GS31" t="str">
        <f>IF('Data Checking'!HE31="","",'Data Checking'!HE31)</f>
        <v>0</v>
      </c>
      <c r="GT31" t="str">
        <f>IF('Data Checking'!HF31="","",'Data Checking'!HF31)</f>
        <v>0</v>
      </c>
      <c r="GU31" t="str">
        <f>IF('Data Checking'!HG31="","",'Data Checking'!HG31)</f>
        <v>0</v>
      </c>
      <c r="GV31" t="str">
        <f>IF('Data Checking'!HH31="","",'Data Checking'!HH31)</f>
        <v>1</v>
      </c>
      <c r="GW31" t="str">
        <f>IF('Data Checking'!HI31="","",'Data Checking'!HI31)</f>
        <v>0</v>
      </c>
      <c r="GX31" t="str">
        <f>IF('Data Checking'!HJ31="","",'Data Checking'!HJ31)</f>
        <v>0</v>
      </c>
      <c r="GY31" t="str">
        <f>IF('Data Checking'!HK31="","",'Data Checking'!HK31)</f>
        <v/>
      </c>
      <c r="GZ31" t="str">
        <f>IF('Data Checking'!HL31="","",'Data Checking'!HL31)</f>
        <v>ne_contribue_pas non_diminition_tension ne_repond_pas</v>
      </c>
      <c r="HA31" t="str">
        <f>IF('Data Checking'!HM31="","",'Data Checking'!HM31)</f>
        <v>1</v>
      </c>
      <c r="HB31" t="str">
        <f>IF('Data Checking'!HN31="","",'Data Checking'!HN31)</f>
        <v>1</v>
      </c>
      <c r="HC31" t="str">
        <f>IF('Data Checking'!HO31="","",'Data Checking'!HO31)</f>
        <v>0</v>
      </c>
      <c r="HD31" t="str">
        <f>IF('Data Checking'!HP31="","",'Data Checking'!HP31)</f>
        <v>1</v>
      </c>
      <c r="HE31" t="str">
        <f>IF('Data Checking'!HQ31="","",'Data Checking'!HQ31)</f>
        <v>0</v>
      </c>
      <c r="HF31" t="str">
        <f>IF('Data Checking'!HR31="","",'Data Checking'!HR31)</f>
        <v>0</v>
      </c>
      <c r="HG31" t="str">
        <f>IF('Data Checking'!HS31="","",'Data Checking'!HS31)</f>
        <v/>
      </c>
      <c r="HH31" t="str">
        <f>IF('Data Checking'!HT31="","",'Data Checking'!HT31)</f>
        <v/>
      </c>
      <c r="HI31" t="str">
        <f>IF('Data Checking'!HU31="","",'Data Checking'!HU31)</f>
        <v>oui_minorite</v>
      </c>
      <c r="HJ31" t="str">
        <f>IF('Data Checking'!HV31="","",'Data Checking'!HV31)</f>
        <v>ingo</v>
      </c>
      <c r="HK31" t="str">
        <f>IF('Data Checking'!HW31="","",'Data Checking'!HW31)</f>
        <v>0</v>
      </c>
      <c r="HL31" t="str">
        <f>IF('Data Checking'!HX31="","",'Data Checking'!HX31)</f>
        <v>0</v>
      </c>
      <c r="HM31" t="str">
        <f>IF('Data Checking'!HY31="","",'Data Checking'!HY31)</f>
        <v>0</v>
      </c>
      <c r="HN31" t="str">
        <f>IF('Data Checking'!HZ31="","",'Data Checking'!HZ31)</f>
        <v>0</v>
      </c>
      <c r="HO31" t="str">
        <f>IF('Data Checking'!IA31="","",'Data Checking'!IA31)</f>
        <v>1</v>
      </c>
      <c r="HP31" t="str">
        <f>IF('Data Checking'!IB31="","",'Data Checking'!IB31)</f>
        <v>0</v>
      </c>
      <c r="HQ31" t="str">
        <f>IF('Data Checking'!IC31="","",'Data Checking'!IC31)</f>
        <v>0</v>
      </c>
      <c r="HR31" t="str">
        <f>IF('Data Checking'!ID31="","",'Data Checking'!ID31)</f>
        <v>0</v>
      </c>
      <c r="HS31" t="str">
        <f>IF('Data Checking'!IE31="","",'Data Checking'!IE31)</f>
        <v>0</v>
      </c>
      <c r="HT31" t="str">
        <f>IF('Data Checking'!IF31="","",'Data Checking'!IF31)</f>
        <v>0</v>
      </c>
      <c r="HU31" t="str">
        <f>IF('Data Checking'!IG31="","",'Data Checking'!IG31)</f>
        <v/>
      </c>
      <c r="HV31" t="str">
        <f>IF('Data Checking'!IH31="","",'Data Checking'!IH31)</f>
        <v>oui</v>
      </c>
      <c r="HW31" t="str">
        <f>IF('Data Checking'!II31="","",'Data Checking'!II31)</f>
        <v/>
      </c>
      <c r="HX31" t="str">
        <f>IF('Data Checking'!IJ31="","",'Data Checking'!IJ31)</f>
        <v/>
      </c>
      <c r="HY31" t="str">
        <f>IF('Data Checking'!IK31="","",'Data Checking'!IK31)</f>
        <v/>
      </c>
      <c r="HZ31" t="str">
        <f>IF('Data Checking'!IL31="","",'Data Checking'!IL31)</f>
        <v/>
      </c>
      <c r="IA31" t="str">
        <f>IF('Data Checking'!IM31="","",'Data Checking'!IM31)</f>
        <v/>
      </c>
      <c r="IB31" t="str">
        <f>IF('Data Checking'!IN31="","",'Data Checking'!IN31)</f>
        <v/>
      </c>
      <c r="IC31" t="str">
        <f>IF('Data Checking'!IO31="","",'Data Checking'!IO31)</f>
        <v/>
      </c>
      <c r="ID31" t="str">
        <f>IF('Data Checking'!IP31="","",'Data Checking'!IP31)</f>
        <v/>
      </c>
      <c r="IE31" t="str">
        <f>IF('Data Checking'!IQ31="","",'Data Checking'!IQ31)</f>
        <v/>
      </c>
      <c r="IF31" t="str">
        <f>IF('Data Checking'!IR31="","",'Data Checking'!IR31)</f>
        <v/>
      </c>
      <c r="IG31" t="str">
        <f>IF('Data Checking'!IS31="","",'Data Checking'!IS31)</f>
        <v/>
      </c>
      <c r="IH31" t="str">
        <f>IF('Data Checking'!IT31="","",'Data Checking'!IT31)</f>
        <v/>
      </c>
      <c r="II31" t="str">
        <f>IF('Data Checking'!IU31="","",'Data Checking'!IU31)</f>
        <v/>
      </c>
      <c r="IJ31" t="str">
        <f>IF('Data Checking'!IV31="","",'Data Checking'!IV31)</f>
        <v/>
      </c>
      <c r="IK31" t="str">
        <f>IF('Data Checking'!IW31="","",'Data Checking'!IW31)</f>
        <v/>
      </c>
      <c r="IL31" t="str">
        <f>IF('Data Checking'!IX31="","",'Data Checking'!IX31)</f>
        <v/>
      </c>
      <c r="IM31" t="str">
        <f>IF('Data Checking'!IY31="","",'Data Checking'!IY31)</f>
        <v/>
      </c>
      <c r="IN31" t="str">
        <f>IF('Data Checking'!IZ31="","",'Data Checking'!IZ31)</f>
        <v>6</v>
      </c>
      <c r="IO31" t="str">
        <f>IF('Data Checking'!JA31="","",'Data Checking'!JA31)</f>
        <v>Services_medicaux Services_educatifs acces_docs points_ecoute service_judiciaire</v>
      </c>
      <c r="IP31" t="str">
        <f>IF('Data Checking'!JB31="","",'Data Checking'!JB31)</f>
        <v>0</v>
      </c>
      <c r="IQ31" t="str">
        <f>IF('Data Checking'!JC31="","",'Data Checking'!JC31)</f>
        <v>1</v>
      </c>
      <c r="IR31" t="str">
        <f>IF('Data Checking'!JD31="","",'Data Checking'!JD31)</f>
        <v>1</v>
      </c>
      <c r="IS31" t="str">
        <f>IF('Data Checking'!JE31="","",'Data Checking'!JE31)</f>
        <v>0</v>
      </c>
      <c r="IT31" t="str">
        <f>IF('Data Checking'!JF31="","",'Data Checking'!JF31)</f>
        <v>1</v>
      </c>
      <c r="IU31" t="str">
        <f>IF('Data Checking'!JG31="","",'Data Checking'!JG31)</f>
        <v>1</v>
      </c>
      <c r="IV31" t="str">
        <f>IF('Data Checking'!JH31="","",'Data Checking'!JH31)</f>
        <v>0</v>
      </c>
      <c r="IW31" t="str">
        <f>IF('Data Checking'!JI31="","",'Data Checking'!JI31)</f>
        <v>1</v>
      </c>
      <c r="IX31" t="str">
        <f>IF('Data Checking'!JJ31="","",'Data Checking'!JJ31)</f>
        <v>0</v>
      </c>
      <c r="IY31" t="str">
        <f>IF('Data Checking'!JK31="","",'Data Checking'!JK31)</f>
        <v>0</v>
      </c>
      <c r="IZ31" t="str">
        <f>IF('Data Checking'!JL31="","",'Data Checking'!JL31)</f>
        <v/>
      </c>
      <c r="JA31" t="str">
        <f>IF('Data Checking'!JM31="","",'Data Checking'!JM31)</f>
        <v>signalement prise_enchage reorientation</v>
      </c>
      <c r="JB31" t="str">
        <f>IF('Data Checking'!JN31="","",'Data Checking'!JN31)</f>
        <v>1</v>
      </c>
      <c r="JC31" t="str">
        <f>IF('Data Checking'!JO31="","",'Data Checking'!JO31)</f>
        <v>1</v>
      </c>
      <c r="JD31" t="str">
        <f>IF('Data Checking'!JP31="","",'Data Checking'!JP31)</f>
        <v>1</v>
      </c>
      <c r="JE31" t="str">
        <f>IF('Data Checking'!JQ31="","",'Data Checking'!JQ31)</f>
        <v>0</v>
      </c>
      <c r="JF31" t="str">
        <f>IF('Data Checking'!JR31="","",'Data Checking'!JR31)</f>
        <v>0</v>
      </c>
      <c r="JG31" t="str">
        <f>IF('Data Checking'!JS31="","",'Data Checking'!JS31)</f>
        <v>0</v>
      </c>
      <c r="JH31" t="str">
        <f>IF('Data Checking'!JT31="","",'Data Checking'!JT31)</f>
        <v/>
      </c>
      <c r="JI31" t="str">
        <f>IF('Data Checking'!JU31="","",'Data Checking'!JU31)</f>
        <v>point_ecoute surete</v>
      </c>
      <c r="JJ31" t="str">
        <f>IF('Data Checking'!JV31="","",'Data Checking'!JV31)</f>
        <v>0</v>
      </c>
      <c r="JK31" t="str">
        <f>IF('Data Checking'!JW31="","",'Data Checking'!JW31)</f>
        <v>0</v>
      </c>
      <c r="JL31" t="str">
        <f>IF('Data Checking'!JX31="","",'Data Checking'!JX31)</f>
        <v>1</v>
      </c>
      <c r="JM31" t="str">
        <f>IF('Data Checking'!JY31="","",'Data Checking'!JY31)</f>
        <v>0</v>
      </c>
      <c r="JN31" t="str">
        <f>IF('Data Checking'!JZ31="","",'Data Checking'!JZ31)</f>
        <v>1</v>
      </c>
      <c r="JO31" t="str">
        <f>IF('Data Checking'!KA31="","",'Data Checking'!KA31)</f>
        <v>0</v>
      </c>
      <c r="JP31" t="str">
        <f>IF('Data Checking'!KB31="","",'Data Checking'!KB31)</f>
        <v>0</v>
      </c>
      <c r="JQ31" t="str">
        <f>IF('Data Checking'!KC31="","",'Data Checking'!KC31)</f>
        <v>0</v>
      </c>
      <c r="JR31" t="str">
        <f>IF('Data Checking'!KD31="","",'Data Checking'!KD31)</f>
        <v>0</v>
      </c>
      <c r="JS31" t="str">
        <f>IF('Data Checking'!KE31="","",'Data Checking'!KE31)</f>
        <v/>
      </c>
      <c r="JT31" t="str">
        <f>IF('Data Checking'!KF31="","",'Data Checking'!KF31)</f>
        <v>point_ecoute surete</v>
      </c>
      <c r="JU31" t="str">
        <f>IF('Data Checking'!KG31="","",'Data Checking'!KG31)</f>
        <v>0</v>
      </c>
      <c r="JV31" t="str">
        <f>IF('Data Checking'!KH31="","",'Data Checking'!KH31)</f>
        <v>0</v>
      </c>
      <c r="JW31" t="str">
        <f>IF('Data Checking'!KI31="","",'Data Checking'!KI31)</f>
        <v>1</v>
      </c>
      <c r="JX31" t="str">
        <f>IF('Data Checking'!KJ31="","",'Data Checking'!KJ31)</f>
        <v>0</v>
      </c>
      <c r="JY31" t="str">
        <f>IF('Data Checking'!KK31="","",'Data Checking'!KK31)</f>
        <v>1</v>
      </c>
      <c r="JZ31" t="str">
        <f>IF('Data Checking'!KL31="","",'Data Checking'!KL31)</f>
        <v>0</v>
      </c>
      <c r="KA31" t="str">
        <f>IF('Data Checking'!KM31="","",'Data Checking'!KM31)</f>
        <v>0</v>
      </c>
      <c r="KB31" t="str">
        <f>IF('Data Checking'!KN31="","",'Data Checking'!KN31)</f>
        <v>0</v>
      </c>
      <c r="KC31" t="str">
        <f>IF('Data Checking'!KO31="","",'Data Checking'!KO31)</f>
        <v>0</v>
      </c>
      <c r="KD31" t="str">
        <f>IF('Data Checking'!KP31="","",'Data Checking'!KP31)</f>
        <v/>
      </c>
      <c r="KE31" t="str">
        <f>IF('Data Checking'!KQ31="","",'Data Checking'!KQ31)</f>
        <v/>
      </c>
      <c r="KF31" t="str">
        <f>IF('Data Checking'!KR31="","",'Data Checking'!KR31)</f>
        <v>non</v>
      </c>
      <c r="KG31" t="str">
        <f>IF('Data Checking'!KS31="","",'Data Checking'!KS31)</f>
        <v/>
      </c>
      <c r="KH31" t="str">
        <f>IF('Data Checking'!KT31="","",'Data Checking'!KT31)</f>
        <v/>
      </c>
      <c r="KI31" t="str">
        <f>IF('Data Checking'!KU31="","",'Data Checking'!KU31)</f>
        <v/>
      </c>
      <c r="KJ31" t="str">
        <f>IF('Data Checking'!KV31="","",'Data Checking'!KV31)</f>
        <v/>
      </c>
      <c r="KK31" t="str">
        <f>IF('Data Checking'!KW31="","",'Data Checking'!KW31)</f>
        <v/>
      </c>
      <c r="KL31" t="str">
        <f>IF('Data Checking'!KX31="","",'Data Checking'!KX31)</f>
        <v/>
      </c>
      <c r="KM31" t="str">
        <f>IF('Data Checking'!KY31="","",'Data Checking'!KY31)</f>
        <v/>
      </c>
      <c r="KN31" t="str">
        <f>IF('Data Checking'!KZ31="","",'Data Checking'!KZ31)</f>
        <v/>
      </c>
      <c r="KO31" t="str">
        <f>IF('Data Checking'!LA31="","",'Data Checking'!LA31)</f>
        <v/>
      </c>
      <c r="KP31" t="str">
        <f>IF('Data Checking'!LB31="","",'Data Checking'!LB31)</f>
        <v/>
      </c>
      <c r="KQ31" t="str">
        <f>IF('Data Checking'!LC31="","",'Data Checking'!LC31)</f>
        <v/>
      </c>
      <c r="KR31" t="str">
        <f>IF('Data Checking'!LD31="","",'Data Checking'!LD31)</f>
        <v/>
      </c>
      <c r="KS31" t="str">
        <f>IF('Data Checking'!LE31="","",'Data Checking'!LE31)</f>
        <v/>
      </c>
      <c r="KT31" t="str">
        <f>IF('Data Checking'!LF31="","",'Data Checking'!LF31)</f>
        <v/>
      </c>
      <c r="KU31" t="str">
        <f>IF('Data Checking'!LG31="","",'Data Checking'!LG31)</f>
        <v/>
      </c>
      <c r="KV31" t="str">
        <f>IF('Data Checking'!LH31="","",'Data Checking'!LH31)</f>
        <v/>
      </c>
      <c r="KW31" t="str">
        <f>IF('Data Checking'!LI31="","",'Data Checking'!LI31)</f>
        <v/>
      </c>
      <c r="KX31" t="str">
        <f>IF('Data Checking'!LJ31="","",'Data Checking'!LJ31)</f>
        <v/>
      </c>
      <c r="KY31" t="str">
        <f>IF('Data Checking'!LK31="","",'Data Checking'!LK31)</f>
        <v/>
      </c>
      <c r="KZ31" t="str">
        <f>IF('Data Checking'!LL31="","",'Data Checking'!LL31)</f>
        <v/>
      </c>
      <c r="LA31" t="str">
        <f>IF('Data Checking'!LM31="","",'Data Checking'!LM31)</f>
        <v/>
      </c>
      <c r="LB31" t="str">
        <f>IF('Data Checking'!LN31="","",'Data Checking'!LN31)</f>
        <v>non</v>
      </c>
      <c r="LC31" t="str">
        <f>IF('Data Checking'!LO31="","",'Data Checking'!LO31)</f>
        <v/>
      </c>
      <c r="LD31" t="str">
        <f>IF('Data Checking'!LP31="","",'Data Checking'!LP31)</f>
        <v/>
      </c>
      <c r="LE31" t="str">
        <f>IF('Data Checking'!LQ31="","",'Data Checking'!LQ31)</f>
        <v/>
      </c>
      <c r="LF31" t="str">
        <f>IF('Data Checking'!LR31="","",'Data Checking'!LR31)</f>
        <v/>
      </c>
      <c r="LG31" t="str">
        <f>IF('Data Checking'!LS31="","",'Data Checking'!LS31)</f>
        <v/>
      </c>
      <c r="LH31" t="str">
        <f>IF('Data Checking'!LT31="","",'Data Checking'!LT31)</f>
        <v/>
      </c>
      <c r="LI31" t="str">
        <f>IF('Data Checking'!LU31="","",'Data Checking'!LU31)</f>
        <v/>
      </c>
      <c r="LJ31" t="str">
        <f>IF('Data Checking'!LV31="","",'Data Checking'!LV31)</f>
        <v/>
      </c>
      <c r="LK31" t="str">
        <f>IF('Data Checking'!LW31="","",'Data Checking'!LW31)</f>
        <v/>
      </c>
      <c r="LL31" t="str">
        <f>IF('Data Checking'!LX31="","",'Data Checking'!LX31)</f>
        <v/>
      </c>
      <c r="LM31" t="str">
        <f>IF('Data Checking'!LY31="","",'Data Checking'!LY31)</f>
        <v/>
      </c>
      <c r="LN31" t="str">
        <f>IF('Data Checking'!LZ31="","",'Data Checking'!LZ31)</f>
        <v/>
      </c>
      <c r="LO31" t="str">
        <f>IF('Data Checking'!MA31="","",'Data Checking'!MA31)</f>
        <v/>
      </c>
      <c r="LP31" t="str">
        <f>IF('Data Checking'!MB31="","",'Data Checking'!MB31)</f>
        <v>oui</v>
      </c>
      <c r="LQ31" t="str">
        <f>IF('Data Checking'!MC31="","",'Data Checking'!MC31)</f>
        <v/>
      </c>
      <c r="LR31" t="str">
        <f>IF('Data Checking'!MD31="","",'Data Checking'!MD31)</f>
        <v/>
      </c>
      <c r="LS31">
        <f>IF('Data Checking'!ME31="","",'Data Checking'!ME31)</f>
        <v>172011408</v>
      </c>
      <c r="LT31" t="str">
        <f>IF('Data Checking'!MF31="","",'Data Checking'!MF31)</f>
        <v>784c850a-6d0f-48e6-8cf0-97fc2af13ad5</v>
      </c>
      <c r="LU31" t="str">
        <f>IF('Data Checking'!MG31="","",'Data Checking'!MG31)</f>
        <v>2021-04-16T16:12:07</v>
      </c>
      <c r="LV31" t="str">
        <f>IF('Data Checking'!MH31="","",'Data Checking'!MH31)</f>
        <v/>
      </c>
      <c r="LW31" t="str">
        <f>IF('Data Checking'!MI31="","",'Data Checking'!MI31)</f>
        <v>[]</v>
      </c>
      <c r="LX31" t="str">
        <f>IF('Data Checking'!MJ31="","",'Data Checking'!MJ31)</f>
        <v>submitted_via_web</v>
      </c>
      <c r="LY31" t="str">
        <f>IF('Data Checking'!MK31="","",'Data Checking'!MK31)</f>
        <v>reach_niger</v>
      </c>
      <c r="LZ31" t="str">
        <f>IF('Data Checking'!ML31="","",'Data Checking'!ML31)</f>
        <v/>
      </c>
      <c r="MA31">
        <f>IF('Data Checking'!MM31="","",'Data Checking'!MM31)</f>
        <v>73</v>
      </c>
    </row>
    <row r="32" spans="1:339" x14ac:dyDescent="0.3">
      <c r="A32" t="str">
        <f>IF('Data Checking'!D32="","",'Data Checking'!D32)</f>
        <v>2021-04-16T16:04:17.242+01:00</v>
      </c>
      <c r="B32" t="str">
        <f>IF('Data Checking'!E32="","",'Data Checking'!E32)</f>
        <v>2021-04-16T16:23:40.958+01:00</v>
      </c>
      <c r="C32" t="str">
        <f>IF('Data Checking'!M32="","",'Data Checking'!M32)</f>
        <v>2021-04-16</v>
      </c>
      <c r="D32" t="str">
        <f>IF('Data Checking'!N32="","",'Data Checking'!N32)</f>
        <v/>
      </c>
      <c r="E32" t="str">
        <f>IF('Data Checking'!O32="","",'Data Checking'!O32)</f>
        <v/>
      </c>
      <c r="F32" t="str">
        <f>IF('Data Checking'!R32="","",'Data Checking'!R32)</f>
        <v>Homme</v>
      </c>
      <c r="G32" t="str">
        <f>IF('Data Checking'!S32="","",'Data Checking'!S32)</f>
        <v>tera</v>
      </c>
      <c r="H32" t="str">
        <f>IF('Data Checking'!T32="","",'Data Checking'!T32)</f>
        <v>tera</v>
      </c>
      <c r="I32" t="str">
        <f>IF('Data Checking'!U32="","",'Data Checking'!U32)</f>
        <v>foneko</v>
      </c>
      <c r="J32" t="str">
        <f>IF('Data Checking'!V32="","",'Data Checking'!V32)</f>
        <v/>
      </c>
      <c r="K32" t="str">
        <f>IF('Data Checking'!W32="","",'Data Checking'!W32)</f>
        <v/>
      </c>
      <c r="L32" t="str">
        <f>IF('Data Checking'!X32="","",'Data Checking'!X32)</f>
        <v/>
      </c>
      <c r="M32" t="str">
        <f>IF('Data Checking'!Y32="","",'Data Checking'!Y32)</f>
        <v/>
      </c>
      <c r="N32" t="str">
        <f>IF('Data Checking'!Z32="","",'Data Checking'!Z32)</f>
        <v/>
      </c>
      <c r="O32" t="str">
        <f>IF('Data Checking'!AA32="","",'Data Checking'!AA32)</f>
        <v/>
      </c>
      <c r="P32" t="str">
        <f>IF('Data Checking'!AB32="","",'Data Checking'!AB32)</f>
        <v/>
      </c>
      <c r="Q32" t="str">
        <f>IF('Data Checking'!AC32="","",'Data Checking'!AC32)</f>
        <v/>
      </c>
      <c r="R32" t="str">
        <f>IF('Data Checking'!AD32="","",'Data Checking'!AD32)</f>
        <v>Femme</v>
      </c>
      <c r="S32" t="str">
        <f>IF('Data Checking'!AE32="","",'Data Checking'!AE32)</f>
        <v>35</v>
      </c>
      <c r="T32" t="str">
        <f>IF('Data Checking'!AF32="","",'Data Checking'!AF32)</f>
        <v>deplace_interne</v>
      </c>
      <c r="U32" t="str">
        <f>IF('Data Checking'!AG32="","",'Data Checking'!AG32)</f>
        <v/>
      </c>
      <c r="V32" t="str">
        <f>IF('Data Checking'!AH32="","",'Data Checking'!AH32)</f>
        <v/>
      </c>
      <c r="W32" t="str">
        <f>IF('Data Checking'!AI32="","",'Data Checking'!AI32)</f>
        <v/>
      </c>
      <c r="X32" t="str">
        <f>IF('Data Checking'!AJ32="","",'Data Checking'!AJ32)</f>
        <v/>
      </c>
      <c r="Y32" t="str">
        <f>IF('Data Checking'!AK32="","",'Data Checking'!AK32)</f>
        <v/>
      </c>
      <c r="Z32" t="str">
        <f>IF('Data Checking'!AL32="","",'Data Checking'!AL32)</f>
        <v>niger</v>
      </c>
      <c r="AA32" t="str">
        <f>IF('Data Checking'!AM32="","",'Data Checking'!AM32)</f>
        <v>tillaberi</v>
      </c>
      <c r="AB32" t="str">
        <f>IF('Data Checking'!AN32="","",'Data Checking'!AN32)</f>
        <v>tera</v>
      </c>
      <c r="AC32" t="str">
        <f>IF('Data Checking'!AO32="","",'Data Checking'!AO32)</f>
        <v/>
      </c>
      <c r="AD32" t="str">
        <f>IF('Data Checking'!AP32="","",'Data Checking'!AP32)</f>
        <v/>
      </c>
      <c r="AE32" t="str">
        <f>IF('Data Checking'!AQ32="","",'Data Checking'!AQ32)</f>
        <v/>
      </c>
      <c r="AF32" t="str">
        <f>IF('Data Checking'!AR32="","",'Data Checking'!AR32)</f>
        <v/>
      </c>
      <c r="AG32" t="str">
        <f>IF('Data Checking'!AS32="","",'Data Checking'!AS32)</f>
        <v>non</v>
      </c>
      <c r="AH32" t="str">
        <f>IF('Data Checking'!AT32="","",'Data Checking'!AT32)</f>
        <v/>
      </c>
      <c r="AI32" t="str">
        <f>IF('Data Checking'!AU32="","",'Data Checking'!AU32)</f>
        <v/>
      </c>
      <c r="AJ32" t="str">
        <f>IF('Data Checking'!AV32="","",'Data Checking'!AV32)</f>
        <v/>
      </c>
      <c r="AK32" t="str">
        <f>IF('Data Checking'!AW32="","",'Data Checking'!AW32)</f>
        <v/>
      </c>
      <c r="AL32" t="str">
        <f>IF('Data Checking'!AX32="","",'Data Checking'!AX32)</f>
        <v/>
      </c>
      <c r="AM32" t="str">
        <f>IF('Data Checking'!AY32="","",'Data Checking'!AY32)</f>
        <v/>
      </c>
      <c r="AN32" t="str">
        <f>IF('Data Checking'!AZ32="","",'Data Checking'!AZ32)</f>
        <v/>
      </c>
      <c r="AO32" t="str">
        <f>IF('Data Checking'!BA32="","",'Data Checking'!BA32)</f>
        <v/>
      </c>
      <c r="AP32" t="str">
        <f>IF('Data Checking'!BB32="","",'Data Checking'!BB32)</f>
        <v/>
      </c>
      <c r="AQ32" t="str">
        <f>IF('Data Checking'!BC32="","",'Data Checking'!BC32)</f>
        <v/>
      </c>
      <c r="AR32" t="str">
        <f>IF('Data Checking'!BD32="","",'Data Checking'!BD32)</f>
        <v/>
      </c>
      <c r="AS32" t="str">
        <f>IF('Data Checking'!BE32="","",'Data Checking'!BE32)</f>
        <v/>
      </c>
      <c r="AT32" t="str">
        <f>IF('Data Checking'!BF32="","",'Data Checking'!BF32)</f>
        <v/>
      </c>
      <c r="AU32" t="str">
        <f>IF('Data Checking'!BG32="","",'Data Checking'!BG32)</f>
        <v/>
      </c>
      <c r="AV32" t="str">
        <f>IF('Data Checking'!BH32="","",'Data Checking'!BH32)</f>
        <v/>
      </c>
      <c r="AW32" t="str">
        <f>IF('Data Checking'!BI32="","",'Data Checking'!BI32)</f>
        <v/>
      </c>
      <c r="AX32" t="str">
        <f>IF('Data Checking'!BJ32="","",'Data Checking'!BJ32)</f>
        <v/>
      </c>
      <c r="AY32" t="str">
        <f>IF('Data Checking'!BK32="","",'Data Checking'!BK32)</f>
        <v/>
      </c>
      <c r="AZ32" t="str">
        <f>IF('Data Checking'!BL32="","",'Data Checking'!BL32)</f>
        <v/>
      </c>
      <c r="BA32" t="str">
        <f>IF('Data Checking'!BM32="","",'Data Checking'!BM32)</f>
        <v/>
      </c>
      <c r="BB32" t="str">
        <f>IF('Data Checking'!BN32="","",'Data Checking'!BN32)</f>
        <v/>
      </c>
      <c r="BC32" t="str">
        <f>IF('Data Checking'!BO32="","",'Data Checking'!BO32)</f>
        <v/>
      </c>
      <c r="BD32" t="str">
        <f>IF('Data Checking'!BP32="","",'Data Checking'!BP32)</f>
        <v/>
      </c>
      <c r="BE32" t="str">
        <f>IF('Data Checking'!BQ32="","",'Data Checking'!BQ32)</f>
        <v/>
      </c>
      <c r="BF32" t="str">
        <f>IF('Data Checking'!BR32="","",'Data Checking'!BR32)</f>
        <v/>
      </c>
      <c r="BG32" t="str">
        <f>IF('Data Checking'!BS32="","",'Data Checking'!BS32)</f>
        <v/>
      </c>
      <c r="BH32" t="str">
        <f>IF('Data Checking'!BT32="","",'Data Checking'!BT32)</f>
        <v/>
      </c>
      <c r="BI32" t="str">
        <f>IF('Data Checking'!BU32="","",'Data Checking'!BU32)</f>
        <v/>
      </c>
      <c r="BJ32" t="str">
        <f>IF('Data Checking'!BV32="","",'Data Checking'!BV32)</f>
        <v/>
      </c>
      <c r="BK32" t="str">
        <f>IF('Data Checking'!BW32="","",'Data Checking'!BW32)</f>
        <v/>
      </c>
      <c r="BL32" t="str">
        <f>IF('Data Checking'!BX32="","",'Data Checking'!BX32)</f>
        <v/>
      </c>
      <c r="BM32" t="str">
        <f>IF('Data Checking'!BY32="","",'Data Checking'!BY32)</f>
        <v/>
      </c>
      <c r="BN32" t="str">
        <f>IF('Data Checking'!BZ32="","",'Data Checking'!BZ32)</f>
        <v/>
      </c>
      <c r="BO32" t="str">
        <f>IF('Data Checking'!CA32="","",'Data Checking'!CA32)</f>
        <v/>
      </c>
      <c r="BP32" t="str">
        <f>IF('Data Checking'!CB32="","",'Data Checking'!CB32)</f>
        <v/>
      </c>
      <c r="BQ32" t="str">
        <f>IF('Data Checking'!CC32="","",'Data Checking'!CC32)</f>
        <v>non</v>
      </c>
      <c r="BR32" t="str">
        <f>IF('Data Checking'!CD32="","",'Data Checking'!CD32)</f>
        <v/>
      </c>
      <c r="BS32" t="str">
        <f>IF('Data Checking'!CE32="","",'Data Checking'!CE32)</f>
        <v/>
      </c>
      <c r="BT32" t="str">
        <f>IF('Data Checking'!CF32="","",'Data Checking'!CF32)</f>
        <v/>
      </c>
      <c r="BU32" t="str">
        <f>IF('Data Checking'!CG32="","",'Data Checking'!CG32)</f>
        <v/>
      </c>
      <c r="BV32" t="str">
        <f>IF('Data Checking'!CH32="","",'Data Checking'!CH32)</f>
        <v/>
      </c>
      <c r="BW32" t="str">
        <f>IF('Data Checking'!CI32="","",'Data Checking'!CI32)</f>
        <v/>
      </c>
      <c r="BX32" t="str">
        <f>IF('Data Checking'!CJ32="","",'Data Checking'!CJ32)</f>
        <v/>
      </c>
      <c r="BY32" t="str">
        <f>IF('Data Checking'!CK32="","",'Data Checking'!CK32)</f>
        <v/>
      </c>
      <c r="BZ32" t="str">
        <f>IF('Data Checking'!CL32="","",'Data Checking'!CL32)</f>
        <v/>
      </c>
      <c r="CA32" t="str">
        <f>IF('Data Checking'!CM32="","",'Data Checking'!CM32)</f>
        <v/>
      </c>
      <c r="CB32" t="str">
        <f>IF('Data Checking'!CN32="","",'Data Checking'!CN32)</f>
        <v/>
      </c>
      <c r="CC32" t="str">
        <f>IF('Data Checking'!CO32="","",'Data Checking'!CO32)</f>
        <v/>
      </c>
      <c r="CD32" t="str">
        <f>IF('Data Checking'!CP32="","",'Data Checking'!CP32)</f>
        <v/>
      </c>
      <c r="CE32" t="str">
        <f>IF('Data Checking'!CQ32="","",'Data Checking'!CQ32)</f>
        <v/>
      </c>
      <c r="CF32" t="str">
        <f>IF('Data Checking'!CR32="","",'Data Checking'!CR32)</f>
        <v/>
      </c>
      <c r="CG32" t="str">
        <f>IF('Data Checking'!CS32="","",'Data Checking'!CS32)</f>
        <v/>
      </c>
      <c r="CH32" t="str">
        <f>IF('Data Checking'!CT32="","",'Data Checking'!CT32)</f>
        <v/>
      </c>
      <c r="CI32" t="str">
        <f>IF('Data Checking'!CU32="","",'Data Checking'!CU32)</f>
        <v/>
      </c>
      <c r="CJ32" t="str">
        <f>IF('Data Checking'!CV32="","",'Data Checking'!CV32)</f>
        <v/>
      </c>
      <c r="CK32" t="str">
        <f>IF('Data Checking'!CW32="","",'Data Checking'!CW32)</f>
        <v/>
      </c>
      <c r="CL32" t="str">
        <f>IF('Data Checking'!CX32="","",'Data Checking'!CX32)</f>
        <v/>
      </c>
      <c r="CM32" t="str">
        <f>IF('Data Checking'!CY32="","",'Data Checking'!CY32)</f>
        <v/>
      </c>
      <c r="CN32" t="str">
        <f>IF('Data Checking'!CZ32="","",'Data Checking'!CZ32)</f>
        <v/>
      </c>
      <c r="CO32" t="str">
        <f>IF('Data Checking'!DA32="","",'Data Checking'!DA32)</f>
        <v/>
      </c>
      <c r="CP32" t="str">
        <f>IF('Data Checking'!DB32="","",'Data Checking'!DB32)</f>
        <v/>
      </c>
      <c r="CQ32" t="str">
        <f>IF('Data Checking'!DC32="","",'Data Checking'!DC32)</f>
        <v/>
      </c>
      <c r="CR32" t="str">
        <f>IF('Data Checking'!DD32="","",'Data Checking'!DD32)</f>
        <v/>
      </c>
      <c r="CS32" t="str">
        <f>IF('Data Checking'!DE32="","",'Data Checking'!DE32)</f>
        <v/>
      </c>
      <c r="CT32" t="str">
        <f>IF('Data Checking'!DF32="","",'Data Checking'!DF32)</f>
        <v/>
      </c>
      <c r="CU32" t="str">
        <f>IF('Data Checking'!DG32="","",'Data Checking'!DG32)</f>
        <v/>
      </c>
      <c r="CV32" t="str">
        <f>IF('Data Checking'!DH32="","",'Data Checking'!DH32)</f>
        <v/>
      </c>
      <c r="CW32" t="str">
        <f>IF('Data Checking'!DI32="","",'Data Checking'!DI32)</f>
        <v/>
      </c>
      <c r="CX32" t="str">
        <f>IF('Data Checking'!DJ32="","",'Data Checking'!DJ32)</f>
        <v/>
      </c>
      <c r="CY32" t="str">
        <f>IF('Data Checking'!DK32="","",'Data Checking'!DK32)</f>
        <v/>
      </c>
      <c r="CZ32" t="str">
        <f>IF('Data Checking'!DL32="","",'Data Checking'!DL32)</f>
        <v/>
      </c>
      <c r="DA32" t="str">
        <f>IF('Data Checking'!DM32="","",'Data Checking'!DM32)</f>
        <v/>
      </c>
      <c r="DB32" t="str">
        <f>IF('Data Checking'!DN32="","",'Data Checking'!DN32)</f>
        <v/>
      </c>
      <c r="DC32" t="str">
        <f>IF('Data Checking'!DO32="","",'Data Checking'!DO32)</f>
        <v/>
      </c>
      <c r="DD32" t="str">
        <f>IF('Data Checking'!DP32="","",'Data Checking'!DP32)</f>
        <v/>
      </c>
      <c r="DE32" t="str">
        <f>IF('Data Checking'!DQ32="","",'Data Checking'!DQ32)</f>
        <v/>
      </c>
      <c r="DF32" t="str">
        <f>IF('Data Checking'!DR32="","",'Data Checking'!DR32)</f>
        <v/>
      </c>
      <c r="DG32" t="str">
        <f>IF('Data Checking'!DS32="","",'Data Checking'!DS32)</f>
        <v/>
      </c>
      <c r="DH32" t="str">
        <f>IF('Data Checking'!DT32="","",'Data Checking'!DT32)</f>
        <v/>
      </c>
      <c r="DI32" t="str">
        <f>IF('Data Checking'!DU32="","",'Data Checking'!DU32)</f>
        <v/>
      </c>
      <c r="DJ32" t="str">
        <f>IF('Data Checking'!DV32="","",'Data Checking'!DV32)</f>
        <v/>
      </c>
      <c r="DK32" t="str">
        <f>IF('Data Checking'!DW32="","",'Data Checking'!DW32)</f>
        <v/>
      </c>
      <c r="DL32" t="str">
        <f>IF('Data Checking'!DX32="","",'Data Checking'!DX32)</f>
        <v/>
      </c>
      <c r="DM32" t="str">
        <f>IF('Data Checking'!DY32="","",'Data Checking'!DY32)</f>
        <v/>
      </c>
      <c r="DN32" t="str">
        <f>IF('Data Checking'!DZ32="","",'Data Checking'!DZ32)</f>
        <v/>
      </c>
      <c r="DO32" t="str">
        <f>IF('Data Checking'!EA32="","",'Data Checking'!EA32)</f>
        <v/>
      </c>
      <c r="DP32" t="str">
        <f>IF('Data Checking'!EB32="","",'Data Checking'!EB32)</f>
        <v/>
      </c>
      <c r="DQ32" t="str">
        <f>IF('Data Checking'!EC32="","",'Data Checking'!EC32)</f>
        <v/>
      </c>
      <c r="DR32" t="str">
        <f>IF('Data Checking'!ED32="","",'Data Checking'!ED32)</f>
        <v/>
      </c>
      <c r="DS32" t="str">
        <f>IF('Data Checking'!EE32="","",'Data Checking'!EE32)</f>
        <v/>
      </c>
      <c r="DT32" t="str">
        <f>IF('Data Checking'!EF32="","",'Data Checking'!EF32)</f>
        <v/>
      </c>
      <c r="DU32" t="str">
        <f>IF('Data Checking'!EG32="","",'Data Checking'!EG32)</f>
        <v/>
      </c>
      <c r="DV32" t="str">
        <f>IF('Data Checking'!EH32="","",'Data Checking'!EH32)</f>
        <v/>
      </c>
      <c r="DW32" t="str">
        <f>IF('Data Checking'!EI32="","",'Data Checking'!EI32)</f>
        <v/>
      </c>
      <c r="DX32" t="str">
        <f>IF('Data Checking'!EJ32="","",'Data Checking'!EJ32)</f>
        <v/>
      </c>
      <c r="DY32" t="str">
        <f>IF('Data Checking'!EK32="","",'Data Checking'!EK32)</f>
        <v/>
      </c>
      <c r="DZ32" t="str">
        <f>IF('Data Checking'!EL32="","",'Data Checking'!EL32)</f>
        <v>Integration_com_hote Soutien_famille_amis Soutien_chef_village</v>
      </c>
      <c r="EA32" t="str">
        <f>IF('Data Checking'!EM32="","",'Data Checking'!EM32)</f>
        <v>0</v>
      </c>
      <c r="EB32" t="str">
        <f>IF('Data Checking'!EN32="","",'Data Checking'!EN32)</f>
        <v>1</v>
      </c>
      <c r="EC32" t="str">
        <f>IF('Data Checking'!EO32="","",'Data Checking'!EO32)</f>
        <v>1</v>
      </c>
      <c r="ED32" t="str">
        <f>IF('Data Checking'!EP32="","",'Data Checking'!EP32)</f>
        <v>1</v>
      </c>
      <c r="EE32" t="str">
        <f>IF('Data Checking'!EQ32="","",'Data Checking'!EQ32)</f>
        <v>0</v>
      </c>
      <c r="EF32" t="str">
        <f>IF('Data Checking'!ER32="","",'Data Checking'!ER32)</f>
        <v>0</v>
      </c>
      <c r="EG32" t="str">
        <f>IF('Data Checking'!ES32="","",'Data Checking'!ES32)</f>
        <v>0</v>
      </c>
      <c r="EH32" t="str">
        <f>IF('Data Checking'!ET32="","",'Data Checking'!ET32)</f>
        <v>0</v>
      </c>
      <c r="EI32" t="str">
        <f>IF('Data Checking'!EU32="","",'Data Checking'!EU32)</f>
        <v>0</v>
      </c>
      <c r="EJ32" t="str">
        <f>IF('Data Checking'!EV32="","",'Data Checking'!EV32)</f>
        <v/>
      </c>
      <c r="EK32" t="str">
        <f>IF('Data Checking'!EW32="","",'Data Checking'!EW32)</f>
        <v/>
      </c>
      <c r="EL32" t="str">
        <f>IF('Data Checking'!EX32="","",'Data Checking'!EX32)</f>
        <v>comite_protection comite_gestion_conflits femmes_elite</v>
      </c>
      <c r="EM32" t="str">
        <f>IF('Data Checking'!EY32="","",'Data Checking'!EY32)</f>
        <v>1</v>
      </c>
      <c r="EN32" t="str">
        <f>IF('Data Checking'!EZ32="","",'Data Checking'!EZ32)</f>
        <v>1</v>
      </c>
      <c r="EO32" t="str">
        <f>IF('Data Checking'!FA32="","",'Data Checking'!FA32)</f>
        <v>0</v>
      </c>
      <c r="EP32" t="str">
        <f>IF('Data Checking'!FB32="","",'Data Checking'!FB32)</f>
        <v>0</v>
      </c>
      <c r="EQ32" t="str">
        <f>IF('Data Checking'!FC32="","",'Data Checking'!FC32)</f>
        <v>0</v>
      </c>
      <c r="ER32" t="str">
        <f>IF('Data Checking'!FD32="","",'Data Checking'!FD32)</f>
        <v>1</v>
      </c>
      <c r="ES32" t="str">
        <f>IF('Data Checking'!FE32="","",'Data Checking'!FE32)</f>
        <v>0</v>
      </c>
      <c r="ET32" t="str">
        <f>IF('Data Checking'!FF32="","",'Data Checking'!FF32)</f>
        <v>0</v>
      </c>
      <c r="EU32" t="str">
        <f>IF('Data Checking'!FG32="","",'Data Checking'!FG32)</f>
        <v>0</v>
      </c>
      <c r="EV32" t="str">
        <f>IF('Data Checking'!FH32="","",'Data Checking'!FH32)</f>
        <v>0</v>
      </c>
      <c r="EW32" t="str">
        <f>IF('Data Checking'!FI32="","",'Data Checking'!FI32)</f>
        <v/>
      </c>
      <c r="EX32" t="str">
        <f>IF('Data Checking'!FJ32="","",'Data Checking'!FJ32)</f>
        <v>oui</v>
      </c>
      <c r="EY32" t="str">
        <f>IF('Data Checking'!FK32="","",'Data Checking'!FK32)</f>
        <v>Internet Radio_television Chef_village</v>
      </c>
      <c r="EZ32" t="str">
        <f>IF('Data Checking'!FL32="","",'Data Checking'!FL32)</f>
        <v>1</v>
      </c>
      <c r="FA32" t="str">
        <f>IF('Data Checking'!FM32="","",'Data Checking'!FM32)</f>
        <v>0</v>
      </c>
      <c r="FB32" t="str">
        <f>IF('Data Checking'!FN32="","",'Data Checking'!FN32)</f>
        <v>1</v>
      </c>
      <c r="FC32" t="str">
        <f>IF('Data Checking'!FO32="","",'Data Checking'!FO32)</f>
        <v>0</v>
      </c>
      <c r="FD32" t="str">
        <f>IF('Data Checking'!FP32="","",'Data Checking'!FP32)</f>
        <v>1</v>
      </c>
      <c r="FE32" t="str">
        <f>IF('Data Checking'!FQ32="","",'Data Checking'!FQ32)</f>
        <v>0</v>
      </c>
      <c r="FF32" t="str">
        <f>IF('Data Checking'!FR32="","",'Data Checking'!FR32)</f>
        <v>0</v>
      </c>
      <c r="FG32" t="str">
        <f>IF('Data Checking'!FS32="","",'Data Checking'!FS32)</f>
        <v>0</v>
      </c>
      <c r="FH32" t="str">
        <f>IF('Data Checking'!FT32="","",'Data Checking'!FT32)</f>
        <v>0</v>
      </c>
      <c r="FI32" t="str">
        <f>IF('Data Checking'!FU32="","",'Data Checking'!FU32)</f>
        <v>0</v>
      </c>
      <c r="FJ32" t="str">
        <f>IF('Data Checking'!FV32="","",'Data Checking'!FV32)</f>
        <v>0</v>
      </c>
      <c r="FK32" t="str">
        <f>IF('Data Checking'!FW32="","",'Data Checking'!FW32)</f>
        <v>0</v>
      </c>
      <c r="FL32" t="str">
        <f>IF('Data Checking'!FX32="","",'Data Checking'!FX32)</f>
        <v>0</v>
      </c>
      <c r="FM32" t="str">
        <f>IF('Data Checking'!FY32="","",'Data Checking'!FY32)</f>
        <v>0</v>
      </c>
      <c r="FN32" t="str">
        <f>IF('Data Checking'!FZ32="","",'Data Checking'!FZ32)</f>
        <v/>
      </c>
      <c r="FO32" t="str">
        <f>IF('Data Checking'!GA32="","",'Data Checking'!GA32)</f>
        <v>oui_majorite</v>
      </c>
      <c r="FP32" t="str">
        <f>IF('Data Checking'!GB32="","",'Data Checking'!GB32)</f>
        <v>oui_ensemble</v>
      </c>
      <c r="FQ32" t="str">
        <f>IF('Data Checking'!GC32="","",'Data Checking'!GC32)</f>
        <v/>
      </c>
      <c r="FR32" t="str">
        <f>IF('Data Checking'!GD32="","",'Data Checking'!GD32)</f>
        <v/>
      </c>
      <c r="FS32" t="str">
        <f>IF('Data Checking'!GE32="","",'Data Checking'!GE32)</f>
        <v/>
      </c>
      <c r="FT32" t="str">
        <f>IF('Data Checking'!GF32="","",'Data Checking'!GF32)</f>
        <v/>
      </c>
      <c r="FU32" t="str">
        <f>IF('Data Checking'!GG32="","",'Data Checking'!GG32)</f>
        <v/>
      </c>
      <c r="FV32" t="str">
        <f>IF('Data Checking'!GH32="","",'Data Checking'!GH32)</f>
        <v/>
      </c>
      <c r="FW32" t="str">
        <f>IF('Data Checking'!GI32="","",'Data Checking'!GI32)</f>
        <v/>
      </c>
      <c r="FX32" t="str">
        <f>IF('Data Checking'!GJ32="","",'Data Checking'!GJ32)</f>
        <v/>
      </c>
      <c r="FY32" t="str">
        <f>IF('Data Checking'!GK32="","",'Data Checking'!GK32)</f>
        <v/>
      </c>
      <c r="FZ32" t="str">
        <f>IF('Data Checking'!GL32="","",'Data Checking'!GL32)</f>
        <v/>
      </c>
      <c r="GA32" t="str">
        <f>IF('Data Checking'!GM32="","",'Data Checking'!GM32)</f>
        <v>majorite</v>
      </c>
      <c r="GB32" t="str">
        <f>IF('Data Checking'!GN32="","",'Data Checking'!GN32)</f>
        <v>ensemble</v>
      </c>
      <c r="GC32" t="str">
        <f>IF('Data Checking'!GO32="","",'Data Checking'!GO32)</f>
        <v>Services_de_sante Education Acces_aux_doc</v>
      </c>
      <c r="GD32" t="str">
        <f>IF('Data Checking'!GP32="","",'Data Checking'!GP32)</f>
        <v>0</v>
      </c>
      <c r="GE32" t="str">
        <f>IF('Data Checking'!GQ32="","",'Data Checking'!GQ32)</f>
        <v>1</v>
      </c>
      <c r="GF32" t="str">
        <f>IF('Data Checking'!GR32="","",'Data Checking'!GR32)</f>
        <v>0</v>
      </c>
      <c r="GG32" t="str">
        <f>IF('Data Checking'!GS32="","",'Data Checking'!GS32)</f>
        <v>1</v>
      </c>
      <c r="GH32" t="str">
        <f>IF('Data Checking'!GT32="","",'Data Checking'!GT32)</f>
        <v>1</v>
      </c>
      <c r="GI32" t="str">
        <f>IF('Data Checking'!GU32="","",'Data Checking'!GU32)</f>
        <v>0</v>
      </c>
      <c r="GJ32" t="str">
        <f>IF('Data Checking'!GV32="","",'Data Checking'!GV32)</f>
        <v>0</v>
      </c>
      <c r="GK32" t="str">
        <f>IF('Data Checking'!GW32="","",'Data Checking'!GW32)</f>
        <v>0</v>
      </c>
      <c r="GL32" t="str">
        <f>IF('Data Checking'!GX32="","",'Data Checking'!GX32)</f>
        <v>0</v>
      </c>
      <c r="GM32" t="str">
        <f>IF('Data Checking'!GY32="","",'Data Checking'!GY32)</f>
        <v/>
      </c>
      <c r="GN32" t="str">
        <f>IF('Data Checking'!GZ32="","",'Data Checking'!GZ32)</f>
        <v>oui_ensemble</v>
      </c>
      <c r="GO32" t="str">
        <f>IF('Data Checking'!HA32="","",'Data Checking'!HA32)</f>
        <v>oui_ensemble</v>
      </c>
      <c r="GP32" t="str">
        <f>IF('Data Checking'!HB32="","",'Data Checking'!HB32)</f>
        <v>amelioration_futur repond_besoins_pop diminution_tensions</v>
      </c>
      <c r="GQ32" t="str">
        <f>IF('Data Checking'!HC32="","",'Data Checking'!HC32)</f>
        <v>1</v>
      </c>
      <c r="GR32" t="str">
        <f>IF('Data Checking'!HD32="","",'Data Checking'!HD32)</f>
        <v>1</v>
      </c>
      <c r="GS32" t="str">
        <f>IF('Data Checking'!HE32="","",'Data Checking'!HE32)</f>
        <v>0</v>
      </c>
      <c r="GT32" t="str">
        <f>IF('Data Checking'!HF32="","",'Data Checking'!HF32)</f>
        <v>0</v>
      </c>
      <c r="GU32" t="str">
        <f>IF('Data Checking'!HG32="","",'Data Checking'!HG32)</f>
        <v>0</v>
      </c>
      <c r="GV32" t="str">
        <f>IF('Data Checking'!HH32="","",'Data Checking'!HH32)</f>
        <v>1</v>
      </c>
      <c r="GW32" t="str">
        <f>IF('Data Checking'!HI32="","",'Data Checking'!HI32)</f>
        <v>0</v>
      </c>
      <c r="GX32" t="str">
        <f>IF('Data Checking'!HJ32="","",'Data Checking'!HJ32)</f>
        <v>0</v>
      </c>
      <c r="GY32" t="str">
        <f>IF('Data Checking'!HK32="","",'Data Checking'!HK32)</f>
        <v/>
      </c>
      <c r="GZ32" t="str">
        <f>IF('Data Checking'!HL32="","",'Data Checking'!HL32)</f>
        <v/>
      </c>
      <c r="HA32" t="str">
        <f>IF('Data Checking'!HM32="","",'Data Checking'!HM32)</f>
        <v/>
      </c>
      <c r="HB32" t="str">
        <f>IF('Data Checking'!HN32="","",'Data Checking'!HN32)</f>
        <v/>
      </c>
      <c r="HC32" t="str">
        <f>IF('Data Checking'!HO32="","",'Data Checking'!HO32)</f>
        <v/>
      </c>
      <c r="HD32" t="str">
        <f>IF('Data Checking'!HP32="","",'Data Checking'!HP32)</f>
        <v/>
      </c>
      <c r="HE32" t="str">
        <f>IF('Data Checking'!HQ32="","",'Data Checking'!HQ32)</f>
        <v/>
      </c>
      <c r="HF32" t="str">
        <f>IF('Data Checking'!HR32="","",'Data Checking'!HR32)</f>
        <v/>
      </c>
      <c r="HG32" t="str">
        <f>IF('Data Checking'!HS32="","",'Data Checking'!HS32)</f>
        <v/>
      </c>
      <c r="HH32" t="str">
        <f>IF('Data Checking'!HT32="","",'Data Checking'!HT32)</f>
        <v/>
      </c>
      <c r="HI32" t="str">
        <f>IF('Data Checking'!HU32="","",'Data Checking'!HU32)</f>
        <v>oui_moitie</v>
      </c>
      <c r="HJ32" t="str">
        <f>IF('Data Checking'!HV32="","",'Data Checking'!HV32)</f>
        <v>ingo</v>
      </c>
      <c r="HK32" t="str">
        <f>IF('Data Checking'!HW32="","",'Data Checking'!HW32)</f>
        <v>0</v>
      </c>
      <c r="HL32" t="str">
        <f>IF('Data Checking'!HX32="","",'Data Checking'!HX32)</f>
        <v>0</v>
      </c>
      <c r="HM32" t="str">
        <f>IF('Data Checking'!HY32="","",'Data Checking'!HY32)</f>
        <v>0</v>
      </c>
      <c r="HN32" t="str">
        <f>IF('Data Checking'!HZ32="","",'Data Checking'!HZ32)</f>
        <v>0</v>
      </c>
      <c r="HO32" t="str">
        <f>IF('Data Checking'!IA32="","",'Data Checking'!IA32)</f>
        <v>1</v>
      </c>
      <c r="HP32" t="str">
        <f>IF('Data Checking'!IB32="","",'Data Checking'!IB32)</f>
        <v>0</v>
      </c>
      <c r="HQ32" t="str">
        <f>IF('Data Checking'!IC32="","",'Data Checking'!IC32)</f>
        <v>0</v>
      </c>
      <c r="HR32" t="str">
        <f>IF('Data Checking'!ID32="","",'Data Checking'!ID32)</f>
        <v>0</v>
      </c>
      <c r="HS32" t="str">
        <f>IF('Data Checking'!IE32="","",'Data Checking'!IE32)</f>
        <v>0</v>
      </c>
      <c r="HT32" t="str">
        <f>IF('Data Checking'!IF32="","",'Data Checking'!IF32)</f>
        <v>0</v>
      </c>
      <c r="HU32" t="str">
        <f>IF('Data Checking'!IG32="","",'Data Checking'!IG32)</f>
        <v/>
      </c>
      <c r="HV32" t="str">
        <f>IF('Data Checking'!IH32="","",'Data Checking'!IH32)</f>
        <v>oui</v>
      </c>
      <c r="HW32" t="str">
        <f>IF('Data Checking'!II32="","",'Data Checking'!II32)</f>
        <v/>
      </c>
      <c r="HX32" t="str">
        <f>IF('Data Checking'!IJ32="","",'Data Checking'!IJ32)</f>
        <v/>
      </c>
      <c r="HY32" t="str">
        <f>IF('Data Checking'!IK32="","",'Data Checking'!IK32)</f>
        <v/>
      </c>
      <c r="HZ32" t="str">
        <f>IF('Data Checking'!IL32="","",'Data Checking'!IL32)</f>
        <v/>
      </c>
      <c r="IA32" t="str">
        <f>IF('Data Checking'!IM32="","",'Data Checking'!IM32)</f>
        <v/>
      </c>
      <c r="IB32" t="str">
        <f>IF('Data Checking'!IN32="","",'Data Checking'!IN32)</f>
        <v/>
      </c>
      <c r="IC32" t="str">
        <f>IF('Data Checking'!IO32="","",'Data Checking'!IO32)</f>
        <v/>
      </c>
      <c r="ID32" t="str">
        <f>IF('Data Checking'!IP32="","",'Data Checking'!IP32)</f>
        <v/>
      </c>
      <c r="IE32" t="str">
        <f>IF('Data Checking'!IQ32="","",'Data Checking'!IQ32)</f>
        <v/>
      </c>
      <c r="IF32" t="str">
        <f>IF('Data Checking'!IR32="","",'Data Checking'!IR32)</f>
        <v/>
      </c>
      <c r="IG32" t="str">
        <f>IF('Data Checking'!IS32="","",'Data Checking'!IS32)</f>
        <v/>
      </c>
      <c r="IH32" t="str">
        <f>IF('Data Checking'!IT32="","",'Data Checking'!IT32)</f>
        <v/>
      </c>
      <c r="II32" t="str">
        <f>IF('Data Checking'!IU32="","",'Data Checking'!IU32)</f>
        <v/>
      </c>
      <c r="IJ32" t="str">
        <f>IF('Data Checking'!IV32="","",'Data Checking'!IV32)</f>
        <v/>
      </c>
      <c r="IK32" t="str">
        <f>IF('Data Checking'!IW32="","",'Data Checking'!IW32)</f>
        <v/>
      </c>
      <c r="IL32" t="str">
        <f>IF('Data Checking'!IX32="","",'Data Checking'!IX32)</f>
        <v/>
      </c>
      <c r="IM32" t="str">
        <f>IF('Data Checking'!IY32="","",'Data Checking'!IY32)</f>
        <v/>
      </c>
      <c r="IN32" t="str">
        <f>IF('Data Checking'!IZ32="","",'Data Checking'!IZ32)</f>
        <v>60</v>
      </c>
      <c r="IO32" t="str">
        <f>IF('Data Checking'!JA32="","",'Data Checking'!JA32)</f>
        <v>Services_conseil points_ecoute</v>
      </c>
      <c r="IP32" t="str">
        <f>IF('Data Checking'!JB32="","",'Data Checking'!JB32)</f>
        <v>0</v>
      </c>
      <c r="IQ32" t="str">
        <f>IF('Data Checking'!JC32="","",'Data Checking'!JC32)</f>
        <v>0</v>
      </c>
      <c r="IR32" t="str">
        <f>IF('Data Checking'!JD32="","",'Data Checking'!JD32)</f>
        <v>0</v>
      </c>
      <c r="IS32" t="str">
        <f>IF('Data Checking'!JE32="","",'Data Checking'!JE32)</f>
        <v>1</v>
      </c>
      <c r="IT32" t="str">
        <f>IF('Data Checking'!JF32="","",'Data Checking'!JF32)</f>
        <v>0</v>
      </c>
      <c r="IU32" t="str">
        <f>IF('Data Checking'!JG32="","",'Data Checking'!JG32)</f>
        <v>0</v>
      </c>
      <c r="IV32" t="str">
        <f>IF('Data Checking'!JH32="","",'Data Checking'!JH32)</f>
        <v>0</v>
      </c>
      <c r="IW32" t="str">
        <f>IF('Data Checking'!JI32="","",'Data Checking'!JI32)</f>
        <v>1</v>
      </c>
      <c r="IX32" t="str">
        <f>IF('Data Checking'!JJ32="","",'Data Checking'!JJ32)</f>
        <v>0</v>
      </c>
      <c r="IY32" t="str">
        <f>IF('Data Checking'!JK32="","",'Data Checking'!JK32)</f>
        <v>0</v>
      </c>
      <c r="IZ32" t="str">
        <f>IF('Data Checking'!JL32="","",'Data Checking'!JL32)</f>
        <v/>
      </c>
      <c r="JA32" t="str">
        <f>IF('Data Checking'!JM32="","",'Data Checking'!JM32)</f>
        <v>signalement reorientation</v>
      </c>
      <c r="JB32" t="str">
        <f>IF('Data Checking'!JN32="","",'Data Checking'!JN32)</f>
        <v>0</v>
      </c>
      <c r="JC32" t="str">
        <f>IF('Data Checking'!JO32="","",'Data Checking'!JO32)</f>
        <v>1</v>
      </c>
      <c r="JD32" t="str">
        <f>IF('Data Checking'!JP32="","",'Data Checking'!JP32)</f>
        <v>1</v>
      </c>
      <c r="JE32" t="str">
        <f>IF('Data Checking'!JQ32="","",'Data Checking'!JQ32)</f>
        <v>0</v>
      </c>
      <c r="JF32" t="str">
        <f>IF('Data Checking'!JR32="","",'Data Checking'!JR32)</f>
        <v>0</v>
      </c>
      <c r="JG32" t="str">
        <f>IF('Data Checking'!JS32="","",'Data Checking'!JS32)</f>
        <v>0</v>
      </c>
      <c r="JH32" t="str">
        <f>IF('Data Checking'!JT32="","",'Data Checking'!JT32)</f>
        <v/>
      </c>
      <c r="JI32" t="str">
        <f>IF('Data Checking'!JU32="","",'Data Checking'!JU32)</f>
        <v/>
      </c>
      <c r="JJ32" t="str">
        <f>IF('Data Checking'!JV32="","",'Data Checking'!JV32)</f>
        <v/>
      </c>
      <c r="JK32" t="str">
        <f>IF('Data Checking'!JW32="","",'Data Checking'!JW32)</f>
        <v/>
      </c>
      <c r="JL32" t="str">
        <f>IF('Data Checking'!JX32="","",'Data Checking'!JX32)</f>
        <v/>
      </c>
      <c r="JM32" t="str">
        <f>IF('Data Checking'!JY32="","",'Data Checking'!JY32)</f>
        <v/>
      </c>
      <c r="JN32" t="str">
        <f>IF('Data Checking'!JZ32="","",'Data Checking'!JZ32)</f>
        <v/>
      </c>
      <c r="JO32" t="str">
        <f>IF('Data Checking'!KA32="","",'Data Checking'!KA32)</f>
        <v/>
      </c>
      <c r="JP32" t="str">
        <f>IF('Data Checking'!KB32="","",'Data Checking'!KB32)</f>
        <v/>
      </c>
      <c r="JQ32" t="str">
        <f>IF('Data Checking'!KC32="","",'Data Checking'!KC32)</f>
        <v/>
      </c>
      <c r="JR32" t="str">
        <f>IF('Data Checking'!KD32="","",'Data Checking'!KD32)</f>
        <v/>
      </c>
      <c r="JS32" t="str">
        <f>IF('Data Checking'!KE32="","",'Data Checking'!KE32)</f>
        <v/>
      </c>
      <c r="JT32" t="str">
        <f>IF('Data Checking'!KF32="","",'Data Checking'!KF32)</f>
        <v>medical point_ecoute surete</v>
      </c>
      <c r="JU32" t="str">
        <f>IF('Data Checking'!KG32="","",'Data Checking'!KG32)</f>
        <v>1</v>
      </c>
      <c r="JV32" t="str">
        <f>IF('Data Checking'!KH32="","",'Data Checking'!KH32)</f>
        <v>0</v>
      </c>
      <c r="JW32" t="str">
        <f>IF('Data Checking'!KI32="","",'Data Checking'!KI32)</f>
        <v>1</v>
      </c>
      <c r="JX32" t="str">
        <f>IF('Data Checking'!KJ32="","",'Data Checking'!KJ32)</f>
        <v>0</v>
      </c>
      <c r="JY32" t="str">
        <f>IF('Data Checking'!KK32="","",'Data Checking'!KK32)</f>
        <v>1</v>
      </c>
      <c r="JZ32" t="str">
        <f>IF('Data Checking'!KL32="","",'Data Checking'!KL32)</f>
        <v>0</v>
      </c>
      <c r="KA32" t="str">
        <f>IF('Data Checking'!KM32="","",'Data Checking'!KM32)</f>
        <v>0</v>
      </c>
      <c r="KB32" t="str">
        <f>IF('Data Checking'!KN32="","",'Data Checking'!KN32)</f>
        <v>0</v>
      </c>
      <c r="KC32" t="str">
        <f>IF('Data Checking'!KO32="","",'Data Checking'!KO32)</f>
        <v>0</v>
      </c>
      <c r="KD32" t="str">
        <f>IF('Data Checking'!KP32="","",'Data Checking'!KP32)</f>
        <v/>
      </c>
      <c r="KE32" t="str">
        <f>IF('Data Checking'!KQ32="","",'Data Checking'!KQ32)</f>
        <v/>
      </c>
      <c r="KF32" t="str">
        <f>IF('Data Checking'!KR32="","",'Data Checking'!KR32)</f>
        <v>non</v>
      </c>
      <c r="KG32" t="str">
        <f>IF('Data Checking'!KS32="","",'Data Checking'!KS32)</f>
        <v/>
      </c>
      <c r="KH32" t="str">
        <f>IF('Data Checking'!KT32="","",'Data Checking'!KT32)</f>
        <v/>
      </c>
      <c r="KI32" t="str">
        <f>IF('Data Checking'!KU32="","",'Data Checking'!KU32)</f>
        <v/>
      </c>
      <c r="KJ32" t="str">
        <f>IF('Data Checking'!KV32="","",'Data Checking'!KV32)</f>
        <v/>
      </c>
      <c r="KK32" t="str">
        <f>IF('Data Checking'!KW32="","",'Data Checking'!KW32)</f>
        <v/>
      </c>
      <c r="KL32" t="str">
        <f>IF('Data Checking'!KX32="","",'Data Checking'!KX32)</f>
        <v/>
      </c>
      <c r="KM32" t="str">
        <f>IF('Data Checking'!KY32="","",'Data Checking'!KY32)</f>
        <v/>
      </c>
      <c r="KN32" t="str">
        <f>IF('Data Checking'!KZ32="","",'Data Checking'!KZ32)</f>
        <v/>
      </c>
      <c r="KO32" t="str">
        <f>IF('Data Checking'!LA32="","",'Data Checking'!LA32)</f>
        <v/>
      </c>
      <c r="KP32" t="str">
        <f>IF('Data Checking'!LB32="","",'Data Checking'!LB32)</f>
        <v/>
      </c>
      <c r="KQ32" t="str">
        <f>IF('Data Checking'!LC32="","",'Data Checking'!LC32)</f>
        <v/>
      </c>
      <c r="KR32" t="str">
        <f>IF('Data Checking'!LD32="","",'Data Checking'!LD32)</f>
        <v/>
      </c>
      <c r="KS32" t="str">
        <f>IF('Data Checking'!LE32="","",'Data Checking'!LE32)</f>
        <v/>
      </c>
      <c r="KT32" t="str">
        <f>IF('Data Checking'!LF32="","",'Data Checking'!LF32)</f>
        <v/>
      </c>
      <c r="KU32" t="str">
        <f>IF('Data Checking'!LG32="","",'Data Checking'!LG32)</f>
        <v/>
      </c>
      <c r="KV32" t="str">
        <f>IF('Data Checking'!LH32="","",'Data Checking'!LH32)</f>
        <v/>
      </c>
      <c r="KW32" t="str">
        <f>IF('Data Checking'!LI32="","",'Data Checking'!LI32)</f>
        <v/>
      </c>
      <c r="KX32" t="str">
        <f>IF('Data Checking'!LJ32="","",'Data Checking'!LJ32)</f>
        <v/>
      </c>
      <c r="KY32" t="str">
        <f>IF('Data Checking'!LK32="","",'Data Checking'!LK32)</f>
        <v/>
      </c>
      <c r="KZ32" t="str">
        <f>IF('Data Checking'!LL32="","",'Data Checking'!LL32)</f>
        <v/>
      </c>
      <c r="LA32" t="str">
        <f>IF('Data Checking'!LM32="","",'Data Checking'!LM32)</f>
        <v/>
      </c>
      <c r="LB32" t="str">
        <f>IF('Data Checking'!LN32="","",'Data Checking'!LN32)</f>
        <v>non</v>
      </c>
      <c r="LC32" t="str">
        <f>IF('Data Checking'!LO32="","",'Data Checking'!LO32)</f>
        <v/>
      </c>
      <c r="LD32" t="str">
        <f>IF('Data Checking'!LP32="","",'Data Checking'!LP32)</f>
        <v/>
      </c>
      <c r="LE32" t="str">
        <f>IF('Data Checking'!LQ32="","",'Data Checking'!LQ32)</f>
        <v/>
      </c>
      <c r="LF32" t="str">
        <f>IF('Data Checking'!LR32="","",'Data Checking'!LR32)</f>
        <v/>
      </c>
      <c r="LG32" t="str">
        <f>IF('Data Checking'!LS32="","",'Data Checking'!LS32)</f>
        <v/>
      </c>
      <c r="LH32" t="str">
        <f>IF('Data Checking'!LT32="","",'Data Checking'!LT32)</f>
        <v/>
      </c>
      <c r="LI32" t="str">
        <f>IF('Data Checking'!LU32="","",'Data Checking'!LU32)</f>
        <v/>
      </c>
      <c r="LJ32" t="str">
        <f>IF('Data Checking'!LV32="","",'Data Checking'!LV32)</f>
        <v/>
      </c>
      <c r="LK32" t="str">
        <f>IF('Data Checking'!LW32="","",'Data Checking'!LW32)</f>
        <v/>
      </c>
      <c r="LL32" t="str">
        <f>IF('Data Checking'!LX32="","",'Data Checking'!LX32)</f>
        <v/>
      </c>
      <c r="LM32" t="str">
        <f>IF('Data Checking'!LY32="","",'Data Checking'!LY32)</f>
        <v/>
      </c>
      <c r="LN32" t="str">
        <f>IF('Data Checking'!LZ32="","",'Data Checking'!LZ32)</f>
        <v/>
      </c>
      <c r="LO32" t="str">
        <f>IF('Data Checking'!MA32="","",'Data Checking'!MA32)</f>
        <v/>
      </c>
      <c r="LP32" t="str">
        <f>IF('Data Checking'!MB32="","",'Data Checking'!MB32)</f>
        <v>oui</v>
      </c>
      <c r="LQ32" t="str">
        <f>IF('Data Checking'!MC32="","",'Data Checking'!MC32)</f>
        <v/>
      </c>
      <c r="LR32" t="str">
        <f>IF('Data Checking'!MD32="","",'Data Checking'!MD32)</f>
        <v/>
      </c>
      <c r="LS32">
        <f>IF('Data Checking'!ME32="","",'Data Checking'!ME32)</f>
        <v>172011410</v>
      </c>
      <c r="LT32" t="str">
        <f>IF('Data Checking'!MF32="","",'Data Checking'!MF32)</f>
        <v>aae4d7a2-79eb-4ce9-a93b-6a42e2a5b220</v>
      </c>
      <c r="LU32" t="str">
        <f>IF('Data Checking'!MG32="","",'Data Checking'!MG32)</f>
        <v>2021-04-16T16:12:08</v>
      </c>
      <c r="LV32" t="str">
        <f>IF('Data Checking'!MH32="","",'Data Checking'!MH32)</f>
        <v/>
      </c>
      <c r="LW32" t="str">
        <f>IF('Data Checking'!MI32="","",'Data Checking'!MI32)</f>
        <v>[]</v>
      </c>
      <c r="LX32" t="str">
        <f>IF('Data Checking'!MJ32="","",'Data Checking'!MJ32)</f>
        <v>submitted_via_web</v>
      </c>
      <c r="LY32" t="str">
        <f>IF('Data Checking'!MK32="","",'Data Checking'!MK32)</f>
        <v>reach_niger</v>
      </c>
      <c r="LZ32" t="str">
        <f>IF('Data Checking'!ML32="","",'Data Checking'!ML32)</f>
        <v/>
      </c>
      <c r="MA32">
        <f>IF('Data Checking'!MM32="","",'Data Checking'!MM32)</f>
        <v>74</v>
      </c>
    </row>
    <row r="33" spans="1:339" x14ac:dyDescent="0.3">
      <c r="A33" t="str">
        <f>IF('Data Checking'!D33="","",'Data Checking'!D33)</f>
        <v>2021-04-08T16:08:54.852+01:00</v>
      </c>
      <c r="B33" t="str">
        <f>IF('Data Checking'!E33="","",'Data Checking'!E33)</f>
        <v>2021-04-08T16:50:30.144+01:00</v>
      </c>
      <c r="C33" t="str">
        <f>IF('Data Checking'!M33="","",'Data Checking'!M33)</f>
        <v>2021-04-08</v>
      </c>
      <c r="D33" t="str">
        <f>IF('Data Checking'!N33="","",'Data Checking'!N33)</f>
        <v/>
      </c>
      <c r="E33" t="str">
        <f>IF('Data Checking'!O33="","",'Data Checking'!O33)</f>
        <v/>
      </c>
      <c r="F33" t="str">
        <f>IF('Data Checking'!R33="","",'Data Checking'!R33)</f>
        <v>Homme</v>
      </c>
      <c r="G33" t="str">
        <f>IF('Data Checking'!S33="","",'Data Checking'!S33)</f>
        <v>ouallam</v>
      </c>
      <c r="H33" t="str">
        <f>IF('Data Checking'!T33="","",'Data Checking'!T33)</f>
        <v>ouallam</v>
      </c>
      <c r="I33" t="str">
        <f>IF('Data Checking'!U33="","",'Data Checking'!U33)</f>
        <v>ouallam_ref</v>
      </c>
      <c r="J33" t="str">
        <f>IF('Data Checking'!V33="","",'Data Checking'!V33)</f>
        <v/>
      </c>
      <c r="K33" t="str">
        <f>IF('Data Checking'!W33="","",'Data Checking'!W33)</f>
        <v/>
      </c>
      <c r="L33" t="str">
        <f>IF('Data Checking'!X33="","",'Data Checking'!X33)</f>
        <v/>
      </c>
      <c r="M33" t="str">
        <f>IF('Data Checking'!Y33="","",'Data Checking'!Y33)</f>
        <v/>
      </c>
      <c r="N33" t="str">
        <f>IF('Data Checking'!Z33="","",'Data Checking'!Z33)</f>
        <v/>
      </c>
      <c r="O33" t="str">
        <f>IF('Data Checking'!AA33="","",'Data Checking'!AA33)</f>
        <v/>
      </c>
      <c r="P33" t="str">
        <f>IF('Data Checking'!AB33="","",'Data Checking'!AB33)</f>
        <v/>
      </c>
      <c r="Q33" t="str">
        <f>IF('Data Checking'!AC33="","",'Data Checking'!AC33)</f>
        <v/>
      </c>
      <c r="R33" t="str">
        <f>IF('Data Checking'!AD33="","",'Data Checking'!AD33)</f>
        <v>Homme</v>
      </c>
      <c r="S33" t="str">
        <f>IF('Data Checking'!AE33="","",'Data Checking'!AE33)</f>
        <v>34</v>
      </c>
      <c r="T33" t="str">
        <f>IF('Data Checking'!AF33="","",'Data Checking'!AF33)</f>
        <v>refugie</v>
      </c>
      <c r="U33" t="str">
        <f>IF('Data Checking'!AG33="","",'Data Checking'!AG33)</f>
        <v/>
      </c>
      <c r="V33" t="str">
        <f>IF('Data Checking'!AH33="","",'Data Checking'!AH33)</f>
        <v/>
      </c>
      <c r="W33" t="str">
        <f>IF('Data Checking'!AI33="","",'Data Checking'!AI33)</f>
        <v/>
      </c>
      <c r="X33" t="str">
        <f>IF('Data Checking'!AJ33="","",'Data Checking'!AJ33)</f>
        <v/>
      </c>
      <c r="Y33" t="str">
        <f>IF('Data Checking'!AK33="","",'Data Checking'!AK33)</f>
        <v/>
      </c>
      <c r="Z33" t="str">
        <f>IF('Data Checking'!AL33="","",'Data Checking'!AL33)</f>
        <v>mali</v>
      </c>
      <c r="AA33" t="str">
        <f>IF('Data Checking'!AM33="","",'Data Checking'!AM33)</f>
        <v>menaka</v>
      </c>
      <c r="AB33" t="str">
        <f>IF('Data Checking'!AN33="","",'Data Checking'!AN33)</f>
        <v>menaka</v>
      </c>
      <c r="AC33" t="str">
        <f>IF('Data Checking'!AO33="","",'Data Checking'!AO33)</f>
        <v/>
      </c>
      <c r="AD33" t="str">
        <f>IF('Data Checking'!AP33="","",'Data Checking'!AP33)</f>
        <v/>
      </c>
      <c r="AE33" t="str">
        <f>IF('Data Checking'!AQ33="","",'Data Checking'!AQ33)</f>
        <v/>
      </c>
      <c r="AF33" t="str">
        <f>IF('Data Checking'!AR33="","",'Data Checking'!AR33)</f>
        <v/>
      </c>
      <c r="AG33" t="str">
        <f>IF('Data Checking'!AS33="","",'Data Checking'!AS33)</f>
        <v>non</v>
      </c>
      <c r="AH33" t="str">
        <f>IF('Data Checking'!AT33="","",'Data Checking'!AT33)</f>
        <v/>
      </c>
      <c r="AI33" t="str">
        <f>IF('Data Checking'!AU33="","",'Data Checking'!AU33)</f>
        <v/>
      </c>
      <c r="AJ33" t="str">
        <f>IF('Data Checking'!AV33="","",'Data Checking'!AV33)</f>
        <v/>
      </c>
      <c r="AK33" t="str">
        <f>IF('Data Checking'!AW33="","",'Data Checking'!AW33)</f>
        <v/>
      </c>
      <c r="AL33" t="str">
        <f>IF('Data Checking'!AX33="","",'Data Checking'!AX33)</f>
        <v/>
      </c>
      <c r="AM33" t="str">
        <f>IF('Data Checking'!AY33="","",'Data Checking'!AY33)</f>
        <v/>
      </c>
      <c r="AN33" t="str">
        <f>IF('Data Checking'!AZ33="","",'Data Checking'!AZ33)</f>
        <v/>
      </c>
      <c r="AO33" t="str">
        <f>IF('Data Checking'!BA33="","",'Data Checking'!BA33)</f>
        <v/>
      </c>
      <c r="AP33" t="str">
        <f>IF('Data Checking'!BB33="","",'Data Checking'!BB33)</f>
        <v/>
      </c>
      <c r="AQ33" t="str">
        <f>IF('Data Checking'!BC33="","",'Data Checking'!BC33)</f>
        <v/>
      </c>
      <c r="AR33" t="str">
        <f>IF('Data Checking'!BD33="","",'Data Checking'!BD33)</f>
        <v/>
      </c>
      <c r="AS33" t="str">
        <f>IF('Data Checking'!BE33="","",'Data Checking'!BE33)</f>
        <v/>
      </c>
      <c r="AT33" t="str">
        <f>IF('Data Checking'!BF33="","",'Data Checking'!BF33)</f>
        <v/>
      </c>
      <c r="AU33" t="str">
        <f>IF('Data Checking'!BG33="","",'Data Checking'!BG33)</f>
        <v/>
      </c>
      <c r="AV33" t="str">
        <f>IF('Data Checking'!BH33="","",'Data Checking'!BH33)</f>
        <v/>
      </c>
      <c r="AW33" t="str">
        <f>IF('Data Checking'!BI33="","",'Data Checking'!BI33)</f>
        <v/>
      </c>
      <c r="AX33" t="str">
        <f>IF('Data Checking'!BJ33="","",'Data Checking'!BJ33)</f>
        <v/>
      </c>
      <c r="AY33" t="str">
        <f>IF('Data Checking'!BK33="","",'Data Checking'!BK33)</f>
        <v/>
      </c>
      <c r="AZ33" t="str">
        <f>IF('Data Checking'!BL33="","",'Data Checking'!BL33)</f>
        <v/>
      </c>
      <c r="BA33" t="str">
        <f>IF('Data Checking'!BM33="","",'Data Checking'!BM33)</f>
        <v/>
      </c>
      <c r="BB33" t="str">
        <f>IF('Data Checking'!BN33="","",'Data Checking'!BN33)</f>
        <v/>
      </c>
      <c r="BC33" t="str">
        <f>IF('Data Checking'!BO33="","",'Data Checking'!BO33)</f>
        <v/>
      </c>
      <c r="BD33" t="str">
        <f>IF('Data Checking'!BP33="","",'Data Checking'!BP33)</f>
        <v/>
      </c>
      <c r="BE33" t="str">
        <f>IF('Data Checking'!BQ33="","",'Data Checking'!BQ33)</f>
        <v/>
      </c>
      <c r="BF33" t="str">
        <f>IF('Data Checking'!BR33="","",'Data Checking'!BR33)</f>
        <v/>
      </c>
      <c r="BG33" t="str">
        <f>IF('Data Checking'!BS33="","",'Data Checking'!BS33)</f>
        <v/>
      </c>
      <c r="BH33" t="str">
        <f>IF('Data Checking'!BT33="","",'Data Checking'!BT33)</f>
        <v/>
      </c>
      <c r="BI33" t="str">
        <f>IF('Data Checking'!BU33="","",'Data Checking'!BU33)</f>
        <v/>
      </c>
      <c r="BJ33" t="str">
        <f>IF('Data Checking'!BV33="","",'Data Checking'!BV33)</f>
        <v/>
      </c>
      <c r="BK33" t="str">
        <f>IF('Data Checking'!BW33="","",'Data Checking'!BW33)</f>
        <v/>
      </c>
      <c r="BL33" t="str">
        <f>IF('Data Checking'!BX33="","",'Data Checking'!BX33)</f>
        <v/>
      </c>
      <c r="BM33" t="str">
        <f>IF('Data Checking'!BY33="","",'Data Checking'!BY33)</f>
        <v/>
      </c>
      <c r="BN33" t="str">
        <f>IF('Data Checking'!BZ33="","",'Data Checking'!BZ33)</f>
        <v/>
      </c>
      <c r="BO33" t="str">
        <f>IF('Data Checking'!CA33="","",'Data Checking'!CA33)</f>
        <v/>
      </c>
      <c r="BP33" t="str">
        <f>IF('Data Checking'!CB33="","",'Data Checking'!CB33)</f>
        <v/>
      </c>
      <c r="BQ33" t="str">
        <f>IF('Data Checking'!CC33="","",'Data Checking'!CC33)</f>
        <v>non</v>
      </c>
      <c r="BR33" t="str">
        <f>IF('Data Checking'!CD33="","",'Data Checking'!CD33)</f>
        <v/>
      </c>
      <c r="BS33" t="str">
        <f>IF('Data Checking'!CE33="","",'Data Checking'!CE33)</f>
        <v/>
      </c>
      <c r="BT33" t="str">
        <f>IF('Data Checking'!CF33="","",'Data Checking'!CF33)</f>
        <v/>
      </c>
      <c r="BU33" t="str">
        <f>IF('Data Checking'!CG33="","",'Data Checking'!CG33)</f>
        <v/>
      </c>
      <c r="BV33" t="str">
        <f>IF('Data Checking'!CH33="","",'Data Checking'!CH33)</f>
        <v/>
      </c>
      <c r="BW33" t="str">
        <f>IF('Data Checking'!CI33="","",'Data Checking'!CI33)</f>
        <v/>
      </c>
      <c r="BX33" t="str">
        <f>IF('Data Checking'!CJ33="","",'Data Checking'!CJ33)</f>
        <v/>
      </c>
      <c r="BY33" t="str">
        <f>IF('Data Checking'!CK33="","",'Data Checking'!CK33)</f>
        <v/>
      </c>
      <c r="BZ33" t="str">
        <f>IF('Data Checking'!CL33="","",'Data Checking'!CL33)</f>
        <v/>
      </c>
      <c r="CA33" t="str">
        <f>IF('Data Checking'!CM33="","",'Data Checking'!CM33)</f>
        <v/>
      </c>
      <c r="CB33" t="str">
        <f>IF('Data Checking'!CN33="","",'Data Checking'!CN33)</f>
        <v/>
      </c>
      <c r="CC33" t="str">
        <f>IF('Data Checking'!CO33="","",'Data Checking'!CO33)</f>
        <v/>
      </c>
      <c r="CD33" t="str">
        <f>IF('Data Checking'!CP33="","",'Data Checking'!CP33)</f>
        <v/>
      </c>
      <c r="CE33" t="str">
        <f>IF('Data Checking'!CQ33="","",'Data Checking'!CQ33)</f>
        <v/>
      </c>
      <c r="CF33" t="str">
        <f>IF('Data Checking'!CR33="","",'Data Checking'!CR33)</f>
        <v/>
      </c>
      <c r="CG33" t="str">
        <f>IF('Data Checking'!CS33="","",'Data Checking'!CS33)</f>
        <v/>
      </c>
      <c r="CH33" t="str">
        <f>IF('Data Checking'!CT33="","",'Data Checking'!CT33)</f>
        <v/>
      </c>
      <c r="CI33" t="str">
        <f>IF('Data Checking'!CU33="","",'Data Checking'!CU33)</f>
        <v/>
      </c>
      <c r="CJ33" t="str">
        <f>IF('Data Checking'!CV33="","",'Data Checking'!CV33)</f>
        <v/>
      </c>
      <c r="CK33" t="str">
        <f>IF('Data Checking'!CW33="","",'Data Checking'!CW33)</f>
        <v/>
      </c>
      <c r="CL33" t="str">
        <f>IF('Data Checking'!CX33="","",'Data Checking'!CX33)</f>
        <v/>
      </c>
      <c r="CM33" t="str">
        <f>IF('Data Checking'!CY33="","",'Data Checking'!CY33)</f>
        <v/>
      </c>
      <c r="CN33" t="str">
        <f>IF('Data Checking'!CZ33="","",'Data Checking'!CZ33)</f>
        <v/>
      </c>
      <c r="CO33" t="str">
        <f>IF('Data Checking'!DA33="","",'Data Checking'!DA33)</f>
        <v/>
      </c>
      <c r="CP33" t="str">
        <f>IF('Data Checking'!DB33="","",'Data Checking'!DB33)</f>
        <v/>
      </c>
      <c r="CQ33" t="str">
        <f>IF('Data Checking'!DC33="","",'Data Checking'!DC33)</f>
        <v/>
      </c>
      <c r="CR33" t="str">
        <f>IF('Data Checking'!DD33="","",'Data Checking'!DD33)</f>
        <v/>
      </c>
      <c r="CS33" t="str">
        <f>IF('Data Checking'!DE33="","",'Data Checking'!DE33)</f>
        <v/>
      </c>
      <c r="CT33" t="str">
        <f>IF('Data Checking'!DF33="","",'Data Checking'!DF33)</f>
        <v/>
      </c>
      <c r="CU33" t="str">
        <f>IF('Data Checking'!DG33="","",'Data Checking'!DG33)</f>
        <v/>
      </c>
      <c r="CV33" t="str">
        <f>IF('Data Checking'!DH33="","",'Data Checking'!DH33)</f>
        <v/>
      </c>
      <c r="CW33" t="str">
        <f>IF('Data Checking'!DI33="","",'Data Checking'!DI33)</f>
        <v/>
      </c>
      <c r="CX33" t="str">
        <f>IF('Data Checking'!DJ33="","",'Data Checking'!DJ33)</f>
        <v/>
      </c>
      <c r="CY33" t="str">
        <f>IF('Data Checking'!DK33="","",'Data Checking'!DK33)</f>
        <v/>
      </c>
      <c r="CZ33" t="str">
        <f>IF('Data Checking'!DL33="","",'Data Checking'!DL33)</f>
        <v/>
      </c>
      <c r="DA33" t="str">
        <f>IF('Data Checking'!DM33="","",'Data Checking'!DM33)</f>
        <v/>
      </c>
      <c r="DB33" t="str">
        <f>IF('Data Checking'!DN33="","",'Data Checking'!DN33)</f>
        <v/>
      </c>
      <c r="DC33" t="str">
        <f>IF('Data Checking'!DO33="","",'Data Checking'!DO33)</f>
        <v/>
      </c>
      <c r="DD33" t="str">
        <f>IF('Data Checking'!DP33="","",'Data Checking'!DP33)</f>
        <v/>
      </c>
      <c r="DE33" t="str">
        <f>IF('Data Checking'!DQ33="","",'Data Checking'!DQ33)</f>
        <v/>
      </c>
      <c r="DF33" t="str">
        <f>IF('Data Checking'!DR33="","",'Data Checking'!DR33)</f>
        <v/>
      </c>
      <c r="DG33" t="str">
        <f>IF('Data Checking'!DS33="","",'Data Checking'!DS33)</f>
        <v/>
      </c>
      <c r="DH33" t="str">
        <f>IF('Data Checking'!DT33="","",'Data Checking'!DT33)</f>
        <v/>
      </c>
      <c r="DI33" t="str">
        <f>IF('Data Checking'!DU33="","",'Data Checking'!DU33)</f>
        <v/>
      </c>
      <c r="DJ33" t="str">
        <f>IF('Data Checking'!DV33="","",'Data Checking'!DV33)</f>
        <v/>
      </c>
      <c r="DK33" t="str">
        <f>IF('Data Checking'!DW33="","",'Data Checking'!DW33)</f>
        <v/>
      </c>
      <c r="DL33" t="str">
        <f>IF('Data Checking'!DX33="","",'Data Checking'!DX33)</f>
        <v/>
      </c>
      <c r="DM33" t="str">
        <f>IF('Data Checking'!DY33="","",'Data Checking'!DY33)</f>
        <v/>
      </c>
      <c r="DN33" t="str">
        <f>IF('Data Checking'!DZ33="","",'Data Checking'!DZ33)</f>
        <v/>
      </c>
      <c r="DO33" t="str">
        <f>IF('Data Checking'!EA33="","",'Data Checking'!EA33)</f>
        <v/>
      </c>
      <c r="DP33" t="str">
        <f>IF('Data Checking'!EB33="","",'Data Checking'!EB33)</f>
        <v/>
      </c>
      <c r="DQ33" t="str">
        <f>IF('Data Checking'!EC33="","",'Data Checking'!EC33)</f>
        <v/>
      </c>
      <c r="DR33" t="str">
        <f>IF('Data Checking'!ED33="","",'Data Checking'!ED33)</f>
        <v/>
      </c>
      <c r="DS33" t="str">
        <f>IF('Data Checking'!EE33="","",'Data Checking'!EE33)</f>
        <v/>
      </c>
      <c r="DT33" t="str">
        <f>IF('Data Checking'!EF33="","",'Data Checking'!EF33)</f>
        <v/>
      </c>
      <c r="DU33" t="str">
        <f>IF('Data Checking'!EG33="","",'Data Checking'!EG33)</f>
        <v/>
      </c>
      <c r="DV33" t="str">
        <f>IF('Data Checking'!EH33="","",'Data Checking'!EH33)</f>
        <v/>
      </c>
      <c r="DW33" t="str">
        <f>IF('Data Checking'!EI33="","",'Data Checking'!EI33)</f>
        <v/>
      </c>
      <c r="DX33" t="str">
        <f>IF('Data Checking'!EJ33="","",'Data Checking'!EJ33)</f>
        <v/>
      </c>
      <c r="DY33" t="str">
        <f>IF('Data Checking'!EK33="","",'Data Checking'!EK33)</f>
        <v/>
      </c>
      <c r="DZ33" t="str">
        <f>IF('Data Checking'!EL33="","",'Data Checking'!EL33)</f>
        <v>dplct_abords_com</v>
      </c>
      <c r="EA33" t="str">
        <f>IF('Data Checking'!EM33="","",'Data Checking'!EM33)</f>
        <v>1</v>
      </c>
      <c r="EB33" t="str">
        <f>IF('Data Checking'!EN33="","",'Data Checking'!EN33)</f>
        <v>0</v>
      </c>
      <c r="EC33" t="str">
        <f>IF('Data Checking'!EO33="","",'Data Checking'!EO33)</f>
        <v>0</v>
      </c>
      <c r="ED33" t="str">
        <f>IF('Data Checking'!EP33="","",'Data Checking'!EP33)</f>
        <v>0</v>
      </c>
      <c r="EE33" t="str">
        <f>IF('Data Checking'!EQ33="","",'Data Checking'!EQ33)</f>
        <v>0</v>
      </c>
      <c r="EF33" t="str">
        <f>IF('Data Checking'!ER33="","",'Data Checking'!ER33)</f>
        <v>0</v>
      </c>
      <c r="EG33" t="str">
        <f>IF('Data Checking'!ES33="","",'Data Checking'!ES33)</f>
        <v>0</v>
      </c>
      <c r="EH33" t="str">
        <f>IF('Data Checking'!ET33="","",'Data Checking'!ET33)</f>
        <v>0</v>
      </c>
      <c r="EI33" t="str">
        <f>IF('Data Checking'!EU33="","",'Data Checking'!EU33)</f>
        <v>0</v>
      </c>
      <c r="EJ33" t="str">
        <f>IF('Data Checking'!EV33="","",'Data Checking'!EV33)</f>
        <v/>
      </c>
      <c r="EK33" t="str">
        <f>IF('Data Checking'!EW33="","",'Data Checking'!EW33)</f>
        <v/>
      </c>
      <c r="EL33" t="str">
        <f>IF('Data Checking'!EX33="","",'Data Checking'!EX33)</f>
        <v>comite_gestion_conflits femmes_elite</v>
      </c>
      <c r="EM33" t="str">
        <f>IF('Data Checking'!EY33="","",'Data Checking'!EY33)</f>
        <v>1</v>
      </c>
      <c r="EN33" t="str">
        <f>IF('Data Checking'!EZ33="","",'Data Checking'!EZ33)</f>
        <v>0</v>
      </c>
      <c r="EO33" t="str">
        <f>IF('Data Checking'!FA33="","",'Data Checking'!FA33)</f>
        <v>0</v>
      </c>
      <c r="EP33" t="str">
        <f>IF('Data Checking'!FB33="","",'Data Checking'!FB33)</f>
        <v>0</v>
      </c>
      <c r="EQ33" t="str">
        <f>IF('Data Checking'!FC33="","",'Data Checking'!FC33)</f>
        <v>0</v>
      </c>
      <c r="ER33" t="str">
        <f>IF('Data Checking'!FD33="","",'Data Checking'!FD33)</f>
        <v>1</v>
      </c>
      <c r="ES33" t="str">
        <f>IF('Data Checking'!FE33="","",'Data Checking'!FE33)</f>
        <v>0</v>
      </c>
      <c r="ET33" t="str">
        <f>IF('Data Checking'!FF33="","",'Data Checking'!FF33)</f>
        <v>0</v>
      </c>
      <c r="EU33" t="str">
        <f>IF('Data Checking'!FG33="","",'Data Checking'!FG33)</f>
        <v>0</v>
      </c>
      <c r="EV33" t="str">
        <f>IF('Data Checking'!FH33="","",'Data Checking'!FH33)</f>
        <v>0</v>
      </c>
      <c r="EW33" t="str">
        <f>IF('Data Checking'!FI33="","",'Data Checking'!FI33)</f>
        <v/>
      </c>
      <c r="EX33" t="str">
        <f>IF('Data Checking'!FJ33="","",'Data Checking'!FJ33)</f>
        <v>oui</v>
      </c>
      <c r="EY33" t="str">
        <f>IF('Data Checking'!FK33="","",'Data Checking'!FK33)</f>
        <v>Chef_village</v>
      </c>
      <c r="EZ33" t="str">
        <f>IF('Data Checking'!FL33="","",'Data Checking'!FL33)</f>
        <v>0</v>
      </c>
      <c r="FA33" t="str">
        <f>IF('Data Checking'!FM33="","",'Data Checking'!FM33)</f>
        <v>0</v>
      </c>
      <c r="FB33" t="str">
        <f>IF('Data Checking'!FN33="","",'Data Checking'!FN33)</f>
        <v>0</v>
      </c>
      <c r="FC33" t="str">
        <f>IF('Data Checking'!FO33="","",'Data Checking'!FO33)</f>
        <v>0</v>
      </c>
      <c r="FD33">
        <f>IF('Data Checking'!FP33="","",'Data Checking'!FP33)</f>
        <v>1</v>
      </c>
      <c r="FE33" t="str">
        <f>IF('Data Checking'!FQ33="","",'Data Checking'!FQ33)</f>
        <v>0</v>
      </c>
      <c r="FF33" t="str">
        <f>IF('Data Checking'!FR33="","",'Data Checking'!FR33)</f>
        <v>0</v>
      </c>
      <c r="FG33" t="str">
        <f>IF('Data Checking'!FS33="","",'Data Checking'!FS33)</f>
        <v>0</v>
      </c>
      <c r="FH33" t="str">
        <f>IF('Data Checking'!FT33="","",'Data Checking'!FT33)</f>
        <v>0</v>
      </c>
      <c r="FI33" t="str">
        <f>IF('Data Checking'!FU33="","",'Data Checking'!FU33)</f>
        <v>0</v>
      </c>
      <c r="FJ33" t="str">
        <f>IF('Data Checking'!FV33="","",'Data Checking'!FV33)</f>
        <v>0</v>
      </c>
      <c r="FK33" t="str">
        <f>IF('Data Checking'!FW33="","",'Data Checking'!FW33)</f>
        <v>0</v>
      </c>
      <c r="FL33">
        <f>IF('Data Checking'!FX33="","",'Data Checking'!FX33)</f>
        <v>0</v>
      </c>
      <c r="FM33" t="str">
        <f>IF('Data Checking'!FY33="","",'Data Checking'!FY33)</f>
        <v>0</v>
      </c>
      <c r="FN33" t="str">
        <f>IF('Data Checking'!FZ33="","",'Data Checking'!FZ33)</f>
        <v/>
      </c>
      <c r="FO33" t="str">
        <f>IF('Data Checking'!GA33="","",'Data Checking'!GA33)</f>
        <v>non</v>
      </c>
      <c r="FP33" t="str">
        <f>IF('Data Checking'!GB33="","",'Data Checking'!GB33)</f>
        <v/>
      </c>
      <c r="FQ33" t="str">
        <f>IF('Data Checking'!GC33="","",'Data Checking'!GC33)</f>
        <v/>
      </c>
      <c r="FR33" t="str">
        <f>IF('Data Checking'!GD33="","",'Data Checking'!GD33)</f>
        <v/>
      </c>
      <c r="FS33" t="str">
        <f>IF('Data Checking'!GE33="","",'Data Checking'!GE33)</f>
        <v/>
      </c>
      <c r="FT33" t="str">
        <f>IF('Data Checking'!GF33="","",'Data Checking'!GF33)</f>
        <v/>
      </c>
      <c r="FU33" t="str">
        <f>IF('Data Checking'!GG33="","",'Data Checking'!GG33)</f>
        <v/>
      </c>
      <c r="FV33" t="str">
        <f>IF('Data Checking'!GH33="","",'Data Checking'!GH33)</f>
        <v/>
      </c>
      <c r="FW33" t="str">
        <f>IF('Data Checking'!GI33="","",'Data Checking'!GI33)</f>
        <v/>
      </c>
      <c r="FX33" t="str">
        <f>IF('Data Checking'!GJ33="","",'Data Checking'!GJ33)</f>
        <v/>
      </c>
      <c r="FY33" t="str">
        <f>IF('Data Checking'!GK33="","",'Data Checking'!GK33)</f>
        <v/>
      </c>
      <c r="FZ33" t="str">
        <f>IF('Data Checking'!GL33="","",'Data Checking'!GL33)</f>
        <v/>
      </c>
      <c r="GA33" t="str">
        <f>IF('Data Checking'!GM33="","",'Data Checking'!GM33)</f>
        <v/>
      </c>
      <c r="GB33" t="str">
        <f>IF('Data Checking'!GN33="","",'Data Checking'!GN33)</f>
        <v/>
      </c>
      <c r="GC33" t="str">
        <f>IF('Data Checking'!GO33="","",'Data Checking'!GO33)</f>
        <v/>
      </c>
      <c r="GD33" t="str">
        <f>IF('Data Checking'!GP33="","",'Data Checking'!GP33)</f>
        <v/>
      </c>
      <c r="GE33" t="str">
        <f>IF('Data Checking'!GQ33="","",'Data Checking'!GQ33)</f>
        <v/>
      </c>
      <c r="GF33" t="str">
        <f>IF('Data Checking'!GR33="","",'Data Checking'!GR33)</f>
        <v/>
      </c>
      <c r="GG33" t="str">
        <f>IF('Data Checking'!GS33="","",'Data Checking'!GS33)</f>
        <v/>
      </c>
      <c r="GH33" t="str">
        <f>IF('Data Checking'!GT33="","",'Data Checking'!GT33)</f>
        <v/>
      </c>
      <c r="GI33" t="str">
        <f>IF('Data Checking'!GU33="","",'Data Checking'!GU33)</f>
        <v/>
      </c>
      <c r="GJ33" t="str">
        <f>IF('Data Checking'!GV33="","",'Data Checking'!GV33)</f>
        <v/>
      </c>
      <c r="GK33" t="str">
        <f>IF('Data Checking'!GW33="","",'Data Checking'!GW33)</f>
        <v/>
      </c>
      <c r="GL33" t="str">
        <f>IF('Data Checking'!GX33="","",'Data Checking'!GX33)</f>
        <v/>
      </c>
      <c r="GM33" t="str">
        <f>IF('Data Checking'!GY33="","",'Data Checking'!GY33)</f>
        <v/>
      </c>
      <c r="GN33" t="str">
        <f>IF('Data Checking'!GZ33="","",'Data Checking'!GZ33)</f>
        <v>oui_majorite</v>
      </c>
      <c r="GO33" t="str">
        <f>IF('Data Checking'!HA33="","",'Data Checking'!HA33)</f>
        <v>oui_majorite</v>
      </c>
      <c r="GP33" t="str">
        <f>IF('Data Checking'!HB33="","",'Data Checking'!HB33)</f>
        <v>amelioration_futur</v>
      </c>
      <c r="GQ33" t="str">
        <f>IF('Data Checking'!HC33="","",'Data Checking'!HC33)</f>
        <v>1</v>
      </c>
      <c r="GR33" t="str">
        <f>IF('Data Checking'!HD33="","",'Data Checking'!HD33)</f>
        <v>0</v>
      </c>
      <c r="GS33" t="str">
        <f>IF('Data Checking'!HE33="","",'Data Checking'!HE33)</f>
        <v>0</v>
      </c>
      <c r="GT33" t="str">
        <f>IF('Data Checking'!HF33="","",'Data Checking'!HF33)</f>
        <v>0</v>
      </c>
      <c r="GU33" t="str">
        <f>IF('Data Checking'!HG33="","",'Data Checking'!HG33)</f>
        <v>0</v>
      </c>
      <c r="GV33" t="str">
        <f>IF('Data Checking'!HH33="","",'Data Checking'!HH33)</f>
        <v>0</v>
      </c>
      <c r="GW33" t="str">
        <f>IF('Data Checking'!HI33="","",'Data Checking'!HI33)</f>
        <v>0</v>
      </c>
      <c r="GX33" t="str">
        <f>IF('Data Checking'!HJ33="","",'Data Checking'!HJ33)</f>
        <v>0</v>
      </c>
      <c r="GY33" t="str">
        <f>IF('Data Checking'!HK33="","",'Data Checking'!HK33)</f>
        <v/>
      </c>
      <c r="GZ33" t="str">
        <f>IF('Data Checking'!HL33="","",'Data Checking'!HL33)</f>
        <v>Autre</v>
      </c>
      <c r="HA33" t="str">
        <f>IF('Data Checking'!HM33="","",'Data Checking'!HM33)</f>
        <v>0</v>
      </c>
      <c r="HB33" t="str">
        <f>IF('Data Checking'!HN33="","",'Data Checking'!HN33)</f>
        <v>0</v>
      </c>
      <c r="HC33" t="str">
        <f>IF('Data Checking'!HO33="","",'Data Checking'!HO33)</f>
        <v>0</v>
      </c>
      <c r="HD33" t="str">
        <f>IF('Data Checking'!HP33="","",'Data Checking'!HP33)</f>
        <v>0</v>
      </c>
      <c r="HE33" t="str">
        <f>IF('Data Checking'!HQ33="","",'Data Checking'!HQ33)</f>
        <v>1</v>
      </c>
      <c r="HF33" t="str">
        <f>IF('Data Checking'!HR33="","",'Data Checking'!HR33)</f>
        <v>0</v>
      </c>
      <c r="HG33" t="str">
        <f>IF('Data Checking'!HS33="","",'Data Checking'!HS33)</f>
        <v>Difficulté d'accès aux services pour manque d'informations</v>
      </c>
      <c r="HH33" t="str">
        <f>IF('Data Checking'!HT33="","",'Data Checking'!HT33)</f>
        <v/>
      </c>
      <c r="HI33" t="str">
        <f>IF('Data Checking'!HU33="","",'Data Checking'!HU33)</f>
        <v>non</v>
      </c>
      <c r="HJ33" t="str">
        <f>IF('Data Checking'!HV33="","",'Data Checking'!HV33)</f>
        <v/>
      </c>
      <c r="HK33" t="str">
        <f>IF('Data Checking'!HW33="","",'Data Checking'!HW33)</f>
        <v/>
      </c>
      <c r="HL33" t="str">
        <f>IF('Data Checking'!HX33="","",'Data Checking'!HX33)</f>
        <v/>
      </c>
      <c r="HM33" t="str">
        <f>IF('Data Checking'!HY33="","",'Data Checking'!HY33)</f>
        <v/>
      </c>
      <c r="HN33" t="str">
        <f>IF('Data Checking'!HZ33="","",'Data Checking'!HZ33)</f>
        <v/>
      </c>
      <c r="HO33" t="str">
        <f>IF('Data Checking'!IA33="","",'Data Checking'!IA33)</f>
        <v/>
      </c>
      <c r="HP33" t="str">
        <f>IF('Data Checking'!IB33="","",'Data Checking'!IB33)</f>
        <v/>
      </c>
      <c r="HQ33" t="str">
        <f>IF('Data Checking'!IC33="","",'Data Checking'!IC33)</f>
        <v/>
      </c>
      <c r="HR33" t="str">
        <f>IF('Data Checking'!ID33="","",'Data Checking'!ID33)</f>
        <v/>
      </c>
      <c r="HS33" t="str">
        <f>IF('Data Checking'!IE33="","",'Data Checking'!IE33)</f>
        <v/>
      </c>
      <c r="HT33" t="str">
        <f>IF('Data Checking'!IF33="","",'Data Checking'!IF33)</f>
        <v/>
      </c>
      <c r="HU33" t="str">
        <f>IF('Data Checking'!IG33="","",'Data Checking'!IG33)</f>
        <v/>
      </c>
      <c r="HV33" t="str">
        <f>IF('Data Checking'!IH33="","",'Data Checking'!IH33)</f>
        <v>oui</v>
      </c>
      <c r="HW33" t="str">
        <f>IF('Data Checking'!II33="","",'Data Checking'!II33)</f>
        <v/>
      </c>
      <c r="HX33" t="str">
        <f>IF('Data Checking'!IJ33="","",'Data Checking'!IJ33)</f>
        <v/>
      </c>
      <c r="HY33" t="str">
        <f>IF('Data Checking'!IK33="","",'Data Checking'!IK33)</f>
        <v/>
      </c>
      <c r="HZ33" t="str">
        <f>IF('Data Checking'!IL33="","",'Data Checking'!IL33)</f>
        <v/>
      </c>
      <c r="IA33" t="str">
        <f>IF('Data Checking'!IM33="","",'Data Checking'!IM33)</f>
        <v/>
      </c>
      <c r="IB33" t="str">
        <f>IF('Data Checking'!IN33="","",'Data Checking'!IN33)</f>
        <v/>
      </c>
      <c r="IC33" t="str">
        <f>IF('Data Checking'!IO33="","",'Data Checking'!IO33)</f>
        <v/>
      </c>
      <c r="ID33" t="str">
        <f>IF('Data Checking'!IP33="","",'Data Checking'!IP33)</f>
        <v/>
      </c>
      <c r="IE33" t="str">
        <f>IF('Data Checking'!IQ33="","",'Data Checking'!IQ33)</f>
        <v/>
      </c>
      <c r="IF33" t="str">
        <f>IF('Data Checking'!IR33="","",'Data Checking'!IR33)</f>
        <v/>
      </c>
      <c r="IG33" t="str">
        <f>IF('Data Checking'!IS33="","",'Data Checking'!IS33)</f>
        <v/>
      </c>
      <c r="IH33" t="str">
        <f>IF('Data Checking'!IT33="","",'Data Checking'!IT33)</f>
        <v/>
      </c>
      <c r="II33" t="str">
        <f>IF('Data Checking'!IU33="","",'Data Checking'!IU33)</f>
        <v/>
      </c>
      <c r="IJ33" t="str">
        <f>IF('Data Checking'!IV33="","",'Data Checking'!IV33)</f>
        <v/>
      </c>
      <c r="IK33" t="str">
        <f>IF('Data Checking'!IW33="","",'Data Checking'!IW33)</f>
        <v/>
      </c>
      <c r="IL33" t="str">
        <f>IF('Data Checking'!IX33="","",'Data Checking'!IX33)</f>
        <v/>
      </c>
      <c r="IM33" t="str">
        <f>IF('Data Checking'!IY33="","",'Data Checking'!IY33)</f>
        <v/>
      </c>
      <c r="IN33" t="str">
        <f>IF('Data Checking'!IZ33="","",'Data Checking'!IZ33)</f>
        <v/>
      </c>
      <c r="IO33" t="str">
        <f>IF('Data Checking'!JA33="","",'Data Checking'!JA33)</f>
        <v/>
      </c>
      <c r="IP33" t="str">
        <f>IF('Data Checking'!JB33="","",'Data Checking'!JB33)</f>
        <v/>
      </c>
      <c r="IQ33" t="str">
        <f>IF('Data Checking'!JC33="","",'Data Checking'!JC33)</f>
        <v/>
      </c>
      <c r="IR33" t="str">
        <f>IF('Data Checking'!JD33="","",'Data Checking'!JD33)</f>
        <v/>
      </c>
      <c r="IS33" t="str">
        <f>IF('Data Checking'!JE33="","",'Data Checking'!JE33)</f>
        <v/>
      </c>
      <c r="IT33" t="str">
        <f>IF('Data Checking'!JF33="","",'Data Checking'!JF33)</f>
        <v/>
      </c>
      <c r="IU33" t="str">
        <f>IF('Data Checking'!JG33="","",'Data Checking'!JG33)</f>
        <v/>
      </c>
      <c r="IV33" t="str">
        <f>IF('Data Checking'!JH33="","",'Data Checking'!JH33)</f>
        <v/>
      </c>
      <c r="IW33" t="str">
        <f>IF('Data Checking'!JI33="","",'Data Checking'!JI33)</f>
        <v/>
      </c>
      <c r="IX33" t="str">
        <f>IF('Data Checking'!JJ33="","",'Data Checking'!JJ33)</f>
        <v/>
      </c>
      <c r="IY33" t="str">
        <f>IF('Data Checking'!JK33="","",'Data Checking'!JK33)</f>
        <v/>
      </c>
      <c r="IZ33" t="str">
        <f>IF('Data Checking'!JL33="","",'Data Checking'!JL33)</f>
        <v/>
      </c>
      <c r="JA33" t="str">
        <f>IF('Data Checking'!JM33="","",'Data Checking'!JM33)</f>
        <v/>
      </c>
      <c r="JB33" t="str">
        <f>IF('Data Checking'!JN33="","",'Data Checking'!JN33)</f>
        <v/>
      </c>
      <c r="JC33" t="str">
        <f>IF('Data Checking'!JO33="","",'Data Checking'!JO33)</f>
        <v/>
      </c>
      <c r="JD33" t="str">
        <f>IF('Data Checking'!JP33="","",'Data Checking'!JP33)</f>
        <v/>
      </c>
      <c r="JE33" t="str">
        <f>IF('Data Checking'!JQ33="","",'Data Checking'!JQ33)</f>
        <v/>
      </c>
      <c r="JF33" t="str">
        <f>IF('Data Checking'!JR33="","",'Data Checking'!JR33)</f>
        <v/>
      </c>
      <c r="JG33" t="str">
        <f>IF('Data Checking'!JS33="","",'Data Checking'!JS33)</f>
        <v/>
      </c>
      <c r="JH33" t="str">
        <f>IF('Data Checking'!JT33="","",'Data Checking'!JT33)</f>
        <v/>
      </c>
      <c r="JI33" t="str">
        <f>IF('Data Checking'!JU33="","",'Data Checking'!JU33)</f>
        <v/>
      </c>
      <c r="JJ33" t="str">
        <f>IF('Data Checking'!JV33="","",'Data Checking'!JV33)</f>
        <v/>
      </c>
      <c r="JK33" t="str">
        <f>IF('Data Checking'!JW33="","",'Data Checking'!JW33)</f>
        <v/>
      </c>
      <c r="JL33" t="str">
        <f>IF('Data Checking'!JX33="","",'Data Checking'!JX33)</f>
        <v/>
      </c>
      <c r="JM33" t="str">
        <f>IF('Data Checking'!JY33="","",'Data Checking'!JY33)</f>
        <v/>
      </c>
      <c r="JN33" t="str">
        <f>IF('Data Checking'!JZ33="","",'Data Checking'!JZ33)</f>
        <v/>
      </c>
      <c r="JO33" t="str">
        <f>IF('Data Checking'!KA33="","",'Data Checking'!KA33)</f>
        <v/>
      </c>
      <c r="JP33" t="str">
        <f>IF('Data Checking'!KB33="","",'Data Checking'!KB33)</f>
        <v/>
      </c>
      <c r="JQ33" t="str">
        <f>IF('Data Checking'!KC33="","",'Data Checking'!KC33)</f>
        <v/>
      </c>
      <c r="JR33" t="str">
        <f>IF('Data Checking'!KD33="","",'Data Checking'!KD33)</f>
        <v/>
      </c>
      <c r="JS33" t="str">
        <f>IF('Data Checking'!KE33="","",'Data Checking'!KE33)</f>
        <v/>
      </c>
      <c r="JT33" t="str">
        <f>IF('Data Checking'!KF33="","",'Data Checking'!KF33)</f>
        <v/>
      </c>
      <c r="JU33" t="str">
        <f>IF('Data Checking'!KG33="","",'Data Checking'!KG33)</f>
        <v/>
      </c>
      <c r="JV33" t="str">
        <f>IF('Data Checking'!KH33="","",'Data Checking'!KH33)</f>
        <v/>
      </c>
      <c r="JW33" t="str">
        <f>IF('Data Checking'!KI33="","",'Data Checking'!KI33)</f>
        <v/>
      </c>
      <c r="JX33" t="str">
        <f>IF('Data Checking'!KJ33="","",'Data Checking'!KJ33)</f>
        <v/>
      </c>
      <c r="JY33" t="str">
        <f>IF('Data Checking'!KK33="","",'Data Checking'!KK33)</f>
        <v/>
      </c>
      <c r="JZ33" t="str">
        <f>IF('Data Checking'!KL33="","",'Data Checking'!KL33)</f>
        <v/>
      </c>
      <c r="KA33" t="str">
        <f>IF('Data Checking'!KM33="","",'Data Checking'!KM33)</f>
        <v/>
      </c>
      <c r="KB33" t="str">
        <f>IF('Data Checking'!KN33="","",'Data Checking'!KN33)</f>
        <v/>
      </c>
      <c r="KC33" t="str">
        <f>IF('Data Checking'!KO33="","",'Data Checking'!KO33)</f>
        <v/>
      </c>
      <c r="KD33" t="str">
        <f>IF('Data Checking'!KP33="","",'Data Checking'!KP33)</f>
        <v/>
      </c>
      <c r="KE33" t="str">
        <f>IF('Data Checking'!KQ33="","",'Data Checking'!KQ33)</f>
        <v/>
      </c>
      <c r="KF33" t="str">
        <f>IF('Data Checking'!KR33="","",'Data Checking'!KR33)</f>
        <v/>
      </c>
      <c r="KG33" t="str">
        <f>IF('Data Checking'!KS33="","",'Data Checking'!KS33)</f>
        <v/>
      </c>
      <c r="KH33" t="str">
        <f>IF('Data Checking'!KT33="","",'Data Checking'!KT33)</f>
        <v/>
      </c>
      <c r="KI33" t="str">
        <f>IF('Data Checking'!KU33="","",'Data Checking'!KU33)</f>
        <v/>
      </c>
      <c r="KJ33" t="str">
        <f>IF('Data Checking'!KV33="","",'Data Checking'!KV33)</f>
        <v/>
      </c>
      <c r="KK33" t="str">
        <f>IF('Data Checking'!KW33="","",'Data Checking'!KW33)</f>
        <v/>
      </c>
      <c r="KL33" t="str">
        <f>IF('Data Checking'!KX33="","",'Data Checking'!KX33)</f>
        <v/>
      </c>
      <c r="KM33" t="str">
        <f>IF('Data Checking'!KY33="","",'Data Checking'!KY33)</f>
        <v/>
      </c>
      <c r="KN33" t="str">
        <f>IF('Data Checking'!KZ33="","",'Data Checking'!KZ33)</f>
        <v/>
      </c>
      <c r="KO33" t="str">
        <f>IF('Data Checking'!LA33="","",'Data Checking'!LA33)</f>
        <v/>
      </c>
      <c r="KP33" t="str">
        <f>IF('Data Checking'!LB33="","",'Data Checking'!LB33)</f>
        <v/>
      </c>
      <c r="KQ33" t="str">
        <f>IF('Data Checking'!LC33="","",'Data Checking'!LC33)</f>
        <v/>
      </c>
      <c r="KR33" t="str">
        <f>IF('Data Checking'!LD33="","",'Data Checking'!LD33)</f>
        <v/>
      </c>
      <c r="KS33" t="str">
        <f>IF('Data Checking'!LE33="","",'Data Checking'!LE33)</f>
        <v/>
      </c>
      <c r="KT33" t="str">
        <f>IF('Data Checking'!LF33="","",'Data Checking'!LF33)</f>
        <v/>
      </c>
      <c r="KU33" t="str">
        <f>IF('Data Checking'!LG33="","",'Data Checking'!LG33)</f>
        <v/>
      </c>
      <c r="KV33" t="str">
        <f>IF('Data Checking'!LH33="","",'Data Checking'!LH33)</f>
        <v/>
      </c>
      <c r="KW33" t="str">
        <f>IF('Data Checking'!LI33="","",'Data Checking'!LI33)</f>
        <v/>
      </c>
      <c r="KX33" t="str">
        <f>IF('Data Checking'!LJ33="","",'Data Checking'!LJ33)</f>
        <v/>
      </c>
      <c r="KY33" t="str">
        <f>IF('Data Checking'!LK33="","",'Data Checking'!LK33)</f>
        <v/>
      </c>
      <c r="KZ33" t="str">
        <f>IF('Data Checking'!LL33="","",'Data Checking'!LL33)</f>
        <v/>
      </c>
      <c r="LA33" t="str">
        <f>IF('Data Checking'!LM33="","",'Data Checking'!LM33)</f>
        <v/>
      </c>
      <c r="LB33" t="str">
        <f>IF('Data Checking'!LN33="","",'Data Checking'!LN33)</f>
        <v/>
      </c>
      <c r="LC33" t="str">
        <f>IF('Data Checking'!LO33="","",'Data Checking'!LO33)</f>
        <v/>
      </c>
      <c r="LD33" t="str">
        <f>IF('Data Checking'!LP33="","",'Data Checking'!LP33)</f>
        <v/>
      </c>
      <c r="LE33" t="str">
        <f>IF('Data Checking'!LQ33="","",'Data Checking'!LQ33)</f>
        <v/>
      </c>
      <c r="LF33" t="str">
        <f>IF('Data Checking'!LR33="","",'Data Checking'!LR33)</f>
        <v/>
      </c>
      <c r="LG33" t="str">
        <f>IF('Data Checking'!LS33="","",'Data Checking'!LS33)</f>
        <v/>
      </c>
      <c r="LH33" t="str">
        <f>IF('Data Checking'!LT33="","",'Data Checking'!LT33)</f>
        <v/>
      </c>
      <c r="LI33" t="str">
        <f>IF('Data Checking'!LU33="","",'Data Checking'!LU33)</f>
        <v/>
      </c>
      <c r="LJ33" t="str">
        <f>IF('Data Checking'!LV33="","",'Data Checking'!LV33)</f>
        <v/>
      </c>
      <c r="LK33" t="str">
        <f>IF('Data Checking'!LW33="","",'Data Checking'!LW33)</f>
        <v/>
      </c>
      <c r="LL33" t="str">
        <f>IF('Data Checking'!LX33="","",'Data Checking'!LX33)</f>
        <v/>
      </c>
      <c r="LM33" t="str">
        <f>IF('Data Checking'!LY33="","",'Data Checking'!LY33)</f>
        <v/>
      </c>
      <c r="LN33" t="str">
        <f>IF('Data Checking'!LZ33="","",'Data Checking'!LZ33)</f>
        <v/>
      </c>
      <c r="LO33" t="str">
        <f>IF('Data Checking'!MA33="","",'Data Checking'!MA33)</f>
        <v/>
      </c>
      <c r="LP33" t="str">
        <f>IF('Data Checking'!MB33="","",'Data Checking'!MB33)</f>
        <v>oui</v>
      </c>
      <c r="LQ33" t="str">
        <f>IF('Data Checking'!MC33="","",'Data Checking'!MC33)</f>
        <v/>
      </c>
      <c r="LR33" t="str">
        <f>IF('Data Checking'!MD33="","",'Data Checking'!MD33)</f>
        <v xml:space="preserve">On veux que nôtre situation s'améliore,en ayant un système de santé et que la paix continue régner dans nos vies </v>
      </c>
      <c r="LS33">
        <f>IF('Data Checking'!ME33="","",'Data Checking'!ME33)</f>
        <v>170484797</v>
      </c>
      <c r="LT33" t="str">
        <f>IF('Data Checking'!MF33="","",'Data Checking'!MF33)</f>
        <v>f3de914f-450a-4b12-8fe5-8d968cc0c934</v>
      </c>
      <c r="LU33" t="str">
        <f>IF('Data Checking'!MG33="","",'Data Checking'!MG33)</f>
        <v>2021-04-08T15:57:32</v>
      </c>
      <c r="LV33" t="str">
        <f>IF('Data Checking'!MH33="","",'Data Checking'!MH33)</f>
        <v/>
      </c>
      <c r="LW33" t="str">
        <f>IF('Data Checking'!MI33="","",'Data Checking'!MI33)</f>
        <v>[]</v>
      </c>
      <c r="LX33" t="str">
        <f>IF('Data Checking'!MJ33="","",'Data Checking'!MJ33)</f>
        <v>submitted_via_web</v>
      </c>
      <c r="LY33" t="str">
        <f>IF('Data Checking'!MK33="","",'Data Checking'!MK33)</f>
        <v>reach_niger</v>
      </c>
      <c r="LZ33" t="str">
        <f>IF('Data Checking'!ML33="","",'Data Checking'!ML33)</f>
        <v/>
      </c>
      <c r="MA33">
        <f>IF('Data Checking'!MM33="","",'Data Checking'!MM33)</f>
        <v>58</v>
      </c>
    </row>
    <row r="34" spans="1:339" x14ac:dyDescent="0.3">
      <c r="A34" t="str">
        <f>IF('Data Checking'!D34="","",'Data Checking'!D34)</f>
        <v>2021-04-06T16:09:06.284+01:00</v>
      </c>
      <c r="B34" t="str">
        <f>IF('Data Checking'!E34="","",'Data Checking'!E34)</f>
        <v>2021-04-06T16:56:56.347+01:00</v>
      </c>
      <c r="C34" t="str">
        <f>IF('Data Checking'!M34="","",'Data Checking'!M34)</f>
        <v>2021-04-06</v>
      </c>
      <c r="D34" t="str">
        <f>IF('Data Checking'!N34="","",'Data Checking'!N34)</f>
        <v/>
      </c>
      <c r="E34" t="str">
        <f>IF('Data Checking'!O34="","",'Data Checking'!O34)</f>
        <v/>
      </c>
      <c r="F34" t="str">
        <f>IF('Data Checking'!R34="","",'Data Checking'!R34)</f>
        <v>Homme</v>
      </c>
      <c r="G34" t="str">
        <f>IF('Data Checking'!S34="","",'Data Checking'!S34)</f>
        <v>ouallam</v>
      </c>
      <c r="H34" t="str">
        <f>IF('Data Checking'!T34="","",'Data Checking'!T34)</f>
        <v>ouallam</v>
      </c>
      <c r="I34" t="str">
        <f>IF('Data Checking'!U34="","",'Data Checking'!U34)</f>
        <v>ouallam_ref</v>
      </c>
      <c r="J34" t="str">
        <f>IF('Data Checking'!V34="","",'Data Checking'!V34)</f>
        <v/>
      </c>
      <c r="K34" t="str">
        <f>IF('Data Checking'!W34="","",'Data Checking'!W34)</f>
        <v/>
      </c>
      <c r="L34" t="str">
        <f>IF('Data Checking'!X34="","",'Data Checking'!X34)</f>
        <v/>
      </c>
      <c r="M34" t="str">
        <f>IF('Data Checking'!Y34="","",'Data Checking'!Y34)</f>
        <v/>
      </c>
      <c r="N34" t="str">
        <f>IF('Data Checking'!Z34="","",'Data Checking'!Z34)</f>
        <v/>
      </c>
      <c r="O34" t="str">
        <f>IF('Data Checking'!AA34="","",'Data Checking'!AA34)</f>
        <v/>
      </c>
      <c r="P34" t="str">
        <f>IF('Data Checking'!AB34="","",'Data Checking'!AB34)</f>
        <v/>
      </c>
      <c r="Q34" t="str">
        <f>IF('Data Checking'!AC34="","",'Data Checking'!AC34)</f>
        <v/>
      </c>
      <c r="R34" t="str">
        <f>IF('Data Checking'!AD34="","",'Data Checking'!AD34)</f>
        <v>Homme</v>
      </c>
      <c r="S34" t="str">
        <f>IF('Data Checking'!AE34="","",'Data Checking'!AE34)</f>
        <v>51</v>
      </c>
      <c r="T34" t="str">
        <f>IF('Data Checking'!AF34="","",'Data Checking'!AF34)</f>
        <v>refugie</v>
      </c>
      <c r="U34" t="str">
        <f>IF('Data Checking'!AG34="","",'Data Checking'!AG34)</f>
        <v/>
      </c>
      <c r="V34" t="str">
        <f>IF('Data Checking'!AH34="","",'Data Checking'!AH34)</f>
        <v/>
      </c>
      <c r="W34" t="str">
        <f>IF('Data Checking'!AI34="","",'Data Checking'!AI34)</f>
        <v/>
      </c>
      <c r="X34" t="str">
        <f>IF('Data Checking'!AJ34="","",'Data Checking'!AJ34)</f>
        <v/>
      </c>
      <c r="Y34" t="str">
        <f>IF('Data Checking'!AK34="","",'Data Checking'!AK34)</f>
        <v/>
      </c>
      <c r="Z34" t="str">
        <f>IF('Data Checking'!AL34="","",'Data Checking'!AL34)</f>
        <v>mali</v>
      </c>
      <c r="AA34" t="str">
        <f>IF('Data Checking'!AM34="","",'Data Checking'!AM34)</f>
        <v>menaka</v>
      </c>
      <c r="AB34" t="str">
        <f>IF('Data Checking'!AN34="","",'Data Checking'!AN34)</f>
        <v>menaka</v>
      </c>
      <c r="AC34" t="str">
        <f>IF('Data Checking'!AO34="","",'Data Checking'!AO34)</f>
        <v/>
      </c>
      <c r="AD34" t="str">
        <f>IF('Data Checking'!AP34="","",'Data Checking'!AP34)</f>
        <v/>
      </c>
      <c r="AE34" t="str">
        <f>IF('Data Checking'!AQ34="","",'Data Checking'!AQ34)</f>
        <v/>
      </c>
      <c r="AF34" t="str">
        <f>IF('Data Checking'!AR34="","",'Data Checking'!AR34)</f>
        <v/>
      </c>
      <c r="AG34" t="str">
        <f>IF('Data Checking'!AS34="","",'Data Checking'!AS34)</f>
        <v>non</v>
      </c>
      <c r="AH34" t="str">
        <f>IF('Data Checking'!AT34="","",'Data Checking'!AT34)</f>
        <v/>
      </c>
      <c r="AI34" t="str">
        <f>IF('Data Checking'!AU34="","",'Data Checking'!AU34)</f>
        <v/>
      </c>
      <c r="AJ34" t="str">
        <f>IF('Data Checking'!AV34="","",'Data Checking'!AV34)</f>
        <v/>
      </c>
      <c r="AK34" t="str">
        <f>IF('Data Checking'!AW34="","",'Data Checking'!AW34)</f>
        <v/>
      </c>
      <c r="AL34" t="str">
        <f>IF('Data Checking'!AX34="","",'Data Checking'!AX34)</f>
        <v/>
      </c>
      <c r="AM34" t="str">
        <f>IF('Data Checking'!AY34="","",'Data Checking'!AY34)</f>
        <v/>
      </c>
      <c r="AN34" t="str">
        <f>IF('Data Checking'!AZ34="","",'Data Checking'!AZ34)</f>
        <v/>
      </c>
      <c r="AO34" t="str">
        <f>IF('Data Checking'!BA34="","",'Data Checking'!BA34)</f>
        <v/>
      </c>
      <c r="AP34" t="str">
        <f>IF('Data Checking'!BB34="","",'Data Checking'!BB34)</f>
        <v/>
      </c>
      <c r="AQ34" t="str">
        <f>IF('Data Checking'!BC34="","",'Data Checking'!BC34)</f>
        <v/>
      </c>
      <c r="AR34" t="str">
        <f>IF('Data Checking'!BD34="","",'Data Checking'!BD34)</f>
        <v/>
      </c>
      <c r="AS34" t="str">
        <f>IF('Data Checking'!BE34="","",'Data Checking'!BE34)</f>
        <v/>
      </c>
      <c r="AT34" t="str">
        <f>IF('Data Checking'!BF34="","",'Data Checking'!BF34)</f>
        <v/>
      </c>
      <c r="AU34" t="str">
        <f>IF('Data Checking'!BG34="","",'Data Checking'!BG34)</f>
        <v/>
      </c>
      <c r="AV34" t="str">
        <f>IF('Data Checking'!BH34="","",'Data Checking'!BH34)</f>
        <v/>
      </c>
      <c r="AW34" t="str">
        <f>IF('Data Checking'!BI34="","",'Data Checking'!BI34)</f>
        <v/>
      </c>
      <c r="AX34" t="str">
        <f>IF('Data Checking'!BJ34="","",'Data Checking'!BJ34)</f>
        <v/>
      </c>
      <c r="AY34" t="str">
        <f>IF('Data Checking'!BK34="","",'Data Checking'!BK34)</f>
        <v/>
      </c>
      <c r="AZ34" t="str">
        <f>IF('Data Checking'!BL34="","",'Data Checking'!BL34)</f>
        <v/>
      </c>
      <c r="BA34" t="str">
        <f>IF('Data Checking'!BM34="","",'Data Checking'!BM34)</f>
        <v/>
      </c>
      <c r="BB34" t="str">
        <f>IF('Data Checking'!BN34="","",'Data Checking'!BN34)</f>
        <v/>
      </c>
      <c r="BC34" t="str">
        <f>IF('Data Checking'!BO34="","",'Data Checking'!BO34)</f>
        <v/>
      </c>
      <c r="BD34" t="str">
        <f>IF('Data Checking'!BP34="","",'Data Checking'!BP34)</f>
        <v/>
      </c>
      <c r="BE34" t="str">
        <f>IF('Data Checking'!BQ34="","",'Data Checking'!BQ34)</f>
        <v/>
      </c>
      <c r="BF34" t="str">
        <f>IF('Data Checking'!BR34="","",'Data Checking'!BR34)</f>
        <v/>
      </c>
      <c r="BG34" t="str">
        <f>IF('Data Checking'!BS34="","",'Data Checking'!BS34)</f>
        <v/>
      </c>
      <c r="BH34" t="str">
        <f>IF('Data Checking'!BT34="","",'Data Checking'!BT34)</f>
        <v/>
      </c>
      <c r="BI34" t="str">
        <f>IF('Data Checking'!BU34="","",'Data Checking'!BU34)</f>
        <v/>
      </c>
      <c r="BJ34" t="str">
        <f>IF('Data Checking'!BV34="","",'Data Checking'!BV34)</f>
        <v/>
      </c>
      <c r="BK34" t="str">
        <f>IF('Data Checking'!BW34="","",'Data Checking'!BW34)</f>
        <v/>
      </c>
      <c r="BL34" t="str">
        <f>IF('Data Checking'!BX34="","",'Data Checking'!BX34)</f>
        <v/>
      </c>
      <c r="BM34" t="str">
        <f>IF('Data Checking'!BY34="","",'Data Checking'!BY34)</f>
        <v/>
      </c>
      <c r="BN34" t="str">
        <f>IF('Data Checking'!BZ34="","",'Data Checking'!BZ34)</f>
        <v/>
      </c>
      <c r="BO34" t="str">
        <f>IF('Data Checking'!CA34="","",'Data Checking'!CA34)</f>
        <v/>
      </c>
      <c r="BP34" t="str">
        <f>IF('Data Checking'!CB34="","",'Data Checking'!CB34)</f>
        <v/>
      </c>
      <c r="BQ34" t="str">
        <f>IF('Data Checking'!CC34="","",'Data Checking'!CC34)</f>
        <v>non</v>
      </c>
      <c r="BR34" t="str">
        <f>IF('Data Checking'!CD34="","",'Data Checking'!CD34)</f>
        <v/>
      </c>
      <c r="BS34" t="str">
        <f>IF('Data Checking'!CE34="","",'Data Checking'!CE34)</f>
        <v/>
      </c>
      <c r="BT34" t="str">
        <f>IF('Data Checking'!CF34="","",'Data Checking'!CF34)</f>
        <v/>
      </c>
      <c r="BU34" t="str">
        <f>IF('Data Checking'!CG34="","",'Data Checking'!CG34)</f>
        <v/>
      </c>
      <c r="BV34" t="str">
        <f>IF('Data Checking'!CH34="","",'Data Checking'!CH34)</f>
        <v/>
      </c>
      <c r="BW34" t="str">
        <f>IF('Data Checking'!CI34="","",'Data Checking'!CI34)</f>
        <v/>
      </c>
      <c r="BX34" t="str">
        <f>IF('Data Checking'!CJ34="","",'Data Checking'!CJ34)</f>
        <v/>
      </c>
      <c r="BY34" t="str">
        <f>IF('Data Checking'!CK34="","",'Data Checking'!CK34)</f>
        <v/>
      </c>
      <c r="BZ34" t="str">
        <f>IF('Data Checking'!CL34="","",'Data Checking'!CL34)</f>
        <v/>
      </c>
      <c r="CA34" t="str">
        <f>IF('Data Checking'!CM34="","",'Data Checking'!CM34)</f>
        <v/>
      </c>
      <c r="CB34" t="str">
        <f>IF('Data Checking'!CN34="","",'Data Checking'!CN34)</f>
        <v/>
      </c>
      <c r="CC34" t="str">
        <f>IF('Data Checking'!CO34="","",'Data Checking'!CO34)</f>
        <v/>
      </c>
      <c r="CD34" t="str">
        <f>IF('Data Checking'!CP34="","",'Data Checking'!CP34)</f>
        <v/>
      </c>
      <c r="CE34" t="str">
        <f>IF('Data Checking'!CQ34="","",'Data Checking'!CQ34)</f>
        <v/>
      </c>
      <c r="CF34" t="str">
        <f>IF('Data Checking'!CR34="","",'Data Checking'!CR34)</f>
        <v/>
      </c>
      <c r="CG34" t="str">
        <f>IF('Data Checking'!CS34="","",'Data Checking'!CS34)</f>
        <v/>
      </c>
      <c r="CH34" t="str">
        <f>IF('Data Checking'!CT34="","",'Data Checking'!CT34)</f>
        <v/>
      </c>
      <c r="CI34" t="str">
        <f>IF('Data Checking'!CU34="","",'Data Checking'!CU34)</f>
        <v/>
      </c>
      <c r="CJ34" t="str">
        <f>IF('Data Checking'!CV34="","",'Data Checking'!CV34)</f>
        <v/>
      </c>
      <c r="CK34" t="str">
        <f>IF('Data Checking'!CW34="","",'Data Checking'!CW34)</f>
        <v/>
      </c>
      <c r="CL34" t="str">
        <f>IF('Data Checking'!CX34="","",'Data Checking'!CX34)</f>
        <v/>
      </c>
      <c r="CM34" t="str">
        <f>IF('Data Checking'!CY34="","",'Data Checking'!CY34)</f>
        <v/>
      </c>
      <c r="CN34" t="str">
        <f>IF('Data Checking'!CZ34="","",'Data Checking'!CZ34)</f>
        <v/>
      </c>
      <c r="CO34" t="str">
        <f>IF('Data Checking'!DA34="","",'Data Checking'!DA34)</f>
        <v/>
      </c>
      <c r="CP34" t="str">
        <f>IF('Data Checking'!DB34="","",'Data Checking'!DB34)</f>
        <v/>
      </c>
      <c r="CQ34" t="str">
        <f>IF('Data Checking'!DC34="","",'Data Checking'!DC34)</f>
        <v/>
      </c>
      <c r="CR34" t="str">
        <f>IF('Data Checking'!DD34="","",'Data Checking'!DD34)</f>
        <v/>
      </c>
      <c r="CS34" t="str">
        <f>IF('Data Checking'!DE34="","",'Data Checking'!DE34)</f>
        <v/>
      </c>
      <c r="CT34" t="str">
        <f>IF('Data Checking'!DF34="","",'Data Checking'!DF34)</f>
        <v/>
      </c>
      <c r="CU34" t="str">
        <f>IF('Data Checking'!DG34="","",'Data Checking'!DG34)</f>
        <v/>
      </c>
      <c r="CV34" t="str">
        <f>IF('Data Checking'!DH34="","",'Data Checking'!DH34)</f>
        <v/>
      </c>
      <c r="CW34" t="str">
        <f>IF('Data Checking'!DI34="","",'Data Checking'!DI34)</f>
        <v/>
      </c>
      <c r="CX34" t="str">
        <f>IF('Data Checking'!DJ34="","",'Data Checking'!DJ34)</f>
        <v/>
      </c>
      <c r="CY34" t="str">
        <f>IF('Data Checking'!DK34="","",'Data Checking'!DK34)</f>
        <v/>
      </c>
      <c r="CZ34" t="str">
        <f>IF('Data Checking'!DL34="","",'Data Checking'!DL34)</f>
        <v/>
      </c>
      <c r="DA34" t="str">
        <f>IF('Data Checking'!DM34="","",'Data Checking'!DM34)</f>
        <v/>
      </c>
      <c r="DB34" t="str">
        <f>IF('Data Checking'!DN34="","",'Data Checking'!DN34)</f>
        <v/>
      </c>
      <c r="DC34" t="str">
        <f>IF('Data Checking'!DO34="","",'Data Checking'!DO34)</f>
        <v/>
      </c>
      <c r="DD34" t="str">
        <f>IF('Data Checking'!DP34="","",'Data Checking'!DP34)</f>
        <v/>
      </c>
      <c r="DE34" t="str">
        <f>IF('Data Checking'!DQ34="","",'Data Checking'!DQ34)</f>
        <v/>
      </c>
      <c r="DF34" t="str">
        <f>IF('Data Checking'!DR34="","",'Data Checking'!DR34)</f>
        <v/>
      </c>
      <c r="DG34" t="str">
        <f>IF('Data Checking'!DS34="","",'Data Checking'!DS34)</f>
        <v/>
      </c>
      <c r="DH34" t="str">
        <f>IF('Data Checking'!DT34="","",'Data Checking'!DT34)</f>
        <v/>
      </c>
      <c r="DI34" t="str">
        <f>IF('Data Checking'!DU34="","",'Data Checking'!DU34)</f>
        <v/>
      </c>
      <c r="DJ34" t="str">
        <f>IF('Data Checking'!DV34="","",'Data Checking'!DV34)</f>
        <v/>
      </c>
      <c r="DK34" t="str">
        <f>IF('Data Checking'!DW34="","",'Data Checking'!DW34)</f>
        <v/>
      </c>
      <c r="DL34" t="str">
        <f>IF('Data Checking'!DX34="","",'Data Checking'!DX34)</f>
        <v/>
      </c>
      <c r="DM34" t="str">
        <f>IF('Data Checking'!DY34="","",'Data Checking'!DY34)</f>
        <v/>
      </c>
      <c r="DN34" t="str">
        <f>IF('Data Checking'!DZ34="","",'Data Checking'!DZ34)</f>
        <v/>
      </c>
      <c r="DO34" t="str">
        <f>IF('Data Checking'!EA34="","",'Data Checking'!EA34)</f>
        <v/>
      </c>
      <c r="DP34" t="str">
        <f>IF('Data Checking'!EB34="","",'Data Checking'!EB34)</f>
        <v/>
      </c>
      <c r="DQ34" t="str">
        <f>IF('Data Checking'!EC34="","",'Data Checking'!EC34)</f>
        <v/>
      </c>
      <c r="DR34" t="str">
        <f>IF('Data Checking'!ED34="","",'Data Checking'!ED34)</f>
        <v/>
      </c>
      <c r="DS34" t="str">
        <f>IF('Data Checking'!EE34="","",'Data Checking'!EE34)</f>
        <v/>
      </c>
      <c r="DT34" t="str">
        <f>IF('Data Checking'!EF34="","",'Data Checking'!EF34)</f>
        <v/>
      </c>
      <c r="DU34" t="str">
        <f>IF('Data Checking'!EG34="","",'Data Checking'!EG34)</f>
        <v/>
      </c>
      <c r="DV34" t="str">
        <f>IF('Data Checking'!EH34="","",'Data Checking'!EH34)</f>
        <v/>
      </c>
      <c r="DW34" t="str">
        <f>IF('Data Checking'!EI34="","",'Data Checking'!EI34)</f>
        <v/>
      </c>
      <c r="DX34" t="str">
        <f>IF('Data Checking'!EJ34="","",'Data Checking'!EJ34)</f>
        <v/>
      </c>
      <c r="DY34" t="str">
        <f>IF('Data Checking'!EK34="","",'Data Checking'!EK34)</f>
        <v/>
      </c>
      <c r="DZ34" t="str">
        <f>IF('Data Checking'!EL34="","",'Data Checking'!EL34)</f>
        <v>dplct_abords_com</v>
      </c>
      <c r="EA34" t="str">
        <f>IF('Data Checking'!EM34="","",'Data Checking'!EM34)</f>
        <v>1</v>
      </c>
      <c r="EB34" t="str">
        <f>IF('Data Checking'!EN34="","",'Data Checking'!EN34)</f>
        <v>0</v>
      </c>
      <c r="EC34" t="str">
        <f>IF('Data Checking'!EO34="","",'Data Checking'!EO34)</f>
        <v>0</v>
      </c>
      <c r="ED34" t="str">
        <f>IF('Data Checking'!EP34="","",'Data Checking'!EP34)</f>
        <v>0</v>
      </c>
      <c r="EE34" t="str">
        <f>IF('Data Checking'!EQ34="","",'Data Checking'!EQ34)</f>
        <v>0</v>
      </c>
      <c r="EF34" t="str">
        <f>IF('Data Checking'!ER34="","",'Data Checking'!ER34)</f>
        <v>0</v>
      </c>
      <c r="EG34" t="str">
        <f>IF('Data Checking'!ES34="","",'Data Checking'!ES34)</f>
        <v>0</v>
      </c>
      <c r="EH34" t="str">
        <f>IF('Data Checking'!ET34="","",'Data Checking'!ET34)</f>
        <v>0</v>
      </c>
      <c r="EI34" t="str">
        <f>IF('Data Checking'!EU34="","",'Data Checking'!EU34)</f>
        <v>0</v>
      </c>
      <c r="EJ34" t="str">
        <f>IF('Data Checking'!EV34="","",'Data Checking'!EV34)</f>
        <v/>
      </c>
      <c r="EK34" t="str">
        <f>IF('Data Checking'!EW34="","",'Data Checking'!EW34)</f>
        <v/>
      </c>
      <c r="EL34" t="str">
        <f>IF('Data Checking'!EX34="","",'Data Checking'!EX34)</f>
        <v>femmes_elite enfant_pairs comite_gestion_conflits comite_protection</v>
      </c>
      <c r="EM34" t="str">
        <f>IF('Data Checking'!EY34="","",'Data Checking'!EY34)</f>
        <v>1</v>
      </c>
      <c r="EN34" t="str">
        <f>IF('Data Checking'!EZ34="","",'Data Checking'!EZ34)</f>
        <v>1</v>
      </c>
      <c r="EO34" t="str">
        <f>IF('Data Checking'!FA34="","",'Data Checking'!FA34)</f>
        <v>0</v>
      </c>
      <c r="EP34" t="str">
        <f>IF('Data Checking'!FB34="","",'Data Checking'!FB34)</f>
        <v>0</v>
      </c>
      <c r="EQ34" t="str">
        <f>IF('Data Checking'!FC34="","",'Data Checking'!FC34)</f>
        <v>0</v>
      </c>
      <c r="ER34" t="str">
        <f>IF('Data Checking'!FD34="","",'Data Checking'!FD34)</f>
        <v>1</v>
      </c>
      <c r="ES34" t="str">
        <f>IF('Data Checking'!FE34="","",'Data Checking'!FE34)</f>
        <v>1</v>
      </c>
      <c r="ET34" t="str">
        <f>IF('Data Checking'!FF34="","",'Data Checking'!FF34)</f>
        <v>0</v>
      </c>
      <c r="EU34" t="str">
        <f>IF('Data Checking'!FG34="","",'Data Checking'!FG34)</f>
        <v>0</v>
      </c>
      <c r="EV34" t="str">
        <f>IF('Data Checking'!FH34="","",'Data Checking'!FH34)</f>
        <v>0</v>
      </c>
      <c r="EW34" t="str">
        <f>IF('Data Checking'!FI34="","",'Data Checking'!FI34)</f>
        <v/>
      </c>
      <c r="EX34" t="str">
        <f>IF('Data Checking'!FJ34="","",'Data Checking'!FJ34)</f>
        <v>oui</v>
      </c>
      <c r="EY34" t="str">
        <f>IF('Data Checking'!FK34="","",'Data Checking'!FK34)</f>
        <v>Radio_television manif_sociales</v>
      </c>
      <c r="EZ34" t="str">
        <f>IF('Data Checking'!FL34="","",'Data Checking'!FL34)</f>
        <v>1</v>
      </c>
      <c r="FA34" t="str">
        <f>IF('Data Checking'!FM34="","",'Data Checking'!FM34)</f>
        <v>0</v>
      </c>
      <c r="FB34" t="str">
        <f>IF('Data Checking'!FN34="","",'Data Checking'!FN34)</f>
        <v>0</v>
      </c>
      <c r="FC34" t="str">
        <f>IF('Data Checking'!FO34="","",'Data Checking'!FO34)</f>
        <v>1</v>
      </c>
      <c r="FD34" t="str">
        <f>IF('Data Checking'!FP34="","",'Data Checking'!FP34)</f>
        <v>0</v>
      </c>
      <c r="FE34" t="str">
        <f>IF('Data Checking'!FQ34="","",'Data Checking'!FQ34)</f>
        <v>0</v>
      </c>
      <c r="FF34" t="str">
        <f>IF('Data Checking'!FR34="","",'Data Checking'!FR34)</f>
        <v>0</v>
      </c>
      <c r="FG34" t="str">
        <f>IF('Data Checking'!FS34="","",'Data Checking'!FS34)</f>
        <v>0</v>
      </c>
      <c r="FH34" t="str">
        <f>IF('Data Checking'!FT34="","",'Data Checking'!FT34)</f>
        <v>0</v>
      </c>
      <c r="FI34" t="str">
        <f>IF('Data Checking'!FU34="","",'Data Checking'!FU34)</f>
        <v>0</v>
      </c>
      <c r="FJ34" t="str">
        <f>IF('Data Checking'!FV34="","",'Data Checking'!FV34)</f>
        <v>0</v>
      </c>
      <c r="FK34" t="str">
        <f>IF('Data Checking'!FW34="","",'Data Checking'!FW34)</f>
        <v>0</v>
      </c>
      <c r="FL34" t="str">
        <f>IF('Data Checking'!FX34="","",'Data Checking'!FX34)</f>
        <v>0</v>
      </c>
      <c r="FM34" t="str">
        <f>IF('Data Checking'!FY34="","",'Data Checking'!FY34)</f>
        <v>0</v>
      </c>
      <c r="FN34" t="str">
        <f>IF('Data Checking'!FZ34="","",'Data Checking'!FZ34)</f>
        <v/>
      </c>
      <c r="FO34" t="str">
        <f>IF('Data Checking'!GA34="","",'Data Checking'!GA34)</f>
        <v>oui_ensemble</v>
      </c>
      <c r="FP34" t="str">
        <f>IF('Data Checking'!GB34="","",'Data Checking'!GB34)</f>
        <v>oui_ensemble</v>
      </c>
      <c r="FQ34" t="str">
        <f>IF('Data Checking'!GC34="","",'Data Checking'!GC34)</f>
        <v/>
      </c>
      <c r="FR34" t="str">
        <f>IF('Data Checking'!GD34="","",'Data Checking'!GD34)</f>
        <v/>
      </c>
      <c r="FS34" t="str">
        <f>IF('Data Checking'!GE34="","",'Data Checking'!GE34)</f>
        <v/>
      </c>
      <c r="FT34" t="str">
        <f>IF('Data Checking'!GF34="","",'Data Checking'!GF34)</f>
        <v/>
      </c>
      <c r="FU34" t="str">
        <f>IF('Data Checking'!GG34="","",'Data Checking'!GG34)</f>
        <v/>
      </c>
      <c r="FV34" t="str">
        <f>IF('Data Checking'!GH34="","",'Data Checking'!GH34)</f>
        <v/>
      </c>
      <c r="FW34" t="str">
        <f>IF('Data Checking'!GI34="","",'Data Checking'!GI34)</f>
        <v/>
      </c>
      <c r="FX34" t="str">
        <f>IF('Data Checking'!GJ34="","",'Data Checking'!GJ34)</f>
        <v/>
      </c>
      <c r="FY34" t="str">
        <f>IF('Data Checking'!GK34="","",'Data Checking'!GK34)</f>
        <v/>
      </c>
      <c r="FZ34" t="str">
        <f>IF('Data Checking'!GL34="","",'Data Checking'!GL34)</f>
        <v/>
      </c>
      <c r="GA34" t="str">
        <f>IF('Data Checking'!GM34="","",'Data Checking'!GM34)</f>
        <v>ensemble</v>
      </c>
      <c r="GB34" t="str">
        <f>IF('Data Checking'!GN34="","",'Data Checking'!GN34)</f>
        <v>majorite</v>
      </c>
      <c r="GC34" t="str">
        <f>IF('Data Checking'!GO34="","",'Data Checking'!GO34)</f>
        <v>Services_de_sante Service_de_counseling</v>
      </c>
      <c r="GD34" t="str">
        <f>IF('Data Checking'!GP34="","",'Data Checking'!GP34)</f>
        <v>0</v>
      </c>
      <c r="GE34" t="str">
        <f>IF('Data Checking'!GQ34="","",'Data Checking'!GQ34)</f>
        <v>0</v>
      </c>
      <c r="GF34" t="str">
        <f>IF('Data Checking'!GR34="","",'Data Checking'!GR34)</f>
        <v>1</v>
      </c>
      <c r="GG34" t="str">
        <f>IF('Data Checking'!GS34="","",'Data Checking'!GS34)</f>
        <v>1</v>
      </c>
      <c r="GH34" t="str">
        <f>IF('Data Checking'!GT34="","",'Data Checking'!GT34)</f>
        <v>0</v>
      </c>
      <c r="GI34" t="str">
        <f>IF('Data Checking'!GU34="","",'Data Checking'!GU34)</f>
        <v>0</v>
      </c>
      <c r="GJ34" t="str">
        <f>IF('Data Checking'!GV34="","",'Data Checking'!GV34)</f>
        <v>0</v>
      </c>
      <c r="GK34" t="str">
        <f>IF('Data Checking'!GW34="","",'Data Checking'!GW34)</f>
        <v>0</v>
      </c>
      <c r="GL34" t="str">
        <f>IF('Data Checking'!GX34="","",'Data Checking'!GX34)</f>
        <v>0</v>
      </c>
      <c r="GM34" t="str">
        <f>IF('Data Checking'!GY34="","",'Data Checking'!GY34)</f>
        <v/>
      </c>
      <c r="GN34" t="str">
        <f>IF('Data Checking'!GZ34="","",'Data Checking'!GZ34)</f>
        <v>oui_majorite</v>
      </c>
      <c r="GO34" t="str">
        <f>IF('Data Checking'!HA34="","",'Data Checking'!HA34)</f>
        <v>oui_ensemble</v>
      </c>
      <c r="GP34" t="str">
        <f>IF('Data Checking'!HB34="","",'Data Checking'!HB34)</f>
        <v>amelioration_futur</v>
      </c>
      <c r="GQ34" t="str">
        <f>IF('Data Checking'!HC34="","",'Data Checking'!HC34)</f>
        <v>1</v>
      </c>
      <c r="GR34" t="str">
        <f>IF('Data Checking'!HD34="","",'Data Checking'!HD34)</f>
        <v>0</v>
      </c>
      <c r="GS34" t="str">
        <f>IF('Data Checking'!HE34="","",'Data Checking'!HE34)</f>
        <v>0</v>
      </c>
      <c r="GT34" t="str">
        <f>IF('Data Checking'!HF34="","",'Data Checking'!HF34)</f>
        <v>0</v>
      </c>
      <c r="GU34" t="str">
        <f>IF('Data Checking'!HG34="","",'Data Checking'!HG34)</f>
        <v>0</v>
      </c>
      <c r="GV34" t="str">
        <f>IF('Data Checking'!HH34="","",'Data Checking'!HH34)</f>
        <v>0</v>
      </c>
      <c r="GW34" t="str">
        <f>IF('Data Checking'!HI34="","",'Data Checking'!HI34)</f>
        <v>0</v>
      </c>
      <c r="GX34" t="str">
        <f>IF('Data Checking'!HJ34="","",'Data Checking'!HJ34)</f>
        <v>0</v>
      </c>
      <c r="GY34" t="str">
        <f>IF('Data Checking'!HK34="","",'Data Checking'!HK34)</f>
        <v/>
      </c>
      <c r="GZ34" t="str">
        <f>IF('Data Checking'!HL34="","",'Data Checking'!HL34)</f>
        <v>Autre</v>
      </c>
      <c r="HA34" t="str">
        <f>IF('Data Checking'!HM34="","",'Data Checking'!HM34)</f>
        <v>0</v>
      </c>
      <c r="HB34" t="str">
        <f>IF('Data Checking'!HN34="","",'Data Checking'!HN34)</f>
        <v>0</v>
      </c>
      <c r="HC34" t="str">
        <f>IF('Data Checking'!HO34="","",'Data Checking'!HO34)</f>
        <v>0</v>
      </c>
      <c r="HD34" t="str">
        <f>IF('Data Checking'!HP34="","",'Data Checking'!HP34)</f>
        <v>0</v>
      </c>
      <c r="HE34" t="str">
        <f>IF('Data Checking'!HQ34="","",'Data Checking'!HQ34)</f>
        <v>1</v>
      </c>
      <c r="HF34" t="str">
        <f>IF('Data Checking'!HR34="","",'Data Checking'!HR34)</f>
        <v>0</v>
      </c>
      <c r="HG34" t="str">
        <f>IF('Data Checking'!HS34="","",'Data Checking'!HS34)</f>
        <v>Difficulté d'accès aux services pour manque d'informations</v>
      </c>
      <c r="HH34" t="str">
        <f>IF('Data Checking'!HT34="","",'Data Checking'!HT34)</f>
        <v/>
      </c>
      <c r="HI34" t="str">
        <f>IF('Data Checking'!HU34="","",'Data Checking'!HU34)</f>
        <v>non</v>
      </c>
      <c r="HJ34" t="str">
        <f>IF('Data Checking'!HV34="","",'Data Checking'!HV34)</f>
        <v/>
      </c>
      <c r="HK34" t="str">
        <f>IF('Data Checking'!HW34="","",'Data Checking'!HW34)</f>
        <v/>
      </c>
      <c r="HL34" t="str">
        <f>IF('Data Checking'!HX34="","",'Data Checking'!HX34)</f>
        <v/>
      </c>
      <c r="HM34" t="str">
        <f>IF('Data Checking'!HY34="","",'Data Checking'!HY34)</f>
        <v/>
      </c>
      <c r="HN34" t="str">
        <f>IF('Data Checking'!HZ34="","",'Data Checking'!HZ34)</f>
        <v/>
      </c>
      <c r="HO34" t="str">
        <f>IF('Data Checking'!IA34="","",'Data Checking'!IA34)</f>
        <v/>
      </c>
      <c r="HP34" t="str">
        <f>IF('Data Checking'!IB34="","",'Data Checking'!IB34)</f>
        <v/>
      </c>
      <c r="HQ34" t="str">
        <f>IF('Data Checking'!IC34="","",'Data Checking'!IC34)</f>
        <v/>
      </c>
      <c r="HR34" t="str">
        <f>IF('Data Checking'!ID34="","",'Data Checking'!ID34)</f>
        <v/>
      </c>
      <c r="HS34" t="str">
        <f>IF('Data Checking'!IE34="","",'Data Checking'!IE34)</f>
        <v/>
      </c>
      <c r="HT34" t="str">
        <f>IF('Data Checking'!IF34="","",'Data Checking'!IF34)</f>
        <v/>
      </c>
      <c r="HU34" t="str">
        <f>IF('Data Checking'!IG34="","",'Data Checking'!IG34)</f>
        <v/>
      </c>
      <c r="HV34" t="str">
        <f>IF('Data Checking'!IH34="","",'Data Checking'!IH34)</f>
        <v>oui</v>
      </c>
      <c r="HW34" t="str">
        <f>IF('Data Checking'!II34="","",'Data Checking'!II34)</f>
        <v/>
      </c>
      <c r="HX34" t="str">
        <f>IF('Data Checking'!IJ34="","",'Data Checking'!IJ34)</f>
        <v/>
      </c>
      <c r="HY34" t="str">
        <f>IF('Data Checking'!IK34="","",'Data Checking'!IK34)</f>
        <v/>
      </c>
      <c r="HZ34" t="str">
        <f>IF('Data Checking'!IL34="","",'Data Checking'!IL34)</f>
        <v/>
      </c>
      <c r="IA34" t="str">
        <f>IF('Data Checking'!IM34="","",'Data Checking'!IM34)</f>
        <v/>
      </c>
      <c r="IB34" t="str">
        <f>IF('Data Checking'!IN34="","",'Data Checking'!IN34)</f>
        <v/>
      </c>
      <c r="IC34" t="str">
        <f>IF('Data Checking'!IO34="","",'Data Checking'!IO34)</f>
        <v/>
      </c>
      <c r="ID34" t="str">
        <f>IF('Data Checking'!IP34="","",'Data Checking'!IP34)</f>
        <v/>
      </c>
      <c r="IE34" t="str">
        <f>IF('Data Checking'!IQ34="","",'Data Checking'!IQ34)</f>
        <v/>
      </c>
      <c r="IF34" t="str">
        <f>IF('Data Checking'!IR34="","",'Data Checking'!IR34)</f>
        <v/>
      </c>
      <c r="IG34" t="str">
        <f>IF('Data Checking'!IS34="","",'Data Checking'!IS34)</f>
        <v/>
      </c>
      <c r="IH34" t="str">
        <f>IF('Data Checking'!IT34="","",'Data Checking'!IT34)</f>
        <v/>
      </c>
      <c r="II34" t="str">
        <f>IF('Data Checking'!IU34="","",'Data Checking'!IU34)</f>
        <v/>
      </c>
      <c r="IJ34" t="str">
        <f>IF('Data Checking'!IV34="","",'Data Checking'!IV34)</f>
        <v/>
      </c>
      <c r="IK34" t="str">
        <f>IF('Data Checking'!IW34="","",'Data Checking'!IW34)</f>
        <v/>
      </c>
      <c r="IL34" t="str">
        <f>IF('Data Checking'!IX34="","",'Data Checking'!IX34)</f>
        <v/>
      </c>
      <c r="IM34" t="str">
        <f>IF('Data Checking'!IY34="","",'Data Checking'!IY34)</f>
        <v/>
      </c>
      <c r="IN34" t="str">
        <f>IF('Data Checking'!IZ34="","",'Data Checking'!IZ34)</f>
        <v>30</v>
      </c>
      <c r="IO34" t="str">
        <f>IF('Data Checking'!JA34="","",'Data Checking'!JA34)</f>
        <v>acces_docs Services_conseil Services_educatifs Services_medicaux</v>
      </c>
      <c r="IP34" t="str">
        <f>IF('Data Checking'!JB34="","",'Data Checking'!JB34)</f>
        <v>0</v>
      </c>
      <c r="IQ34" t="str">
        <f>IF('Data Checking'!JC34="","",'Data Checking'!JC34)</f>
        <v>1</v>
      </c>
      <c r="IR34" t="str">
        <f>IF('Data Checking'!JD34="","",'Data Checking'!JD34)</f>
        <v>1</v>
      </c>
      <c r="IS34" t="str">
        <f>IF('Data Checking'!JE34="","",'Data Checking'!JE34)</f>
        <v>1</v>
      </c>
      <c r="IT34" t="str">
        <f>IF('Data Checking'!JF34="","",'Data Checking'!JF34)</f>
        <v>1</v>
      </c>
      <c r="IU34" t="str">
        <f>IF('Data Checking'!JG34="","",'Data Checking'!JG34)</f>
        <v>0</v>
      </c>
      <c r="IV34" t="str">
        <f>IF('Data Checking'!JH34="","",'Data Checking'!JH34)</f>
        <v>0</v>
      </c>
      <c r="IW34" t="str">
        <f>IF('Data Checking'!JI34="","",'Data Checking'!JI34)</f>
        <v>0</v>
      </c>
      <c r="IX34" t="str">
        <f>IF('Data Checking'!JJ34="","",'Data Checking'!JJ34)</f>
        <v>0</v>
      </c>
      <c r="IY34" t="str">
        <f>IF('Data Checking'!JK34="","",'Data Checking'!JK34)</f>
        <v>0</v>
      </c>
      <c r="IZ34" t="str">
        <f>IF('Data Checking'!JL34="","",'Data Checking'!JL34)</f>
        <v/>
      </c>
      <c r="JA34" t="str">
        <f>IF('Data Checking'!JM34="","",'Data Checking'!JM34)</f>
        <v>reorientation signalement</v>
      </c>
      <c r="JB34" t="str">
        <f>IF('Data Checking'!JN34="","",'Data Checking'!JN34)</f>
        <v>0</v>
      </c>
      <c r="JC34" t="str">
        <f>IF('Data Checking'!JO34="","",'Data Checking'!JO34)</f>
        <v>1</v>
      </c>
      <c r="JD34" t="str">
        <f>IF('Data Checking'!JP34="","",'Data Checking'!JP34)</f>
        <v>1</v>
      </c>
      <c r="JE34" t="str">
        <f>IF('Data Checking'!JQ34="","",'Data Checking'!JQ34)</f>
        <v>0</v>
      </c>
      <c r="JF34" t="str">
        <f>IF('Data Checking'!JR34="","",'Data Checking'!JR34)</f>
        <v>0</v>
      </c>
      <c r="JG34" t="str">
        <f>IF('Data Checking'!JS34="","",'Data Checking'!JS34)</f>
        <v>0</v>
      </c>
      <c r="JH34" t="str">
        <f>IF('Data Checking'!JT34="","",'Data Checking'!JT34)</f>
        <v/>
      </c>
      <c r="JI34" t="str">
        <f>IF('Data Checking'!JU34="","",'Data Checking'!JU34)</f>
        <v/>
      </c>
      <c r="JJ34" t="str">
        <f>IF('Data Checking'!JV34="","",'Data Checking'!JV34)</f>
        <v/>
      </c>
      <c r="JK34" t="str">
        <f>IF('Data Checking'!JW34="","",'Data Checking'!JW34)</f>
        <v/>
      </c>
      <c r="JL34" t="str">
        <f>IF('Data Checking'!JX34="","",'Data Checking'!JX34)</f>
        <v/>
      </c>
      <c r="JM34" t="str">
        <f>IF('Data Checking'!JY34="","",'Data Checking'!JY34)</f>
        <v/>
      </c>
      <c r="JN34" t="str">
        <f>IF('Data Checking'!JZ34="","",'Data Checking'!JZ34)</f>
        <v/>
      </c>
      <c r="JO34" t="str">
        <f>IF('Data Checking'!KA34="","",'Data Checking'!KA34)</f>
        <v/>
      </c>
      <c r="JP34" t="str">
        <f>IF('Data Checking'!KB34="","",'Data Checking'!KB34)</f>
        <v/>
      </c>
      <c r="JQ34" t="str">
        <f>IF('Data Checking'!KC34="","",'Data Checking'!KC34)</f>
        <v/>
      </c>
      <c r="JR34" t="str">
        <f>IF('Data Checking'!KD34="","",'Data Checking'!KD34)</f>
        <v/>
      </c>
      <c r="JS34" t="str">
        <f>IF('Data Checking'!KE34="","",'Data Checking'!KE34)</f>
        <v/>
      </c>
      <c r="JT34" t="str">
        <f>IF('Data Checking'!KF34="","",'Data Checking'!KF34)</f>
        <v>medical surete</v>
      </c>
      <c r="JU34" t="str">
        <f>IF('Data Checking'!KG34="","",'Data Checking'!KG34)</f>
        <v>1</v>
      </c>
      <c r="JV34" t="str">
        <f>IF('Data Checking'!KH34="","",'Data Checking'!KH34)</f>
        <v>0</v>
      </c>
      <c r="JW34" t="str">
        <f>IF('Data Checking'!KI34="","",'Data Checking'!KI34)</f>
        <v>0</v>
      </c>
      <c r="JX34" t="str">
        <f>IF('Data Checking'!KJ34="","",'Data Checking'!KJ34)</f>
        <v>0</v>
      </c>
      <c r="JY34" t="str">
        <f>IF('Data Checking'!KK34="","",'Data Checking'!KK34)</f>
        <v>1</v>
      </c>
      <c r="JZ34" t="str">
        <f>IF('Data Checking'!KL34="","",'Data Checking'!KL34)</f>
        <v>0</v>
      </c>
      <c r="KA34" t="str">
        <f>IF('Data Checking'!KM34="","",'Data Checking'!KM34)</f>
        <v>0</v>
      </c>
      <c r="KB34" t="str">
        <f>IF('Data Checking'!KN34="","",'Data Checking'!KN34)</f>
        <v>0</v>
      </c>
      <c r="KC34" t="str">
        <f>IF('Data Checking'!KO34="","",'Data Checking'!KO34)</f>
        <v>0</v>
      </c>
      <c r="KD34" t="str">
        <f>IF('Data Checking'!KP34="","",'Data Checking'!KP34)</f>
        <v/>
      </c>
      <c r="KE34" t="str">
        <f>IF('Data Checking'!KQ34="","",'Data Checking'!KQ34)</f>
        <v/>
      </c>
      <c r="KF34" t="str">
        <f>IF('Data Checking'!KR34="","",'Data Checking'!KR34)</f>
        <v>oui</v>
      </c>
      <c r="KG34" t="str">
        <f>IF('Data Checking'!KS34="","",'Data Checking'!KS34)</f>
        <v>manque_definition manque_d'information manque_moyens</v>
      </c>
      <c r="KH34" t="str">
        <f>IF('Data Checking'!KT34="","",'Data Checking'!KT34)</f>
        <v>1</v>
      </c>
      <c r="KI34" t="str">
        <f>IF('Data Checking'!KU34="","",'Data Checking'!KU34)</f>
        <v>0</v>
      </c>
      <c r="KJ34" t="str">
        <f>IF('Data Checking'!KV34="","",'Data Checking'!KV34)</f>
        <v>1</v>
      </c>
      <c r="KK34" t="str">
        <f>IF('Data Checking'!KW34="","",'Data Checking'!KW34)</f>
        <v>0</v>
      </c>
      <c r="KL34" t="str">
        <f>IF('Data Checking'!KX34="","",'Data Checking'!KX34)</f>
        <v>0</v>
      </c>
      <c r="KM34" t="str">
        <f>IF('Data Checking'!KY34="","",'Data Checking'!KY34)</f>
        <v>0</v>
      </c>
      <c r="KN34" t="str">
        <f>IF('Data Checking'!KZ34="","",'Data Checking'!KZ34)</f>
        <v>0</v>
      </c>
      <c r="KO34" t="str">
        <f>IF('Data Checking'!LA34="","",'Data Checking'!LA34)</f>
        <v>1</v>
      </c>
      <c r="KP34" t="str">
        <f>IF('Data Checking'!LB34="","",'Data Checking'!LB34)</f>
        <v>0</v>
      </c>
      <c r="KQ34" t="str">
        <f>IF('Data Checking'!LC34="","",'Data Checking'!LC34)</f>
        <v>0</v>
      </c>
      <c r="KR34" t="str">
        <f>IF('Data Checking'!LD34="","",'Data Checking'!LD34)</f>
        <v>0</v>
      </c>
      <c r="KS34" t="str">
        <f>IF('Data Checking'!LE34="","",'Data Checking'!LE34)</f>
        <v/>
      </c>
      <c r="KT34" t="str">
        <f>IF('Data Checking'!LF34="","",'Data Checking'!LF34)</f>
        <v/>
      </c>
      <c r="KU34" t="str">
        <f>IF('Data Checking'!LG34="","",'Data Checking'!LG34)</f>
        <v/>
      </c>
      <c r="KV34" t="str">
        <f>IF('Data Checking'!LH34="","",'Data Checking'!LH34)</f>
        <v/>
      </c>
      <c r="KW34" t="str">
        <f>IF('Data Checking'!LI34="","",'Data Checking'!LI34)</f>
        <v/>
      </c>
      <c r="KX34" t="str">
        <f>IF('Data Checking'!LJ34="","",'Data Checking'!LJ34)</f>
        <v/>
      </c>
      <c r="KY34" t="str">
        <f>IF('Data Checking'!LK34="","",'Data Checking'!LK34)</f>
        <v/>
      </c>
      <c r="KZ34" t="str">
        <f>IF('Data Checking'!LL34="","",'Data Checking'!LL34)</f>
        <v/>
      </c>
      <c r="LA34" t="str">
        <f>IF('Data Checking'!LM34="","",'Data Checking'!LM34)</f>
        <v/>
      </c>
      <c r="LB34" t="str">
        <f>IF('Data Checking'!LN34="","",'Data Checking'!LN34)</f>
        <v>non</v>
      </c>
      <c r="LC34" t="str">
        <f>IF('Data Checking'!LO34="","",'Data Checking'!LO34)</f>
        <v/>
      </c>
      <c r="LD34" t="str">
        <f>IF('Data Checking'!LP34="","",'Data Checking'!LP34)</f>
        <v/>
      </c>
      <c r="LE34" t="str">
        <f>IF('Data Checking'!LQ34="","",'Data Checking'!LQ34)</f>
        <v/>
      </c>
      <c r="LF34" t="str">
        <f>IF('Data Checking'!LR34="","",'Data Checking'!LR34)</f>
        <v/>
      </c>
      <c r="LG34" t="str">
        <f>IF('Data Checking'!LS34="","",'Data Checking'!LS34)</f>
        <v/>
      </c>
      <c r="LH34" t="str">
        <f>IF('Data Checking'!LT34="","",'Data Checking'!LT34)</f>
        <v/>
      </c>
      <c r="LI34" t="str">
        <f>IF('Data Checking'!LU34="","",'Data Checking'!LU34)</f>
        <v/>
      </c>
      <c r="LJ34" t="str">
        <f>IF('Data Checking'!LV34="","",'Data Checking'!LV34)</f>
        <v/>
      </c>
      <c r="LK34" t="str">
        <f>IF('Data Checking'!LW34="","",'Data Checking'!LW34)</f>
        <v/>
      </c>
      <c r="LL34" t="str">
        <f>IF('Data Checking'!LX34="","",'Data Checking'!LX34)</f>
        <v/>
      </c>
      <c r="LM34" t="str">
        <f>IF('Data Checking'!LY34="","",'Data Checking'!LY34)</f>
        <v/>
      </c>
      <c r="LN34" t="str">
        <f>IF('Data Checking'!LZ34="","",'Data Checking'!LZ34)</f>
        <v/>
      </c>
      <c r="LO34" t="str">
        <f>IF('Data Checking'!MA34="","",'Data Checking'!MA34)</f>
        <v/>
      </c>
      <c r="LP34" t="str">
        <f>IF('Data Checking'!MB34="","",'Data Checking'!MB34)</f>
        <v>oui</v>
      </c>
      <c r="LQ34" t="str">
        <f>IF('Data Checking'!MC34="","",'Data Checking'!MC34)</f>
        <v/>
      </c>
      <c r="LR34" t="str">
        <f>IF('Data Checking'!MD34="","",'Data Checking'!MD34)</f>
        <v xml:space="preserve">C'est avoir une vie paisible,genre subvenir aux besoins et avoir la tranquillité </v>
      </c>
      <c r="LS34">
        <f>IF('Data Checking'!ME34="","",'Data Checking'!ME34)</f>
        <v>170030466</v>
      </c>
      <c r="LT34" t="str">
        <f>IF('Data Checking'!MF34="","",'Data Checking'!MF34)</f>
        <v>fdc5f96a-5e0e-457b-aac1-055744328877</v>
      </c>
      <c r="LU34" t="str">
        <f>IF('Data Checking'!MG34="","",'Data Checking'!MG34)</f>
        <v>2021-04-06T18:27:33</v>
      </c>
      <c r="LV34" t="str">
        <f>IF('Data Checking'!MH34="","",'Data Checking'!MH34)</f>
        <v/>
      </c>
      <c r="LW34" t="str">
        <f>IF('Data Checking'!MI34="","",'Data Checking'!MI34)</f>
        <v>[]</v>
      </c>
      <c r="LX34" t="str">
        <f>IF('Data Checking'!MJ34="","",'Data Checking'!MJ34)</f>
        <v>submitted_via_web</v>
      </c>
      <c r="LY34" t="str">
        <f>IF('Data Checking'!MK34="","",'Data Checking'!MK34)</f>
        <v>reach_niger</v>
      </c>
      <c r="LZ34" t="str">
        <f>IF('Data Checking'!ML34="","",'Data Checking'!ML34)</f>
        <v/>
      </c>
      <c r="MA34">
        <f>IF('Data Checking'!MM34="","",'Data Checking'!MM34)</f>
        <v>50</v>
      </c>
    </row>
    <row r="35" spans="1:339" x14ac:dyDescent="0.3">
      <c r="A35" t="str">
        <f>IF('Data Checking'!D35="","",'Data Checking'!D35)</f>
        <v>2021-04-06T14:53:15.793+01:00</v>
      </c>
      <c r="B35" t="str">
        <f>IF('Data Checking'!E35="","",'Data Checking'!E35)</f>
        <v>2021-04-06T15:41:08.160+01:00</v>
      </c>
      <c r="C35" t="str">
        <f>IF('Data Checking'!M35="","",'Data Checking'!M35)</f>
        <v>2021-04-06</v>
      </c>
      <c r="D35" t="str">
        <f>IF('Data Checking'!N35="","",'Data Checking'!N35)</f>
        <v/>
      </c>
      <c r="E35" t="str">
        <f>IF('Data Checking'!O35="","",'Data Checking'!O35)</f>
        <v/>
      </c>
      <c r="F35" t="str">
        <f>IF('Data Checking'!R35="","",'Data Checking'!R35)</f>
        <v>Homme</v>
      </c>
      <c r="G35" t="str">
        <f>IF('Data Checking'!S35="","",'Data Checking'!S35)</f>
        <v>ouallam</v>
      </c>
      <c r="H35" t="str">
        <f>IF('Data Checking'!T35="","",'Data Checking'!T35)</f>
        <v>ouallam</v>
      </c>
      <c r="I35" t="str">
        <f>IF('Data Checking'!U35="","",'Data Checking'!U35)</f>
        <v>ouallam_pdi</v>
      </c>
      <c r="J35" t="str">
        <f>IF('Data Checking'!V35="","",'Data Checking'!V35)</f>
        <v/>
      </c>
      <c r="K35" t="str">
        <f>IF('Data Checking'!W35="","",'Data Checking'!W35)</f>
        <v/>
      </c>
      <c r="L35" t="str">
        <f>IF('Data Checking'!X35="","",'Data Checking'!X35)</f>
        <v/>
      </c>
      <c r="M35" t="str">
        <f>IF('Data Checking'!Y35="","",'Data Checking'!Y35)</f>
        <v/>
      </c>
      <c r="N35" t="str">
        <f>IF('Data Checking'!Z35="","",'Data Checking'!Z35)</f>
        <v/>
      </c>
      <c r="O35" t="str">
        <f>IF('Data Checking'!AA35="","",'Data Checking'!AA35)</f>
        <v/>
      </c>
      <c r="P35" t="str">
        <f>IF('Data Checking'!AB35="","",'Data Checking'!AB35)</f>
        <v/>
      </c>
      <c r="Q35" t="str">
        <f>IF('Data Checking'!AC35="","",'Data Checking'!AC35)</f>
        <v/>
      </c>
      <c r="R35" t="str">
        <f>IF('Data Checking'!AD35="","",'Data Checking'!AD35)</f>
        <v>Homme</v>
      </c>
      <c r="S35" t="str">
        <f>IF('Data Checking'!AE35="","",'Data Checking'!AE35)</f>
        <v>31</v>
      </c>
      <c r="T35" t="str">
        <f>IF('Data Checking'!AF35="","",'Data Checking'!AF35)</f>
        <v>deplace_interne</v>
      </c>
      <c r="U35" t="str">
        <f>IF('Data Checking'!AG35="","",'Data Checking'!AG35)</f>
        <v/>
      </c>
      <c r="V35" t="str">
        <f>IF('Data Checking'!AH35="","",'Data Checking'!AH35)</f>
        <v/>
      </c>
      <c r="W35" t="str">
        <f>IF('Data Checking'!AI35="","",'Data Checking'!AI35)</f>
        <v>Travailleur humanitaire</v>
      </c>
      <c r="X35" t="str">
        <f>IF('Data Checking'!AJ35="","",'Data Checking'!AJ35)</f>
        <v>activite_identique_role</v>
      </c>
      <c r="Y35" t="str">
        <f>IF('Data Checking'!AK35="","",'Data Checking'!AK35)</f>
        <v/>
      </c>
      <c r="Z35" t="str">
        <f>IF('Data Checking'!AL35="","",'Data Checking'!AL35)</f>
        <v>niger</v>
      </c>
      <c r="AA35" t="str">
        <f>IF('Data Checking'!AM35="","",'Data Checking'!AM35)</f>
        <v>tillaberi</v>
      </c>
      <c r="AB35" t="str">
        <f>IF('Data Checking'!AN35="","",'Data Checking'!AN35)</f>
        <v>banibangou</v>
      </c>
      <c r="AC35" t="str">
        <f>IF('Data Checking'!AO35="","",'Data Checking'!AO35)</f>
        <v/>
      </c>
      <c r="AD35" t="str">
        <f>IF('Data Checking'!AP35="","",'Data Checking'!AP35)</f>
        <v/>
      </c>
      <c r="AE35" t="str">
        <f>IF('Data Checking'!AQ35="","",'Data Checking'!AQ35)</f>
        <v/>
      </c>
      <c r="AF35" t="str">
        <f>IF('Data Checking'!AR35="","",'Data Checking'!AR35)</f>
        <v/>
      </c>
      <c r="AG35" t="str">
        <f>IF('Data Checking'!AS35="","",'Data Checking'!AS35)</f>
        <v>oui</v>
      </c>
      <c r="AH35" t="str">
        <f>IF('Data Checking'!AT35="","",'Data Checking'!AT35)</f>
        <v>Disputes_intercommunataires extorsions Violences_physique_civils attaques_engins_explosifs</v>
      </c>
      <c r="AI35" t="str">
        <f>IF('Data Checking'!AU35="","",'Data Checking'!AU35)</f>
        <v>0</v>
      </c>
      <c r="AJ35" t="str">
        <f>IF('Data Checking'!AV35="","",'Data Checking'!AV35)</f>
        <v>1</v>
      </c>
      <c r="AK35" t="str">
        <f>IF('Data Checking'!AW35="","",'Data Checking'!AW35)</f>
        <v>0</v>
      </c>
      <c r="AL35" t="str">
        <f>IF('Data Checking'!AX35="","",'Data Checking'!AX35)</f>
        <v>1</v>
      </c>
      <c r="AM35" t="str">
        <f>IF('Data Checking'!AY35="","",'Data Checking'!AY35)</f>
        <v>1</v>
      </c>
      <c r="AN35" t="str">
        <f>IF('Data Checking'!AZ35="","",'Data Checking'!AZ35)</f>
        <v>0</v>
      </c>
      <c r="AO35" t="str">
        <f>IF('Data Checking'!BA35="","",'Data Checking'!BA35)</f>
        <v>0</v>
      </c>
      <c r="AP35" t="str">
        <f>IF('Data Checking'!BB35="","",'Data Checking'!BB35)</f>
        <v>0</v>
      </c>
      <c r="AQ35" t="str">
        <f>IF('Data Checking'!BC35="","",'Data Checking'!BC35)</f>
        <v>0</v>
      </c>
      <c r="AR35" t="str">
        <f>IF('Data Checking'!BD35="","",'Data Checking'!BD35)</f>
        <v>0</v>
      </c>
      <c r="AS35" t="str">
        <f>IF('Data Checking'!BE35="","",'Data Checking'!BE35)</f>
        <v>1</v>
      </c>
      <c r="AT35" t="str">
        <f>IF('Data Checking'!BF35="","",'Data Checking'!BF35)</f>
        <v>0</v>
      </c>
      <c r="AU35" t="str">
        <f>IF('Data Checking'!BG35="","",'Data Checking'!BG35)</f>
        <v>0</v>
      </c>
      <c r="AV35" t="str">
        <f>IF('Data Checking'!BH35="","",'Data Checking'!BH35)</f>
        <v>0</v>
      </c>
      <c r="AW35" t="str">
        <f>IF('Data Checking'!BI35="","",'Data Checking'!BI35)</f>
        <v/>
      </c>
      <c r="AX35" t="str">
        <f>IF('Data Checking'!BJ35="","",'Data Checking'!BJ35)</f>
        <v>Toute_population</v>
      </c>
      <c r="AY35" t="str">
        <f>IF('Data Checking'!BK35="","",'Data Checking'!BK35)</f>
        <v>0</v>
      </c>
      <c r="AZ35" t="str">
        <f>IF('Data Checking'!BL35="","",'Data Checking'!BL35)</f>
        <v>0</v>
      </c>
      <c r="BA35" t="str">
        <f>IF('Data Checking'!BM35="","",'Data Checking'!BM35)</f>
        <v>0</v>
      </c>
      <c r="BB35" t="str">
        <f>IF('Data Checking'!BN35="","",'Data Checking'!BN35)</f>
        <v>0</v>
      </c>
      <c r="BC35" t="str">
        <f>IF('Data Checking'!BO35="","",'Data Checking'!BO35)</f>
        <v>0</v>
      </c>
      <c r="BD35" t="str">
        <f>IF('Data Checking'!BP35="","",'Data Checking'!BP35)</f>
        <v>0</v>
      </c>
      <c r="BE35" t="str">
        <f>IF('Data Checking'!BQ35="","",'Data Checking'!BQ35)</f>
        <v>0</v>
      </c>
      <c r="BF35" t="str">
        <f>IF('Data Checking'!BR35="","",'Data Checking'!BR35)</f>
        <v>0</v>
      </c>
      <c r="BG35" t="str">
        <f>IF('Data Checking'!BS35="","",'Data Checking'!BS35)</f>
        <v>0</v>
      </c>
      <c r="BH35" t="str">
        <f>IF('Data Checking'!BT35="","",'Data Checking'!BT35)</f>
        <v>0</v>
      </c>
      <c r="BI35" t="str">
        <f>IF('Data Checking'!BU35="","",'Data Checking'!BU35)</f>
        <v>1</v>
      </c>
      <c r="BJ35" t="str">
        <f>IF('Data Checking'!BV35="","",'Data Checking'!BV35)</f>
        <v>0</v>
      </c>
      <c r="BK35" t="str">
        <f>IF('Data Checking'!BW35="","",'Data Checking'!BW35)</f>
        <v>0</v>
      </c>
      <c r="BL35" t="str">
        <f>IF('Data Checking'!BX35="","",'Data Checking'!BX35)</f>
        <v>0</v>
      </c>
      <c r="BM35" t="str">
        <f>IF('Data Checking'!BY35="","",'Data Checking'!BY35)</f>
        <v/>
      </c>
      <c r="BN35" t="str">
        <f>IF('Data Checking'!BZ35="","",'Data Checking'!BZ35)</f>
        <v>plusde5</v>
      </c>
      <c r="BO35" t="str">
        <f>IF('Data Checking'!CA35="","",'Data Checking'!CA35)</f>
        <v>augmente</v>
      </c>
      <c r="BP35" t="str">
        <f>IF('Data Checking'!CB35="","",'Data Checking'!CB35)</f>
        <v/>
      </c>
      <c r="BQ35" t="str">
        <f>IF('Data Checking'!CC35="","",'Data Checking'!CC35)</f>
        <v>oui</v>
      </c>
      <c r="BR35" t="str">
        <f>IF('Data Checking'!CD35="","",'Data Checking'!CD35)</f>
        <v>travail_force</v>
      </c>
      <c r="BS35" t="str">
        <f>IF('Data Checking'!CE35="","",'Data Checking'!CE35)</f>
        <v>0</v>
      </c>
      <c r="BT35" t="str">
        <f>IF('Data Checking'!CF35="","",'Data Checking'!CF35)</f>
        <v>0</v>
      </c>
      <c r="BU35" t="str">
        <f>IF('Data Checking'!CG35="","",'Data Checking'!CG35)</f>
        <v>0</v>
      </c>
      <c r="BV35" t="str">
        <f>IF('Data Checking'!CH35="","",'Data Checking'!CH35)</f>
        <v>0</v>
      </c>
      <c r="BW35" t="str">
        <f>IF('Data Checking'!CI35="","",'Data Checking'!CI35)</f>
        <v>0</v>
      </c>
      <c r="BX35" t="str">
        <f>IF('Data Checking'!CJ35="","",'Data Checking'!CJ35)</f>
        <v>0</v>
      </c>
      <c r="BY35" t="str">
        <f>IF('Data Checking'!CK35="","",'Data Checking'!CK35)</f>
        <v>1</v>
      </c>
      <c r="BZ35" t="str">
        <f>IF('Data Checking'!CL35="","",'Data Checking'!CL35)</f>
        <v>0</v>
      </c>
      <c r="CA35" t="str">
        <f>IF('Data Checking'!CM35="","",'Data Checking'!CM35)</f>
        <v>0</v>
      </c>
      <c r="CB35" t="str">
        <f>IF('Data Checking'!CN35="","",'Data Checking'!CN35)</f>
        <v>0</v>
      </c>
      <c r="CC35" t="str">
        <f>IF('Data Checking'!CO35="","",'Data Checking'!CO35)</f>
        <v>0</v>
      </c>
      <c r="CD35" t="str">
        <f>IF('Data Checking'!CP35="","",'Data Checking'!CP35)</f>
        <v>0</v>
      </c>
      <c r="CE35" t="str">
        <f>IF('Data Checking'!CQ35="","",'Data Checking'!CQ35)</f>
        <v>0</v>
      </c>
      <c r="CF35" t="str">
        <f>IF('Data Checking'!CR35="","",'Data Checking'!CR35)</f>
        <v>0</v>
      </c>
      <c r="CG35" t="str">
        <f>IF('Data Checking'!CS35="","",'Data Checking'!CS35)</f>
        <v>0</v>
      </c>
      <c r="CH35" t="str">
        <f>IF('Data Checking'!CT35="","",'Data Checking'!CT35)</f>
        <v/>
      </c>
      <c r="CI35" t="str">
        <f>IF('Data Checking'!CU35="","",'Data Checking'!CU35)</f>
        <v>Hommes</v>
      </c>
      <c r="CJ35" t="str">
        <f>IF('Data Checking'!CV35="","",'Data Checking'!CV35)</f>
        <v>0</v>
      </c>
      <c r="CK35" t="str">
        <f>IF('Data Checking'!CW35="","",'Data Checking'!CW35)</f>
        <v>0</v>
      </c>
      <c r="CL35" t="str">
        <f>IF('Data Checking'!CX35="","",'Data Checking'!CX35)</f>
        <v>0</v>
      </c>
      <c r="CM35" t="str">
        <f>IF('Data Checking'!CY35="","",'Data Checking'!CY35)</f>
        <v>0</v>
      </c>
      <c r="CN35" t="str">
        <f>IF('Data Checking'!CZ35="","",'Data Checking'!CZ35)</f>
        <v>0</v>
      </c>
      <c r="CO35" t="str">
        <f>IF('Data Checking'!DA35="","",'Data Checking'!DA35)</f>
        <v>1</v>
      </c>
      <c r="CP35" t="str">
        <f>IF('Data Checking'!DB35="","",'Data Checking'!DB35)</f>
        <v>0</v>
      </c>
      <c r="CQ35" t="str">
        <f>IF('Data Checking'!DC35="","",'Data Checking'!DC35)</f>
        <v>0</v>
      </c>
      <c r="CR35" t="str">
        <f>IF('Data Checking'!DD35="","",'Data Checking'!DD35)</f>
        <v>0</v>
      </c>
      <c r="CS35" t="str">
        <f>IF('Data Checking'!DE35="","",'Data Checking'!DE35)</f>
        <v>0</v>
      </c>
      <c r="CT35" t="str">
        <f>IF('Data Checking'!DF35="","",'Data Checking'!DF35)</f>
        <v>0</v>
      </c>
      <c r="CU35" t="str">
        <f>IF('Data Checking'!DG35="","",'Data Checking'!DG35)</f>
        <v>0</v>
      </c>
      <c r="CV35" t="str">
        <f>IF('Data Checking'!DH35="","",'Data Checking'!DH35)</f>
        <v>0</v>
      </c>
      <c r="CW35" t="str">
        <f>IF('Data Checking'!DI35="","",'Data Checking'!DI35)</f>
        <v>0</v>
      </c>
      <c r="CX35" t="str">
        <f>IF('Data Checking'!DJ35="","",'Data Checking'!DJ35)</f>
        <v/>
      </c>
      <c r="CY35" t="str">
        <f>IF('Data Checking'!DK35="","",'Data Checking'!DK35)</f>
        <v>plusde5</v>
      </c>
      <c r="CZ35" t="str">
        <f>IF('Data Checking'!DL35="","",'Data Checking'!DL35)</f>
        <v>augmente</v>
      </c>
      <c r="DA35" t="str">
        <f>IF('Data Checking'!DM35="","",'Data Checking'!DM35)</f>
        <v/>
      </c>
      <c r="DB35" t="str">
        <f>IF('Data Checking'!DN35="","",'Data Checking'!DN35)</f>
        <v>deterioration_con_abris hausse_tensions_intercomm hausse_nbr_groupes_armees</v>
      </c>
      <c r="DC35" t="str">
        <f>IF('Data Checking'!DO35="","",'Data Checking'!DO35)</f>
        <v>0</v>
      </c>
      <c r="DD35" t="str">
        <f>IF('Data Checking'!DP35="","",'Data Checking'!DP35)</f>
        <v>1</v>
      </c>
      <c r="DE35" t="str">
        <f>IF('Data Checking'!DQ35="","",'Data Checking'!DQ35)</f>
        <v>0</v>
      </c>
      <c r="DF35" t="str">
        <f>IF('Data Checking'!DR35="","",'Data Checking'!DR35)</f>
        <v>1</v>
      </c>
      <c r="DG35" t="str">
        <f>IF('Data Checking'!DS35="","",'Data Checking'!DS35)</f>
        <v>1</v>
      </c>
      <c r="DH35" t="str">
        <f>IF('Data Checking'!DT35="","",'Data Checking'!DT35)</f>
        <v>0</v>
      </c>
      <c r="DI35" t="str">
        <f>IF('Data Checking'!DU35="","",'Data Checking'!DU35)</f>
        <v>0</v>
      </c>
      <c r="DJ35" t="str">
        <f>IF('Data Checking'!DV35="","",'Data Checking'!DV35)</f>
        <v>0</v>
      </c>
      <c r="DK35" t="str">
        <f>IF('Data Checking'!DW35="","",'Data Checking'!DW35)</f>
        <v>0</v>
      </c>
      <c r="DL35" t="str">
        <f>IF('Data Checking'!DX35="","",'Data Checking'!DX35)</f>
        <v>0</v>
      </c>
      <c r="DM35" t="str">
        <f>IF('Data Checking'!DY35="","",'Data Checking'!DY35)</f>
        <v/>
      </c>
      <c r="DN35" t="str">
        <f>IF('Data Checking'!DZ35="","",'Data Checking'!DZ35)</f>
        <v/>
      </c>
      <c r="DO35" t="str">
        <f>IF('Data Checking'!EA35="","",'Data Checking'!EA35)</f>
        <v/>
      </c>
      <c r="DP35" t="str">
        <f>IF('Data Checking'!EB35="","",'Data Checking'!EB35)</f>
        <v/>
      </c>
      <c r="DQ35" t="str">
        <f>IF('Data Checking'!EC35="","",'Data Checking'!EC35)</f>
        <v/>
      </c>
      <c r="DR35" t="str">
        <f>IF('Data Checking'!ED35="","",'Data Checking'!ED35)</f>
        <v/>
      </c>
      <c r="DS35" t="str">
        <f>IF('Data Checking'!EE35="","",'Data Checking'!EE35)</f>
        <v/>
      </c>
      <c r="DT35" t="str">
        <f>IF('Data Checking'!EF35="","",'Data Checking'!EF35)</f>
        <v/>
      </c>
      <c r="DU35" t="str">
        <f>IF('Data Checking'!EG35="","",'Data Checking'!EG35)</f>
        <v/>
      </c>
      <c r="DV35" t="str">
        <f>IF('Data Checking'!EH35="","",'Data Checking'!EH35)</f>
        <v/>
      </c>
      <c r="DW35" t="str">
        <f>IF('Data Checking'!EI35="","",'Data Checking'!EI35)</f>
        <v/>
      </c>
      <c r="DX35" t="str">
        <f>IF('Data Checking'!EJ35="","",'Data Checking'!EJ35)</f>
        <v/>
      </c>
      <c r="DY35" t="str">
        <f>IF('Data Checking'!EK35="","",'Data Checking'!EK35)</f>
        <v/>
      </c>
      <c r="DZ35" t="str">
        <f>IF('Data Checking'!EL35="","",'Data Checking'!EL35)</f>
        <v>dplct_abords_com Soutien_famille_amis Integration_com_hote</v>
      </c>
      <c r="EA35" t="str">
        <f>IF('Data Checking'!EM35="","",'Data Checking'!EM35)</f>
        <v>1</v>
      </c>
      <c r="EB35" t="str">
        <f>IF('Data Checking'!EN35="","",'Data Checking'!EN35)</f>
        <v>1</v>
      </c>
      <c r="EC35" t="str">
        <f>IF('Data Checking'!EO35="","",'Data Checking'!EO35)</f>
        <v>1</v>
      </c>
      <c r="ED35" t="str">
        <f>IF('Data Checking'!EP35="","",'Data Checking'!EP35)</f>
        <v>0</v>
      </c>
      <c r="EE35" t="str">
        <f>IF('Data Checking'!EQ35="","",'Data Checking'!EQ35)</f>
        <v>0</v>
      </c>
      <c r="EF35" t="str">
        <f>IF('Data Checking'!ER35="","",'Data Checking'!ER35)</f>
        <v>0</v>
      </c>
      <c r="EG35" t="str">
        <f>IF('Data Checking'!ES35="","",'Data Checking'!ES35)</f>
        <v>0</v>
      </c>
      <c r="EH35" t="str">
        <f>IF('Data Checking'!ET35="","",'Data Checking'!ET35)</f>
        <v>0</v>
      </c>
      <c r="EI35" t="str">
        <f>IF('Data Checking'!EU35="","",'Data Checking'!EU35)</f>
        <v>0</v>
      </c>
      <c r="EJ35" t="str">
        <f>IF('Data Checking'!EV35="","",'Data Checking'!EV35)</f>
        <v/>
      </c>
      <c r="EK35" t="str">
        <f>IF('Data Checking'!EW35="","",'Data Checking'!EW35)</f>
        <v/>
      </c>
      <c r="EL35" t="str">
        <f>IF('Data Checking'!EX35="","",'Data Checking'!EX35)</f>
        <v>femmes_elite comite_protection famille_accueil comite_gestion_conflits</v>
      </c>
      <c r="EM35" t="str">
        <f>IF('Data Checking'!EY35="","",'Data Checking'!EY35)</f>
        <v>1</v>
      </c>
      <c r="EN35" t="str">
        <f>IF('Data Checking'!EZ35="","",'Data Checking'!EZ35)</f>
        <v>1</v>
      </c>
      <c r="EO35" t="str">
        <f>IF('Data Checking'!FA35="","",'Data Checking'!FA35)</f>
        <v>1</v>
      </c>
      <c r="EP35" t="str">
        <f>IF('Data Checking'!FB35="","",'Data Checking'!FB35)</f>
        <v>0</v>
      </c>
      <c r="EQ35" t="str">
        <f>IF('Data Checking'!FC35="","",'Data Checking'!FC35)</f>
        <v>0</v>
      </c>
      <c r="ER35" t="str">
        <f>IF('Data Checking'!FD35="","",'Data Checking'!FD35)</f>
        <v>1</v>
      </c>
      <c r="ES35" t="str">
        <f>IF('Data Checking'!FE35="","",'Data Checking'!FE35)</f>
        <v>0</v>
      </c>
      <c r="ET35" t="str">
        <f>IF('Data Checking'!FF35="","",'Data Checking'!FF35)</f>
        <v>0</v>
      </c>
      <c r="EU35" t="str">
        <f>IF('Data Checking'!FG35="","",'Data Checking'!FG35)</f>
        <v>0</v>
      </c>
      <c r="EV35" t="str">
        <f>IF('Data Checking'!FH35="","",'Data Checking'!FH35)</f>
        <v>0</v>
      </c>
      <c r="EW35" t="str">
        <f>IF('Data Checking'!FI35="","",'Data Checking'!FI35)</f>
        <v/>
      </c>
      <c r="EX35" t="str">
        <f>IF('Data Checking'!FJ35="","",'Data Checking'!FJ35)</f>
        <v>oui</v>
      </c>
      <c r="EY35" t="str">
        <f>IF('Data Checking'!FK35="","",'Data Checking'!FK35)</f>
        <v>Radio_television Internet Chef_village Differents_comites_villageois Groupement_femmes</v>
      </c>
      <c r="EZ35" t="str">
        <f>IF('Data Checking'!FL35="","",'Data Checking'!FL35)</f>
        <v>1</v>
      </c>
      <c r="FA35" t="str">
        <f>IF('Data Checking'!FM35="","",'Data Checking'!FM35)</f>
        <v>0</v>
      </c>
      <c r="FB35" t="str">
        <f>IF('Data Checking'!FN35="","",'Data Checking'!FN35)</f>
        <v>1</v>
      </c>
      <c r="FC35" t="str">
        <f>IF('Data Checking'!FO35="","",'Data Checking'!FO35)</f>
        <v>0</v>
      </c>
      <c r="FD35" t="str">
        <f>IF('Data Checking'!FP35="","",'Data Checking'!FP35)</f>
        <v>1</v>
      </c>
      <c r="FE35" t="str">
        <f>IF('Data Checking'!FQ35="","",'Data Checking'!FQ35)</f>
        <v>0</v>
      </c>
      <c r="FF35" t="str">
        <f>IF('Data Checking'!FR35="","",'Data Checking'!FR35)</f>
        <v>0</v>
      </c>
      <c r="FG35" t="str">
        <f>IF('Data Checking'!FS35="","",'Data Checking'!FS35)</f>
        <v>1</v>
      </c>
      <c r="FH35" t="str">
        <f>IF('Data Checking'!FT35="","",'Data Checking'!FT35)</f>
        <v>1</v>
      </c>
      <c r="FI35" t="str">
        <f>IF('Data Checking'!FU35="","",'Data Checking'!FU35)</f>
        <v>0</v>
      </c>
      <c r="FJ35" t="str">
        <f>IF('Data Checking'!FV35="","",'Data Checking'!FV35)</f>
        <v>0</v>
      </c>
      <c r="FK35" t="str">
        <f>IF('Data Checking'!FW35="","",'Data Checking'!FW35)</f>
        <v>0</v>
      </c>
      <c r="FL35" t="str">
        <f>IF('Data Checking'!FX35="","",'Data Checking'!FX35)</f>
        <v>0</v>
      </c>
      <c r="FM35" t="str">
        <f>IF('Data Checking'!FY35="","",'Data Checking'!FY35)</f>
        <v>0</v>
      </c>
      <c r="FN35" t="str">
        <f>IF('Data Checking'!FZ35="","",'Data Checking'!FZ35)</f>
        <v/>
      </c>
      <c r="FO35" t="str">
        <f>IF('Data Checking'!GA35="","",'Data Checking'!GA35)</f>
        <v>oui_majorite</v>
      </c>
      <c r="FP35" t="str">
        <f>IF('Data Checking'!GB35="","",'Data Checking'!GB35)</f>
        <v>oui_majorite</v>
      </c>
      <c r="FQ35" t="str">
        <f>IF('Data Checking'!GC35="","",'Data Checking'!GC35)</f>
        <v>non_fonctionnelle</v>
      </c>
      <c r="FR35" t="str">
        <f>IF('Data Checking'!GD35="","",'Data Checking'!GD35)</f>
        <v>1</v>
      </c>
      <c r="FS35" t="str">
        <f>IF('Data Checking'!GE35="","",'Data Checking'!GE35)</f>
        <v>0</v>
      </c>
      <c r="FT35" t="str">
        <f>IF('Data Checking'!GF35="","",'Data Checking'!GF35)</f>
        <v>0</v>
      </c>
      <c r="FU35" t="str">
        <f>IF('Data Checking'!GG35="","",'Data Checking'!GG35)</f>
        <v>0</v>
      </c>
      <c r="FV35" t="str">
        <f>IF('Data Checking'!GH35="","",'Data Checking'!GH35)</f>
        <v>0</v>
      </c>
      <c r="FW35" t="str">
        <f>IF('Data Checking'!GI35="","",'Data Checking'!GI35)</f>
        <v>0</v>
      </c>
      <c r="FX35" t="str">
        <f>IF('Data Checking'!GJ35="","",'Data Checking'!GJ35)</f>
        <v>0</v>
      </c>
      <c r="FY35" t="str">
        <f>IF('Data Checking'!GK35="","",'Data Checking'!GK35)</f>
        <v>0</v>
      </c>
      <c r="FZ35" t="str">
        <f>IF('Data Checking'!GL35="","",'Data Checking'!GL35)</f>
        <v/>
      </c>
      <c r="GA35" t="str">
        <f>IF('Data Checking'!GM35="","",'Data Checking'!GM35)</f>
        <v>majorite</v>
      </c>
      <c r="GB35" t="str">
        <f>IF('Data Checking'!GN35="","",'Data Checking'!GN35)</f>
        <v>majorite</v>
      </c>
      <c r="GC35" t="str">
        <f>IF('Data Checking'!GO35="","",'Data Checking'!GO35)</f>
        <v>Education Service_de_counseling Services_de_sante Acces_aux_doc</v>
      </c>
      <c r="GD35" t="str">
        <f>IF('Data Checking'!GP35="","",'Data Checking'!GP35)</f>
        <v>0</v>
      </c>
      <c r="GE35" t="str">
        <f>IF('Data Checking'!GQ35="","",'Data Checking'!GQ35)</f>
        <v>1</v>
      </c>
      <c r="GF35" t="str">
        <f>IF('Data Checking'!GR35="","",'Data Checking'!GR35)</f>
        <v>1</v>
      </c>
      <c r="GG35" t="str">
        <f>IF('Data Checking'!GS35="","",'Data Checking'!GS35)</f>
        <v>1</v>
      </c>
      <c r="GH35" t="str">
        <f>IF('Data Checking'!GT35="","",'Data Checking'!GT35)</f>
        <v>1</v>
      </c>
      <c r="GI35" t="str">
        <f>IF('Data Checking'!GU35="","",'Data Checking'!GU35)</f>
        <v>0</v>
      </c>
      <c r="GJ35" t="str">
        <f>IF('Data Checking'!GV35="","",'Data Checking'!GV35)</f>
        <v>0</v>
      </c>
      <c r="GK35" t="str">
        <f>IF('Data Checking'!GW35="","",'Data Checking'!GW35)</f>
        <v>0</v>
      </c>
      <c r="GL35" t="str">
        <f>IF('Data Checking'!GX35="","",'Data Checking'!GX35)</f>
        <v>0</v>
      </c>
      <c r="GM35" t="str">
        <f>IF('Data Checking'!GY35="","",'Data Checking'!GY35)</f>
        <v/>
      </c>
      <c r="GN35" t="str">
        <f>IF('Data Checking'!GZ35="","",'Data Checking'!GZ35)</f>
        <v>oui_ensemble</v>
      </c>
      <c r="GO35" t="str">
        <f>IF('Data Checking'!HA35="","",'Data Checking'!HA35)</f>
        <v>oui_ensemble</v>
      </c>
      <c r="GP35" t="str">
        <f>IF('Data Checking'!HB35="","",'Data Checking'!HB35)</f>
        <v>repond_besoins_pop amelioration_futur permet_eviter_conflits</v>
      </c>
      <c r="GQ35" t="str">
        <f>IF('Data Checking'!HC35="","",'Data Checking'!HC35)</f>
        <v>1</v>
      </c>
      <c r="GR35" t="str">
        <f>IF('Data Checking'!HD35="","",'Data Checking'!HD35)</f>
        <v>1</v>
      </c>
      <c r="GS35" t="str">
        <f>IF('Data Checking'!HE35="","",'Data Checking'!HE35)</f>
        <v>0</v>
      </c>
      <c r="GT35" t="str">
        <f>IF('Data Checking'!HF35="","",'Data Checking'!HF35)</f>
        <v>1</v>
      </c>
      <c r="GU35" t="str">
        <f>IF('Data Checking'!HG35="","",'Data Checking'!HG35)</f>
        <v>0</v>
      </c>
      <c r="GV35" t="str">
        <f>IF('Data Checking'!HH35="","",'Data Checking'!HH35)</f>
        <v>0</v>
      </c>
      <c r="GW35" t="str">
        <f>IF('Data Checking'!HI35="","",'Data Checking'!HI35)</f>
        <v>0</v>
      </c>
      <c r="GX35" t="str">
        <f>IF('Data Checking'!HJ35="","",'Data Checking'!HJ35)</f>
        <v>0</v>
      </c>
      <c r="GY35" t="str">
        <f>IF('Data Checking'!HK35="","",'Data Checking'!HK35)</f>
        <v/>
      </c>
      <c r="GZ35" t="str">
        <f>IF('Data Checking'!HL35="","",'Data Checking'!HL35)</f>
        <v/>
      </c>
      <c r="HA35" t="str">
        <f>IF('Data Checking'!HM35="","",'Data Checking'!HM35)</f>
        <v/>
      </c>
      <c r="HB35" t="str">
        <f>IF('Data Checking'!HN35="","",'Data Checking'!HN35)</f>
        <v/>
      </c>
      <c r="HC35" t="str">
        <f>IF('Data Checking'!HO35="","",'Data Checking'!HO35)</f>
        <v/>
      </c>
      <c r="HD35" t="str">
        <f>IF('Data Checking'!HP35="","",'Data Checking'!HP35)</f>
        <v/>
      </c>
      <c r="HE35" t="str">
        <f>IF('Data Checking'!HQ35="","",'Data Checking'!HQ35)</f>
        <v/>
      </c>
      <c r="HF35" t="str">
        <f>IF('Data Checking'!HR35="","",'Data Checking'!HR35)</f>
        <v/>
      </c>
      <c r="HG35" t="str">
        <f>IF('Data Checking'!HS35="","",'Data Checking'!HS35)</f>
        <v/>
      </c>
      <c r="HH35" t="str">
        <f>IF('Data Checking'!HT35="","",'Data Checking'!HT35)</f>
        <v/>
      </c>
      <c r="HI35" t="str">
        <f>IF('Data Checking'!HU35="","",'Data Checking'!HU35)</f>
        <v>oui_ensemble</v>
      </c>
      <c r="HJ35" t="str">
        <f>IF('Data Checking'!HV35="","",'Data Checking'!HV35)</f>
        <v>ingo</v>
      </c>
      <c r="HK35" t="str">
        <f>IF('Data Checking'!HW35="","",'Data Checking'!HW35)</f>
        <v>0</v>
      </c>
      <c r="HL35" t="str">
        <f>IF('Data Checking'!HX35="","",'Data Checking'!HX35)</f>
        <v>0</v>
      </c>
      <c r="HM35" t="str">
        <f>IF('Data Checking'!HY35="","",'Data Checking'!HY35)</f>
        <v>0</v>
      </c>
      <c r="HN35" t="str">
        <f>IF('Data Checking'!HZ35="","",'Data Checking'!HZ35)</f>
        <v>0</v>
      </c>
      <c r="HO35" t="str">
        <f>IF('Data Checking'!IA35="","",'Data Checking'!IA35)</f>
        <v>1</v>
      </c>
      <c r="HP35" t="str">
        <f>IF('Data Checking'!IB35="","",'Data Checking'!IB35)</f>
        <v>0</v>
      </c>
      <c r="HQ35" t="str">
        <f>IF('Data Checking'!IC35="","",'Data Checking'!IC35)</f>
        <v>0</v>
      </c>
      <c r="HR35" t="str">
        <f>IF('Data Checking'!ID35="","",'Data Checking'!ID35)</f>
        <v>0</v>
      </c>
      <c r="HS35" t="str">
        <f>IF('Data Checking'!IE35="","",'Data Checking'!IE35)</f>
        <v>0</v>
      </c>
      <c r="HT35" t="str">
        <f>IF('Data Checking'!IF35="","",'Data Checking'!IF35)</f>
        <v>0</v>
      </c>
      <c r="HU35" t="str">
        <f>IF('Data Checking'!IG35="","",'Data Checking'!IG35)</f>
        <v/>
      </c>
      <c r="HV35" t="str">
        <f>IF('Data Checking'!IH35="","",'Data Checking'!IH35)</f>
        <v/>
      </c>
      <c r="HW35" t="str">
        <f>IF('Data Checking'!II35="","",'Data Checking'!II35)</f>
        <v/>
      </c>
      <c r="HX35" t="str">
        <f>IF('Data Checking'!IJ35="","",'Data Checking'!IJ35)</f>
        <v>Toute_population</v>
      </c>
      <c r="HY35" t="str">
        <f>IF('Data Checking'!IK35="","",'Data Checking'!IK35)</f>
        <v>0</v>
      </c>
      <c r="HZ35" t="str">
        <f>IF('Data Checking'!IL35="","",'Data Checking'!IL35)</f>
        <v>0</v>
      </c>
      <c r="IA35" t="str">
        <f>IF('Data Checking'!IM35="","",'Data Checking'!IM35)</f>
        <v>0</v>
      </c>
      <c r="IB35" t="str">
        <f>IF('Data Checking'!IN35="","",'Data Checking'!IN35)</f>
        <v>0</v>
      </c>
      <c r="IC35" t="str">
        <f>IF('Data Checking'!IO35="","",'Data Checking'!IO35)</f>
        <v>0</v>
      </c>
      <c r="ID35" t="str">
        <f>IF('Data Checking'!IP35="","",'Data Checking'!IP35)</f>
        <v>0</v>
      </c>
      <c r="IE35" t="str">
        <f>IF('Data Checking'!IQ35="","",'Data Checking'!IQ35)</f>
        <v>0</v>
      </c>
      <c r="IF35" t="str">
        <f>IF('Data Checking'!IR35="","",'Data Checking'!IR35)</f>
        <v>0</v>
      </c>
      <c r="IG35" t="str">
        <f>IF('Data Checking'!IS35="","",'Data Checking'!IS35)</f>
        <v>0</v>
      </c>
      <c r="IH35" t="str">
        <f>IF('Data Checking'!IT35="","",'Data Checking'!IT35)</f>
        <v>0</v>
      </c>
      <c r="II35" t="str">
        <f>IF('Data Checking'!IU35="","",'Data Checking'!IU35)</f>
        <v>1</v>
      </c>
      <c r="IJ35" t="str">
        <f>IF('Data Checking'!IV35="","",'Data Checking'!IV35)</f>
        <v>0</v>
      </c>
      <c r="IK35" t="str">
        <f>IF('Data Checking'!IW35="","",'Data Checking'!IW35)</f>
        <v>0</v>
      </c>
      <c r="IL35" t="str">
        <f>IF('Data Checking'!IX35="","",'Data Checking'!IX35)</f>
        <v>0</v>
      </c>
      <c r="IM35" t="str">
        <f>IF('Data Checking'!IY35="","",'Data Checking'!IY35)</f>
        <v/>
      </c>
      <c r="IN35" t="str">
        <f>IF('Data Checking'!IZ35="","",'Data Checking'!IZ35)</f>
        <v>15</v>
      </c>
      <c r="IO35" t="str">
        <f>IF('Data Checking'!JA35="","",'Data Checking'!JA35)</f>
        <v>Services_medicaux Services_educatifs Appui_psychosocial</v>
      </c>
      <c r="IP35" t="str">
        <f>IF('Data Checking'!JB35="","",'Data Checking'!JB35)</f>
        <v>1</v>
      </c>
      <c r="IQ35" t="str">
        <f>IF('Data Checking'!JC35="","",'Data Checking'!JC35)</f>
        <v>1</v>
      </c>
      <c r="IR35" t="str">
        <f>IF('Data Checking'!JD35="","",'Data Checking'!JD35)</f>
        <v>1</v>
      </c>
      <c r="IS35" t="str">
        <f>IF('Data Checking'!JE35="","",'Data Checking'!JE35)</f>
        <v>0</v>
      </c>
      <c r="IT35" t="str">
        <f>IF('Data Checking'!JF35="","",'Data Checking'!JF35)</f>
        <v>0</v>
      </c>
      <c r="IU35" t="str">
        <f>IF('Data Checking'!JG35="","",'Data Checking'!JG35)</f>
        <v>0</v>
      </c>
      <c r="IV35" t="str">
        <f>IF('Data Checking'!JH35="","",'Data Checking'!JH35)</f>
        <v>0</v>
      </c>
      <c r="IW35" t="str">
        <f>IF('Data Checking'!JI35="","",'Data Checking'!JI35)</f>
        <v>0</v>
      </c>
      <c r="IX35" t="str">
        <f>IF('Data Checking'!JJ35="","",'Data Checking'!JJ35)</f>
        <v>0</v>
      </c>
      <c r="IY35" t="str">
        <f>IF('Data Checking'!JK35="","",'Data Checking'!JK35)</f>
        <v>0</v>
      </c>
      <c r="IZ35" t="str">
        <f>IF('Data Checking'!JL35="","",'Data Checking'!JL35)</f>
        <v/>
      </c>
      <c r="JA35" t="str">
        <f>IF('Data Checking'!JM35="","",'Data Checking'!JM35)</f>
        <v>signalement reorientation</v>
      </c>
      <c r="JB35" t="str">
        <f>IF('Data Checking'!JN35="","",'Data Checking'!JN35)</f>
        <v>0</v>
      </c>
      <c r="JC35" t="str">
        <f>IF('Data Checking'!JO35="","",'Data Checking'!JO35)</f>
        <v>1</v>
      </c>
      <c r="JD35" t="str">
        <f>IF('Data Checking'!JP35="","",'Data Checking'!JP35)</f>
        <v>1</v>
      </c>
      <c r="JE35" t="str">
        <f>IF('Data Checking'!JQ35="","",'Data Checking'!JQ35)</f>
        <v>0</v>
      </c>
      <c r="JF35" t="str">
        <f>IF('Data Checking'!JR35="","",'Data Checking'!JR35)</f>
        <v>0</v>
      </c>
      <c r="JG35" t="str">
        <f>IF('Data Checking'!JS35="","",'Data Checking'!JS35)</f>
        <v>0</v>
      </c>
      <c r="JH35" t="str">
        <f>IF('Data Checking'!JT35="","",'Data Checking'!JT35)</f>
        <v/>
      </c>
      <c r="JI35" t="str">
        <f>IF('Data Checking'!JU35="","",'Data Checking'!JU35)</f>
        <v/>
      </c>
      <c r="JJ35" t="str">
        <f>IF('Data Checking'!JV35="","",'Data Checking'!JV35)</f>
        <v/>
      </c>
      <c r="JK35" t="str">
        <f>IF('Data Checking'!JW35="","",'Data Checking'!JW35)</f>
        <v/>
      </c>
      <c r="JL35" t="str">
        <f>IF('Data Checking'!JX35="","",'Data Checking'!JX35)</f>
        <v/>
      </c>
      <c r="JM35" t="str">
        <f>IF('Data Checking'!JY35="","",'Data Checking'!JY35)</f>
        <v/>
      </c>
      <c r="JN35" t="str">
        <f>IF('Data Checking'!JZ35="","",'Data Checking'!JZ35)</f>
        <v/>
      </c>
      <c r="JO35" t="str">
        <f>IF('Data Checking'!KA35="","",'Data Checking'!KA35)</f>
        <v/>
      </c>
      <c r="JP35" t="str">
        <f>IF('Data Checking'!KB35="","",'Data Checking'!KB35)</f>
        <v/>
      </c>
      <c r="JQ35" t="str">
        <f>IF('Data Checking'!KC35="","",'Data Checking'!KC35)</f>
        <v/>
      </c>
      <c r="JR35" t="str">
        <f>IF('Data Checking'!KD35="","",'Data Checking'!KD35)</f>
        <v/>
      </c>
      <c r="JS35" t="str">
        <f>IF('Data Checking'!KE35="","",'Data Checking'!KE35)</f>
        <v/>
      </c>
      <c r="JT35" t="str">
        <f>IF('Data Checking'!KF35="","",'Data Checking'!KF35)</f>
        <v>medical surete</v>
      </c>
      <c r="JU35" t="str">
        <f>IF('Data Checking'!KG35="","",'Data Checking'!KG35)</f>
        <v>1</v>
      </c>
      <c r="JV35" t="str">
        <f>IF('Data Checking'!KH35="","",'Data Checking'!KH35)</f>
        <v>0</v>
      </c>
      <c r="JW35" t="str">
        <f>IF('Data Checking'!KI35="","",'Data Checking'!KI35)</f>
        <v>0</v>
      </c>
      <c r="JX35" t="str">
        <f>IF('Data Checking'!KJ35="","",'Data Checking'!KJ35)</f>
        <v>0</v>
      </c>
      <c r="JY35" t="str">
        <f>IF('Data Checking'!KK35="","",'Data Checking'!KK35)</f>
        <v>1</v>
      </c>
      <c r="JZ35" t="str">
        <f>IF('Data Checking'!KL35="","",'Data Checking'!KL35)</f>
        <v>0</v>
      </c>
      <c r="KA35" t="str">
        <f>IF('Data Checking'!KM35="","",'Data Checking'!KM35)</f>
        <v>0</v>
      </c>
      <c r="KB35" t="str">
        <f>IF('Data Checking'!KN35="","",'Data Checking'!KN35)</f>
        <v>0</v>
      </c>
      <c r="KC35" t="str">
        <f>IF('Data Checking'!KO35="","",'Data Checking'!KO35)</f>
        <v>0</v>
      </c>
      <c r="KD35" t="str">
        <f>IF('Data Checking'!KP35="","",'Data Checking'!KP35)</f>
        <v/>
      </c>
      <c r="KE35" t="str">
        <f>IF('Data Checking'!KQ35="","",'Data Checking'!KQ35)</f>
        <v/>
      </c>
      <c r="KF35" t="str">
        <f>IF('Data Checking'!KR35="","",'Data Checking'!KR35)</f>
        <v>non</v>
      </c>
      <c r="KG35" t="str">
        <f>IF('Data Checking'!KS35="","",'Data Checking'!KS35)</f>
        <v/>
      </c>
      <c r="KH35" t="str">
        <f>IF('Data Checking'!KT35="","",'Data Checking'!KT35)</f>
        <v/>
      </c>
      <c r="KI35" t="str">
        <f>IF('Data Checking'!KU35="","",'Data Checking'!KU35)</f>
        <v/>
      </c>
      <c r="KJ35" t="str">
        <f>IF('Data Checking'!KV35="","",'Data Checking'!KV35)</f>
        <v/>
      </c>
      <c r="KK35" t="str">
        <f>IF('Data Checking'!KW35="","",'Data Checking'!KW35)</f>
        <v/>
      </c>
      <c r="KL35" t="str">
        <f>IF('Data Checking'!KX35="","",'Data Checking'!KX35)</f>
        <v/>
      </c>
      <c r="KM35" t="str">
        <f>IF('Data Checking'!KY35="","",'Data Checking'!KY35)</f>
        <v/>
      </c>
      <c r="KN35" t="str">
        <f>IF('Data Checking'!KZ35="","",'Data Checking'!KZ35)</f>
        <v/>
      </c>
      <c r="KO35" t="str">
        <f>IF('Data Checking'!LA35="","",'Data Checking'!LA35)</f>
        <v/>
      </c>
      <c r="KP35" t="str">
        <f>IF('Data Checking'!LB35="","",'Data Checking'!LB35)</f>
        <v/>
      </c>
      <c r="KQ35" t="str">
        <f>IF('Data Checking'!LC35="","",'Data Checking'!LC35)</f>
        <v/>
      </c>
      <c r="KR35" t="str">
        <f>IF('Data Checking'!LD35="","",'Data Checking'!LD35)</f>
        <v/>
      </c>
      <c r="KS35" t="str">
        <f>IF('Data Checking'!LE35="","",'Data Checking'!LE35)</f>
        <v/>
      </c>
      <c r="KT35" t="str">
        <f>IF('Data Checking'!LF35="","",'Data Checking'!LF35)</f>
        <v/>
      </c>
      <c r="KU35" t="str">
        <f>IF('Data Checking'!LG35="","",'Data Checking'!LG35)</f>
        <v/>
      </c>
      <c r="KV35" t="str">
        <f>IF('Data Checking'!LH35="","",'Data Checking'!LH35)</f>
        <v/>
      </c>
      <c r="KW35" t="str">
        <f>IF('Data Checking'!LI35="","",'Data Checking'!LI35)</f>
        <v/>
      </c>
      <c r="KX35" t="str">
        <f>IF('Data Checking'!LJ35="","",'Data Checking'!LJ35)</f>
        <v/>
      </c>
      <c r="KY35" t="str">
        <f>IF('Data Checking'!LK35="","",'Data Checking'!LK35)</f>
        <v/>
      </c>
      <c r="KZ35" t="str">
        <f>IF('Data Checking'!LL35="","",'Data Checking'!LL35)</f>
        <v/>
      </c>
      <c r="LA35" t="str">
        <f>IF('Data Checking'!LM35="","",'Data Checking'!LM35)</f>
        <v/>
      </c>
      <c r="LB35" t="str">
        <f>IF('Data Checking'!LN35="","",'Data Checking'!LN35)</f>
        <v>non</v>
      </c>
      <c r="LC35" t="str">
        <f>IF('Data Checking'!LO35="","",'Data Checking'!LO35)</f>
        <v/>
      </c>
      <c r="LD35" t="str">
        <f>IF('Data Checking'!LP35="","",'Data Checking'!LP35)</f>
        <v/>
      </c>
      <c r="LE35" t="str">
        <f>IF('Data Checking'!LQ35="","",'Data Checking'!LQ35)</f>
        <v/>
      </c>
      <c r="LF35" t="str">
        <f>IF('Data Checking'!LR35="","",'Data Checking'!LR35)</f>
        <v/>
      </c>
      <c r="LG35" t="str">
        <f>IF('Data Checking'!LS35="","",'Data Checking'!LS35)</f>
        <v/>
      </c>
      <c r="LH35" t="str">
        <f>IF('Data Checking'!LT35="","",'Data Checking'!LT35)</f>
        <v/>
      </c>
      <c r="LI35" t="str">
        <f>IF('Data Checking'!LU35="","",'Data Checking'!LU35)</f>
        <v/>
      </c>
      <c r="LJ35" t="str">
        <f>IF('Data Checking'!LV35="","",'Data Checking'!LV35)</f>
        <v/>
      </c>
      <c r="LK35" t="str">
        <f>IF('Data Checking'!LW35="","",'Data Checking'!LW35)</f>
        <v/>
      </c>
      <c r="LL35" t="str">
        <f>IF('Data Checking'!LX35="","",'Data Checking'!LX35)</f>
        <v/>
      </c>
      <c r="LM35" t="str">
        <f>IF('Data Checking'!LY35="","",'Data Checking'!LY35)</f>
        <v/>
      </c>
      <c r="LN35" t="str">
        <f>IF('Data Checking'!LZ35="","",'Data Checking'!LZ35)</f>
        <v/>
      </c>
      <c r="LO35" t="str">
        <f>IF('Data Checking'!MA35="","",'Data Checking'!MA35)</f>
        <v/>
      </c>
      <c r="LP35" t="str">
        <f>IF('Data Checking'!MB35="","",'Data Checking'!MB35)</f>
        <v>oui</v>
      </c>
      <c r="LQ35" t="str">
        <f>IF('Data Checking'!MC35="","",'Data Checking'!MC35)</f>
        <v/>
      </c>
      <c r="LR35" t="str">
        <f>IF('Data Checking'!MD35="","",'Data Checking'!MD35)</f>
        <v xml:space="preserve">Nous aider a pouvoir nous retrouver dans la vie,en nous apprenant des activité </v>
      </c>
      <c r="LS35">
        <f>IF('Data Checking'!ME35="","",'Data Checking'!ME35)</f>
        <v>170030462</v>
      </c>
      <c r="LT35" t="str">
        <f>IF('Data Checking'!MF35="","",'Data Checking'!MF35)</f>
        <v>ab1bf8ee-7d16-420e-b7d2-b0ebaf5203a6</v>
      </c>
      <c r="LU35" t="str">
        <f>IF('Data Checking'!MG35="","",'Data Checking'!MG35)</f>
        <v>2021-04-06T18:27:33</v>
      </c>
      <c r="LV35" t="str">
        <f>IF('Data Checking'!MH35="","",'Data Checking'!MH35)</f>
        <v/>
      </c>
      <c r="LW35" t="str">
        <f>IF('Data Checking'!MI35="","",'Data Checking'!MI35)</f>
        <v>[]</v>
      </c>
      <c r="LX35" t="str">
        <f>IF('Data Checking'!MJ35="","",'Data Checking'!MJ35)</f>
        <v>submitted_via_web</v>
      </c>
      <c r="LY35" t="str">
        <f>IF('Data Checking'!MK35="","",'Data Checking'!MK35)</f>
        <v>reach_niger</v>
      </c>
      <c r="LZ35" t="str">
        <f>IF('Data Checking'!ML35="","",'Data Checking'!ML35)</f>
        <v/>
      </c>
      <c r="MA35">
        <f>IF('Data Checking'!MM35="","",'Data Checking'!MM35)</f>
        <v>49</v>
      </c>
    </row>
    <row r="36" spans="1:339" x14ac:dyDescent="0.3">
      <c r="A36" t="str">
        <f>IF('Data Checking'!D36="","",'Data Checking'!D36)</f>
        <v>2021-04-06T13:32:35.307+01:00</v>
      </c>
      <c r="B36" t="str">
        <f>IF('Data Checking'!E36="","",'Data Checking'!E36)</f>
        <v>2021-04-06T14:53:03.581+01:00</v>
      </c>
      <c r="C36" t="str">
        <f>IF('Data Checking'!M36="","",'Data Checking'!M36)</f>
        <v>2021-04-06</v>
      </c>
      <c r="D36" t="str">
        <f>IF('Data Checking'!N36="","",'Data Checking'!N36)</f>
        <v/>
      </c>
      <c r="E36" t="str">
        <f>IF('Data Checking'!O36="","",'Data Checking'!O36)</f>
        <v/>
      </c>
      <c r="F36" t="str">
        <f>IF('Data Checking'!R36="","",'Data Checking'!R36)</f>
        <v>Homme</v>
      </c>
      <c r="G36" t="str">
        <f>IF('Data Checking'!S36="","",'Data Checking'!S36)</f>
        <v>ouallam</v>
      </c>
      <c r="H36" t="str">
        <f>IF('Data Checking'!T36="","",'Data Checking'!T36)</f>
        <v>ouallam</v>
      </c>
      <c r="I36" t="str">
        <f>IF('Data Checking'!U36="","",'Data Checking'!U36)</f>
        <v>ouallam_pdi</v>
      </c>
      <c r="J36" t="str">
        <f>IF('Data Checking'!V36="","",'Data Checking'!V36)</f>
        <v/>
      </c>
      <c r="K36" t="str">
        <f>IF('Data Checking'!W36="","",'Data Checking'!W36)</f>
        <v/>
      </c>
      <c r="L36" t="str">
        <f>IF('Data Checking'!X36="","",'Data Checking'!X36)</f>
        <v/>
      </c>
      <c r="M36" t="str">
        <f>IF('Data Checking'!Y36="","",'Data Checking'!Y36)</f>
        <v/>
      </c>
      <c r="N36" t="str">
        <f>IF('Data Checking'!Z36="","",'Data Checking'!Z36)</f>
        <v/>
      </c>
      <c r="O36" t="str">
        <f>IF('Data Checking'!AA36="","",'Data Checking'!AA36)</f>
        <v/>
      </c>
      <c r="P36" t="str">
        <f>IF('Data Checking'!AB36="","",'Data Checking'!AB36)</f>
        <v/>
      </c>
      <c r="Q36" t="str">
        <f>IF('Data Checking'!AC36="","",'Data Checking'!AC36)</f>
        <v/>
      </c>
      <c r="R36" t="str">
        <f>IF('Data Checking'!AD36="","",'Data Checking'!AD36)</f>
        <v>Homme</v>
      </c>
      <c r="S36" t="str">
        <f>IF('Data Checking'!AE36="","",'Data Checking'!AE36)</f>
        <v>31</v>
      </c>
      <c r="T36" t="str">
        <f>IF('Data Checking'!AF36="","",'Data Checking'!AF36)</f>
        <v>deplace_interne</v>
      </c>
      <c r="U36" t="str">
        <f>IF('Data Checking'!AG36="","",'Data Checking'!AG36)</f>
        <v/>
      </c>
      <c r="V36" t="str">
        <f>IF('Data Checking'!AH36="","",'Data Checking'!AH36)</f>
        <v/>
      </c>
      <c r="W36" t="str">
        <f>IF('Data Checking'!AI36="","",'Data Checking'!AI36)</f>
        <v/>
      </c>
      <c r="X36" t="str">
        <f>IF('Data Checking'!AJ36="","",'Data Checking'!AJ36)</f>
        <v/>
      </c>
      <c r="Y36" t="str">
        <f>IF('Data Checking'!AK36="","",'Data Checking'!AK36)</f>
        <v/>
      </c>
      <c r="Z36" t="str">
        <f>IF('Data Checking'!AL36="","",'Data Checking'!AL36)</f>
        <v>niger</v>
      </c>
      <c r="AA36" t="str">
        <f>IF('Data Checking'!AM36="","",'Data Checking'!AM36)</f>
        <v>tillaberi</v>
      </c>
      <c r="AB36" t="str">
        <f>IF('Data Checking'!AN36="","",'Data Checking'!AN36)</f>
        <v>banibangou</v>
      </c>
      <c r="AC36" t="str">
        <f>IF('Data Checking'!AO36="","",'Data Checking'!AO36)</f>
        <v/>
      </c>
      <c r="AD36" t="str">
        <f>IF('Data Checking'!AP36="","",'Data Checking'!AP36)</f>
        <v/>
      </c>
      <c r="AE36" t="str">
        <f>IF('Data Checking'!AQ36="","",'Data Checking'!AQ36)</f>
        <v/>
      </c>
      <c r="AF36" t="str">
        <f>IF('Data Checking'!AR36="","",'Data Checking'!AR36)</f>
        <v/>
      </c>
      <c r="AG36" t="str">
        <f>IF('Data Checking'!AS36="","",'Data Checking'!AS36)</f>
        <v>oui</v>
      </c>
      <c r="AH36" t="str">
        <f>IF('Data Checking'!AT36="","",'Data Checking'!AT36)</f>
        <v>Disputes_intercommunataires extorsions Violences_physique_civils</v>
      </c>
      <c r="AI36" t="str">
        <f>IF('Data Checking'!AU36="","",'Data Checking'!AU36)</f>
        <v>0</v>
      </c>
      <c r="AJ36" t="str">
        <f>IF('Data Checking'!AV36="","",'Data Checking'!AV36)</f>
        <v>1</v>
      </c>
      <c r="AK36" t="str">
        <f>IF('Data Checking'!AW36="","",'Data Checking'!AW36)</f>
        <v>0</v>
      </c>
      <c r="AL36" t="str">
        <f>IF('Data Checking'!AX36="","",'Data Checking'!AX36)</f>
        <v>1</v>
      </c>
      <c r="AM36" t="str">
        <f>IF('Data Checking'!AY36="","",'Data Checking'!AY36)</f>
        <v>1</v>
      </c>
      <c r="AN36" t="str">
        <f>IF('Data Checking'!AZ36="","",'Data Checking'!AZ36)</f>
        <v>0</v>
      </c>
      <c r="AO36" t="str">
        <f>IF('Data Checking'!BA36="","",'Data Checking'!BA36)</f>
        <v>0</v>
      </c>
      <c r="AP36" t="str">
        <f>IF('Data Checking'!BB36="","",'Data Checking'!BB36)</f>
        <v>0</v>
      </c>
      <c r="AQ36" t="str">
        <f>IF('Data Checking'!BC36="","",'Data Checking'!BC36)</f>
        <v>0</v>
      </c>
      <c r="AR36" t="str">
        <f>IF('Data Checking'!BD36="","",'Data Checking'!BD36)</f>
        <v>0</v>
      </c>
      <c r="AS36" t="str">
        <f>IF('Data Checking'!BE36="","",'Data Checking'!BE36)</f>
        <v>0</v>
      </c>
      <c r="AT36" t="str">
        <f>IF('Data Checking'!BF36="","",'Data Checking'!BF36)</f>
        <v>0</v>
      </c>
      <c r="AU36" t="str">
        <f>IF('Data Checking'!BG36="","",'Data Checking'!BG36)</f>
        <v>0</v>
      </c>
      <c r="AV36" t="str">
        <f>IF('Data Checking'!BH36="","",'Data Checking'!BH36)</f>
        <v>0</v>
      </c>
      <c r="AW36" t="str">
        <f>IF('Data Checking'!BI36="","",'Data Checking'!BI36)</f>
        <v/>
      </c>
      <c r="AX36" t="str">
        <f>IF('Data Checking'!BJ36="","",'Data Checking'!BJ36)</f>
        <v>Toute_population</v>
      </c>
      <c r="AY36" t="str">
        <f>IF('Data Checking'!BK36="","",'Data Checking'!BK36)</f>
        <v>0</v>
      </c>
      <c r="AZ36" t="str">
        <f>IF('Data Checking'!BL36="","",'Data Checking'!BL36)</f>
        <v>0</v>
      </c>
      <c r="BA36" t="str">
        <f>IF('Data Checking'!BM36="","",'Data Checking'!BM36)</f>
        <v>0</v>
      </c>
      <c r="BB36" t="str">
        <f>IF('Data Checking'!BN36="","",'Data Checking'!BN36)</f>
        <v>0</v>
      </c>
      <c r="BC36" t="str">
        <f>IF('Data Checking'!BO36="","",'Data Checking'!BO36)</f>
        <v>0</v>
      </c>
      <c r="BD36" t="str">
        <f>IF('Data Checking'!BP36="","",'Data Checking'!BP36)</f>
        <v>0</v>
      </c>
      <c r="BE36" t="str">
        <f>IF('Data Checking'!BQ36="","",'Data Checking'!BQ36)</f>
        <v>0</v>
      </c>
      <c r="BF36" t="str">
        <f>IF('Data Checking'!BR36="","",'Data Checking'!BR36)</f>
        <v>0</v>
      </c>
      <c r="BG36" t="str">
        <f>IF('Data Checking'!BS36="","",'Data Checking'!BS36)</f>
        <v>0</v>
      </c>
      <c r="BH36" t="str">
        <f>IF('Data Checking'!BT36="","",'Data Checking'!BT36)</f>
        <v>0</v>
      </c>
      <c r="BI36" t="str">
        <f>IF('Data Checking'!BU36="","",'Data Checking'!BU36)</f>
        <v>1</v>
      </c>
      <c r="BJ36" t="str">
        <f>IF('Data Checking'!BV36="","",'Data Checking'!BV36)</f>
        <v>0</v>
      </c>
      <c r="BK36" t="str">
        <f>IF('Data Checking'!BW36="","",'Data Checking'!BW36)</f>
        <v>0</v>
      </c>
      <c r="BL36" t="str">
        <f>IF('Data Checking'!BX36="","",'Data Checking'!BX36)</f>
        <v>0</v>
      </c>
      <c r="BM36" t="str">
        <f>IF('Data Checking'!BY36="","",'Data Checking'!BY36)</f>
        <v/>
      </c>
      <c r="BN36" t="str">
        <f>IF('Data Checking'!BZ36="","",'Data Checking'!BZ36)</f>
        <v>plusde5</v>
      </c>
      <c r="BO36" t="str">
        <f>IF('Data Checking'!CA36="","",'Data Checking'!CA36)</f>
        <v>augmente</v>
      </c>
      <c r="BP36" t="str">
        <f>IF('Data Checking'!CB36="","",'Data Checking'!CB36)</f>
        <v/>
      </c>
      <c r="BQ36" t="str">
        <f>IF('Data Checking'!CC36="","",'Data Checking'!CC36)</f>
        <v>oui</v>
      </c>
      <c r="BR36" t="str">
        <f>IF('Data Checking'!CD36="","",'Data Checking'!CD36)</f>
        <v>travail_force agression_physique</v>
      </c>
      <c r="BS36" t="str">
        <f>IF('Data Checking'!CE36="","",'Data Checking'!CE36)</f>
        <v>0</v>
      </c>
      <c r="BT36" t="str">
        <f>IF('Data Checking'!CF36="","",'Data Checking'!CF36)</f>
        <v>0</v>
      </c>
      <c r="BU36" t="str">
        <f>IF('Data Checking'!CG36="","",'Data Checking'!CG36)</f>
        <v>1</v>
      </c>
      <c r="BV36" t="str">
        <f>IF('Data Checking'!CH36="","",'Data Checking'!CH36)</f>
        <v>0</v>
      </c>
      <c r="BW36" t="str">
        <f>IF('Data Checking'!CI36="","",'Data Checking'!CI36)</f>
        <v>0</v>
      </c>
      <c r="BX36" t="str">
        <f>IF('Data Checking'!CJ36="","",'Data Checking'!CJ36)</f>
        <v>0</v>
      </c>
      <c r="BY36" t="str">
        <f>IF('Data Checking'!CK36="","",'Data Checking'!CK36)</f>
        <v>1</v>
      </c>
      <c r="BZ36" t="str">
        <f>IF('Data Checking'!CL36="","",'Data Checking'!CL36)</f>
        <v>0</v>
      </c>
      <c r="CA36" t="str">
        <f>IF('Data Checking'!CM36="","",'Data Checking'!CM36)</f>
        <v>0</v>
      </c>
      <c r="CB36" t="str">
        <f>IF('Data Checking'!CN36="","",'Data Checking'!CN36)</f>
        <v>0</v>
      </c>
      <c r="CC36" t="str">
        <f>IF('Data Checking'!CO36="","",'Data Checking'!CO36)</f>
        <v>0</v>
      </c>
      <c r="CD36" t="str">
        <f>IF('Data Checking'!CP36="","",'Data Checking'!CP36)</f>
        <v>0</v>
      </c>
      <c r="CE36" t="str">
        <f>IF('Data Checking'!CQ36="","",'Data Checking'!CQ36)</f>
        <v>0</v>
      </c>
      <c r="CF36" t="str">
        <f>IF('Data Checking'!CR36="","",'Data Checking'!CR36)</f>
        <v>0</v>
      </c>
      <c r="CG36" t="str">
        <f>IF('Data Checking'!CS36="","",'Data Checking'!CS36)</f>
        <v>0</v>
      </c>
      <c r="CH36" t="str">
        <f>IF('Data Checking'!CT36="","",'Data Checking'!CT36)</f>
        <v/>
      </c>
      <c r="CI36" t="str">
        <f>IF('Data Checking'!CU36="","",'Data Checking'!CU36)</f>
        <v>Hommes Hommes_ages</v>
      </c>
      <c r="CJ36" t="str">
        <f>IF('Data Checking'!CV36="","",'Data Checking'!CV36)</f>
        <v>0</v>
      </c>
      <c r="CK36" t="str">
        <f>IF('Data Checking'!CW36="","",'Data Checking'!CW36)</f>
        <v>0</v>
      </c>
      <c r="CL36" t="str">
        <f>IF('Data Checking'!CX36="","",'Data Checking'!CX36)</f>
        <v>0</v>
      </c>
      <c r="CM36" t="str">
        <f>IF('Data Checking'!CY36="","",'Data Checking'!CY36)</f>
        <v>0</v>
      </c>
      <c r="CN36" t="str">
        <f>IF('Data Checking'!CZ36="","",'Data Checking'!CZ36)</f>
        <v>0</v>
      </c>
      <c r="CO36" t="str">
        <f>IF('Data Checking'!DA36="","",'Data Checking'!DA36)</f>
        <v>1</v>
      </c>
      <c r="CP36" t="str">
        <f>IF('Data Checking'!DB36="","",'Data Checking'!DB36)</f>
        <v>0</v>
      </c>
      <c r="CQ36" t="str">
        <f>IF('Data Checking'!DC36="","",'Data Checking'!DC36)</f>
        <v>1</v>
      </c>
      <c r="CR36" t="str">
        <f>IF('Data Checking'!DD36="","",'Data Checking'!DD36)</f>
        <v>0</v>
      </c>
      <c r="CS36" t="str">
        <f>IF('Data Checking'!DE36="","",'Data Checking'!DE36)</f>
        <v>0</v>
      </c>
      <c r="CT36" t="str">
        <f>IF('Data Checking'!DF36="","",'Data Checking'!DF36)</f>
        <v>0</v>
      </c>
      <c r="CU36" t="str">
        <f>IF('Data Checking'!DG36="","",'Data Checking'!DG36)</f>
        <v>0</v>
      </c>
      <c r="CV36" t="str">
        <f>IF('Data Checking'!DH36="","",'Data Checking'!DH36)</f>
        <v>0</v>
      </c>
      <c r="CW36" t="str">
        <f>IF('Data Checking'!DI36="","",'Data Checking'!DI36)</f>
        <v>0</v>
      </c>
      <c r="CX36" t="str">
        <f>IF('Data Checking'!DJ36="","",'Data Checking'!DJ36)</f>
        <v/>
      </c>
      <c r="CY36" t="str">
        <f>IF('Data Checking'!DK36="","",'Data Checking'!DK36)</f>
        <v>plusde5</v>
      </c>
      <c r="CZ36" t="str">
        <f>IF('Data Checking'!DL36="","",'Data Checking'!DL36)</f>
        <v>augmente</v>
      </c>
      <c r="DA36" t="str">
        <f>IF('Data Checking'!DM36="","",'Data Checking'!DM36)</f>
        <v/>
      </c>
      <c r="DB36" t="str">
        <f>IF('Data Checking'!DN36="","",'Data Checking'!DN36)</f>
        <v>autre</v>
      </c>
      <c r="DC36" t="str">
        <f>IF('Data Checking'!DO36="","",'Data Checking'!DO36)</f>
        <v>0</v>
      </c>
      <c r="DD36" t="str">
        <f>IF('Data Checking'!DP36="","",'Data Checking'!DP36)</f>
        <v>0</v>
      </c>
      <c r="DE36" t="str">
        <f>IF('Data Checking'!DQ36="","",'Data Checking'!DQ36)</f>
        <v>0</v>
      </c>
      <c r="DF36" t="str">
        <f>IF('Data Checking'!DR36="","",'Data Checking'!DR36)</f>
        <v>0</v>
      </c>
      <c r="DG36" t="str">
        <f>IF('Data Checking'!DS36="","",'Data Checking'!DS36)</f>
        <v>0</v>
      </c>
      <c r="DH36" t="str">
        <f>IF('Data Checking'!DT36="","",'Data Checking'!DT36)</f>
        <v>0</v>
      </c>
      <c r="DI36" t="str">
        <f>IF('Data Checking'!DU36="","",'Data Checking'!DU36)</f>
        <v>0</v>
      </c>
      <c r="DJ36" t="str">
        <f>IF('Data Checking'!DV36="","",'Data Checking'!DV36)</f>
        <v>1</v>
      </c>
      <c r="DK36" t="str">
        <f>IF('Data Checking'!DW36="","",'Data Checking'!DW36)</f>
        <v>0</v>
      </c>
      <c r="DL36" t="str">
        <f>IF('Data Checking'!DX36="","",'Data Checking'!DX36)</f>
        <v>0</v>
      </c>
      <c r="DM36" t="str">
        <f>IF('Data Checking'!DY36="","",'Data Checking'!DY36)</f>
        <v>Aucune riposte contre eux</v>
      </c>
      <c r="DN36" t="str">
        <f>IF('Data Checking'!DZ36="","",'Data Checking'!DZ36)</f>
        <v/>
      </c>
      <c r="DO36" t="str">
        <f>IF('Data Checking'!EA36="","",'Data Checking'!EA36)</f>
        <v/>
      </c>
      <c r="DP36" t="str">
        <f>IF('Data Checking'!EB36="","",'Data Checking'!EB36)</f>
        <v/>
      </c>
      <c r="DQ36" t="str">
        <f>IF('Data Checking'!EC36="","",'Data Checking'!EC36)</f>
        <v/>
      </c>
      <c r="DR36" t="str">
        <f>IF('Data Checking'!ED36="","",'Data Checking'!ED36)</f>
        <v/>
      </c>
      <c r="DS36" t="str">
        <f>IF('Data Checking'!EE36="","",'Data Checking'!EE36)</f>
        <v/>
      </c>
      <c r="DT36" t="str">
        <f>IF('Data Checking'!EF36="","",'Data Checking'!EF36)</f>
        <v/>
      </c>
      <c r="DU36" t="str">
        <f>IF('Data Checking'!EG36="","",'Data Checking'!EG36)</f>
        <v/>
      </c>
      <c r="DV36" t="str">
        <f>IF('Data Checking'!EH36="","",'Data Checking'!EH36)</f>
        <v/>
      </c>
      <c r="DW36" t="str">
        <f>IF('Data Checking'!EI36="","",'Data Checking'!EI36)</f>
        <v/>
      </c>
      <c r="DX36" t="str">
        <f>IF('Data Checking'!EJ36="","",'Data Checking'!EJ36)</f>
        <v/>
      </c>
      <c r="DY36" t="str">
        <f>IF('Data Checking'!EK36="","",'Data Checking'!EK36)</f>
        <v/>
      </c>
      <c r="DZ36" t="str">
        <f>IF('Data Checking'!EL36="","",'Data Checking'!EL36)</f>
        <v>dplct_abords_com</v>
      </c>
      <c r="EA36" t="str">
        <f>IF('Data Checking'!EM36="","",'Data Checking'!EM36)</f>
        <v>1</v>
      </c>
      <c r="EB36" t="str">
        <f>IF('Data Checking'!EN36="","",'Data Checking'!EN36)</f>
        <v>0</v>
      </c>
      <c r="EC36" t="str">
        <f>IF('Data Checking'!EO36="","",'Data Checking'!EO36)</f>
        <v>0</v>
      </c>
      <c r="ED36" t="str">
        <f>IF('Data Checking'!EP36="","",'Data Checking'!EP36)</f>
        <v>0</v>
      </c>
      <c r="EE36" t="str">
        <f>IF('Data Checking'!EQ36="","",'Data Checking'!EQ36)</f>
        <v>0</v>
      </c>
      <c r="EF36" t="str">
        <f>IF('Data Checking'!ER36="","",'Data Checking'!ER36)</f>
        <v>0</v>
      </c>
      <c r="EG36" t="str">
        <f>IF('Data Checking'!ES36="","",'Data Checking'!ES36)</f>
        <v>0</v>
      </c>
      <c r="EH36" t="str">
        <f>IF('Data Checking'!ET36="","",'Data Checking'!ET36)</f>
        <v>0</v>
      </c>
      <c r="EI36" t="str">
        <f>IF('Data Checking'!EU36="","",'Data Checking'!EU36)</f>
        <v>0</v>
      </c>
      <c r="EJ36" t="str">
        <f>IF('Data Checking'!EV36="","",'Data Checking'!EV36)</f>
        <v/>
      </c>
      <c r="EK36" t="str">
        <f>IF('Data Checking'!EW36="","",'Data Checking'!EW36)</f>
        <v/>
      </c>
      <c r="EL36" t="str">
        <f>IF('Data Checking'!EX36="","",'Data Checking'!EX36)</f>
        <v>femmes_elite comite_protection comite_gestion_conflits comite_alerte</v>
      </c>
      <c r="EM36" t="str">
        <f>IF('Data Checking'!EY36="","",'Data Checking'!EY36)</f>
        <v>1</v>
      </c>
      <c r="EN36" t="str">
        <f>IF('Data Checking'!EZ36="","",'Data Checking'!EZ36)</f>
        <v>1</v>
      </c>
      <c r="EO36" t="str">
        <f>IF('Data Checking'!FA36="","",'Data Checking'!FA36)</f>
        <v>0</v>
      </c>
      <c r="EP36" t="str">
        <f>IF('Data Checking'!FB36="","",'Data Checking'!FB36)</f>
        <v>1</v>
      </c>
      <c r="EQ36" t="str">
        <f>IF('Data Checking'!FC36="","",'Data Checking'!FC36)</f>
        <v>0</v>
      </c>
      <c r="ER36" t="str">
        <f>IF('Data Checking'!FD36="","",'Data Checking'!FD36)</f>
        <v>1</v>
      </c>
      <c r="ES36" t="str">
        <f>IF('Data Checking'!FE36="","",'Data Checking'!FE36)</f>
        <v>0</v>
      </c>
      <c r="ET36" t="str">
        <f>IF('Data Checking'!FF36="","",'Data Checking'!FF36)</f>
        <v>0</v>
      </c>
      <c r="EU36" t="str">
        <f>IF('Data Checking'!FG36="","",'Data Checking'!FG36)</f>
        <v>0</v>
      </c>
      <c r="EV36" t="str">
        <f>IF('Data Checking'!FH36="","",'Data Checking'!FH36)</f>
        <v>0</v>
      </c>
      <c r="EW36" t="str">
        <f>IF('Data Checking'!FI36="","",'Data Checking'!FI36)</f>
        <v/>
      </c>
      <c r="EX36" t="str">
        <f>IF('Data Checking'!FJ36="","",'Data Checking'!FJ36)</f>
        <v>oui</v>
      </c>
      <c r="EY36" t="str">
        <f>IF('Data Checking'!FK36="","",'Data Checking'!FK36)</f>
        <v>Ecole Internet Radio_television Travailleurs_sociaux/hum Differents_comites_villageois</v>
      </c>
      <c r="EZ36" t="str">
        <f>IF('Data Checking'!FL36="","",'Data Checking'!FL36)</f>
        <v>1</v>
      </c>
      <c r="FA36" t="str">
        <f>IF('Data Checking'!FM36="","",'Data Checking'!FM36)</f>
        <v>0</v>
      </c>
      <c r="FB36" t="str">
        <f>IF('Data Checking'!FN36="","",'Data Checking'!FN36)</f>
        <v>1</v>
      </c>
      <c r="FC36" t="str">
        <f>IF('Data Checking'!FO36="","",'Data Checking'!FO36)</f>
        <v>0</v>
      </c>
      <c r="FD36" t="str">
        <f>IF('Data Checking'!FP36="","",'Data Checking'!FP36)</f>
        <v>0</v>
      </c>
      <c r="FE36" t="str">
        <f>IF('Data Checking'!FQ36="","",'Data Checking'!FQ36)</f>
        <v>0</v>
      </c>
      <c r="FF36" t="str">
        <f>IF('Data Checking'!FR36="","",'Data Checking'!FR36)</f>
        <v>0</v>
      </c>
      <c r="FG36" t="str">
        <f>IF('Data Checking'!FS36="","",'Data Checking'!FS36)</f>
        <v>0</v>
      </c>
      <c r="FH36" t="str">
        <f>IF('Data Checking'!FT36="","",'Data Checking'!FT36)</f>
        <v>1</v>
      </c>
      <c r="FI36" t="str">
        <f>IF('Data Checking'!FU36="","",'Data Checking'!FU36)</f>
        <v>0</v>
      </c>
      <c r="FJ36" t="str">
        <f>IF('Data Checking'!FV36="","",'Data Checking'!FV36)</f>
        <v>1</v>
      </c>
      <c r="FK36" t="str">
        <f>IF('Data Checking'!FW36="","",'Data Checking'!FW36)</f>
        <v>1</v>
      </c>
      <c r="FL36" t="str">
        <f>IF('Data Checking'!FX36="","",'Data Checking'!FX36)</f>
        <v>0</v>
      </c>
      <c r="FM36" t="str">
        <f>IF('Data Checking'!FY36="","",'Data Checking'!FY36)</f>
        <v>0</v>
      </c>
      <c r="FN36" t="str">
        <f>IF('Data Checking'!FZ36="","",'Data Checking'!FZ36)</f>
        <v/>
      </c>
      <c r="FO36" t="str">
        <f>IF('Data Checking'!GA36="","",'Data Checking'!GA36)</f>
        <v>oui_majorite</v>
      </c>
      <c r="FP36" t="str">
        <f>IF('Data Checking'!GB36="","",'Data Checking'!GB36)</f>
        <v>oui_majorite</v>
      </c>
      <c r="FQ36" t="str">
        <f>IF('Data Checking'!GC36="","",'Data Checking'!GC36)</f>
        <v>insecurite</v>
      </c>
      <c r="FR36" t="str">
        <f>IF('Data Checking'!GD36="","",'Data Checking'!GD36)</f>
        <v>0</v>
      </c>
      <c r="FS36" t="str">
        <f>IF('Data Checking'!GE36="","",'Data Checking'!GE36)</f>
        <v>0</v>
      </c>
      <c r="FT36" t="str">
        <f>IF('Data Checking'!GF36="","",'Data Checking'!GF36)</f>
        <v>0</v>
      </c>
      <c r="FU36" t="str">
        <f>IF('Data Checking'!GG36="","",'Data Checking'!GG36)</f>
        <v>0</v>
      </c>
      <c r="FV36" t="str">
        <f>IF('Data Checking'!GH36="","",'Data Checking'!GH36)</f>
        <v>0</v>
      </c>
      <c r="FW36" t="str">
        <f>IF('Data Checking'!GI36="","",'Data Checking'!GI36)</f>
        <v>1</v>
      </c>
      <c r="FX36" t="str">
        <f>IF('Data Checking'!GJ36="","",'Data Checking'!GJ36)</f>
        <v>0</v>
      </c>
      <c r="FY36" t="str">
        <f>IF('Data Checking'!GK36="","",'Data Checking'!GK36)</f>
        <v>0</v>
      </c>
      <c r="FZ36" t="str">
        <f>IF('Data Checking'!GL36="","",'Data Checking'!GL36)</f>
        <v/>
      </c>
      <c r="GA36" t="str">
        <f>IF('Data Checking'!GM36="","",'Data Checking'!GM36)</f>
        <v>majorite</v>
      </c>
      <c r="GB36" t="str">
        <f>IF('Data Checking'!GN36="","",'Data Checking'!GN36)</f>
        <v>majorite</v>
      </c>
      <c r="GC36" t="str">
        <f>IF('Data Checking'!GO36="","",'Data Checking'!GO36)</f>
        <v>Education Services_de_sante Acces_aux_doc</v>
      </c>
      <c r="GD36" t="str">
        <f>IF('Data Checking'!GP36="","",'Data Checking'!GP36)</f>
        <v>0</v>
      </c>
      <c r="GE36" t="str">
        <f>IF('Data Checking'!GQ36="","",'Data Checking'!GQ36)</f>
        <v>1</v>
      </c>
      <c r="GF36" t="str">
        <f>IF('Data Checking'!GR36="","",'Data Checking'!GR36)</f>
        <v>0</v>
      </c>
      <c r="GG36" t="str">
        <f>IF('Data Checking'!GS36="","",'Data Checking'!GS36)</f>
        <v>1</v>
      </c>
      <c r="GH36" t="str">
        <f>IF('Data Checking'!GT36="","",'Data Checking'!GT36)</f>
        <v>1</v>
      </c>
      <c r="GI36" t="str">
        <f>IF('Data Checking'!GU36="","",'Data Checking'!GU36)</f>
        <v>0</v>
      </c>
      <c r="GJ36" t="str">
        <f>IF('Data Checking'!GV36="","",'Data Checking'!GV36)</f>
        <v>0</v>
      </c>
      <c r="GK36" t="str">
        <f>IF('Data Checking'!GW36="","",'Data Checking'!GW36)</f>
        <v>0</v>
      </c>
      <c r="GL36" t="str">
        <f>IF('Data Checking'!GX36="","",'Data Checking'!GX36)</f>
        <v>0</v>
      </c>
      <c r="GM36" t="str">
        <f>IF('Data Checking'!GY36="","",'Data Checking'!GY36)</f>
        <v/>
      </c>
      <c r="GN36" t="str">
        <f>IF('Data Checking'!GZ36="","",'Data Checking'!GZ36)</f>
        <v>oui_majorite</v>
      </c>
      <c r="GO36" t="str">
        <f>IF('Data Checking'!HA36="","",'Data Checking'!HA36)</f>
        <v>oui_majorite</v>
      </c>
      <c r="GP36" t="str">
        <f>IF('Data Checking'!HB36="","",'Data Checking'!HB36)</f>
        <v>repond_besoins_pop permet_eviter_conflits diminution_tensions</v>
      </c>
      <c r="GQ36" t="str">
        <f>IF('Data Checking'!HC36="","",'Data Checking'!HC36)</f>
        <v>0</v>
      </c>
      <c r="GR36" t="str">
        <f>IF('Data Checking'!HD36="","",'Data Checking'!HD36)</f>
        <v>1</v>
      </c>
      <c r="GS36" t="str">
        <f>IF('Data Checking'!HE36="","",'Data Checking'!HE36)</f>
        <v>0</v>
      </c>
      <c r="GT36" t="str">
        <f>IF('Data Checking'!HF36="","",'Data Checking'!HF36)</f>
        <v>1</v>
      </c>
      <c r="GU36" t="str">
        <f>IF('Data Checking'!HG36="","",'Data Checking'!HG36)</f>
        <v>0</v>
      </c>
      <c r="GV36" t="str">
        <f>IF('Data Checking'!HH36="","",'Data Checking'!HH36)</f>
        <v>1</v>
      </c>
      <c r="GW36" t="str">
        <f>IF('Data Checking'!HI36="","",'Data Checking'!HI36)</f>
        <v>0</v>
      </c>
      <c r="GX36" t="str">
        <f>IF('Data Checking'!HJ36="","",'Data Checking'!HJ36)</f>
        <v>0</v>
      </c>
      <c r="GY36" t="str">
        <f>IF('Data Checking'!HK36="","",'Data Checking'!HK36)</f>
        <v/>
      </c>
      <c r="GZ36" t="str">
        <f>IF('Data Checking'!HL36="","",'Data Checking'!HL36)</f>
        <v>ne_contribue_pas</v>
      </c>
      <c r="HA36" t="str">
        <f>IF('Data Checking'!HM36="","",'Data Checking'!HM36)</f>
        <v>1</v>
      </c>
      <c r="HB36" t="str">
        <f>IF('Data Checking'!HN36="","",'Data Checking'!HN36)</f>
        <v>0</v>
      </c>
      <c r="HC36" t="str">
        <f>IF('Data Checking'!HO36="","",'Data Checking'!HO36)</f>
        <v>0</v>
      </c>
      <c r="HD36" t="str">
        <f>IF('Data Checking'!HP36="","",'Data Checking'!HP36)</f>
        <v>0</v>
      </c>
      <c r="HE36" t="str">
        <f>IF('Data Checking'!HQ36="","",'Data Checking'!HQ36)</f>
        <v>0</v>
      </c>
      <c r="HF36" t="str">
        <f>IF('Data Checking'!HR36="","",'Data Checking'!HR36)</f>
        <v>0</v>
      </c>
      <c r="HG36" t="str">
        <f>IF('Data Checking'!HS36="","",'Data Checking'!HS36)</f>
        <v/>
      </c>
      <c r="HH36" t="str">
        <f>IF('Data Checking'!HT36="","",'Data Checking'!HT36)</f>
        <v/>
      </c>
      <c r="HI36" t="str">
        <f>IF('Data Checking'!HU36="","",'Data Checking'!HU36)</f>
        <v>oui_majorite</v>
      </c>
      <c r="HJ36" t="str">
        <f>IF('Data Checking'!HV36="","",'Data Checking'!HV36)</f>
        <v>ingo</v>
      </c>
      <c r="HK36" t="str">
        <f>IF('Data Checking'!HW36="","",'Data Checking'!HW36)</f>
        <v>0</v>
      </c>
      <c r="HL36" t="str">
        <f>IF('Data Checking'!HX36="","",'Data Checking'!HX36)</f>
        <v>0</v>
      </c>
      <c r="HM36" t="str">
        <f>IF('Data Checking'!HY36="","",'Data Checking'!HY36)</f>
        <v>0</v>
      </c>
      <c r="HN36" t="str">
        <f>IF('Data Checking'!HZ36="","",'Data Checking'!HZ36)</f>
        <v>0</v>
      </c>
      <c r="HO36" t="str">
        <f>IF('Data Checking'!IA36="","",'Data Checking'!IA36)</f>
        <v>1</v>
      </c>
      <c r="HP36" t="str">
        <f>IF('Data Checking'!IB36="","",'Data Checking'!IB36)</f>
        <v>0</v>
      </c>
      <c r="HQ36" t="str">
        <f>IF('Data Checking'!IC36="","",'Data Checking'!IC36)</f>
        <v>0</v>
      </c>
      <c r="HR36" t="str">
        <f>IF('Data Checking'!ID36="","",'Data Checking'!ID36)</f>
        <v>0</v>
      </c>
      <c r="HS36" t="str">
        <f>IF('Data Checking'!IE36="","",'Data Checking'!IE36)</f>
        <v>0</v>
      </c>
      <c r="HT36" t="str">
        <f>IF('Data Checking'!IF36="","",'Data Checking'!IF36)</f>
        <v>0</v>
      </c>
      <c r="HU36" t="str">
        <f>IF('Data Checking'!IG36="","",'Data Checking'!IG36)</f>
        <v/>
      </c>
      <c r="HV36" t="str">
        <f>IF('Data Checking'!IH36="","",'Data Checking'!IH36)</f>
        <v>oui</v>
      </c>
      <c r="HW36" t="str">
        <f>IF('Data Checking'!II36="","",'Data Checking'!II36)</f>
        <v/>
      </c>
      <c r="HX36" t="str">
        <f>IF('Data Checking'!IJ36="","",'Data Checking'!IJ36)</f>
        <v>Femmes Hommes Femmes_agees Hommes_ages</v>
      </c>
      <c r="HY36" t="str">
        <f>IF('Data Checking'!IK36="","",'Data Checking'!IK36)</f>
        <v>0</v>
      </c>
      <c r="HZ36" t="str">
        <f>IF('Data Checking'!IL36="","",'Data Checking'!IL36)</f>
        <v>0</v>
      </c>
      <c r="IA36" t="str">
        <f>IF('Data Checking'!IM36="","",'Data Checking'!IM36)</f>
        <v>0</v>
      </c>
      <c r="IB36" t="str">
        <f>IF('Data Checking'!IN36="","",'Data Checking'!IN36)</f>
        <v>0</v>
      </c>
      <c r="IC36" t="str">
        <f>IF('Data Checking'!IO36="","",'Data Checking'!IO36)</f>
        <v>1</v>
      </c>
      <c r="ID36" t="str">
        <f>IF('Data Checking'!IP36="","",'Data Checking'!IP36)</f>
        <v>1</v>
      </c>
      <c r="IE36" t="str">
        <f>IF('Data Checking'!IQ36="","",'Data Checking'!IQ36)</f>
        <v>1</v>
      </c>
      <c r="IF36" t="str">
        <f>IF('Data Checking'!IR36="","",'Data Checking'!IR36)</f>
        <v>1</v>
      </c>
      <c r="IG36" t="str">
        <f>IF('Data Checking'!IS36="","",'Data Checking'!IS36)</f>
        <v>0</v>
      </c>
      <c r="IH36" t="str">
        <f>IF('Data Checking'!IT36="","",'Data Checking'!IT36)</f>
        <v>0</v>
      </c>
      <c r="II36" t="str">
        <f>IF('Data Checking'!IU36="","",'Data Checking'!IU36)</f>
        <v>0</v>
      </c>
      <c r="IJ36" t="str">
        <f>IF('Data Checking'!IV36="","",'Data Checking'!IV36)</f>
        <v>0</v>
      </c>
      <c r="IK36" t="str">
        <f>IF('Data Checking'!IW36="","",'Data Checking'!IW36)</f>
        <v>0</v>
      </c>
      <c r="IL36" t="str">
        <f>IF('Data Checking'!IX36="","",'Data Checking'!IX36)</f>
        <v>0</v>
      </c>
      <c r="IM36" t="str">
        <f>IF('Data Checking'!IY36="","",'Data Checking'!IY36)</f>
        <v/>
      </c>
      <c r="IN36" t="str">
        <f>IF('Data Checking'!IZ36="","",'Data Checking'!IZ36)</f>
        <v>20</v>
      </c>
      <c r="IO36" t="str">
        <f>IF('Data Checking'!JA36="","",'Data Checking'!JA36)</f>
        <v>Services_medicaux Services_educatifs Services_conseil acces_docs</v>
      </c>
      <c r="IP36" t="str">
        <f>IF('Data Checking'!JB36="","",'Data Checking'!JB36)</f>
        <v>0</v>
      </c>
      <c r="IQ36" t="str">
        <f>IF('Data Checking'!JC36="","",'Data Checking'!JC36)</f>
        <v>1</v>
      </c>
      <c r="IR36" t="str">
        <f>IF('Data Checking'!JD36="","",'Data Checking'!JD36)</f>
        <v>1</v>
      </c>
      <c r="IS36" t="str">
        <f>IF('Data Checking'!JE36="","",'Data Checking'!JE36)</f>
        <v>1</v>
      </c>
      <c r="IT36" t="str">
        <f>IF('Data Checking'!JF36="","",'Data Checking'!JF36)</f>
        <v>1</v>
      </c>
      <c r="IU36" t="str">
        <f>IF('Data Checking'!JG36="","",'Data Checking'!JG36)</f>
        <v>0</v>
      </c>
      <c r="IV36" t="str">
        <f>IF('Data Checking'!JH36="","",'Data Checking'!JH36)</f>
        <v>0</v>
      </c>
      <c r="IW36" t="str">
        <f>IF('Data Checking'!JI36="","",'Data Checking'!JI36)</f>
        <v>0</v>
      </c>
      <c r="IX36" t="str">
        <f>IF('Data Checking'!JJ36="","",'Data Checking'!JJ36)</f>
        <v>0</v>
      </c>
      <c r="IY36" t="str">
        <f>IF('Data Checking'!JK36="","",'Data Checking'!JK36)</f>
        <v>0</v>
      </c>
      <c r="IZ36" t="str">
        <f>IF('Data Checking'!JL36="","",'Data Checking'!JL36)</f>
        <v/>
      </c>
      <c r="JA36" t="str">
        <f>IF('Data Checking'!JM36="","",'Data Checking'!JM36)</f>
        <v>reorientation signalement</v>
      </c>
      <c r="JB36" t="str">
        <f>IF('Data Checking'!JN36="","",'Data Checking'!JN36)</f>
        <v>0</v>
      </c>
      <c r="JC36" t="str">
        <f>IF('Data Checking'!JO36="","",'Data Checking'!JO36)</f>
        <v>1</v>
      </c>
      <c r="JD36" t="str">
        <f>IF('Data Checking'!JP36="","",'Data Checking'!JP36)</f>
        <v>1</v>
      </c>
      <c r="JE36" t="str">
        <f>IF('Data Checking'!JQ36="","",'Data Checking'!JQ36)</f>
        <v>0</v>
      </c>
      <c r="JF36" t="str">
        <f>IF('Data Checking'!JR36="","",'Data Checking'!JR36)</f>
        <v>0</v>
      </c>
      <c r="JG36" t="str">
        <f>IF('Data Checking'!JS36="","",'Data Checking'!JS36)</f>
        <v>0</v>
      </c>
      <c r="JH36" t="str">
        <f>IF('Data Checking'!JT36="","",'Data Checking'!JT36)</f>
        <v/>
      </c>
      <c r="JI36" t="str">
        <f>IF('Data Checking'!JU36="","",'Data Checking'!JU36)</f>
        <v/>
      </c>
      <c r="JJ36" t="str">
        <f>IF('Data Checking'!JV36="","",'Data Checking'!JV36)</f>
        <v/>
      </c>
      <c r="JK36" t="str">
        <f>IF('Data Checking'!JW36="","",'Data Checking'!JW36)</f>
        <v/>
      </c>
      <c r="JL36" t="str">
        <f>IF('Data Checking'!JX36="","",'Data Checking'!JX36)</f>
        <v/>
      </c>
      <c r="JM36" t="str">
        <f>IF('Data Checking'!JY36="","",'Data Checking'!JY36)</f>
        <v/>
      </c>
      <c r="JN36" t="str">
        <f>IF('Data Checking'!JZ36="","",'Data Checking'!JZ36)</f>
        <v/>
      </c>
      <c r="JO36" t="str">
        <f>IF('Data Checking'!KA36="","",'Data Checking'!KA36)</f>
        <v/>
      </c>
      <c r="JP36" t="str">
        <f>IF('Data Checking'!KB36="","",'Data Checking'!KB36)</f>
        <v/>
      </c>
      <c r="JQ36" t="str">
        <f>IF('Data Checking'!KC36="","",'Data Checking'!KC36)</f>
        <v/>
      </c>
      <c r="JR36" t="str">
        <f>IF('Data Checking'!KD36="","",'Data Checking'!KD36)</f>
        <v/>
      </c>
      <c r="JS36" t="str">
        <f>IF('Data Checking'!KE36="","",'Data Checking'!KE36)</f>
        <v/>
      </c>
      <c r="JT36" t="str">
        <f>IF('Data Checking'!KF36="","",'Data Checking'!KF36)</f>
        <v>medical surete Psychosocia</v>
      </c>
      <c r="JU36" t="str">
        <f>IF('Data Checking'!KG36="","",'Data Checking'!KG36)</f>
        <v>1</v>
      </c>
      <c r="JV36" t="str">
        <f>IF('Data Checking'!KH36="","",'Data Checking'!KH36)</f>
        <v>1</v>
      </c>
      <c r="JW36" t="str">
        <f>IF('Data Checking'!KI36="","",'Data Checking'!KI36)</f>
        <v>0</v>
      </c>
      <c r="JX36" t="str">
        <f>IF('Data Checking'!KJ36="","",'Data Checking'!KJ36)</f>
        <v>0</v>
      </c>
      <c r="JY36" t="str">
        <f>IF('Data Checking'!KK36="","",'Data Checking'!KK36)</f>
        <v>1</v>
      </c>
      <c r="JZ36" t="str">
        <f>IF('Data Checking'!KL36="","",'Data Checking'!KL36)</f>
        <v>0</v>
      </c>
      <c r="KA36" t="str">
        <f>IF('Data Checking'!KM36="","",'Data Checking'!KM36)</f>
        <v>0</v>
      </c>
      <c r="KB36" t="str">
        <f>IF('Data Checking'!KN36="","",'Data Checking'!KN36)</f>
        <v>0</v>
      </c>
      <c r="KC36" t="str">
        <f>IF('Data Checking'!KO36="","",'Data Checking'!KO36)</f>
        <v>0</v>
      </c>
      <c r="KD36" t="str">
        <f>IF('Data Checking'!KP36="","",'Data Checking'!KP36)</f>
        <v/>
      </c>
      <c r="KE36" t="str">
        <f>IF('Data Checking'!KQ36="","",'Data Checking'!KQ36)</f>
        <v/>
      </c>
      <c r="KF36" t="str">
        <f>IF('Data Checking'!KR36="","",'Data Checking'!KR36)</f>
        <v>oui</v>
      </c>
      <c r="KG36" t="str">
        <f>IF('Data Checking'!KS36="","",'Data Checking'!KS36)</f>
        <v>insecurite_zone manque_moyens</v>
      </c>
      <c r="KH36" t="str">
        <f>IF('Data Checking'!KT36="","",'Data Checking'!KT36)</f>
        <v>1</v>
      </c>
      <c r="KI36" t="str">
        <f>IF('Data Checking'!KU36="","",'Data Checking'!KU36)</f>
        <v>0</v>
      </c>
      <c r="KJ36" t="str">
        <f>IF('Data Checking'!KV36="","",'Data Checking'!KV36)</f>
        <v>0</v>
      </c>
      <c r="KK36" t="str">
        <f>IF('Data Checking'!KW36="","",'Data Checking'!KW36)</f>
        <v>0</v>
      </c>
      <c r="KL36" t="str">
        <f>IF('Data Checking'!KX36="","",'Data Checking'!KX36)</f>
        <v>1</v>
      </c>
      <c r="KM36" t="str">
        <f>IF('Data Checking'!KY36="","",'Data Checking'!KY36)</f>
        <v>0</v>
      </c>
      <c r="KN36" t="str">
        <f>IF('Data Checking'!KZ36="","",'Data Checking'!KZ36)</f>
        <v>0</v>
      </c>
      <c r="KO36" t="str">
        <f>IF('Data Checking'!LA36="","",'Data Checking'!LA36)</f>
        <v>0</v>
      </c>
      <c r="KP36" t="str">
        <f>IF('Data Checking'!LB36="","",'Data Checking'!LB36)</f>
        <v>0</v>
      </c>
      <c r="KQ36" t="str">
        <f>IF('Data Checking'!LC36="","",'Data Checking'!LC36)</f>
        <v>0</v>
      </c>
      <c r="KR36" t="str">
        <f>IF('Data Checking'!LD36="","",'Data Checking'!LD36)</f>
        <v>0</v>
      </c>
      <c r="KS36" t="str">
        <f>IF('Data Checking'!LE36="","",'Data Checking'!LE36)</f>
        <v/>
      </c>
      <c r="KT36" t="str">
        <f>IF('Data Checking'!LF36="","",'Data Checking'!LF36)</f>
        <v/>
      </c>
      <c r="KU36" t="str">
        <f>IF('Data Checking'!LG36="","",'Data Checking'!LG36)</f>
        <v/>
      </c>
      <c r="KV36" t="str">
        <f>IF('Data Checking'!LH36="","",'Data Checking'!LH36)</f>
        <v/>
      </c>
      <c r="KW36" t="str">
        <f>IF('Data Checking'!LI36="","",'Data Checking'!LI36)</f>
        <v/>
      </c>
      <c r="KX36" t="str">
        <f>IF('Data Checking'!LJ36="","",'Data Checking'!LJ36)</f>
        <v/>
      </c>
      <c r="KY36" t="str">
        <f>IF('Data Checking'!LK36="","",'Data Checking'!LK36)</f>
        <v/>
      </c>
      <c r="KZ36" t="str">
        <f>IF('Data Checking'!LL36="","",'Data Checking'!LL36)</f>
        <v/>
      </c>
      <c r="LA36" t="str">
        <f>IF('Data Checking'!LM36="","",'Data Checking'!LM36)</f>
        <v/>
      </c>
      <c r="LB36" t="str">
        <f>IF('Data Checking'!LN36="","",'Data Checking'!LN36)</f>
        <v>non</v>
      </c>
      <c r="LC36" t="str">
        <f>IF('Data Checking'!LO36="","",'Data Checking'!LO36)</f>
        <v/>
      </c>
      <c r="LD36" t="str">
        <f>IF('Data Checking'!LP36="","",'Data Checking'!LP36)</f>
        <v/>
      </c>
      <c r="LE36" t="str">
        <f>IF('Data Checking'!LQ36="","",'Data Checking'!LQ36)</f>
        <v/>
      </c>
      <c r="LF36" t="str">
        <f>IF('Data Checking'!LR36="","",'Data Checking'!LR36)</f>
        <v/>
      </c>
      <c r="LG36" t="str">
        <f>IF('Data Checking'!LS36="","",'Data Checking'!LS36)</f>
        <v/>
      </c>
      <c r="LH36" t="str">
        <f>IF('Data Checking'!LT36="","",'Data Checking'!LT36)</f>
        <v/>
      </c>
      <c r="LI36" t="str">
        <f>IF('Data Checking'!LU36="","",'Data Checking'!LU36)</f>
        <v/>
      </c>
      <c r="LJ36" t="str">
        <f>IF('Data Checking'!LV36="","",'Data Checking'!LV36)</f>
        <v/>
      </c>
      <c r="LK36" t="str">
        <f>IF('Data Checking'!LW36="","",'Data Checking'!LW36)</f>
        <v/>
      </c>
      <c r="LL36" t="str">
        <f>IF('Data Checking'!LX36="","",'Data Checking'!LX36)</f>
        <v/>
      </c>
      <c r="LM36" t="str">
        <f>IF('Data Checking'!LY36="","",'Data Checking'!LY36)</f>
        <v/>
      </c>
      <c r="LN36" t="str">
        <f>IF('Data Checking'!LZ36="","",'Data Checking'!LZ36)</f>
        <v/>
      </c>
      <c r="LO36" t="str">
        <f>IF('Data Checking'!MA36="","",'Data Checking'!MA36)</f>
        <v/>
      </c>
      <c r="LP36" t="str">
        <f>IF('Data Checking'!MB36="","",'Data Checking'!MB36)</f>
        <v>oui</v>
      </c>
      <c r="LQ36" t="str">
        <f>IF('Data Checking'!MC36="","",'Data Checking'!MC36)</f>
        <v/>
      </c>
      <c r="LR36" t="str">
        <f>IF('Data Checking'!MD36="","",'Data Checking'!MD36)</f>
        <v xml:space="preserve">Avoir une activité pour subvenir a nos besoin et avoir la paix dans notre village pour y retourner </v>
      </c>
      <c r="LS36">
        <f>IF('Data Checking'!ME36="","",'Data Checking'!ME36)</f>
        <v>170030458</v>
      </c>
      <c r="LT36" t="str">
        <f>IF('Data Checking'!MF36="","",'Data Checking'!MF36)</f>
        <v>48550592-086b-465a-a4f3-e2b981c04fdb</v>
      </c>
      <c r="LU36" t="str">
        <f>IF('Data Checking'!MG36="","",'Data Checking'!MG36)</f>
        <v>2021-04-06T18:27:32</v>
      </c>
      <c r="LV36" t="str">
        <f>IF('Data Checking'!MH36="","",'Data Checking'!MH36)</f>
        <v/>
      </c>
      <c r="LW36" t="str">
        <f>IF('Data Checking'!MI36="","",'Data Checking'!MI36)</f>
        <v>[]</v>
      </c>
      <c r="LX36" t="str">
        <f>IF('Data Checking'!MJ36="","",'Data Checking'!MJ36)</f>
        <v>submitted_via_web</v>
      </c>
      <c r="LY36" t="str">
        <f>IF('Data Checking'!MK36="","",'Data Checking'!MK36)</f>
        <v>reach_niger</v>
      </c>
      <c r="LZ36" t="str">
        <f>IF('Data Checking'!ML36="","",'Data Checking'!ML36)</f>
        <v/>
      </c>
      <c r="MA36">
        <f>IF('Data Checking'!MM36="","",'Data Checking'!MM36)</f>
        <v>48</v>
      </c>
    </row>
    <row r="37" spans="1:339" x14ac:dyDescent="0.3">
      <c r="A37" t="str">
        <f>IF('Data Checking'!D37="","",'Data Checking'!D37)</f>
        <v>2021-04-01T14:51:45.991+01:00</v>
      </c>
      <c r="B37" t="str">
        <f>IF('Data Checking'!E37="","",'Data Checking'!E37)</f>
        <v>2021-04-01T17:02:12.211+01:00</v>
      </c>
      <c r="C37" t="str">
        <f>IF('Data Checking'!M37="","",'Data Checking'!M37)</f>
        <v>2021-04-01</v>
      </c>
      <c r="D37" t="str">
        <f>IF('Data Checking'!N37="","",'Data Checking'!N37)</f>
        <v/>
      </c>
      <c r="E37" t="str">
        <f>IF('Data Checking'!O37="","",'Data Checking'!O37)</f>
        <v/>
      </c>
      <c r="F37" t="str">
        <f>IF('Data Checking'!R37="","",'Data Checking'!R37)</f>
        <v>Homme</v>
      </c>
      <c r="G37" t="str">
        <f>IF('Data Checking'!S37="","",'Data Checking'!S37)</f>
        <v>balleyara</v>
      </c>
      <c r="H37" t="str">
        <f>IF('Data Checking'!T37="","",'Data Checking'!T37)</f>
        <v>tagazar</v>
      </c>
      <c r="I37" t="str">
        <f>IF('Data Checking'!U37="","",'Data Checking'!U37)</f>
        <v>zongo</v>
      </c>
      <c r="J37" t="str">
        <f>IF('Data Checking'!V37="","",'Data Checking'!V37)</f>
        <v/>
      </c>
      <c r="K37" t="str">
        <f>IF('Data Checking'!W37="","",'Data Checking'!W37)</f>
        <v/>
      </c>
      <c r="L37" t="str">
        <f>IF('Data Checking'!X37="","",'Data Checking'!X37)</f>
        <v/>
      </c>
      <c r="M37" t="str">
        <f>IF('Data Checking'!Y37="","",'Data Checking'!Y37)</f>
        <v/>
      </c>
      <c r="N37" t="str">
        <f>IF('Data Checking'!Z37="","",'Data Checking'!Z37)</f>
        <v/>
      </c>
      <c r="O37" t="str">
        <f>IF('Data Checking'!AA37="","",'Data Checking'!AA37)</f>
        <v/>
      </c>
      <c r="P37" t="str">
        <f>IF('Data Checking'!AB37="","",'Data Checking'!AB37)</f>
        <v/>
      </c>
      <c r="Q37" t="str">
        <f>IF('Data Checking'!AC37="","",'Data Checking'!AC37)</f>
        <v/>
      </c>
      <c r="R37" t="str">
        <f>IF('Data Checking'!AD37="","",'Data Checking'!AD37)</f>
        <v>Homme</v>
      </c>
      <c r="S37" t="str">
        <f>IF('Data Checking'!AE37="","",'Data Checking'!AE37)</f>
        <v>51</v>
      </c>
      <c r="T37" t="str">
        <f>IF('Data Checking'!AF37="","",'Data Checking'!AF37)</f>
        <v>deplace_interne</v>
      </c>
      <c r="U37" t="str">
        <f>IF('Data Checking'!AG37="","",'Data Checking'!AG37)</f>
        <v/>
      </c>
      <c r="V37" t="str">
        <f>IF('Data Checking'!AH37="","",'Data Checking'!AH37)</f>
        <v/>
      </c>
      <c r="W37" t="str">
        <f>IF('Data Checking'!AI37="","",'Data Checking'!AI37)</f>
        <v/>
      </c>
      <c r="X37" t="str">
        <f>IF('Data Checking'!AJ37="","",'Data Checking'!AJ37)</f>
        <v/>
      </c>
      <c r="Y37" t="str">
        <f>IF('Data Checking'!AK37="","",'Data Checking'!AK37)</f>
        <v/>
      </c>
      <c r="Z37" t="str">
        <f>IF('Data Checking'!AL37="","",'Data Checking'!AL37)</f>
        <v>niger</v>
      </c>
      <c r="AA37" t="str">
        <f>IF('Data Checking'!AM37="","",'Data Checking'!AM37)</f>
        <v>tillaberi</v>
      </c>
      <c r="AB37" t="str">
        <f>IF('Data Checking'!AN37="","",'Data Checking'!AN37)</f>
        <v>banibangou</v>
      </c>
      <c r="AC37" t="str">
        <f>IF('Data Checking'!AO37="","",'Data Checking'!AO37)</f>
        <v/>
      </c>
      <c r="AD37" t="str">
        <f>IF('Data Checking'!AP37="","",'Data Checking'!AP37)</f>
        <v/>
      </c>
      <c r="AE37" t="str">
        <f>IF('Data Checking'!AQ37="","",'Data Checking'!AQ37)</f>
        <v/>
      </c>
      <c r="AF37" t="str">
        <f>IF('Data Checking'!AR37="","",'Data Checking'!AR37)</f>
        <v/>
      </c>
      <c r="AG37" t="str">
        <f>IF('Data Checking'!AS37="","",'Data Checking'!AS37)</f>
        <v>oui</v>
      </c>
      <c r="AH37" t="str">
        <f>IF('Data Checking'!AT37="","",'Data Checking'!AT37)</f>
        <v>extorsions Violences_physique_civils Disputes_intercommunataires</v>
      </c>
      <c r="AI37" t="str">
        <f>IF('Data Checking'!AU37="","",'Data Checking'!AU37)</f>
        <v>0</v>
      </c>
      <c r="AJ37" t="str">
        <f>IF('Data Checking'!AV37="","",'Data Checking'!AV37)</f>
        <v>1</v>
      </c>
      <c r="AK37" t="str">
        <f>IF('Data Checking'!AW37="","",'Data Checking'!AW37)</f>
        <v>0</v>
      </c>
      <c r="AL37" t="str">
        <f>IF('Data Checking'!AX37="","",'Data Checking'!AX37)</f>
        <v>1</v>
      </c>
      <c r="AM37" t="str">
        <f>IF('Data Checking'!AY37="","",'Data Checking'!AY37)</f>
        <v>1</v>
      </c>
      <c r="AN37" t="str">
        <f>IF('Data Checking'!AZ37="","",'Data Checking'!AZ37)</f>
        <v>0</v>
      </c>
      <c r="AO37" t="str">
        <f>IF('Data Checking'!BA37="","",'Data Checking'!BA37)</f>
        <v>0</v>
      </c>
      <c r="AP37" t="str">
        <f>IF('Data Checking'!BB37="","",'Data Checking'!BB37)</f>
        <v>0</v>
      </c>
      <c r="AQ37" t="str">
        <f>IF('Data Checking'!BC37="","",'Data Checking'!BC37)</f>
        <v>0</v>
      </c>
      <c r="AR37" t="str">
        <f>IF('Data Checking'!BD37="","",'Data Checking'!BD37)</f>
        <v>0</v>
      </c>
      <c r="AS37" t="str">
        <f>IF('Data Checking'!BE37="","",'Data Checking'!BE37)</f>
        <v>0</v>
      </c>
      <c r="AT37" t="str">
        <f>IF('Data Checking'!BF37="","",'Data Checking'!BF37)</f>
        <v>0</v>
      </c>
      <c r="AU37" t="str">
        <f>IF('Data Checking'!BG37="","",'Data Checking'!BG37)</f>
        <v>0</v>
      </c>
      <c r="AV37" t="str">
        <f>IF('Data Checking'!BH37="","",'Data Checking'!BH37)</f>
        <v>0</v>
      </c>
      <c r="AW37" t="str">
        <f>IF('Data Checking'!BI37="","",'Data Checking'!BI37)</f>
        <v/>
      </c>
      <c r="AX37" t="str">
        <f>IF('Data Checking'!BJ37="","",'Data Checking'!BJ37)</f>
        <v>Toute_population</v>
      </c>
      <c r="AY37" t="str">
        <f>IF('Data Checking'!BK37="","",'Data Checking'!BK37)</f>
        <v>0</v>
      </c>
      <c r="AZ37" t="str">
        <f>IF('Data Checking'!BL37="","",'Data Checking'!BL37)</f>
        <v>0</v>
      </c>
      <c r="BA37" t="str">
        <f>IF('Data Checking'!BM37="","",'Data Checking'!BM37)</f>
        <v>0</v>
      </c>
      <c r="BB37" t="str">
        <f>IF('Data Checking'!BN37="","",'Data Checking'!BN37)</f>
        <v>0</v>
      </c>
      <c r="BC37" t="str">
        <f>IF('Data Checking'!BO37="","",'Data Checking'!BO37)</f>
        <v>0</v>
      </c>
      <c r="BD37" t="str">
        <f>IF('Data Checking'!BP37="","",'Data Checking'!BP37)</f>
        <v>0</v>
      </c>
      <c r="BE37" t="str">
        <f>IF('Data Checking'!BQ37="","",'Data Checking'!BQ37)</f>
        <v>0</v>
      </c>
      <c r="BF37" t="str">
        <f>IF('Data Checking'!BR37="","",'Data Checking'!BR37)</f>
        <v>0</v>
      </c>
      <c r="BG37" t="str">
        <f>IF('Data Checking'!BS37="","",'Data Checking'!BS37)</f>
        <v>0</v>
      </c>
      <c r="BH37" t="str">
        <f>IF('Data Checking'!BT37="","",'Data Checking'!BT37)</f>
        <v>0</v>
      </c>
      <c r="BI37" t="str">
        <f>IF('Data Checking'!BU37="","",'Data Checking'!BU37)</f>
        <v>1</v>
      </c>
      <c r="BJ37" t="str">
        <f>IF('Data Checking'!BV37="","",'Data Checking'!BV37)</f>
        <v>0</v>
      </c>
      <c r="BK37" t="str">
        <f>IF('Data Checking'!BW37="","",'Data Checking'!BW37)</f>
        <v>0</v>
      </c>
      <c r="BL37" t="str">
        <f>IF('Data Checking'!BX37="","",'Data Checking'!BX37)</f>
        <v>0</v>
      </c>
      <c r="BM37" t="str">
        <f>IF('Data Checking'!BY37="","",'Data Checking'!BY37)</f>
        <v/>
      </c>
      <c r="BN37" t="str">
        <f>IF('Data Checking'!BZ37="","",'Data Checking'!BZ37)</f>
        <v>plusde5</v>
      </c>
      <c r="BO37" t="str">
        <f>IF('Data Checking'!CA37="","",'Data Checking'!CA37)</f>
        <v>augmente</v>
      </c>
      <c r="BP37" t="str">
        <f>IF('Data Checking'!CB37="","",'Data Checking'!CB37)</f>
        <v/>
      </c>
      <c r="BQ37" t="str">
        <f>IF('Data Checking'!CC37="","",'Data Checking'!CC37)</f>
        <v>non</v>
      </c>
      <c r="BR37" t="str">
        <f>IF('Data Checking'!CD37="","",'Data Checking'!CD37)</f>
        <v/>
      </c>
      <c r="BS37" t="str">
        <f>IF('Data Checking'!CE37="","",'Data Checking'!CE37)</f>
        <v/>
      </c>
      <c r="BT37" t="str">
        <f>IF('Data Checking'!CF37="","",'Data Checking'!CF37)</f>
        <v/>
      </c>
      <c r="BU37" t="str">
        <f>IF('Data Checking'!CG37="","",'Data Checking'!CG37)</f>
        <v/>
      </c>
      <c r="BV37" t="str">
        <f>IF('Data Checking'!CH37="","",'Data Checking'!CH37)</f>
        <v/>
      </c>
      <c r="BW37" t="str">
        <f>IF('Data Checking'!CI37="","",'Data Checking'!CI37)</f>
        <v/>
      </c>
      <c r="BX37" t="str">
        <f>IF('Data Checking'!CJ37="","",'Data Checking'!CJ37)</f>
        <v/>
      </c>
      <c r="BY37" t="str">
        <f>IF('Data Checking'!CK37="","",'Data Checking'!CK37)</f>
        <v/>
      </c>
      <c r="BZ37" t="str">
        <f>IF('Data Checking'!CL37="","",'Data Checking'!CL37)</f>
        <v/>
      </c>
      <c r="CA37" t="str">
        <f>IF('Data Checking'!CM37="","",'Data Checking'!CM37)</f>
        <v/>
      </c>
      <c r="CB37" t="str">
        <f>IF('Data Checking'!CN37="","",'Data Checking'!CN37)</f>
        <v/>
      </c>
      <c r="CC37" t="str">
        <f>IF('Data Checking'!CO37="","",'Data Checking'!CO37)</f>
        <v/>
      </c>
      <c r="CD37" t="str">
        <f>IF('Data Checking'!CP37="","",'Data Checking'!CP37)</f>
        <v/>
      </c>
      <c r="CE37" t="str">
        <f>IF('Data Checking'!CQ37="","",'Data Checking'!CQ37)</f>
        <v/>
      </c>
      <c r="CF37" t="str">
        <f>IF('Data Checking'!CR37="","",'Data Checking'!CR37)</f>
        <v/>
      </c>
      <c r="CG37" t="str">
        <f>IF('Data Checking'!CS37="","",'Data Checking'!CS37)</f>
        <v/>
      </c>
      <c r="CH37" t="str">
        <f>IF('Data Checking'!CT37="","",'Data Checking'!CT37)</f>
        <v/>
      </c>
      <c r="CI37" t="str">
        <f>IF('Data Checking'!CU37="","",'Data Checking'!CU37)</f>
        <v/>
      </c>
      <c r="CJ37" t="str">
        <f>IF('Data Checking'!CV37="","",'Data Checking'!CV37)</f>
        <v/>
      </c>
      <c r="CK37" t="str">
        <f>IF('Data Checking'!CW37="","",'Data Checking'!CW37)</f>
        <v/>
      </c>
      <c r="CL37" t="str">
        <f>IF('Data Checking'!CX37="","",'Data Checking'!CX37)</f>
        <v/>
      </c>
      <c r="CM37" t="str">
        <f>IF('Data Checking'!CY37="","",'Data Checking'!CY37)</f>
        <v/>
      </c>
      <c r="CN37" t="str">
        <f>IF('Data Checking'!CZ37="","",'Data Checking'!CZ37)</f>
        <v/>
      </c>
      <c r="CO37" t="str">
        <f>IF('Data Checking'!DA37="","",'Data Checking'!DA37)</f>
        <v/>
      </c>
      <c r="CP37" t="str">
        <f>IF('Data Checking'!DB37="","",'Data Checking'!DB37)</f>
        <v/>
      </c>
      <c r="CQ37" t="str">
        <f>IF('Data Checking'!DC37="","",'Data Checking'!DC37)</f>
        <v/>
      </c>
      <c r="CR37" t="str">
        <f>IF('Data Checking'!DD37="","",'Data Checking'!DD37)</f>
        <v/>
      </c>
      <c r="CS37" t="str">
        <f>IF('Data Checking'!DE37="","",'Data Checking'!DE37)</f>
        <v/>
      </c>
      <c r="CT37" t="str">
        <f>IF('Data Checking'!DF37="","",'Data Checking'!DF37)</f>
        <v/>
      </c>
      <c r="CU37" t="str">
        <f>IF('Data Checking'!DG37="","",'Data Checking'!DG37)</f>
        <v/>
      </c>
      <c r="CV37" t="str">
        <f>IF('Data Checking'!DH37="","",'Data Checking'!DH37)</f>
        <v/>
      </c>
      <c r="CW37" t="str">
        <f>IF('Data Checking'!DI37="","",'Data Checking'!DI37)</f>
        <v/>
      </c>
      <c r="CX37" t="str">
        <f>IF('Data Checking'!DJ37="","",'Data Checking'!DJ37)</f>
        <v/>
      </c>
      <c r="CY37" t="str">
        <f>IF('Data Checking'!DK37="","",'Data Checking'!DK37)</f>
        <v/>
      </c>
      <c r="CZ37" t="str">
        <f>IF('Data Checking'!DL37="","",'Data Checking'!DL37)</f>
        <v/>
      </c>
      <c r="DA37" t="str">
        <f>IF('Data Checking'!DM37="","",'Data Checking'!DM37)</f>
        <v/>
      </c>
      <c r="DB37" t="str">
        <f>IF('Data Checking'!DN37="","",'Data Checking'!DN37)</f>
        <v>diminution_moyens_existence hausse_tensions_intercomm</v>
      </c>
      <c r="DC37" t="str">
        <f>IF('Data Checking'!DO37="","",'Data Checking'!DO37)</f>
        <v>1</v>
      </c>
      <c r="DD37" t="str">
        <f>IF('Data Checking'!DP37="","",'Data Checking'!DP37)</f>
        <v>0</v>
      </c>
      <c r="DE37" t="str">
        <f>IF('Data Checking'!DQ37="","",'Data Checking'!DQ37)</f>
        <v>0</v>
      </c>
      <c r="DF37" t="str">
        <f>IF('Data Checking'!DR37="","",'Data Checking'!DR37)</f>
        <v>1</v>
      </c>
      <c r="DG37" t="str">
        <f>IF('Data Checking'!DS37="","",'Data Checking'!DS37)</f>
        <v>0</v>
      </c>
      <c r="DH37" t="str">
        <f>IF('Data Checking'!DT37="","",'Data Checking'!DT37)</f>
        <v>0</v>
      </c>
      <c r="DI37" t="str">
        <f>IF('Data Checking'!DU37="","",'Data Checking'!DU37)</f>
        <v>0</v>
      </c>
      <c r="DJ37" t="str">
        <f>IF('Data Checking'!DV37="","",'Data Checking'!DV37)</f>
        <v>0</v>
      </c>
      <c r="DK37" t="str">
        <f>IF('Data Checking'!DW37="","",'Data Checking'!DW37)</f>
        <v>0</v>
      </c>
      <c r="DL37" t="str">
        <f>IF('Data Checking'!DX37="","",'Data Checking'!DX37)</f>
        <v>0</v>
      </c>
      <c r="DM37" t="str">
        <f>IF('Data Checking'!DY37="","",'Data Checking'!DY37)</f>
        <v/>
      </c>
      <c r="DN37" t="str">
        <f>IF('Data Checking'!DZ37="","",'Data Checking'!DZ37)</f>
        <v/>
      </c>
      <c r="DO37" t="str">
        <f>IF('Data Checking'!EA37="","",'Data Checking'!EA37)</f>
        <v/>
      </c>
      <c r="DP37" t="str">
        <f>IF('Data Checking'!EB37="","",'Data Checking'!EB37)</f>
        <v/>
      </c>
      <c r="DQ37" t="str">
        <f>IF('Data Checking'!EC37="","",'Data Checking'!EC37)</f>
        <v/>
      </c>
      <c r="DR37" t="str">
        <f>IF('Data Checking'!ED37="","",'Data Checking'!ED37)</f>
        <v/>
      </c>
      <c r="DS37" t="str">
        <f>IF('Data Checking'!EE37="","",'Data Checking'!EE37)</f>
        <v/>
      </c>
      <c r="DT37" t="str">
        <f>IF('Data Checking'!EF37="","",'Data Checking'!EF37)</f>
        <v/>
      </c>
      <c r="DU37" t="str">
        <f>IF('Data Checking'!EG37="","",'Data Checking'!EG37)</f>
        <v/>
      </c>
      <c r="DV37" t="str">
        <f>IF('Data Checking'!EH37="","",'Data Checking'!EH37)</f>
        <v/>
      </c>
      <c r="DW37" t="str">
        <f>IF('Data Checking'!EI37="","",'Data Checking'!EI37)</f>
        <v/>
      </c>
      <c r="DX37" t="str">
        <f>IF('Data Checking'!EJ37="","",'Data Checking'!EJ37)</f>
        <v/>
      </c>
      <c r="DY37" t="str">
        <f>IF('Data Checking'!EK37="","",'Data Checking'!EK37)</f>
        <v/>
      </c>
      <c r="DZ37" t="str">
        <f>IF('Data Checking'!EL37="","",'Data Checking'!EL37)</f>
        <v>Soutien_chef_village</v>
      </c>
      <c r="EA37" t="str">
        <f>IF('Data Checking'!EM37="","",'Data Checking'!EM37)</f>
        <v>0</v>
      </c>
      <c r="EB37" t="str">
        <f>IF('Data Checking'!EN37="","",'Data Checking'!EN37)</f>
        <v>0</v>
      </c>
      <c r="EC37" t="str">
        <f>IF('Data Checking'!EO37="","",'Data Checking'!EO37)</f>
        <v>0</v>
      </c>
      <c r="ED37" t="str">
        <f>IF('Data Checking'!EP37="","",'Data Checking'!EP37)</f>
        <v>1</v>
      </c>
      <c r="EE37" t="str">
        <f>IF('Data Checking'!EQ37="","",'Data Checking'!EQ37)</f>
        <v>0</v>
      </c>
      <c r="EF37" t="str">
        <f>IF('Data Checking'!ER37="","",'Data Checking'!ER37)</f>
        <v>0</v>
      </c>
      <c r="EG37" t="str">
        <f>IF('Data Checking'!ES37="","",'Data Checking'!ES37)</f>
        <v>0</v>
      </c>
      <c r="EH37" t="str">
        <f>IF('Data Checking'!ET37="","",'Data Checking'!ET37)</f>
        <v>0</v>
      </c>
      <c r="EI37" t="str">
        <f>IF('Data Checking'!EU37="","",'Data Checking'!EU37)</f>
        <v>0</v>
      </c>
      <c r="EJ37" t="str">
        <f>IF('Data Checking'!EV37="","",'Data Checking'!EV37)</f>
        <v/>
      </c>
      <c r="EK37" t="str">
        <f>IF('Data Checking'!EW37="","",'Data Checking'!EW37)</f>
        <v/>
      </c>
      <c r="EL37" t="str">
        <f>IF('Data Checking'!EX37="","",'Data Checking'!EX37)</f>
        <v>comite_gestion_conflits femmes_elite famille_accueil</v>
      </c>
      <c r="EM37" t="str">
        <f>IF('Data Checking'!EY37="","",'Data Checking'!EY37)</f>
        <v>1</v>
      </c>
      <c r="EN37" t="str">
        <f>IF('Data Checking'!EZ37="","",'Data Checking'!EZ37)</f>
        <v>0</v>
      </c>
      <c r="EO37" t="str">
        <f>IF('Data Checking'!FA37="","",'Data Checking'!FA37)</f>
        <v>1</v>
      </c>
      <c r="EP37" t="str">
        <f>IF('Data Checking'!FB37="","",'Data Checking'!FB37)</f>
        <v>0</v>
      </c>
      <c r="EQ37" t="str">
        <f>IF('Data Checking'!FC37="","",'Data Checking'!FC37)</f>
        <v>0</v>
      </c>
      <c r="ER37" t="str">
        <f>IF('Data Checking'!FD37="","",'Data Checking'!FD37)</f>
        <v>1</v>
      </c>
      <c r="ES37" t="str">
        <f>IF('Data Checking'!FE37="","",'Data Checking'!FE37)</f>
        <v>0</v>
      </c>
      <c r="ET37" t="str">
        <f>IF('Data Checking'!FF37="","",'Data Checking'!FF37)</f>
        <v>0</v>
      </c>
      <c r="EU37" t="str">
        <f>IF('Data Checking'!FG37="","",'Data Checking'!FG37)</f>
        <v>0</v>
      </c>
      <c r="EV37" t="str">
        <f>IF('Data Checking'!FH37="","",'Data Checking'!FH37)</f>
        <v>0</v>
      </c>
      <c r="EW37" t="str">
        <f>IF('Data Checking'!FI37="","",'Data Checking'!FI37)</f>
        <v/>
      </c>
      <c r="EX37" t="str">
        <f>IF('Data Checking'!FJ37="","",'Data Checking'!FJ37)</f>
        <v>oui</v>
      </c>
      <c r="EY37" t="str">
        <f>IF('Data Checking'!FK37="","",'Data Checking'!FK37)</f>
        <v>Autre</v>
      </c>
      <c r="EZ37" t="str">
        <f>IF('Data Checking'!FL37="","",'Data Checking'!FL37)</f>
        <v>0</v>
      </c>
      <c r="FA37" t="str">
        <f>IF('Data Checking'!FM37="","",'Data Checking'!FM37)</f>
        <v>0</v>
      </c>
      <c r="FB37" t="str">
        <f>IF('Data Checking'!FN37="","",'Data Checking'!FN37)</f>
        <v>0</v>
      </c>
      <c r="FC37" t="str">
        <f>IF('Data Checking'!FO37="","",'Data Checking'!FO37)</f>
        <v>0</v>
      </c>
      <c r="FD37" t="str">
        <f>IF('Data Checking'!FP37="","",'Data Checking'!FP37)</f>
        <v>0</v>
      </c>
      <c r="FE37">
        <f>IF('Data Checking'!FQ37="","",'Data Checking'!FQ37)</f>
        <v>1</v>
      </c>
      <c r="FF37" t="str">
        <f>IF('Data Checking'!FR37="","",'Data Checking'!FR37)</f>
        <v>0</v>
      </c>
      <c r="FG37" t="str">
        <f>IF('Data Checking'!FS37="","",'Data Checking'!FS37)</f>
        <v>0</v>
      </c>
      <c r="FH37" t="str">
        <f>IF('Data Checking'!FT37="","",'Data Checking'!FT37)</f>
        <v>0</v>
      </c>
      <c r="FI37" t="str">
        <f>IF('Data Checking'!FU37="","",'Data Checking'!FU37)</f>
        <v>0</v>
      </c>
      <c r="FJ37" t="str">
        <f>IF('Data Checking'!FV37="","",'Data Checking'!FV37)</f>
        <v>0</v>
      </c>
      <c r="FK37" t="str">
        <f>IF('Data Checking'!FW37="","",'Data Checking'!FW37)</f>
        <v>0</v>
      </c>
      <c r="FL37">
        <f>IF('Data Checking'!FX37="","",'Data Checking'!FX37)</f>
        <v>0</v>
      </c>
      <c r="FM37" t="str">
        <f>IF('Data Checking'!FY37="","",'Data Checking'!FY37)</f>
        <v>0</v>
      </c>
      <c r="FN37" t="str">
        <f>IF('Data Checking'!FZ37="","",'Data Checking'!FZ37)</f>
        <v/>
      </c>
      <c r="FO37" t="str">
        <f>IF('Data Checking'!GA37="","",'Data Checking'!GA37)</f>
        <v>oui_ensemble</v>
      </c>
      <c r="FP37" t="str">
        <f>IF('Data Checking'!GB37="","",'Data Checking'!GB37)</f>
        <v>oui_moitie</v>
      </c>
      <c r="FQ37" t="str">
        <f>IF('Data Checking'!GC37="","",'Data Checking'!GC37)</f>
        <v>non_fonctionnelle</v>
      </c>
      <c r="FR37" t="str">
        <f>IF('Data Checking'!GD37="","",'Data Checking'!GD37)</f>
        <v>1</v>
      </c>
      <c r="FS37" t="str">
        <f>IF('Data Checking'!GE37="","",'Data Checking'!GE37)</f>
        <v>0</v>
      </c>
      <c r="FT37" t="str">
        <f>IF('Data Checking'!GF37="","",'Data Checking'!GF37)</f>
        <v>0</v>
      </c>
      <c r="FU37" t="str">
        <f>IF('Data Checking'!GG37="","",'Data Checking'!GG37)</f>
        <v>0</v>
      </c>
      <c r="FV37" t="str">
        <f>IF('Data Checking'!GH37="","",'Data Checking'!GH37)</f>
        <v>0</v>
      </c>
      <c r="FW37" t="str">
        <f>IF('Data Checking'!GI37="","",'Data Checking'!GI37)</f>
        <v>0</v>
      </c>
      <c r="FX37" t="str">
        <f>IF('Data Checking'!GJ37="","",'Data Checking'!GJ37)</f>
        <v>0</v>
      </c>
      <c r="FY37" t="str">
        <f>IF('Data Checking'!GK37="","",'Data Checking'!GK37)</f>
        <v>0</v>
      </c>
      <c r="FZ37" t="str">
        <f>IF('Data Checking'!GL37="","",'Data Checking'!GL37)</f>
        <v/>
      </c>
      <c r="GA37" t="str">
        <f>IF('Data Checking'!GM37="","",'Data Checking'!GM37)</f>
        <v>majorite</v>
      </c>
      <c r="GB37" t="str">
        <f>IF('Data Checking'!GN37="","",'Data Checking'!GN37)</f>
        <v>majorite</v>
      </c>
      <c r="GC37" t="str">
        <f>IF('Data Checking'!GO37="","",'Data Checking'!GO37)</f>
        <v>Services_de_sante</v>
      </c>
      <c r="GD37" t="str">
        <f>IF('Data Checking'!GP37="","",'Data Checking'!GP37)</f>
        <v>0</v>
      </c>
      <c r="GE37" t="str">
        <f>IF('Data Checking'!GQ37="","",'Data Checking'!GQ37)</f>
        <v>0</v>
      </c>
      <c r="GF37" t="str">
        <f>IF('Data Checking'!GR37="","",'Data Checking'!GR37)</f>
        <v>0</v>
      </c>
      <c r="GG37" t="str">
        <f>IF('Data Checking'!GS37="","",'Data Checking'!GS37)</f>
        <v>1</v>
      </c>
      <c r="GH37" t="str">
        <f>IF('Data Checking'!GT37="","",'Data Checking'!GT37)</f>
        <v>0</v>
      </c>
      <c r="GI37" t="str">
        <f>IF('Data Checking'!GU37="","",'Data Checking'!GU37)</f>
        <v>0</v>
      </c>
      <c r="GJ37" t="str">
        <f>IF('Data Checking'!GV37="","",'Data Checking'!GV37)</f>
        <v>0</v>
      </c>
      <c r="GK37" t="str">
        <f>IF('Data Checking'!GW37="","",'Data Checking'!GW37)</f>
        <v>0</v>
      </c>
      <c r="GL37" t="str">
        <f>IF('Data Checking'!GX37="","",'Data Checking'!GX37)</f>
        <v>0</v>
      </c>
      <c r="GM37" t="str">
        <f>IF('Data Checking'!GY37="","",'Data Checking'!GY37)</f>
        <v/>
      </c>
      <c r="GN37" t="str">
        <f>IF('Data Checking'!GZ37="","",'Data Checking'!GZ37)</f>
        <v>oui_majorite</v>
      </c>
      <c r="GO37" t="str">
        <f>IF('Data Checking'!HA37="","",'Data Checking'!HA37)</f>
        <v>oui_majorite</v>
      </c>
      <c r="GP37" t="str">
        <f>IF('Data Checking'!HB37="","",'Data Checking'!HB37)</f>
        <v>amelioration_futur diminution_tensions</v>
      </c>
      <c r="GQ37" t="str">
        <f>IF('Data Checking'!HC37="","",'Data Checking'!HC37)</f>
        <v>1</v>
      </c>
      <c r="GR37" t="str">
        <f>IF('Data Checking'!HD37="","",'Data Checking'!HD37)</f>
        <v>0</v>
      </c>
      <c r="GS37" t="str">
        <f>IF('Data Checking'!HE37="","",'Data Checking'!HE37)</f>
        <v>0</v>
      </c>
      <c r="GT37" t="str">
        <f>IF('Data Checking'!HF37="","",'Data Checking'!HF37)</f>
        <v>0</v>
      </c>
      <c r="GU37" t="str">
        <f>IF('Data Checking'!HG37="","",'Data Checking'!HG37)</f>
        <v>0</v>
      </c>
      <c r="GV37" t="str">
        <f>IF('Data Checking'!HH37="","",'Data Checking'!HH37)</f>
        <v>1</v>
      </c>
      <c r="GW37" t="str">
        <f>IF('Data Checking'!HI37="","",'Data Checking'!HI37)</f>
        <v>0</v>
      </c>
      <c r="GX37" t="str">
        <f>IF('Data Checking'!HJ37="","",'Data Checking'!HJ37)</f>
        <v>0</v>
      </c>
      <c r="GY37" t="str">
        <f>IF('Data Checking'!HK37="","",'Data Checking'!HK37)</f>
        <v/>
      </c>
      <c r="GZ37" t="str">
        <f>IF('Data Checking'!HL37="","",'Data Checking'!HL37)</f>
        <v>ne_contribue_pas ne_repond_pas</v>
      </c>
      <c r="HA37" t="str">
        <f>IF('Data Checking'!HM37="","",'Data Checking'!HM37)</f>
        <v>1</v>
      </c>
      <c r="HB37" t="str">
        <f>IF('Data Checking'!HN37="","",'Data Checking'!HN37)</f>
        <v>1</v>
      </c>
      <c r="HC37" t="str">
        <f>IF('Data Checking'!HO37="","",'Data Checking'!HO37)</f>
        <v>0</v>
      </c>
      <c r="HD37" t="str">
        <f>IF('Data Checking'!HP37="","",'Data Checking'!HP37)</f>
        <v>0</v>
      </c>
      <c r="HE37" t="str">
        <f>IF('Data Checking'!HQ37="","",'Data Checking'!HQ37)</f>
        <v>0</v>
      </c>
      <c r="HF37" t="str">
        <f>IF('Data Checking'!HR37="","",'Data Checking'!HR37)</f>
        <v>0</v>
      </c>
      <c r="HG37" t="str">
        <f>IF('Data Checking'!HS37="","",'Data Checking'!HS37)</f>
        <v/>
      </c>
      <c r="HH37" t="str">
        <f>IF('Data Checking'!HT37="","",'Data Checking'!HT37)</f>
        <v/>
      </c>
      <c r="HI37" t="str">
        <f>IF('Data Checking'!HU37="","",'Data Checking'!HU37)</f>
        <v>non</v>
      </c>
      <c r="HJ37" t="str">
        <f>IF('Data Checking'!HV37="","",'Data Checking'!HV37)</f>
        <v/>
      </c>
      <c r="HK37" t="str">
        <f>IF('Data Checking'!HW37="","",'Data Checking'!HW37)</f>
        <v/>
      </c>
      <c r="HL37" t="str">
        <f>IF('Data Checking'!HX37="","",'Data Checking'!HX37)</f>
        <v/>
      </c>
      <c r="HM37" t="str">
        <f>IF('Data Checking'!HY37="","",'Data Checking'!HY37)</f>
        <v/>
      </c>
      <c r="HN37" t="str">
        <f>IF('Data Checking'!HZ37="","",'Data Checking'!HZ37)</f>
        <v/>
      </c>
      <c r="HO37" t="str">
        <f>IF('Data Checking'!IA37="","",'Data Checking'!IA37)</f>
        <v/>
      </c>
      <c r="HP37" t="str">
        <f>IF('Data Checking'!IB37="","",'Data Checking'!IB37)</f>
        <v/>
      </c>
      <c r="HQ37" t="str">
        <f>IF('Data Checking'!IC37="","",'Data Checking'!IC37)</f>
        <v/>
      </c>
      <c r="HR37" t="str">
        <f>IF('Data Checking'!ID37="","",'Data Checking'!ID37)</f>
        <v/>
      </c>
      <c r="HS37" t="str">
        <f>IF('Data Checking'!IE37="","",'Data Checking'!IE37)</f>
        <v/>
      </c>
      <c r="HT37" t="str">
        <f>IF('Data Checking'!IF37="","",'Data Checking'!IF37)</f>
        <v/>
      </c>
      <c r="HU37" t="str">
        <f>IF('Data Checking'!IG37="","",'Data Checking'!IG37)</f>
        <v/>
      </c>
      <c r="HV37" t="str">
        <f>IF('Data Checking'!IH37="","",'Data Checking'!IH37)</f>
        <v>oui</v>
      </c>
      <c r="HW37" t="str">
        <f>IF('Data Checking'!II37="","",'Data Checking'!II37)</f>
        <v/>
      </c>
      <c r="HX37" t="str">
        <f>IF('Data Checking'!IJ37="","",'Data Checking'!IJ37)</f>
        <v/>
      </c>
      <c r="HY37" t="str">
        <f>IF('Data Checking'!IK37="","",'Data Checking'!IK37)</f>
        <v/>
      </c>
      <c r="HZ37" t="str">
        <f>IF('Data Checking'!IL37="","",'Data Checking'!IL37)</f>
        <v/>
      </c>
      <c r="IA37" t="str">
        <f>IF('Data Checking'!IM37="","",'Data Checking'!IM37)</f>
        <v/>
      </c>
      <c r="IB37" t="str">
        <f>IF('Data Checking'!IN37="","",'Data Checking'!IN37)</f>
        <v/>
      </c>
      <c r="IC37" t="str">
        <f>IF('Data Checking'!IO37="","",'Data Checking'!IO37)</f>
        <v/>
      </c>
      <c r="ID37" t="str">
        <f>IF('Data Checking'!IP37="","",'Data Checking'!IP37)</f>
        <v/>
      </c>
      <c r="IE37" t="str">
        <f>IF('Data Checking'!IQ37="","",'Data Checking'!IQ37)</f>
        <v/>
      </c>
      <c r="IF37" t="str">
        <f>IF('Data Checking'!IR37="","",'Data Checking'!IR37)</f>
        <v/>
      </c>
      <c r="IG37" t="str">
        <f>IF('Data Checking'!IS37="","",'Data Checking'!IS37)</f>
        <v/>
      </c>
      <c r="IH37" t="str">
        <f>IF('Data Checking'!IT37="","",'Data Checking'!IT37)</f>
        <v/>
      </c>
      <c r="II37" t="str">
        <f>IF('Data Checking'!IU37="","",'Data Checking'!IU37)</f>
        <v/>
      </c>
      <c r="IJ37" t="str">
        <f>IF('Data Checking'!IV37="","",'Data Checking'!IV37)</f>
        <v/>
      </c>
      <c r="IK37" t="str">
        <f>IF('Data Checking'!IW37="","",'Data Checking'!IW37)</f>
        <v/>
      </c>
      <c r="IL37" t="str">
        <f>IF('Data Checking'!IX37="","",'Data Checking'!IX37)</f>
        <v/>
      </c>
      <c r="IM37" t="str">
        <f>IF('Data Checking'!IY37="","",'Data Checking'!IY37)</f>
        <v/>
      </c>
      <c r="IN37" t="str">
        <f>IF('Data Checking'!IZ37="","",'Data Checking'!IZ37)</f>
        <v/>
      </c>
      <c r="IO37" t="str">
        <f>IF('Data Checking'!JA37="","",'Data Checking'!JA37)</f>
        <v/>
      </c>
      <c r="IP37" t="str">
        <f>IF('Data Checking'!JB37="","",'Data Checking'!JB37)</f>
        <v/>
      </c>
      <c r="IQ37" t="str">
        <f>IF('Data Checking'!JC37="","",'Data Checking'!JC37)</f>
        <v/>
      </c>
      <c r="IR37" t="str">
        <f>IF('Data Checking'!JD37="","",'Data Checking'!JD37)</f>
        <v/>
      </c>
      <c r="IS37" t="str">
        <f>IF('Data Checking'!JE37="","",'Data Checking'!JE37)</f>
        <v/>
      </c>
      <c r="IT37" t="str">
        <f>IF('Data Checking'!JF37="","",'Data Checking'!JF37)</f>
        <v/>
      </c>
      <c r="IU37" t="str">
        <f>IF('Data Checking'!JG37="","",'Data Checking'!JG37)</f>
        <v/>
      </c>
      <c r="IV37" t="str">
        <f>IF('Data Checking'!JH37="","",'Data Checking'!JH37)</f>
        <v/>
      </c>
      <c r="IW37" t="str">
        <f>IF('Data Checking'!JI37="","",'Data Checking'!JI37)</f>
        <v/>
      </c>
      <c r="IX37" t="str">
        <f>IF('Data Checking'!JJ37="","",'Data Checking'!JJ37)</f>
        <v/>
      </c>
      <c r="IY37" t="str">
        <f>IF('Data Checking'!JK37="","",'Data Checking'!JK37)</f>
        <v/>
      </c>
      <c r="IZ37" t="str">
        <f>IF('Data Checking'!JL37="","",'Data Checking'!JL37)</f>
        <v/>
      </c>
      <c r="JA37" t="str">
        <f>IF('Data Checking'!JM37="","",'Data Checking'!JM37)</f>
        <v/>
      </c>
      <c r="JB37" t="str">
        <f>IF('Data Checking'!JN37="","",'Data Checking'!JN37)</f>
        <v/>
      </c>
      <c r="JC37" t="str">
        <f>IF('Data Checking'!JO37="","",'Data Checking'!JO37)</f>
        <v/>
      </c>
      <c r="JD37" t="str">
        <f>IF('Data Checking'!JP37="","",'Data Checking'!JP37)</f>
        <v/>
      </c>
      <c r="JE37" t="str">
        <f>IF('Data Checking'!JQ37="","",'Data Checking'!JQ37)</f>
        <v/>
      </c>
      <c r="JF37" t="str">
        <f>IF('Data Checking'!JR37="","",'Data Checking'!JR37)</f>
        <v/>
      </c>
      <c r="JG37" t="str">
        <f>IF('Data Checking'!JS37="","",'Data Checking'!JS37)</f>
        <v/>
      </c>
      <c r="JH37" t="str">
        <f>IF('Data Checking'!JT37="","",'Data Checking'!JT37)</f>
        <v/>
      </c>
      <c r="JI37" t="str">
        <f>IF('Data Checking'!JU37="","",'Data Checking'!JU37)</f>
        <v/>
      </c>
      <c r="JJ37" t="str">
        <f>IF('Data Checking'!JV37="","",'Data Checking'!JV37)</f>
        <v/>
      </c>
      <c r="JK37" t="str">
        <f>IF('Data Checking'!JW37="","",'Data Checking'!JW37)</f>
        <v/>
      </c>
      <c r="JL37" t="str">
        <f>IF('Data Checking'!JX37="","",'Data Checking'!JX37)</f>
        <v/>
      </c>
      <c r="JM37" t="str">
        <f>IF('Data Checking'!JY37="","",'Data Checking'!JY37)</f>
        <v/>
      </c>
      <c r="JN37" t="str">
        <f>IF('Data Checking'!JZ37="","",'Data Checking'!JZ37)</f>
        <v/>
      </c>
      <c r="JO37" t="str">
        <f>IF('Data Checking'!KA37="","",'Data Checking'!KA37)</f>
        <v/>
      </c>
      <c r="JP37" t="str">
        <f>IF('Data Checking'!KB37="","",'Data Checking'!KB37)</f>
        <v/>
      </c>
      <c r="JQ37" t="str">
        <f>IF('Data Checking'!KC37="","",'Data Checking'!KC37)</f>
        <v/>
      </c>
      <c r="JR37" t="str">
        <f>IF('Data Checking'!KD37="","",'Data Checking'!KD37)</f>
        <v/>
      </c>
      <c r="JS37" t="str">
        <f>IF('Data Checking'!KE37="","",'Data Checking'!KE37)</f>
        <v/>
      </c>
      <c r="JT37" t="str">
        <f>IF('Data Checking'!KF37="","",'Data Checking'!KF37)</f>
        <v/>
      </c>
      <c r="JU37" t="str">
        <f>IF('Data Checking'!KG37="","",'Data Checking'!KG37)</f>
        <v/>
      </c>
      <c r="JV37" t="str">
        <f>IF('Data Checking'!KH37="","",'Data Checking'!KH37)</f>
        <v/>
      </c>
      <c r="JW37" t="str">
        <f>IF('Data Checking'!KI37="","",'Data Checking'!KI37)</f>
        <v/>
      </c>
      <c r="JX37" t="str">
        <f>IF('Data Checking'!KJ37="","",'Data Checking'!KJ37)</f>
        <v/>
      </c>
      <c r="JY37" t="str">
        <f>IF('Data Checking'!KK37="","",'Data Checking'!KK37)</f>
        <v/>
      </c>
      <c r="JZ37" t="str">
        <f>IF('Data Checking'!KL37="","",'Data Checking'!KL37)</f>
        <v/>
      </c>
      <c r="KA37" t="str">
        <f>IF('Data Checking'!KM37="","",'Data Checking'!KM37)</f>
        <v/>
      </c>
      <c r="KB37" t="str">
        <f>IF('Data Checking'!KN37="","",'Data Checking'!KN37)</f>
        <v/>
      </c>
      <c r="KC37" t="str">
        <f>IF('Data Checking'!KO37="","",'Data Checking'!KO37)</f>
        <v/>
      </c>
      <c r="KD37" t="str">
        <f>IF('Data Checking'!KP37="","",'Data Checking'!KP37)</f>
        <v/>
      </c>
      <c r="KE37" t="str">
        <f>IF('Data Checking'!KQ37="","",'Data Checking'!KQ37)</f>
        <v/>
      </c>
      <c r="KF37" t="str">
        <f>IF('Data Checking'!KR37="","",'Data Checking'!KR37)</f>
        <v/>
      </c>
      <c r="KG37" t="str">
        <f>IF('Data Checking'!KS37="","",'Data Checking'!KS37)</f>
        <v/>
      </c>
      <c r="KH37" t="str">
        <f>IF('Data Checking'!KT37="","",'Data Checking'!KT37)</f>
        <v/>
      </c>
      <c r="KI37" t="str">
        <f>IF('Data Checking'!KU37="","",'Data Checking'!KU37)</f>
        <v/>
      </c>
      <c r="KJ37" t="str">
        <f>IF('Data Checking'!KV37="","",'Data Checking'!KV37)</f>
        <v/>
      </c>
      <c r="KK37" t="str">
        <f>IF('Data Checking'!KW37="","",'Data Checking'!KW37)</f>
        <v/>
      </c>
      <c r="KL37" t="str">
        <f>IF('Data Checking'!KX37="","",'Data Checking'!KX37)</f>
        <v/>
      </c>
      <c r="KM37" t="str">
        <f>IF('Data Checking'!KY37="","",'Data Checking'!KY37)</f>
        <v/>
      </c>
      <c r="KN37" t="str">
        <f>IF('Data Checking'!KZ37="","",'Data Checking'!KZ37)</f>
        <v/>
      </c>
      <c r="KO37" t="str">
        <f>IF('Data Checking'!LA37="","",'Data Checking'!LA37)</f>
        <v/>
      </c>
      <c r="KP37" t="str">
        <f>IF('Data Checking'!LB37="","",'Data Checking'!LB37)</f>
        <v/>
      </c>
      <c r="KQ37" t="str">
        <f>IF('Data Checking'!LC37="","",'Data Checking'!LC37)</f>
        <v/>
      </c>
      <c r="KR37" t="str">
        <f>IF('Data Checking'!LD37="","",'Data Checking'!LD37)</f>
        <v/>
      </c>
      <c r="KS37" t="str">
        <f>IF('Data Checking'!LE37="","",'Data Checking'!LE37)</f>
        <v/>
      </c>
      <c r="KT37" t="str">
        <f>IF('Data Checking'!LF37="","",'Data Checking'!LF37)</f>
        <v/>
      </c>
      <c r="KU37" t="str">
        <f>IF('Data Checking'!LG37="","",'Data Checking'!LG37)</f>
        <v/>
      </c>
      <c r="KV37" t="str">
        <f>IF('Data Checking'!LH37="","",'Data Checking'!LH37)</f>
        <v/>
      </c>
      <c r="KW37" t="str">
        <f>IF('Data Checking'!LI37="","",'Data Checking'!LI37)</f>
        <v/>
      </c>
      <c r="KX37" t="str">
        <f>IF('Data Checking'!LJ37="","",'Data Checking'!LJ37)</f>
        <v/>
      </c>
      <c r="KY37" t="str">
        <f>IF('Data Checking'!LK37="","",'Data Checking'!LK37)</f>
        <v/>
      </c>
      <c r="KZ37" t="str">
        <f>IF('Data Checking'!LL37="","",'Data Checking'!LL37)</f>
        <v/>
      </c>
      <c r="LA37" t="str">
        <f>IF('Data Checking'!LM37="","",'Data Checking'!LM37)</f>
        <v/>
      </c>
      <c r="LB37" t="str">
        <f>IF('Data Checking'!LN37="","",'Data Checking'!LN37)</f>
        <v/>
      </c>
      <c r="LC37" t="str">
        <f>IF('Data Checking'!LO37="","",'Data Checking'!LO37)</f>
        <v/>
      </c>
      <c r="LD37" t="str">
        <f>IF('Data Checking'!LP37="","",'Data Checking'!LP37)</f>
        <v/>
      </c>
      <c r="LE37" t="str">
        <f>IF('Data Checking'!LQ37="","",'Data Checking'!LQ37)</f>
        <v/>
      </c>
      <c r="LF37" t="str">
        <f>IF('Data Checking'!LR37="","",'Data Checking'!LR37)</f>
        <v/>
      </c>
      <c r="LG37" t="str">
        <f>IF('Data Checking'!LS37="","",'Data Checking'!LS37)</f>
        <v/>
      </c>
      <c r="LH37" t="str">
        <f>IF('Data Checking'!LT37="","",'Data Checking'!LT37)</f>
        <v/>
      </c>
      <c r="LI37" t="str">
        <f>IF('Data Checking'!LU37="","",'Data Checking'!LU37)</f>
        <v/>
      </c>
      <c r="LJ37" t="str">
        <f>IF('Data Checking'!LV37="","",'Data Checking'!LV37)</f>
        <v/>
      </c>
      <c r="LK37" t="str">
        <f>IF('Data Checking'!LW37="","",'Data Checking'!LW37)</f>
        <v/>
      </c>
      <c r="LL37" t="str">
        <f>IF('Data Checking'!LX37="","",'Data Checking'!LX37)</f>
        <v/>
      </c>
      <c r="LM37" t="str">
        <f>IF('Data Checking'!LY37="","",'Data Checking'!LY37)</f>
        <v/>
      </c>
      <c r="LN37" t="str">
        <f>IF('Data Checking'!LZ37="","",'Data Checking'!LZ37)</f>
        <v/>
      </c>
      <c r="LO37" t="str">
        <f>IF('Data Checking'!MA37="","",'Data Checking'!MA37)</f>
        <v/>
      </c>
      <c r="LP37" t="str">
        <f>IF('Data Checking'!MB37="","",'Data Checking'!MB37)</f>
        <v>oui</v>
      </c>
      <c r="LQ37" t="str">
        <f>IF('Data Checking'!MC37="","",'Data Checking'!MC37)</f>
        <v/>
      </c>
      <c r="LR37" t="str">
        <f>IF('Data Checking'!MD37="","",'Data Checking'!MD37)</f>
        <v>Nous on veux avoir seulement la paix dans notre pays pour qu'on puisse nous préoccupe a nos occupations</v>
      </c>
      <c r="LS37">
        <f>IF('Data Checking'!ME37="","",'Data Checking'!ME37)</f>
        <v>169217130</v>
      </c>
      <c r="LT37" t="str">
        <f>IF('Data Checking'!MF37="","",'Data Checking'!MF37)</f>
        <v>9bfe184b-e147-4dae-af55-d51117065e18</v>
      </c>
      <c r="LU37" t="str">
        <f>IF('Data Checking'!MG37="","",'Data Checking'!MG37)</f>
        <v>2021-04-01T19:25:56</v>
      </c>
      <c r="LV37" t="str">
        <f>IF('Data Checking'!MH37="","",'Data Checking'!MH37)</f>
        <v/>
      </c>
      <c r="LW37" t="str">
        <f>IF('Data Checking'!MI37="","",'Data Checking'!MI37)</f>
        <v>[]</v>
      </c>
      <c r="LX37" t="str">
        <f>IF('Data Checking'!MJ37="","",'Data Checking'!MJ37)</f>
        <v>submitted_via_web</v>
      </c>
      <c r="LY37" t="str">
        <f>IF('Data Checking'!MK37="","",'Data Checking'!MK37)</f>
        <v>reach_niger</v>
      </c>
      <c r="LZ37" t="str">
        <f>IF('Data Checking'!ML37="","",'Data Checking'!ML37)</f>
        <v/>
      </c>
      <c r="MA37">
        <f>IF('Data Checking'!MM37="","",'Data Checking'!MM37)</f>
        <v>16</v>
      </c>
    </row>
    <row r="38" spans="1:339" x14ac:dyDescent="0.3">
      <c r="A38" s="2" t="str">
        <f>IF('Data Checking'!D38="","",'Data Checking'!D38)</f>
        <v>2021-04-07T13:42:06.836+01:00</v>
      </c>
      <c r="B38" s="2" t="str">
        <f>IF('Data Checking'!E38="","",'Data Checking'!E38)</f>
        <v>2021-04-07T14:05:56.183+01:00</v>
      </c>
      <c r="C38" s="2" t="str">
        <f>IF('Data Checking'!M38="","",'Data Checking'!M38)</f>
        <v>2021-04-07</v>
      </c>
      <c r="D38" s="2" t="str">
        <f>IF('Data Checking'!N38="","",'Data Checking'!N38)</f>
        <v/>
      </c>
      <c r="E38" s="2" t="str">
        <f>IF('Data Checking'!O38="","",'Data Checking'!O38)</f>
        <v/>
      </c>
      <c r="F38" s="2" t="str">
        <f>IF('Data Checking'!R38="","",'Data Checking'!R38)</f>
        <v>Homme</v>
      </c>
      <c r="G38" s="2" t="str">
        <f>IF('Data Checking'!S38="","",'Data Checking'!S38)</f>
        <v>ouallam</v>
      </c>
      <c r="H38" s="2" t="str">
        <f>IF('Data Checking'!T38="","",'Data Checking'!T38)</f>
        <v>tondikiwindi</v>
      </c>
      <c r="I38" s="2" t="str">
        <f>IF('Data Checking'!U38="","",'Data Checking'!U38)</f>
        <v>mangaize</v>
      </c>
      <c r="J38" s="2" t="str">
        <f>IF('Data Checking'!V38="","",'Data Checking'!V38)</f>
        <v/>
      </c>
      <c r="K38" s="2" t="str">
        <f>IF('Data Checking'!W38="","",'Data Checking'!W38)</f>
        <v/>
      </c>
      <c r="L38" s="2" t="str">
        <f>IF('Data Checking'!X38="","",'Data Checking'!X38)</f>
        <v/>
      </c>
      <c r="M38" s="2" t="str">
        <f>IF('Data Checking'!Y38="","",'Data Checking'!Y38)</f>
        <v/>
      </c>
      <c r="N38" s="2" t="str">
        <f>IF('Data Checking'!Z38="","",'Data Checking'!Z38)</f>
        <v/>
      </c>
      <c r="O38" s="2" t="str">
        <f>IF('Data Checking'!AA38="","",'Data Checking'!AA38)</f>
        <v/>
      </c>
      <c r="P38" s="2" t="str">
        <f>IF('Data Checking'!AB38="","",'Data Checking'!AB38)</f>
        <v/>
      </c>
      <c r="Q38" s="2" t="str">
        <f>IF('Data Checking'!AC38="","",'Data Checking'!AC38)</f>
        <v/>
      </c>
      <c r="R38" s="2" t="str">
        <f>IF('Data Checking'!AD38="","",'Data Checking'!AD38)</f>
        <v>Homme</v>
      </c>
      <c r="S38" s="2" t="str">
        <f>IF('Data Checking'!AE38="","",'Data Checking'!AE38)</f>
        <v>30</v>
      </c>
      <c r="T38" s="2" t="str">
        <f>IF('Data Checking'!AF38="","",'Data Checking'!AF38)</f>
        <v>deplace_interne</v>
      </c>
      <c r="U38" s="2" t="str">
        <f>IF('Data Checking'!AG38="","",'Data Checking'!AG38)</f>
        <v/>
      </c>
      <c r="V38" s="2" t="str">
        <f>IF('Data Checking'!AH38="","",'Data Checking'!AH38)</f>
        <v/>
      </c>
      <c r="W38" s="2" t="str">
        <f>IF('Data Checking'!AI38="","",'Data Checking'!AI38)</f>
        <v/>
      </c>
      <c r="X38" s="2" t="str">
        <f>IF('Data Checking'!AJ38="","",'Data Checking'!AJ38)</f>
        <v/>
      </c>
      <c r="Y38" s="2" t="str">
        <f>IF('Data Checking'!AK38="","",'Data Checking'!AK38)</f>
        <v/>
      </c>
      <c r="Z38" s="2" t="str">
        <f>IF('Data Checking'!AL38="","",'Data Checking'!AL38)</f>
        <v>niger</v>
      </c>
      <c r="AA38" s="2" t="str">
        <f>IF('Data Checking'!AM38="","",'Data Checking'!AM38)</f>
        <v>tillaberi</v>
      </c>
      <c r="AB38" s="2" t="str">
        <f>IF('Data Checking'!AN38="","",'Data Checking'!AN38)</f>
        <v>ouallam</v>
      </c>
      <c r="AC38" s="2" t="str">
        <f>IF('Data Checking'!AO38="","",'Data Checking'!AO38)</f>
        <v/>
      </c>
      <c r="AD38" s="2" t="str">
        <f>IF('Data Checking'!AP38="","",'Data Checking'!AP38)</f>
        <v/>
      </c>
      <c r="AE38" s="2" t="str">
        <f>IF('Data Checking'!AQ38="","",'Data Checking'!AQ38)</f>
        <v/>
      </c>
      <c r="AF38" s="2" t="str">
        <f>IF('Data Checking'!AR38="","",'Data Checking'!AR38)</f>
        <v/>
      </c>
      <c r="AG38" s="2" t="str">
        <f>IF('Data Checking'!AS38="","",'Data Checking'!AS38)</f>
        <v>non</v>
      </c>
      <c r="AH38" s="2" t="str">
        <f>IF('Data Checking'!AT38="","",'Data Checking'!AT38)</f>
        <v/>
      </c>
      <c r="AI38" s="2" t="str">
        <f>IF('Data Checking'!AU38="","",'Data Checking'!AU38)</f>
        <v/>
      </c>
      <c r="AJ38" s="2" t="str">
        <f>IF('Data Checking'!AV38="","",'Data Checking'!AV38)</f>
        <v/>
      </c>
      <c r="AK38" s="2" t="str">
        <f>IF('Data Checking'!AW38="","",'Data Checking'!AW38)</f>
        <v/>
      </c>
      <c r="AL38" s="2" t="str">
        <f>IF('Data Checking'!AX38="","",'Data Checking'!AX38)</f>
        <v/>
      </c>
      <c r="AM38" s="2" t="str">
        <f>IF('Data Checking'!AY38="","",'Data Checking'!AY38)</f>
        <v/>
      </c>
      <c r="AN38" s="2" t="str">
        <f>IF('Data Checking'!AZ38="","",'Data Checking'!AZ38)</f>
        <v/>
      </c>
      <c r="AO38" s="2" t="str">
        <f>IF('Data Checking'!BA38="","",'Data Checking'!BA38)</f>
        <v/>
      </c>
      <c r="AP38" s="2" t="str">
        <f>IF('Data Checking'!BB38="","",'Data Checking'!BB38)</f>
        <v/>
      </c>
      <c r="AQ38" s="2" t="str">
        <f>IF('Data Checking'!BC38="","",'Data Checking'!BC38)</f>
        <v/>
      </c>
      <c r="AR38" s="2" t="str">
        <f>IF('Data Checking'!BD38="","",'Data Checking'!BD38)</f>
        <v/>
      </c>
      <c r="AS38" s="2" t="str">
        <f>IF('Data Checking'!BE38="","",'Data Checking'!BE38)</f>
        <v/>
      </c>
      <c r="AT38" s="2" t="str">
        <f>IF('Data Checking'!BF38="","",'Data Checking'!BF38)</f>
        <v/>
      </c>
      <c r="AU38" s="2" t="str">
        <f>IF('Data Checking'!BG38="","",'Data Checking'!BG38)</f>
        <v/>
      </c>
      <c r="AV38" s="2" t="str">
        <f>IF('Data Checking'!BH38="","",'Data Checking'!BH38)</f>
        <v/>
      </c>
      <c r="AW38" s="2" t="str">
        <f>IF('Data Checking'!BI38="","",'Data Checking'!BI38)</f>
        <v/>
      </c>
      <c r="AX38" s="2" t="str">
        <f>IF('Data Checking'!BJ38="","",'Data Checking'!BJ38)</f>
        <v/>
      </c>
      <c r="AY38" s="2" t="str">
        <f>IF('Data Checking'!BK38="","",'Data Checking'!BK38)</f>
        <v/>
      </c>
      <c r="AZ38" s="2" t="str">
        <f>IF('Data Checking'!BL38="","",'Data Checking'!BL38)</f>
        <v/>
      </c>
      <c r="BA38" s="2" t="str">
        <f>IF('Data Checking'!BM38="","",'Data Checking'!BM38)</f>
        <v/>
      </c>
      <c r="BB38" s="2" t="str">
        <f>IF('Data Checking'!BN38="","",'Data Checking'!BN38)</f>
        <v/>
      </c>
      <c r="BC38" s="2" t="str">
        <f>IF('Data Checking'!BO38="","",'Data Checking'!BO38)</f>
        <v/>
      </c>
      <c r="BD38" s="2" t="str">
        <f>IF('Data Checking'!BP38="","",'Data Checking'!BP38)</f>
        <v/>
      </c>
      <c r="BE38" s="2" t="str">
        <f>IF('Data Checking'!BQ38="","",'Data Checking'!BQ38)</f>
        <v/>
      </c>
      <c r="BF38" s="2" t="str">
        <f>IF('Data Checking'!BR38="","",'Data Checking'!BR38)</f>
        <v/>
      </c>
      <c r="BG38" s="2" t="str">
        <f>IF('Data Checking'!BS38="","",'Data Checking'!BS38)</f>
        <v/>
      </c>
      <c r="BH38" s="2" t="str">
        <f>IF('Data Checking'!BT38="","",'Data Checking'!BT38)</f>
        <v/>
      </c>
      <c r="BI38" s="2" t="str">
        <f>IF('Data Checking'!BU38="","",'Data Checking'!BU38)</f>
        <v/>
      </c>
      <c r="BJ38" s="2" t="str">
        <f>IF('Data Checking'!BV38="","",'Data Checking'!BV38)</f>
        <v/>
      </c>
      <c r="BK38" s="2" t="str">
        <f>IF('Data Checking'!BW38="","",'Data Checking'!BW38)</f>
        <v/>
      </c>
      <c r="BL38" s="2" t="str">
        <f>IF('Data Checking'!BX38="","",'Data Checking'!BX38)</f>
        <v/>
      </c>
      <c r="BM38" s="2" t="str">
        <f>IF('Data Checking'!BY38="","",'Data Checking'!BY38)</f>
        <v/>
      </c>
      <c r="BN38" s="2" t="str">
        <f>IF('Data Checking'!BZ38="","",'Data Checking'!BZ38)</f>
        <v/>
      </c>
      <c r="BO38" s="2" t="str">
        <f>IF('Data Checking'!CA38="","",'Data Checking'!CA38)</f>
        <v/>
      </c>
      <c r="BP38" s="2" t="str">
        <f>IF('Data Checking'!CB38="","",'Data Checking'!CB38)</f>
        <v/>
      </c>
      <c r="BQ38" s="2" t="str">
        <f>IF('Data Checking'!CC38="","",'Data Checking'!CC38)</f>
        <v>non</v>
      </c>
      <c r="BR38" s="2" t="str">
        <f>IF('Data Checking'!CD38="","",'Data Checking'!CD38)</f>
        <v/>
      </c>
      <c r="BS38" s="2" t="str">
        <f>IF('Data Checking'!CE38="","",'Data Checking'!CE38)</f>
        <v/>
      </c>
      <c r="BT38" s="2" t="str">
        <f>IF('Data Checking'!CF38="","",'Data Checking'!CF38)</f>
        <v/>
      </c>
      <c r="BU38" s="2" t="str">
        <f>IF('Data Checking'!CG38="","",'Data Checking'!CG38)</f>
        <v/>
      </c>
      <c r="BV38" s="2" t="str">
        <f>IF('Data Checking'!CH38="","",'Data Checking'!CH38)</f>
        <v/>
      </c>
      <c r="BW38" s="2" t="str">
        <f>IF('Data Checking'!CI38="","",'Data Checking'!CI38)</f>
        <v/>
      </c>
      <c r="BX38" s="2" t="str">
        <f>IF('Data Checking'!CJ38="","",'Data Checking'!CJ38)</f>
        <v/>
      </c>
      <c r="BY38" s="2" t="str">
        <f>IF('Data Checking'!CK38="","",'Data Checking'!CK38)</f>
        <v/>
      </c>
      <c r="BZ38" s="2" t="str">
        <f>IF('Data Checking'!CL38="","",'Data Checking'!CL38)</f>
        <v/>
      </c>
      <c r="CA38" s="2" t="str">
        <f>IF('Data Checking'!CM38="","",'Data Checking'!CM38)</f>
        <v/>
      </c>
      <c r="CB38" s="2" t="str">
        <f>IF('Data Checking'!CN38="","",'Data Checking'!CN38)</f>
        <v/>
      </c>
      <c r="CC38" s="2" t="str">
        <f>IF('Data Checking'!CO38="","",'Data Checking'!CO38)</f>
        <v/>
      </c>
      <c r="CD38" s="2" t="str">
        <f>IF('Data Checking'!CP38="","",'Data Checking'!CP38)</f>
        <v/>
      </c>
      <c r="CE38" s="2" t="str">
        <f>IF('Data Checking'!CQ38="","",'Data Checking'!CQ38)</f>
        <v/>
      </c>
      <c r="CF38" s="2" t="str">
        <f>IF('Data Checking'!CR38="","",'Data Checking'!CR38)</f>
        <v/>
      </c>
      <c r="CG38" s="2" t="str">
        <f>IF('Data Checking'!CS38="","",'Data Checking'!CS38)</f>
        <v/>
      </c>
      <c r="CH38" s="2" t="str">
        <f>IF('Data Checking'!CT38="","",'Data Checking'!CT38)</f>
        <v/>
      </c>
      <c r="CI38" s="2" t="str">
        <f>IF('Data Checking'!CU38="","",'Data Checking'!CU38)</f>
        <v/>
      </c>
      <c r="CJ38" s="2" t="str">
        <f>IF('Data Checking'!CV38="","",'Data Checking'!CV38)</f>
        <v/>
      </c>
      <c r="CK38" s="2" t="str">
        <f>IF('Data Checking'!CW38="","",'Data Checking'!CW38)</f>
        <v/>
      </c>
      <c r="CL38" s="2" t="str">
        <f>IF('Data Checking'!CX38="","",'Data Checking'!CX38)</f>
        <v/>
      </c>
      <c r="CM38" s="2" t="str">
        <f>IF('Data Checking'!CY38="","",'Data Checking'!CY38)</f>
        <v/>
      </c>
      <c r="CN38" s="2" t="str">
        <f>IF('Data Checking'!CZ38="","",'Data Checking'!CZ38)</f>
        <v/>
      </c>
      <c r="CO38" s="2" t="str">
        <f>IF('Data Checking'!DA38="","",'Data Checking'!DA38)</f>
        <v/>
      </c>
      <c r="CP38" s="2" t="str">
        <f>IF('Data Checking'!DB38="","",'Data Checking'!DB38)</f>
        <v/>
      </c>
      <c r="CQ38" s="2" t="str">
        <f>IF('Data Checking'!DC38="","",'Data Checking'!DC38)</f>
        <v/>
      </c>
      <c r="CR38" s="2" t="str">
        <f>IF('Data Checking'!DD38="","",'Data Checking'!DD38)</f>
        <v/>
      </c>
      <c r="CS38" s="2" t="str">
        <f>IF('Data Checking'!DE38="","",'Data Checking'!DE38)</f>
        <v/>
      </c>
      <c r="CT38" s="2" t="str">
        <f>IF('Data Checking'!DF38="","",'Data Checking'!DF38)</f>
        <v/>
      </c>
      <c r="CU38" s="2" t="str">
        <f>IF('Data Checking'!DG38="","",'Data Checking'!DG38)</f>
        <v/>
      </c>
      <c r="CV38" s="2" t="str">
        <f>IF('Data Checking'!DH38="","",'Data Checking'!DH38)</f>
        <v/>
      </c>
      <c r="CW38" s="2" t="str">
        <f>IF('Data Checking'!DI38="","",'Data Checking'!DI38)</f>
        <v/>
      </c>
      <c r="CX38" s="2" t="str">
        <f>IF('Data Checking'!DJ38="","",'Data Checking'!DJ38)</f>
        <v/>
      </c>
      <c r="CY38" s="2" t="str">
        <f>IF('Data Checking'!DK38="","",'Data Checking'!DK38)</f>
        <v/>
      </c>
      <c r="CZ38" s="2" t="str">
        <f>IF('Data Checking'!DL38="","",'Data Checking'!DL38)</f>
        <v/>
      </c>
      <c r="DA38" s="2" t="str">
        <f>IF('Data Checking'!DM38="","",'Data Checking'!DM38)</f>
        <v/>
      </c>
      <c r="DB38" s="2" t="str">
        <f>IF('Data Checking'!DN38="","",'Data Checking'!DN38)</f>
        <v/>
      </c>
      <c r="DC38" s="2" t="str">
        <f>IF('Data Checking'!DO38="","",'Data Checking'!DO38)</f>
        <v/>
      </c>
      <c r="DD38" s="2" t="str">
        <f>IF('Data Checking'!DP38="","",'Data Checking'!DP38)</f>
        <v/>
      </c>
      <c r="DE38" s="2" t="str">
        <f>IF('Data Checking'!DQ38="","",'Data Checking'!DQ38)</f>
        <v/>
      </c>
      <c r="DF38" s="2" t="str">
        <f>IF('Data Checking'!DR38="","",'Data Checking'!DR38)</f>
        <v/>
      </c>
      <c r="DG38" s="2" t="str">
        <f>IF('Data Checking'!DS38="","",'Data Checking'!DS38)</f>
        <v/>
      </c>
      <c r="DH38" s="2" t="str">
        <f>IF('Data Checking'!DT38="","",'Data Checking'!DT38)</f>
        <v/>
      </c>
      <c r="DI38" s="2" t="str">
        <f>IF('Data Checking'!DU38="","",'Data Checking'!DU38)</f>
        <v/>
      </c>
      <c r="DJ38" s="2" t="str">
        <f>IF('Data Checking'!DV38="","",'Data Checking'!DV38)</f>
        <v/>
      </c>
      <c r="DK38" s="2" t="str">
        <f>IF('Data Checking'!DW38="","",'Data Checking'!DW38)</f>
        <v/>
      </c>
      <c r="DL38" s="2" t="str">
        <f>IF('Data Checking'!DX38="","",'Data Checking'!DX38)</f>
        <v/>
      </c>
      <c r="DM38" s="2" t="str">
        <f>IF('Data Checking'!DY38="","",'Data Checking'!DY38)</f>
        <v/>
      </c>
      <c r="DN38" s="2" t="str">
        <f>IF('Data Checking'!DZ38="","",'Data Checking'!DZ38)</f>
        <v/>
      </c>
      <c r="DO38" s="2" t="str">
        <f>IF('Data Checking'!EA38="","",'Data Checking'!EA38)</f>
        <v/>
      </c>
      <c r="DP38" s="2" t="str">
        <f>IF('Data Checking'!EB38="","",'Data Checking'!EB38)</f>
        <v/>
      </c>
      <c r="DQ38" s="2" t="str">
        <f>IF('Data Checking'!EC38="","",'Data Checking'!EC38)</f>
        <v/>
      </c>
      <c r="DR38" s="2" t="str">
        <f>IF('Data Checking'!ED38="","",'Data Checking'!ED38)</f>
        <v/>
      </c>
      <c r="DS38" s="2" t="str">
        <f>IF('Data Checking'!EE38="","",'Data Checking'!EE38)</f>
        <v/>
      </c>
      <c r="DT38" s="2" t="str">
        <f>IF('Data Checking'!EF38="","",'Data Checking'!EF38)</f>
        <v/>
      </c>
      <c r="DU38" s="2" t="str">
        <f>IF('Data Checking'!EG38="","",'Data Checking'!EG38)</f>
        <v/>
      </c>
      <c r="DV38" s="2" t="str">
        <f>IF('Data Checking'!EH38="","",'Data Checking'!EH38)</f>
        <v/>
      </c>
      <c r="DW38" s="2" t="str">
        <f>IF('Data Checking'!EI38="","",'Data Checking'!EI38)</f>
        <v/>
      </c>
      <c r="DX38" s="2" t="str">
        <f>IF('Data Checking'!EJ38="","",'Data Checking'!EJ38)</f>
        <v/>
      </c>
      <c r="DY38" s="2" t="str">
        <f>IF('Data Checking'!EK38="","",'Data Checking'!EK38)</f>
        <v/>
      </c>
      <c r="DZ38" s="2" t="str">
        <f>IF('Data Checking'!EL38="","",'Data Checking'!EL38)</f>
        <v>dplct_abords_com</v>
      </c>
      <c r="EA38" s="2" t="str">
        <f>IF('Data Checking'!EM38="","",'Data Checking'!EM38)</f>
        <v>1</v>
      </c>
      <c r="EB38" s="2" t="str">
        <f>IF('Data Checking'!EN38="","",'Data Checking'!EN38)</f>
        <v>0</v>
      </c>
      <c r="EC38" s="2" t="str">
        <f>IF('Data Checking'!EO38="","",'Data Checking'!EO38)</f>
        <v>0</v>
      </c>
      <c r="ED38" s="2" t="str">
        <f>IF('Data Checking'!EP38="","",'Data Checking'!EP38)</f>
        <v>0</v>
      </c>
      <c r="EE38" s="2" t="str">
        <f>IF('Data Checking'!EQ38="","",'Data Checking'!EQ38)</f>
        <v>0</v>
      </c>
      <c r="EF38" s="2" t="str">
        <f>IF('Data Checking'!ER38="","",'Data Checking'!ER38)</f>
        <v>0</v>
      </c>
      <c r="EG38" s="2" t="str">
        <f>IF('Data Checking'!ES38="","",'Data Checking'!ES38)</f>
        <v>0</v>
      </c>
      <c r="EH38" s="2" t="str">
        <f>IF('Data Checking'!ET38="","",'Data Checking'!ET38)</f>
        <v>0</v>
      </c>
      <c r="EI38" s="2" t="str">
        <f>IF('Data Checking'!EU38="","",'Data Checking'!EU38)</f>
        <v>0</v>
      </c>
      <c r="EJ38" s="2" t="str">
        <f>IF('Data Checking'!EV38="","",'Data Checking'!EV38)</f>
        <v/>
      </c>
      <c r="EK38" s="2" t="str">
        <f>IF('Data Checking'!EW38="","",'Data Checking'!EW38)</f>
        <v/>
      </c>
      <c r="EL38" s="2" t="str">
        <f>IF('Data Checking'!EX38="","",'Data Checking'!EX38)</f>
        <v>Autre</v>
      </c>
      <c r="EM38" s="2" t="str">
        <f>IF('Data Checking'!EY38="","",'Data Checking'!EY38)</f>
        <v>0</v>
      </c>
      <c r="EN38" s="2" t="str">
        <f>IF('Data Checking'!EZ38="","",'Data Checking'!EZ38)</f>
        <v>0</v>
      </c>
      <c r="EO38" s="2" t="str">
        <f>IF('Data Checking'!FA38="","",'Data Checking'!FA38)</f>
        <v>0</v>
      </c>
      <c r="EP38" s="2" t="str">
        <f>IF('Data Checking'!FB38="","",'Data Checking'!FB38)</f>
        <v>0</v>
      </c>
      <c r="EQ38" s="2" t="str">
        <f>IF('Data Checking'!FC38="","",'Data Checking'!FC38)</f>
        <v>0</v>
      </c>
      <c r="ER38" s="2" t="str">
        <f>IF('Data Checking'!FD38="","",'Data Checking'!FD38)</f>
        <v>0</v>
      </c>
      <c r="ES38" s="2" t="str">
        <f>IF('Data Checking'!FE38="","",'Data Checking'!FE38)</f>
        <v>0</v>
      </c>
      <c r="ET38" s="2" t="str">
        <f>IF('Data Checking'!FF38="","",'Data Checking'!FF38)</f>
        <v>1</v>
      </c>
      <c r="EU38" s="2" t="str">
        <f>IF('Data Checking'!FG38="","",'Data Checking'!FG38)</f>
        <v>0</v>
      </c>
      <c r="EV38" s="2" t="str">
        <f>IF('Data Checking'!FH38="","",'Data Checking'!FH38)</f>
        <v>0</v>
      </c>
      <c r="EW38" s="2" t="str">
        <f>IF('Data Checking'!FI38="","",'Data Checking'!FI38)</f>
        <v xml:space="preserve">Chef de village </v>
      </c>
      <c r="EX38" s="2" t="str">
        <f>IF('Data Checking'!FJ38="","",'Data Checking'!FJ38)</f>
        <v>ne_sait_pas</v>
      </c>
      <c r="EY38" s="2" t="str">
        <f>IF('Data Checking'!FK38="","",'Data Checking'!FK38)</f>
        <v/>
      </c>
      <c r="EZ38" s="2" t="str">
        <f>IF('Data Checking'!FL38="","",'Data Checking'!FL38)</f>
        <v/>
      </c>
      <c r="FA38" s="2" t="str">
        <f>IF('Data Checking'!FM38="","",'Data Checking'!FM38)</f>
        <v/>
      </c>
      <c r="FB38" s="2" t="str">
        <f>IF('Data Checking'!FN38="","",'Data Checking'!FN38)</f>
        <v/>
      </c>
      <c r="FC38" s="2" t="str">
        <f>IF('Data Checking'!FO38="","",'Data Checking'!FO38)</f>
        <v/>
      </c>
      <c r="FD38" s="2" t="str">
        <f>IF('Data Checking'!FP38="","",'Data Checking'!FP38)</f>
        <v/>
      </c>
      <c r="FE38" s="2" t="str">
        <f>IF('Data Checking'!FQ38="","",'Data Checking'!FQ38)</f>
        <v/>
      </c>
      <c r="FF38" s="2" t="str">
        <f>IF('Data Checking'!FR38="","",'Data Checking'!FR38)</f>
        <v/>
      </c>
      <c r="FG38" s="2" t="str">
        <f>IF('Data Checking'!FS38="","",'Data Checking'!FS38)</f>
        <v/>
      </c>
      <c r="FH38" s="2" t="str">
        <f>IF('Data Checking'!FT38="","",'Data Checking'!FT38)</f>
        <v/>
      </c>
      <c r="FI38" s="2" t="str">
        <f>IF('Data Checking'!FU38="","",'Data Checking'!FU38)</f>
        <v/>
      </c>
      <c r="FJ38" s="2" t="str">
        <f>IF('Data Checking'!FV38="","",'Data Checking'!FV38)</f>
        <v/>
      </c>
      <c r="FK38" s="2" t="str">
        <f>IF('Data Checking'!FW38="","",'Data Checking'!FW38)</f>
        <v/>
      </c>
      <c r="FL38" s="2" t="str">
        <f>IF('Data Checking'!FX38="","",'Data Checking'!FX38)</f>
        <v/>
      </c>
      <c r="FM38" s="2" t="str">
        <f>IF('Data Checking'!FY38="","",'Data Checking'!FY38)</f>
        <v/>
      </c>
      <c r="FN38" s="2" t="str">
        <f>IF('Data Checking'!FZ38="","",'Data Checking'!FZ38)</f>
        <v/>
      </c>
      <c r="FO38" s="2" t="str">
        <f>IF('Data Checking'!GA38="","",'Data Checking'!GA38)</f>
        <v/>
      </c>
      <c r="FP38" s="2" t="str">
        <f>IF('Data Checking'!GB38="","",'Data Checking'!GB38)</f>
        <v/>
      </c>
      <c r="FQ38" s="2" t="str">
        <f>IF('Data Checking'!GC38="","",'Data Checking'!GC38)</f>
        <v/>
      </c>
      <c r="FR38" s="2" t="str">
        <f>IF('Data Checking'!GD38="","",'Data Checking'!GD38)</f>
        <v/>
      </c>
      <c r="FS38" s="2" t="str">
        <f>IF('Data Checking'!GE38="","",'Data Checking'!GE38)</f>
        <v/>
      </c>
      <c r="FT38" s="2" t="str">
        <f>IF('Data Checking'!GF38="","",'Data Checking'!GF38)</f>
        <v/>
      </c>
      <c r="FU38" s="2" t="str">
        <f>IF('Data Checking'!GG38="","",'Data Checking'!GG38)</f>
        <v/>
      </c>
      <c r="FV38" s="2" t="str">
        <f>IF('Data Checking'!GH38="","",'Data Checking'!GH38)</f>
        <v/>
      </c>
      <c r="FW38" s="2" t="str">
        <f>IF('Data Checking'!GI38="","",'Data Checking'!GI38)</f>
        <v/>
      </c>
      <c r="FX38" s="2" t="str">
        <f>IF('Data Checking'!GJ38="","",'Data Checking'!GJ38)</f>
        <v/>
      </c>
      <c r="FY38" s="2" t="str">
        <f>IF('Data Checking'!GK38="","",'Data Checking'!GK38)</f>
        <v/>
      </c>
      <c r="FZ38" s="2" t="str">
        <f>IF('Data Checking'!GL38="","",'Data Checking'!GL38)</f>
        <v/>
      </c>
      <c r="GA38" s="2" t="str">
        <f>IF('Data Checking'!GM38="","",'Data Checking'!GM38)</f>
        <v/>
      </c>
      <c r="GB38" s="2" t="str">
        <f>IF('Data Checking'!GN38="","",'Data Checking'!GN38)</f>
        <v/>
      </c>
      <c r="GC38" s="2" t="str">
        <f>IF('Data Checking'!GO38="","",'Data Checking'!GO38)</f>
        <v/>
      </c>
      <c r="GD38" s="2" t="str">
        <f>IF('Data Checking'!GP38="","",'Data Checking'!GP38)</f>
        <v/>
      </c>
      <c r="GE38" s="2" t="str">
        <f>IF('Data Checking'!GQ38="","",'Data Checking'!GQ38)</f>
        <v/>
      </c>
      <c r="GF38" s="2" t="str">
        <f>IF('Data Checking'!GR38="","",'Data Checking'!GR38)</f>
        <v/>
      </c>
      <c r="GG38" s="2" t="str">
        <f>IF('Data Checking'!GS38="","",'Data Checking'!GS38)</f>
        <v/>
      </c>
      <c r="GH38" s="2" t="str">
        <f>IF('Data Checking'!GT38="","",'Data Checking'!GT38)</f>
        <v/>
      </c>
      <c r="GI38" s="2" t="str">
        <f>IF('Data Checking'!GU38="","",'Data Checking'!GU38)</f>
        <v/>
      </c>
      <c r="GJ38" s="2" t="str">
        <f>IF('Data Checking'!GV38="","",'Data Checking'!GV38)</f>
        <v/>
      </c>
      <c r="GK38" s="2" t="str">
        <f>IF('Data Checking'!GW38="","",'Data Checking'!GW38)</f>
        <v/>
      </c>
      <c r="GL38" s="2" t="str">
        <f>IF('Data Checking'!GX38="","",'Data Checking'!GX38)</f>
        <v/>
      </c>
      <c r="GM38" s="2" t="str">
        <f>IF('Data Checking'!GY38="","",'Data Checking'!GY38)</f>
        <v/>
      </c>
      <c r="GN38" s="2" t="str">
        <f>IF('Data Checking'!GZ38="","",'Data Checking'!GZ38)</f>
        <v/>
      </c>
      <c r="GO38" s="2" t="str">
        <f>IF('Data Checking'!HA38="","",'Data Checking'!HA38)</f>
        <v/>
      </c>
      <c r="GP38" s="2" t="str">
        <f>IF('Data Checking'!HB38="","",'Data Checking'!HB38)</f>
        <v/>
      </c>
      <c r="GQ38" s="2" t="str">
        <f>IF('Data Checking'!HC38="","",'Data Checking'!HC38)</f>
        <v/>
      </c>
      <c r="GR38" s="2" t="str">
        <f>IF('Data Checking'!HD38="","",'Data Checking'!HD38)</f>
        <v/>
      </c>
      <c r="GS38" s="2" t="str">
        <f>IF('Data Checking'!HE38="","",'Data Checking'!HE38)</f>
        <v/>
      </c>
      <c r="GT38" s="2" t="str">
        <f>IF('Data Checking'!HF38="","",'Data Checking'!HF38)</f>
        <v/>
      </c>
      <c r="GU38" s="2" t="str">
        <f>IF('Data Checking'!HG38="","",'Data Checking'!HG38)</f>
        <v/>
      </c>
      <c r="GV38" s="2" t="str">
        <f>IF('Data Checking'!HH38="","",'Data Checking'!HH38)</f>
        <v/>
      </c>
      <c r="GW38" s="2" t="str">
        <f>IF('Data Checking'!HI38="","",'Data Checking'!HI38)</f>
        <v/>
      </c>
      <c r="GX38" s="2" t="str">
        <f>IF('Data Checking'!HJ38="","",'Data Checking'!HJ38)</f>
        <v/>
      </c>
      <c r="GY38" s="2" t="str">
        <f>IF('Data Checking'!HK38="","",'Data Checking'!HK38)</f>
        <v/>
      </c>
      <c r="GZ38" s="2" t="str">
        <f>IF('Data Checking'!HL38="","",'Data Checking'!HL38)</f>
        <v/>
      </c>
      <c r="HA38" s="2" t="str">
        <f>IF('Data Checking'!HM38="","",'Data Checking'!HM38)</f>
        <v/>
      </c>
      <c r="HB38" s="2" t="str">
        <f>IF('Data Checking'!HN38="","",'Data Checking'!HN38)</f>
        <v/>
      </c>
      <c r="HC38" s="2" t="str">
        <f>IF('Data Checking'!HO38="","",'Data Checking'!HO38)</f>
        <v/>
      </c>
      <c r="HD38" s="2" t="str">
        <f>IF('Data Checking'!HP38="","",'Data Checking'!HP38)</f>
        <v/>
      </c>
      <c r="HE38" s="2" t="str">
        <f>IF('Data Checking'!HQ38="","",'Data Checking'!HQ38)</f>
        <v/>
      </c>
      <c r="HF38" s="2" t="str">
        <f>IF('Data Checking'!HR38="","",'Data Checking'!HR38)</f>
        <v/>
      </c>
      <c r="HG38" s="2" t="str">
        <f>IF('Data Checking'!HS38="","",'Data Checking'!HS38)</f>
        <v/>
      </c>
      <c r="HH38" s="2" t="str">
        <f>IF('Data Checking'!HT38="","",'Data Checking'!HT38)</f>
        <v/>
      </c>
      <c r="HI38" s="2" t="str">
        <f>IF('Data Checking'!HU38="","",'Data Checking'!HU38)</f>
        <v>non</v>
      </c>
      <c r="HJ38" s="2" t="str">
        <f>IF('Data Checking'!HV38="","",'Data Checking'!HV38)</f>
        <v/>
      </c>
      <c r="HK38" s="2" t="str">
        <f>IF('Data Checking'!HW38="","",'Data Checking'!HW38)</f>
        <v/>
      </c>
      <c r="HL38" s="2" t="str">
        <f>IF('Data Checking'!HX38="","",'Data Checking'!HX38)</f>
        <v/>
      </c>
      <c r="HM38" s="2" t="str">
        <f>IF('Data Checking'!HY38="","",'Data Checking'!HY38)</f>
        <v/>
      </c>
      <c r="HN38" s="2" t="str">
        <f>IF('Data Checking'!HZ38="","",'Data Checking'!HZ38)</f>
        <v/>
      </c>
      <c r="HO38" s="2" t="str">
        <f>IF('Data Checking'!IA38="","",'Data Checking'!IA38)</f>
        <v/>
      </c>
      <c r="HP38" s="2" t="str">
        <f>IF('Data Checking'!IB38="","",'Data Checking'!IB38)</f>
        <v/>
      </c>
      <c r="HQ38" s="2" t="str">
        <f>IF('Data Checking'!IC38="","",'Data Checking'!IC38)</f>
        <v/>
      </c>
      <c r="HR38" s="2" t="str">
        <f>IF('Data Checking'!ID38="","",'Data Checking'!ID38)</f>
        <v/>
      </c>
      <c r="HS38" s="2" t="str">
        <f>IF('Data Checking'!IE38="","",'Data Checking'!IE38)</f>
        <v/>
      </c>
      <c r="HT38" s="2" t="str">
        <f>IF('Data Checking'!IF38="","",'Data Checking'!IF38)</f>
        <v/>
      </c>
      <c r="HU38" s="2" t="str">
        <f>IF('Data Checking'!IG38="","",'Data Checking'!IG38)</f>
        <v/>
      </c>
      <c r="HV38" s="2" t="str">
        <f>IF('Data Checking'!IH38="","",'Data Checking'!IH38)</f>
        <v>oui</v>
      </c>
      <c r="HW38" s="2" t="str">
        <f>IF('Data Checking'!II38="","",'Data Checking'!II38)</f>
        <v/>
      </c>
      <c r="HX38" s="2" t="str">
        <f>IF('Data Checking'!IJ38="","",'Data Checking'!IJ38)</f>
        <v/>
      </c>
      <c r="HY38" s="2" t="str">
        <f>IF('Data Checking'!IK38="","",'Data Checking'!IK38)</f>
        <v/>
      </c>
      <c r="HZ38" s="2" t="str">
        <f>IF('Data Checking'!IL38="","",'Data Checking'!IL38)</f>
        <v/>
      </c>
      <c r="IA38" s="2" t="str">
        <f>IF('Data Checking'!IM38="","",'Data Checking'!IM38)</f>
        <v/>
      </c>
      <c r="IB38" s="2" t="str">
        <f>IF('Data Checking'!IN38="","",'Data Checking'!IN38)</f>
        <v/>
      </c>
      <c r="IC38" s="2" t="str">
        <f>IF('Data Checking'!IO38="","",'Data Checking'!IO38)</f>
        <v/>
      </c>
      <c r="ID38" s="2" t="str">
        <f>IF('Data Checking'!IP38="","",'Data Checking'!IP38)</f>
        <v/>
      </c>
      <c r="IE38" s="2" t="str">
        <f>IF('Data Checking'!IQ38="","",'Data Checking'!IQ38)</f>
        <v/>
      </c>
      <c r="IF38" s="2" t="str">
        <f>IF('Data Checking'!IR38="","",'Data Checking'!IR38)</f>
        <v/>
      </c>
      <c r="IG38" s="2" t="str">
        <f>IF('Data Checking'!IS38="","",'Data Checking'!IS38)</f>
        <v/>
      </c>
      <c r="IH38" s="2" t="str">
        <f>IF('Data Checking'!IT38="","",'Data Checking'!IT38)</f>
        <v/>
      </c>
      <c r="II38" s="2" t="str">
        <f>IF('Data Checking'!IU38="","",'Data Checking'!IU38)</f>
        <v/>
      </c>
      <c r="IJ38" s="2" t="str">
        <f>IF('Data Checking'!IV38="","",'Data Checking'!IV38)</f>
        <v/>
      </c>
      <c r="IK38" s="2" t="str">
        <f>IF('Data Checking'!IW38="","",'Data Checking'!IW38)</f>
        <v/>
      </c>
      <c r="IL38" s="2" t="str">
        <f>IF('Data Checking'!IX38="","",'Data Checking'!IX38)</f>
        <v/>
      </c>
      <c r="IM38" s="2" t="str">
        <f>IF('Data Checking'!IY38="","",'Data Checking'!IY38)</f>
        <v/>
      </c>
      <c r="IN38" s="2" t="str">
        <f>IF('Data Checking'!IZ38="","",'Data Checking'!IZ38)</f>
        <v/>
      </c>
      <c r="IO38" s="2" t="str">
        <f>IF('Data Checking'!JA38="","",'Data Checking'!JA38)</f>
        <v/>
      </c>
      <c r="IP38" s="2" t="str">
        <f>IF('Data Checking'!JB38="","",'Data Checking'!JB38)</f>
        <v/>
      </c>
      <c r="IQ38" s="2" t="str">
        <f>IF('Data Checking'!JC38="","",'Data Checking'!JC38)</f>
        <v/>
      </c>
      <c r="IR38" s="2" t="str">
        <f>IF('Data Checking'!JD38="","",'Data Checking'!JD38)</f>
        <v/>
      </c>
      <c r="IS38" s="2" t="str">
        <f>IF('Data Checking'!JE38="","",'Data Checking'!JE38)</f>
        <v/>
      </c>
      <c r="IT38" s="2" t="str">
        <f>IF('Data Checking'!JF38="","",'Data Checking'!JF38)</f>
        <v/>
      </c>
      <c r="IU38" s="2" t="str">
        <f>IF('Data Checking'!JG38="","",'Data Checking'!JG38)</f>
        <v/>
      </c>
      <c r="IV38" s="2" t="str">
        <f>IF('Data Checking'!JH38="","",'Data Checking'!JH38)</f>
        <v/>
      </c>
      <c r="IW38" s="2" t="str">
        <f>IF('Data Checking'!JI38="","",'Data Checking'!JI38)</f>
        <v/>
      </c>
      <c r="IX38" s="2" t="str">
        <f>IF('Data Checking'!JJ38="","",'Data Checking'!JJ38)</f>
        <v/>
      </c>
      <c r="IY38" s="2" t="str">
        <f>IF('Data Checking'!JK38="","",'Data Checking'!JK38)</f>
        <v/>
      </c>
      <c r="IZ38" s="2" t="str">
        <f>IF('Data Checking'!JL38="","",'Data Checking'!JL38)</f>
        <v/>
      </c>
      <c r="JA38" s="2" t="str">
        <f>IF('Data Checking'!JM38="","",'Data Checking'!JM38)</f>
        <v/>
      </c>
      <c r="JB38" s="2" t="str">
        <f>IF('Data Checking'!JN38="","",'Data Checking'!JN38)</f>
        <v/>
      </c>
      <c r="JC38" s="2" t="str">
        <f>IF('Data Checking'!JO38="","",'Data Checking'!JO38)</f>
        <v/>
      </c>
      <c r="JD38" s="2" t="str">
        <f>IF('Data Checking'!JP38="","",'Data Checking'!JP38)</f>
        <v/>
      </c>
      <c r="JE38" s="2" t="str">
        <f>IF('Data Checking'!JQ38="","",'Data Checking'!JQ38)</f>
        <v/>
      </c>
      <c r="JF38" s="2" t="str">
        <f>IF('Data Checking'!JR38="","",'Data Checking'!JR38)</f>
        <v/>
      </c>
      <c r="JG38" s="2" t="str">
        <f>IF('Data Checking'!JS38="","",'Data Checking'!JS38)</f>
        <v/>
      </c>
      <c r="JH38" s="2" t="str">
        <f>IF('Data Checking'!JT38="","",'Data Checking'!JT38)</f>
        <v/>
      </c>
      <c r="JI38" s="2" t="str">
        <f>IF('Data Checking'!JU38="","",'Data Checking'!JU38)</f>
        <v/>
      </c>
      <c r="JJ38" s="2" t="str">
        <f>IF('Data Checking'!JV38="","",'Data Checking'!JV38)</f>
        <v/>
      </c>
      <c r="JK38" s="2" t="str">
        <f>IF('Data Checking'!JW38="","",'Data Checking'!JW38)</f>
        <v/>
      </c>
      <c r="JL38" s="2" t="str">
        <f>IF('Data Checking'!JX38="","",'Data Checking'!JX38)</f>
        <v/>
      </c>
      <c r="JM38" s="2" t="str">
        <f>IF('Data Checking'!JY38="","",'Data Checking'!JY38)</f>
        <v/>
      </c>
      <c r="JN38" s="2" t="str">
        <f>IF('Data Checking'!JZ38="","",'Data Checking'!JZ38)</f>
        <v/>
      </c>
      <c r="JO38" s="2" t="str">
        <f>IF('Data Checking'!KA38="","",'Data Checking'!KA38)</f>
        <v/>
      </c>
      <c r="JP38" s="2" t="str">
        <f>IF('Data Checking'!KB38="","",'Data Checking'!KB38)</f>
        <v/>
      </c>
      <c r="JQ38" s="2" t="str">
        <f>IF('Data Checking'!KC38="","",'Data Checking'!KC38)</f>
        <v/>
      </c>
      <c r="JR38" s="2" t="str">
        <f>IF('Data Checking'!KD38="","",'Data Checking'!KD38)</f>
        <v/>
      </c>
      <c r="JS38" s="2" t="str">
        <f>IF('Data Checking'!KE38="","",'Data Checking'!KE38)</f>
        <v/>
      </c>
      <c r="JT38" s="2" t="str">
        <f>IF('Data Checking'!KF38="","",'Data Checking'!KF38)</f>
        <v/>
      </c>
      <c r="JU38" s="2" t="str">
        <f>IF('Data Checking'!KG38="","",'Data Checking'!KG38)</f>
        <v/>
      </c>
      <c r="JV38" s="2" t="str">
        <f>IF('Data Checking'!KH38="","",'Data Checking'!KH38)</f>
        <v/>
      </c>
      <c r="JW38" s="2" t="str">
        <f>IF('Data Checking'!KI38="","",'Data Checking'!KI38)</f>
        <v/>
      </c>
      <c r="JX38" s="2" t="str">
        <f>IF('Data Checking'!KJ38="","",'Data Checking'!KJ38)</f>
        <v/>
      </c>
      <c r="JY38" s="2" t="str">
        <f>IF('Data Checking'!KK38="","",'Data Checking'!KK38)</f>
        <v/>
      </c>
      <c r="JZ38" s="2" t="str">
        <f>IF('Data Checking'!KL38="","",'Data Checking'!KL38)</f>
        <v/>
      </c>
      <c r="KA38" s="2" t="str">
        <f>IF('Data Checking'!KM38="","",'Data Checking'!KM38)</f>
        <v/>
      </c>
      <c r="KB38" s="2" t="str">
        <f>IF('Data Checking'!KN38="","",'Data Checking'!KN38)</f>
        <v/>
      </c>
      <c r="KC38" s="2" t="str">
        <f>IF('Data Checking'!KO38="","",'Data Checking'!KO38)</f>
        <v/>
      </c>
      <c r="KD38" s="2" t="str">
        <f>IF('Data Checking'!KP38="","",'Data Checking'!KP38)</f>
        <v/>
      </c>
      <c r="KE38" s="2" t="str">
        <f>IF('Data Checking'!KQ38="","",'Data Checking'!KQ38)</f>
        <v/>
      </c>
      <c r="KF38" s="2" t="str">
        <f>IF('Data Checking'!KR38="","",'Data Checking'!KR38)</f>
        <v/>
      </c>
      <c r="KG38" s="2" t="str">
        <f>IF('Data Checking'!KS38="","",'Data Checking'!KS38)</f>
        <v/>
      </c>
      <c r="KH38" s="2" t="str">
        <f>IF('Data Checking'!KT38="","",'Data Checking'!KT38)</f>
        <v/>
      </c>
      <c r="KI38" s="2" t="str">
        <f>IF('Data Checking'!KU38="","",'Data Checking'!KU38)</f>
        <v/>
      </c>
      <c r="KJ38" s="2" t="str">
        <f>IF('Data Checking'!KV38="","",'Data Checking'!KV38)</f>
        <v/>
      </c>
      <c r="KK38" s="2" t="str">
        <f>IF('Data Checking'!KW38="","",'Data Checking'!KW38)</f>
        <v/>
      </c>
      <c r="KL38" s="2" t="str">
        <f>IF('Data Checking'!KX38="","",'Data Checking'!KX38)</f>
        <v/>
      </c>
      <c r="KM38" s="2" t="str">
        <f>IF('Data Checking'!KY38="","",'Data Checking'!KY38)</f>
        <v/>
      </c>
      <c r="KN38" s="2" t="str">
        <f>IF('Data Checking'!KZ38="","",'Data Checking'!KZ38)</f>
        <v/>
      </c>
      <c r="KO38" s="2" t="str">
        <f>IF('Data Checking'!LA38="","",'Data Checking'!LA38)</f>
        <v/>
      </c>
      <c r="KP38" s="2" t="str">
        <f>IF('Data Checking'!LB38="","",'Data Checking'!LB38)</f>
        <v/>
      </c>
      <c r="KQ38" s="2" t="str">
        <f>IF('Data Checking'!LC38="","",'Data Checking'!LC38)</f>
        <v/>
      </c>
      <c r="KR38" s="2" t="str">
        <f>IF('Data Checking'!LD38="","",'Data Checking'!LD38)</f>
        <v/>
      </c>
      <c r="KS38" s="2" t="str">
        <f>IF('Data Checking'!LE38="","",'Data Checking'!LE38)</f>
        <v/>
      </c>
      <c r="KT38" s="2" t="str">
        <f>IF('Data Checking'!LF38="","",'Data Checking'!LF38)</f>
        <v/>
      </c>
      <c r="KU38" s="2" t="str">
        <f>IF('Data Checking'!LG38="","",'Data Checking'!LG38)</f>
        <v/>
      </c>
      <c r="KV38" s="2" t="str">
        <f>IF('Data Checking'!LH38="","",'Data Checking'!LH38)</f>
        <v/>
      </c>
      <c r="KW38" s="2" t="str">
        <f>IF('Data Checking'!LI38="","",'Data Checking'!LI38)</f>
        <v/>
      </c>
      <c r="KX38" s="2" t="str">
        <f>IF('Data Checking'!LJ38="","",'Data Checking'!LJ38)</f>
        <v/>
      </c>
      <c r="KY38" s="2" t="str">
        <f>IF('Data Checking'!LK38="","",'Data Checking'!LK38)</f>
        <v/>
      </c>
      <c r="KZ38" s="2" t="str">
        <f>IF('Data Checking'!LL38="","",'Data Checking'!LL38)</f>
        <v/>
      </c>
      <c r="LA38" s="2" t="str">
        <f>IF('Data Checking'!LM38="","",'Data Checking'!LM38)</f>
        <v/>
      </c>
      <c r="LB38" s="2" t="str">
        <f>IF('Data Checking'!LN38="","",'Data Checking'!LN38)</f>
        <v/>
      </c>
      <c r="LC38" s="2" t="str">
        <f>IF('Data Checking'!LO38="","",'Data Checking'!LO38)</f>
        <v/>
      </c>
      <c r="LD38" s="2" t="str">
        <f>IF('Data Checking'!LP38="","",'Data Checking'!LP38)</f>
        <v/>
      </c>
      <c r="LE38" s="2" t="str">
        <f>IF('Data Checking'!LQ38="","",'Data Checking'!LQ38)</f>
        <v/>
      </c>
      <c r="LF38" s="2" t="str">
        <f>IF('Data Checking'!LR38="","",'Data Checking'!LR38)</f>
        <v/>
      </c>
      <c r="LG38" s="2" t="str">
        <f>IF('Data Checking'!LS38="","",'Data Checking'!LS38)</f>
        <v/>
      </c>
      <c r="LH38" s="2" t="str">
        <f>IF('Data Checking'!LT38="","",'Data Checking'!LT38)</f>
        <v/>
      </c>
      <c r="LI38" s="2" t="str">
        <f>IF('Data Checking'!LU38="","",'Data Checking'!LU38)</f>
        <v/>
      </c>
      <c r="LJ38" s="2" t="str">
        <f>IF('Data Checking'!LV38="","",'Data Checking'!LV38)</f>
        <v/>
      </c>
      <c r="LK38" s="2" t="str">
        <f>IF('Data Checking'!LW38="","",'Data Checking'!LW38)</f>
        <v/>
      </c>
      <c r="LL38" s="2" t="str">
        <f>IF('Data Checking'!LX38="","",'Data Checking'!LX38)</f>
        <v/>
      </c>
      <c r="LM38" s="2" t="str">
        <f>IF('Data Checking'!LY38="","",'Data Checking'!LY38)</f>
        <v/>
      </c>
      <c r="LN38" s="2" t="str">
        <f>IF('Data Checking'!LZ38="","",'Data Checking'!LZ38)</f>
        <v/>
      </c>
      <c r="LO38" s="2" t="str">
        <f>IF('Data Checking'!MA38="","",'Data Checking'!MA38)</f>
        <v/>
      </c>
      <c r="LP38" s="2" t="str">
        <f>IF('Data Checking'!MB38="","",'Data Checking'!MB38)</f>
        <v>oui</v>
      </c>
      <c r="LQ38" s="2" t="str">
        <f>IF('Data Checking'!MC38="","",'Data Checking'!MC38)</f>
        <v/>
      </c>
      <c r="LR38" s="2" t="str">
        <f>IF('Data Checking'!MD38="","",'Data Checking'!MD38)</f>
        <v xml:space="preserve">Paix,sécurité et le reste va venir tels que l'alimentation </v>
      </c>
      <c r="LS38" s="2">
        <f>IF('Data Checking'!ME38="","",'Data Checking'!ME38)</f>
        <v>170268445</v>
      </c>
      <c r="LT38" s="2" t="str">
        <f>IF('Data Checking'!MF38="","",'Data Checking'!MF38)</f>
        <v>d5ba87a2-015b-4a2f-95ff-e2f732a967d8</v>
      </c>
      <c r="LU38" s="2" t="str">
        <f>IF('Data Checking'!MG38="","",'Data Checking'!MG38)</f>
        <v>2021-04-07T17:50:17</v>
      </c>
      <c r="LV38" s="2" t="str">
        <f>IF('Data Checking'!MH38="","",'Data Checking'!MH38)</f>
        <v/>
      </c>
      <c r="LW38" s="2" t="str">
        <f>IF('Data Checking'!MI38="","",'Data Checking'!MI38)</f>
        <v>[]</v>
      </c>
      <c r="LX38" s="2" t="str">
        <f>IF('Data Checking'!MJ38="","",'Data Checking'!MJ38)</f>
        <v>submitted_via_web</v>
      </c>
      <c r="LY38" s="2" t="str">
        <f>IF('Data Checking'!MK38="","",'Data Checking'!MK38)</f>
        <v>reach_niger</v>
      </c>
      <c r="LZ38" s="2" t="str">
        <f>IF('Data Checking'!ML38="","",'Data Checking'!ML38)</f>
        <v/>
      </c>
      <c r="MA38" s="2">
        <f>IF('Data Checking'!MM38="","",'Data Checking'!MM38)</f>
        <v>53</v>
      </c>
    </row>
    <row r="39" spans="1:339" x14ac:dyDescent="0.3">
      <c r="A39" s="2" t="str">
        <f>IF('Data Checking'!D39="","",'Data Checking'!D39)</f>
        <v>2021-04-08T14:33:28.425+01:00</v>
      </c>
      <c r="B39" s="2" t="str">
        <f>IF('Data Checking'!E39="","",'Data Checking'!E39)</f>
        <v>2021-04-08T15:07:08.603+01:00</v>
      </c>
      <c r="C39" s="2" t="str">
        <f>IF('Data Checking'!M39="","",'Data Checking'!M39)</f>
        <v>2021-04-08</v>
      </c>
      <c r="D39" s="2" t="str">
        <f>IF('Data Checking'!N39="","",'Data Checking'!N39)</f>
        <v/>
      </c>
      <c r="E39" s="2" t="str">
        <f>IF('Data Checking'!O39="","",'Data Checking'!O39)</f>
        <v/>
      </c>
      <c r="F39" s="2" t="str">
        <f>IF('Data Checking'!R39="","",'Data Checking'!R39)</f>
        <v>Femme</v>
      </c>
      <c r="G39" s="2" t="str">
        <f>IF('Data Checking'!S39="","",'Data Checking'!S39)</f>
        <v>ouallam</v>
      </c>
      <c r="H39" s="2" t="str">
        <f>IF('Data Checking'!T39="","",'Data Checking'!T39)</f>
        <v>tondikiwindi</v>
      </c>
      <c r="I39" s="2" t="str">
        <f>IF('Data Checking'!U39="","",'Data Checking'!U39)</f>
        <v>tondikiwindi</v>
      </c>
      <c r="J39" s="2" t="str">
        <f>IF('Data Checking'!V39="","",'Data Checking'!V39)</f>
        <v/>
      </c>
      <c r="K39" s="2" t="str">
        <f>IF('Data Checking'!W39="","",'Data Checking'!W39)</f>
        <v/>
      </c>
      <c r="L39" s="2" t="str">
        <f>IF('Data Checking'!X39="","",'Data Checking'!X39)</f>
        <v/>
      </c>
      <c r="M39" s="2" t="str">
        <f>IF('Data Checking'!Y39="","",'Data Checking'!Y39)</f>
        <v/>
      </c>
      <c r="N39" s="2" t="str">
        <f>IF('Data Checking'!Z39="","",'Data Checking'!Z39)</f>
        <v/>
      </c>
      <c r="O39" s="2" t="str">
        <f>IF('Data Checking'!AA39="","",'Data Checking'!AA39)</f>
        <v/>
      </c>
      <c r="P39" s="2" t="str">
        <f>IF('Data Checking'!AB39="","",'Data Checking'!AB39)</f>
        <v/>
      </c>
      <c r="Q39" s="2" t="str">
        <f>IF('Data Checking'!AC39="","",'Data Checking'!AC39)</f>
        <v/>
      </c>
      <c r="R39" s="2" t="str">
        <f>IF('Data Checking'!AD39="","",'Data Checking'!AD39)</f>
        <v>Femme</v>
      </c>
      <c r="S39" s="2" t="str">
        <f>IF('Data Checking'!AE39="","",'Data Checking'!AE39)</f>
        <v>18</v>
      </c>
      <c r="T39" s="2" t="str">
        <f>IF('Data Checking'!AF39="","",'Data Checking'!AF39)</f>
        <v>deplace_interne</v>
      </c>
      <c r="U39" s="2" t="str">
        <f>IF('Data Checking'!AG39="","",'Data Checking'!AG39)</f>
        <v/>
      </c>
      <c r="V39" s="2" t="str">
        <f>IF('Data Checking'!AH39="","",'Data Checking'!AH39)</f>
        <v/>
      </c>
      <c r="W39" s="2" t="str">
        <f>IF('Data Checking'!AI39="","",'Data Checking'!AI39)</f>
        <v/>
      </c>
      <c r="X39" s="2" t="str">
        <f>IF('Data Checking'!AJ39="","",'Data Checking'!AJ39)</f>
        <v/>
      </c>
      <c r="Y39" s="2" t="str">
        <f>IF('Data Checking'!AK39="","",'Data Checking'!AK39)</f>
        <v/>
      </c>
      <c r="Z39" s="2" t="str">
        <f>IF('Data Checking'!AL39="","",'Data Checking'!AL39)</f>
        <v>niger</v>
      </c>
      <c r="AA39" s="2" t="str">
        <f>IF('Data Checking'!AM39="","",'Data Checking'!AM39)</f>
        <v>tillaberi</v>
      </c>
      <c r="AB39" s="2" t="str">
        <f>IF('Data Checking'!AN39="","",'Data Checking'!AN39)</f>
        <v>ouallam</v>
      </c>
      <c r="AC39" s="2" t="str">
        <f>IF('Data Checking'!AO39="","",'Data Checking'!AO39)</f>
        <v/>
      </c>
      <c r="AD39" s="2" t="str">
        <f>IF('Data Checking'!AP39="","",'Data Checking'!AP39)</f>
        <v/>
      </c>
      <c r="AE39" s="2" t="str">
        <f>IF('Data Checking'!AQ39="","",'Data Checking'!AQ39)</f>
        <v/>
      </c>
      <c r="AF39" s="2" t="str">
        <f>IF('Data Checking'!AR39="","",'Data Checking'!AR39)</f>
        <v/>
      </c>
      <c r="AG39" s="2" t="str">
        <f>IF('Data Checking'!AS39="","",'Data Checking'!AS39)</f>
        <v>non</v>
      </c>
      <c r="AH39" s="2" t="str">
        <f>IF('Data Checking'!AT39="","",'Data Checking'!AT39)</f>
        <v/>
      </c>
      <c r="AI39" s="2" t="str">
        <f>IF('Data Checking'!AU39="","",'Data Checking'!AU39)</f>
        <v/>
      </c>
      <c r="AJ39" s="2" t="str">
        <f>IF('Data Checking'!AV39="","",'Data Checking'!AV39)</f>
        <v/>
      </c>
      <c r="AK39" s="2" t="str">
        <f>IF('Data Checking'!AW39="","",'Data Checking'!AW39)</f>
        <v/>
      </c>
      <c r="AL39" s="2" t="str">
        <f>IF('Data Checking'!AX39="","",'Data Checking'!AX39)</f>
        <v/>
      </c>
      <c r="AM39" s="2" t="str">
        <f>IF('Data Checking'!AY39="","",'Data Checking'!AY39)</f>
        <v/>
      </c>
      <c r="AN39" s="2" t="str">
        <f>IF('Data Checking'!AZ39="","",'Data Checking'!AZ39)</f>
        <v/>
      </c>
      <c r="AO39" s="2" t="str">
        <f>IF('Data Checking'!BA39="","",'Data Checking'!BA39)</f>
        <v/>
      </c>
      <c r="AP39" s="2" t="str">
        <f>IF('Data Checking'!BB39="","",'Data Checking'!BB39)</f>
        <v/>
      </c>
      <c r="AQ39" s="2" t="str">
        <f>IF('Data Checking'!BC39="","",'Data Checking'!BC39)</f>
        <v/>
      </c>
      <c r="AR39" s="2" t="str">
        <f>IF('Data Checking'!BD39="","",'Data Checking'!BD39)</f>
        <v/>
      </c>
      <c r="AS39" s="2" t="str">
        <f>IF('Data Checking'!BE39="","",'Data Checking'!BE39)</f>
        <v/>
      </c>
      <c r="AT39" s="2" t="str">
        <f>IF('Data Checking'!BF39="","",'Data Checking'!BF39)</f>
        <v/>
      </c>
      <c r="AU39" s="2" t="str">
        <f>IF('Data Checking'!BG39="","",'Data Checking'!BG39)</f>
        <v/>
      </c>
      <c r="AV39" s="2" t="str">
        <f>IF('Data Checking'!BH39="","",'Data Checking'!BH39)</f>
        <v/>
      </c>
      <c r="AW39" s="2" t="str">
        <f>IF('Data Checking'!BI39="","",'Data Checking'!BI39)</f>
        <v/>
      </c>
      <c r="AX39" s="2" t="str">
        <f>IF('Data Checking'!BJ39="","",'Data Checking'!BJ39)</f>
        <v/>
      </c>
      <c r="AY39" s="2" t="str">
        <f>IF('Data Checking'!BK39="","",'Data Checking'!BK39)</f>
        <v/>
      </c>
      <c r="AZ39" s="2" t="str">
        <f>IF('Data Checking'!BL39="","",'Data Checking'!BL39)</f>
        <v/>
      </c>
      <c r="BA39" s="2" t="str">
        <f>IF('Data Checking'!BM39="","",'Data Checking'!BM39)</f>
        <v/>
      </c>
      <c r="BB39" s="2" t="str">
        <f>IF('Data Checking'!BN39="","",'Data Checking'!BN39)</f>
        <v/>
      </c>
      <c r="BC39" s="2" t="str">
        <f>IF('Data Checking'!BO39="","",'Data Checking'!BO39)</f>
        <v/>
      </c>
      <c r="BD39" s="2" t="str">
        <f>IF('Data Checking'!BP39="","",'Data Checking'!BP39)</f>
        <v/>
      </c>
      <c r="BE39" s="2" t="str">
        <f>IF('Data Checking'!BQ39="","",'Data Checking'!BQ39)</f>
        <v/>
      </c>
      <c r="BF39" s="2" t="str">
        <f>IF('Data Checking'!BR39="","",'Data Checking'!BR39)</f>
        <v/>
      </c>
      <c r="BG39" s="2" t="str">
        <f>IF('Data Checking'!BS39="","",'Data Checking'!BS39)</f>
        <v/>
      </c>
      <c r="BH39" s="2" t="str">
        <f>IF('Data Checking'!BT39="","",'Data Checking'!BT39)</f>
        <v/>
      </c>
      <c r="BI39" s="2" t="str">
        <f>IF('Data Checking'!BU39="","",'Data Checking'!BU39)</f>
        <v/>
      </c>
      <c r="BJ39" s="2" t="str">
        <f>IF('Data Checking'!BV39="","",'Data Checking'!BV39)</f>
        <v/>
      </c>
      <c r="BK39" s="2" t="str">
        <f>IF('Data Checking'!BW39="","",'Data Checking'!BW39)</f>
        <v/>
      </c>
      <c r="BL39" s="2" t="str">
        <f>IF('Data Checking'!BX39="","",'Data Checking'!BX39)</f>
        <v/>
      </c>
      <c r="BM39" s="2" t="str">
        <f>IF('Data Checking'!BY39="","",'Data Checking'!BY39)</f>
        <v/>
      </c>
      <c r="BN39" s="2" t="str">
        <f>IF('Data Checking'!BZ39="","",'Data Checking'!BZ39)</f>
        <v/>
      </c>
      <c r="BO39" s="2" t="str">
        <f>IF('Data Checking'!CA39="","",'Data Checking'!CA39)</f>
        <v/>
      </c>
      <c r="BP39" s="2" t="str">
        <f>IF('Data Checking'!CB39="","",'Data Checking'!CB39)</f>
        <v/>
      </c>
      <c r="BQ39" s="2" t="str">
        <f>IF('Data Checking'!CC39="","",'Data Checking'!CC39)</f>
        <v>non</v>
      </c>
      <c r="BR39" s="2" t="str">
        <f>IF('Data Checking'!CD39="","",'Data Checking'!CD39)</f>
        <v/>
      </c>
      <c r="BS39" s="2" t="str">
        <f>IF('Data Checking'!CE39="","",'Data Checking'!CE39)</f>
        <v/>
      </c>
      <c r="BT39" s="2" t="str">
        <f>IF('Data Checking'!CF39="","",'Data Checking'!CF39)</f>
        <v/>
      </c>
      <c r="BU39" s="2" t="str">
        <f>IF('Data Checking'!CG39="","",'Data Checking'!CG39)</f>
        <v/>
      </c>
      <c r="BV39" s="2" t="str">
        <f>IF('Data Checking'!CH39="","",'Data Checking'!CH39)</f>
        <v/>
      </c>
      <c r="BW39" s="2" t="str">
        <f>IF('Data Checking'!CI39="","",'Data Checking'!CI39)</f>
        <v/>
      </c>
      <c r="BX39" s="2" t="str">
        <f>IF('Data Checking'!CJ39="","",'Data Checking'!CJ39)</f>
        <v/>
      </c>
      <c r="BY39" s="2" t="str">
        <f>IF('Data Checking'!CK39="","",'Data Checking'!CK39)</f>
        <v/>
      </c>
      <c r="BZ39" s="2" t="str">
        <f>IF('Data Checking'!CL39="","",'Data Checking'!CL39)</f>
        <v/>
      </c>
      <c r="CA39" s="2" t="str">
        <f>IF('Data Checking'!CM39="","",'Data Checking'!CM39)</f>
        <v/>
      </c>
      <c r="CB39" s="2" t="str">
        <f>IF('Data Checking'!CN39="","",'Data Checking'!CN39)</f>
        <v/>
      </c>
      <c r="CC39" s="2" t="str">
        <f>IF('Data Checking'!CO39="","",'Data Checking'!CO39)</f>
        <v/>
      </c>
      <c r="CD39" s="2" t="str">
        <f>IF('Data Checking'!CP39="","",'Data Checking'!CP39)</f>
        <v/>
      </c>
      <c r="CE39" s="2" t="str">
        <f>IF('Data Checking'!CQ39="","",'Data Checking'!CQ39)</f>
        <v/>
      </c>
      <c r="CF39" s="2" t="str">
        <f>IF('Data Checking'!CR39="","",'Data Checking'!CR39)</f>
        <v/>
      </c>
      <c r="CG39" s="2" t="str">
        <f>IF('Data Checking'!CS39="","",'Data Checking'!CS39)</f>
        <v/>
      </c>
      <c r="CH39" s="2" t="str">
        <f>IF('Data Checking'!CT39="","",'Data Checking'!CT39)</f>
        <v/>
      </c>
      <c r="CI39" s="2" t="str">
        <f>IF('Data Checking'!CU39="","",'Data Checking'!CU39)</f>
        <v/>
      </c>
      <c r="CJ39" s="2" t="str">
        <f>IF('Data Checking'!CV39="","",'Data Checking'!CV39)</f>
        <v/>
      </c>
      <c r="CK39" s="2" t="str">
        <f>IF('Data Checking'!CW39="","",'Data Checking'!CW39)</f>
        <v/>
      </c>
      <c r="CL39" s="2" t="str">
        <f>IF('Data Checking'!CX39="","",'Data Checking'!CX39)</f>
        <v/>
      </c>
      <c r="CM39" s="2" t="str">
        <f>IF('Data Checking'!CY39="","",'Data Checking'!CY39)</f>
        <v/>
      </c>
      <c r="CN39" s="2" t="str">
        <f>IF('Data Checking'!CZ39="","",'Data Checking'!CZ39)</f>
        <v/>
      </c>
      <c r="CO39" s="2" t="str">
        <f>IF('Data Checking'!DA39="","",'Data Checking'!DA39)</f>
        <v/>
      </c>
      <c r="CP39" s="2" t="str">
        <f>IF('Data Checking'!DB39="","",'Data Checking'!DB39)</f>
        <v/>
      </c>
      <c r="CQ39" s="2" t="str">
        <f>IF('Data Checking'!DC39="","",'Data Checking'!DC39)</f>
        <v/>
      </c>
      <c r="CR39" s="2" t="str">
        <f>IF('Data Checking'!DD39="","",'Data Checking'!DD39)</f>
        <v/>
      </c>
      <c r="CS39" s="2" t="str">
        <f>IF('Data Checking'!DE39="","",'Data Checking'!DE39)</f>
        <v/>
      </c>
      <c r="CT39" s="2" t="str">
        <f>IF('Data Checking'!DF39="","",'Data Checking'!DF39)</f>
        <v/>
      </c>
      <c r="CU39" s="2" t="str">
        <f>IF('Data Checking'!DG39="","",'Data Checking'!DG39)</f>
        <v/>
      </c>
      <c r="CV39" s="2" t="str">
        <f>IF('Data Checking'!DH39="","",'Data Checking'!DH39)</f>
        <v/>
      </c>
      <c r="CW39" s="2" t="str">
        <f>IF('Data Checking'!DI39="","",'Data Checking'!DI39)</f>
        <v/>
      </c>
      <c r="CX39" s="2" t="str">
        <f>IF('Data Checking'!DJ39="","",'Data Checking'!DJ39)</f>
        <v/>
      </c>
      <c r="CY39" s="2" t="str">
        <f>IF('Data Checking'!DK39="","",'Data Checking'!DK39)</f>
        <v/>
      </c>
      <c r="CZ39" s="2" t="str">
        <f>IF('Data Checking'!DL39="","",'Data Checking'!DL39)</f>
        <v/>
      </c>
      <c r="DA39" s="2" t="str">
        <f>IF('Data Checking'!DM39="","",'Data Checking'!DM39)</f>
        <v/>
      </c>
      <c r="DB39" s="2" t="str">
        <f>IF('Data Checking'!DN39="","",'Data Checking'!DN39)</f>
        <v/>
      </c>
      <c r="DC39" s="2" t="str">
        <f>IF('Data Checking'!DO39="","",'Data Checking'!DO39)</f>
        <v/>
      </c>
      <c r="DD39" s="2" t="str">
        <f>IF('Data Checking'!DP39="","",'Data Checking'!DP39)</f>
        <v/>
      </c>
      <c r="DE39" s="2" t="str">
        <f>IF('Data Checking'!DQ39="","",'Data Checking'!DQ39)</f>
        <v/>
      </c>
      <c r="DF39" s="2" t="str">
        <f>IF('Data Checking'!DR39="","",'Data Checking'!DR39)</f>
        <v/>
      </c>
      <c r="DG39" s="2" t="str">
        <f>IF('Data Checking'!DS39="","",'Data Checking'!DS39)</f>
        <v/>
      </c>
      <c r="DH39" s="2" t="str">
        <f>IF('Data Checking'!DT39="","",'Data Checking'!DT39)</f>
        <v/>
      </c>
      <c r="DI39" s="2" t="str">
        <f>IF('Data Checking'!DU39="","",'Data Checking'!DU39)</f>
        <v/>
      </c>
      <c r="DJ39" s="2" t="str">
        <f>IF('Data Checking'!DV39="","",'Data Checking'!DV39)</f>
        <v/>
      </c>
      <c r="DK39" s="2" t="str">
        <f>IF('Data Checking'!DW39="","",'Data Checking'!DW39)</f>
        <v/>
      </c>
      <c r="DL39" s="2" t="str">
        <f>IF('Data Checking'!DX39="","",'Data Checking'!DX39)</f>
        <v/>
      </c>
      <c r="DM39" s="2" t="str">
        <f>IF('Data Checking'!DY39="","",'Data Checking'!DY39)</f>
        <v/>
      </c>
      <c r="DN39" s="2" t="str">
        <f>IF('Data Checking'!DZ39="","",'Data Checking'!DZ39)</f>
        <v/>
      </c>
      <c r="DO39" s="2" t="str">
        <f>IF('Data Checking'!EA39="","",'Data Checking'!EA39)</f>
        <v/>
      </c>
      <c r="DP39" s="2" t="str">
        <f>IF('Data Checking'!EB39="","",'Data Checking'!EB39)</f>
        <v/>
      </c>
      <c r="DQ39" s="2" t="str">
        <f>IF('Data Checking'!EC39="","",'Data Checking'!EC39)</f>
        <v/>
      </c>
      <c r="DR39" s="2" t="str">
        <f>IF('Data Checking'!ED39="","",'Data Checking'!ED39)</f>
        <v/>
      </c>
      <c r="DS39" s="2" t="str">
        <f>IF('Data Checking'!EE39="","",'Data Checking'!EE39)</f>
        <v/>
      </c>
      <c r="DT39" s="2" t="str">
        <f>IF('Data Checking'!EF39="","",'Data Checking'!EF39)</f>
        <v/>
      </c>
      <c r="DU39" s="2" t="str">
        <f>IF('Data Checking'!EG39="","",'Data Checking'!EG39)</f>
        <v/>
      </c>
      <c r="DV39" s="2" t="str">
        <f>IF('Data Checking'!EH39="","",'Data Checking'!EH39)</f>
        <v/>
      </c>
      <c r="DW39" s="2" t="str">
        <f>IF('Data Checking'!EI39="","",'Data Checking'!EI39)</f>
        <v/>
      </c>
      <c r="DX39" s="2" t="str">
        <f>IF('Data Checking'!EJ39="","",'Data Checking'!EJ39)</f>
        <v/>
      </c>
      <c r="DY39" s="2" t="str">
        <f>IF('Data Checking'!EK39="","",'Data Checking'!EK39)</f>
        <v/>
      </c>
      <c r="DZ39" s="2" t="str">
        <f>IF('Data Checking'!EL39="","",'Data Checking'!EL39)</f>
        <v>dplct_abords_com</v>
      </c>
      <c r="EA39" s="2" t="str">
        <f>IF('Data Checking'!EM39="","",'Data Checking'!EM39)</f>
        <v>1</v>
      </c>
      <c r="EB39" s="2" t="str">
        <f>IF('Data Checking'!EN39="","",'Data Checking'!EN39)</f>
        <v>0</v>
      </c>
      <c r="EC39" s="2" t="str">
        <f>IF('Data Checking'!EO39="","",'Data Checking'!EO39)</f>
        <v>0</v>
      </c>
      <c r="ED39" s="2" t="str">
        <f>IF('Data Checking'!EP39="","",'Data Checking'!EP39)</f>
        <v>0</v>
      </c>
      <c r="EE39" s="2" t="str">
        <f>IF('Data Checking'!EQ39="","",'Data Checking'!EQ39)</f>
        <v>0</v>
      </c>
      <c r="EF39" s="2" t="str">
        <f>IF('Data Checking'!ER39="","",'Data Checking'!ER39)</f>
        <v>0</v>
      </c>
      <c r="EG39" s="2" t="str">
        <f>IF('Data Checking'!ES39="","",'Data Checking'!ES39)</f>
        <v>0</v>
      </c>
      <c r="EH39" s="2" t="str">
        <f>IF('Data Checking'!ET39="","",'Data Checking'!ET39)</f>
        <v>0</v>
      </c>
      <c r="EI39" s="2" t="str">
        <f>IF('Data Checking'!EU39="","",'Data Checking'!EU39)</f>
        <v>0</v>
      </c>
      <c r="EJ39" s="2" t="str">
        <f>IF('Data Checking'!EV39="","",'Data Checking'!EV39)</f>
        <v/>
      </c>
      <c r="EK39" s="2" t="str">
        <f>IF('Data Checking'!EW39="","",'Data Checking'!EW39)</f>
        <v/>
      </c>
      <c r="EL39" s="2" t="str">
        <f>IF('Data Checking'!EX39="","",'Data Checking'!EX39)</f>
        <v>Ne_sait_pas</v>
      </c>
      <c r="EM39" s="2" t="str">
        <f>IF('Data Checking'!EY39="","",'Data Checking'!EY39)</f>
        <v>0</v>
      </c>
      <c r="EN39" s="2" t="str">
        <f>IF('Data Checking'!EZ39="","",'Data Checking'!EZ39)</f>
        <v>0</v>
      </c>
      <c r="EO39" s="2" t="str">
        <f>IF('Data Checking'!FA39="","",'Data Checking'!FA39)</f>
        <v>0</v>
      </c>
      <c r="EP39" s="2" t="str">
        <f>IF('Data Checking'!FB39="","",'Data Checking'!FB39)</f>
        <v>0</v>
      </c>
      <c r="EQ39" s="2" t="str">
        <f>IF('Data Checking'!FC39="","",'Data Checking'!FC39)</f>
        <v>0</v>
      </c>
      <c r="ER39" s="2" t="str">
        <f>IF('Data Checking'!FD39="","",'Data Checking'!FD39)</f>
        <v>0</v>
      </c>
      <c r="ES39" s="2" t="str">
        <f>IF('Data Checking'!FE39="","",'Data Checking'!FE39)</f>
        <v>0</v>
      </c>
      <c r="ET39" s="2" t="str">
        <f>IF('Data Checking'!FF39="","",'Data Checking'!FF39)</f>
        <v>0</v>
      </c>
      <c r="EU39" s="2" t="str">
        <f>IF('Data Checking'!FG39="","",'Data Checking'!FG39)</f>
        <v>1</v>
      </c>
      <c r="EV39" s="2" t="str">
        <f>IF('Data Checking'!FH39="","",'Data Checking'!FH39)</f>
        <v>0</v>
      </c>
      <c r="EW39" s="2" t="str">
        <f>IF('Data Checking'!FI39="","",'Data Checking'!FI39)</f>
        <v/>
      </c>
      <c r="EX39" s="2" t="str">
        <f>IF('Data Checking'!FJ39="","",'Data Checking'!FJ39)</f>
        <v>oui</v>
      </c>
      <c r="EY39" s="2" t="str">
        <f>IF('Data Checking'!FK39="","",'Data Checking'!FK39)</f>
        <v>Radio_television Chef_village</v>
      </c>
      <c r="EZ39" s="2" t="str">
        <f>IF('Data Checking'!FL39="","",'Data Checking'!FL39)</f>
        <v>1</v>
      </c>
      <c r="FA39" s="2" t="str">
        <f>IF('Data Checking'!FM39="","",'Data Checking'!FM39)</f>
        <v>0</v>
      </c>
      <c r="FB39" s="2" t="str">
        <f>IF('Data Checking'!FN39="","",'Data Checking'!FN39)</f>
        <v>0</v>
      </c>
      <c r="FC39" s="2" t="str">
        <f>IF('Data Checking'!FO39="","",'Data Checking'!FO39)</f>
        <v>0</v>
      </c>
      <c r="FD39" s="2" t="str">
        <f>IF('Data Checking'!FP39="","",'Data Checking'!FP39)</f>
        <v>1</v>
      </c>
      <c r="FE39" s="2" t="str">
        <f>IF('Data Checking'!FQ39="","",'Data Checking'!FQ39)</f>
        <v>0</v>
      </c>
      <c r="FF39" s="2" t="str">
        <f>IF('Data Checking'!FR39="","",'Data Checking'!FR39)</f>
        <v>0</v>
      </c>
      <c r="FG39" s="2" t="str">
        <f>IF('Data Checking'!FS39="","",'Data Checking'!FS39)</f>
        <v>0</v>
      </c>
      <c r="FH39" s="2" t="str">
        <f>IF('Data Checking'!FT39="","",'Data Checking'!FT39)</f>
        <v>0</v>
      </c>
      <c r="FI39" s="2" t="str">
        <f>IF('Data Checking'!FU39="","",'Data Checking'!FU39)</f>
        <v>0</v>
      </c>
      <c r="FJ39" s="2" t="str">
        <f>IF('Data Checking'!FV39="","",'Data Checking'!FV39)</f>
        <v>0</v>
      </c>
      <c r="FK39" s="2" t="str">
        <f>IF('Data Checking'!FW39="","",'Data Checking'!FW39)</f>
        <v>0</v>
      </c>
      <c r="FL39" s="2" t="str">
        <f>IF('Data Checking'!FX39="","",'Data Checking'!FX39)</f>
        <v>0</v>
      </c>
      <c r="FM39" s="2" t="str">
        <f>IF('Data Checking'!FY39="","",'Data Checking'!FY39)</f>
        <v>0</v>
      </c>
      <c r="FN39" s="2" t="str">
        <f>IF('Data Checking'!FZ39="","",'Data Checking'!FZ39)</f>
        <v/>
      </c>
      <c r="FO39" s="2" t="str">
        <f>IF('Data Checking'!GA39="","",'Data Checking'!GA39)</f>
        <v>oui_minorite</v>
      </c>
      <c r="FP39" s="2" t="str">
        <f>IF('Data Checking'!GB39="","",'Data Checking'!GB39)</f>
        <v>oui_ensemble</v>
      </c>
      <c r="FQ39" s="2" t="str">
        <f>IF('Data Checking'!GC39="","",'Data Checking'!GC39)</f>
        <v/>
      </c>
      <c r="FR39" s="2" t="str">
        <f>IF('Data Checking'!GD39="","",'Data Checking'!GD39)</f>
        <v/>
      </c>
      <c r="FS39" s="2" t="str">
        <f>IF('Data Checking'!GE39="","",'Data Checking'!GE39)</f>
        <v/>
      </c>
      <c r="FT39" s="2" t="str">
        <f>IF('Data Checking'!GF39="","",'Data Checking'!GF39)</f>
        <v/>
      </c>
      <c r="FU39" s="2" t="str">
        <f>IF('Data Checking'!GG39="","",'Data Checking'!GG39)</f>
        <v/>
      </c>
      <c r="FV39" s="2" t="str">
        <f>IF('Data Checking'!GH39="","",'Data Checking'!GH39)</f>
        <v/>
      </c>
      <c r="FW39" s="2" t="str">
        <f>IF('Data Checking'!GI39="","",'Data Checking'!GI39)</f>
        <v/>
      </c>
      <c r="FX39" s="2" t="str">
        <f>IF('Data Checking'!GJ39="","",'Data Checking'!GJ39)</f>
        <v/>
      </c>
      <c r="FY39" s="2" t="str">
        <f>IF('Data Checking'!GK39="","",'Data Checking'!GK39)</f>
        <v/>
      </c>
      <c r="FZ39" s="2" t="str">
        <f>IF('Data Checking'!GL39="","",'Data Checking'!GL39)</f>
        <v/>
      </c>
      <c r="GA39" s="2" t="str">
        <f>IF('Data Checking'!GM39="","",'Data Checking'!GM39)</f>
        <v>moitie</v>
      </c>
      <c r="GB39" s="2" t="str">
        <f>IF('Data Checking'!GN39="","",'Data Checking'!GN39)</f>
        <v>majorite</v>
      </c>
      <c r="GC39" s="2" t="str">
        <f>IF('Data Checking'!GO39="","",'Data Checking'!GO39)</f>
        <v>Autre</v>
      </c>
      <c r="GD39" s="2" t="str">
        <f>IF('Data Checking'!GP39="","",'Data Checking'!GP39)</f>
        <v>0</v>
      </c>
      <c r="GE39" s="2" t="str">
        <f>IF('Data Checking'!GQ39="","",'Data Checking'!GQ39)</f>
        <v>0</v>
      </c>
      <c r="GF39" s="2" t="str">
        <f>IF('Data Checking'!GR39="","",'Data Checking'!GR39)</f>
        <v>0</v>
      </c>
      <c r="GG39" s="2" t="str">
        <f>IF('Data Checking'!GS39="","",'Data Checking'!GS39)</f>
        <v>0</v>
      </c>
      <c r="GH39" s="2" t="str">
        <f>IF('Data Checking'!GT39="","",'Data Checking'!GT39)</f>
        <v>0</v>
      </c>
      <c r="GI39" s="2" t="str">
        <f>IF('Data Checking'!GU39="","",'Data Checking'!GU39)</f>
        <v>0</v>
      </c>
      <c r="GJ39" s="2" t="str">
        <f>IF('Data Checking'!GV39="","",'Data Checking'!GV39)</f>
        <v>0</v>
      </c>
      <c r="GK39" s="2" t="str">
        <f>IF('Data Checking'!GW39="","",'Data Checking'!GW39)</f>
        <v>1</v>
      </c>
      <c r="GL39" s="2" t="str">
        <f>IF('Data Checking'!GX39="","",'Data Checking'!GX39)</f>
        <v>0</v>
      </c>
      <c r="GM39" s="2" t="str">
        <f>IF('Data Checking'!GY39="","",'Data Checking'!GY39)</f>
        <v xml:space="preserve">Chef de village </v>
      </c>
      <c r="GN39" s="2" t="str">
        <f>IF('Data Checking'!GZ39="","",'Data Checking'!GZ39)</f>
        <v>oui_majorite</v>
      </c>
      <c r="GO39" s="2" t="str">
        <f>IF('Data Checking'!HA39="","",'Data Checking'!HA39)</f>
        <v>oui_majorite</v>
      </c>
      <c r="GP39" s="2" t="str">
        <f>IF('Data Checking'!HB39="","",'Data Checking'!HB39)</f>
        <v>amelioration_futur</v>
      </c>
      <c r="GQ39" s="2" t="str">
        <f>IF('Data Checking'!HC39="","",'Data Checking'!HC39)</f>
        <v>1</v>
      </c>
      <c r="GR39" s="2" t="str">
        <f>IF('Data Checking'!HD39="","",'Data Checking'!HD39)</f>
        <v>0</v>
      </c>
      <c r="GS39" s="2" t="str">
        <f>IF('Data Checking'!HE39="","",'Data Checking'!HE39)</f>
        <v>0</v>
      </c>
      <c r="GT39" s="2" t="str">
        <f>IF('Data Checking'!HF39="","",'Data Checking'!HF39)</f>
        <v>0</v>
      </c>
      <c r="GU39" s="2" t="str">
        <f>IF('Data Checking'!HG39="","",'Data Checking'!HG39)</f>
        <v>0</v>
      </c>
      <c r="GV39" s="2" t="str">
        <f>IF('Data Checking'!HH39="","",'Data Checking'!HH39)</f>
        <v>0</v>
      </c>
      <c r="GW39" s="2" t="str">
        <f>IF('Data Checking'!HI39="","",'Data Checking'!HI39)</f>
        <v>0</v>
      </c>
      <c r="GX39" s="2" t="str">
        <f>IF('Data Checking'!HJ39="","",'Data Checking'!HJ39)</f>
        <v>0</v>
      </c>
      <c r="GY39" s="2" t="str">
        <f>IF('Data Checking'!HK39="","",'Data Checking'!HK39)</f>
        <v/>
      </c>
      <c r="GZ39" s="2" t="str">
        <f>IF('Data Checking'!HL39="","",'Data Checking'!HL39)</f>
        <v>ne_contribue_pas</v>
      </c>
      <c r="HA39" s="2" t="str">
        <f>IF('Data Checking'!HM39="","",'Data Checking'!HM39)</f>
        <v>1</v>
      </c>
      <c r="HB39" s="2" t="str">
        <f>IF('Data Checking'!HN39="","",'Data Checking'!HN39)</f>
        <v>0</v>
      </c>
      <c r="HC39" s="2" t="str">
        <f>IF('Data Checking'!HO39="","",'Data Checking'!HO39)</f>
        <v>0</v>
      </c>
      <c r="HD39" s="2" t="str">
        <f>IF('Data Checking'!HP39="","",'Data Checking'!HP39)</f>
        <v>0</v>
      </c>
      <c r="HE39" s="2" t="str">
        <f>IF('Data Checking'!HQ39="","",'Data Checking'!HQ39)</f>
        <v>0</v>
      </c>
      <c r="HF39" s="2" t="str">
        <f>IF('Data Checking'!HR39="","",'Data Checking'!HR39)</f>
        <v>0</v>
      </c>
      <c r="HG39" s="2" t="str">
        <f>IF('Data Checking'!HS39="","",'Data Checking'!HS39)</f>
        <v/>
      </c>
      <c r="HH39" s="2" t="str">
        <f>IF('Data Checking'!HT39="","",'Data Checking'!HT39)</f>
        <v/>
      </c>
      <c r="HI39" s="2" t="str">
        <f>IF('Data Checking'!HU39="","",'Data Checking'!HU39)</f>
        <v>non</v>
      </c>
      <c r="HJ39" s="2" t="str">
        <f>IF('Data Checking'!HV39="","",'Data Checking'!HV39)</f>
        <v/>
      </c>
      <c r="HK39" s="2" t="str">
        <f>IF('Data Checking'!HW39="","",'Data Checking'!HW39)</f>
        <v/>
      </c>
      <c r="HL39" s="2" t="str">
        <f>IF('Data Checking'!HX39="","",'Data Checking'!HX39)</f>
        <v/>
      </c>
      <c r="HM39" s="2" t="str">
        <f>IF('Data Checking'!HY39="","",'Data Checking'!HY39)</f>
        <v/>
      </c>
      <c r="HN39" s="2" t="str">
        <f>IF('Data Checking'!HZ39="","",'Data Checking'!HZ39)</f>
        <v/>
      </c>
      <c r="HO39" s="2" t="str">
        <f>IF('Data Checking'!IA39="","",'Data Checking'!IA39)</f>
        <v/>
      </c>
      <c r="HP39" s="2" t="str">
        <f>IF('Data Checking'!IB39="","",'Data Checking'!IB39)</f>
        <v/>
      </c>
      <c r="HQ39" s="2" t="str">
        <f>IF('Data Checking'!IC39="","",'Data Checking'!IC39)</f>
        <v/>
      </c>
      <c r="HR39" s="2" t="str">
        <f>IF('Data Checking'!ID39="","",'Data Checking'!ID39)</f>
        <v/>
      </c>
      <c r="HS39" s="2" t="str">
        <f>IF('Data Checking'!IE39="","",'Data Checking'!IE39)</f>
        <v/>
      </c>
      <c r="HT39" s="2" t="str">
        <f>IF('Data Checking'!IF39="","",'Data Checking'!IF39)</f>
        <v/>
      </c>
      <c r="HU39" s="2" t="str">
        <f>IF('Data Checking'!IG39="","",'Data Checking'!IG39)</f>
        <v/>
      </c>
      <c r="HV39" s="2" t="str">
        <f>IF('Data Checking'!IH39="","",'Data Checking'!IH39)</f>
        <v>oui</v>
      </c>
      <c r="HW39" s="2" t="str">
        <f>IF('Data Checking'!II39="","",'Data Checking'!II39)</f>
        <v/>
      </c>
      <c r="HX39" s="2" t="str">
        <f>IF('Data Checking'!IJ39="","",'Data Checking'!IJ39)</f>
        <v/>
      </c>
      <c r="HY39" s="2" t="str">
        <f>IF('Data Checking'!IK39="","",'Data Checking'!IK39)</f>
        <v/>
      </c>
      <c r="HZ39" s="2" t="str">
        <f>IF('Data Checking'!IL39="","",'Data Checking'!IL39)</f>
        <v/>
      </c>
      <c r="IA39" s="2" t="str">
        <f>IF('Data Checking'!IM39="","",'Data Checking'!IM39)</f>
        <v/>
      </c>
      <c r="IB39" s="2" t="str">
        <f>IF('Data Checking'!IN39="","",'Data Checking'!IN39)</f>
        <v/>
      </c>
      <c r="IC39" s="2" t="str">
        <f>IF('Data Checking'!IO39="","",'Data Checking'!IO39)</f>
        <v/>
      </c>
      <c r="ID39" s="2" t="str">
        <f>IF('Data Checking'!IP39="","",'Data Checking'!IP39)</f>
        <v/>
      </c>
      <c r="IE39" s="2" t="str">
        <f>IF('Data Checking'!IQ39="","",'Data Checking'!IQ39)</f>
        <v/>
      </c>
      <c r="IF39" s="2" t="str">
        <f>IF('Data Checking'!IR39="","",'Data Checking'!IR39)</f>
        <v/>
      </c>
      <c r="IG39" s="2" t="str">
        <f>IF('Data Checking'!IS39="","",'Data Checking'!IS39)</f>
        <v/>
      </c>
      <c r="IH39" s="2" t="str">
        <f>IF('Data Checking'!IT39="","",'Data Checking'!IT39)</f>
        <v/>
      </c>
      <c r="II39" s="2" t="str">
        <f>IF('Data Checking'!IU39="","",'Data Checking'!IU39)</f>
        <v/>
      </c>
      <c r="IJ39" s="2" t="str">
        <f>IF('Data Checking'!IV39="","",'Data Checking'!IV39)</f>
        <v/>
      </c>
      <c r="IK39" s="2" t="str">
        <f>IF('Data Checking'!IW39="","",'Data Checking'!IW39)</f>
        <v/>
      </c>
      <c r="IL39" s="2" t="str">
        <f>IF('Data Checking'!IX39="","",'Data Checking'!IX39)</f>
        <v/>
      </c>
      <c r="IM39" s="2" t="str">
        <f>IF('Data Checking'!IY39="","",'Data Checking'!IY39)</f>
        <v/>
      </c>
      <c r="IN39" s="2" t="str">
        <f>IF('Data Checking'!IZ39="","",'Data Checking'!IZ39)</f>
        <v/>
      </c>
      <c r="IO39" s="2" t="str">
        <f>IF('Data Checking'!JA39="","",'Data Checking'!JA39)</f>
        <v/>
      </c>
      <c r="IP39" s="2" t="str">
        <f>IF('Data Checking'!JB39="","",'Data Checking'!JB39)</f>
        <v/>
      </c>
      <c r="IQ39" s="2" t="str">
        <f>IF('Data Checking'!JC39="","",'Data Checking'!JC39)</f>
        <v/>
      </c>
      <c r="IR39" s="2" t="str">
        <f>IF('Data Checking'!JD39="","",'Data Checking'!JD39)</f>
        <v/>
      </c>
      <c r="IS39" s="2" t="str">
        <f>IF('Data Checking'!JE39="","",'Data Checking'!JE39)</f>
        <v/>
      </c>
      <c r="IT39" s="2" t="str">
        <f>IF('Data Checking'!JF39="","",'Data Checking'!JF39)</f>
        <v/>
      </c>
      <c r="IU39" s="2" t="str">
        <f>IF('Data Checking'!JG39="","",'Data Checking'!JG39)</f>
        <v/>
      </c>
      <c r="IV39" s="2" t="str">
        <f>IF('Data Checking'!JH39="","",'Data Checking'!JH39)</f>
        <v/>
      </c>
      <c r="IW39" s="2" t="str">
        <f>IF('Data Checking'!JI39="","",'Data Checking'!JI39)</f>
        <v/>
      </c>
      <c r="IX39" s="2" t="str">
        <f>IF('Data Checking'!JJ39="","",'Data Checking'!JJ39)</f>
        <v/>
      </c>
      <c r="IY39" s="2" t="str">
        <f>IF('Data Checking'!JK39="","",'Data Checking'!JK39)</f>
        <v/>
      </c>
      <c r="IZ39" s="2" t="str">
        <f>IF('Data Checking'!JL39="","",'Data Checking'!JL39)</f>
        <v/>
      </c>
      <c r="JA39" s="2" t="str">
        <f>IF('Data Checking'!JM39="","",'Data Checking'!JM39)</f>
        <v/>
      </c>
      <c r="JB39" s="2" t="str">
        <f>IF('Data Checking'!JN39="","",'Data Checking'!JN39)</f>
        <v/>
      </c>
      <c r="JC39" s="2" t="str">
        <f>IF('Data Checking'!JO39="","",'Data Checking'!JO39)</f>
        <v/>
      </c>
      <c r="JD39" s="2" t="str">
        <f>IF('Data Checking'!JP39="","",'Data Checking'!JP39)</f>
        <v/>
      </c>
      <c r="JE39" s="2" t="str">
        <f>IF('Data Checking'!JQ39="","",'Data Checking'!JQ39)</f>
        <v/>
      </c>
      <c r="JF39" s="2" t="str">
        <f>IF('Data Checking'!JR39="","",'Data Checking'!JR39)</f>
        <v/>
      </c>
      <c r="JG39" s="2" t="str">
        <f>IF('Data Checking'!JS39="","",'Data Checking'!JS39)</f>
        <v/>
      </c>
      <c r="JH39" s="2" t="str">
        <f>IF('Data Checking'!JT39="","",'Data Checking'!JT39)</f>
        <v/>
      </c>
      <c r="JI39" s="2" t="str">
        <f>IF('Data Checking'!JU39="","",'Data Checking'!JU39)</f>
        <v/>
      </c>
      <c r="JJ39" s="2" t="str">
        <f>IF('Data Checking'!JV39="","",'Data Checking'!JV39)</f>
        <v/>
      </c>
      <c r="JK39" s="2" t="str">
        <f>IF('Data Checking'!JW39="","",'Data Checking'!JW39)</f>
        <v/>
      </c>
      <c r="JL39" s="2" t="str">
        <f>IF('Data Checking'!JX39="","",'Data Checking'!JX39)</f>
        <v/>
      </c>
      <c r="JM39" s="2" t="str">
        <f>IF('Data Checking'!JY39="","",'Data Checking'!JY39)</f>
        <v/>
      </c>
      <c r="JN39" s="2" t="str">
        <f>IF('Data Checking'!JZ39="","",'Data Checking'!JZ39)</f>
        <v/>
      </c>
      <c r="JO39" s="2" t="str">
        <f>IF('Data Checking'!KA39="","",'Data Checking'!KA39)</f>
        <v/>
      </c>
      <c r="JP39" s="2" t="str">
        <f>IF('Data Checking'!KB39="","",'Data Checking'!KB39)</f>
        <v/>
      </c>
      <c r="JQ39" s="2" t="str">
        <f>IF('Data Checking'!KC39="","",'Data Checking'!KC39)</f>
        <v/>
      </c>
      <c r="JR39" s="2" t="str">
        <f>IF('Data Checking'!KD39="","",'Data Checking'!KD39)</f>
        <v/>
      </c>
      <c r="JS39" s="2" t="str">
        <f>IF('Data Checking'!KE39="","",'Data Checking'!KE39)</f>
        <v/>
      </c>
      <c r="JT39" s="2" t="str">
        <f>IF('Data Checking'!KF39="","",'Data Checking'!KF39)</f>
        <v/>
      </c>
      <c r="JU39" s="2" t="str">
        <f>IF('Data Checking'!KG39="","",'Data Checking'!KG39)</f>
        <v/>
      </c>
      <c r="JV39" s="2" t="str">
        <f>IF('Data Checking'!KH39="","",'Data Checking'!KH39)</f>
        <v/>
      </c>
      <c r="JW39" s="2" t="str">
        <f>IF('Data Checking'!KI39="","",'Data Checking'!KI39)</f>
        <v/>
      </c>
      <c r="JX39" s="2" t="str">
        <f>IF('Data Checking'!KJ39="","",'Data Checking'!KJ39)</f>
        <v/>
      </c>
      <c r="JY39" s="2" t="str">
        <f>IF('Data Checking'!KK39="","",'Data Checking'!KK39)</f>
        <v/>
      </c>
      <c r="JZ39" s="2" t="str">
        <f>IF('Data Checking'!KL39="","",'Data Checking'!KL39)</f>
        <v/>
      </c>
      <c r="KA39" s="2" t="str">
        <f>IF('Data Checking'!KM39="","",'Data Checking'!KM39)</f>
        <v/>
      </c>
      <c r="KB39" s="2" t="str">
        <f>IF('Data Checking'!KN39="","",'Data Checking'!KN39)</f>
        <v/>
      </c>
      <c r="KC39" s="2" t="str">
        <f>IF('Data Checking'!KO39="","",'Data Checking'!KO39)</f>
        <v/>
      </c>
      <c r="KD39" s="2" t="str">
        <f>IF('Data Checking'!KP39="","",'Data Checking'!KP39)</f>
        <v/>
      </c>
      <c r="KE39" s="2" t="str">
        <f>IF('Data Checking'!KQ39="","",'Data Checking'!KQ39)</f>
        <v/>
      </c>
      <c r="KF39" s="2" t="str">
        <f>IF('Data Checking'!KR39="","",'Data Checking'!KR39)</f>
        <v/>
      </c>
      <c r="KG39" s="2" t="str">
        <f>IF('Data Checking'!KS39="","",'Data Checking'!KS39)</f>
        <v/>
      </c>
      <c r="KH39" s="2" t="str">
        <f>IF('Data Checking'!KT39="","",'Data Checking'!KT39)</f>
        <v/>
      </c>
      <c r="KI39" s="2" t="str">
        <f>IF('Data Checking'!KU39="","",'Data Checking'!KU39)</f>
        <v/>
      </c>
      <c r="KJ39" s="2" t="str">
        <f>IF('Data Checking'!KV39="","",'Data Checking'!KV39)</f>
        <v/>
      </c>
      <c r="KK39" s="2" t="str">
        <f>IF('Data Checking'!KW39="","",'Data Checking'!KW39)</f>
        <v/>
      </c>
      <c r="KL39" s="2" t="str">
        <f>IF('Data Checking'!KX39="","",'Data Checking'!KX39)</f>
        <v/>
      </c>
      <c r="KM39" s="2" t="str">
        <f>IF('Data Checking'!KY39="","",'Data Checking'!KY39)</f>
        <v/>
      </c>
      <c r="KN39" s="2" t="str">
        <f>IF('Data Checking'!KZ39="","",'Data Checking'!KZ39)</f>
        <v/>
      </c>
      <c r="KO39" s="2" t="str">
        <f>IF('Data Checking'!LA39="","",'Data Checking'!LA39)</f>
        <v/>
      </c>
      <c r="KP39" s="2" t="str">
        <f>IF('Data Checking'!LB39="","",'Data Checking'!LB39)</f>
        <v/>
      </c>
      <c r="KQ39" s="2" t="str">
        <f>IF('Data Checking'!LC39="","",'Data Checking'!LC39)</f>
        <v/>
      </c>
      <c r="KR39" s="2" t="str">
        <f>IF('Data Checking'!LD39="","",'Data Checking'!LD39)</f>
        <v/>
      </c>
      <c r="KS39" s="2" t="str">
        <f>IF('Data Checking'!LE39="","",'Data Checking'!LE39)</f>
        <v/>
      </c>
      <c r="KT39" s="2" t="str">
        <f>IF('Data Checking'!LF39="","",'Data Checking'!LF39)</f>
        <v/>
      </c>
      <c r="KU39" s="2" t="str">
        <f>IF('Data Checking'!LG39="","",'Data Checking'!LG39)</f>
        <v/>
      </c>
      <c r="KV39" s="2" t="str">
        <f>IF('Data Checking'!LH39="","",'Data Checking'!LH39)</f>
        <v/>
      </c>
      <c r="KW39" s="2" t="str">
        <f>IF('Data Checking'!LI39="","",'Data Checking'!LI39)</f>
        <v/>
      </c>
      <c r="KX39" s="2" t="str">
        <f>IF('Data Checking'!LJ39="","",'Data Checking'!LJ39)</f>
        <v/>
      </c>
      <c r="KY39" s="2" t="str">
        <f>IF('Data Checking'!LK39="","",'Data Checking'!LK39)</f>
        <v/>
      </c>
      <c r="KZ39" s="2" t="str">
        <f>IF('Data Checking'!LL39="","",'Data Checking'!LL39)</f>
        <v/>
      </c>
      <c r="LA39" s="2" t="str">
        <f>IF('Data Checking'!LM39="","",'Data Checking'!LM39)</f>
        <v/>
      </c>
      <c r="LB39" s="2" t="str">
        <f>IF('Data Checking'!LN39="","",'Data Checking'!LN39)</f>
        <v/>
      </c>
      <c r="LC39" s="2" t="str">
        <f>IF('Data Checking'!LO39="","",'Data Checking'!LO39)</f>
        <v/>
      </c>
      <c r="LD39" s="2" t="str">
        <f>IF('Data Checking'!LP39="","",'Data Checking'!LP39)</f>
        <v/>
      </c>
      <c r="LE39" s="2" t="str">
        <f>IF('Data Checking'!LQ39="","",'Data Checking'!LQ39)</f>
        <v/>
      </c>
      <c r="LF39" s="2" t="str">
        <f>IF('Data Checking'!LR39="","",'Data Checking'!LR39)</f>
        <v/>
      </c>
      <c r="LG39" s="2" t="str">
        <f>IF('Data Checking'!LS39="","",'Data Checking'!LS39)</f>
        <v/>
      </c>
      <c r="LH39" s="2" t="str">
        <f>IF('Data Checking'!LT39="","",'Data Checking'!LT39)</f>
        <v/>
      </c>
      <c r="LI39" s="2" t="str">
        <f>IF('Data Checking'!LU39="","",'Data Checking'!LU39)</f>
        <v/>
      </c>
      <c r="LJ39" s="2" t="str">
        <f>IF('Data Checking'!LV39="","",'Data Checking'!LV39)</f>
        <v/>
      </c>
      <c r="LK39" s="2" t="str">
        <f>IF('Data Checking'!LW39="","",'Data Checking'!LW39)</f>
        <v/>
      </c>
      <c r="LL39" s="2" t="str">
        <f>IF('Data Checking'!LX39="","",'Data Checking'!LX39)</f>
        <v/>
      </c>
      <c r="LM39" s="2" t="str">
        <f>IF('Data Checking'!LY39="","",'Data Checking'!LY39)</f>
        <v/>
      </c>
      <c r="LN39" s="2" t="str">
        <f>IF('Data Checking'!LZ39="","",'Data Checking'!LZ39)</f>
        <v/>
      </c>
      <c r="LO39" s="2" t="str">
        <f>IF('Data Checking'!MA39="","",'Data Checking'!MA39)</f>
        <v/>
      </c>
      <c r="LP39" s="2" t="str">
        <f>IF('Data Checking'!MB39="","",'Data Checking'!MB39)</f>
        <v>oui</v>
      </c>
      <c r="LQ39" s="2" t="str">
        <f>IF('Data Checking'!MC39="","",'Data Checking'!MC39)</f>
        <v/>
      </c>
      <c r="LR39" s="2" t="str">
        <f>IF('Data Checking'!MD39="","",'Data Checking'!MD39)</f>
        <v>Avoir vraiment la paix et retourner chez nous,c'est ca nôtre plus grand souhait</v>
      </c>
      <c r="LS39" s="2">
        <f>IF('Data Checking'!ME39="","",'Data Checking'!ME39)</f>
        <v>170583892</v>
      </c>
      <c r="LT39" s="2" t="str">
        <f>IF('Data Checking'!MF39="","",'Data Checking'!MF39)</f>
        <v>5f657c67-54a6-4b6c-acf6-9e0d817daced</v>
      </c>
      <c r="LU39" s="2" t="str">
        <f>IF('Data Checking'!MG39="","",'Data Checking'!MG39)</f>
        <v>2021-04-09T08:43:01</v>
      </c>
      <c r="LV39" s="2" t="str">
        <f>IF('Data Checking'!MH39="","",'Data Checking'!MH39)</f>
        <v/>
      </c>
      <c r="LW39" s="2" t="str">
        <f>IF('Data Checking'!MI39="","",'Data Checking'!MI39)</f>
        <v>[]</v>
      </c>
      <c r="LX39" s="2" t="str">
        <f>IF('Data Checking'!MJ39="","",'Data Checking'!MJ39)</f>
        <v>submitted_via_web</v>
      </c>
      <c r="LY39" s="2" t="str">
        <f>IF('Data Checking'!MK39="","",'Data Checking'!MK39)</f>
        <v>reach_niger</v>
      </c>
      <c r="LZ39" s="2" t="str">
        <f>IF('Data Checking'!ML39="","",'Data Checking'!ML39)</f>
        <v/>
      </c>
      <c r="MA39" s="2">
        <f>IF('Data Checking'!MM39="","",'Data Checking'!MM39)</f>
        <v>61</v>
      </c>
    </row>
    <row r="40" spans="1:339" x14ac:dyDescent="0.3">
      <c r="A40" s="2" t="str">
        <f>IF('Data Checking'!D40="","",'Data Checking'!D40)</f>
        <v>2021-04-08T12:24:26.599+01:00</v>
      </c>
      <c r="B40" s="2" t="str">
        <f>IF('Data Checking'!E40="","",'Data Checking'!E40)</f>
        <v>2021-04-08T12:56:01.524+01:00</v>
      </c>
      <c r="C40" s="2" t="str">
        <f>IF('Data Checking'!M40="","",'Data Checking'!M40)</f>
        <v>2021-04-08</v>
      </c>
      <c r="D40" s="2" t="str">
        <f>IF('Data Checking'!N40="","",'Data Checking'!N40)</f>
        <v/>
      </c>
      <c r="E40" s="2" t="str">
        <f>IF('Data Checking'!O40="","",'Data Checking'!O40)</f>
        <v/>
      </c>
      <c r="F40" s="2" t="str">
        <f>IF('Data Checking'!R40="","",'Data Checking'!R40)</f>
        <v>Homme</v>
      </c>
      <c r="G40" s="2" t="str">
        <f>IF('Data Checking'!S40="","",'Data Checking'!S40)</f>
        <v>ouallam</v>
      </c>
      <c r="H40" s="2" t="str">
        <f>IF('Data Checking'!T40="","",'Data Checking'!T40)</f>
        <v>tondikiwindi</v>
      </c>
      <c r="I40" s="2" t="str">
        <f>IF('Data Checking'!U40="","",'Data Checking'!U40)</f>
        <v>diney_baba_kouara</v>
      </c>
      <c r="J40" s="2" t="str">
        <f>IF('Data Checking'!V40="","",'Data Checking'!V40)</f>
        <v/>
      </c>
      <c r="K40" s="2" t="str">
        <f>IF('Data Checking'!W40="","",'Data Checking'!W40)</f>
        <v/>
      </c>
      <c r="L40" s="2" t="str">
        <f>IF('Data Checking'!X40="","",'Data Checking'!X40)</f>
        <v/>
      </c>
      <c r="M40" s="2" t="str">
        <f>IF('Data Checking'!Y40="","",'Data Checking'!Y40)</f>
        <v/>
      </c>
      <c r="N40" s="2" t="str">
        <f>IF('Data Checking'!Z40="","",'Data Checking'!Z40)</f>
        <v/>
      </c>
      <c r="O40" s="2" t="str">
        <f>IF('Data Checking'!AA40="","",'Data Checking'!AA40)</f>
        <v/>
      </c>
      <c r="P40" s="2" t="str">
        <f>IF('Data Checking'!AB40="","",'Data Checking'!AB40)</f>
        <v/>
      </c>
      <c r="Q40" s="2" t="str">
        <f>IF('Data Checking'!AC40="","",'Data Checking'!AC40)</f>
        <v/>
      </c>
      <c r="R40" s="2" t="str">
        <f>IF('Data Checking'!AD40="","",'Data Checking'!AD40)</f>
        <v>Homme</v>
      </c>
      <c r="S40" s="2" t="str">
        <f>IF('Data Checking'!AE40="","",'Data Checking'!AE40)</f>
        <v>26</v>
      </c>
      <c r="T40" s="2" t="str">
        <f>IF('Data Checking'!AF40="","",'Data Checking'!AF40)</f>
        <v>deplace_interne</v>
      </c>
      <c r="U40" s="2" t="str">
        <f>IF('Data Checking'!AG40="","",'Data Checking'!AG40)</f>
        <v/>
      </c>
      <c r="V40" s="2" t="str">
        <f>IF('Data Checking'!AH40="","",'Data Checking'!AH40)</f>
        <v/>
      </c>
      <c r="W40" s="2" t="str">
        <f>IF('Data Checking'!AI40="","",'Data Checking'!AI40)</f>
        <v/>
      </c>
      <c r="X40" s="2" t="str">
        <f>IF('Data Checking'!AJ40="","",'Data Checking'!AJ40)</f>
        <v/>
      </c>
      <c r="Y40" s="2" t="str">
        <f>IF('Data Checking'!AK40="","",'Data Checking'!AK40)</f>
        <v/>
      </c>
      <c r="Z40" s="2" t="str">
        <f>IF('Data Checking'!AL40="","",'Data Checking'!AL40)</f>
        <v>niger</v>
      </c>
      <c r="AA40" s="2" t="str">
        <f>IF('Data Checking'!AM40="","",'Data Checking'!AM40)</f>
        <v>tillaberi</v>
      </c>
      <c r="AB40" s="2" t="str">
        <f>IF('Data Checking'!AN40="","",'Data Checking'!AN40)</f>
        <v>ouallam</v>
      </c>
      <c r="AC40" s="2" t="str">
        <f>IF('Data Checking'!AO40="","",'Data Checking'!AO40)</f>
        <v/>
      </c>
      <c r="AD40" s="2" t="str">
        <f>IF('Data Checking'!AP40="","",'Data Checking'!AP40)</f>
        <v/>
      </c>
      <c r="AE40" s="2" t="str">
        <f>IF('Data Checking'!AQ40="","",'Data Checking'!AQ40)</f>
        <v/>
      </c>
      <c r="AF40" s="2" t="str">
        <f>IF('Data Checking'!AR40="","",'Data Checking'!AR40)</f>
        <v/>
      </c>
      <c r="AG40" s="2" t="str">
        <f>IF('Data Checking'!AS40="","",'Data Checking'!AS40)</f>
        <v>non</v>
      </c>
      <c r="AH40" s="2" t="str">
        <f>IF('Data Checking'!AT40="","",'Data Checking'!AT40)</f>
        <v/>
      </c>
      <c r="AI40" s="2" t="str">
        <f>IF('Data Checking'!AU40="","",'Data Checking'!AU40)</f>
        <v/>
      </c>
      <c r="AJ40" s="2" t="str">
        <f>IF('Data Checking'!AV40="","",'Data Checking'!AV40)</f>
        <v/>
      </c>
      <c r="AK40" s="2" t="str">
        <f>IF('Data Checking'!AW40="","",'Data Checking'!AW40)</f>
        <v/>
      </c>
      <c r="AL40" s="2" t="str">
        <f>IF('Data Checking'!AX40="","",'Data Checking'!AX40)</f>
        <v/>
      </c>
      <c r="AM40" s="2" t="str">
        <f>IF('Data Checking'!AY40="","",'Data Checking'!AY40)</f>
        <v/>
      </c>
      <c r="AN40" s="2" t="str">
        <f>IF('Data Checking'!AZ40="","",'Data Checking'!AZ40)</f>
        <v/>
      </c>
      <c r="AO40" s="2" t="str">
        <f>IF('Data Checking'!BA40="","",'Data Checking'!BA40)</f>
        <v/>
      </c>
      <c r="AP40" s="2" t="str">
        <f>IF('Data Checking'!BB40="","",'Data Checking'!BB40)</f>
        <v/>
      </c>
      <c r="AQ40" s="2" t="str">
        <f>IF('Data Checking'!BC40="","",'Data Checking'!BC40)</f>
        <v/>
      </c>
      <c r="AR40" s="2" t="str">
        <f>IF('Data Checking'!BD40="","",'Data Checking'!BD40)</f>
        <v/>
      </c>
      <c r="AS40" s="2" t="str">
        <f>IF('Data Checking'!BE40="","",'Data Checking'!BE40)</f>
        <v/>
      </c>
      <c r="AT40" s="2" t="str">
        <f>IF('Data Checking'!BF40="","",'Data Checking'!BF40)</f>
        <v/>
      </c>
      <c r="AU40" s="2" t="str">
        <f>IF('Data Checking'!BG40="","",'Data Checking'!BG40)</f>
        <v/>
      </c>
      <c r="AV40" s="2" t="str">
        <f>IF('Data Checking'!BH40="","",'Data Checking'!BH40)</f>
        <v/>
      </c>
      <c r="AW40" s="2" t="str">
        <f>IF('Data Checking'!BI40="","",'Data Checking'!BI40)</f>
        <v/>
      </c>
      <c r="AX40" s="2" t="str">
        <f>IF('Data Checking'!BJ40="","",'Data Checking'!BJ40)</f>
        <v/>
      </c>
      <c r="AY40" s="2" t="str">
        <f>IF('Data Checking'!BK40="","",'Data Checking'!BK40)</f>
        <v/>
      </c>
      <c r="AZ40" s="2" t="str">
        <f>IF('Data Checking'!BL40="","",'Data Checking'!BL40)</f>
        <v/>
      </c>
      <c r="BA40" s="2" t="str">
        <f>IF('Data Checking'!BM40="","",'Data Checking'!BM40)</f>
        <v/>
      </c>
      <c r="BB40" s="2" t="str">
        <f>IF('Data Checking'!BN40="","",'Data Checking'!BN40)</f>
        <v/>
      </c>
      <c r="BC40" s="2" t="str">
        <f>IF('Data Checking'!BO40="","",'Data Checking'!BO40)</f>
        <v/>
      </c>
      <c r="BD40" s="2" t="str">
        <f>IF('Data Checking'!BP40="","",'Data Checking'!BP40)</f>
        <v/>
      </c>
      <c r="BE40" s="2" t="str">
        <f>IF('Data Checking'!BQ40="","",'Data Checking'!BQ40)</f>
        <v/>
      </c>
      <c r="BF40" s="2" t="str">
        <f>IF('Data Checking'!BR40="","",'Data Checking'!BR40)</f>
        <v/>
      </c>
      <c r="BG40" s="2" t="str">
        <f>IF('Data Checking'!BS40="","",'Data Checking'!BS40)</f>
        <v/>
      </c>
      <c r="BH40" s="2" t="str">
        <f>IF('Data Checking'!BT40="","",'Data Checking'!BT40)</f>
        <v/>
      </c>
      <c r="BI40" s="2" t="str">
        <f>IF('Data Checking'!BU40="","",'Data Checking'!BU40)</f>
        <v/>
      </c>
      <c r="BJ40" s="2" t="str">
        <f>IF('Data Checking'!BV40="","",'Data Checking'!BV40)</f>
        <v/>
      </c>
      <c r="BK40" s="2" t="str">
        <f>IF('Data Checking'!BW40="","",'Data Checking'!BW40)</f>
        <v/>
      </c>
      <c r="BL40" s="2" t="str">
        <f>IF('Data Checking'!BX40="","",'Data Checking'!BX40)</f>
        <v/>
      </c>
      <c r="BM40" s="2" t="str">
        <f>IF('Data Checking'!BY40="","",'Data Checking'!BY40)</f>
        <v/>
      </c>
      <c r="BN40" s="2" t="str">
        <f>IF('Data Checking'!BZ40="","",'Data Checking'!BZ40)</f>
        <v/>
      </c>
      <c r="BO40" s="2" t="str">
        <f>IF('Data Checking'!CA40="","",'Data Checking'!CA40)</f>
        <v/>
      </c>
      <c r="BP40" s="2" t="str">
        <f>IF('Data Checking'!CB40="","",'Data Checking'!CB40)</f>
        <v/>
      </c>
      <c r="BQ40" s="2" t="str">
        <f>IF('Data Checking'!CC40="","",'Data Checking'!CC40)</f>
        <v>non</v>
      </c>
      <c r="BR40" s="2" t="str">
        <f>IF('Data Checking'!CD40="","",'Data Checking'!CD40)</f>
        <v/>
      </c>
      <c r="BS40" s="2" t="str">
        <f>IF('Data Checking'!CE40="","",'Data Checking'!CE40)</f>
        <v/>
      </c>
      <c r="BT40" s="2" t="str">
        <f>IF('Data Checking'!CF40="","",'Data Checking'!CF40)</f>
        <v/>
      </c>
      <c r="BU40" s="2" t="str">
        <f>IF('Data Checking'!CG40="","",'Data Checking'!CG40)</f>
        <v/>
      </c>
      <c r="BV40" s="2" t="str">
        <f>IF('Data Checking'!CH40="","",'Data Checking'!CH40)</f>
        <v/>
      </c>
      <c r="BW40" s="2" t="str">
        <f>IF('Data Checking'!CI40="","",'Data Checking'!CI40)</f>
        <v/>
      </c>
      <c r="BX40" s="2" t="str">
        <f>IF('Data Checking'!CJ40="","",'Data Checking'!CJ40)</f>
        <v/>
      </c>
      <c r="BY40" s="2" t="str">
        <f>IF('Data Checking'!CK40="","",'Data Checking'!CK40)</f>
        <v/>
      </c>
      <c r="BZ40" s="2" t="str">
        <f>IF('Data Checking'!CL40="","",'Data Checking'!CL40)</f>
        <v/>
      </c>
      <c r="CA40" s="2" t="str">
        <f>IF('Data Checking'!CM40="","",'Data Checking'!CM40)</f>
        <v/>
      </c>
      <c r="CB40" s="2" t="str">
        <f>IF('Data Checking'!CN40="","",'Data Checking'!CN40)</f>
        <v/>
      </c>
      <c r="CC40" s="2" t="str">
        <f>IF('Data Checking'!CO40="","",'Data Checking'!CO40)</f>
        <v/>
      </c>
      <c r="CD40" s="2" t="str">
        <f>IF('Data Checking'!CP40="","",'Data Checking'!CP40)</f>
        <v/>
      </c>
      <c r="CE40" s="2" t="str">
        <f>IF('Data Checking'!CQ40="","",'Data Checking'!CQ40)</f>
        <v/>
      </c>
      <c r="CF40" s="2" t="str">
        <f>IF('Data Checking'!CR40="","",'Data Checking'!CR40)</f>
        <v/>
      </c>
      <c r="CG40" s="2" t="str">
        <f>IF('Data Checking'!CS40="","",'Data Checking'!CS40)</f>
        <v/>
      </c>
      <c r="CH40" s="2" t="str">
        <f>IF('Data Checking'!CT40="","",'Data Checking'!CT40)</f>
        <v/>
      </c>
      <c r="CI40" s="2" t="str">
        <f>IF('Data Checking'!CU40="","",'Data Checking'!CU40)</f>
        <v/>
      </c>
      <c r="CJ40" s="2" t="str">
        <f>IF('Data Checking'!CV40="","",'Data Checking'!CV40)</f>
        <v/>
      </c>
      <c r="CK40" s="2" t="str">
        <f>IF('Data Checking'!CW40="","",'Data Checking'!CW40)</f>
        <v/>
      </c>
      <c r="CL40" s="2" t="str">
        <f>IF('Data Checking'!CX40="","",'Data Checking'!CX40)</f>
        <v/>
      </c>
      <c r="CM40" s="2" t="str">
        <f>IF('Data Checking'!CY40="","",'Data Checking'!CY40)</f>
        <v/>
      </c>
      <c r="CN40" s="2" t="str">
        <f>IF('Data Checking'!CZ40="","",'Data Checking'!CZ40)</f>
        <v/>
      </c>
      <c r="CO40" s="2" t="str">
        <f>IF('Data Checking'!DA40="","",'Data Checking'!DA40)</f>
        <v/>
      </c>
      <c r="CP40" s="2" t="str">
        <f>IF('Data Checking'!DB40="","",'Data Checking'!DB40)</f>
        <v/>
      </c>
      <c r="CQ40" s="2" t="str">
        <f>IF('Data Checking'!DC40="","",'Data Checking'!DC40)</f>
        <v/>
      </c>
      <c r="CR40" s="2" t="str">
        <f>IF('Data Checking'!DD40="","",'Data Checking'!DD40)</f>
        <v/>
      </c>
      <c r="CS40" s="2" t="str">
        <f>IF('Data Checking'!DE40="","",'Data Checking'!DE40)</f>
        <v/>
      </c>
      <c r="CT40" s="2" t="str">
        <f>IF('Data Checking'!DF40="","",'Data Checking'!DF40)</f>
        <v/>
      </c>
      <c r="CU40" s="2" t="str">
        <f>IF('Data Checking'!DG40="","",'Data Checking'!DG40)</f>
        <v/>
      </c>
      <c r="CV40" s="2" t="str">
        <f>IF('Data Checking'!DH40="","",'Data Checking'!DH40)</f>
        <v/>
      </c>
      <c r="CW40" s="2" t="str">
        <f>IF('Data Checking'!DI40="","",'Data Checking'!DI40)</f>
        <v/>
      </c>
      <c r="CX40" s="2" t="str">
        <f>IF('Data Checking'!DJ40="","",'Data Checking'!DJ40)</f>
        <v/>
      </c>
      <c r="CY40" s="2" t="str">
        <f>IF('Data Checking'!DK40="","",'Data Checking'!DK40)</f>
        <v/>
      </c>
      <c r="CZ40" s="2" t="str">
        <f>IF('Data Checking'!DL40="","",'Data Checking'!DL40)</f>
        <v/>
      </c>
      <c r="DA40" s="2" t="str">
        <f>IF('Data Checking'!DM40="","",'Data Checking'!DM40)</f>
        <v/>
      </c>
      <c r="DB40" s="2" t="str">
        <f>IF('Data Checking'!DN40="","",'Data Checking'!DN40)</f>
        <v/>
      </c>
      <c r="DC40" s="2" t="str">
        <f>IF('Data Checking'!DO40="","",'Data Checking'!DO40)</f>
        <v/>
      </c>
      <c r="DD40" s="2" t="str">
        <f>IF('Data Checking'!DP40="","",'Data Checking'!DP40)</f>
        <v/>
      </c>
      <c r="DE40" s="2" t="str">
        <f>IF('Data Checking'!DQ40="","",'Data Checking'!DQ40)</f>
        <v/>
      </c>
      <c r="DF40" s="2" t="str">
        <f>IF('Data Checking'!DR40="","",'Data Checking'!DR40)</f>
        <v/>
      </c>
      <c r="DG40" s="2" t="str">
        <f>IF('Data Checking'!DS40="","",'Data Checking'!DS40)</f>
        <v/>
      </c>
      <c r="DH40" s="2" t="str">
        <f>IF('Data Checking'!DT40="","",'Data Checking'!DT40)</f>
        <v/>
      </c>
      <c r="DI40" s="2" t="str">
        <f>IF('Data Checking'!DU40="","",'Data Checking'!DU40)</f>
        <v/>
      </c>
      <c r="DJ40" s="2" t="str">
        <f>IF('Data Checking'!DV40="","",'Data Checking'!DV40)</f>
        <v/>
      </c>
      <c r="DK40" s="2" t="str">
        <f>IF('Data Checking'!DW40="","",'Data Checking'!DW40)</f>
        <v/>
      </c>
      <c r="DL40" s="2" t="str">
        <f>IF('Data Checking'!DX40="","",'Data Checking'!DX40)</f>
        <v/>
      </c>
      <c r="DM40" s="2" t="str">
        <f>IF('Data Checking'!DY40="","",'Data Checking'!DY40)</f>
        <v/>
      </c>
      <c r="DN40" s="2" t="str">
        <f>IF('Data Checking'!DZ40="","",'Data Checking'!DZ40)</f>
        <v/>
      </c>
      <c r="DO40" s="2" t="str">
        <f>IF('Data Checking'!EA40="","",'Data Checking'!EA40)</f>
        <v/>
      </c>
      <c r="DP40" s="2" t="str">
        <f>IF('Data Checking'!EB40="","",'Data Checking'!EB40)</f>
        <v/>
      </c>
      <c r="DQ40" s="2" t="str">
        <f>IF('Data Checking'!EC40="","",'Data Checking'!EC40)</f>
        <v/>
      </c>
      <c r="DR40" s="2" t="str">
        <f>IF('Data Checking'!ED40="","",'Data Checking'!ED40)</f>
        <v/>
      </c>
      <c r="DS40" s="2" t="str">
        <f>IF('Data Checking'!EE40="","",'Data Checking'!EE40)</f>
        <v/>
      </c>
      <c r="DT40" s="2" t="str">
        <f>IF('Data Checking'!EF40="","",'Data Checking'!EF40)</f>
        <v/>
      </c>
      <c r="DU40" s="2" t="str">
        <f>IF('Data Checking'!EG40="","",'Data Checking'!EG40)</f>
        <v/>
      </c>
      <c r="DV40" s="2" t="str">
        <f>IF('Data Checking'!EH40="","",'Data Checking'!EH40)</f>
        <v/>
      </c>
      <c r="DW40" s="2" t="str">
        <f>IF('Data Checking'!EI40="","",'Data Checking'!EI40)</f>
        <v/>
      </c>
      <c r="DX40" s="2" t="str">
        <f>IF('Data Checking'!EJ40="","",'Data Checking'!EJ40)</f>
        <v/>
      </c>
      <c r="DY40" s="2" t="str">
        <f>IF('Data Checking'!EK40="","",'Data Checking'!EK40)</f>
        <v/>
      </c>
      <c r="DZ40" s="2" t="str">
        <f>IF('Data Checking'!EL40="","",'Data Checking'!EL40)</f>
        <v>dplct_abords_com</v>
      </c>
      <c r="EA40" s="2" t="str">
        <f>IF('Data Checking'!EM40="","",'Data Checking'!EM40)</f>
        <v>1</v>
      </c>
      <c r="EB40" s="2" t="str">
        <f>IF('Data Checking'!EN40="","",'Data Checking'!EN40)</f>
        <v>0</v>
      </c>
      <c r="EC40" s="2" t="str">
        <f>IF('Data Checking'!EO40="","",'Data Checking'!EO40)</f>
        <v>0</v>
      </c>
      <c r="ED40" s="2" t="str">
        <f>IF('Data Checking'!EP40="","",'Data Checking'!EP40)</f>
        <v>0</v>
      </c>
      <c r="EE40" s="2" t="str">
        <f>IF('Data Checking'!EQ40="","",'Data Checking'!EQ40)</f>
        <v>0</v>
      </c>
      <c r="EF40" s="2" t="str">
        <f>IF('Data Checking'!ER40="","",'Data Checking'!ER40)</f>
        <v>0</v>
      </c>
      <c r="EG40" s="2" t="str">
        <f>IF('Data Checking'!ES40="","",'Data Checking'!ES40)</f>
        <v>0</v>
      </c>
      <c r="EH40" s="2" t="str">
        <f>IF('Data Checking'!ET40="","",'Data Checking'!ET40)</f>
        <v>0</v>
      </c>
      <c r="EI40" s="2" t="str">
        <f>IF('Data Checking'!EU40="","",'Data Checking'!EU40)</f>
        <v>0</v>
      </c>
      <c r="EJ40" s="2" t="str">
        <f>IF('Data Checking'!EV40="","",'Data Checking'!EV40)</f>
        <v/>
      </c>
      <c r="EK40" s="2" t="str">
        <f>IF('Data Checking'!EW40="","",'Data Checking'!EW40)</f>
        <v/>
      </c>
      <c r="EL40" s="2" t="str">
        <f>IF('Data Checking'!EX40="","",'Data Checking'!EX40)</f>
        <v>Ne_sait_pas</v>
      </c>
      <c r="EM40" s="2" t="str">
        <f>IF('Data Checking'!EY40="","",'Data Checking'!EY40)</f>
        <v>0</v>
      </c>
      <c r="EN40" s="2" t="str">
        <f>IF('Data Checking'!EZ40="","",'Data Checking'!EZ40)</f>
        <v>0</v>
      </c>
      <c r="EO40" s="2" t="str">
        <f>IF('Data Checking'!FA40="","",'Data Checking'!FA40)</f>
        <v>0</v>
      </c>
      <c r="EP40" s="2" t="str">
        <f>IF('Data Checking'!FB40="","",'Data Checking'!FB40)</f>
        <v>0</v>
      </c>
      <c r="EQ40" s="2" t="str">
        <f>IF('Data Checking'!FC40="","",'Data Checking'!FC40)</f>
        <v>0</v>
      </c>
      <c r="ER40" s="2" t="str">
        <f>IF('Data Checking'!FD40="","",'Data Checking'!FD40)</f>
        <v>0</v>
      </c>
      <c r="ES40" s="2" t="str">
        <f>IF('Data Checking'!FE40="","",'Data Checking'!FE40)</f>
        <v>0</v>
      </c>
      <c r="ET40" s="2" t="str">
        <f>IF('Data Checking'!FF40="","",'Data Checking'!FF40)</f>
        <v>0</v>
      </c>
      <c r="EU40" s="2" t="str">
        <f>IF('Data Checking'!FG40="","",'Data Checking'!FG40)</f>
        <v>1</v>
      </c>
      <c r="EV40" s="2" t="str">
        <f>IF('Data Checking'!FH40="","",'Data Checking'!FH40)</f>
        <v>0</v>
      </c>
      <c r="EW40" s="2" t="str">
        <f>IF('Data Checking'!FI40="","",'Data Checking'!FI40)</f>
        <v/>
      </c>
      <c r="EX40" s="2" t="str">
        <f>IF('Data Checking'!FJ40="","",'Data Checking'!FJ40)</f>
        <v>oui</v>
      </c>
      <c r="EY40" s="2" t="str">
        <f>IF('Data Checking'!FK40="","",'Data Checking'!FK40)</f>
        <v>Radio_television Chef_village</v>
      </c>
      <c r="EZ40" s="2" t="str">
        <f>IF('Data Checking'!FL40="","",'Data Checking'!FL40)</f>
        <v>1</v>
      </c>
      <c r="FA40" s="2" t="str">
        <f>IF('Data Checking'!FM40="","",'Data Checking'!FM40)</f>
        <v>0</v>
      </c>
      <c r="FB40" s="2" t="str">
        <f>IF('Data Checking'!FN40="","",'Data Checking'!FN40)</f>
        <v>0</v>
      </c>
      <c r="FC40" s="2" t="str">
        <f>IF('Data Checking'!FO40="","",'Data Checking'!FO40)</f>
        <v>0</v>
      </c>
      <c r="FD40" s="2" t="str">
        <f>IF('Data Checking'!FP40="","",'Data Checking'!FP40)</f>
        <v>1</v>
      </c>
      <c r="FE40" s="2" t="str">
        <f>IF('Data Checking'!FQ40="","",'Data Checking'!FQ40)</f>
        <v>0</v>
      </c>
      <c r="FF40" s="2" t="str">
        <f>IF('Data Checking'!FR40="","",'Data Checking'!FR40)</f>
        <v>0</v>
      </c>
      <c r="FG40" s="2" t="str">
        <f>IF('Data Checking'!FS40="","",'Data Checking'!FS40)</f>
        <v>0</v>
      </c>
      <c r="FH40" s="2" t="str">
        <f>IF('Data Checking'!FT40="","",'Data Checking'!FT40)</f>
        <v>0</v>
      </c>
      <c r="FI40" s="2" t="str">
        <f>IF('Data Checking'!FU40="","",'Data Checking'!FU40)</f>
        <v>0</v>
      </c>
      <c r="FJ40" s="2" t="str">
        <f>IF('Data Checking'!FV40="","",'Data Checking'!FV40)</f>
        <v>0</v>
      </c>
      <c r="FK40" s="2" t="str">
        <f>IF('Data Checking'!FW40="","",'Data Checking'!FW40)</f>
        <v>0</v>
      </c>
      <c r="FL40" s="2" t="str">
        <f>IF('Data Checking'!FX40="","",'Data Checking'!FX40)</f>
        <v>0</v>
      </c>
      <c r="FM40" s="2" t="str">
        <f>IF('Data Checking'!FY40="","",'Data Checking'!FY40)</f>
        <v>0</v>
      </c>
      <c r="FN40" s="2" t="str">
        <f>IF('Data Checking'!FZ40="","",'Data Checking'!FZ40)</f>
        <v/>
      </c>
      <c r="FO40" s="2" t="str">
        <f>IF('Data Checking'!GA40="","",'Data Checking'!GA40)</f>
        <v>oui_majorite</v>
      </c>
      <c r="FP40" s="2" t="str">
        <f>IF('Data Checking'!GB40="","",'Data Checking'!GB40)</f>
        <v>oui_majorite</v>
      </c>
      <c r="FQ40" s="2" t="str">
        <f>IF('Data Checking'!GC40="","",'Data Checking'!GC40)</f>
        <v>manque_info</v>
      </c>
      <c r="FR40" s="2" t="str">
        <f>IF('Data Checking'!GD40="","",'Data Checking'!GD40)</f>
        <v>0</v>
      </c>
      <c r="FS40" s="2" t="str">
        <f>IF('Data Checking'!GE40="","",'Data Checking'!GE40)</f>
        <v>1</v>
      </c>
      <c r="FT40" s="2" t="str">
        <f>IF('Data Checking'!GF40="","",'Data Checking'!GF40)</f>
        <v>0</v>
      </c>
      <c r="FU40" s="2" t="str">
        <f>IF('Data Checking'!GG40="","",'Data Checking'!GG40)</f>
        <v>0</v>
      </c>
      <c r="FV40" s="2" t="str">
        <f>IF('Data Checking'!GH40="","",'Data Checking'!GH40)</f>
        <v>0</v>
      </c>
      <c r="FW40" s="2" t="str">
        <f>IF('Data Checking'!GI40="","",'Data Checking'!GI40)</f>
        <v>0</v>
      </c>
      <c r="FX40" s="2" t="str">
        <f>IF('Data Checking'!GJ40="","",'Data Checking'!GJ40)</f>
        <v>0</v>
      </c>
      <c r="FY40" s="2" t="str">
        <f>IF('Data Checking'!GK40="","",'Data Checking'!GK40)</f>
        <v>0</v>
      </c>
      <c r="FZ40" s="2" t="str">
        <f>IF('Data Checking'!GL40="","",'Data Checking'!GL40)</f>
        <v/>
      </c>
      <c r="GA40" s="2" t="str">
        <f>IF('Data Checking'!GM40="","",'Data Checking'!GM40)</f>
        <v>majorite</v>
      </c>
      <c r="GB40" s="2" t="str">
        <f>IF('Data Checking'!GN40="","",'Data Checking'!GN40)</f>
        <v>majorite</v>
      </c>
      <c r="GC40" s="2" t="str">
        <f>IF('Data Checking'!GO40="","",'Data Checking'!GO40)</f>
        <v>Autre</v>
      </c>
      <c r="GD40" s="2" t="str">
        <f>IF('Data Checking'!GP40="","",'Data Checking'!GP40)</f>
        <v>0</v>
      </c>
      <c r="GE40" s="2" t="str">
        <f>IF('Data Checking'!GQ40="","",'Data Checking'!GQ40)</f>
        <v>0</v>
      </c>
      <c r="GF40" s="2" t="str">
        <f>IF('Data Checking'!GR40="","",'Data Checking'!GR40)</f>
        <v>0</v>
      </c>
      <c r="GG40" s="2" t="str">
        <f>IF('Data Checking'!GS40="","",'Data Checking'!GS40)</f>
        <v>0</v>
      </c>
      <c r="GH40" s="2" t="str">
        <f>IF('Data Checking'!GT40="","",'Data Checking'!GT40)</f>
        <v>0</v>
      </c>
      <c r="GI40" s="2" t="str">
        <f>IF('Data Checking'!GU40="","",'Data Checking'!GU40)</f>
        <v>0</v>
      </c>
      <c r="GJ40" s="2" t="str">
        <f>IF('Data Checking'!GV40="","",'Data Checking'!GV40)</f>
        <v>0</v>
      </c>
      <c r="GK40" s="2" t="str">
        <f>IF('Data Checking'!GW40="","",'Data Checking'!GW40)</f>
        <v>1</v>
      </c>
      <c r="GL40" s="2" t="str">
        <f>IF('Data Checking'!GX40="","",'Data Checking'!GX40)</f>
        <v>0</v>
      </c>
      <c r="GM40" s="2" t="str">
        <f>IF('Data Checking'!GY40="","",'Data Checking'!GY40)</f>
        <v xml:space="preserve">Chef de village </v>
      </c>
      <c r="GN40" s="2" t="str">
        <f>IF('Data Checking'!GZ40="","",'Data Checking'!GZ40)</f>
        <v>oui_ensemble</v>
      </c>
      <c r="GO40" s="2" t="str">
        <f>IF('Data Checking'!HA40="","",'Data Checking'!HA40)</f>
        <v>oui_ensemble</v>
      </c>
      <c r="GP40" s="2" t="str">
        <f>IF('Data Checking'!HB40="","",'Data Checking'!HB40)</f>
        <v>amelioration_futur permet_eviter_conflits</v>
      </c>
      <c r="GQ40" s="2" t="str">
        <f>IF('Data Checking'!HC40="","",'Data Checking'!HC40)</f>
        <v>1</v>
      </c>
      <c r="GR40" s="2" t="str">
        <f>IF('Data Checking'!HD40="","",'Data Checking'!HD40)</f>
        <v>0</v>
      </c>
      <c r="GS40" s="2" t="str">
        <f>IF('Data Checking'!HE40="","",'Data Checking'!HE40)</f>
        <v>0</v>
      </c>
      <c r="GT40" s="2" t="str">
        <f>IF('Data Checking'!HF40="","",'Data Checking'!HF40)</f>
        <v>1</v>
      </c>
      <c r="GU40" s="2" t="str">
        <f>IF('Data Checking'!HG40="","",'Data Checking'!HG40)</f>
        <v>0</v>
      </c>
      <c r="GV40" s="2" t="str">
        <f>IF('Data Checking'!HH40="","",'Data Checking'!HH40)</f>
        <v>0</v>
      </c>
      <c r="GW40" s="2" t="str">
        <f>IF('Data Checking'!HI40="","",'Data Checking'!HI40)</f>
        <v>0</v>
      </c>
      <c r="GX40" s="2" t="str">
        <f>IF('Data Checking'!HJ40="","",'Data Checking'!HJ40)</f>
        <v>0</v>
      </c>
      <c r="GY40" s="2" t="str">
        <f>IF('Data Checking'!HK40="","",'Data Checking'!HK40)</f>
        <v/>
      </c>
      <c r="GZ40" s="2" t="str">
        <f>IF('Data Checking'!HL40="","",'Data Checking'!HL40)</f>
        <v/>
      </c>
      <c r="HA40" s="2" t="str">
        <f>IF('Data Checking'!HM40="","",'Data Checking'!HM40)</f>
        <v/>
      </c>
      <c r="HB40" s="2" t="str">
        <f>IF('Data Checking'!HN40="","",'Data Checking'!HN40)</f>
        <v/>
      </c>
      <c r="HC40" s="2" t="str">
        <f>IF('Data Checking'!HO40="","",'Data Checking'!HO40)</f>
        <v/>
      </c>
      <c r="HD40" s="2" t="str">
        <f>IF('Data Checking'!HP40="","",'Data Checking'!HP40)</f>
        <v/>
      </c>
      <c r="HE40" s="2" t="str">
        <f>IF('Data Checking'!HQ40="","",'Data Checking'!HQ40)</f>
        <v/>
      </c>
      <c r="HF40" s="2" t="str">
        <f>IF('Data Checking'!HR40="","",'Data Checking'!HR40)</f>
        <v/>
      </c>
      <c r="HG40" s="2" t="str">
        <f>IF('Data Checking'!HS40="","",'Data Checking'!HS40)</f>
        <v/>
      </c>
      <c r="HH40" s="2" t="str">
        <f>IF('Data Checking'!HT40="","",'Data Checking'!HT40)</f>
        <v/>
      </c>
      <c r="HI40" s="2" t="str">
        <f>IF('Data Checking'!HU40="","",'Data Checking'!HU40)</f>
        <v>non</v>
      </c>
      <c r="HJ40" s="2" t="str">
        <f>IF('Data Checking'!HV40="","",'Data Checking'!HV40)</f>
        <v/>
      </c>
      <c r="HK40" s="2" t="str">
        <f>IF('Data Checking'!HW40="","",'Data Checking'!HW40)</f>
        <v/>
      </c>
      <c r="HL40" s="2" t="str">
        <f>IF('Data Checking'!HX40="","",'Data Checking'!HX40)</f>
        <v/>
      </c>
      <c r="HM40" s="2" t="str">
        <f>IF('Data Checking'!HY40="","",'Data Checking'!HY40)</f>
        <v/>
      </c>
      <c r="HN40" s="2" t="str">
        <f>IF('Data Checking'!HZ40="","",'Data Checking'!HZ40)</f>
        <v/>
      </c>
      <c r="HO40" s="2" t="str">
        <f>IF('Data Checking'!IA40="","",'Data Checking'!IA40)</f>
        <v/>
      </c>
      <c r="HP40" s="2" t="str">
        <f>IF('Data Checking'!IB40="","",'Data Checking'!IB40)</f>
        <v/>
      </c>
      <c r="HQ40" s="2" t="str">
        <f>IF('Data Checking'!IC40="","",'Data Checking'!IC40)</f>
        <v/>
      </c>
      <c r="HR40" s="2" t="str">
        <f>IF('Data Checking'!ID40="","",'Data Checking'!ID40)</f>
        <v/>
      </c>
      <c r="HS40" s="2" t="str">
        <f>IF('Data Checking'!IE40="","",'Data Checking'!IE40)</f>
        <v/>
      </c>
      <c r="HT40" s="2" t="str">
        <f>IF('Data Checking'!IF40="","",'Data Checking'!IF40)</f>
        <v/>
      </c>
      <c r="HU40" s="2" t="str">
        <f>IF('Data Checking'!IG40="","",'Data Checking'!IG40)</f>
        <v/>
      </c>
      <c r="HV40" s="2" t="str">
        <f>IF('Data Checking'!IH40="","",'Data Checking'!IH40)</f>
        <v>oui</v>
      </c>
      <c r="HW40" s="2" t="str">
        <f>IF('Data Checking'!II40="","",'Data Checking'!II40)</f>
        <v/>
      </c>
      <c r="HX40" s="2" t="str">
        <f>IF('Data Checking'!IJ40="","",'Data Checking'!IJ40)</f>
        <v/>
      </c>
      <c r="HY40" s="2" t="str">
        <f>IF('Data Checking'!IK40="","",'Data Checking'!IK40)</f>
        <v/>
      </c>
      <c r="HZ40" s="2" t="str">
        <f>IF('Data Checking'!IL40="","",'Data Checking'!IL40)</f>
        <v/>
      </c>
      <c r="IA40" s="2" t="str">
        <f>IF('Data Checking'!IM40="","",'Data Checking'!IM40)</f>
        <v/>
      </c>
      <c r="IB40" s="2" t="str">
        <f>IF('Data Checking'!IN40="","",'Data Checking'!IN40)</f>
        <v/>
      </c>
      <c r="IC40" s="2" t="str">
        <f>IF('Data Checking'!IO40="","",'Data Checking'!IO40)</f>
        <v/>
      </c>
      <c r="ID40" s="2" t="str">
        <f>IF('Data Checking'!IP40="","",'Data Checking'!IP40)</f>
        <v/>
      </c>
      <c r="IE40" s="2" t="str">
        <f>IF('Data Checking'!IQ40="","",'Data Checking'!IQ40)</f>
        <v/>
      </c>
      <c r="IF40" s="2" t="str">
        <f>IF('Data Checking'!IR40="","",'Data Checking'!IR40)</f>
        <v/>
      </c>
      <c r="IG40" s="2" t="str">
        <f>IF('Data Checking'!IS40="","",'Data Checking'!IS40)</f>
        <v/>
      </c>
      <c r="IH40" s="2" t="str">
        <f>IF('Data Checking'!IT40="","",'Data Checking'!IT40)</f>
        <v/>
      </c>
      <c r="II40" s="2" t="str">
        <f>IF('Data Checking'!IU40="","",'Data Checking'!IU40)</f>
        <v/>
      </c>
      <c r="IJ40" s="2" t="str">
        <f>IF('Data Checking'!IV40="","",'Data Checking'!IV40)</f>
        <v/>
      </c>
      <c r="IK40" s="2" t="str">
        <f>IF('Data Checking'!IW40="","",'Data Checking'!IW40)</f>
        <v/>
      </c>
      <c r="IL40" s="2" t="str">
        <f>IF('Data Checking'!IX40="","",'Data Checking'!IX40)</f>
        <v/>
      </c>
      <c r="IM40" s="2" t="str">
        <f>IF('Data Checking'!IY40="","",'Data Checking'!IY40)</f>
        <v/>
      </c>
      <c r="IN40" s="2" t="str">
        <f>IF('Data Checking'!IZ40="","",'Data Checking'!IZ40)</f>
        <v/>
      </c>
      <c r="IO40" s="2" t="str">
        <f>IF('Data Checking'!JA40="","",'Data Checking'!JA40)</f>
        <v/>
      </c>
      <c r="IP40" s="2" t="str">
        <f>IF('Data Checking'!JB40="","",'Data Checking'!JB40)</f>
        <v/>
      </c>
      <c r="IQ40" s="2" t="str">
        <f>IF('Data Checking'!JC40="","",'Data Checking'!JC40)</f>
        <v/>
      </c>
      <c r="IR40" s="2" t="str">
        <f>IF('Data Checking'!JD40="","",'Data Checking'!JD40)</f>
        <v/>
      </c>
      <c r="IS40" s="2" t="str">
        <f>IF('Data Checking'!JE40="","",'Data Checking'!JE40)</f>
        <v/>
      </c>
      <c r="IT40" s="2" t="str">
        <f>IF('Data Checking'!JF40="","",'Data Checking'!JF40)</f>
        <v/>
      </c>
      <c r="IU40" s="2" t="str">
        <f>IF('Data Checking'!JG40="","",'Data Checking'!JG40)</f>
        <v/>
      </c>
      <c r="IV40" s="2" t="str">
        <f>IF('Data Checking'!JH40="","",'Data Checking'!JH40)</f>
        <v/>
      </c>
      <c r="IW40" s="2" t="str">
        <f>IF('Data Checking'!JI40="","",'Data Checking'!JI40)</f>
        <v/>
      </c>
      <c r="IX40" s="2" t="str">
        <f>IF('Data Checking'!JJ40="","",'Data Checking'!JJ40)</f>
        <v/>
      </c>
      <c r="IY40" s="2" t="str">
        <f>IF('Data Checking'!JK40="","",'Data Checking'!JK40)</f>
        <v/>
      </c>
      <c r="IZ40" s="2" t="str">
        <f>IF('Data Checking'!JL40="","",'Data Checking'!JL40)</f>
        <v/>
      </c>
      <c r="JA40" s="2" t="str">
        <f>IF('Data Checking'!JM40="","",'Data Checking'!JM40)</f>
        <v/>
      </c>
      <c r="JB40" s="2" t="str">
        <f>IF('Data Checking'!JN40="","",'Data Checking'!JN40)</f>
        <v/>
      </c>
      <c r="JC40" s="2" t="str">
        <f>IF('Data Checking'!JO40="","",'Data Checking'!JO40)</f>
        <v/>
      </c>
      <c r="JD40" s="2" t="str">
        <f>IF('Data Checking'!JP40="","",'Data Checking'!JP40)</f>
        <v/>
      </c>
      <c r="JE40" s="2" t="str">
        <f>IF('Data Checking'!JQ40="","",'Data Checking'!JQ40)</f>
        <v/>
      </c>
      <c r="JF40" s="2" t="str">
        <f>IF('Data Checking'!JR40="","",'Data Checking'!JR40)</f>
        <v/>
      </c>
      <c r="JG40" s="2" t="str">
        <f>IF('Data Checking'!JS40="","",'Data Checking'!JS40)</f>
        <v/>
      </c>
      <c r="JH40" s="2" t="str">
        <f>IF('Data Checking'!JT40="","",'Data Checking'!JT40)</f>
        <v/>
      </c>
      <c r="JI40" s="2" t="str">
        <f>IF('Data Checking'!JU40="","",'Data Checking'!JU40)</f>
        <v/>
      </c>
      <c r="JJ40" s="2" t="str">
        <f>IF('Data Checking'!JV40="","",'Data Checking'!JV40)</f>
        <v/>
      </c>
      <c r="JK40" s="2" t="str">
        <f>IF('Data Checking'!JW40="","",'Data Checking'!JW40)</f>
        <v/>
      </c>
      <c r="JL40" s="2" t="str">
        <f>IF('Data Checking'!JX40="","",'Data Checking'!JX40)</f>
        <v/>
      </c>
      <c r="JM40" s="2" t="str">
        <f>IF('Data Checking'!JY40="","",'Data Checking'!JY40)</f>
        <v/>
      </c>
      <c r="JN40" s="2" t="str">
        <f>IF('Data Checking'!JZ40="","",'Data Checking'!JZ40)</f>
        <v/>
      </c>
      <c r="JO40" s="2" t="str">
        <f>IF('Data Checking'!KA40="","",'Data Checking'!KA40)</f>
        <v/>
      </c>
      <c r="JP40" s="2" t="str">
        <f>IF('Data Checking'!KB40="","",'Data Checking'!KB40)</f>
        <v/>
      </c>
      <c r="JQ40" s="2" t="str">
        <f>IF('Data Checking'!KC40="","",'Data Checking'!KC40)</f>
        <v/>
      </c>
      <c r="JR40" s="2" t="str">
        <f>IF('Data Checking'!KD40="","",'Data Checking'!KD40)</f>
        <v/>
      </c>
      <c r="JS40" s="2" t="str">
        <f>IF('Data Checking'!KE40="","",'Data Checking'!KE40)</f>
        <v/>
      </c>
      <c r="JT40" s="2" t="str">
        <f>IF('Data Checking'!KF40="","",'Data Checking'!KF40)</f>
        <v/>
      </c>
      <c r="JU40" s="2" t="str">
        <f>IF('Data Checking'!KG40="","",'Data Checking'!KG40)</f>
        <v/>
      </c>
      <c r="JV40" s="2" t="str">
        <f>IF('Data Checking'!KH40="","",'Data Checking'!KH40)</f>
        <v/>
      </c>
      <c r="JW40" s="2" t="str">
        <f>IF('Data Checking'!KI40="","",'Data Checking'!KI40)</f>
        <v/>
      </c>
      <c r="JX40" s="2" t="str">
        <f>IF('Data Checking'!KJ40="","",'Data Checking'!KJ40)</f>
        <v/>
      </c>
      <c r="JY40" s="2" t="str">
        <f>IF('Data Checking'!KK40="","",'Data Checking'!KK40)</f>
        <v/>
      </c>
      <c r="JZ40" s="2" t="str">
        <f>IF('Data Checking'!KL40="","",'Data Checking'!KL40)</f>
        <v/>
      </c>
      <c r="KA40" s="2" t="str">
        <f>IF('Data Checking'!KM40="","",'Data Checking'!KM40)</f>
        <v/>
      </c>
      <c r="KB40" s="2" t="str">
        <f>IF('Data Checking'!KN40="","",'Data Checking'!KN40)</f>
        <v/>
      </c>
      <c r="KC40" s="2" t="str">
        <f>IF('Data Checking'!KO40="","",'Data Checking'!KO40)</f>
        <v/>
      </c>
      <c r="KD40" s="2" t="str">
        <f>IF('Data Checking'!KP40="","",'Data Checking'!KP40)</f>
        <v/>
      </c>
      <c r="KE40" s="2" t="str">
        <f>IF('Data Checking'!KQ40="","",'Data Checking'!KQ40)</f>
        <v/>
      </c>
      <c r="KF40" s="2" t="str">
        <f>IF('Data Checking'!KR40="","",'Data Checking'!KR40)</f>
        <v/>
      </c>
      <c r="KG40" s="2" t="str">
        <f>IF('Data Checking'!KS40="","",'Data Checking'!KS40)</f>
        <v/>
      </c>
      <c r="KH40" s="2" t="str">
        <f>IF('Data Checking'!KT40="","",'Data Checking'!KT40)</f>
        <v/>
      </c>
      <c r="KI40" s="2" t="str">
        <f>IF('Data Checking'!KU40="","",'Data Checking'!KU40)</f>
        <v/>
      </c>
      <c r="KJ40" s="2" t="str">
        <f>IF('Data Checking'!KV40="","",'Data Checking'!KV40)</f>
        <v/>
      </c>
      <c r="KK40" s="2" t="str">
        <f>IF('Data Checking'!KW40="","",'Data Checking'!KW40)</f>
        <v/>
      </c>
      <c r="KL40" s="2" t="str">
        <f>IF('Data Checking'!KX40="","",'Data Checking'!KX40)</f>
        <v/>
      </c>
      <c r="KM40" s="2" t="str">
        <f>IF('Data Checking'!KY40="","",'Data Checking'!KY40)</f>
        <v/>
      </c>
      <c r="KN40" s="2" t="str">
        <f>IF('Data Checking'!KZ40="","",'Data Checking'!KZ40)</f>
        <v/>
      </c>
      <c r="KO40" s="2" t="str">
        <f>IF('Data Checking'!LA40="","",'Data Checking'!LA40)</f>
        <v/>
      </c>
      <c r="KP40" s="2" t="str">
        <f>IF('Data Checking'!LB40="","",'Data Checking'!LB40)</f>
        <v/>
      </c>
      <c r="KQ40" s="2" t="str">
        <f>IF('Data Checking'!LC40="","",'Data Checking'!LC40)</f>
        <v/>
      </c>
      <c r="KR40" s="2" t="str">
        <f>IF('Data Checking'!LD40="","",'Data Checking'!LD40)</f>
        <v/>
      </c>
      <c r="KS40" s="2" t="str">
        <f>IF('Data Checking'!LE40="","",'Data Checking'!LE40)</f>
        <v/>
      </c>
      <c r="KT40" s="2" t="str">
        <f>IF('Data Checking'!LF40="","",'Data Checking'!LF40)</f>
        <v/>
      </c>
      <c r="KU40" s="2" t="str">
        <f>IF('Data Checking'!LG40="","",'Data Checking'!LG40)</f>
        <v/>
      </c>
      <c r="KV40" s="2" t="str">
        <f>IF('Data Checking'!LH40="","",'Data Checking'!LH40)</f>
        <v/>
      </c>
      <c r="KW40" s="2" t="str">
        <f>IF('Data Checking'!LI40="","",'Data Checking'!LI40)</f>
        <v/>
      </c>
      <c r="KX40" s="2" t="str">
        <f>IF('Data Checking'!LJ40="","",'Data Checking'!LJ40)</f>
        <v/>
      </c>
      <c r="KY40" s="2" t="str">
        <f>IF('Data Checking'!LK40="","",'Data Checking'!LK40)</f>
        <v/>
      </c>
      <c r="KZ40" s="2" t="str">
        <f>IF('Data Checking'!LL40="","",'Data Checking'!LL40)</f>
        <v/>
      </c>
      <c r="LA40" s="2" t="str">
        <f>IF('Data Checking'!LM40="","",'Data Checking'!LM40)</f>
        <v/>
      </c>
      <c r="LB40" s="2" t="str">
        <f>IF('Data Checking'!LN40="","",'Data Checking'!LN40)</f>
        <v/>
      </c>
      <c r="LC40" s="2" t="str">
        <f>IF('Data Checking'!LO40="","",'Data Checking'!LO40)</f>
        <v/>
      </c>
      <c r="LD40" s="2" t="str">
        <f>IF('Data Checking'!LP40="","",'Data Checking'!LP40)</f>
        <v/>
      </c>
      <c r="LE40" s="2" t="str">
        <f>IF('Data Checking'!LQ40="","",'Data Checking'!LQ40)</f>
        <v/>
      </c>
      <c r="LF40" s="2" t="str">
        <f>IF('Data Checking'!LR40="","",'Data Checking'!LR40)</f>
        <v/>
      </c>
      <c r="LG40" s="2" t="str">
        <f>IF('Data Checking'!LS40="","",'Data Checking'!LS40)</f>
        <v/>
      </c>
      <c r="LH40" s="2" t="str">
        <f>IF('Data Checking'!LT40="","",'Data Checking'!LT40)</f>
        <v/>
      </c>
      <c r="LI40" s="2" t="str">
        <f>IF('Data Checking'!LU40="","",'Data Checking'!LU40)</f>
        <v/>
      </c>
      <c r="LJ40" s="2" t="str">
        <f>IF('Data Checking'!LV40="","",'Data Checking'!LV40)</f>
        <v/>
      </c>
      <c r="LK40" s="2" t="str">
        <f>IF('Data Checking'!LW40="","",'Data Checking'!LW40)</f>
        <v/>
      </c>
      <c r="LL40" s="2" t="str">
        <f>IF('Data Checking'!LX40="","",'Data Checking'!LX40)</f>
        <v/>
      </c>
      <c r="LM40" s="2" t="str">
        <f>IF('Data Checking'!LY40="","",'Data Checking'!LY40)</f>
        <v/>
      </c>
      <c r="LN40" s="2" t="str">
        <f>IF('Data Checking'!LZ40="","",'Data Checking'!LZ40)</f>
        <v/>
      </c>
      <c r="LO40" s="2" t="str">
        <f>IF('Data Checking'!MA40="","",'Data Checking'!MA40)</f>
        <v/>
      </c>
      <c r="LP40" s="2" t="str">
        <f>IF('Data Checking'!MB40="","",'Data Checking'!MB40)</f>
        <v>oui</v>
      </c>
      <c r="LQ40" s="2" t="str">
        <f>IF('Data Checking'!MC40="","",'Data Checking'!MC40)</f>
        <v/>
      </c>
      <c r="LR40" s="2" t="str">
        <f>IF('Data Checking'!MD40="","",'Data Checking'!MD40)</f>
        <v>Être heureux,avoir l'accès aux services de base</v>
      </c>
      <c r="LS40" s="2">
        <f>IF('Data Checking'!ME40="","",'Data Checking'!ME40)</f>
        <v>170583875</v>
      </c>
      <c r="LT40" s="2" t="str">
        <f>IF('Data Checking'!MF40="","",'Data Checking'!MF40)</f>
        <v>cd124284-5b82-4317-b34e-7c1f127b64ca</v>
      </c>
      <c r="LU40" s="2" t="str">
        <f>IF('Data Checking'!MG40="","",'Data Checking'!MG40)</f>
        <v>2021-04-09T08:42:55</v>
      </c>
      <c r="LV40" s="2" t="str">
        <f>IF('Data Checking'!MH40="","",'Data Checking'!MH40)</f>
        <v/>
      </c>
      <c r="LW40" s="2" t="str">
        <f>IF('Data Checking'!MI40="","",'Data Checking'!MI40)</f>
        <v>[]</v>
      </c>
      <c r="LX40" s="2" t="str">
        <f>IF('Data Checking'!MJ40="","",'Data Checking'!MJ40)</f>
        <v>submitted_via_web</v>
      </c>
      <c r="LY40" s="2" t="str">
        <f>IF('Data Checking'!MK40="","",'Data Checking'!MK40)</f>
        <v>reach_niger</v>
      </c>
      <c r="LZ40" s="2" t="str">
        <f>IF('Data Checking'!ML40="","",'Data Checking'!ML40)</f>
        <v/>
      </c>
      <c r="MA40" s="2">
        <f>IF('Data Checking'!MM40="","",'Data Checking'!MM40)</f>
        <v>59</v>
      </c>
    </row>
    <row r="41" spans="1:339" x14ac:dyDescent="0.3">
      <c r="A41" s="2" t="str">
        <f>IF('Data Checking'!D41="","",'Data Checking'!D41)</f>
        <v>2021-04-08T13:58:51.231+01:00</v>
      </c>
      <c r="B41" s="2" t="str">
        <f>IF('Data Checking'!E41="","",'Data Checking'!E41)</f>
        <v>2021-04-08T14:32:40.075+01:00</v>
      </c>
      <c r="C41" s="2" t="str">
        <f>IF('Data Checking'!M41="","",'Data Checking'!M41)</f>
        <v>2021-04-08</v>
      </c>
      <c r="D41" s="2" t="str">
        <f>IF('Data Checking'!N41="","",'Data Checking'!N41)</f>
        <v/>
      </c>
      <c r="E41" s="2" t="str">
        <f>IF('Data Checking'!O41="","",'Data Checking'!O41)</f>
        <v/>
      </c>
      <c r="F41" s="2" t="str">
        <f>IF('Data Checking'!R41="","",'Data Checking'!R41)</f>
        <v>Homme</v>
      </c>
      <c r="G41" s="2" t="str">
        <f>IF('Data Checking'!S41="","",'Data Checking'!S41)</f>
        <v>ouallam</v>
      </c>
      <c r="H41" s="2" t="str">
        <f>IF('Data Checking'!T41="","",'Data Checking'!T41)</f>
        <v>tondikiwindi</v>
      </c>
      <c r="I41" s="2" t="str">
        <f>IF('Data Checking'!U41="","",'Data Checking'!U41)</f>
        <v>tondikiwindi</v>
      </c>
      <c r="J41" s="2" t="str">
        <f>IF('Data Checking'!V41="","",'Data Checking'!V41)</f>
        <v/>
      </c>
      <c r="K41" s="2" t="str">
        <f>IF('Data Checking'!W41="","",'Data Checking'!W41)</f>
        <v/>
      </c>
      <c r="L41" s="2" t="str">
        <f>IF('Data Checking'!X41="","",'Data Checking'!X41)</f>
        <v/>
      </c>
      <c r="M41" s="2" t="str">
        <f>IF('Data Checking'!Y41="","",'Data Checking'!Y41)</f>
        <v/>
      </c>
      <c r="N41" s="2" t="str">
        <f>IF('Data Checking'!Z41="","",'Data Checking'!Z41)</f>
        <v/>
      </c>
      <c r="O41" s="2" t="str">
        <f>IF('Data Checking'!AA41="","",'Data Checking'!AA41)</f>
        <v/>
      </c>
      <c r="P41" s="2" t="str">
        <f>IF('Data Checking'!AB41="","",'Data Checking'!AB41)</f>
        <v/>
      </c>
      <c r="Q41" s="2" t="str">
        <f>IF('Data Checking'!AC41="","",'Data Checking'!AC41)</f>
        <v/>
      </c>
      <c r="R41" s="2" t="str">
        <f>IF('Data Checking'!AD41="","",'Data Checking'!AD41)</f>
        <v>Femme</v>
      </c>
      <c r="S41" s="2" t="str">
        <f>IF('Data Checking'!AE41="","",'Data Checking'!AE41)</f>
        <v>40</v>
      </c>
      <c r="T41" s="2" t="str">
        <f>IF('Data Checking'!AF41="","",'Data Checking'!AF41)</f>
        <v>deplace_interne</v>
      </c>
      <c r="U41" s="2" t="str">
        <f>IF('Data Checking'!AG41="","",'Data Checking'!AG41)</f>
        <v/>
      </c>
      <c r="V41" s="2" t="str">
        <f>IF('Data Checking'!AH41="","",'Data Checking'!AH41)</f>
        <v/>
      </c>
      <c r="W41" s="2" t="str">
        <f>IF('Data Checking'!AI41="","",'Data Checking'!AI41)</f>
        <v/>
      </c>
      <c r="X41" s="2" t="str">
        <f>IF('Data Checking'!AJ41="","",'Data Checking'!AJ41)</f>
        <v/>
      </c>
      <c r="Y41" s="2" t="str">
        <f>IF('Data Checking'!AK41="","",'Data Checking'!AK41)</f>
        <v/>
      </c>
      <c r="Z41" s="2" t="str">
        <f>IF('Data Checking'!AL41="","",'Data Checking'!AL41)</f>
        <v>niger</v>
      </c>
      <c r="AA41" s="2" t="str">
        <f>IF('Data Checking'!AM41="","",'Data Checking'!AM41)</f>
        <v>tillaberi</v>
      </c>
      <c r="AB41" s="2" t="str">
        <f>IF('Data Checking'!AN41="","",'Data Checking'!AN41)</f>
        <v>ouallam</v>
      </c>
      <c r="AC41" s="2" t="str">
        <f>IF('Data Checking'!AO41="","",'Data Checking'!AO41)</f>
        <v/>
      </c>
      <c r="AD41" s="2" t="str">
        <f>IF('Data Checking'!AP41="","",'Data Checking'!AP41)</f>
        <v/>
      </c>
      <c r="AE41" s="2" t="str">
        <f>IF('Data Checking'!AQ41="","",'Data Checking'!AQ41)</f>
        <v/>
      </c>
      <c r="AF41" s="2" t="str">
        <f>IF('Data Checking'!AR41="","",'Data Checking'!AR41)</f>
        <v/>
      </c>
      <c r="AG41" s="2" t="str">
        <f>IF('Data Checking'!AS41="","",'Data Checking'!AS41)</f>
        <v>non</v>
      </c>
      <c r="AH41" s="2" t="str">
        <f>IF('Data Checking'!AT41="","",'Data Checking'!AT41)</f>
        <v/>
      </c>
      <c r="AI41" s="2" t="str">
        <f>IF('Data Checking'!AU41="","",'Data Checking'!AU41)</f>
        <v/>
      </c>
      <c r="AJ41" s="2" t="str">
        <f>IF('Data Checking'!AV41="","",'Data Checking'!AV41)</f>
        <v/>
      </c>
      <c r="AK41" s="2" t="str">
        <f>IF('Data Checking'!AW41="","",'Data Checking'!AW41)</f>
        <v/>
      </c>
      <c r="AL41" s="2" t="str">
        <f>IF('Data Checking'!AX41="","",'Data Checking'!AX41)</f>
        <v/>
      </c>
      <c r="AM41" s="2" t="str">
        <f>IF('Data Checking'!AY41="","",'Data Checking'!AY41)</f>
        <v/>
      </c>
      <c r="AN41" s="2" t="str">
        <f>IF('Data Checking'!AZ41="","",'Data Checking'!AZ41)</f>
        <v/>
      </c>
      <c r="AO41" s="2" t="str">
        <f>IF('Data Checking'!BA41="","",'Data Checking'!BA41)</f>
        <v/>
      </c>
      <c r="AP41" s="2" t="str">
        <f>IF('Data Checking'!BB41="","",'Data Checking'!BB41)</f>
        <v/>
      </c>
      <c r="AQ41" s="2" t="str">
        <f>IF('Data Checking'!BC41="","",'Data Checking'!BC41)</f>
        <v/>
      </c>
      <c r="AR41" s="2" t="str">
        <f>IF('Data Checking'!BD41="","",'Data Checking'!BD41)</f>
        <v/>
      </c>
      <c r="AS41" s="2" t="str">
        <f>IF('Data Checking'!BE41="","",'Data Checking'!BE41)</f>
        <v/>
      </c>
      <c r="AT41" s="2" t="str">
        <f>IF('Data Checking'!BF41="","",'Data Checking'!BF41)</f>
        <v/>
      </c>
      <c r="AU41" s="2" t="str">
        <f>IF('Data Checking'!BG41="","",'Data Checking'!BG41)</f>
        <v/>
      </c>
      <c r="AV41" s="2" t="str">
        <f>IF('Data Checking'!BH41="","",'Data Checking'!BH41)</f>
        <v/>
      </c>
      <c r="AW41" s="2" t="str">
        <f>IF('Data Checking'!BI41="","",'Data Checking'!BI41)</f>
        <v/>
      </c>
      <c r="AX41" s="2" t="str">
        <f>IF('Data Checking'!BJ41="","",'Data Checking'!BJ41)</f>
        <v/>
      </c>
      <c r="AY41" s="2" t="str">
        <f>IF('Data Checking'!BK41="","",'Data Checking'!BK41)</f>
        <v/>
      </c>
      <c r="AZ41" s="2" t="str">
        <f>IF('Data Checking'!BL41="","",'Data Checking'!BL41)</f>
        <v/>
      </c>
      <c r="BA41" s="2" t="str">
        <f>IF('Data Checking'!BM41="","",'Data Checking'!BM41)</f>
        <v/>
      </c>
      <c r="BB41" s="2" t="str">
        <f>IF('Data Checking'!BN41="","",'Data Checking'!BN41)</f>
        <v/>
      </c>
      <c r="BC41" s="2" t="str">
        <f>IF('Data Checking'!BO41="","",'Data Checking'!BO41)</f>
        <v/>
      </c>
      <c r="BD41" s="2" t="str">
        <f>IF('Data Checking'!BP41="","",'Data Checking'!BP41)</f>
        <v/>
      </c>
      <c r="BE41" s="2" t="str">
        <f>IF('Data Checking'!BQ41="","",'Data Checking'!BQ41)</f>
        <v/>
      </c>
      <c r="BF41" s="2" t="str">
        <f>IF('Data Checking'!BR41="","",'Data Checking'!BR41)</f>
        <v/>
      </c>
      <c r="BG41" s="2" t="str">
        <f>IF('Data Checking'!BS41="","",'Data Checking'!BS41)</f>
        <v/>
      </c>
      <c r="BH41" s="2" t="str">
        <f>IF('Data Checking'!BT41="","",'Data Checking'!BT41)</f>
        <v/>
      </c>
      <c r="BI41" s="2" t="str">
        <f>IF('Data Checking'!BU41="","",'Data Checking'!BU41)</f>
        <v/>
      </c>
      <c r="BJ41" s="2" t="str">
        <f>IF('Data Checking'!BV41="","",'Data Checking'!BV41)</f>
        <v/>
      </c>
      <c r="BK41" s="2" t="str">
        <f>IF('Data Checking'!BW41="","",'Data Checking'!BW41)</f>
        <v/>
      </c>
      <c r="BL41" s="2" t="str">
        <f>IF('Data Checking'!BX41="","",'Data Checking'!BX41)</f>
        <v/>
      </c>
      <c r="BM41" s="2" t="str">
        <f>IF('Data Checking'!BY41="","",'Data Checking'!BY41)</f>
        <v/>
      </c>
      <c r="BN41" s="2" t="str">
        <f>IF('Data Checking'!BZ41="","",'Data Checking'!BZ41)</f>
        <v/>
      </c>
      <c r="BO41" s="2" t="str">
        <f>IF('Data Checking'!CA41="","",'Data Checking'!CA41)</f>
        <v/>
      </c>
      <c r="BP41" s="2" t="str">
        <f>IF('Data Checking'!CB41="","",'Data Checking'!CB41)</f>
        <v/>
      </c>
      <c r="BQ41" s="2" t="str">
        <f>IF('Data Checking'!CC41="","",'Data Checking'!CC41)</f>
        <v>non</v>
      </c>
      <c r="BR41" s="2" t="str">
        <f>IF('Data Checking'!CD41="","",'Data Checking'!CD41)</f>
        <v/>
      </c>
      <c r="BS41" s="2" t="str">
        <f>IF('Data Checking'!CE41="","",'Data Checking'!CE41)</f>
        <v/>
      </c>
      <c r="BT41" s="2" t="str">
        <f>IF('Data Checking'!CF41="","",'Data Checking'!CF41)</f>
        <v/>
      </c>
      <c r="BU41" s="2" t="str">
        <f>IF('Data Checking'!CG41="","",'Data Checking'!CG41)</f>
        <v/>
      </c>
      <c r="BV41" s="2" t="str">
        <f>IF('Data Checking'!CH41="","",'Data Checking'!CH41)</f>
        <v/>
      </c>
      <c r="BW41" s="2" t="str">
        <f>IF('Data Checking'!CI41="","",'Data Checking'!CI41)</f>
        <v/>
      </c>
      <c r="BX41" s="2" t="str">
        <f>IF('Data Checking'!CJ41="","",'Data Checking'!CJ41)</f>
        <v/>
      </c>
      <c r="BY41" s="2" t="str">
        <f>IF('Data Checking'!CK41="","",'Data Checking'!CK41)</f>
        <v/>
      </c>
      <c r="BZ41" s="2" t="str">
        <f>IF('Data Checking'!CL41="","",'Data Checking'!CL41)</f>
        <v/>
      </c>
      <c r="CA41" s="2" t="str">
        <f>IF('Data Checking'!CM41="","",'Data Checking'!CM41)</f>
        <v/>
      </c>
      <c r="CB41" s="2" t="str">
        <f>IF('Data Checking'!CN41="","",'Data Checking'!CN41)</f>
        <v/>
      </c>
      <c r="CC41" s="2" t="str">
        <f>IF('Data Checking'!CO41="","",'Data Checking'!CO41)</f>
        <v/>
      </c>
      <c r="CD41" s="2" t="str">
        <f>IF('Data Checking'!CP41="","",'Data Checking'!CP41)</f>
        <v/>
      </c>
      <c r="CE41" s="2" t="str">
        <f>IF('Data Checking'!CQ41="","",'Data Checking'!CQ41)</f>
        <v/>
      </c>
      <c r="CF41" s="2" t="str">
        <f>IF('Data Checking'!CR41="","",'Data Checking'!CR41)</f>
        <v/>
      </c>
      <c r="CG41" s="2" t="str">
        <f>IF('Data Checking'!CS41="","",'Data Checking'!CS41)</f>
        <v/>
      </c>
      <c r="CH41" s="2" t="str">
        <f>IF('Data Checking'!CT41="","",'Data Checking'!CT41)</f>
        <v/>
      </c>
      <c r="CI41" s="2" t="str">
        <f>IF('Data Checking'!CU41="","",'Data Checking'!CU41)</f>
        <v/>
      </c>
      <c r="CJ41" s="2" t="str">
        <f>IF('Data Checking'!CV41="","",'Data Checking'!CV41)</f>
        <v/>
      </c>
      <c r="CK41" s="2" t="str">
        <f>IF('Data Checking'!CW41="","",'Data Checking'!CW41)</f>
        <v/>
      </c>
      <c r="CL41" s="2" t="str">
        <f>IF('Data Checking'!CX41="","",'Data Checking'!CX41)</f>
        <v/>
      </c>
      <c r="CM41" s="2" t="str">
        <f>IF('Data Checking'!CY41="","",'Data Checking'!CY41)</f>
        <v/>
      </c>
      <c r="CN41" s="2" t="str">
        <f>IF('Data Checking'!CZ41="","",'Data Checking'!CZ41)</f>
        <v/>
      </c>
      <c r="CO41" s="2" t="str">
        <f>IF('Data Checking'!DA41="","",'Data Checking'!DA41)</f>
        <v/>
      </c>
      <c r="CP41" s="2" t="str">
        <f>IF('Data Checking'!DB41="","",'Data Checking'!DB41)</f>
        <v/>
      </c>
      <c r="CQ41" s="2" t="str">
        <f>IF('Data Checking'!DC41="","",'Data Checking'!DC41)</f>
        <v/>
      </c>
      <c r="CR41" s="2" t="str">
        <f>IF('Data Checking'!DD41="","",'Data Checking'!DD41)</f>
        <v/>
      </c>
      <c r="CS41" s="2" t="str">
        <f>IF('Data Checking'!DE41="","",'Data Checking'!DE41)</f>
        <v/>
      </c>
      <c r="CT41" s="2" t="str">
        <f>IF('Data Checking'!DF41="","",'Data Checking'!DF41)</f>
        <v/>
      </c>
      <c r="CU41" s="2" t="str">
        <f>IF('Data Checking'!DG41="","",'Data Checking'!DG41)</f>
        <v/>
      </c>
      <c r="CV41" s="2" t="str">
        <f>IF('Data Checking'!DH41="","",'Data Checking'!DH41)</f>
        <v/>
      </c>
      <c r="CW41" s="2" t="str">
        <f>IF('Data Checking'!DI41="","",'Data Checking'!DI41)</f>
        <v/>
      </c>
      <c r="CX41" s="2" t="str">
        <f>IF('Data Checking'!DJ41="","",'Data Checking'!DJ41)</f>
        <v/>
      </c>
      <c r="CY41" s="2" t="str">
        <f>IF('Data Checking'!DK41="","",'Data Checking'!DK41)</f>
        <v/>
      </c>
      <c r="CZ41" s="2" t="str">
        <f>IF('Data Checking'!DL41="","",'Data Checking'!DL41)</f>
        <v/>
      </c>
      <c r="DA41" s="2" t="str">
        <f>IF('Data Checking'!DM41="","",'Data Checking'!DM41)</f>
        <v/>
      </c>
      <c r="DB41" s="2" t="str">
        <f>IF('Data Checking'!DN41="","",'Data Checking'!DN41)</f>
        <v/>
      </c>
      <c r="DC41" s="2" t="str">
        <f>IF('Data Checking'!DO41="","",'Data Checking'!DO41)</f>
        <v/>
      </c>
      <c r="DD41" s="2" t="str">
        <f>IF('Data Checking'!DP41="","",'Data Checking'!DP41)</f>
        <v/>
      </c>
      <c r="DE41" s="2" t="str">
        <f>IF('Data Checking'!DQ41="","",'Data Checking'!DQ41)</f>
        <v/>
      </c>
      <c r="DF41" s="2" t="str">
        <f>IF('Data Checking'!DR41="","",'Data Checking'!DR41)</f>
        <v/>
      </c>
      <c r="DG41" s="2" t="str">
        <f>IF('Data Checking'!DS41="","",'Data Checking'!DS41)</f>
        <v/>
      </c>
      <c r="DH41" s="2" t="str">
        <f>IF('Data Checking'!DT41="","",'Data Checking'!DT41)</f>
        <v/>
      </c>
      <c r="DI41" s="2" t="str">
        <f>IF('Data Checking'!DU41="","",'Data Checking'!DU41)</f>
        <v/>
      </c>
      <c r="DJ41" s="2" t="str">
        <f>IF('Data Checking'!DV41="","",'Data Checking'!DV41)</f>
        <v/>
      </c>
      <c r="DK41" s="2" t="str">
        <f>IF('Data Checking'!DW41="","",'Data Checking'!DW41)</f>
        <v/>
      </c>
      <c r="DL41" s="2" t="str">
        <f>IF('Data Checking'!DX41="","",'Data Checking'!DX41)</f>
        <v/>
      </c>
      <c r="DM41" s="2" t="str">
        <f>IF('Data Checking'!DY41="","",'Data Checking'!DY41)</f>
        <v/>
      </c>
      <c r="DN41" s="2" t="str">
        <f>IF('Data Checking'!DZ41="","",'Data Checking'!DZ41)</f>
        <v/>
      </c>
      <c r="DO41" s="2" t="str">
        <f>IF('Data Checking'!EA41="","",'Data Checking'!EA41)</f>
        <v/>
      </c>
      <c r="DP41" s="2" t="str">
        <f>IF('Data Checking'!EB41="","",'Data Checking'!EB41)</f>
        <v/>
      </c>
      <c r="DQ41" s="2" t="str">
        <f>IF('Data Checking'!EC41="","",'Data Checking'!EC41)</f>
        <v/>
      </c>
      <c r="DR41" s="2" t="str">
        <f>IF('Data Checking'!ED41="","",'Data Checking'!ED41)</f>
        <v/>
      </c>
      <c r="DS41" s="2" t="str">
        <f>IF('Data Checking'!EE41="","",'Data Checking'!EE41)</f>
        <v/>
      </c>
      <c r="DT41" s="2" t="str">
        <f>IF('Data Checking'!EF41="","",'Data Checking'!EF41)</f>
        <v/>
      </c>
      <c r="DU41" s="2" t="str">
        <f>IF('Data Checking'!EG41="","",'Data Checking'!EG41)</f>
        <v/>
      </c>
      <c r="DV41" s="2" t="str">
        <f>IF('Data Checking'!EH41="","",'Data Checking'!EH41)</f>
        <v/>
      </c>
      <c r="DW41" s="2" t="str">
        <f>IF('Data Checking'!EI41="","",'Data Checking'!EI41)</f>
        <v/>
      </c>
      <c r="DX41" s="2" t="str">
        <f>IF('Data Checking'!EJ41="","",'Data Checking'!EJ41)</f>
        <v/>
      </c>
      <c r="DY41" s="2" t="str">
        <f>IF('Data Checking'!EK41="","",'Data Checking'!EK41)</f>
        <v/>
      </c>
      <c r="DZ41" s="2" t="str">
        <f>IF('Data Checking'!EL41="","",'Data Checking'!EL41)</f>
        <v>dplct_abords_com</v>
      </c>
      <c r="EA41" s="2" t="str">
        <f>IF('Data Checking'!EM41="","",'Data Checking'!EM41)</f>
        <v>1</v>
      </c>
      <c r="EB41" s="2" t="str">
        <f>IF('Data Checking'!EN41="","",'Data Checking'!EN41)</f>
        <v>0</v>
      </c>
      <c r="EC41" s="2" t="str">
        <f>IF('Data Checking'!EO41="","",'Data Checking'!EO41)</f>
        <v>0</v>
      </c>
      <c r="ED41" s="2" t="str">
        <f>IF('Data Checking'!EP41="","",'Data Checking'!EP41)</f>
        <v>0</v>
      </c>
      <c r="EE41" s="2" t="str">
        <f>IF('Data Checking'!EQ41="","",'Data Checking'!EQ41)</f>
        <v>0</v>
      </c>
      <c r="EF41" s="2" t="str">
        <f>IF('Data Checking'!ER41="","",'Data Checking'!ER41)</f>
        <v>0</v>
      </c>
      <c r="EG41" s="2" t="str">
        <f>IF('Data Checking'!ES41="","",'Data Checking'!ES41)</f>
        <v>0</v>
      </c>
      <c r="EH41" s="2" t="str">
        <f>IF('Data Checking'!ET41="","",'Data Checking'!ET41)</f>
        <v>0</v>
      </c>
      <c r="EI41" s="2" t="str">
        <f>IF('Data Checking'!EU41="","",'Data Checking'!EU41)</f>
        <v>0</v>
      </c>
      <c r="EJ41" s="2" t="str">
        <f>IF('Data Checking'!EV41="","",'Data Checking'!EV41)</f>
        <v/>
      </c>
      <c r="EK41" s="2" t="str">
        <f>IF('Data Checking'!EW41="","",'Data Checking'!EW41)</f>
        <v/>
      </c>
      <c r="EL41" s="2" t="str">
        <f>IF('Data Checking'!EX41="","",'Data Checking'!EX41)</f>
        <v>Ne_sait_pas</v>
      </c>
      <c r="EM41" s="2" t="str">
        <f>IF('Data Checking'!EY41="","",'Data Checking'!EY41)</f>
        <v>0</v>
      </c>
      <c r="EN41" s="2" t="str">
        <f>IF('Data Checking'!EZ41="","",'Data Checking'!EZ41)</f>
        <v>0</v>
      </c>
      <c r="EO41" s="2" t="str">
        <f>IF('Data Checking'!FA41="","",'Data Checking'!FA41)</f>
        <v>0</v>
      </c>
      <c r="EP41" s="2" t="str">
        <f>IF('Data Checking'!FB41="","",'Data Checking'!FB41)</f>
        <v>0</v>
      </c>
      <c r="EQ41" s="2" t="str">
        <f>IF('Data Checking'!FC41="","",'Data Checking'!FC41)</f>
        <v>0</v>
      </c>
      <c r="ER41" s="2" t="str">
        <f>IF('Data Checking'!FD41="","",'Data Checking'!FD41)</f>
        <v>0</v>
      </c>
      <c r="ES41" s="2" t="str">
        <f>IF('Data Checking'!FE41="","",'Data Checking'!FE41)</f>
        <v>0</v>
      </c>
      <c r="ET41" s="2" t="str">
        <f>IF('Data Checking'!FF41="","",'Data Checking'!FF41)</f>
        <v>0</v>
      </c>
      <c r="EU41" s="2" t="str">
        <f>IF('Data Checking'!FG41="","",'Data Checking'!FG41)</f>
        <v>1</v>
      </c>
      <c r="EV41" s="2" t="str">
        <f>IF('Data Checking'!FH41="","",'Data Checking'!FH41)</f>
        <v>0</v>
      </c>
      <c r="EW41" s="2" t="str">
        <f>IF('Data Checking'!FI41="","",'Data Checking'!FI41)</f>
        <v/>
      </c>
      <c r="EX41" s="2" t="str">
        <f>IF('Data Checking'!FJ41="","",'Data Checking'!FJ41)</f>
        <v>oui</v>
      </c>
      <c r="EY41" s="2" t="str">
        <f>IF('Data Checking'!FK41="","",'Data Checking'!FK41)</f>
        <v>Chef_village</v>
      </c>
      <c r="EZ41" s="2" t="str">
        <f>IF('Data Checking'!FL41="","",'Data Checking'!FL41)</f>
        <v>0</v>
      </c>
      <c r="FA41" s="2" t="str">
        <f>IF('Data Checking'!FM41="","",'Data Checking'!FM41)</f>
        <v>0</v>
      </c>
      <c r="FB41" s="2" t="str">
        <f>IF('Data Checking'!FN41="","",'Data Checking'!FN41)</f>
        <v>0</v>
      </c>
      <c r="FC41" s="2" t="str">
        <f>IF('Data Checking'!FO41="","",'Data Checking'!FO41)</f>
        <v>0</v>
      </c>
      <c r="FD41" s="2" t="str">
        <f>IF('Data Checking'!FP41="","",'Data Checking'!FP41)</f>
        <v>1</v>
      </c>
      <c r="FE41" s="2" t="str">
        <f>IF('Data Checking'!FQ41="","",'Data Checking'!FQ41)</f>
        <v>0</v>
      </c>
      <c r="FF41" s="2" t="str">
        <f>IF('Data Checking'!FR41="","",'Data Checking'!FR41)</f>
        <v>0</v>
      </c>
      <c r="FG41" s="2" t="str">
        <f>IF('Data Checking'!FS41="","",'Data Checking'!FS41)</f>
        <v>0</v>
      </c>
      <c r="FH41" s="2" t="str">
        <f>IF('Data Checking'!FT41="","",'Data Checking'!FT41)</f>
        <v>0</v>
      </c>
      <c r="FI41" s="2" t="str">
        <f>IF('Data Checking'!FU41="","",'Data Checking'!FU41)</f>
        <v>0</v>
      </c>
      <c r="FJ41" s="2" t="str">
        <f>IF('Data Checking'!FV41="","",'Data Checking'!FV41)</f>
        <v>0</v>
      </c>
      <c r="FK41" s="2" t="str">
        <f>IF('Data Checking'!FW41="","",'Data Checking'!FW41)</f>
        <v>0</v>
      </c>
      <c r="FL41" s="2" t="str">
        <f>IF('Data Checking'!FX41="","",'Data Checking'!FX41)</f>
        <v>0</v>
      </c>
      <c r="FM41" s="2" t="str">
        <f>IF('Data Checking'!FY41="","",'Data Checking'!FY41)</f>
        <v>0</v>
      </c>
      <c r="FN41" s="2" t="str">
        <f>IF('Data Checking'!FZ41="","",'Data Checking'!FZ41)</f>
        <v/>
      </c>
      <c r="FO41" s="2" t="str">
        <f>IF('Data Checking'!GA41="","",'Data Checking'!GA41)</f>
        <v>oui_minorite</v>
      </c>
      <c r="FP41" s="2" t="str">
        <f>IF('Data Checking'!GB41="","",'Data Checking'!GB41)</f>
        <v>oui_minorite</v>
      </c>
      <c r="FQ41" s="2" t="str">
        <f>IF('Data Checking'!GC41="","",'Data Checking'!GC41)</f>
        <v>manque_info</v>
      </c>
      <c r="FR41" s="2" t="str">
        <f>IF('Data Checking'!GD41="","",'Data Checking'!GD41)</f>
        <v>0</v>
      </c>
      <c r="FS41" s="2" t="str">
        <f>IF('Data Checking'!GE41="","",'Data Checking'!GE41)</f>
        <v>1</v>
      </c>
      <c r="FT41" s="2" t="str">
        <f>IF('Data Checking'!GF41="","",'Data Checking'!GF41)</f>
        <v>0</v>
      </c>
      <c r="FU41" s="2" t="str">
        <f>IF('Data Checking'!GG41="","",'Data Checking'!GG41)</f>
        <v>0</v>
      </c>
      <c r="FV41" s="2" t="str">
        <f>IF('Data Checking'!GH41="","",'Data Checking'!GH41)</f>
        <v>0</v>
      </c>
      <c r="FW41" s="2" t="str">
        <f>IF('Data Checking'!GI41="","",'Data Checking'!GI41)</f>
        <v>0</v>
      </c>
      <c r="FX41" s="2" t="str">
        <f>IF('Data Checking'!GJ41="","",'Data Checking'!GJ41)</f>
        <v>0</v>
      </c>
      <c r="FY41" s="2" t="str">
        <f>IF('Data Checking'!GK41="","",'Data Checking'!GK41)</f>
        <v>0</v>
      </c>
      <c r="FZ41" s="2" t="str">
        <f>IF('Data Checking'!GL41="","",'Data Checking'!GL41)</f>
        <v/>
      </c>
      <c r="GA41" s="2" t="str">
        <f>IF('Data Checking'!GM41="","",'Data Checking'!GM41)</f>
        <v>aucun</v>
      </c>
      <c r="GB41" s="2" t="str">
        <f>IF('Data Checking'!GN41="","",'Data Checking'!GN41)</f>
        <v>aucun</v>
      </c>
      <c r="GC41" s="2" t="str">
        <f>IF('Data Checking'!GO41="","",'Data Checking'!GO41)</f>
        <v/>
      </c>
      <c r="GD41" s="2" t="str">
        <f>IF('Data Checking'!GP41="","",'Data Checking'!GP41)</f>
        <v/>
      </c>
      <c r="GE41" s="2" t="str">
        <f>IF('Data Checking'!GQ41="","",'Data Checking'!GQ41)</f>
        <v/>
      </c>
      <c r="GF41" s="2" t="str">
        <f>IF('Data Checking'!GR41="","",'Data Checking'!GR41)</f>
        <v/>
      </c>
      <c r="GG41" s="2" t="str">
        <f>IF('Data Checking'!GS41="","",'Data Checking'!GS41)</f>
        <v/>
      </c>
      <c r="GH41" s="2" t="str">
        <f>IF('Data Checking'!GT41="","",'Data Checking'!GT41)</f>
        <v/>
      </c>
      <c r="GI41" s="2" t="str">
        <f>IF('Data Checking'!GU41="","",'Data Checking'!GU41)</f>
        <v/>
      </c>
      <c r="GJ41" s="2" t="str">
        <f>IF('Data Checking'!GV41="","",'Data Checking'!GV41)</f>
        <v/>
      </c>
      <c r="GK41" s="2" t="str">
        <f>IF('Data Checking'!GW41="","",'Data Checking'!GW41)</f>
        <v/>
      </c>
      <c r="GL41" s="2" t="str">
        <f>IF('Data Checking'!GX41="","",'Data Checking'!GX41)</f>
        <v/>
      </c>
      <c r="GM41" s="2" t="str">
        <f>IF('Data Checking'!GY41="","",'Data Checking'!GY41)</f>
        <v/>
      </c>
      <c r="GN41" s="2" t="str">
        <f>IF('Data Checking'!GZ41="","",'Data Checking'!GZ41)</f>
        <v>oui_minorite</v>
      </c>
      <c r="GO41" s="2" t="str">
        <f>IF('Data Checking'!HA41="","",'Data Checking'!HA41)</f>
        <v>oui_minorite</v>
      </c>
      <c r="GP41" s="2" t="str">
        <f>IF('Data Checking'!HB41="","",'Data Checking'!HB41)</f>
        <v>amelioration_futur</v>
      </c>
      <c r="GQ41" s="2" t="str">
        <f>IF('Data Checking'!HC41="","",'Data Checking'!HC41)</f>
        <v>1</v>
      </c>
      <c r="GR41" s="2" t="str">
        <f>IF('Data Checking'!HD41="","",'Data Checking'!HD41)</f>
        <v>0</v>
      </c>
      <c r="GS41" s="2" t="str">
        <f>IF('Data Checking'!HE41="","",'Data Checking'!HE41)</f>
        <v>0</v>
      </c>
      <c r="GT41" s="2" t="str">
        <f>IF('Data Checking'!HF41="","",'Data Checking'!HF41)</f>
        <v>0</v>
      </c>
      <c r="GU41" s="2" t="str">
        <f>IF('Data Checking'!HG41="","",'Data Checking'!HG41)</f>
        <v>0</v>
      </c>
      <c r="GV41" s="2" t="str">
        <f>IF('Data Checking'!HH41="","",'Data Checking'!HH41)</f>
        <v>0</v>
      </c>
      <c r="GW41" s="2" t="str">
        <f>IF('Data Checking'!HI41="","",'Data Checking'!HI41)</f>
        <v>0</v>
      </c>
      <c r="GX41" s="2" t="str">
        <f>IF('Data Checking'!HJ41="","",'Data Checking'!HJ41)</f>
        <v>0</v>
      </c>
      <c r="GY41" s="2" t="str">
        <f>IF('Data Checking'!HK41="","",'Data Checking'!HK41)</f>
        <v/>
      </c>
      <c r="GZ41" s="2" t="str">
        <f>IF('Data Checking'!HL41="","",'Data Checking'!HL41)</f>
        <v>Autre</v>
      </c>
      <c r="HA41" s="2" t="str">
        <f>IF('Data Checking'!HM41="","",'Data Checking'!HM41)</f>
        <v>0</v>
      </c>
      <c r="HB41" s="2" t="str">
        <f>IF('Data Checking'!HN41="","",'Data Checking'!HN41)</f>
        <v>0</v>
      </c>
      <c r="HC41" s="2" t="str">
        <f>IF('Data Checking'!HO41="","",'Data Checking'!HO41)</f>
        <v>0</v>
      </c>
      <c r="HD41" s="2" t="str">
        <f>IF('Data Checking'!HP41="","",'Data Checking'!HP41)</f>
        <v>0</v>
      </c>
      <c r="HE41" s="2" t="str">
        <f>IF('Data Checking'!HQ41="","",'Data Checking'!HQ41)</f>
        <v>1</v>
      </c>
      <c r="HF41" s="2" t="str">
        <f>IF('Data Checking'!HR41="","",'Data Checking'!HR41)</f>
        <v>0</v>
      </c>
      <c r="HG41" s="2" t="str">
        <f>IF('Data Checking'!HS41="","",'Data Checking'!HS41)</f>
        <v>Difficulté d'accès aux services pour manque d'informations</v>
      </c>
      <c r="HH41" s="2" t="str">
        <f>IF('Data Checking'!HT41="","",'Data Checking'!HT41)</f>
        <v/>
      </c>
      <c r="HI41" s="2" t="str">
        <f>IF('Data Checking'!HU41="","",'Data Checking'!HU41)</f>
        <v>non</v>
      </c>
      <c r="HJ41" s="2" t="str">
        <f>IF('Data Checking'!HV41="","",'Data Checking'!HV41)</f>
        <v/>
      </c>
      <c r="HK41" s="2" t="str">
        <f>IF('Data Checking'!HW41="","",'Data Checking'!HW41)</f>
        <v/>
      </c>
      <c r="HL41" s="2" t="str">
        <f>IF('Data Checking'!HX41="","",'Data Checking'!HX41)</f>
        <v/>
      </c>
      <c r="HM41" s="2" t="str">
        <f>IF('Data Checking'!HY41="","",'Data Checking'!HY41)</f>
        <v/>
      </c>
      <c r="HN41" s="2" t="str">
        <f>IF('Data Checking'!HZ41="","",'Data Checking'!HZ41)</f>
        <v/>
      </c>
      <c r="HO41" s="2" t="str">
        <f>IF('Data Checking'!IA41="","",'Data Checking'!IA41)</f>
        <v/>
      </c>
      <c r="HP41" s="2" t="str">
        <f>IF('Data Checking'!IB41="","",'Data Checking'!IB41)</f>
        <v/>
      </c>
      <c r="HQ41" s="2" t="str">
        <f>IF('Data Checking'!IC41="","",'Data Checking'!IC41)</f>
        <v/>
      </c>
      <c r="HR41" s="2" t="str">
        <f>IF('Data Checking'!ID41="","",'Data Checking'!ID41)</f>
        <v/>
      </c>
      <c r="HS41" s="2" t="str">
        <f>IF('Data Checking'!IE41="","",'Data Checking'!IE41)</f>
        <v/>
      </c>
      <c r="HT41" s="2" t="str">
        <f>IF('Data Checking'!IF41="","",'Data Checking'!IF41)</f>
        <v/>
      </c>
      <c r="HU41" s="2" t="str">
        <f>IF('Data Checking'!IG41="","",'Data Checking'!IG41)</f>
        <v/>
      </c>
      <c r="HV41" s="2" t="str">
        <f>IF('Data Checking'!IH41="","",'Data Checking'!IH41)</f>
        <v>oui</v>
      </c>
      <c r="HW41" s="2" t="str">
        <f>IF('Data Checking'!II41="","",'Data Checking'!II41)</f>
        <v/>
      </c>
      <c r="HX41" s="2" t="str">
        <f>IF('Data Checking'!IJ41="","",'Data Checking'!IJ41)</f>
        <v/>
      </c>
      <c r="HY41" s="2" t="str">
        <f>IF('Data Checking'!IK41="","",'Data Checking'!IK41)</f>
        <v/>
      </c>
      <c r="HZ41" s="2" t="str">
        <f>IF('Data Checking'!IL41="","",'Data Checking'!IL41)</f>
        <v/>
      </c>
      <c r="IA41" s="2" t="str">
        <f>IF('Data Checking'!IM41="","",'Data Checking'!IM41)</f>
        <v/>
      </c>
      <c r="IB41" s="2" t="str">
        <f>IF('Data Checking'!IN41="","",'Data Checking'!IN41)</f>
        <v/>
      </c>
      <c r="IC41" s="2" t="str">
        <f>IF('Data Checking'!IO41="","",'Data Checking'!IO41)</f>
        <v/>
      </c>
      <c r="ID41" s="2" t="str">
        <f>IF('Data Checking'!IP41="","",'Data Checking'!IP41)</f>
        <v/>
      </c>
      <c r="IE41" s="2" t="str">
        <f>IF('Data Checking'!IQ41="","",'Data Checking'!IQ41)</f>
        <v/>
      </c>
      <c r="IF41" s="2" t="str">
        <f>IF('Data Checking'!IR41="","",'Data Checking'!IR41)</f>
        <v/>
      </c>
      <c r="IG41" s="2" t="str">
        <f>IF('Data Checking'!IS41="","",'Data Checking'!IS41)</f>
        <v/>
      </c>
      <c r="IH41" s="2" t="str">
        <f>IF('Data Checking'!IT41="","",'Data Checking'!IT41)</f>
        <v/>
      </c>
      <c r="II41" s="2" t="str">
        <f>IF('Data Checking'!IU41="","",'Data Checking'!IU41)</f>
        <v/>
      </c>
      <c r="IJ41" s="2" t="str">
        <f>IF('Data Checking'!IV41="","",'Data Checking'!IV41)</f>
        <v/>
      </c>
      <c r="IK41" s="2" t="str">
        <f>IF('Data Checking'!IW41="","",'Data Checking'!IW41)</f>
        <v/>
      </c>
      <c r="IL41" s="2" t="str">
        <f>IF('Data Checking'!IX41="","",'Data Checking'!IX41)</f>
        <v/>
      </c>
      <c r="IM41" s="2" t="str">
        <f>IF('Data Checking'!IY41="","",'Data Checking'!IY41)</f>
        <v/>
      </c>
      <c r="IN41" s="2" t="str">
        <f>IF('Data Checking'!IZ41="","",'Data Checking'!IZ41)</f>
        <v>2</v>
      </c>
      <c r="IO41" s="2" t="str">
        <f>IF('Data Checking'!JA41="","",'Data Checking'!JA41)</f>
        <v>points_ecoute</v>
      </c>
      <c r="IP41" s="2" t="str">
        <f>IF('Data Checking'!JB41="","",'Data Checking'!JB41)</f>
        <v>0</v>
      </c>
      <c r="IQ41" s="2" t="str">
        <f>IF('Data Checking'!JC41="","",'Data Checking'!JC41)</f>
        <v>0</v>
      </c>
      <c r="IR41" s="2" t="str">
        <f>IF('Data Checking'!JD41="","",'Data Checking'!JD41)</f>
        <v>0</v>
      </c>
      <c r="IS41" s="2" t="str">
        <f>IF('Data Checking'!JE41="","",'Data Checking'!JE41)</f>
        <v>0</v>
      </c>
      <c r="IT41" s="2" t="str">
        <f>IF('Data Checking'!JF41="","",'Data Checking'!JF41)</f>
        <v>0</v>
      </c>
      <c r="IU41" s="2" t="str">
        <f>IF('Data Checking'!JG41="","",'Data Checking'!JG41)</f>
        <v>0</v>
      </c>
      <c r="IV41" s="2" t="str">
        <f>IF('Data Checking'!JH41="","",'Data Checking'!JH41)</f>
        <v>0</v>
      </c>
      <c r="IW41" s="2" t="str">
        <f>IF('Data Checking'!JI41="","",'Data Checking'!JI41)</f>
        <v>1</v>
      </c>
      <c r="IX41" s="2" t="str">
        <f>IF('Data Checking'!JJ41="","",'Data Checking'!JJ41)</f>
        <v>0</v>
      </c>
      <c r="IY41" s="2" t="str">
        <f>IF('Data Checking'!JK41="","",'Data Checking'!JK41)</f>
        <v>0</v>
      </c>
      <c r="IZ41" s="2" t="str">
        <f>IF('Data Checking'!JL41="","",'Data Checking'!JL41)</f>
        <v/>
      </c>
      <c r="JA41" s="2" t="str">
        <f>IF('Data Checking'!JM41="","",'Data Checking'!JM41)</f>
        <v>signalement</v>
      </c>
      <c r="JB41" s="2" t="str">
        <f>IF('Data Checking'!JN41="","",'Data Checking'!JN41)</f>
        <v>0</v>
      </c>
      <c r="JC41" s="2" t="str">
        <f>IF('Data Checking'!JO41="","",'Data Checking'!JO41)</f>
        <v>0</v>
      </c>
      <c r="JD41" s="2" t="str">
        <f>IF('Data Checking'!JP41="","",'Data Checking'!JP41)</f>
        <v>1</v>
      </c>
      <c r="JE41" s="2" t="str">
        <f>IF('Data Checking'!JQ41="","",'Data Checking'!JQ41)</f>
        <v>0</v>
      </c>
      <c r="JF41" s="2" t="str">
        <f>IF('Data Checking'!JR41="","",'Data Checking'!JR41)</f>
        <v>0</v>
      </c>
      <c r="JG41" s="2" t="str">
        <f>IF('Data Checking'!JS41="","",'Data Checking'!JS41)</f>
        <v>0</v>
      </c>
      <c r="JH41" s="2" t="str">
        <f>IF('Data Checking'!JT41="","",'Data Checking'!JT41)</f>
        <v/>
      </c>
      <c r="JI41" s="2" t="str">
        <f>IF('Data Checking'!JU41="","",'Data Checking'!JU41)</f>
        <v/>
      </c>
      <c r="JJ41" s="2" t="str">
        <f>IF('Data Checking'!JV41="","",'Data Checking'!JV41)</f>
        <v/>
      </c>
      <c r="JK41" s="2" t="str">
        <f>IF('Data Checking'!JW41="","",'Data Checking'!JW41)</f>
        <v/>
      </c>
      <c r="JL41" s="2" t="str">
        <f>IF('Data Checking'!JX41="","",'Data Checking'!JX41)</f>
        <v/>
      </c>
      <c r="JM41" s="2" t="str">
        <f>IF('Data Checking'!JY41="","",'Data Checking'!JY41)</f>
        <v/>
      </c>
      <c r="JN41" s="2" t="str">
        <f>IF('Data Checking'!JZ41="","",'Data Checking'!JZ41)</f>
        <v/>
      </c>
      <c r="JO41" s="2" t="str">
        <f>IF('Data Checking'!KA41="","",'Data Checking'!KA41)</f>
        <v/>
      </c>
      <c r="JP41" s="2" t="str">
        <f>IF('Data Checking'!KB41="","",'Data Checking'!KB41)</f>
        <v/>
      </c>
      <c r="JQ41" s="2" t="str">
        <f>IF('Data Checking'!KC41="","",'Data Checking'!KC41)</f>
        <v/>
      </c>
      <c r="JR41" s="2" t="str">
        <f>IF('Data Checking'!KD41="","",'Data Checking'!KD41)</f>
        <v/>
      </c>
      <c r="JS41" s="2" t="str">
        <f>IF('Data Checking'!KE41="","",'Data Checking'!KE41)</f>
        <v/>
      </c>
      <c r="JT41" s="2" t="str">
        <f>IF('Data Checking'!KF41="","",'Data Checking'!KF41)</f>
        <v>surete point_ecoute</v>
      </c>
      <c r="JU41" s="2" t="str">
        <f>IF('Data Checking'!KG41="","",'Data Checking'!KG41)</f>
        <v>0</v>
      </c>
      <c r="JV41" s="2" t="str">
        <f>IF('Data Checking'!KH41="","",'Data Checking'!KH41)</f>
        <v>0</v>
      </c>
      <c r="JW41" s="2" t="str">
        <f>IF('Data Checking'!KI41="","",'Data Checking'!KI41)</f>
        <v>1</v>
      </c>
      <c r="JX41" s="2" t="str">
        <f>IF('Data Checking'!KJ41="","",'Data Checking'!KJ41)</f>
        <v>0</v>
      </c>
      <c r="JY41" s="2" t="str">
        <f>IF('Data Checking'!KK41="","",'Data Checking'!KK41)</f>
        <v>1</v>
      </c>
      <c r="JZ41" s="2" t="str">
        <f>IF('Data Checking'!KL41="","",'Data Checking'!KL41)</f>
        <v>0</v>
      </c>
      <c r="KA41" s="2" t="str">
        <f>IF('Data Checking'!KM41="","",'Data Checking'!KM41)</f>
        <v>0</v>
      </c>
      <c r="KB41" s="2" t="str">
        <f>IF('Data Checking'!KN41="","",'Data Checking'!KN41)</f>
        <v>0</v>
      </c>
      <c r="KC41" s="2" t="str">
        <f>IF('Data Checking'!KO41="","",'Data Checking'!KO41)</f>
        <v>0</v>
      </c>
      <c r="KD41" s="2" t="str">
        <f>IF('Data Checking'!KP41="","",'Data Checking'!KP41)</f>
        <v/>
      </c>
      <c r="KE41" s="2" t="str">
        <f>IF('Data Checking'!KQ41="","",'Data Checking'!KQ41)</f>
        <v/>
      </c>
      <c r="KF41" s="2" t="str">
        <f>IF('Data Checking'!KR41="","",'Data Checking'!KR41)</f>
        <v>ne_sait_pas</v>
      </c>
      <c r="KG41" s="2" t="str">
        <f>IF('Data Checking'!KS41="","",'Data Checking'!KS41)</f>
        <v/>
      </c>
      <c r="KH41" s="2" t="str">
        <f>IF('Data Checking'!KT41="","",'Data Checking'!KT41)</f>
        <v/>
      </c>
      <c r="KI41" s="2" t="str">
        <f>IF('Data Checking'!KU41="","",'Data Checking'!KU41)</f>
        <v/>
      </c>
      <c r="KJ41" s="2" t="str">
        <f>IF('Data Checking'!KV41="","",'Data Checking'!KV41)</f>
        <v/>
      </c>
      <c r="KK41" s="2" t="str">
        <f>IF('Data Checking'!KW41="","",'Data Checking'!KW41)</f>
        <v/>
      </c>
      <c r="KL41" s="2" t="str">
        <f>IF('Data Checking'!KX41="","",'Data Checking'!KX41)</f>
        <v/>
      </c>
      <c r="KM41" s="2" t="str">
        <f>IF('Data Checking'!KY41="","",'Data Checking'!KY41)</f>
        <v/>
      </c>
      <c r="KN41" s="2" t="str">
        <f>IF('Data Checking'!KZ41="","",'Data Checking'!KZ41)</f>
        <v/>
      </c>
      <c r="KO41" s="2" t="str">
        <f>IF('Data Checking'!LA41="","",'Data Checking'!LA41)</f>
        <v/>
      </c>
      <c r="KP41" s="2" t="str">
        <f>IF('Data Checking'!LB41="","",'Data Checking'!LB41)</f>
        <v/>
      </c>
      <c r="KQ41" s="2" t="str">
        <f>IF('Data Checking'!LC41="","",'Data Checking'!LC41)</f>
        <v/>
      </c>
      <c r="KR41" s="2" t="str">
        <f>IF('Data Checking'!LD41="","",'Data Checking'!LD41)</f>
        <v/>
      </c>
      <c r="KS41" s="2" t="str">
        <f>IF('Data Checking'!LE41="","",'Data Checking'!LE41)</f>
        <v/>
      </c>
      <c r="KT41" s="2" t="str">
        <f>IF('Data Checking'!LF41="","",'Data Checking'!LF41)</f>
        <v/>
      </c>
      <c r="KU41" s="2" t="str">
        <f>IF('Data Checking'!LG41="","",'Data Checking'!LG41)</f>
        <v/>
      </c>
      <c r="KV41" s="2" t="str">
        <f>IF('Data Checking'!LH41="","",'Data Checking'!LH41)</f>
        <v/>
      </c>
      <c r="KW41" s="2" t="str">
        <f>IF('Data Checking'!LI41="","",'Data Checking'!LI41)</f>
        <v/>
      </c>
      <c r="KX41" s="2" t="str">
        <f>IF('Data Checking'!LJ41="","",'Data Checking'!LJ41)</f>
        <v/>
      </c>
      <c r="KY41" s="2" t="str">
        <f>IF('Data Checking'!LK41="","",'Data Checking'!LK41)</f>
        <v/>
      </c>
      <c r="KZ41" s="2" t="str">
        <f>IF('Data Checking'!LL41="","",'Data Checking'!LL41)</f>
        <v/>
      </c>
      <c r="LA41" s="2" t="str">
        <f>IF('Data Checking'!LM41="","",'Data Checking'!LM41)</f>
        <v/>
      </c>
      <c r="LB41" s="2" t="str">
        <f>IF('Data Checking'!LN41="","",'Data Checking'!LN41)</f>
        <v>non</v>
      </c>
      <c r="LC41" s="2" t="str">
        <f>IF('Data Checking'!LO41="","",'Data Checking'!LO41)</f>
        <v/>
      </c>
      <c r="LD41" s="2" t="str">
        <f>IF('Data Checking'!LP41="","",'Data Checking'!LP41)</f>
        <v/>
      </c>
      <c r="LE41" s="2" t="str">
        <f>IF('Data Checking'!LQ41="","",'Data Checking'!LQ41)</f>
        <v/>
      </c>
      <c r="LF41" s="2" t="str">
        <f>IF('Data Checking'!LR41="","",'Data Checking'!LR41)</f>
        <v/>
      </c>
      <c r="LG41" s="2" t="str">
        <f>IF('Data Checking'!LS41="","",'Data Checking'!LS41)</f>
        <v/>
      </c>
      <c r="LH41" s="2" t="str">
        <f>IF('Data Checking'!LT41="","",'Data Checking'!LT41)</f>
        <v/>
      </c>
      <c r="LI41" s="2" t="str">
        <f>IF('Data Checking'!LU41="","",'Data Checking'!LU41)</f>
        <v/>
      </c>
      <c r="LJ41" s="2" t="str">
        <f>IF('Data Checking'!LV41="","",'Data Checking'!LV41)</f>
        <v/>
      </c>
      <c r="LK41" s="2" t="str">
        <f>IF('Data Checking'!LW41="","",'Data Checking'!LW41)</f>
        <v/>
      </c>
      <c r="LL41" s="2" t="str">
        <f>IF('Data Checking'!LX41="","",'Data Checking'!LX41)</f>
        <v/>
      </c>
      <c r="LM41" s="2" t="str">
        <f>IF('Data Checking'!LY41="","",'Data Checking'!LY41)</f>
        <v/>
      </c>
      <c r="LN41" s="2" t="str">
        <f>IF('Data Checking'!LZ41="","",'Data Checking'!LZ41)</f>
        <v/>
      </c>
      <c r="LO41" s="2" t="str">
        <f>IF('Data Checking'!MA41="","",'Data Checking'!MA41)</f>
        <v/>
      </c>
      <c r="LP41" s="2" t="str">
        <f>IF('Data Checking'!MB41="","",'Data Checking'!MB41)</f>
        <v>oui</v>
      </c>
      <c r="LQ41" s="2" t="str">
        <f>IF('Data Checking'!MC41="","",'Data Checking'!MC41)</f>
        <v/>
      </c>
      <c r="LR41" s="2" t="str">
        <f>IF('Data Checking'!MD41="","",'Data Checking'!MD41)</f>
        <v xml:space="preserve">Manger a sa faim,la santé,s'habiller et avoir de l'eau </v>
      </c>
      <c r="LS41" s="2">
        <f>IF('Data Checking'!ME41="","",'Data Checking'!ME41)</f>
        <v>170583888</v>
      </c>
      <c r="LT41" s="2" t="str">
        <f>IF('Data Checking'!MF41="","",'Data Checking'!MF41)</f>
        <v>d755a6c7-c370-401e-8246-e0f206b8d833</v>
      </c>
      <c r="LU41" s="2" t="str">
        <f>IF('Data Checking'!MG41="","",'Data Checking'!MG41)</f>
        <v>2021-04-09T08:43:00</v>
      </c>
      <c r="LV41" s="2" t="str">
        <f>IF('Data Checking'!MH41="","",'Data Checking'!MH41)</f>
        <v/>
      </c>
      <c r="LW41" s="2" t="str">
        <f>IF('Data Checking'!MI41="","",'Data Checking'!MI41)</f>
        <v>[]</v>
      </c>
      <c r="LX41" s="2" t="str">
        <f>IF('Data Checking'!MJ41="","",'Data Checking'!MJ41)</f>
        <v>submitted_via_web</v>
      </c>
      <c r="LY41" s="2" t="str">
        <f>IF('Data Checking'!MK41="","",'Data Checking'!MK41)</f>
        <v>reach_niger</v>
      </c>
      <c r="LZ41" s="2" t="str">
        <f>IF('Data Checking'!ML41="","",'Data Checking'!ML41)</f>
        <v/>
      </c>
      <c r="MA41" s="2">
        <f>IF('Data Checking'!MM41="","",'Data Checking'!MM41)</f>
        <v>60</v>
      </c>
    </row>
    <row r="42" spans="1:339" x14ac:dyDescent="0.3">
      <c r="A42" s="2" t="str">
        <f>IF('Data Checking'!D42="","",'Data Checking'!D42)</f>
        <v>2021-04-07T12:45:52.334+01:00</v>
      </c>
      <c r="B42" s="2" t="str">
        <f>IF('Data Checking'!E42="","",'Data Checking'!E42)</f>
        <v>2021-04-07T13:27:10.327+01:00</v>
      </c>
      <c r="C42" s="2" t="str">
        <f>IF('Data Checking'!M42="","",'Data Checking'!M42)</f>
        <v>2021-04-07</v>
      </c>
      <c r="D42" s="2" t="str">
        <f>IF('Data Checking'!N42="","",'Data Checking'!N42)</f>
        <v/>
      </c>
      <c r="E42" s="2" t="str">
        <f>IF('Data Checking'!O42="","",'Data Checking'!O42)</f>
        <v/>
      </c>
      <c r="F42" s="2" t="str">
        <f>IF('Data Checking'!R42="","",'Data Checking'!R42)</f>
        <v>Homme</v>
      </c>
      <c r="G42" s="2" t="str">
        <f>IF('Data Checking'!S42="","",'Data Checking'!S42)</f>
        <v>ouallam</v>
      </c>
      <c r="H42" s="2" t="str">
        <f>IF('Data Checking'!T42="","",'Data Checking'!T42)</f>
        <v>tondikiwindi</v>
      </c>
      <c r="I42" s="2" t="str">
        <f>IF('Data Checking'!U42="","",'Data Checking'!U42)</f>
        <v>mangaize</v>
      </c>
      <c r="J42" s="2" t="str">
        <f>IF('Data Checking'!V42="","",'Data Checking'!V42)</f>
        <v/>
      </c>
      <c r="K42" s="2" t="str">
        <f>IF('Data Checking'!W42="","",'Data Checking'!W42)</f>
        <v/>
      </c>
      <c r="L42" s="2" t="str">
        <f>IF('Data Checking'!X42="","",'Data Checking'!X42)</f>
        <v/>
      </c>
      <c r="M42" s="2" t="str">
        <f>IF('Data Checking'!Y42="","",'Data Checking'!Y42)</f>
        <v/>
      </c>
      <c r="N42" s="2" t="str">
        <f>IF('Data Checking'!Z42="","",'Data Checking'!Z42)</f>
        <v/>
      </c>
      <c r="O42" s="2" t="str">
        <f>IF('Data Checking'!AA42="","",'Data Checking'!AA42)</f>
        <v/>
      </c>
      <c r="P42" s="2" t="str">
        <f>IF('Data Checking'!AB42="","",'Data Checking'!AB42)</f>
        <v/>
      </c>
      <c r="Q42" s="2" t="str">
        <f>IF('Data Checking'!AC42="","",'Data Checking'!AC42)</f>
        <v/>
      </c>
      <c r="R42" s="2" t="str">
        <f>IF('Data Checking'!AD42="","",'Data Checking'!AD42)</f>
        <v>Homme</v>
      </c>
      <c r="S42" s="2" t="str">
        <f>IF('Data Checking'!AE42="","",'Data Checking'!AE42)</f>
        <v>42</v>
      </c>
      <c r="T42" s="2" t="str">
        <f>IF('Data Checking'!AF42="","",'Data Checking'!AF42)</f>
        <v>deplace_interne</v>
      </c>
      <c r="U42" s="2" t="str">
        <f>IF('Data Checking'!AG42="","",'Data Checking'!AG42)</f>
        <v/>
      </c>
      <c r="V42" s="2" t="str">
        <f>IF('Data Checking'!AH42="","",'Data Checking'!AH42)</f>
        <v/>
      </c>
      <c r="W42" s="2" t="str">
        <f>IF('Data Checking'!AI42="","",'Data Checking'!AI42)</f>
        <v/>
      </c>
      <c r="X42" s="2" t="str">
        <f>IF('Data Checking'!AJ42="","",'Data Checking'!AJ42)</f>
        <v/>
      </c>
      <c r="Y42" s="2" t="str">
        <f>IF('Data Checking'!AK42="","",'Data Checking'!AK42)</f>
        <v/>
      </c>
      <c r="Z42" s="2" t="str">
        <f>IF('Data Checking'!AL42="","",'Data Checking'!AL42)</f>
        <v>niger</v>
      </c>
      <c r="AA42" s="2" t="str">
        <f>IF('Data Checking'!AM42="","",'Data Checking'!AM42)</f>
        <v>tillaberi</v>
      </c>
      <c r="AB42" s="2" t="str">
        <f>IF('Data Checking'!AN42="","",'Data Checking'!AN42)</f>
        <v>ouallam</v>
      </c>
      <c r="AC42" s="2" t="str">
        <f>IF('Data Checking'!AO42="","",'Data Checking'!AO42)</f>
        <v/>
      </c>
      <c r="AD42" s="2" t="str">
        <f>IF('Data Checking'!AP42="","",'Data Checking'!AP42)</f>
        <v/>
      </c>
      <c r="AE42" s="2" t="str">
        <f>IF('Data Checking'!AQ42="","",'Data Checking'!AQ42)</f>
        <v/>
      </c>
      <c r="AF42" s="2" t="str">
        <f>IF('Data Checking'!AR42="","",'Data Checking'!AR42)</f>
        <v/>
      </c>
      <c r="AG42" s="2" t="str">
        <f>IF('Data Checking'!AS42="","",'Data Checking'!AS42)</f>
        <v>non</v>
      </c>
      <c r="AH42" s="2" t="str">
        <f>IF('Data Checking'!AT42="","",'Data Checking'!AT42)</f>
        <v/>
      </c>
      <c r="AI42" s="2" t="str">
        <f>IF('Data Checking'!AU42="","",'Data Checking'!AU42)</f>
        <v/>
      </c>
      <c r="AJ42" s="2" t="str">
        <f>IF('Data Checking'!AV42="","",'Data Checking'!AV42)</f>
        <v/>
      </c>
      <c r="AK42" s="2" t="str">
        <f>IF('Data Checking'!AW42="","",'Data Checking'!AW42)</f>
        <v/>
      </c>
      <c r="AL42" s="2" t="str">
        <f>IF('Data Checking'!AX42="","",'Data Checking'!AX42)</f>
        <v/>
      </c>
      <c r="AM42" s="2" t="str">
        <f>IF('Data Checking'!AY42="","",'Data Checking'!AY42)</f>
        <v/>
      </c>
      <c r="AN42" s="2" t="str">
        <f>IF('Data Checking'!AZ42="","",'Data Checking'!AZ42)</f>
        <v/>
      </c>
      <c r="AO42" s="2" t="str">
        <f>IF('Data Checking'!BA42="","",'Data Checking'!BA42)</f>
        <v/>
      </c>
      <c r="AP42" s="2" t="str">
        <f>IF('Data Checking'!BB42="","",'Data Checking'!BB42)</f>
        <v/>
      </c>
      <c r="AQ42" s="2" t="str">
        <f>IF('Data Checking'!BC42="","",'Data Checking'!BC42)</f>
        <v/>
      </c>
      <c r="AR42" s="2" t="str">
        <f>IF('Data Checking'!BD42="","",'Data Checking'!BD42)</f>
        <v/>
      </c>
      <c r="AS42" s="2" t="str">
        <f>IF('Data Checking'!BE42="","",'Data Checking'!BE42)</f>
        <v/>
      </c>
      <c r="AT42" s="2" t="str">
        <f>IF('Data Checking'!BF42="","",'Data Checking'!BF42)</f>
        <v/>
      </c>
      <c r="AU42" s="2" t="str">
        <f>IF('Data Checking'!BG42="","",'Data Checking'!BG42)</f>
        <v/>
      </c>
      <c r="AV42" s="2" t="str">
        <f>IF('Data Checking'!BH42="","",'Data Checking'!BH42)</f>
        <v/>
      </c>
      <c r="AW42" s="2" t="str">
        <f>IF('Data Checking'!BI42="","",'Data Checking'!BI42)</f>
        <v/>
      </c>
      <c r="AX42" s="2" t="str">
        <f>IF('Data Checking'!BJ42="","",'Data Checking'!BJ42)</f>
        <v/>
      </c>
      <c r="AY42" s="2" t="str">
        <f>IF('Data Checking'!BK42="","",'Data Checking'!BK42)</f>
        <v/>
      </c>
      <c r="AZ42" s="2" t="str">
        <f>IF('Data Checking'!BL42="","",'Data Checking'!BL42)</f>
        <v/>
      </c>
      <c r="BA42" s="2" t="str">
        <f>IF('Data Checking'!BM42="","",'Data Checking'!BM42)</f>
        <v/>
      </c>
      <c r="BB42" s="2" t="str">
        <f>IF('Data Checking'!BN42="","",'Data Checking'!BN42)</f>
        <v/>
      </c>
      <c r="BC42" s="2" t="str">
        <f>IF('Data Checking'!BO42="","",'Data Checking'!BO42)</f>
        <v/>
      </c>
      <c r="BD42" s="2" t="str">
        <f>IF('Data Checking'!BP42="","",'Data Checking'!BP42)</f>
        <v/>
      </c>
      <c r="BE42" s="2" t="str">
        <f>IF('Data Checking'!BQ42="","",'Data Checking'!BQ42)</f>
        <v/>
      </c>
      <c r="BF42" s="2" t="str">
        <f>IF('Data Checking'!BR42="","",'Data Checking'!BR42)</f>
        <v/>
      </c>
      <c r="BG42" s="2" t="str">
        <f>IF('Data Checking'!BS42="","",'Data Checking'!BS42)</f>
        <v/>
      </c>
      <c r="BH42" s="2" t="str">
        <f>IF('Data Checking'!BT42="","",'Data Checking'!BT42)</f>
        <v/>
      </c>
      <c r="BI42" s="2" t="str">
        <f>IF('Data Checking'!BU42="","",'Data Checking'!BU42)</f>
        <v/>
      </c>
      <c r="BJ42" s="2" t="str">
        <f>IF('Data Checking'!BV42="","",'Data Checking'!BV42)</f>
        <v/>
      </c>
      <c r="BK42" s="2" t="str">
        <f>IF('Data Checking'!BW42="","",'Data Checking'!BW42)</f>
        <v/>
      </c>
      <c r="BL42" s="2" t="str">
        <f>IF('Data Checking'!BX42="","",'Data Checking'!BX42)</f>
        <v/>
      </c>
      <c r="BM42" s="2" t="str">
        <f>IF('Data Checking'!BY42="","",'Data Checking'!BY42)</f>
        <v/>
      </c>
      <c r="BN42" s="2" t="str">
        <f>IF('Data Checking'!BZ42="","",'Data Checking'!BZ42)</f>
        <v/>
      </c>
      <c r="BO42" s="2" t="str">
        <f>IF('Data Checking'!CA42="","",'Data Checking'!CA42)</f>
        <v/>
      </c>
      <c r="BP42" s="2" t="str">
        <f>IF('Data Checking'!CB42="","",'Data Checking'!CB42)</f>
        <v/>
      </c>
      <c r="BQ42" s="2" t="str">
        <f>IF('Data Checking'!CC42="","",'Data Checking'!CC42)</f>
        <v>non</v>
      </c>
      <c r="BR42" s="2" t="str">
        <f>IF('Data Checking'!CD42="","",'Data Checking'!CD42)</f>
        <v/>
      </c>
      <c r="BS42" s="2" t="str">
        <f>IF('Data Checking'!CE42="","",'Data Checking'!CE42)</f>
        <v/>
      </c>
      <c r="BT42" s="2" t="str">
        <f>IF('Data Checking'!CF42="","",'Data Checking'!CF42)</f>
        <v/>
      </c>
      <c r="BU42" s="2" t="str">
        <f>IF('Data Checking'!CG42="","",'Data Checking'!CG42)</f>
        <v/>
      </c>
      <c r="BV42" s="2" t="str">
        <f>IF('Data Checking'!CH42="","",'Data Checking'!CH42)</f>
        <v/>
      </c>
      <c r="BW42" s="2" t="str">
        <f>IF('Data Checking'!CI42="","",'Data Checking'!CI42)</f>
        <v/>
      </c>
      <c r="BX42" s="2" t="str">
        <f>IF('Data Checking'!CJ42="","",'Data Checking'!CJ42)</f>
        <v/>
      </c>
      <c r="BY42" s="2" t="str">
        <f>IF('Data Checking'!CK42="","",'Data Checking'!CK42)</f>
        <v/>
      </c>
      <c r="BZ42" s="2" t="str">
        <f>IF('Data Checking'!CL42="","",'Data Checking'!CL42)</f>
        <v/>
      </c>
      <c r="CA42" s="2" t="str">
        <f>IF('Data Checking'!CM42="","",'Data Checking'!CM42)</f>
        <v/>
      </c>
      <c r="CB42" s="2" t="str">
        <f>IF('Data Checking'!CN42="","",'Data Checking'!CN42)</f>
        <v/>
      </c>
      <c r="CC42" s="2" t="str">
        <f>IF('Data Checking'!CO42="","",'Data Checking'!CO42)</f>
        <v/>
      </c>
      <c r="CD42" s="2" t="str">
        <f>IF('Data Checking'!CP42="","",'Data Checking'!CP42)</f>
        <v/>
      </c>
      <c r="CE42" s="2" t="str">
        <f>IF('Data Checking'!CQ42="","",'Data Checking'!CQ42)</f>
        <v/>
      </c>
      <c r="CF42" s="2" t="str">
        <f>IF('Data Checking'!CR42="","",'Data Checking'!CR42)</f>
        <v/>
      </c>
      <c r="CG42" s="2" t="str">
        <f>IF('Data Checking'!CS42="","",'Data Checking'!CS42)</f>
        <v/>
      </c>
      <c r="CH42" s="2" t="str">
        <f>IF('Data Checking'!CT42="","",'Data Checking'!CT42)</f>
        <v/>
      </c>
      <c r="CI42" s="2" t="str">
        <f>IF('Data Checking'!CU42="","",'Data Checking'!CU42)</f>
        <v/>
      </c>
      <c r="CJ42" s="2" t="str">
        <f>IF('Data Checking'!CV42="","",'Data Checking'!CV42)</f>
        <v/>
      </c>
      <c r="CK42" s="2" t="str">
        <f>IF('Data Checking'!CW42="","",'Data Checking'!CW42)</f>
        <v/>
      </c>
      <c r="CL42" s="2" t="str">
        <f>IF('Data Checking'!CX42="","",'Data Checking'!CX42)</f>
        <v/>
      </c>
      <c r="CM42" s="2" t="str">
        <f>IF('Data Checking'!CY42="","",'Data Checking'!CY42)</f>
        <v/>
      </c>
      <c r="CN42" s="2" t="str">
        <f>IF('Data Checking'!CZ42="","",'Data Checking'!CZ42)</f>
        <v/>
      </c>
      <c r="CO42" s="2" t="str">
        <f>IF('Data Checking'!DA42="","",'Data Checking'!DA42)</f>
        <v/>
      </c>
      <c r="CP42" s="2" t="str">
        <f>IF('Data Checking'!DB42="","",'Data Checking'!DB42)</f>
        <v/>
      </c>
      <c r="CQ42" s="2" t="str">
        <f>IF('Data Checking'!DC42="","",'Data Checking'!DC42)</f>
        <v/>
      </c>
      <c r="CR42" s="2" t="str">
        <f>IF('Data Checking'!DD42="","",'Data Checking'!DD42)</f>
        <v/>
      </c>
      <c r="CS42" s="2" t="str">
        <f>IF('Data Checking'!DE42="","",'Data Checking'!DE42)</f>
        <v/>
      </c>
      <c r="CT42" s="2" t="str">
        <f>IF('Data Checking'!DF42="","",'Data Checking'!DF42)</f>
        <v/>
      </c>
      <c r="CU42" s="2" t="str">
        <f>IF('Data Checking'!DG42="","",'Data Checking'!DG42)</f>
        <v/>
      </c>
      <c r="CV42" s="2" t="str">
        <f>IF('Data Checking'!DH42="","",'Data Checking'!DH42)</f>
        <v/>
      </c>
      <c r="CW42" s="2" t="str">
        <f>IF('Data Checking'!DI42="","",'Data Checking'!DI42)</f>
        <v/>
      </c>
      <c r="CX42" s="2" t="str">
        <f>IF('Data Checking'!DJ42="","",'Data Checking'!DJ42)</f>
        <v/>
      </c>
      <c r="CY42" s="2" t="str">
        <f>IF('Data Checking'!DK42="","",'Data Checking'!DK42)</f>
        <v/>
      </c>
      <c r="CZ42" s="2" t="str">
        <f>IF('Data Checking'!DL42="","",'Data Checking'!DL42)</f>
        <v/>
      </c>
      <c r="DA42" s="2" t="str">
        <f>IF('Data Checking'!DM42="","",'Data Checking'!DM42)</f>
        <v/>
      </c>
      <c r="DB42" s="2" t="str">
        <f>IF('Data Checking'!DN42="","",'Data Checking'!DN42)</f>
        <v/>
      </c>
      <c r="DC42" s="2" t="str">
        <f>IF('Data Checking'!DO42="","",'Data Checking'!DO42)</f>
        <v/>
      </c>
      <c r="DD42" s="2" t="str">
        <f>IF('Data Checking'!DP42="","",'Data Checking'!DP42)</f>
        <v/>
      </c>
      <c r="DE42" s="2" t="str">
        <f>IF('Data Checking'!DQ42="","",'Data Checking'!DQ42)</f>
        <v/>
      </c>
      <c r="DF42" s="2" t="str">
        <f>IF('Data Checking'!DR42="","",'Data Checking'!DR42)</f>
        <v/>
      </c>
      <c r="DG42" s="2" t="str">
        <f>IF('Data Checking'!DS42="","",'Data Checking'!DS42)</f>
        <v/>
      </c>
      <c r="DH42" s="2" t="str">
        <f>IF('Data Checking'!DT42="","",'Data Checking'!DT42)</f>
        <v/>
      </c>
      <c r="DI42" s="2" t="str">
        <f>IF('Data Checking'!DU42="","",'Data Checking'!DU42)</f>
        <v/>
      </c>
      <c r="DJ42" s="2" t="str">
        <f>IF('Data Checking'!DV42="","",'Data Checking'!DV42)</f>
        <v/>
      </c>
      <c r="DK42" s="2" t="str">
        <f>IF('Data Checking'!DW42="","",'Data Checking'!DW42)</f>
        <v/>
      </c>
      <c r="DL42" s="2" t="str">
        <f>IF('Data Checking'!DX42="","",'Data Checking'!DX42)</f>
        <v/>
      </c>
      <c r="DM42" s="2" t="str">
        <f>IF('Data Checking'!DY42="","",'Data Checking'!DY42)</f>
        <v/>
      </c>
      <c r="DN42" s="2" t="str">
        <f>IF('Data Checking'!DZ42="","",'Data Checking'!DZ42)</f>
        <v/>
      </c>
      <c r="DO42" s="2" t="str">
        <f>IF('Data Checking'!EA42="","",'Data Checking'!EA42)</f>
        <v/>
      </c>
      <c r="DP42" s="2" t="str">
        <f>IF('Data Checking'!EB42="","",'Data Checking'!EB42)</f>
        <v/>
      </c>
      <c r="DQ42" s="2" t="str">
        <f>IF('Data Checking'!EC42="","",'Data Checking'!EC42)</f>
        <v/>
      </c>
      <c r="DR42" s="2" t="str">
        <f>IF('Data Checking'!ED42="","",'Data Checking'!ED42)</f>
        <v/>
      </c>
      <c r="DS42" s="2" t="str">
        <f>IF('Data Checking'!EE42="","",'Data Checking'!EE42)</f>
        <v/>
      </c>
      <c r="DT42" s="2" t="str">
        <f>IF('Data Checking'!EF42="","",'Data Checking'!EF42)</f>
        <v/>
      </c>
      <c r="DU42" s="2" t="str">
        <f>IF('Data Checking'!EG42="","",'Data Checking'!EG42)</f>
        <v/>
      </c>
      <c r="DV42" s="2" t="str">
        <f>IF('Data Checking'!EH42="","",'Data Checking'!EH42)</f>
        <v/>
      </c>
      <c r="DW42" s="2" t="str">
        <f>IF('Data Checking'!EI42="","",'Data Checking'!EI42)</f>
        <v/>
      </c>
      <c r="DX42" s="2" t="str">
        <f>IF('Data Checking'!EJ42="","",'Data Checking'!EJ42)</f>
        <v/>
      </c>
      <c r="DY42" s="2" t="str">
        <f>IF('Data Checking'!EK42="","",'Data Checking'!EK42)</f>
        <v/>
      </c>
      <c r="DZ42" s="2" t="str">
        <f>IF('Data Checking'!EL42="","",'Data Checking'!EL42)</f>
        <v>dplct_abords_com</v>
      </c>
      <c r="EA42" s="2" t="str">
        <f>IF('Data Checking'!EM42="","",'Data Checking'!EM42)</f>
        <v>1</v>
      </c>
      <c r="EB42" s="2" t="str">
        <f>IF('Data Checking'!EN42="","",'Data Checking'!EN42)</f>
        <v>0</v>
      </c>
      <c r="EC42" s="2" t="str">
        <f>IF('Data Checking'!EO42="","",'Data Checking'!EO42)</f>
        <v>0</v>
      </c>
      <c r="ED42" s="2" t="str">
        <f>IF('Data Checking'!EP42="","",'Data Checking'!EP42)</f>
        <v>0</v>
      </c>
      <c r="EE42" s="2" t="str">
        <f>IF('Data Checking'!EQ42="","",'Data Checking'!EQ42)</f>
        <v>0</v>
      </c>
      <c r="EF42" s="2" t="str">
        <f>IF('Data Checking'!ER42="","",'Data Checking'!ER42)</f>
        <v>0</v>
      </c>
      <c r="EG42" s="2" t="str">
        <f>IF('Data Checking'!ES42="","",'Data Checking'!ES42)</f>
        <v>0</v>
      </c>
      <c r="EH42" s="2" t="str">
        <f>IF('Data Checking'!ET42="","",'Data Checking'!ET42)</f>
        <v>0</v>
      </c>
      <c r="EI42" s="2" t="str">
        <f>IF('Data Checking'!EU42="","",'Data Checking'!EU42)</f>
        <v>0</v>
      </c>
      <c r="EJ42" s="2" t="str">
        <f>IF('Data Checking'!EV42="","",'Data Checking'!EV42)</f>
        <v/>
      </c>
      <c r="EK42" s="2" t="str">
        <f>IF('Data Checking'!EW42="","",'Data Checking'!EW42)</f>
        <v/>
      </c>
      <c r="EL42" s="2" t="str">
        <f>IF('Data Checking'!EX42="","",'Data Checking'!EX42)</f>
        <v>Ne_sait_pas</v>
      </c>
      <c r="EM42" s="2" t="str">
        <f>IF('Data Checking'!EY42="","",'Data Checking'!EY42)</f>
        <v>0</v>
      </c>
      <c r="EN42" s="2" t="str">
        <f>IF('Data Checking'!EZ42="","",'Data Checking'!EZ42)</f>
        <v>0</v>
      </c>
      <c r="EO42" s="2" t="str">
        <f>IF('Data Checking'!FA42="","",'Data Checking'!FA42)</f>
        <v>0</v>
      </c>
      <c r="EP42" s="2" t="str">
        <f>IF('Data Checking'!FB42="","",'Data Checking'!FB42)</f>
        <v>0</v>
      </c>
      <c r="EQ42" s="2" t="str">
        <f>IF('Data Checking'!FC42="","",'Data Checking'!FC42)</f>
        <v>0</v>
      </c>
      <c r="ER42" s="2" t="str">
        <f>IF('Data Checking'!FD42="","",'Data Checking'!FD42)</f>
        <v>0</v>
      </c>
      <c r="ES42" s="2" t="str">
        <f>IF('Data Checking'!FE42="","",'Data Checking'!FE42)</f>
        <v>0</v>
      </c>
      <c r="ET42" s="2" t="str">
        <f>IF('Data Checking'!FF42="","",'Data Checking'!FF42)</f>
        <v>0</v>
      </c>
      <c r="EU42" s="2" t="str">
        <f>IF('Data Checking'!FG42="","",'Data Checking'!FG42)</f>
        <v>1</v>
      </c>
      <c r="EV42" s="2" t="str">
        <f>IF('Data Checking'!FH42="","",'Data Checking'!FH42)</f>
        <v>0</v>
      </c>
      <c r="EW42" s="2" t="str">
        <f>IF('Data Checking'!FI42="","",'Data Checking'!FI42)</f>
        <v/>
      </c>
      <c r="EX42" s="2" t="str">
        <f>IF('Data Checking'!FJ42="","",'Data Checking'!FJ42)</f>
        <v>oui</v>
      </c>
      <c r="EY42" s="2" t="str">
        <f>IF('Data Checking'!FK42="","",'Data Checking'!FK42)</f>
        <v>Chef_village</v>
      </c>
      <c r="EZ42" s="2" t="str">
        <f>IF('Data Checking'!FL42="","",'Data Checking'!FL42)</f>
        <v>0</v>
      </c>
      <c r="FA42" s="2" t="str">
        <f>IF('Data Checking'!FM42="","",'Data Checking'!FM42)</f>
        <v>0</v>
      </c>
      <c r="FB42" s="2" t="str">
        <f>IF('Data Checking'!FN42="","",'Data Checking'!FN42)</f>
        <v>0</v>
      </c>
      <c r="FC42" s="2" t="str">
        <f>IF('Data Checking'!FO42="","",'Data Checking'!FO42)</f>
        <v>0</v>
      </c>
      <c r="FD42" s="2" t="str">
        <f>IF('Data Checking'!FP42="","",'Data Checking'!FP42)</f>
        <v>1</v>
      </c>
      <c r="FE42" s="2" t="str">
        <f>IF('Data Checking'!FQ42="","",'Data Checking'!FQ42)</f>
        <v>0</v>
      </c>
      <c r="FF42" s="2" t="str">
        <f>IF('Data Checking'!FR42="","",'Data Checking'!FR42)</f>
        <v>0</v>
      </c>
      <c r="FG42" s="2" t="str">
        <f>IF('Data Checking'!FS42="","",'Data Checking'!FS42)</f>
        <v>0</v>
      </c>
      <c r="FH42" s="2" t="str">
        <f>IF('Data Checking'!FT42="","",'Data Checking'!FT42)</f>
        <v>0</v>
      </c>
      <c r="FI42" s="2" t="str">
        <f>IF('Data Checking'!FU42="","",'Data Checking'!FU42)</f>
        <v>0</v>
      </c>
      <c r="FJ42" s="2" t="str">
        <f>IF('Data Checking'!FV42="","",'Data Checking'!FV42)</f>
        <v>0</v>
      </c>
      <c r="FK42" s="2" t="str">
        <f>IF('Data Checking'!FW42="","",'Data Checking'!FW42)</f>
        <v>0</v>
      </c>
      <c r="FL42" s="2" t="str">
        <f>IF('Data Checking'!FX42="","",'Data Checking'!FX42)</f>
        <v>0</v>
      </c>
      <c r="FM42" s="2" t="str">
        <f>IF('Data Checking'!FY42="","",'Data Checking'!FY42)</f>
        <v>0</v>
      </c>
      <c r="FN42" s="2" t="str">
        <f>IF('Data Checking'!FZ42="","",'Data Checking'!FZ42)</f>
        <v/>
      </c>
      <c r="FO42" s="2" t="str">
        <f>IF('Data Checking'!GA42="","",'Data Checking'!GA42)</f>
        <v>oui_moitie</v>
      </c>
      <c r="FP42" s="2" t="str">
        <f>IF('Data Checking'!GB42="","",'Data Checking'!GB42)</f>
        <v>oui_moitie</v>
      </c>
      <c r="FQ42" s="2" t="str">
        <f>IF('Data Checking'!GC42="","",'Data Checking'!GC42)</f>
        <v>manque_info</v>
      </c>
      <c r="FR42" s="2" t="str">
        <f>IF('Data Checking'!GD42="","",'Data Checking'!GD42)</f>
        <v>0</v>
      </c>
      <c r="FS42" s="2" t="str">
        <f>IF('Data Checking'!GE42="","",'Data Checking'!GE42)</f>
        <v>1</v>
      </c>
      <c r="FT42" s="2" t="str">
        <f>IF('Data Checking'!GF42="","",'Data Checking'!GF42)</f>
        <v>0</v>
      </c>
      <c r="FU42" s="2" t="str">
        <f>IF('Data Checking'!GG42="","",'Data Checking'!GG42)</f>
        <v>0</v>
      </c>
      <c r="FV42" s="2" t="str">
        <f>IF('Data Checking'!GH42="","",'Data Checking'!GH42)</f>
        <v>0</v>
      </c>
      <c r="FW42" s="2" t="str">
        <f>IF('Data Checking'!GI42="","",'Data Checking'!GI42)</f>
        <v>0</v>
      </c>
      <c r="FX42" s="2" t="str">
        <f>IF('Data Checking'!GJ42="","",'Data Checking'!GJ42)</f>
        <v>0</v>
      </c>
      <c r="FY42" s="2" t="str">
        <f>IF('Data Checking'!GK42="","",'Data Checking'!GK42)</f>
        <v>0</v>
      </c>
      <c r="FZ42" s="2" t="str">
        <f>IF('Data Checking'!GL42="","",'Data Checking'!GL42)</f>
        <v/>
      </c>
      <c r="GA42" s="2" t="str">
        <f>IF('Data Checking'!GM42="","",'Data Checking'!GM42)</f>
        <v>minorite</v>
      </c>
      <c r="GB42" s="2" t="str">
        <f>IF('Data Checking'!GN42="","",'Data Checking'!GN42)</f>
        <v>minorite</v>
      </c>
      <c r="GC42" s="2" t="str">
        <f>IF('Data Checking'!GO42="","",'Data Checking'!GO42)</f>
        <v>Autre</v>
      </c>
      <c r="GD42" s="2" t="str">
        <f>IF('Data Checking'!GP42="","",'Data Checking'!GP42)</f>
        <v>0</v>
      </c>
      <c r="GE42" s="2" t="str">
        <f>IF('Data Checking'!GQ42="","",'Data Checking'!GQ42)</f>
        <v>0</v>
      </c>
      <c r="GF42" s="2" t="str">
        <f>IF('Data Checking'!GR42="","",'Data Checking'!GR42)</f>
        <v>0</v>
      </c>
      <c r="GG42" s="2" t="str">
        <f>IF('Data Checking'!GS42="","",'Data Checking'!GS42)</f>
        <v>0</v>
      </c>
      <c r="GH42" s="2" t="str">
        <f>IF('Data Checking'!GT42="","",'Data Checking'!GT42)</f>
        <v>0</v>
      </c>
      <c r="GI42" s="2" t="str">
        <f>IF('Data Checking'!GU42="","",'Data Checking'!GU42)</f>
        <v>0</v>
      </c>
      <c r="GJ42" s="2" t="str">
        <f>IF('Data Checking'!GV42="","",'Data Checking'!GV42)</f>
        <v>0</v>
      </c>
      <c r="GK42" s="2" t="str">
        <f>IF('Data Checking'!GW42="","",'Data Checking'!GW42)</f>
        <v>1</v>
      </c>
      <c r="GL42" s="2" t="str">
        <f>IF('Data Checking'!GX42="","",'Data Checking'!GX42)</f>
        <v>0</v>
      </c>
      <c r="GM42" s="2" t="str">
        <f>IF('Data Checking'!GY42="","",'Data Checking'!GY42)</f>
        <v xml:space="preserve">Chef de village </v>
      </c>
      <c r="GN42" s="2" t="str">
        <f>IF('Data Checking'!GZ42="","",'Data Checking'!GZ42)</f>
        <v>oui_moitie</v>
      </c>
      <c r="GO42" s="2" t="str">
        <f>IF('Data Checking'!HA42="","",'Data Checking'!HA42)</f>
        <v>oui_moitie</v>
      </c>
      <c r="GP42" s="2" t="str">
        <f>IF('Data Checking'!HB42="","",'Data Checking'!HB42)</f>
        <v>amelioration_futur</v>
      </c>
      <c r="GQ42" s="2" t="str">
        <f>IF('Data Checking'!HC42="","",'Data Checking'!HC42)</f>
        <v>1</v>
      </c>
      <c r="GR42" s="2" t="str">
        <f>IF('Data Checking'!HD42="","",'Data Checking'!HD42)</f>
        <v>0</v>
      </c>
      <c r="GS42" s="2" t="str">
        <f>IF('Data Checking'!HE42="","",'Data Checking'!HE42)</f>
        <v>0</v>
      </c>
      <c r="GT42" s="2" t="str">
        <f>IF('Data Checking'!HF42="","",'Data Checking'!HF42)</f>
        <v>0</v>
      </c>
      <c r="GU42" s="2" t="str">
        <f>IF('Data Checking'!HG42="","",'Data Checking'!HG42)</f>
        <v>0</v>
      </c>
      <c r="GV42" s="2" t="str">
        <f>IF('Data Checking'!HH42="","",'Data Checking'!HH42)</f>
        <v>0</v>
      </c>
      <c r="GW42" s="2" t="str">
        <f>IF('Data Checking'!HI42="","",'Data Checking'!HI42)</f>
        <v>0</v>
      </c>
      <c r="GX42" s="2" t="str">
        <f>IF('Data Checking'!HJ42="","",'Data Checking'!HJ42)</f>
        <v>0</v>
      </c>
      <c r="GY42" s="2" t="str">
        <f>IF('Data Checking'!HK42="","",'Data Checking'!HK42)</f>
        <v/>
      </c>
      <c r="GZ42" s="2" t="str">
        <f>IF('Data Checking'!HL42="","",'Data Checking'!HL42)</f>
        <v>Autre</v>
      </c>
      <c r="HA42" s="2" t="str">
        <f>IF('Data Checking'!HM42="","",'Data Checking'!HM42)</f>
        <v>0</v>
      </c>
      <c r="HB42" s="2" t="str">
        <f>IF('Data Checking'!HN42="","",'Data Checking'!HN42)</f>
        <v>0</v>
      </c>
      <c r="HC42" s="2" t="str">
        <f>IF('Data Checking'!HO42="","",'Data Checking'!HO42)</f>
        <v>0</v>
      </c>
      <c r="HD42" s="2" t="str">
        <f>IF('Data Checking'!HP42="","",'Data Checking'!HP42)</f>
        <v>0</v>
      </c>
      <c r="HE42" s="2" t="str">
        <f>IF('Data Checking'!HQ42="","",'Data Checking'!HQ42)</f>
        <v>1</v>
      </c>
      <c r="HF42" s="2" t="str">
        <f>IF('Data Checking'!HR42="","",'Data Checking'!HR42)</f>
        <v>0</v>
      </c>
      <c r="HG42" s="2" t="str">
        <f>IF('Data Checking'!HS42="","",'Data Checking'!HS42)</f>
        <v>Difficulté d'accès aux services pour manque d'informations</v>
      </c>
      <c r="HH42" s="2" t="str">
        <f>IF('Data Checking'!HT42="","",'Data Checking'!HT42)</f>
        <v/>
      </c>
      <c r="HI42" s="2" t="str">
        <f>IF('Data Checking'!HU42="","",'Data Checking'!HU42)</f>
        <v>non</v>
      </c>
      <c r="HJ42" s="2" t="str">
        <f>IF('Data Checking'!HV42="","",'Data Checking'!HV42)</f>
        <v/>
      </c>
      <c r="HK42" s="2" t="str">
        <f>IF('Data Checking'!HW42="","",'Data Checking'!HW42)</f>
        <v/>
      </c>
      <c r="HL42" s="2" t="str">
        <f>IF('Data Checking'!HX42="","",'Data Checking'!HX42)</f>
        <v/>
      </c>
      <c r="HM42" s="2" t="str">
        <f>IF('Data Checking'!HY42="","",'Data Checking'!HY42)</f>
        <v/>
      </c>
      <c r="HN42" s="2" t="str">
        <f>IF('Data Checking'!HZ42="","",'Data Checking'!HZ42)</f>
        <v/>
      </c>
      <c r="HO42" s="2" t="str">
        <f>IF('Data Checking'!IA42="","",'Data Checking'!IA42)</f>
        <v/>
      </c>
      <c r="HP42" s="2" t="str">
        <f>IF('Data Checking'!IB42="","",'Data Checking'!IB42)</f>
        <v/>
      </c>
      <c r="HQ42" s="2" t="str">
        <f>IF('Data Checking'!IC42="","",'Data Checking'!IC42)</f>
        <v/>
      </c>
      <c r="HR42" s="2" t="str">
        <f>IF('Data Checking'!ID42="","",'Data Checking'!ID42)</f>
        <v/>
      </c>
      <c r="HS42" s="2" t="str">
        <f>IF('Data Checking'!IE42="","",'Data Checking'!IE42)</f>
        <v/>
      </c>
      <c r="HT42" s="2" t="str">
        <f>IF('Data Checking'!IF42="","",'Data Checking'!IF42)</f>
        <v/>
      </c>
      <c r="HU42" s="2" t="str">
        <f>IF('Data Checking'!IG42="","",'Data Checking'!IG42)</f>
        <v/>
      </c>
      <c r="HV42" s="2" t="str">
        <f>IF('Data Checking'!IH42="","",'Data Checking'!IH42)</f>
        <v>oui</v>
      </c>
      <c r="HW42" s="2" t="str">
        <f>IF('Data Checking'!II42="","",'Data Checking'!II42)</f>
        <v/>
      </c>
      <c r="HX42" s="2" t="str">
        <f>IF('Data Checking'!IJ42="","",'Data Checking'!IJ42)</f>
        <v/>
      </c>
      <c r="HY42" s="2" t="str">
        <f>IF('Data Checking'!IK42="","",'Data Checking'!IK42)</f>
        <v/>
      </c>
      <c r="HZ42" s="2" t="str">
        <f>IF('Data Checking'!IL42="","",'Data Checking'!IL42)</f>
        <v/>
      </c>
      <c r="IA42" s="2" t="str">
        <f>IF('Data Checking'!IM42="","",'Data Checking'!IM42)</f>
        <v/>
      </c>
      <c r="IB42" s="2" t="str">
        <f>IF('Data Checking'!IN42="","",'Data Checking'!IN42)</f>
        <v/>
      </c>
      <c r="IC42" s="2" t="str">
        <f>IF('Data Checking'!IO42="","",'Data Checking'!IO42)</f>
        <v/>
      </c>
      <c r="ID42" s="2" t="str">
        <f>IF('Data Checking'!IP42="","",'Data Checking'!IP42)</f>
        <v/>
      </c>
      <c r="IE42" s="2" t="str">
        <f>IF('Data Checking'!IQ42="","",'Data Checking'!IQ42)</f>
        <v/>
      </c>
      <c r="IF42" s="2" t="str">
        <f>IF('Data Checking'!IR42="","",'Data Checking'!IR42)</f>
        <v/>
      </c>
      <c r="IG42" s="2" t="str">
        <f>IF('Data Checking'!IS42="","",'Data Checking'!IS42)</f>
        <v/>
      </c>
      <c r="IH42" s="2" t="str">
        <f>IF('Data Checking'!IT42="","",'Data Checking'!IT42)</f>
        <v/>
      </c>
      <c r="II42" s="2" t="str">
        <f>IF('Data Checking'!IU42="","",'Data Checking'!IU42)</f>
        <v/>
      </c>
      <c r="IJ42" s="2" t="str">
        <f>IF('Data Checking'!IV42="","",'Data Checking'!IV42)</f>
        <v/>
      </c>
      <c r="IK42" s="2" t="str">
        <f>IF('Data Checking'!IW42="","",'Data Checking'!IW42)</f>
        <v/>
      </c>
      <c r="IL42" s="2" t="str">
        <f>IF('Data Checking'!IX42="","",'Data Checking'!IX42)</f>
        <v/>
      </c>
      <c r="IM42" s="2" t="str">
        <f>IF('Data Checking'!IY42="","",'Data Checking'!IY42)</f>
        <v/>
      </c>
      <c r="IN42" s="2" t="str">
        <f>IF('Data Checking'!IZ42="","",'Data Checking'!IZ42)</f>
        <v>7</v>
      </c>
      <c r="IO42" s="2" t="str">
        <f>IF('Data Checking'!JA42="","",'Data Checking'!JA42)</f>
        <v>Services_conseil acces_docs</v>
      </c>
      <c r="IP42" s="2" t="str">
        <f>IF('Data Checking'!JB42="","",'Data Checking'!JB42)</f>
        <v>0</v>
      </c>
      <c r="IQ42" s="2" t="str">
        <f>IF('Data Checking'!JC42="","",'Data Checking'!JC42)</f>
        <v>0</v>
      </c>
      <c r="IR42" s="2" t="str">
        <f>IF('Data Checking'!JD42="","",'Data Checking'!JD42)</f>
        <v>0</v>
      </c>
      <c r="IS42" s="2" t="str">
        <f>IF('Data Checking'!JE42="","",'Data Checking'!JE42)</f>
        <v>1</v>
      </c>
      <c r="IT42" s="2" t="str">
        <f>IF('Data Checking'!JF42="","",'Data Checking'!JF42)</f>
        <v>1</v>
      </c>
      <c r="IU42" s="2" t="str">
        <f>IF('Data Checking'!JG42="","",'Data Checking'!JG42)</f>
        <v>0</v>
      </c>
      <c r="IV42" s="2" t="str">
        <f>IF('Data Checking'!JH42="","",'Data Checking'!JH42)</f>
        <v>0</v>
      </c>
      <c r="IW42" s="2" t="str">
        <f>IF('Data Checking'!JI42="","",'Data Checking'!JI42)</f>
        <v>0</v>
      </c>
      <c r="IX42" s="2" t="str">
        <f>IF('Data Checking'!JJ42="","",'Data Checking'!JJ42)</f>
        <v>0</v>
      </c>
      <c r="IY42" s="2" t="str">
        <f>IF('Data Checking'!JK42="","",'Data Checking'!JK42)</f>
        <v>0</v>
      </c>
      <c r="IZ42" s="2" t="str">
        <f>IF('Data Checking'!JL42="","",'Data Checking'!JL42)</f>
        <v/>
      </c>
      <c r="JA42" s="2" t="str">
        <f>IF('Data Checking'!JM42="","",'Data Checking'!JM42)</f>
        <v>signalement reorientation</v>
      </c>
      <c r="JB42" s="2" t="str">
        <f>IF('Data Checking'!JN42="","",'Data Checking'!JN42)</f>
        <v>0</v>
      </c>
      <c r="JC42" s="2" t="str">
        <f>IF('Data Checking'!JO42="","",'Data Checking'!JO42)</f>
        <v>1</v>
      </c>
      <c r="JD42" s="2" t="str">
        <f>IF('Data Checking'!JP42="","",'Data Checking'!JP42)</f>
        <v>1</v>
      </c>
      <c r="JE42" s="2" t="str">
        <f>IF('Data Checking'!JQ42="","",'Data Checking'!JQ42)</f>
        <v>0</v>
      </c>
      <c r="JF42" s="2" t="str">
        <f>IF('Data Checking'!JR42="","",'Data Checking'!JR42)</f>
        <v>0</v>
      </c>
      <c r="JG42" s="2" t="str">
        <f>IF('Data Checking'!JS42="","",'Data Checking'!JS42)</f>
        <v>0</v>
      </c>
      <c r="JH42" s="2" t="str">
        <f>IF('Data Checking'!JT42="","",'Data Checking'!JT42)</f>
        <v/>
      </c>
      <c r="JI42" s="2" t="str">
        <f>IF('Data Checking'!JU42="","",'Data Checking'!JU42)</f>
        <v/>
      </c>
      <c r="JJ42" s="2" t="str">
        <f>IF('Data Checking'!JV42="","",'Data Checking'!JV42)</f>
        <v/>
      </c>
      <c r="JK42" s="2" t="str">
        <f>IF('Data Checking'!JW42="","",'Data Checking'!JW42)</f>
        <v/>
      </c>
      <c r="JL42" s="2" t="str">
        <f>IF('Data Checking'!JX42="","",'Data Checking'!JX42)</f>
        <v/>
      </c>
      <c r="JM42" s="2" t="str">
        <f>IF('Data Checking'!JY42="","",'Data Checking'!JY42)</f>
        <v/>
      </c>
      <c r="JN42" s="2" t="str">
        <f>IF('Data Checking'!JZ42="","",'Data Checking'!JZ42)</f>
        <v/>
      </c>
      <c r="JO42" s="2" t="str">
        <f>IF('Data Checking'!KA42="","",'Data Checking'!KA42)</f>
        <v/>
      </c>
      <c r="JP42" s="2" t="str">
        <f>IF('Data Checking'!KB42="","",'Data Checking'!KB42)</f>
        <v/>
      </c>
      <c r="JQ42" s="2" t="str">
        <f>IF('Data Checking'!KC42="","",'Data Checking'!KC42)</f>
        <v/>
      </c>
      <c r="JR42" s="2" t="str">
        <f>IF('Data Checking'!KD42="","",'Data Checking'!KD42)</f>
        <v/>
      </c>
      <c r="JS42" s="2" t="str">
        <f>IF('Data Checking'!KE42="","",'Data Checking'!KE42)</f>
        <v/>
      </c>
      <c r="JT42" s="2" t="str">
        <f>IF('Data Checking'!KF42="","",'Data Checking'!KF42)</f>
        <v>Autre</v>
      </c>
      <c r="JU42" s="2" t="str">
        <f>IF('Data Checking'!KG42="","",'Data Checking'!KG42)</f>
        <v>0</v>
      </c>
      <c r="JV42" s="2" t="str">
        <f>IF('Data Checking'!KH42="","",'Data Checking'!KH42)</f>
        <v>0</v>
      </c>
      <c r="JW42" s="2" t="str">
        <f>IF('Data Checking'!KI42="","",'Data Checking'!KI42)</f>
        <v>0</v>
      </c>
      <c r="JX42" s="2" t="str">
        <f>IF('Data Checking'!KJ42="","",'Data Checking'!KJ42)</f>
        <v>0</v>
      </c>
      <c r="JY42" s="2" t="str">
        <f>IF('Data Checking'!KK42="","",'Data Checking'!KK42)</f>
        <v>0</v>
      </c>
      <c r="JZ42" s="2" t="str">
        <f>IF('Data Checking'!KL42="","",'Data Checking'!KL42)</f>
        <v>0</v>
      </c>
      <c r="KA42" s="2" t="str">
        <f>IF('Data Checking'!KM42="","",'Data Checking'!KM42)</f>
        <v>0</v>
      </c>
      <c r="KB42" s="2" t="str">
        <f>IF('Data Checking'!KN42="","",'Data Checking'!KN42)</f>
        <v>1</v>
      </c>
      <c r="KC42" s="2" t="str">
        <f>IF('Data Checking'!KO42="","",'Data Checking'!KO42)</f>
        <v>0</v>
      </c>
      <c r="KD42" s="2" t="str">
        <f>IF('Data Checking'!KP42="","",'Data Checking'!KP42)</f>
        <v xml:space="preserve">Chef de village </v>
      </c>
      <c r="KE42" s="2" t="str">
        <f>IF('Data Checking'!KQ42="","",'Data Checking'!KQ42)</f>
        <v/>
      </c>
      <c r="KF42" s="2" t="str">
        <f>IF('Data Checking'!KR42="","",'Data Checking'!KR42)</f>
        <v>non</v>
      </c>
      <c r="KG42" s="2" t="str">
        <f>IF('Data Checking'!KS42="","",'Data Checking'!KS42)</f>
        <v/>
      </c>
      <c r="KH42" s="2" t="str">
        <f>IF('Data Checking'!KT42="","",'Data Checking'!KT42)</f>
        <v/>
      </c>
      <c r="KI42" s="2" t="str">
        <f>IF('Data Checking'!KU42="","",'Data Checking'!KU42)</f>
        <v/>
      </c>
      <c r="KJ42" s="2" t="str">
        <f>IF('Data Checking'!KV42="","",'Data Checking'!KV42)</f>
        <v/>
      </c>
      <c r="KK42" s="2" t="str">
        <f>IF('Data Checking'!KW42="","",'Data Checking'!KW42)</f>
        <v/>
      </c>
      <c r="KL42" s="2" t="str">
        <f>IF('Data Checking'!KX42="","",'Data Checking'!KX42)</f>
        <v/>
      </c>
      <c r="KM42" s="2" t="str">
        <f>IF('Data Checking'!KY42="","",'Data Checking'!KY42)</f>
        <v/>
      </c>
      <c r="KN42" s="2" t="str">
        <f>IF('Data Checking'!KZ42="","",'Data Checking'!KZ42)</f>
        <v/>
      </c>
      <c r="KO42" s="2" t="str">
        <f>IF('Data Checking'!LA42="","",'Data Checking'!LA42)</f>
        <v/>
      </c>
      <c r="KP42" s="2" t="str">
        <f>IF('Data Checking'!LB42="","",'Data Checking'!LB42)</f>
        <v/>
      </c>
      <c r="KQ42" s="2" t="str">
        <f>IF('Data Checking'!LC42="","",'Data Checking'!LC42)</f>
        <v/>
      </c>
      <c r="KR42" s="2" t="str">
        <f>IF('Data Checking'!LD42="","",'Data Checking'!LD42)</f>
        <v/>
      </c>
      <c r="KS42" s="2" t="str">
        <f>IF('Data Checking'!LE42="","",'Data Checking'!LE42)</f>
        <v/>
      </c>
      <c r="KT42" s="2" t="str">
        <f>IF('Data Checking'!LF42="","",'Data Checking'!LF42)</f>
        <v/>
      </c>
      <c r="KU42" s="2" t="str">
        <f>IF('Data Checking'!LG42="","",'Data Checking'!LG42)</f>
        <v/>
      </c>
      <c r="KV42" s="2" t="str">
        <f>IF('Data Checking'!LH42="","",'Data Checking'!LH42)</f>
        <v/>
      </c>
      <c r="KW42" s="2" t="str">
        <f>IF('Data Checking'!LI42="","",'Data Checking'!LI42)</f>
        <v/>
      </c>
      <c r="KX42" s="2" t="str">
        <f>IF('Data Checking'!LJ42="","",'Data Checking'!LJ42)</f>
        <v/>
      </c>
      <c r="KY42" s="2" t="str">
        <f>IF('Data Checking'!LK42="","",'Data Checking'!LK42)</f>
        <v/>
      </c>
      <c r="KZ42" s="2" t="str">
        <f>IF('Data Checking'!LL42="","",'Data Checking'!LL42)</f>
        <v/>
      </c>
      <c r="LA42" s="2" t="str">
        <f>IF('Data Checking'!LM42="","",'Data Checking'!LM42)</f>
        <v/>
      </c>
      <c r="LB42" s="2" t="str">
        <f>IF('Data Checking'!LN42="","",'Data Checking'!LN42)</f>
        <v>non</v>
      </c>
      <c r="LC42" s="2" t="str">
        <f>IF('Data Checking'!LO42="","",'Data Checking'!LO42)</f>
        <v/>
      </c>
      <c r="LD42" s="2" t="str">
        <f>IF('Data Checking'!LP42="","",'Data Checking'!LP42)</f>
        <v/>
      </c>
      <c r="LE42" s="2" t="str">
        <f>IF('Data Checking'!LQ42="","",'Data Checking'!LQ42)</f>
        <v/>
      </c>
      <c r="LF42" s="2" t="str">
        <f>IF('Data Checking'!LR42="","",'Data Checking'!LR42)</f>
        <v/>
      </c>
      <c r="LG42" s="2" t="str">
        <f>IF('Data Checking'!LS42="","",'Data Checking'!LS42)</f>
        <v/>
      </c>
      <c r="LH42" s="2" t="str">
        <f>IF('Data Checking'!LT42="","",'Data Checking'!LT42)</f>
        <v/>
      </c>
      <c r="LI42" s="2" t="str">
        <f>IF('Data Checking'!LU42="","",'Data Checking'!LU42)</f>
        <v/>
      </c>
      <c r="LJ42" s="2" t="str">
        <f>IF('Data Checking'!LV42="","",'Data Checking'!LV42)</f>
        <v/>
      </c>
      <c r="LK42" s="2" t="str">
        <f>IF('Data Checking'!LW42="","",'Data Checking'!LW42)</f>
        <v/>
      </c>
      <c r="LL42" s="2" t="str">
        <f>IF('Data Checking'!LX42="","",'Data Checking'!LX42)</f>
        <v/>
      </c>
      <c r="LM42" s="2" t="str">
        <f>IF('Data Checking'!LY42="","",'Data Checking'!LY42)</f>
        <v/>
      </c>
      <c r="LN42" s="2" t="str">
        <f>IF('Data Checking'!LZ42="","",'Data Checking'!LZ42)</f>
        <v/>
      </c>
      <c r="LO42" s="2" t="str">
        <f>IF('Data Checking'!MA42="","",'Data Checking'!MA42)</f>
        <v/>
      </c>
      <c r="LP42" s="2" t="str">
        <f>IF('Data Checking'!MB42="","",'Data Checking'!MB42)</f>
        <v>oui</v>
      </c>
      <c r="LQ42" s="2" t="str">
        <f>IF('Data Checking'!MC42="","",'Data Checking'!MC42)</f>
        <v/>
      </c>
      <c r="LR42" s="2" t="str">
        <f>IF('Data Checking'!MD42="","",'Data Checking'!MD42)</f>
        <v xml:space="preserve">On veux la paix,manger a sa faim,avoir suffisamment d'eau </v>
      </c>
      <c r="LS42" s="2">
        <f>IF('Data Checking'!ME42="","",'Data Checking'!ME42)</f>
        <v>170268443</v>
      </c>
      <c r="LT42" s="2" t="str">
        <f>IF('Data Checking'!MF42="","",'Data Checking'!MF42)</f>
        <v>7e8e3932-526f-4633-8f11-e1ab80d1435f</v>
      </c>
      <c r="LU42" s="2" t="str">
        <f>IF('Data Checking'!MG42="","",'Data Checking'!MG42)</f>
        <v>2021-04-07T17:50:16</v>
      </c>
      <c r="LV42" s="2" t="str">
        <f>IF('Data Checking'!MH42="","",'Data Checking'!MH42)</f>
        <v/>
      </c>
      <c r="LW42" s="2" t="str">
        <f>IF('Data Checking'!MI42="","",'Data Checking'!MI42)</f>
        <v>[]</v>
      </c>
      <c r="LX42" s="2" t="str">
        <f>IF('Data Checking'!MJ42="","",'Data Checking'!MJ42)</f>
        <v>submitted_via_web</v>
      </c>
      <c r="LY42" s="2" t="str">
        <f>IF('Data Checking'!MK42="","",'Data Checking'!MK42)</f>
        <v>reach_niger</v>
      </c>
      <c r="LZ42" s="2" t="str">
        <f>IF('Data Checking'!ML42="","",'Data Checking'!ML42)</f>
        <v/>
      </c>
      <c r="MA42" s="2">
        <f>IF('Data Checking'!MM42="","",'Data Checking'!MM42)</f>
        <v>52</v>
      </c>
    </row>
    <row r="43" spans="1:339" x14ac:dyDescent="0.3">
      <c r="A43" s="2" t="str">
        <f>IF('Data Checking'!D43="","",'Data Checking'!D43)</f>
        <v>2021-04-08T11:38:21.316+01:00</v>
      </c>
      <c r="B43" s="2" t="str">
        <f>IF('Data Checking'!E43="","",'Data Checking'!E43)</f>
        <v>2021-04-08T12:24:14.792+01:00</v>
      </c>
      <c r="C43" s="2" t="str">
        <f>IF('Data Checking'!M43="","",'Data Checking'!M43)</f>
        <v>2021-04-08</v>
      </c>
      <c r="D43" s="2" t="str">
        <f>IF('Data Checking'!N43="","",'Data Checking'!N43)</f>
        <v/>
      </c>
      <c r="E43" s="2" t="str">
        <f>IF('Data Checking'!O43="","",'Data Checking'!O43)</f>
        <v/>
      </c>
      <c r="F43" s="2" t="str">
        <f>IF('Data Checking'!R43="","",'Data Checking'!R43)</f>
        <v>Homme</v>
      </c>
      <c r="G43" s="2" t="str">
        <f>IF('Data Checking'!S43="","",'Data Checking'!S43)</f>
        <v>ouallam</v>
      </c>
      <c r="H43" s="2" t="str">
        <f>IF('Data Checking'!T43="","",'Data Checking'!T43)</f>
        <v>tondikiwindi</v>
      </c>
      <c r="I43" s="2" t="str">
        <f>IF('Data Checking'!U43="","",'Data Checking'!U43)</f>
        <v>diney_baba_kouara</v>
      </c>
      <c r="J43" s="2" t="str">
        <f>IF('Data Checking'!V43="","",'Data Checking'!V43)</f>
        <v/>
      </c>
      <c r="K43" s="2" t="str">
        <f>IF('Data Checking'!W43="","",'Data Checking'!W43)</f>
        <v/>
      </c>
      <c r="L43" s="2" t="str">
        <f>IF('Data Checking'!X43="","",'Data Checking'!X43)</f>
        <v/>
      </c>
      <c r="M43" s="2" t="str">
        <f>IF('Data Checking'!Y43="","",'Data Checking'!Y43)</f>
        <v/>
      </c>
      <c r="N43" s="2" t="str">
        <f>IF('Data Checking'!Z43="","",'Data Checking'!Z43)</f>
        <v/>
      </c>
      <c r="O43" s="2" t="str">
        <f>IF('Data Checking'!AA43="","",'Data Checking'!AA43)</f>
        <v/>
      </c>
      <c r="P43" s="2" t="str">
        <f>IF('Data Checking'!AB43="","",'Data Checking'!AB43)</f>
        <v/>
      </c>
      <c r="Q43" s="2" t="str">
        <f>IF('Data Checking'!AC43="","",'Data Checking'!AC43)</f>
        <v/>
      </c>
      <c r="R43" s="2" t="str">
        <f>IF('Data Checking'!AD43="","",'Data Checking'!AD43)</f>
        <v>Homme</v>
      </c>
      <c r="S43" s="2" t="str">
        <f>IF('Data Checking'!AE43="","",'Data Checking'!AE43)</f>
        <v>60</v>
      </c>
      <c r="T43" s="2" t="str">
        <f>IF('Data Checking'!AF43="","",'Data Checking'!AF43)</f>
        <v>deplace_interne</v>
      </c>
      <c r="U43" s="2" t="str">
        <f>IF('Data Checking'!AG43="","",'Data Checking'!AG43)</f>
        <v/>
      </c>
      <c r="V43" s="2" t="str">
        <f>IF('Data Checking'!AH43="","",'Data Checking'!AH43)</f>
        <v/>
      </c>
      <c r="W43" s="2" t="str">
        <f>IF('Data Checking'!AI43="","",'Data Checking'!AI43)</f>
        <v/>
      </c>
      <c r="X43" s="2" t="str">
        <f>IF('Data Checking'!AJ43="","",'Data Checking'!AJ43)</f>
        <v/>
      </c>
      <c r="Y43" s="2" t="str">
        <f>IF('Data Checking'!AK43="","",'Data Checking'!AK43)</f>
        <v/>
      </c>
      <c r="Z43" s="2" t="str">
        <f>IF('Data Checking'!AL43="","",'Data Checking'!AL43)</f>
        <v>niger</v>
      </c>
      <c r="AA43" s="2" t="str">
        <f>IF('Data Checking'!AM43="","",'Data Checking'!AM43)</f>
        <v>tillaberi</v>
      </c>
      <c r="AB43" s="2" t="str">
        <f>IF('Data Checking'!AN43="","",'Data Checking'!AN43)</f>
        <v>ouallam</v>
      </c>
      <c r="AC43" s="2" t="str">
        <f>IF('Data Checking'!AO43="","",'Data Checking'!AO43)</f>
        <v/>
      </c>
      <c r="AD43" s="2" t="str">
        <f>IF('Data Checking'!AP43="","",'Data Checking'!AP43)</f>
        <v/>
      </c>
      <c r="AE43" s="2" t="str">
        <f>IF('Data Checking'!AQ43="","",'Data Checking'!AQ43)</f>
        <v/>
      </c>
      <c r="AF43" s="2" t="str">
        <f>IF('Data Checking'!AR43="","",'Data Checking'!AR43)</f>
        <v/>
      </c>
      <c r="AG43" s="2" t="str">
        <f>IF('Data Checking'!AS43="","",'Data Checking'!AS43)</f>
        <v>non</v>
      </c>
      <c r="AH43" s="2" t="str">
        <f>IF('Data Checking'!AT43="","",'Data Checking'!AT43)</f>
        <v/>
      </c>
      <c r="AI43" s="2" t="str">
        <f>IF('Data Checking'!AU43="","",'Data Checking'!AU43)</f>
        <v/>
      </c>
      <c r="AJ43" s="2" t="str">
        <f>IF('Data Checking'!AV43="","",'Data Checking'!AV43)</f>
        <v/>
      </c>
      <c r="AK43" s="2" t="str">
        <f>IF('Data Checking'!AW43="","",'Data Checking'!AW43)</f>
        <v/>
      </c>
      <c r="AL43" s="2" t="str">
        <f>IF('Data Checking'!AX43="","",'Data Checking'!AX43)</f>
        <v/>
      </c>
      <c r="AM43" s="2" t="str">
        <f>IF('Data Checking'!AY43="","",'Data Checking'!AY43)</f>
        <v/>
      </c>
      <c r="AN43" s="2" t="str">
        <f>IF('Data Checking'!AZ43="","",'Data Checking'!AZ43)</f>
        <v/>
      </c>
      <c r="AO43" s="2" t="str">
        <f>IF('Data Checking'!BA43="","",'Data Checking'!BA43)</f>
        <v/>
      </c>
      <c r="AP43" s="2" t="str">
        <f>IF('Data Checking'!BB43="","",'Data Checking'!BB43)</f>
        <v/>
      </c>
      <c r="AQ43" s="2" t="str">
        <f>IF('Data Checking'!BC43="","",'Data Checking'!BC43)</f>
        <v/>
      </c>
      <c r="AR43" s="2" t="str">
        <f>IF('Data Checking'!BD43="","",'Data Checking'!BD43)</f>
        <v/>
      </c>
      <c r="AS43" s="2" t="str">
        <f>IF('Data Checking'!BE43="","",'Data Checking'!BE43)</f>
        <v/>
      </c>
      <c r="AT43" s="2" t="str">
        <f>IF('Data Checking'!BF43="","",'Data Checking'!BF43)</f>
        <v/>
      </c>
      <c r="AU43" s="2" t="str">
        <f>IF('Data Checking'!BG43="","",'Data Checking'!BG43)</f>
        <v/>
      </c>
      <c r="AV43" s="2" t="str">
        <f>IF('Data Checking'!BH43="","",'Data Checking'!BH43)</f>
        <v/>
      </c>
      <c r="AW43" s="2" t="str">
        <f>IF('Data Checking'!BI43="","",'Data Checking'!BI43)</f>
        <v/>
      </c>
      <c r="AX43" s="2" t="str">
        <f>IF('Data Checking'!BJ43="","",'Data Checking'!BJ43)</f>
        <v/>
      </c>
      <c r="AY43" s="2" t="str">
        <f>IF('Data Checking'!BK43="","",'Data Checking'!BK43)</f>
        <v/>
      </c>
      <c r="AZ43" s="2" t="str">
        <f>IF('Data Checking'!BL43="","",'Data Checking'!BL43)</f>
        <v/>
      </c>
      <c r="BA43" s="2" t="str">
        <f>IF('Data Checking'!BM43="","",'Data Checking'!BM43)</f>
        <v/>
      </c>
      <c r="BB43" s="2" t="str">
        <f>IF('Data Checking'!BN43="","",'Data Checking'!BN43)</f>
        <v/>
      </c>
      <c r="BC43" s="2" t="str">
        <f>IF('Data Checking'!BO43="","",'Data Checking'!BO43)</f>
        <v/>
      </c>
      <c r="BD43" s="2" t="str">
        <f>IF('Data Checking'!BP43="","",'Data Checking'!BP43)</f>
        <v/>
      </c>
      <c r="BE43" s="2" t="str">
        <f>IF('Data Checking'!BQ43="","",'Data Checking'!BQ43)</f>
        <v/>
      </c>
      <c r="BF43" s="2" t="str">
        <f>IF('Data Checking'!BR43="","",'Data Checking'!BR43)</f>
        <v/>
      </c>
      <c r="BG43" s="2" t="str">
        <f>IF('Data Checking'!BS43="","",'Data Checking'!BS43)</f>
        <v/>
      </c>
      <c r="BH43" s="2" t="str">
        <f>IF('Data Checking'!BT43="","",'Data Checking'!BT43)</f>
        <v/>
      </c>
      <c r="BI43" s="2" t="str">
        <f>IF('Data Checking'!BU43="","",'Data Checking'!BU43)</f>
        <v/>
      </c>
      <c r="BJ43" s="2" t="str">
        <f>IF('Data Checking'!BV43="","",'Data Checking'!BV43)</f>
        <v/>
      </c>
      <c r="BK43" s="2" t="str">
        <f>IF('Data Checking'!BW43="","",'Data Checking'!BW43)</f>
        <v/>
      </c>
      <c r="BL43" s="2" t="str">
        <f>IF('Data Checking'!BX43="","",'Data Checking'!BX43)</f>
        <v/>
      </c>
      <c r="BM43" s="2" t="str">
        <f>IF('Data Checking'!BY43="","",'Data Checking'!BY43)</f>
        <v/>
      </c>
      <c r="BN43" s="2" t="str">
        <f>IF('Data Checking'!BZ43="","",'Data Checking'!BZ43)</f>
        <v/>
      </c>
      <c r="BO43" s="2" t="str">
        <f>IF('Data Checking'!CA43="","",'Data Checking'!CA43)</f>
        <v/>
      </c>
      <c r="BP43" s="2" t="str">
        <f>IF('Data Checking'!CB43="","",'Data Checking'!CB43)</f>
        <v/>
      </c>
      <c r="BQ43" s="2" t="str">
        <f>IF('Data Checking'!CC43="","",'Data Checking'!CC43)</f>
        <v>non</v>
      </c>
      <c r="BR43" s="2" t="str">
        <f>IF('Data Checking'!CD43="","",'Data Checking'!CD43)</f>
        <v/>
      </c>
      <c r="BS43" s="2" t="str">
        <f>IF('Data Checking'!CE43="","",'Data Checking'!CE43)</f>
        <v/>
      </c>
      <c r="BT43" s="2" t="str">
        <f>IF('Data Checking'!CF43="","",'Data Checking'!CF43)</f>
        <v/>
      </c>
      <c r="BU43" s="2" t="str">
        <f>IF('Data Checking'!CG43="","",'Data Checking'!CG43)</f>
        <v/>
      </c>
      <c r="BV43" s="2" t="str">
        <f>IF('Data Checking'!CH43="","",'Data Checking'!CH43)</f>
        <v/>
      </c>
      <c r="BW43" s="2" t="str">
        <f>IF('Data Checking'!CI43="","",'Data Checking'!CI43)</f>
        <v/>
      </c>
      <c r="BX43" s="2" t="str">
        <f>IF('Data Checking'!CJ43="","",'Data Checking'!CJ43)</f>
        <v/>
      </c>
      <c r="BY43" s="2" t="str">
        <f>IF('Data Checking'!CK43="","",'Data Checking'!CK43)</f>
        <v/>
      </c>
      <c r="BZ43" s="2" t="str">
        <f>IF('Data Checking'!CL43="","",'Data Checking'!CL43)</f>
        <v/>
      </c>
      <c r="CA43" s="2" t="str">
        <f>IF('Data Checking'!CM43="","",'Data Checking'!CM43)</f>
        <v/>
      </c>
      <c r="CB43" s="2" t="str">
        <f>IF('Data Checking'!CN43="","",'Data Checking'!CN43)</f>
        <v/>
      </c>
      <c r="CC43" s="2" t="str">
        <f>IF('Data Checking'!CO43="","",'Data Checking'!CO43)</f>
        <v/>
      </c>
      <c r="CD43" s="2" t="str">
        <f>IF('Data Checking'!CP43="","",'Data Checking'!CP43)</f>
        <v/>
      </c>
      <c r="CE43" s="2" t="str">
        <f>IF('Data Checking'!CQ43="","",'Data Checking'!CQ43)</f>
        <v/>
      </c>
      <c r="CF43" s="2" t="str">
        <f>IF('Data Checking'!CR43="","",'Data Checking'!CR43)</f>
        <v/>
      </c>
      <c r="CG43" s="2" t="str">
        <f>IF('Data Checking'!CS43="","",'Data Checking'!CS43)</f>
        <v/>
      </c>
      <c r="CH43" s="2" t="str">
        <f>IF('Data Checking'!CT43="","",'Data Checking'!CT43)</f>
        <v/>
      </c>
      <c r="CI43" s="2" t="str">
        <f>IF('Data Checking'!CU43="","",'Data Checking'!CU43)</f>
        <v/>
      </c>
      <c r="CJ43" s="2" t="str">
        <f>IF('Data Checking'!CV43="","",'Data Checking'!CV43)</f>
        <v/>
      </c>
      <c r="CK43" s="2" t="str">
        <f>IF('Data Checking'!CW43="","",'Data Checking'!CW43)</f>
        <v/>
      </c>
      <c r="CL43" s="2" t="str">
        <f>IF('Data Checking'!CX43="","",'Data Checking'!CX43)</f>
        <v/>
      </c>
      <c r="CM43" s="2" t="str">
        <f>IF('Data Checking'!CY43="","",'Data Checking'!CY43)</f>
        <v/>
      </c>
      <c r="CN43" s="2" t="str">
        <f>IF('Data Checking'!CZ43="","",'Data Checking'!CZ43)</f>
        <v/>
      </c>
      <c r="CO43" s="2" t="str">
        <f>IF('Data Checking'!DA43="","",'Data Checking'!DA43)</f>
        <v/>
      </c>
      <c r="CP43" s="2" t="str">
        <f>IF('Data Checking'!DB43="","",'Data Checking'!DB43)</f>
        <v/>
      </c>
      <c r="CQ43" s="2" t="str">
        <f>IF('Data Checking'!DC43="","",'Data Checking'!DC43)</f>
        <v/>
      </c>
      <c r="CR43" s="2" t="str">
        <f>IF('Data Checking'!DD43="","",'Data Checking'!DD43)</f>
        <v/>
      </c>
      <c r="CS43" s="2" t="str">
        <f>IF('Data Checking'!DE43="","",'Data Checking'!DE43)</f>
        <v/>
      </c>
      <c r="CT43" s="2" t="str">
        <f>IF('Data Checking'!DF43="","",'Data Checking'!DF43)</f>
        <v/>
      </c>
      <c r="CU43" s="2" t="str">
        <f>IF('Data Checking'!DG43="","",'Data Checking'!DG43)</f>
        <v/>
      </c>
      <c r="CV43" s="2" t="str">
        <f>IF('Data Checking'!DH43="","",'Data Checking'!DH43)</f>
        <v/>
      </c>
      <c r="CW43" s="2" t="str">
        <f>IF('Data Checking'!DI43="","",'Data Checking'!DI43)</f>
        <v/>
      </c>
      <c r="CX43" s="2" t="str">
        <f>IF('Data Checking'!DJ43="","",'Data Checking'!DJ43)</f>
        <v/>
      </c>
      <c r="CY43" s="2" t="str">
        <f>IF('Data Checking'!DK43="","",'Data Checking'!DK43)</f>
        <v/>
      </c>
      <c r="CZ43" s="2" t="str">
        <f>IF('Data Checking'!DL43="","",'Data Checking'!DL43)</f>
        <v/>
      </c>
      <c r="DA43" s="2" t="str">
        <f>IF('Data Checking'!DM43="","",'Data Checking'!DM43)</f>
        <v/>
      </c>
      <c r="DB43" s="2" t="str">
        <f>IF('Data Checking'!DN43="","",'Data Checking'!DN43)</f>
        <v/>
      </c>
      <c r="DC43" s="2" t="str">
        <f>IF('Data Checking'!DO43="","",'Data Checking'!DO43)</f>
        <v/>
      </c>
      <c r="DD43" s="2" t="str">
        <f>IF('Data Checking'!DP43="","",'Data Checking'!DP43)</f>
        <v/>
      </c>
      <c r="DE43" s="2" t="str">
        <f>IF('Data Checking'!DQ43="","",'Data Checking'!DQ43)</f>
        <v/>
      </c>
      <c r="DF43" s="2" t="str">
        <f>IF('Data Checking'!DR43="","",'Data Checking'!DR43)</f>
        <v/>
      </c>
      <c r="DG43" s="2" t="str">
        <f>IF('Data Checking'!DS43="","",'Data Checking'!DS43)</f>
        <v/>
      </c>
      <c r="DH43" s="2" t="str">
        <f>IF('Data Checking'!DT43="","",'Data Checking'!DT43)</f>
        <v/>
      </c>
      <c r="DI43" s="2" t="str">
        <f>IF('Data Checking'!DU43="","",'Data Checking'!DU43)</f>
        <v/>
      </c>
      <c r="DJ43" s="2" t="str">
        <f>IF('Data Checking'!DV43="","",'Data Checking'!DV43)</f>
        <v/>
      </c>
      <c r="DK43" s="2" t="str">
        <f>IF('Data Checking'!DW43="","",'Data Checking'!DW43)</f>
        <v/>
      </c>
      <c r="DL43" s="2" t="str">
        <f>IF('Data Checking'!DX43="","",'Data Checking'!DX43)</f>
        <v/>
      </c>
      <c r="DM43" s="2" t="str">
        <f>IF('Data Checking'!DY43="","",'Data Checking'!DY43)</f>
        <v/>
      </c>
      <c r="DN43" s="2" t="str">
        <f>IF('Data Checking'!DZ43="","",'Data Checking'!DZ43)</f>
        <v/>
      </c>
      <c r="DO43" s="2" t="str">
        <f>IF('Data Checking'!EA43="","",'Data Checking'!EA43)</f>
        <v/>
      </c>
      <c r="DP43" s="2" t="str">
        <f>IF('Data Checking'!EB43="","",'Data Checking'!EB43)</f>
        <v/>
      </c>
      <c r="DQ43" s="2" t="str">
        <f>IF('Data Checking'!EC43="","",'Data Checking'!EC43)</f>
        <v/>
      </c>
      <c r="DR43" s="2" t="str">
        <f>IF('Data Checking'!ED43="","",'Data Checking'!ED43)</f>
        <v/>
      </c>
      <c r="DS43" s="2" t="str">
        <f>IF('Data Checking'!EE43="","",'Data Checking'!EE43)</f>
        <v/>
      </c>
      <c r="DT43" s="2" t="str">
        <f>IF('Data Checking'!EF43="","",'Data Checking'!EF43)</f>
        <v/>
      </c>
      <c r="DU43" s="2" t="str">
        <f>IF('Data Checking'!EG43="","",'Data Checking'!EG43)</f>
        <v/>
      </c>
      <c r="DV43" s="2" t="str">
        <f>IF('Data Checking'!EH43="","",'Data Checking'!EH43)</f>
        <v/>
      </c>
      <c r="DW43" s="2" t="str">
        <f>IF('Data Checking'!EI43="","",'Data Checking'!EI43)</f>
        <v/>
      </c>
      <c r="DX43" s="2" t="str">
        <f>IF('Data Checking'!EJ43="","",'Data Checking'!EJ43)</f>
        <v/>
      </c>
      <c r="DY43" s="2" t="str">
        <f>IF('Data Checking'!EK43="","",'Data Checking'!EK43)</f>
        <v/>
      </c>
      <c r="DZ43" s="2" t="str">
        <f>IF('Data Checking'!EL43="","",'Data Checking'!EL43)</f>
        <v>dplct_abords_com</v>
      </c>
      <c r="EA43" s="2" t="str">
        <f>IF('Data Checking'!EM43="","",'Data Checking'!EM43)</f>
        <v>1</v>
      </c>
      <c r="EB43" s="2" t="str">
        <f>IF('Data Checking'!EN43="","",'Data Checking'!EN43)</f>
        <v>0</v>
      </c>
      <c r="EC43" s="2" t="str">
        <f>IF('Data Checking'!EO43="","",'Data Checking'!EO43)</f>
        <v>0</v>
      </c>
      <c r="ED43" s="2" t="str">
        <f>IF('Data Checking'!EP43="","",'Data Checking'!EP43)</f>
        <v>0</v>
      </c>
      <c r="EE43" s="2" t="str">
        <f>IF('Data Checking'!EQ43="","",'Data Checking'!EQ43)</f>
        <v>0</v>
      </c>
      <c r="EF43" s="2" t="str">
        <f>IF('Data Checking'!ER43="","",'Data Checking'!ER43)</f>
        <v>0</v>
      </c>
      <c r="EG43" s="2" t="str">
        <f>IF('Data Checking'!ES43="","",'Data Checking'!ES43)</f>
        <v>0</v>
      </c>
      <c r="EH43" s="2" t="str">
        <f>IF('Data Checking'!ET43="","",'Data Checking'!ET43)</f>
        <v>0</v>
      </c>
      <c r="EI43" s="2" t="str">
        <f>IF('Data Checking'!EU43="","",'Data Checking'!EU43)</f>
        <v>0</v>
      </c>
      <c r="EJ43" s="2" t="str">
        <f>IF('Data Checking'!EV43="","",'Data Checking'!EV43)</f>
        <v/>
      </c>
      <c r="EK43" s="2" t="str">
        <f>IF('Data Checking'!EW43="","",'Data Checking'!EW43)</f>
        <v/>
      </c>
      <c r="EL43" s="2" t="str">
        <f>IF('Data Checking'!EX43="","",'Data Checking'!EX43)</f>
        <v>femmes_elite comite_gestion_conflits comite_protection</v>
      </c>
      <c r="EM43" s="2" t="str">
        <f>IF('Data Checking'!EY43="","",'Data Checking'!EY43)</f>
        <v>1</v>
      </c>
      <c r="EN43" s="2" t="str">
        <f>IF('Data Checking'!EZ43="","",'Data Checking'!EZ43)</f>
        <v>1</v>
      </c>
      <c r="EO43" s="2" t="str">
        <f>IF('Data Checking'!FA43="","",'Data Checking'!FA43)</f>
        <v>0</v>
      </c>
      <c r="EP43" s="2" t="str">
        <f>IF('Data Checking'!FB43="","",'Data Checking'!FB43)</f>
        <v>0</v>
      </c>
      <c r="EQ43" s="2" t="str">
        <f>IF('Data Checking'!FC43="","",'Data Checking'!FC43)</f>
        <v>0</v>
      </c>
      <c r="ER43" s="2" t="str">
        <f>IF('Data Checking'!FD43="","",'Data Checking'!FD43)</f>
        <v>1</v>
      </c>
      <c r="ES43" s="2" t="str">
        <f>IF('Data Checking'!FE43="","",'Data Checking'!FE43)</f>
        <v>0</v>
      </c>
      <c r="ET43" s="2" t="str">
        <f>IF('Data Checking'!FF43="","",'Data Checking'!FF43)</f>
        <v>0</v>
      </c>
      <c r="EU43" s="2" t="str">
        <f>IF('Data Checking'!FG43="","",'Data Checking'!FG43)</f>
        <v>0</v>
      </c>
      <c r="EV43" s="2" t="str">
        <f>IF('Data Checking'!FH43="","",'Data Checking'!FH43)</f>
        <v>0</v>
      </c>
      <c r="EW43" s="2" t="str">
        <f>IF('Data Checking'!FI43="","",'Data Checking'!FI43)</f>
        <v/>
      </c>
      <c r="EX43" s="2" t="str">
        <f>IF('Data Checking'!FJ43="","",'Data Checking'!FJ43)</f>
        <v>oui</v>
      </c>
      <c r="EY43" s="2" t="str">
        <f>IF('Data Checking'!FK43="","",'Data Checking'!FK43)</f>
        <v>Radio_television Chef_village</v>
      </c>
      <c r="EZ43" s="2" t="str">
        <f>IF('Data Checking'!FL43="","",'Data Checking'!FL43)</f>
        <v>1</v>
      </c>
      <c r="FA43" s="2" t="str">
        <f>IF('Data Checking'!FM43="","",'Data Checking'!FM43)</f>
        <v>0</v>
      </c>
      <c r="FB43" s="2" t="str">
        <f>IF('Data Checking'!FN43="","",'Data Checking'!FN43)</f>
        <v>0</v>
      </c>
      <c r="FC43" s="2" t="str">
        <f>IF('Data Checking'!FO43="","",'Data Checking'!FO43)</f>
        <v>0</v>
      </c>
      <c r="FD43" s="2" t="str">
        <f>IF('Data Checking'!FP43="","",'Data Checking'!FP43)</f>
        <v>1</v>
      </c>
      <c r="FE43" s="2" t="str">
        <f>IF('Data Checking'!FQ43="","",'Data Checking'!FQ43)</f>
        <v>0</v>
      </c>
      <c r="FF43" s="2" t="str">
        <f>IF('Data Checking'!FR43="","",'Data Checking'!FR43)</f>
        <v>0</v>
      </c>
      <c r="FG43" s="2" t="str">
        <f>IF('Data Checking'!FS43="","",'Data Checking'!FS43)</f>
        <v>0</v>
      </c>
      <c r="FH43" s="2" t="str">
        <f>IF('Data Checking'!FT43="","",'Data Checking'!FT43)</f>
        <v>0</v>
      </c>
      <c r="FI43" s="2" t="str">
        <f>IF('Data Checking'!FU43="","",'Data Checking'!FU43)</f>
        <v>0</v>
      </c>
      <c r="FJ43" s="2" t="str">
        <f>IF('Data Checking'!FV43="","",'Data Checking'!FV43)</f>
        <v>0</v>
      </c>
      <c r="FK43" s="2" t="str">
        <f>IF('Data Checking'!FW43="","",'Data Checking'!FW43)</f>
        <v>0</v>
      </c>
      <c r="FL43" s="2" t="str">
        <f>IF('Data Checking'!FX43="","",'Data Checking'!FX43)</f>
        <v>0</v>
      </c>
      <c r="FM43" s="2" t="str">
        <f>IF('Data Checking'!FY43="","",'Data Checking'!FY43)</f>
        <v>0</v>
      </c>
      <c r="FN43" s="2" t="str">
        <f>IF('Data Checking'!FZ43="","",'Data Checking'!FZ43)</f>
        <v/>
      </c>
      <c r="FO43" s="2" t="str">
        <f>IF('Data Checking'!GA43="","",'Data Checking'!GA43)</f>
        <v>oui_majorite</v>
      </c>
      <c r="FP43" s="2" t="str">
        <f>IF('Data Checking'!GB43="","",'Data Checking'!GB43)</f>
        <v>oui_ensemble</v>
      </c>
      <c r="FQ43" s="2" t="str">
        <f>IF('Data Checking'!GC43="","",'Data Checking'!GC43)</f>
        <v/>
      </c>
      <c r="FR43" s="2" t="str">
        <f>IF('Data Checking'!GD43="","",'Data Checking'!GD43)</f>
        <v/>
      </c>
      <c r="FS43" s="2" t="str">
        <f>IF('Data Checking'!GE43="","",'Data Checking'!GE43)</f>
        <v/>
      </c>
      <c r="FT43" s="2" t="str">
        <f>IF('Data Checking'!GF43="","",'Data Checking'!GF43)</f>
        <v/>
      </c>
      <c r="FU43" s="2" t="str">
        <f>IF('Data Checking'!GG43="","",'Data Checking'!GG43)</f>
        <v/>
      </c>
      <c r="FV43" s="2" t="str">
        <f>IF('Data Checking'!GH43="","",'Data Checking'!GH43)</f>
        <v/>
      </c>
      <c r="FW43" s="2" t="str">
        <f>IF('Data Checking'!GI43="","",'Data Checking'!GI43)</f>
        <v/>
      </c>
      <c r="FX43" s="2" t="str">
        <f>IF('Data Checking'!GJ43="","",'Data Checking'!GJ43)</f>
        <v/>
      </c>
      <c r="FY43" s="2" t="str">
        <f>IF('Data Checking'!GK43="","",'Data Checking'!GK43)</f>
        <v/>
      </c>
      <c r="FZ43" s="2" t="str">
        <f>IF('Data Checking'!GL43="","",'Data Checking'!GL43)</f>
        <v/>
      </c>
      <c r="GA43" s="2" t="str">
        <f>IF('Data Checking'!GM43="","",'Data Checking'!GM43)</f>
        <v>majorite</v>
      </c>
      <c r="GB43" s="2" t="str">
        <f>IF('Data Checking'!GN43="","",'Data Checking'!GN43)</f>
        <v>majorite</v>
      </c>
      <c r="GC43" s="2" t="str">
        <f>IF('Data Checking'!GO43="","",'Data Checking'!GO43)</f>
        <v>Autre</v>
      </c>
      <c r="GD43" s="2" t="str">
        <f>IF('Data Checking'!GP43="","",'Data Checking'!GP43)</f>
        <v>0</v>
      </c>
      <c r="GE43" s="2" t="str">
        <f>IF('Data Checking'!GQ43="","",'Data Checking'!GQ43)</f>
        <v>0</v>
      </c>
      <c r="GF43" s="2" t="str">
        <f>IF('Data Checking'!GR43="","",'Data Checking'!GR43)</f>
        <v>0</v>
      </c>
      <c r="GG43" s="2" t="str">
        <f>IF('Data Checking'!GS43="","",'Data Checking'!GS43)</f>
        <v>0</v>
      </c>
      <c r="GH43" s="2" t="str">
        <f>IF('Data Checking'!GT43="","",'Data Checking'!GT43)</f>
        <v>0</v>
      </c>
      <c r="GI43" s="2" t="str">
        <f>IF('Data Checking'!GU43="","",'Data Checking'!GU43)</f>
        <v>0</v>
      </c>
      <c r="GJ43" s="2" t="str">
        <f>IF('Data Checking'!GV43="","",'Data Checking'!GV43)</f>
        <v>0</v>
      </c>
      <c r="GK43" s="2" t="str">
        <f>IF('Data Checking'!GW43="","",'Data Checking'!GW43)</f>
        <v>1</v>
      </c>
      <c r="GL43" s="2" t="str">
        <f>IF('Data Checking'!GX43="","",'Data Checking'!GX43)</f>
        <v>0</v>
      </c>
      <c r="GM43" s="2" t="str">
        <f>IF('Data Checking'!GY43="","",'Data Checking'!GY43)</f>
        <v xml:space="preserve">Chef de village </v>
      </c>
      <c r="GN43" s="2" t="str">
        <f>IF('Data Checking'!GZ43="","",'Data Checking'!GZ43)</f>
        <v>oui_majorite</v>
      </c>
      <c r="GO43" s="2" t="str">
        <f>IF('Data Checking'!HA43="","",'Data Checking'!HA43)</f>
        <v>oui_majorite</v>
      </c>
      <c r="GP43" s="2" t="str">
        <f>IF('Data Checking'!HB43="","",'Data Checking'!HB43)</f>
        <v>amelioration_futur repond_besoins_pop</v>
      </c>
      <c r="GQ43" s="2" t="str">
        <f>IF('Data Checking'!HC43="","",'Data Checking'!HC43)</f>
        <v>1</v>
      </c>
      <c r="GR43" s="2" t="str">
        <f>IF('Data Checking'!HD43="","",'Data Checking'!HD43)</f>
        <v>1</v>
      </c>
      <c r="GS43" s="2" t="str">
        <f>IF('Data Checking'!HE43="","",'Data Checking'!HE43)</f>
        <v>0</v>
      </c>
      <c r="GT43" s="2" t="str">
        <f>IF('Data Checking'!HF43="","",'Data Checking'!HF43)</f>
        <v>0</v>
      </c>
      <c r="GU43" s="2" t="str">
        <f>IF('Data Checking'!HG43="","",'Data Checking'!HG43)</f>
        <v>0</v>
      </c>
      <c r="GV43" s="2" t="str">
        <f>IF('Data Checking'!HH43="","",'Data Checking'!HH43)</f>
        <v>0</v>
      </c>
      <c r="GW43" s="2" t="str">
        <f>IF('Data Checking'!HI43="","",'Data Checking'!HI43)</f>
        <v>0</v>
      </c>
      <c r="GX43" s="2" t="str">
        <f>IF('Data Checking'!HJ43="","",'Data Checking'!HJ43)</f>
        <v>0</v>
      </c>
      <c r="GY43" s="2" t="str">
        <f>IF('Data Checking'!HK43="","",'Data Checking'!HK43)</f>
        <v/>
      </c>
      <c r="GZ43" s="2" t="str">
        <f>IF('Data Checking'!HL43="","",'Data Checking'!HL43)</f>
        <v>Autre</v>
      </c>
      <c r="HA43" s="2" t="str">
        <f>IF('Data Checking'!HM43="","",'Data Checking'!HM43)</f>
        <v>0</v>
      </c>
      <c r="HB43" s="2" t="str">
        <f>IF('Data Checking'!HN43="","",'Data Checking'!HN43)</f>
        <v>0</v>
      </c>
      <c r="HC43" s="2" t="str">
        <f>IF('Data Checking'!HO43="","",'Data Checking'!HO43)</f>
        <v>0</v>
      </c>
      <c r="HD43" s="2" t="str">
        <f>IF('Data Checking'!HP43="","",'Data Checking'!HP43)</f>
        <v>0</v>
      </c>
      <c r="HE43" s="2" t="str">
        <f>IF('Data Checking'!HQ43="","",'Data Checking'!HQ43)</f>
        <v>1</v>
      </c>
      <c r="HF43" s="2" t="str">
        <f>IF('Data Checking'!HR43="","",'Data Checking'!HR43)</f>
        <v>0</v>
      </c>
      <c r="HG43" s="2" t="str">
        <f>IF('Data Checking'!HS43="","",'Data Checking'!HS43)</f>
        <v>Difficulté d'accès aux services pour manque d'informations</v>
      </c>
      <c r="HH43" s="2" t="str">
        <f>IF('Data Checking'!HT43="","",'Data Checking'!HT43)</f>
        <v/>
      </c>
      <c r="HI43" s="2" t="str">
        <f>IF('Data Checking'!HU43="","",'Data Checking'!HU43)</f>
        <v>oui_minorite</v>
      </c>
      <c r="HJ43" s="2" t="str">
        <f>IF('Data Checking'!HV43="","",'Data Checking'!HV43)</f>
        <v>ingo</v>
      </c>
      <c r="HK43" s="2" t="str">
        <f>IF('Data Checking'!HW43="","",'Data Checking'!HW43)</f>
        <v>0</v>
      </c>
      <c r="HL43" s="2" t="str">
        <f>IF('Data Checking'!HX43="","",'Data Checking'!HX43)</f>
        <v>0</v>
      </c>
      <c r="HM43" s="2" t="str">
        <f>IF('Data Checking'!HY43="","",'Data Checking'!HY43)</f>
        <v>0</v>
      </c>
      <c r="HN43" s="2" t="str">
        <f>IF('Data Checking'!HZ43="","",'Data Checking'!HZ43)</f>
        <v>0</v>
      </c>
      <c r="HO43" s="2" t="str">
        <f>IF('Data Checking'!IA43="","",'Data Checking'!IA43)</f>
        <v>1</v>
      </c>
      <c r="HP43" s="2" t="str">
        <f>IF('Data Checking'!IB43="","",'Data Checking'!IB43)</f>
        <v>0</v>
      </c>
      <c r="HQ43" s="2" t="str">
        <f>IF('Data Checking'!IC43="","",'Data Checking'!IC43)</f>
        <v>0</v>
      </c>
      <c r="HR43" s="2" t="str">
        <f>IF('Data Checking'!ID43="","",'Data Checking'!ID43)</f>
        <v>0</v>
      </c>
      <c r="HS43" s="2" t="str">
        <f>IF('Data Checking'!IE43="","",'Data Checking'!IE43)</f>
        <v>0</v>
      </c>
      <c r="HT43" s="2" t="str">
        <f>IF('Data Checking'!IF43="","",'Data Checking'!IF43)</f>
        <v>0</v>
      </c>
      <c r="HU43" s="2" t="str">
        <f>IF('Data Checking'!IG43="","",'Data Checking'!IG43)</f>
        <v/>
      </c>
      <c r="HV43" s="2" t="str">
        <f>IF('Data Checking'!IH43="","",'Data Checking'!IH43)</f>
        <v>oui</v>
      </c>
      <c r="HW43" s="2" t="str">
        <f>IF('Data Checking'!II43="","",'Data Checking'!II43)</f>
        <v/>
      </c>
      <c r="HX43" s="2" t="str">
        <f>IF('Data Checking'!IJ43="","",'Data Checking'!IJ43)</f>
        <v/>
      </c>
      <c r="HY43" s="2" t="str">
        <f>IF('Data Checking'!IK43="","",'Data Checking'!IK43)</f>
        <v/>
      </c>
      <c r="HZ43" s="2" t="str">
        <f>IF('Data Checking'!IL43="","",'Data Checking'!IL43)</f>
        <v/>
      </c>
      <c r="IA43" s="2" t="str">
        <f>IF('Data Checking'!IM43="","",'Data Checking'!IM43)</f>
        <v/>
      </c>
      <c r="IB43" s="2" t="str">
        <f>IF('Data Checking'!IN43="","",'Data Checking'!IN43)</f>
        <v/>
      </c>
      <c r="IC43" s="2" t="str">
        <f>IF('Data Checking'!IO43="","",'Data Checking'!IO43)</f>
        <v/>
      </c>
      <c r="ID43" s="2" t="str">
        <f>IF('Data Checking'!IP43="","",'Data Checking'!IP43)</f>
        <v/>
      </c>
      <c r="IE43" s="2" t="str">
        <f>IF('Data Checking'!IQ43="","",'Data Checking'!IQ43)</f>
        <v/>
      </c>
      <c r="IF43" s="2" t="str">
        <f>IF('Data Checking'!IR43="","",'Data Checking'!IR43)</f>
        <v/>
      </c>
      <c r="IG43" s="2" t="str">
        <f>IF('Data Checking'!IS43="","",'Data Checking'!IS43)</f>
        <v/>
      </c>
      <c r="IH43" s="2" t="str">
        <f>IF('Data Checking'!IT43="","",'Data Checking'!IT43)</f>
        <v/>
      </c>
      <c r="II43" s="2" t="str">
        <f>IF('Data Checking'!IU43="","",'Data Checking'!IU43)</f>
        <v/>
      </c>
      <c r="IJ43" s="2" t="str">
        <f>IF('Data Checking'!IV43="","",'Data Checking'!IV43)</f>
        <v/>
      </c>
      <c r="IK43" s="2" t="str">
        <f>IF('Data Checking'!IW43="","",'Data Checking'!IW43)</f>
        <v/>
      </c>
      <c r="IL43" s="2" t="str">
        <f>IF('Data Checking'!IX43="","",'Data Checking'!IX43)</f>
        <v/>
      </c>
      <c r="IM43" s="2" t="str">
        <f>IF('Data Checking'!IY43="","",'Data Checking'!IY43)</f>
        <v/>
      </c>
      <c r="IN43" s="2" t="str">
        <f>IF('Data Checking'!IZ43="","",'Data Checking'!IZ43)</f>
        <v>103</v>
      </c>
      <c r="IO43" s="2" t="str">
        <f>IF('Data Checking'!JA43="","",'Data Checking'!JA43)</f>
        <v>acces_docs</v>
      </c>
      <c r="IP43" s="2" t="str">
        <f>IF('Data Checking'!JB43="","",'Data Checking'!JB43)</f>
        <v>0</v>
      </c>
      <c r="IQ43" s="2" t="str">
        <f>IF('Data Checking'!JC43="","",'Data Checking'!JC43)</f>
        <v>0</v>
      </c>
      <c r="IR43" s="2" t="str">
        <f>IF('Data Checking'!JD43="","",'Data Checking'!JD43)</f>
        <v>0</v>
      </c>
      <c r="IS43" s="2" t="str">
        <f>IF('Data Checking'!JE43="","",'Data Checking'!JE43)</f>
        <v>0</v>
      </c>
      <c r="IT43" s="2" t="str">
        <f>IF('Data Checking'!JF43="","",'Data Checking'!JF43)</f>
        <v>1</v>
      </c>
      <c r="IU43" s="2" t="str">
        <f>IF('Data Checking'!JG43="","",'Data Checking'!JG43)</f>
        <v>0</v>
      </c>
      <c r="IV43" s="2" t="str">
        <f>IF('Data Checking'!JH43="","",'Data Checking'!JH43)</f>
        <v>0</v>
      </c>
      <c r="IW43" s="2" t="str">
        <f>IF('Data Checking'!JI43="","",'Data Checking'!JI43)</f>
        <v>0</v>
      </c>
      <c r="IX43" s="2" t="str">
        <f>IF('Data Checking'!JJ43="","",'Data Checking'!JJ43)</f>
        <v>0</v>
      </c>
      <c r="IY43" s="2" t="str">
        <f>IF('Data Checking'!JK43="","",'Data Checking'!JK43)</f>
        <v>0</v>
      </c>
      <c r="IZ43" s="2" t="str">
        <f>IF('Data Checking'!JL43="","",'Data Checking'!JL43)</f>
        <v/>
      </c>
      <c r="JA43" s="2" t="str">
        <f>IF('Data Checking'!JM43="","",'Data Checking'!JM43)</f>
        <v>signalement</v>
      </c>
      <c r="JB43" s="2" t="str">
        <f>IF('Data Checking'!JN43="","",'Data Checking'!JN43)</f>
        <v>0</v>
      </c>
      <c r="JC43" s="2" t="str">
        <f>IF('Data Checking'!JO43="","",'Data Checking'!JO43)</f>
        <v>0</v>
      </c>
      <c r="JD43" s="2" t="str">
        <f>IF('Data Checking'!JP43="","",'Data Checking'!JP43)</f>
        <v>1</v>
      </c>
      <c r="JE43" s="2">
        <f>IF('Data Checking'!JQ43="","",'Data Checking'!JQ43)</f>
        <v>0</v>
      </c>
      <c r="JF43" s="2" t="str">
        <f>IF('Data Checking'!JR43="","",'Data Checking'!JR43)</f>
        <v>0</v>
      </c>
      <c r="JG43" s="2" t="str">
        <f>IF('Data Checking'!JS43="","",'Data Checking'!JS43)</f>
        <v>0</v>
      </c>
      <c r="JH43" s="2" t="str">
        <f>IF('Data Checking'!JT43="","",'Data Checking'!JT43)</f>
        <v/>
      </c>
      <c r="JI43" s="2" t="str">
        <f>IF('Data Checking'!JU43="","",'Data Checking'!JU43)</f>
        <v/>
      </c>
      <c r="JJ43" s="2" t="str">
        <f>IF('Data Checking'!JV43="","",'Data Checking'!JV43)</f>
        <v/>
      </c>
      <c r="JK43" s="2" t="str">
        <f>IF('Data Checking'!JW43="","",'Data Checking'!JW43)</f>
        <v/>
      </c>
      <c r="JL43" s="2" t="str">
        <f>IF('Data Checking'!JX43="","",'Data Checking'!JX43)</f>
        <v/>
      </c>
      <c r="JM43" s="2" t="str">
        <f>IF('Data Checking'!JY43="","",'Data Checking'!JY43)</f>
        <v/>
      </c>
      <c r="JN43" s="2" t="str">
        <f>IF('Data Checking'!JZ43="","",'Data Checking'!JZ43)</f>
        <v/>
      </c>
      <c r="JO43" s="2" t="str">
        <f>IF('Data Checking'!KA43="","",'Data Checking'!KA43)</f>
        <v/>
      </c>
      <c r="JP43" s="2" t="str">
        <f>IF('Data Checking'!KB43="","",'Data Checking'!KB43)</f>
        <v/>
      </c>
      <c r="JQ43" s="2" t="str">
        <f>IF('Data Checking'!KC43="","",'Data Checking'!KC43)</f>
        <v/>
      </c>
      <c r="JR43" s="2" t="str">
        <f>IF('Data Checking'!KD43="","",'Data Checking'!KD43)</f>
        <v/>
      </c>
      <c r="JS43" s="2" t="str">
        <f>IF('Data Checking'!KE43="","",'Data Checking'!KE43)</f>
        <v/>
      </c>
      <c r="JT43" s="2" t="str">
        <f>IF('Data Checking'!KF43="","",'Data Checking'!KF43)</f>
        <v>surete</v>
      </c>
      <c r="JU43" s="2" t="str">
        <f>IF('Data Checking'!KG43="","",'Data Checking'!KG43)</f>
        <v>0</v>
      </c>
      <c r="JV43" s="2" t="str">
        <f>IF('Data Checking'!KH43="","",'Data Checking'!KH43)</f>
        <v>0</v>
      </c>
      <c r="JW43" s="2" t="str">
        <f>IF('Data Checking'!KI43="","",'Data Checking'!KI43)</f>
        <v>0</v>
      </c>
      <c r="JX43" s="2" t="str">
        <f>IF('Data Checking'!KJ43="","",'Data Checking'!KJ43)</f>
        <v>0</v>
      </c>
      <c r="JY43" s="2" t="str">
        <f>IF('Data Checking'!KK43="","",'Data Checking'!KK43)</f>
        <v>1</v>
      </c>
      <c r="JZ43" s="2" t="str">
        <f>IF('Data Checking'!KL43="","",'Data Checking'!KL43)</f>
        <v>0</v>
      </c>
      <c r="KA43" s="2" t="str">
        <f>IF('Data Checking'!KM43="","",'Data Checking'!KM43)</f>
        <v>0</v>
      </c>
      <c r="KB43" s="2" t="str">
        <f>IF('Data Checking'!KN43="","",'Data Checking'!KN43)</f>
        <v>0</v>
      </c>
      <c r="KC43" s="2" t="str">
        <f>IF('Data Checking'!KO43="","",'Data Checking'!KO43)</f>
        <v>0</v>
      </c>
      <c r="KD43" s="2" t="str">
        <f>IF('Data Checking'!KP43="","",'Data Checking'!KP43)</f>
        <v/>
      </c>
      <c r="KE43" s="2" t="str">
        <f>IF('Data Checking'!KQ43="","",'Data Checking'!KQ43)</f>
        <v/>
      </c>
      <c r="KF43" s="2" t="str">
        <f>IF('Data Checking'!KR43="","",'Data Checking'!KR43)</f>
        <v>non</v>
      </c>
      <c r="KG43" s="2" t="str">
        <f>IF('Data Checking'!KS43="","",'Data Checking'!KS43)</f>
        <v/>
      </c>
      <c r="KH43" s="2" t="str">
        <f>IF('Data Checking'!KT43="","",'Data Checking'!KT43)</f>
        <v/>
      </c>
      <c r="KI43" s="2" t="str">
        <f>IF('Data Checking'!KU43="","",'Data Checking'!KU43)</f>
        <v/>
      </c>
      <c r="KJ43" s="2" t="str">
        <f>IF('Data Checking'!KV43="","",'Data Checking'!KV43)</f>
        <v/>
      </c>
      <c r="KK43" s="2" t="str">
        <f>IF('Data Checking'!KW43="","",'Data Checking'!KW43)</f>
        <v/>
      </c>
      <c r="KL43" s="2" t="str">
        <f>IF('Data Checking'!KX43="","",'Data Checking'!KX43)</f>
        <v/>
      </c>
      <c r="KM43" s="2" t="str">
        <f>IF('Data Checking'!KY43="","",'Data Checking'!KY43)</f>
        <v/>
      </c>
      <c r="KN43" s="2" t="str">
        <f>IF('Data Checking'!KZ43="","",'Data Checking'!KZ43)</f>
        <v/>
      </c>
      <c r="KO43" s="2" t="str">
        <f>IF('Data Checking'!LA43="","",'Data Checking'!LA43)</f>
        <v/>
      </c>
      <c r="KP43" s="2" t="str">
        <f>IF('Data Checking'!LB43="","",'Data Checking'!LB43)</f>
        <v/>
      </c>
      <c r="KQ43" s="2" t="str">
        <f>IF('Data Checking'!LC43="","",'Data Checking'!LC43)</f>
        <v/>
      </c>
      <c r="KR43" s="2" t="str">
        <f>IF('Data Checking'!LD43="","",'Data Checking'!LD43)</f>
        <v/>
      </c>
      <c r="KS43" s="2" t="str">
        <f>IF('Data Checking'!LE43="","",'Data Checking'!LE43)</f>
        <v/>
      </c>
      <c r="KT43" s="2" t="str">
        <f>IF('Data Checking'!LF43="","",'Data Checking'!LF43)</f>
        <v/>
      </c>
      <c r="KU43" s="2" t="str">
        <f>IF('Data Checking'!LG43="","",'Data Checking'!LG43)</f>
        <v/>
      </c>
      <c r="KV43" s="2" t="str">
        <f>IF('Data Checking'!LH43="","",'Data Checking'!LH43)</f>
        <v/>
      </c>
      <c r="KW43" s="2" t="str">
        <f>IF('Data Checking'!LI43="","",'Data Checking'!LI43)</f>
        <v/>
      </c>
      <c r="KX43" s="2" t="str">
        <f>IF('Data Checking'!LJ43="","",'Data Checking'!LJ43)</f>
        <v/>
      </c>
      <c r="KY43" s="2" t="str">
        <f>IF('Data Checking'!LK43="","",'Data Checking'!LK43)</f>
        <v/>
      </c>
      <c r="KZ43" s="2" t="str">
        <f>IF('Data Checking'!LL43="","",'Data Checking'!LL43)</f>
        <v/>
      </c>
      <c r="LA43" s="2" t="str">
        <f>IF('Data Checking'!LM43="","",'Data Checking'!LM43)</f>
        <v/>
      </c>
      <c r="LB43" s="2" t="str">
        <f>IF('Data Checking'!LN43="","",'Data Checking'!LN43)</f>
        <v>non</v>
      </c>
      <c r="LC43" s="2" t="str">
        <f>IF('Data Checking'!LO43="","",'Data Checking'!LO43)</f>
        <v/>
      </c>
      <c r="LD43" s="2" t="str">
        <f>IF('Data Checking'!LP43="","",'Data Checking'!LP43)</f>
        <v/>
      </c>
      <c r="LE43" s="2" t="str">
        <f>IF('Data Checking'!LQ43="","",'Data Checking'!LQ43)</f>
        <v/>
      </c>
      <c r="LF43" s="2" t="str">
        <f>IF('Data Checking'!LR43="","",'Data Checking'!LR43)</f>
        <v/>
      </c>
      <c r="LG43" s="2" t="str">
        <f>IF('Data Checking'!LS43="","",'Data Checking'!LS43)</f>
        <v/>
      </c>
      <c r="LH43" s="2" t="str">
        <f>IF('Data Checking'!LT43="","",'Data Checking'!LT43)</f>
        <v/>
      </c>
      <c r="LI43" s="2" t="str">
        <f>IF('Data Checking'!LU43="","",'Data Checking'!LU43)</f>
        <v/>
      </c>
      <c r="LJ43" s="2" t="str">
        <f>IF('Data Checking'!LV43="","",'Data Checking'!LV43)</f>
        <v/>
      </c>
      <c r="LK43" s="2" t="str">
        <f>IF('Data Checking'!LW43="","",'Data Checking'!LW43)</f>
        <v/>
      </c>
      <c r="LL43" s="2" t="str">
        <f>IF('Data Checking'!LX43="","",'Data Checking'!LX43)</f>
        <v/>
      </c>
      <c r="LM43" s="2" t="str">
        <f>IF('Data Checking'!LY43="","",'Data Checking'!LY43)</f>
        <v/>
      </c>
      <c r="LN43" s="2" t="str">
        <f>IF('Data Checking'!LZ43="","",'Data Checking'!LZ43)</f>
        <v/>
      </c>
      <c r="LO43" s="2" t="str">
        <f>IF('Data Checking'!MA43="","",'Data Checking'!MA43)</f>
        <v/>
      </c>
      <c r="LP43" s="2" t="str">
        <f>IF('Data Checking'!MB43="","",'Data Checking'!MB43)</f>
        <v>oui</v>
      </c>
      <c r="LQ43" s="2" t="str">
        <f>IF('Data Checking'!MC43="","",'Data Checking'!MC43)</f>
        <v/>
      </c>
      <c r="LR43" s="2" t="str">
        <f>IF('Data Checking'!MD43="","",'Data Checking'!MD43)</f>
        <v xml:space="preserve">Avoir a manger et de l'eau c'est largement suffisant </v>
      </c>
      <c r="LS43" s="2">
        <f>IF('Data Checking'!ME43="","",'Data Checking'!ME43)</f>
        <v>170460448</v>
      </c>
      <c r="LT43" s="2" t="str">
        <f>IF('Data Checking'!MF43="","",'Data Checking'!MF43)</f>
        <v>0f201dbd-3829-4257-8465-475cfc00abbe</v>
      </c>
      <c r="LU43" s="2" t="str">
        <f>IF('Data Checking'!MG43="","",'Data Checking'!MG43)</f>
        <v>2021-04-08T14:13:02</v>
      </c>
      <c r="LV43" s="2" t="str">
        <f>IF('Data Checking'!MH43="","",'Data Checking'!MH43)</f>
        <v/>
      </c>
      <c r="LW43" s="2" t="str">
        <f>IF('Data Checking'!MI43="","",'Data Checking'!MI43)</f>
        <v>[]</v>
      </c>
      <c r="LX43" s="2" t="str">
        <f>IF('Data Checking'!MJ43="","",'Data Checking'!MJ43)</f>
        <v>submitted_via_web</v>
      </c>
      <c r="LY43" s="2" t="str">
        <f>IF('Data Checking'!MK43="","",'Data Checking'!MK43)</f>
        <v>reach_niger</v>
      </c>
      <c r="LZ43" s="2" t="str">
        <f>IF('Data Checking'!ML43="","",'Data Checking'!ML43)</f>
        <v/>
      </c>
      <c r="MA43" s="2">
        <f>IF('Data Checking'!MM43="","",'Data Checking'!MM43)</f>
        <v>55</v>
      </c>
    </row>
    <row r="44" spans="1:339" x14ac:dyDescent="0.3">
      <c r="A44" s="2" t="str">
        <f>IF('Data Checking'!D44="","",'Data Checking'!D44)</f>
        <v>2021-04-02T14:35:58.773+01:00</v>
      </c>
      <c r="B44" s="2" t="str">
        <f>IF('Data Checking'!E44="","",'Data Checking'!E44)</f>
        <v>2021-04-02T15:25:44.759+01:00</v>
      </c>
      <c r="C44" s="2" t="str">
        <f>IF('Data Checking'!M44="","",'Data Checking'!M44)</f>
        <v>2021-04-02</v>
      </c>
      <c r="D44" s="2" t="str">
        <f>IF('Data Checking'!N44="","",'Data Checking'!N44)</f>
        <v/>
      </c>
      <c r="E44" s="2" t="str">
        <f>IF('Data Checking'!O44="","",'Data Checking'!O44)</f>
        <v/>
      </c>
      <c r="F44" s="2" t="str">
        <f>IF('Data Checking'!R44="","",'Data Checking'!R44)</f>
        <v>Homme</v>
      </c>
      <c r="G44" s="2" t="str">
        <f>IF('Data Checking'!S44="","",'Data Checking'!S44)</f>
        <v>tillaberi</v>
      </c>
      <c r="H44" s="2" t="str">
        <f>IF('Data Checking'!T44="","",'Data Checking'!T44)</f>
        <v>dessa</v>
      </c>
      <c r="I44" s="2" t="str">
        <f>IF('Data Checking'!U44="","",'Data Checking'!U44)</f>
        <v>diomona</v>
      </c>
      <c r="J44" s="2" t="str">
        <f>IF('Data Checking'!V44="","",'Data Checking'!V44)</f>
        <v/>
      </c>
      <c r="K44" s="2" t="str">
        <f>IF('Data Checking'!W44="","",'Data Checking'!W44)</f>
        <v/>
      </c>
      <c r="L44" s="2" t="str">
        <f>IF('Data Checking'!X44="","",'Data Checking'!X44)</f>
        <v/>
      </c>
      <c r="M44" s="2" t="str">
        <f>IF('Data Checking'!Y44="","",'Data Checking'!Y44)</f>
        <v/>
      </c>
      <c r="N44" s="2" t="str">
        <f>IF('Data Checking'!Z44="","",'Data Checking'!Z44)</f>
        <v/>
      </c>
      <c r="O44" s="2" t="str">
        <f>IF('Data Checking'!AA44="","",'Data Checking'!AA44)</f>
        <v/>
      </c>
      <c r="P44" s="2" t="str">
        <f>IF('Data Checking'!AB44="","",'Data Checking'!AB44)</f>
        <v/>
      </c>
      <c r="Q44" s="2" t="str">
        <f>IF('Data Checking'!AC44="","",'Data Checking'!AC44)</f>
        <v/>
      </c>
      <c r="R44" s="2" t="str">
        <f>IF('Data Checking'!AD44="","",'Data Checking'!AD44)</f>
        <v>Homme</v>
      </c>
      <c r="S44" s="2" t="str">
        <f>IF('Data Checking'!AE44="","",'Data Checking'!AE44)</f>
        <v>67</v>
      </c>
      <c r="T44" s="2" t="str">
        <f>IF('Data Checking'!AF44="","",'Data Checking'!AF44)</f>
        <v>Hote</v>
      </c>
      <c r="U44" s="2" t="str">
        <f>IF('Data Checking'!AG44="","",'Data Checking'!AG44)</f>
        <v/>
      </c>
      <c r="V44" s="2" t="str">
        <f>IF('Data Checking'!AH44="","",'Data Checking'!AH44)</f>
        <v/>
      </c>
      <c r="W44" s="2" t="str">
        <f>IF('Data Checking'!AI44="","",'Data Checking'!AI44)</f>
        <v/>
      </c>
      <c r="X44" s="2" t="str">
        <f>IF('Data Checking'!AJ44="","",'Data Checking'!AJ44)</f>
        <v/>
      </c>
      <c r="Y44" s="2" t="str">
        <f>IF('Data Checking'!AK44="","",'Data Checking'!AK44)</f>
        <v/>
      </c>
      <c r="Z44" s="2" t="str">
        <f>IF('Data Checking'!AL44="","",'Data Checking'!AL44)</f>
        <v/>
      </c>
      <c r="AA44" s="2" t="str">
        <f>IF('Data Checking'!AM44="","",'Data Checking'!AM44)</f>
        <v/>
      </c>
      <c r="AB44" s="2" t="str">
        <f>IF('Data Checking'!AN44="","",'Data Checking'!AN44)</f>
        <v/>
      </c>
      <c r="AC44" s="2" t="str">
        <f>IF('Data Checking'!AO44="","",'Data Checking'!AO44)</f>
        <v/>
      </c>
      <c r="AD44" s="2" t="str">
        <f>IF('Data Checking'!AP44="","",'Data Checking'!AP44)</f>
        <v/>
      </c>
      <c r="AE44" s="2" t="str">
        <f>IF('Data Checking'!AQ44="","",'Data Checking'!AQ44)</f>
        <v/>
      </c>
      <c r="AF44" s="2" t="str">
        <f>IF('Data Checking'!AR44="","",'Data Checking'!AR44)</f>
        <v/>
      </c>
      <c r="AG44" s="2" t="str">
        <f>IF('Data Checking'!AS44="","",'Data Checking'!AS44)</f>
        <v>non</v>
      </c>
      <c r="AH44" s="2" t="str">
        <f>IF('Data Checking'!AT44="","",'Data Checking'!AT44)</f>
        <v/>
      </c>
      <c r="AI44" s="2" t="str">
        <f>IF('Data Checking'!AU44="","",'Data Checking'!AU44)</f>
        <v/>
      </c>
      <c r="AJ44" s="2" t="str">
        <f>IF('Data Checking'!AV44="","",'Data Checking'!AV44)</f>
        <v/>
      </c>
      <c r="AK44" s="2" t="str">
        <f>IF('Data Checking'!AW44="","",'Data Checking'!AW44)</f>
        <v/>
      </c>
      <c r="AL44" s="2" t="str">
        <f>IF('Data Checking'!AX44="","",'Data Checking'!AX44)</f>
        <v/>
      </c>
      <c r="AM44" s="2" t="str">
        <f>IF('Data Checking'!AY44="","",'Data Checking'!AY44)</f>
        <v/>
      </c>
      <c r="AN44" s="2" t="str">
        <f>IF('Data Checking'!AZ44="","",'Data Checking'!AZ44)</f>
        <v/>
      </c>
      <c r="AO44" s="2" t="str">
        <f>IF('Data Checking'!BA44="","",'Data Checking'!BA44)</f>
        <v/>
      </c>
      <c r="AP44" s="2" t="str">
        <f>IF('Data Checking'!BB44="","",'Data Checking'!BB44)</f>
        <v/>
      </c>
      <c r="AQ44" s="2" t="str">
        <f>IF('Data Checking'!BC44="","",'Data Checking'!BC44)</f>
        <v/>
      </c>
      <c r="AR44" s="2" t="str">
        <f>IF('Data Checking'!BD44="","",'Data Checking'!BD44)</f>
        <v/>
      </c>
      <c r="AS44" s="2" t="str">
        <f>IF('Data Checking'!BE44="","",'Data Checking'!BE44)</f>
        <v/>
      </c>
      <c r="AT44" s="2" t="str">
        <f>IF('Data Checking'!BF44="","",'Data Checking'!BF44)</f>
        <v/>
      </c>
      <c r="AU44" s="2" t="str">
        <f>IF('Data Checking'!BG44="","",'Data Checking'!BG44)</f>
        <v/>
      </c>
      <c r="AV44" s="2" t="str">
        <f>IF('Data Checking'!BH44="","",'Data Checking'!BH44)</f>
        <v/>
      </c>
      <c r="AW44" s="2" t="str">
        <f>IF('Data Checking'!BI44="","",'Data Checking'!BI44)</f>
        <v/>
      </c>
      <c r="AX44" s="2" t="str">
        <f>IF('Data Checking'!BJ44="","",'Data Checking'!BJ44)</f>
        <v/>
      </c>
      <c r="AY44" s="2" t="str">
        <f>IF('Data Checking'!BK44="","",'Data Checking'!BK44)</f>
        <v/>
      </c>
      <c r="AZ44" s="2" t="str">
        <f>IF('Data Checking'!BL44="","",'Data Checking'!BL44)</f>
        <v/>
      </c>
      <c r="BA44" s="2" t="str">
        <f>IF('Data Checking'!BM44="","",'Data Checking'!BM44)</f>
        <v/>
      </c>
      <c r="BB44" s="2" t="str">
        <f>IF('Data Checking'!BN44="","",'Data Checking'!BN44)</f>
        <v/>
      </c>
      <c r="BC44" s="2" t="str">
        <f>IF('Data Checking'!BO44="","",'Data Checking'!BO44)</f>
        <v/>
      </c>
      <c r="BD44" s="2" t="str">
        <f>IF('Data Checking'!BP44="","",'Data Checking'!BP44)</f>
        <v/>
      </c>
      <c r="BE44" s="2" t="str">
        <f>IF('Data Checking'!BQ44="","",'Data Checking'!BQ44)</f>
        <v/>
      </c>
      <c r="BF44" s="2" t="str">
        <f>IF('Data Checking'!BR44="","",'Data Checking'!BR44)</f>
        <v/>
      </c>
      <c r="BG44" s="2" t="str">
        <f>IF('Data Checking'!BS44="","",'Data Checking'!BS44)</f>
        <v/>
      </c>
      <c r="BH44" s="2" t="str">
        <f>IF('Data Checking'!BT44="","",'Data Checking'!BT44)</f>
        <v/>
      </c>
      <c r="BI44" s="2" t="str">
        <f>IF('Data Checking'!BU44="","",'Data Checking'!BU44)</f>
        <v/>
      </c>
      <c r="BJ44" s="2" t="str">
        <f>IF('Data Checking'!BV44="","",'Data Checking'!BV44)</f>
        <v/>
      </c>
      <c r="BK44" s="2" t="str">
        <f>IF('Data Checking'!BW44="","",'Data Checking'!BW44)</f>
        <v/>
      </c>
      <c r="BL44" s="2" t="str">
        <f>IF('Data Checking'!BX44="","",'Data Checking'!BX44)</f>
        <v/>
      </c>
      <c r="BM44" s="2" t="str">
        <f>IF('Data Checking'!BY44="","",'Data Checking'!BY44)</f>
        <v/>
      </c>
      <c r="BN44" s="2" t="str">
        <f>IF('Data Checking'!BZ44="","",'Data Checking'!BZ44)</f>
        <v/>
      </c>
      <c r="BO44" s="2" t="str">
        <f>IF('Data Checking'!CA44="","",'Data Checking'!CA44)</f>
        <v/>
      </c>
      <c r="BP44" s="2" t="str">
        <f>IF('Data Checking'!CB44="","",'Data Checking'!CB44)</f>
        <v/>
      </c>
      <c r="BQ44" s="2" t="str">
        <f>IF('Data Checking'!CC44="","",'Data Checking'!CC44)</f>
        <v>non</v>
      </c>
      <c r="BR44" s="2" t="str">
        <f>IF('Data Checking'!CD44="","",'Data Checking'!CD44)</f>
        <v/>
      </c>
      <c r="BS44" s="2" t="str">
        <f>IF('Data Checking'!CE44="","",'Data Checking'!CE44)</f>
        <v/>
      </c>
      <c r="BT44" s="2" t="str">
        <f>IF('Data Checking'!CF44="","",'Data Checking'!CF44)</f>
        <v/>
      </c>
      <c r="BU44" s="2" t="str">
        <f>IF('Data Checking'!CG44="","",'Data Checking'!CG44)</f>
        <v/>
      </c>
      <c r="BV44" s="2" t="str">
        <f>IF('Data Checking'!CH44="","",'Data Checking'!CH44)</f>
        <v/>
      </c>
      <c r="BW44" s="2" t="str">
        <f>IF('Data Checking'!CI44="","",'Data Checking'!CI44)</f>
        <v/>
      </c>
      <c r="BX44" s="2" t="str">
        <f>IF('Data Checking'!CJ44="","",'Data Checking'!CJ44)</f>
        <v/>
      </c>
      <c r="BY44" s="2" t="str">
        <f>IF('Data Checking'!CK44="","",'Data Checking'!CK44)</f>
        <v/>
      </c>
      <c r="BZ44" s="2" t="str">
        <f>IF('Data Checking'!CL44="","",'Data Checking'!CL44)</f>
        <v/>
      </c>
      <c r="CA44" s="2" t="str">
        <f>IF('Data Checking'!CM44="","",'Data Checking'!CM44)</f>
        <v/>
      </c>
      <c r="CB44" s="2" t="str">
        <f>IF('Data Checking'!CN44="","",'Data Checking'!CN44)</f>
        <v/>
      </c>
      <c r="CC44" s="2" t="str">
        <f>IF('Data Checking'!CO44="","",'Data Checking'!CO44)</f>
        <v/>
      </c>
      <c r="CD44" s="2" t="str">
        <f>IF('Data Checking'!CP44="","",'Data Checking'!CP44)</f>
        <v/>
      </c>
      <c r="CE44" s="2" t="str">
        <f>IF('Data Checking'!CQ44="","",'Data Checking'!CQ44)</f>
        <v/>
      </c>
      <c r="CF44" s="2" t="str">
        <f>IF('Data Checking'!CR44="","",'Data Checking'!CR44)</f>
        <v/>
      </c>
      <c r="CG44" s="2" t="str">
        <f>IF('Data Checking'!CS44="","",'Data Checking'!CS44)</f>
        <v/>
      </c>
      <c r="CH44" s="2" t="str">
        <f>IF('Data Checking'!CT44="","",'Data Checking'!CT44)</f>
        <v/>
      </c>
      <c r="CI44" s="2" t="str">
        <f>IF('Data Checking'!CU44="","",'Data Checking'!CU44)</f>
        <v/>
      </c>
      <c r="CJ44" s="2" t="str">
        <f>IF('Data Checking'!CV44="","",'Data Checking'!CV44)</f>
        <v/>
      </c>
      <c r="CK44" s="2" t="str">
        <f>IF('Data Checking'!CW44="","",'Data Checking'!CW44)</f>
        <v/>
      </c>
      <c r="CL44" s="2" t="str">
        <f>IF('Data Checking'!CX44="","",'Data Checking'!CX44)</f>
        <v/>
      </c>
      <c r="CM44" s="2" t="str">
        <f>IF('Data Checking'!CY44="","",'Data Checking'!CY44)</f>
        <v/>
      </c>
      <c r="CN44" s="2" t="str">
        <f>IF('Data Checking'!CZ44="","",'Data Checking'!CZ44)</f>
        <v/>
      </c>
      <c r="CO44" s="2" t="str">
        <f>IF('Data Checking'!DA44="","",'Data Checking'!DA44)</f>
        <v/>
      </c>
      <c r="CP44" s="2" t="str">
        <f>IF('Data Checking'!DB44="","",'Data Checking'!DB44)</f>
        <v/>
      </c>
      <c r="CQ44" s="2" t="str">
        <f>IF('Data Checking'!DC44="","",'Data Checking'!DC44)</f>
        <v/>
      </c>
      <c r="CR44" s="2" t="str">
        <f>IF('Data Checking'!DD44="","",'Data Checking'!DD44)</f>
        <v/>
      </c>
      <c r="CS44" s="2" t="str">
        <f>IF('Data Checking'!DE44="","",'Data Checking'!DE44)</f>
        <v/>
      </c>
      <c r="CT44" s="2" t="str">
        <f>IF('Data Checking'!DF44="","",'Data Checking'!DF44)</f>
        <v/>
      </c>
      <c r="CU44" s="2" t="str">
        <f>IF('Data Checking'!DG44="","",'Data Checking'!DG44)</f>
        <v/>
      </c>
      <c r="CV44" s="2" t="str">
        <f>IF('Data Checking'!DH44="","",'Data Checking'!DH44)</f>
        <v/>
      </c>
      <c r="CW44" s="2" t="str">
        <f>IF('Data Checking'!DI44="","",'Data Checking'!DI44)</f>
        <v/>
      </c>
      <c r="CX44" s="2" t="str">
        <f>IF('Data Checking'!DJ44="","",'Data Checking'!DJ44)</f>
        <v/>
      </c>
      <c r="CY44" s="2" t="str">
        <f>IF('Data Checking'!DK44="","",'Data Checking'!DK44)</f>
        <v/>
      </c>
      <c r="CZ44" s="2" t="str">
        <f>IF('Data Checking'!DL44="","",'Data Checking'!DL44)</f>
        <v/>
      </c>
      <c r="DA44" s="2" t="str">
        <f>IF('Data Checking'!DM44="","",'Data Checking'!DM44)</f>
        <v/>
      </c>
      <c r="DB44" s="2" t="str">
        <f>IF('Data Checking'!DN44="","",'Data Checking'!DN44)</f>
        <v/>
      </c>
      <c r="DC44" s="2" t="str">
        <f>IF('Data Checking'!DO44="","",'Data Checking'!DO44)</f>
        <v/>
      </c>
      <c r="DD44" s="2" t="str">
        <f>IF('Data Checking'!DP44="","",'Data Checking'!DP44)</f>
        <v/>
      </c>
      <c r="DE44" s="2" t="str">
        <f>IF('Data Checking'!DQ44="","",'Data Checking'!DQ44)</f>
        <v/>
      </c>
      <c r="DF44" s="2" t="str">
        <f>IF('Data Checking'!DR44="","",'Data Checking'!DR44)</f>
        <v/>
      </c>
      <c r="DG44" s="2" t="str">
        <f>IF('Data Checking'!DS44="","",'Data Checking'!DS44)</f>
        <v/>
      </c>
      <c r="DH44" s="2" t="str">
        <f>IF('Data Checking'!DT44="","",'Data Checking'!DT44)</f>
        <v/>
      </c>
      <c r="DI44" s="2" t="str">
        <f>IF('Data Checking'!DU44="","",'Data Checking'!DU44)</f>
        <v/>
      </c>
      <c r="DJ44" s="2" t="str">
        <f>IF('Data Checking'!DV44="","",'Data Checking'!DV44)</f>
        <v/>
      </c>
      <c r="DK44" s="2" t="str">
        <f>IF('Data Checking'!DW44="","",'Data Checking'!DW44)</f>
        <v/>
      </c>
      <c r="DL44" s="2" t="str">
        <f>IF('Data Checking'!DX44="","",'Data Checking'!DX44)</f>
        <v/>
      </c>
      <c r="DM44" s="2" t="str">
        <f>IF('Data Checking'!DY44="","",'Data Checking'!DY44)</f>
        <v/>
      </c>
      <c r="DN44" s="2" t="str">
        <f>IF('Data Checking'!DZ44="","",'Data Checking'!DZ44)</f>
        <v/>
      </c>
      <c r="DO44" s="2" t="str">
        <f>IF('Data Checking'!EA44="","",'Data Checking'!EA44)</f>
        <v/>
      </c>
      <c r="DP44" s="2" t="str">
        <f>IF('Data Checking'!EB44="","",'Data Checking'!EB44)</f>
        <v/>
      </c>
      <c r="DQ44" s="2" t="str">
        <f>IF('Data Checking'!EC44="","",'Data Checking'!EC44)</f>
        <v/>
      </c>
      <c r="DR44" s="2" t="str">
        <f>IF('Data Checking'!ED44="","",'Data Checking'!ED44)</f>
        <v/>
      </c>
      <c r="DS44" s="2" t="str">
        <f>IF('Data Checking'!EE44="","",'Data Checking'!EE44)</f>
        <v/>
      </c>
      <c r="DT44" s="2" t="str">
        <f>IF('Data Checking'!EF44="","",'Data Checking'!EF44)</f>
        <v/>
      </c>
      <c r="DU44" s="2" t="str">
        <f>IF('Data Checking'!EG44="","",'Data Checking'!EG44)</f>
        <v/>
      </c>
      <c r="DV44" s="2" t="str">
        <f>IF('Data Checking'!EH44="","",'Data Checking'!EH44)</f>
        <v/>
      </c>
      <c r="DW44" s="2" t="str">
        <f>IF('Data Checking'!EI44="","",'Data Checking'!EI44)</f>
        <v/>
      </c>
      <c r="DX44" s="2" t="str">
        <f>IF('Data Checking'!EJ44="","",'Data Checking'!EJ44)</f>
        <v/>
      </c>
      <c r="DY44" s="2" t="str">
        <f>IF('Data Checking'!EK44="","",'Data Checking'!EK44)</f>
        <v/>
      </c>
      <c r="DZ44" s="2" t="str">
        <f>IF('Data Checking'!EL44="","",'Data Checking'!EL44)</f>
        <v>Integration_com_hote dplct_abords_com</v>
      </c>
      <c r="EA44" s="2" t="str">
        <f>IF('Data Checking'!EM44="","",'Data Checking'!EM44)</f>
        <v>1</v>
      </c>
      <c r="EB44" s="2" t="str">
        <f>IF('Data Checking'!EN44="","",'Data Checking'!EN44)</f>
        <v>1</v>
      </c>
      <c r="EC44" s="2" t="str">
        <f>IF('Data Checking'!EO44="","",'Data Checking'!EO44)</f>
        <v>0</v>
      </c>
      <c r="ED44" s="2" t="str">
        <f>IF('Data Checking'!EP44="","",'Data Checking'!EP44)</f>
        <v>0</v>
      </c>
      <c r="EE44" s="2" t="str">
        <f>IF('Data Checking'!EQ44="","",'Data Checking'!EQ44)</f>
        <v>0</v>
      </c>
      <c r="EF44" s="2" t="str">
        <f>IF('Data Checking'!ER44="","",'Data Checking'!ER44)</f>
        <v>0</v>
      </c>
      <c r="EG44" s="2" t="str">
        <f>IF('Data Checking'!ES44="","",'Data Checking'!ES44)</f>
        <v>0</v>
      </c>
      <c r="EH44" s="2" t="str">
        <f>IF('Data Checking'!ET44="","",'Data Checking'!ET44)</f>
        <v>0</v>
      </c>
      <c r="EI44" s="2" t="str">
        <f>IF('Data Checking'!EU44="","",'Data Checking'!EU44)</f>
        <v>0</v>
      </c>
      <c r="EJ44" s="2" t="str">
        <f>IF('Data Checking'!EV44="","",'Data Checking'!EV44)</f>
        <v/>
      </c>
      <c r="EK44" s="2" t="str">
        <f>IF('Data Checking'!EW44="","",'Data Checking'!EW44)</f>
        <v/>
      </c>
      <c r="EL44" s="2" t="str">
        <f>IF('Data Checking'!EX44="","",'Data Checking'!EX44)</f>
        <v>comite_protection femmes_elite</v>
      </c>
      <c r="EM44" s="2" t="str">
        <f>IF('Data Checking'!EY44="","",'Data Checking'!EY44)</f>
        <v>1</v>
      </c>
      <c r="EN44" s="2" t="str">
        <f>IF('Data Checking'!EZ44="","",'Data Checking'!EZ44)</f>
        <v>1</v>
      </c>
      <c r="EO44" s="2" t="str">
        <f>IF('Data Checking'!FA44="","",'Data Checking'!FA44)</f>
        <v>0</v>
      </c>
      <c r="EP44" s="2" t="str">
        <f>IF('Data Checking'!FB44="","",'Data Checking'!FB44)</f>
        <v>0</v>
      </c>
      <c r="EQ44" s="2" t="str">
        <f>IF('Data Checking'!FC44="","",'Data Checking'!FC44)</f>
        <v>0</v>
      </c>
      <c r="ER44" s="2" t="str">
        <f>IF('Data Checking'!FD44="","",'Data Checking'!FD44)</f>
        <v>0</v>
      </c>
      <c r="ES44" s="2" t="str">
        <f>IF('Data Checking'!FE44="","",'Data Checking'!FE44)</f>
        <v>0</v>
      </c>
      <c r="ET44" s="2" t="str">
        <f>IF('Data Checking'!FF44="","",'Data Checking'!FF44)</f>
        <v>0</v>
      </c>
      <c r="EU44" s="2" t="str">
        <f>IF('Data Checking'!FG44="","",'Data Checking'!FG44)</f>
        <v>0</v>
      </c>
      <c r="EV44" s="2" t="str">
        <f>IF('Data Checking'!FH44="","",'Data Checking'!FH44)</f>
        <v>0</v>
      </c>
      <c r="EW44" s="2" t="str">
        <f>IF('Data Checking'!FI44="","",'Data Checking'!FI44)</f>
        <v/>
      </c>
      <c r="EX44" s="2" t="str">
        <f>IF('Data Checking'!FJ44="","",'Data Checking'!FJ44)</f>
        <v>oui</v>
      </c>
      <c r="EY44" s="2" t="str">
        <f>IF('Data Checking'!FK44="","",'Data Checking'!FK44)</f>
        <v>Chef_village Differents_comites_villageois</v>
      </c>
      <c r="EZ44" s="2" t="str">
        <f>IF('Data Checking'!FL44="","",'Data Checking'!FL44)</f>
        <v>0</v>
      </c>
      <c r="FA44" s="2" t="str">
        <f>IF('Data Checking'!FM44="","",'Data Checking'!FM44)</f>
        <v>0</v>
      </c>
      <c r="FB44" s="2" t="str">
        <f>IF('Data Checking'!FN44="","",'Data Checking'!FN44)</f>
        <v>0</v>
      </c>
      <c r="FC44" s="2" t="str">
        <f>IF('Data Checking'!FO44="","",'Data Checking'!FO44)</f>
        <v>0</v>
      </c>
      <c r="FD44" s="2" t="str">
        <f>IF('Data Checking'!FP44="","",'Data Checking'!FP44)</f>
        <v>1</v>
      </c>
      <c r="FE44" s="2" t="str">
        <f>IF('Data Checking'!FQ44="","",'Data Checking'!FQ44)</f>
        <v>0</v>
      </c>
      <c r="FF44" s="2" t="str">
        <f>IF('Data Checking'!FR44="","",'Data Checking'!FR44)</f>
        <v>0</v>
      </c>
      <c r="FG44" s="2" t="str">
        <f>IF('Data Checking'!FS44="","",'Data Checking'!FS44)</f>
        <v>0</v>
      </c>
      <c r="FH44" s="2" t="str">
        <f>IF('Data Checking'!FT44="","",'Data Checking'!FT44)</f>
        <v>1</v>
      </c>
      <c r="FI44" s="2" t="str">
        <f>IF('Data Checking'!FU44="","",'Data Checking'!FU44)</f>
        <v>0</v>
      </c>
      <c r="FJ44" s="2" t="str">
        <f>IF('Data Checking'!FV44="","",'Data Checking'!FV44)</f>
        <v>0</v>
      </c>
      <c r="FK44" s="2" t="str">
        <f>IF('Data Checking'!FW44="","",'Data Checking'!FW44)</f>
        <v>0</v>
      </c>
      <c r="FL44" s="2" t="str">
        <f>IF('Data Checking'!FX44="","",'Data Checking'!FX44)</f>
        <v>0</v>
      </c>
      <c r="FM44" s="2" t="str">
        <f>IF('Data Checking'!FY44="","",'Data Checking'!FY44)</f>
        <v>0</v>
      </c>
      <c r="FN44" s="2" t="str">
        <f>IF('Data Checking'!FZ44="","",'Data Checking'!FZ44)</f>
        <v/>
      </c>
      <c r="FO44" s="2" t="str">
        <f>IF('Data Checking'!GA44="","",'Data Checking'!GA44)</f>
        <v>oui_ensemble</v>
      </c>
      <c r="FP44" s="2" t="str">
        <f>IF('Data Checking'!GB44="","",'Data Checking'!GB44)</f>
        <v>oui_ensemble</v>
      </c>
      <c r="FQ44" s="2" t="str">
        <f>IF('Data Checking'!GC44="","",'Data Checking'!GC44)</f>
        <v/>
      </c>
      <c r="FR44" s="2" t="str">
        <f>IF('Data Checking'!GD44="","",'Data Checking'!GD44)</f>
        <v/>
      </c>
      <c r="FS44" s="2" t="str">
        <f>IF('Data Checking'!GE44="","",'Data Checking'!GE44)</f>
        <v/>
      </c>
      <c r="FT44" s="2" t="str">
        <f>IF('Data Checking'!GF44="","",'Data Checking'!GF44)</f>
        <v/>
      </c>
      <c r="FU44" s="2" t="str">
        <f>IF('Data Checking'!GG44="","",'Data Checking'!GG44)</f>
        <v/>
      </c>
      <c r="FV44" s="2" t="str">
        <f>IF('Data Checking'!GH44="","",'Data Checking'!GH44)</f>
        <v/>
      </c>
      <c r="FW44" s="2" t="str">
        <f>IF('Data Checking'!GI44="","",'Data Checking'!GI44)</f>
        <v/>
      </c>
      <c r="FX44" s="2" t="str">
        <f>IF('Data Checking'!GJ44="","",'Data Checking'!GJ44)</f>
        <v/>
      </c>
      <c r="FY44" s="2" t="str">
        <f>IF('Data Checking'!GK44="","",'Data Checking'!GK44)</f>
        <v/>
      </c>
      <c r="FZ44" s="2" t="str">
        <f>IF('Data Checking'!GL44="","",'Data Checking'!GL44)</f>
        <v/>
      </c>
      <c r="GA44" s="2" t="str">
        <f>IF('Data Checking'!GM44="","",'Data Checking'!GM44)</f>
        <v>ensemble</v>
      </c>
      <c r="GB44" s="2" t="str">
        <f>IF('Data Checking'!GN44="","",'Data Checking'!GN44)</f>
        <v>ensemble</v>
      </c>
      <c r="GC44" s="2" t="str">
        <f>IF('Data Checking'!GO44="","",'Data Checking'!GO44)</f>
        <v>Services_de_sante</v>
      </c>
      <c r="GD44" s="2" t="str">
        <f>IF('Data Checking'!GP44="","",'Data Checking'!GP44)</f>
        <v>0</v>
      </c>
      <c r="GE44" s="2" t="str">
        <f>IF('Data Checking'!GQ44="","",'Data Checking'!GQ44)</f>
        <v>0</v>
      </c>
      <c r="GF44" s="2" t="str">
        <f>IF('Data Checking'!GR44="","",'Data Checking'!GR44)</f>
        <v>0</v>
      </c>
      <c r="GG44" s="2" t="str">
        <f>IF('Data Checking'!GS44="","",'Data Checking'!GS44)</f>
        <v>1</v>
      </c>
      <c r="GH44" s="2" t="str">
        <f>IF('Data Checking'!GT44="","",'Data Checking'!GT44)</f>
        <v>0</v>
      </c>
      <c r="GI44" s="2" t="str">
        <f>IF('Data Checking'!GU44="","",'Data Checking'!GU44)</f>
        <v>0</v>
      </c>
      <c r="GJ44" s="2" t="str">
        <f>IF('Data Checking'!GV44="","",'Data Checking'!GV44)</f>
        <v>0</v>
      </c>
      <c r="GK44" s="2" t="str">
        <f>IF('Data Checking'!GW44="","",'Data Checking'!GW44)</f>
        <v>0</v>
      </c>
      <c r="GL44" s="2" t="str">
        <f>IF('Data Checking'!GX44="","",'Data Checking'!GX44)</f>
        <v>0</v>
      </c>
      <c r="GM44" s="2" t="str">
        <f>IF('Data Checking'!GY44="","",'Data Checking'!GY44)</f>
        <v/>
      </c>
      <c r="GN44" s="2" t="str">
        <f>IF('Data Checking'!GZ44="","",'Data Checking'!GZ44)</f>
        <v>oui_ensemble</v>
      </c>
      <c r="GO44" s="2" t="str">
        <f>IF('Data Checking'!HA44="","",'Data Checking'!HA44)</f>
        <v>oui_ensemble</v>
      </c>
      <c r="GP44" s="2" t="str">
        <f>IF('Data Checking'!HB44="","",'Data Checking'!HB44)</f>
        <v>amelioration_futur repond_besoins_pop permet_obtenir_conseils</v>
      </c>
      <c r="GQ44" s="2" t="str">
        <f>IF('Data Checking'!HC44="","",'Data Checking'!HC44)</f>
        <v>1</v>
      </c>
      <c r="GR44" s="2" t="str">
        <f>IF('Data Checking'!HD44="","",'Data Checking'!HD44)</f>
        <v>1</v>
      </c>
      <c r="GS44" s="2" t="str">
        <f>IF('Data Checking'!HE44="","",'Data Checking'!HE44)</f>
        <v>1</v>
      </c>
      <c r="GT44" s="2" t="str">
        <f>IF('Data Checking'!HF44="","",'Data Checking'!HF44)</f>
        <v>0</v>
      </c>
      <c r="GU44" s="2" t="str">
        <f>IF('Data Checking'!HG44="","",'Data Checking'!HG44)</f>
        <v>0</v>
      </c>
      <c r="GV44" s="2" t="str">
        <f>IF('Data Checking'!HH44="","",'Data Checking'!HH44)</f>
        <v>0</v>
      </c>
      <c r="GW44" s="2" t="str">
        <f>IF('Data Checking'!HI44="","",'Data Checking'!HI44)</f>
        <v>0</v>
      </c>
      <c r="GX44" s="2" t="str">
        <f>IF('Data Checking'!HJ44="","",'Data Checking'!HJ44)</f>
        <v>0</v>
      </c>
      <c r="GY44" s="2" t="str">
        <f>IF('Data Checking'!HK44="","",'Data Checking'!HK44)</f>
        <v/>
      </c>
      <c r="GZ44" s="2" t="str">
        <f>IF('Data Checking'!HL44="","",'Data Checking'!HL44)</f>
        <v/>
      </c>
      <c r="HA44" s="2" t="str">
        <f>IF('Data Checking'!HM44="","",'Data Checking'!HM44)</f>
        <v/>
      </c>
      <c r="HB44" s="2" t="str">
        <f>IF('Data Checking'!HN44="","",'Data Checking'!HN44)</f>
        <v/>
      </c>
      <c r="HC44" s="2" t="str">
        <f>IF('Data Checking'!HO44="","",'Data Checking'!HO44)</f>
        <v/>
      </c>
      <c r="HD44" s="2" t="str">
        <f>IF('Data Checking'!HP44="","",'Data Checking'!HP44)</f>
        <v/>
      </c>
      <c r="HE44" s="2" t="str">
        <f>IF('Data Checking'!HQ44="","",'Data Checking'!HQ44)</f>
        <v/>
      </c>
      <c r="HF44" s="2" t="str">
        <f>IF('Data Checking'!HR44="","",'Data Checking'!HR44)</f>
        <v/>
      </c>
      <c r="HG44" s="2" t="str">
        <f>IF('Data Checking'!HS44="","",'Data Checking'!HS44)</f>
        <v/>
      </c>
      <c r="HH44" s="2" t="str">
        <f>IF('Data Checking'!HT44="","",'Data Checking'!HT44)</f>
        <v/>
      </c>
      <c r="HI44" s="2" t="str">
        <f>IF('Data Checking'!HU44="","",'Data Checking'!HU44)</f>
        <v>non</v>
      </c>
      <c r="HJ44" s="2" t="str">
        <f>IF('Data Checking'!HV44="","",'Data Checking'!HV44)</f>
        <v/>
      </c>
      <c r="HK44" s="2" t="str">
        <f>IF('Data Checking'!HW44="","",'Data Checking'!HW44)</f>
        <v/>
      </c>
      <c r="HL44" s="2" t="str">
        <f>IF('Data Checking'!HX44="","",'Data Checking'!HX44)</f>
        <v/>
      </c>
      <c r="HM44" s="2" t="str">
        <f>IF('Data Checking'!HY44="","",'Data Checking'!HY44)</f>
        <v/>
      </c>
      <c r="HN44" s="2" t="str">
        <f>IF('Data Checking'!HZ44="","",'Data Checking'!HZ44)</f>
        <v/>
      </c>
      <c r="HO44" s="2" t="str">
        <f>IF('Data Checking'!IA44="","",'Data Checking'!IA44)</f>
        <v/>
      </c>
      <c r="HP44" s="2" t="str">
        <f>IF('Data Checking'!IB44="","",'Data Checking'!IB44)</f>
        <v/>
      </c>
      <c r="HQ44" s="2" t="str">
        <f>IF('Data Checking'!IC44="","",'Data Checking'!IC44)</f>
        <v/>
      </c>
      <c r="HR44" s="2" t="str">
        <f>IF('Data Checking'!ID44="","",'Data Checking'!ID44)</f>
        <v/>
      </c>
      <c r="HS44" s="2" t="str">
        <f>IF('Data Checking'!IE44="","",'Data Checking'!IE44)</f>
        <v/>
      </c>
      <c r="HT44" s="2" t="str">
        <f>IF('Data Checking'!IF44="","",'Data Checking'!IF44)</f>
        <v/>
      </c>
      <c r="HU44" s="2" t="str">
        <f>IF('Data Checking'!IG44="","",'Data Checking'!IG44)</f>
        <v/>
      </c>
      <c r="HV44" s="2" t="str">
        <f>IF('Data Checking'!IH44="","",'Data Checking'!IH44)</f>
        <v>oui</v>
      </c>
      <c r="HW44" s="2" t="str">
        <f>IF('Data Checking'!II44="","",'Data Checking'!II44)</f>
        <v/>
      </c>
      <c r="HX44" s="2" t="str">
        <f>IF('Data Checking'!IJ44="","",'Data Checking'!IJ44)</f>
        <v/>
      </c>
      <c r="HY44" s="2" t="str">
        <f>IF('Data Checking'!IK44="","",'Data Checking'!IK44)</f>
        <v/>
      </c>
      <c r="HZ44" s="2" t="str">
        <f>IF('Data Checking'!IL44="","",'Data Checking'!IL44)</f>
        <v/>
      </c>
      <c r="IA44" s="2" t="str">
        <f>IF('Data Checking'!IM44="","",'Data Checking'!IM44)</f>
        <v/>
      </c>
      <c r="IB44" s="2" t="str">
        <f>IF('Data Checking'!IN44="","",'Data Checking'!IN44)</f>
        <v/>
      </c>
      <c r="IC44" s="2" t="str">
        <f>IF('Data Checking'!IO44="","",'Data Checking'!IO44)</f>
        <v/>
      </c>
      <c r="ID44" s="2" t="str">
        <f>IF('Data Checking'!IP44="","",'Data Checking'!IP44)</f>
        <v/>
      </c>
      <c r="IE44" s="2" t="str">
        <f>IF('Data Checking'!IQ44="","",'Data Checking'!IQ44)</f>
        <v/>
      </c>
      <c r="IF44" s="2" t="str">
        <f>IF('Data Checking'!IR44="","",'Data Checking'!IR44)</f>
        <v/>
      </c>
      <c r="IG44" s="2" t="str">
        <f>IF('Data Checking'!IS44="","",'Data Checking'!IS44)</f>
        <v/>
      </c>
      <c r="IH44" s="2" t="str">
        <f>IF('Data Checking'!IT44="","",'Data Checking'!IT44)</f>
        <v/>
      </c>
      <c r="II44" s="2" t="str">
        <f>IF('Data Checking'!IU44="","",'Data Checking'!IU44)</f>
        <v/>
      </c>
      <c r="IJ44" s="2" t="str">
        <f>IF('Data Checking'!IV44="","",'Data Checking'!IV44)</f>
        <v/>
      </c>
      <c r="IK44" s="2" t="str">
        <f>IF('Data Checking'!IW44="","",'Data Checking'!IW44)</f>
        <v/>
      </c>
      <c r="IL44" s="2" t="str">
        <f>IF('Data Checking'!IX44="","",'Data Checking'!IX44)</f>
        <v/>
      </c>
      <c r="IM44" s="2" t="str">
        <f>IF('Data Checking'!IY44="","",'Data Checking'!IY44)</f>
        <v/>
      </c>
      <c r="IN44" s="2" t="str">
        <f>IF('Data Checking'!IZ44="","",'Data Checking'!IZ44)</f>
        <v>1</v>
      </c>
      <c r="IO44" s="2" t="str">
        <f>IF('Data Checking'!JA44="","",'Data Checking'!JA44)</f>
        <v>Services_medicaux</v>
      </c>
      <c r="IP44" s="2" t="str">
        <f>IF('Data Checking'!JB44="","",'Data Checking'!JB44)</f>
        <v>0</v>
      </c>
      <c r="IQ44" s="2" t="str">
        <f>IF('Data Checking'!JC44="","",'Data Checking'!JC44)</f>
        <v>1</v>
      </c>
      <c r="IR44" s="2" t="str">
        <f>IF('Data Checking'!JD44="","",'Data Checking'!JD44)</f>
        <v>0</v>
      </c>
      <c r="IS44" s="2" t="str">
        <f>IF('Data Checking'!JE44="","",'Data Checking'!JE44)</f>
        <v>0</v>
      </c>
      <c r="IT44" s="2" t="str">
        <f>IF('Data Checking'!JF44="","",'Data Checking'!JF44)</f>
        <v>0</v>
      </c>
      <c r="IU44" s="2" t="str">
        <f>IF('Data Checking'!JG44="","",'Data Checking'!JG44)</f>
        <v>0</v>
      </c>
      <c r="IV44" s="2" t="str">
        <f>IF('Data Checking'!JH44="","",'Data Checking'!JH44)</f>
        <v>0</v>
      </c>
      <c r="IW44" s="2" t="str">
        <f>IF('Data Checking'!JI44="","",'Data Checking'!JI44)</f>
        <v>0</v>
      </c>
      <c r="IX44" s="2" t="str">
        <f>IF('Data Checking'!JJ44="","",'Data Checking'!JJ44)</f>
        <v>0</v>
      </c>
      <c r="IY44" s="2" t="str">
        <f>IF('Data Checking'!JK44="","",'Data Checking'!JK44)</f>
        <v>0</v>
      </c>
      <c r="IZ44" s="2" t="str">
        <f>IF('Data Checking'!JL44="","",'Data Checking'!JL44)</f>
        <v/>
      </c>
      <c r="JA44" s="2" t="str">
        <f>IF('Data Checking'!JM44="","",'Data Checking'!JM44)</f>
        <v>reorientation</v>
      </c>
      <c r="JB44" s="2" t="str">
        <f>IF('Data Checking'!JN44="","",'Data Checking'!JN44)</f>
        <v>0</v>
      </c>
      <c r="JC44" s="2" t="str">
        <f>IF('Data Checking'!JO44="","",'Data Checking'!JO44)</f>
        <v>1</v>
      </c>
      <c r="JD44" s="2" t="str">
        <f>IF('Data Checking'!JP44="","",'Data Checking'!JP44)</f>
        <v>0</v>
      </c>
      <c r="JE44" s="2" t="str">
        <f>IF('Data Checking'!JQ44="","",'Data Checking'!JQ44)</f>
        <v>0</v>
      </c>
      <c r="JF44" s="2" t="str">
        <f>IF('Data Checking'!JR44="","",'Data Checking'!JR44)</f>
        <v>0</v>
      </c>
      <c r="JG44" s="2" t="str">
        <f>IF('Data Checking'!JS44="","",'Data Checking'!JS44)</f>
        <v>0</v>
      </c>
      <c r="JH44" s="2" t="str">
        <f>IF('Data Checking'!JT44="","",'Data Checking'!JT44)</f>
        <v/>
      </c>
      <c r="JI44" s="2" t="str">
        <f>IF('Data Checking'!JU44="","",'Data Checking'!JU44)</f>
        <v/>
      </c>
      <c r="JJ44" s="2" t="str">
        <f>IF('Data Checking'!JV44="","",'Data Checking'!JV44)</f>
        <v/>
      </c>
      <c r="JK44" s="2" t="str">
        <f>IF('Data Checking'!JW44="","",'Data Checking'!JW44)</f>
        <v/>
      </c>
      <c r="JL44" s="2" t="str">
        <f>IF('Data Checking'!JX44="","",'Data Checking'!JX44)</f>
        <v/>
      </c>
      <c r="JM44" s="2" t="str">
        <f>IF('Data Checking'!JY44="","",'Data Checking'!JY44)</f>
        <v/>
      </c>
      <c r="JN44" s="2" t="str">
        <f>IF('Data Checking'!JZ44="","",'Data Checking'!JZ44)</f>
        <v/>
      </c>
      <c r="JO44" s="2" t="str">
        <f>IF('Data Checking'!KA44="","",'Data Checking'!KA44)</f>
        <v/>
      </c>
      <c r="JP44" s="2" t="str">
        <f>IF('Data Checking'!KB44="","",'Data Checking'!KB44)</f>
        <v/>
      </c>
      <c r="JQ44" s="2" t="str">
        <f>IF('Data Checking'!KC44="","",'Data Checking'!KC44)</f>
        <v/>
      </c>
      <c r="JR44" s="2" t="str">
        <f>IF('Data Checking'!KD44="","",'Data Checking'!KD44)</f>
        <v/>
      </c>
      <c r="JS44" s="2" t="str">
        <f>IF('Data Checking'!KE44="","",'Data Checking'!KE44)</f>
        <v/>
      </c>
      <c r="JT44" s="2" t="str">
        <f>IF('Data Checking'!KF44="","",'Data Checking'!KF44)</f>
        <v>medical</v>
      </c>
      <c r="JU44" s="2" t="str">
        <f>IF('Data Checking'!KG44="","",'Data Checking'!KG44)</f>
        <v>1</v>
      </c>
      <c r="JV44" s="2" t="str">
        <f>IF('Data Checking'!KH44="","",'Data Checking'!KH44)</f>
        <v>0</v>
      </c>
      <c r="JW44" s="2" t="str">
        <f>IF('Data Checking'!KI44="","",'Data Checking'!KI44)</f>
        <v>0</v>
      </c>
      <c r="JX44" s="2" t="str">
        <f>IF('Data Checking'!KJ44="","",'Data Checking'!KJ44)</f>
        <v>0</v>
      </c>
      <c r="JY44" s="2" t="str">
        <f>IF('Data Checking'!KK44="","",'Data Checking'!KK44)</f>
        <v>0</v>
      </c>
      <c r="JZ44" s="2" t="str">
        <f>IF('Data Checking'!KL44="","",'Data Checking'!KL44)</f>
        <v>0</v>
      </c>
      <c r="KA44" s="2" t="str">
        <f>IF('Data Checking'!KM44="","",'Data Checking'!KM44)</f>
        <v>0</v>
      </c>
      <c r="KB44" s="2" t="str">
        <f>IF('Data Checking'!KN44="","",'Data Checking'!KN44)</f>
        <v>0</v>
      </c>
      <c r="KC44" s="2" t="str">
        <f>IF('Data Checking'!KO44="","",'Data Checking'!KO44)</f>
        <v>0</v>
      </c>
      <c r="KD44" s="2" t="str">
        <f>IF('Data Checking'!KP44="","",'Data Checking'!KP44)</f>
        <v/>
      </c>
      <c r="KE44" s="2" t="str">
        <f>IF('Data Checking'!KQ44="","",'Data Checking'!KQ44)</f>
        <v/>
      </c>
      <c r="KF44" s="2" t="str">
        <f>IF('Data Checking'!KR44="","",'Data Checking'!KR44)</f>
        <v>non</v>
      </c>
      <c r="KG44" s="2" t="str">
        <f>IF('Data Checking'!KS44="","",'Data Checking'!KS44)</f>
        <v/>
      </c>
      <c r="KH44" s="2" t="str">
        <f>IF('Data Checking'!KT44="","",'Data Checking'!KT44)</f>
        <v/>
      </c>
      <c r="KI44" s="2" t="str">
        <f>IF('Data Checking'!KU44="","",'Data Checking'!KU44)</f>
        <v/>
      </c>
      <c r="KJ44" s="2" t="str">
        <f>IF('Data Checking'!KV44="","",'Data Checking'!KV44)</f>
        <v/>
      </c>
      <c r="KK44" s="2" t="str">
        <f>IF('Data Checking'!KW44="","",'Data Checking'!KW44)</f>
        <v/>
      </c>
      <c r="KL44" s="2" t="str">
        <f>IF('Data Checking'!KX44="","",'Data Checking'!KX44)</f>
        <v/>
      </c>
      <c r="KM44" s="2" t="str">
        <f>IF('Data Checking'!KY44="","",'Data Checking'!KY44)</f>
        <v/>
      </c>
      <c r="KN44" s="2" t="str">
        <f>IF('Data Checking'!KZ44="","",'Data Checking'!KZ44)</f>
        <v/>
      </c>
      <c r="KO44" s="2" t="str">
        <f>IF('Data Checking'!LA44="","",'Data Checking'!LA44)</f>
        <v/>
      </c>
      <c r="KP44" s="2" t="str">
        <f>IF('Data Checking'!LB44="","",'Data Checking'!LB44)</f>
        <v/>
      </c>
      <c r="KQ44" s="2" t="str">
        <f>IF('Data Checking'!LC44="","",'Data Checking'!LC44)</f>
        <v/>
      </c>
      <c r="KR44" s="2" t="str">
        <f>IF('Data Checking'!LD44="","",'Data Checking'!LD44)</f>
        <v/>
      </c>
      <c r="KS44" s="2" t="str">
        <f>IF('Data Checking'!LE44="","",'Data Checking'!LE44)</f>
        <v/>
      </c>
      <c r="KT44" s="2" t="str">
        <f>IF('Data Checking'!LF44="","",'Data Checking'!LF44)</f>
        <v/>
      </c>
      <c r="KU44" s="2" t="str">
        <f>IF('Data Checking'!LG44="","",'Data Checking'!LG44)</f>
        <v/>
      </c>
      <c r="KV44" s="2" t="str">
        <f>IF('Data Checking'!LH44="","",'Data Checking'!LH44)</f>
        <v/>
      </c>
      <c r="KW44" s="2" t="str">
        <f>IF('Data Checking'!LI44="","",'Data Checking'!LI44)</f>
        <v/>
      </c>
      <c r="KX44" s="2" t="str">
        <f>IF('Data Checking'!LJ44="","",'Data Checking'!LJ44)</f>
        <v/>
      </c>
      <c r="KY44" s="2" t="str">
        <f>IF('Data Checking'!LK44="","",'Data Checking'!LK44)</f>
        <v/>
      </c>
      <c r="KZ44" s="2" t="str">
        <f>IF('Data Checking'!LL44="","",'Data Checking'!LL44)</f>
        <v/>
      </c>
      <c r="LA44" s="2" t="str">
        <f>IF('Data Checking'!LM44="","",'Data Checking'!LM44)</f>
        <v/>
      </c>
      <c r="LB44" s="2" t="str">
        <f>IF('Data Checking'!LN44="","",'Data Checking'!LN44)</f>
        <v>non</v>
      </c>
      <c r="LC44" s="2" t="str">
        <f>IF('Data Checking'!LO44="","",'Data Checking'!LO44)</f>
        <v/>
      </c>
      <c r="LD44" s="2" t="str">
        <f>IF('Data Checking'!LP44="","",'Data Checking'!LP44)</f>
        <v/>
      </c>
      <c r="LE44" s="2" t="str">
        <f>IF('Data Checking'!LQ44="","",'Data Checking'!LQ44)</f>
        <v/>
      </c>
      <c r="LF44" s="2" t="str">
        <f>IF('Data Checking'!LR44="","",'Data Checking'!LR44)</f>
        <v/>
      </c>
      <c r="LG44" s="2" t="str">
        <f>IF('Data Checking'!LS44="","",'Data Checking'!LS44)</f>
        <v/>
      </c>
      <c r="LH44" s="2" t="str">
        <f>IF('Data Checking'!LT44="","",'Data Checking'!LT44)</f>
        <v/>
      </c>
      <c r="LI44" s="2" t="str">
        <f>IF('Data Checking'!LU44="","",'Data Checking'!LU44)</f>
        <v/>
      </c>
      <c r="LJ44" s="2" t="str">
        <f>IF('Data Checking'!LV44="","",'Data Checking'!LV44)</f>
        <v/>
      </c>
      <c r="LK44" s="2" t="str">
        <f>IF('Data Checking'!LW44="","",'Data Checking'!LW44)</f>
        <v/>
      </c>
      <c r="LL44" s="2" t="str">
        <f>IF('Data Checking'!LX44="","",'Data Checking'!LX44)</f>
        <v/>
      </c>
      <c r="LM44" s="2" t="str">
        <f>IF('Data Checking'!LY44="","",'Data Checking'!LY44)</f>
        <v/>
      </c>
      <c r="LN44" s="2" t="str">
        <f>IF('Data Checking'!LZ44="","",'Data Checking'!LZ44)</f>
        <v/>
      </c>
      <c r="LO44" s="2" t="str">
        <f>IF('Data Checking'!MA44="","",'Data Checking'!MA44)</f>
        <v/>
      </c>
      <c r="LP44" s="2" t="str">
        <f>IF('Data Checking'!MB44="","",'Data Checking'!MB44)</f>
        <v>oui</v>
      </c>
      <c r="LQ44" s="2" t="str">
        <f>IF('Data Checking'!MC44="","",'Data Checking'!MC44)</f>
        <v/>
      </c>
      <c r="LR44" s="2" t="str">
        <f>IF('Data Checking'!MD44="","",'Data Checking'!MD44)</f>
        <v/>
      </c>
      <c r="LS44" s="2">
        <f>IF('Data Checking'!ME44="","",'Data Checking'!ME44)</f>
        <v>169355620</v>
      </c>
      <c r="LT44" s="2" t="str">
        <f>IF('Data Checking'!MF44="","",'Data Checking'!MF44)</f>
        <v>2c040e31-8966-48a7-b32b-ef621ac83f8c</v>
      </c>
      <c r="LU44" s="2" t="str">
        <f>IF('Data Checking'!MG44="","",'Data Checking'!MG44)</f>
        <v>2021-04-02T19:44:49</v>
      </c>
      <c r="LV44" s="2" t="str">
        <f>IF('Data Checking'!MH44="","",'Data Checking'!MH44)</f>
        <v/>
      </c>
      <c r="LW44" s="2" t="str">
        <f>IF('Data Checking'!MI44="","",'Data Checking'!MI44)</f>
        <v>[]</v>
      </c>
      <c r="LX44" s="2" t="str">
        <f>IF('Data Checking'!MJ44="","",'Data Checking'!MJ44)</f>
        <v>submitted_via_web</v>
      </c>
      <c r="LY44" s="2" t="str">
        <f>IF('Data Checking'!MK44="","",'Data Checking'!MK44)</f>
        <v>reach_niger</v>
      </c>
      <c r="LZ44" s="2" t="str">
        <f>IF('Data Checking'!ML44="","",'Data Checking'!ML44)</f>
        <v/>
      </c>
      <c r="MA44" s="2">
        <f>IF('Data Checking'!MM44="","",'Data Checking'!MM44)</f>
        <v>33</v>
      </c>
    </row>
    <row r="45" spans="1:339" x14ac:dyDescent="0.3">
      <c r="A45" s="2" t="str">
        <f>IF('Data Checking'!D45="","",'Data Checking'!D45)</f>
        <v>2021-04-02T12:03:46.147+01:00</v>
      </c>
      <c r="B45" s="2" t="str">
        <f>IF('Data Checking'!E45="","",'Data Checking'!E45)</f>
        <v>2021-04-02T12:36:11.710+01:00</v>
      </c>
      <c r="C45" s="2" t="str">
        <f>IF('Data Checking'!M45="","",'Data Checking'!M45)</f>
        <v>2021-04-02</v>
      </c>
      <c r="D45" s="2" t="str">
        <f>IF('Data Checking'!N45="","",'Data Checking'!N45)</f>
        <v/>
      </c>
      <c r="E45" s="2" t="str">
        <f>IF('Data Checking'!O45="","",'Data Checking'!O45)</f>
        <v/>
      </c>
      <c r="F45" s="2" t="str">
        <f>IF('Data Checking'!R45="","",'Data Checking'!R45)</f>
        <v>Homme</v>
      </c>
      <c r="G45" s="2" t="str">
        <f>IF('Data Checking'!S45="","",'Data Checking'!S45)</f>
        <v>tillaberi</v>
      </c>
      <c r="H45" s="2" t="str">
        <f>IF('Data Checking'!T45="","",'Data Checking'!T45)</f>
        <v>dessa</v>
      </c>
      <c r="I45" s="2" t="str">
        <f>IF('Data Checking'!U45="","",'Data Checking'!U45)</f>
        <v>kandadji</v>
      </c>
      <c r="J45" s="2" t="str">
        <f>IF('Data Checking'!V45="","",'Data Checking'!V45)</f>
        <v/>
      </c>
      <c r="K45" s="2" t="str">
        <f>IF('Data Checking'!W45="","",'Data Checking'!W45)</f>
        <v/>
      </c>
      <c r="L45" s="2" t="str">
        <f>IF('Data Checking'!X45="","",'Data Checking'!X45)</f>
        <v/>
      </c>
      <c r="M45" s="2" t="str">
        <f>IF('Data Checking'!Y45="","",'Data Checking'!Y45)</f>
        <v/>
      </c>
      <c r="N45" s="2" t="str">
        <f>IF('Data Checking'!Z45="","",'Data Checking'!Z45)</f>
        <v/>
      </c>
      <c r="O45" s="2" t="str">
        <f>IF('Data Checking'!AA45="","",'Data Checking'!AA45)</f>
        <v/>
      </c>
      <c r="P45" s="2" t="str">
        <f>IF('Data Checking'!AB45="","",'Data Checking'!AB45)</f>
        <v/>
      </c>
      <c r="Q45" s="2" t="str">
        <f>IF('Data Checking'!AC45="","",'Data Checking'!AC45)</f>
        <v/>
      </c>
      <c r="R45" s="2" t="str">
        <f>IF('Data Checking'!AD45="","",'Data Checking'!AD45)</f>
        <v>Homme</v>
      </c>
      <c r="S45" s="2" t="str">
        <f>IF('Data Checking'!AE45="","",'Data Checking'!AE45)</f>
        <v>54</v>
      </c>
      <c r="T45" s="2" t="str">
        <f>IF('Data Checking'!AF45="","",'Data Checking'!AF45)</f>
        <v>deplace_interne</v>
      </c>
      <c r="U45" s="2" t="str">
        <f>IF('Data Checking'!AG45="","",'Data Checking'!AG45)</f>
        <v/>
      </c>
      <c r="V45" s="2" t="str">
        <f>IF('Data Checking'!AH45="","",'Data Checking'!AH45)</f>
        <v/>
      </c>
      <c r="W45" s="2" t="str">
        <f>IF('Data Checking'!AI45="","",'Data Checking'!AI45)</f>
        <v/>
      </c>
      <c r="X45" s="2" t="str">
        <f>IF('Data Checking'!AJ45="","",'Data Checking'!AJ45)</f>
        <v/>
      </c>
      <c r="Y45" s="2" t="str">
        <f>IF('Data Checking'!AK45="","",'Data Checking'!AK45)</f>
        <v/>
      </c>
      <c r="Z45" s="2" t="str">
        <f>IF('Data Checking'!AL45="","",'Data Checking'!AL45)</f>
        <v>niger</v>
      </c>
      <c r="AA45" s="2" t="str">
        <f>IF('Data Checking'!AM45="","",'Data Checking'!AM45)</f>
        <v>tillaberi</v>
      </c>
      <c r="AB45" s="2" t="str">
        <f>IF('Data Checking'!AN45="","",'Data Checking'!AN45)</f>
        <v>ayerou</v>
      </c>
      <c r="AC45" s="2" t="str">
        <f>IF('Data Checking'!AO45="","",'Data Checking'!AO45)</f>
        <v/>
      </c>
      <c r="AD45" s="2" t="str">
        <f>IF('Data Checking'!AP45="","",'Data Checking'!AP45)</f>
        <v/>
      </c>
      <c r="AE45" s="2" t="str">
        <f>IF('Data Checking'!AQ45="","",'Data Checking'!AQ45)</f>
        <v/>
      </c>
      <c r="AF45" s="2" t="str">
        <f>IF('Data Checking'!AR45="","",'Data Checking'!AR45)</f>
        <v/>
      </c>
      <c r="AG45" s="2" t="str">
        <f>IF('Data Checking'!AS45="","",'Data Checking'!AS45)</f>
        <v>non</v>
      </c>
      <c r="AH45" s="2" t="str">
        <f>IF('Data Checking'!AT45="","",'Data Checking'!AT45)</f>
        <v/>
      </c>
      <c r="AI45" s="2" t="str">
        <f>IF('Data Checking'!AU45="","",'Data Checking'!AU45)</f>
        <v/>
      </c>
      <c r="AJ45" s="2" t="str">
        <f>IF('Data Checking'!AV45="","",'Data Checking'!AV45)</f>
        <v/>
      </c>
      <c r="AK45" s="2" t="str">
        <f>IF('Data Checking'!AW45="","",'Data Checking'!AW45)</f>
        <v/>
      </c>
      <c r="AL45" s="2" t="str">
        <f>IF('Data Checking'!AX45="","",'Data Checking'!AX45)</f>
        <v/>
      </c>
      <c r="AM45" s="2" t="str">
        <f>IF('Data Checking'!AY45="","",'Data Checking'!AY45)</f>
        <v/>
      </c>
      <c r="AN45" s="2" t="str">
        <f>IF('Data Checking'!AZ45="","",'Data Checking'!AZ45)</f>
        <v/>
      </c>
      <c r="AO45" s="2" t="str">
        <f>IF('Data Checking'!BA45="","",'Data Checking'!BA45)</f>
        <v/>
      </c>
      <c r="AP45" s="2" t="str">
        <f>IF('Data Checking'!BB45="","",'Data Checking'!BB45)</f>
        <v/>
      </c>
      <c r="AQ45" s="2" t="str">
        <f>IF('Data Checking'!BC45="","",'Data Checking'!BC45)</f>
        <v/>
      </c>
      <c r="AR45" s="2" t="str">
        <f>IF('Data Checking'!BD45="","",'Data Checking'!BD45)</f>
        <v/>
      </c>
      <c r="AS45" s="2" t="str">
        <f>IF('Data Checking'!BE45="","",'Data Checking'!BE45)</f>
        <v/>
      </c>
      <c r="AT45" s="2" t="str">
        <f>IF('Data Checking'!BF45="","",'Data Checking'!BF45)</f>
        <v/>
      </c>
      <c r="AU45" s="2" t="str">
        <f>IF('Data Checking'!BG45="","",'Data Checking'!BG45)</f>
        <v/>
      </c>
      <c r="AV45" s="2" t="str">
        <f>IF('Data Checking'!BH45="","",'Data Checking'!BH45)</f>
        <v/>
      </c>
      <c r="AW45" s="2" t="str">
        <f>IF('Data Checking'!BI45="","",'Data Checking'!BI45)</f>
        <v/>
      </c>
      <c r="AX45" s="2" t="str">
        <f>IF('Data Checking'!BJ45="","",'Data Checking'!BJ45)</f>
        <v/>
      </c>
      <c r="AY45" s="2" t="str">
        <f>IF('Data Checking'!BK45="","",'Data Checking'!BK45)</f>
        <v/>
      </c>
      <c r="AZ45" s="2" t="str">
        <f>IF('Data Checking'!BL45="","",'Data Checking'!BL45)</f>
        <v/>
      </c>
      <c r="BA45" s="2" t="str">
        <f>IF('Data Checking'!BM45="","",'Data Checking'!BM45)</f>
        <v/>
      </c>
      <c r="BB45" s="2" t="str">
        <f>IF('Data Checking'!BN45="","",'Data Checking'!BN45)</f>
        <v/>
      </c>
      <c r="BC45" s="2" t="str">
        <f>IF('Data Checking'!BO45="","",'Data Checking'!BO45)</f>
        <v/>
      </c>
      <c r="BD45" s="2" t="str">
        <f>IF('Data Checking'!BP45="","",'Data Checking'!BP45)</f>
        <v/>
      </c>
      <c r="BE45" s="2" t="str">
        <f>IF('Data Checking'!BQ45="","",'Data Checking'!BQ45)</f>
        <v/>
      </c>
      <c r="BF45" s="2" t="str">
        <f>IF('Data Checking'!BR45="","",'Data Checking'!BR45)</f>
        <v/>
      </c>
      <c r="BG45" s="2" t="str">
        <f>IF('Data Checking'!BS45="","",'Data Checking'!BS45)</f>
        <v/>
      </c>
      <c r="BH45" s="2" t="str">
        <f>IF('Data Checking'!BT45="","",'Data Checking'!BT45)</f>
        <v/>
      </c>
      <c r="BI45" s="2" t="str">
        <f>IF('Data Checking'!BU45="","",'Data Checking'!BU45)</f>
        <v/>
      </c>
      <c r="BJ45" s="2" t="str">
        <f>IF('Data Checking'!BV45="","",'Data Checking'!BV45)</f>
        <v/>
      </c>
      <c r="BK45" s="2" t="str">
        <f>IF('Data Checking'!BW45="","",'Data Checking'!BW45)</f>
        <v/>
      </c>
      <c r="BL45" s="2" t="str">
        <f>IF('Data Checking'!BX45="","",'Data Checking'!BX45)</f>
        <v/>
      </c>
      <c r="BM45" s="2" t="str">
        <f>IF('Data Checking'!BY45="","",'Data Checking'!BY45)</f>
        <v/>
      </c>
      <c r="BN45" s="2" t="str">
        <f>IF('Data Checking'!BZ45="","",'Data Checking'!BZ45)</f>
        <v/>
      </c>
      <c r="BO45" s="2" t="str">
        <f>IF('Data Checking'!CA45="","",'Data Checking'!CA45)</f>
        <v/>
      </c>
      <c r="BP45" s="2" t="str">
        <f>IF('Data Checking'!CB45="","",'Data Checking'!CB45)</f>
        <v/>
      </c>
      <c r="BQ45" s="2" t="str">
        <f>IF('Data Checking'!CC45="","",'Data Checking'!CC45)</f>
        <v>non</v>
      </c>
      <c r="BR45" s="2" t="str">
        <f>IF('Data Checking'!CD45="","",'Data Checking'!CD45)</f>
        <v/>
      </c>
      <c r="BS45" s="2" t="str">
        <f>IF('Data Checking'!CE45="","",'Data Checking'!CE45)</f>
        <v/>
      </c>
      <c r="BT45" s="2" t="str">
        <f>IF('Data Checking'!CF45="","",'Data Checking'!CF45)</f>
        <v/>
      </c>
      <c r="BU45" s="2" t="str">
        <f>IF('Data Checking'!CG45="","",'Data Checking'!CG45)</f>
        <v/>
      </c>
      <c r="BV45" s="2" t="str">
        <f>IF('Data Checking'!CH45="","",'Data Checking'!CH45)</f>
        <v/>
      </c>
      <c r="BW45" s="2" t="str">
        <f>IF('Data Checking'!CI45="","",'Data Checking'!CI45)</f>
        <v/>
      </c>
      <c r="BX45" s="2" t="str">
        <f>IF('Data Checking'!CJ45="","",'Data Checking'!CJ45)</f>
        <v/>
      </c>
      <c r="BY45" s="2" t="str">
        <f>IF('Data Checking'!CK45="","",'Data Checking'!CK45)</f>
        <v/>
      </c>
      <c r="BZ45" s="2" t="str">
        <f>IF('Data Checking'!CL45="","",'Data Checking'!CL45)</f>
        <v/>
      </c>
      <c r="CA45" s="2" t="str">
        <f>IF('Data Checking'!CM45="","",'Data Checking'!CM45)</f>
        <v/>
      </c>
      <c r="CB45" s="2" t="str">
        <f>IF('Data Checking'!CN45="","",'Data Checking'!CN45)</f>
        <v/>
      </c>
      <c r="CC45" s="2" t="str">
        <f>IF('Data Checking'!CO45="","",'Data Checking'!CO45)</f>
        <v/>
      </c>
      <c r="CD45" s="2" t="str">
        <f>IF('Data Checking'!CP45="","",'Data Checking'!CP45)</f>
        <v/>
      </c>
      <c r="CE45" s="2" t="str">
        <f>IF('Data Checking'!CQ45="","",'Data Checking'!CQ45)</f>
        <v/>
      </c>
      <c r="CF45" s="2" t="str">
        <f>IF('Data Checking'!CR45="","",'Data Checking'!CR45)</f>
        <v/>
      </c>
      <c r="CG45" s="2" t="str">
        <f>IF('Data Checking'!CS45="","",'Data Checking'!CS45)</f>
        <v/>
      </c>
      <c r="CH45" s="2" t="str">
        <f>IF('Data Checking'!CT45="","",'Data Checking'!CT45)</f>
        <v/>
      </c>
      <c r="CI45" s="2" t="str">
        <f>IF('Data Checking'!CU45="","",'Data Checking'!CU45)</f>
        <v/>
      </c>
      <c r="CJ45" s="2" t="str">
        <f>IF('Data Checking'!CV45="","",'Data Checking'!CV45)</f>
        <v/>
      </c>
      <c r="CK45" s="2" t="str">
        <f>IF('Data Checking'!CW45="","",'Data Checking'!CW45)</f>
        <v/>
      </c>
      <c r="CL45" s="2" t="str">
        <f>IF('Data Checking'!CX45="","",'Data Checking'!CX45)</f>
        <v/>
      </c>
      <c r="CM45" s="2" t="str">
        <f>IF('Data Checking'!CY45="","",'Data Checking'!CY45)</f>
        <v/>
      </c>
      <c r="CN45" s="2" t="str">
        <f>IF('Data Checking'!CZ45="","",'Data Checking'!CZ45)</f>
        <v/>
      </c>
      <c r="CO45" s="2" t="str">
        <f>IF('Data Checking'!DA45="","",'Data Checking'!DA45)</f>
        <v/>
      </c>
      <c r="CP45" s="2" t="str">
        <f>IF('Data Checking'!DB45="","",'Data Checking'!DB45)</f>
        <v/>
      </c>
      <c r="CQ45" s="2" t="str">
        <f>IF('Data Checking'!DC45="","",'Data Checking'!DC45)</f>
        <v/>
      </c>
      <c r="CR45" s="2" t="str">
        <f>IF('Data Checking'!DD45="","",'Data Checking'!DD45)</f>
        <v/>
      </c>
      <c r="CS45" s="2" t="str">
        <f>IF('Data Checking'!DE45="","",'Data Checking'!DE45)</f>
        <v/>
      </c>
      <c r="CT45" s="2" t="str">
        <f>IF('Data Checking'!DF45="","",'Data Checking'!DF45)</f>
        <v/>
      </c>
      <c r="CU45" s="2" t="str">
        <f>IF('Data Checking'!DG45="","",'Data Checking'!DG45)</f>
        <v/>
      </c>
      <c r="CV45" s="2" t="str">
        <f>IF('Data Checking'!DH45="","",'Data Checking'!DH45)</f>
        <v/>
      </c>
      <c r="CW45" s="2" t="str">
        <f>IF('Data Checking'!DI45="","",'Data Checking'!DI45)</f>
        <v/>
      </c>
      <c r="CX45" s="2" t="str">
        <f>IF('Data Checking'!DJ45="","",'Data Checking'!DJ45)</f>
        <v/>
      </c>
      <c r="CY45" s="2" t="str">
        <f>IF('Data Checking'!DK45="","",'Data Checking'!DK45)</f>
        <v/>
      </c>
      <c r="CZ45" s="2" t="str">
        <f>IF('Data Checking'!DL45="","",'Data Checking'!DL45)</f>
        <v/>
      </c>
      <c r="DA45" s="2" t="str">
        <f>IF('Data Checking'!DM45="","",'Data Checking'!DM45)</f>
        <v/>
      </c>
      <c r="DB45" s="2" t="str">
        <f>IF('Data Checking'!DN45="","",'Data Checking'!DN45)</f>
        <v/>
      </c>
      <c r="DC45" s="2" t="str">
        <f>IF('Data Checking'!DO45="","",'Data Checking'!DO45)</f>
        <v/>
      </c>
      <c r="DD45" s="2" t="str">
        <f>IF('Data Checking'!DP45="","",'Data Checking'!DP45)</f>
        <v/>
      </c>
      <c r="DE45" s="2" t="str">
        <f>IF('Data Checking'!DQ45="","",'Data Checking'!DQ45)</f>
        <v/>
      </c>
      <c r="DF45" s="2" t="str">
        <f>IF('Data Checking'!DR45="","",'Data Checking'!DR45)</f>
        <v/>
      </c>
      <c r="DG45" s="2" t="str">
        <f>IF('Data Checking'!DS45="","",'Data Checking'!DS45)</f>
        <v/>
      </c>
      <c r="DH45" s="2" t="str">
        <f>IF('Data Checking'!DT45="","",'Data Checking'!DT45)</f>
        <v/>
      </c>
      <c r="DI45" s="2" t="str">
        <f>IF('Data Checking'!DU45="","",'Data Checking'!DU45)</f>
        <v/>
      </c>
      <c r="DJ45" s="2" t="str">
        <f>IF('Data Checking'!DV45="","",'Data Checking'!DV45)</f>
        <v/>
      </c>
      <c r="DK45" s="2" t="str">
        <f>IF('Data Checking'!DW45="","",'Data Checking'!DW45)</f>
        <v/>
      </c>
      <c r="DL45" s="2" t="str">
        <f>IF('Data Checking'!DX45="","",'Data Checking'!DX45)</f>
        <v/>
      </c>
      <c r="DM45" s="2" t="str">
        <f>IF('Data Checking'!DY45="","",'Data Checking'!DY45)</f>
        <v/>
      </c>
      <c r="DN45" s="2" t="str">
        <f>IF('Data Checking'!DZ45="","",'Data Checking'!DZ45)</f>
        <v/>
      </c>
      <c r="DO45" s="2" t="str">
        <f>IF('Data Checking'!EA45="","",'Data Checking'!EA45)</f>
        <v/>
      </c>
      <c r="DP45" s="2" t="str">
        <f>IF('Data Checking'!EB45="","",'Data Checking'!EB45)</f>
        <v/>
      </c>
      <c r="DQ45" s="2" t="str">
        <f>IF('Data Checking'!EC45="","",'Data Checking'!EC45)</f>
        <v/>
      </c>
      <c r="DR45" s="2" t="str">
        <f>IF('Data Checking'!ED45="","",'Data Checking'!ED45)</f>
        <v/>
      </c>
      <c r="DS45" s="2" t="str">
        <f>IF('Data Checking'!EE45="","",'Data Checking'!EE45)</f>
        <v/>
      </c>
      <c r="DT45" s="2" t="str">
        <f>IF('Data Checking'!EF45="","",'Data Checking'!EF45)</f>
        <v/>
      </c>
      <c r="DU45" s="2" t="str">
        <f>IF('Data Checking'!EG45="","",'Data Checking'!EG45)</f>
        <v/>
      </c>
      <c r="DV45" s="2" t="str">
        <f>IF('Data Checking'!EH45="","",'Data Checking'!EH45)</f>
        <v/>
      </c>
      <c r="DW45" s="2" t="str">
        <f>IF('Data Checking'!EI45="","",'Data Checking'!EI45)</f>
        <v/>
      </c>
      <c r="DX45" s="2" t="str">
        <f>IF('Data Checking'!EJ45="","",'Data Checking'!EJ45)</f>
        <v/>
      </c>
      <c r="DY45" s="2" t="str">
        <f>IF('Data Checking'!EK45="","",'Data Checking'!EK45)</f>
        <v/>
      </c>
      <c r="DZ45" s="2" t="str">
        <f>IF('Data Checking'!EL45="","",'Data Checking'!EL45)</f>
        <v>Integration_com_hote</v>
      </c>
      <c r="EA45" s="2" t="str">
        <f>IF('Data Checking'!EM45="","",'Data Checking'!EM45)</f>
        <v>0</v>
      </c>
      <c r="EB45" s="2" t="str">
        <f>IF('Data Checking'!EN45="","",'Data Checking'!EN45)</f>
        <v>1</v>
      </c>
      <c r="EC45" s="2" t="str">
        <f>IF('Data Checking'!EO45="","",'Data Checking'!EO45)</f>
        <v>0</v>
      </c>
      <c r="ED45" s="2" t="str">
        <f>IF('Data Checking'!EP45="","",'Data Checking'!EP45)</f>
        <v>0</v>
      </c>
      <c r="EE45" s="2" t="str">
        <f>IF('Data Checking'!EQ45="","",'Data Checking'!EQ45)</f>
        <v>0</v>
      </c>
      <c r="EF45" s="2" t="str">
        <f>IF('Data Checking'!ER45="","",'Data Checking'!ER45)</f>
        <v>0</v>
      </c>
      <c r="EG45" s="2" t="str">
        <f>IF('Data Checking'!ES45="","",'Data Checking'!ES45)</f>
        <v>0</v>
      </c>
      <c r="EH45" s="2" t="str">
        <f>IF('Data Checking'!ET45="","",'Data Checking'!ET45)</f>
        <v>0</v>
      </c>
      <c r="EI45" s="2" t="str">
        <f>IF('Data Checking'!EU45="","",'Data Checking'!EU45)</f>
        <v>0</v>
      </c>
      <c r="EJ45" s="2" t="str">
        <f>IF('Data Checking'!EV45="","",'Data Checking'!EV45)</f>
        <v/>
      </c>
      <c r="EK45" s="2" t="str">
        <f>IF('Data Checking'!EW45="","",'Data Checking'!EW45)</f>
        <v/>
      </c>
      <c r="EL45" s="2" t="str">
        <f>IF('Data Checking'!EX45="","",'Data Checking'!EX45)</f>
        <v>comite_protection femmes_elite</v>
      </c>
      <c r="EM45" s="2" t="str">
        <f>IF('Data Checking'!EY45="","",'Data Checking'!EY45)</f>
        <v>1</v>
      </c>
      <c r="EN45" s="2" t="str">
        <f>IF('Data Checking'!EZ45="","",'Data Checking'!EZ45)</f>
        <v>1</v>
      </c>
      <c r="EO45" s="2" t="str">
        <f>IF('Data Checking'!FA45="","",'Data Checking'!FA45)</f>
        <v>0</v>
      </c>
      <c r="EP45" s="2" t="str">
        <f>IF('Data Checking'!FB45="","",'Data Checking'!FB45)</f>
        <v>0</v>
      </c>
      <c r="EQ45" s="2" t="str">
        <f>IF('Data Checking'!FC45="","",'Data Checking'!FC45)</f>
        <v>0</v>
      </c>
      <c r="ER45" s="2" t="str">
        <f>IF('Data Checking'!FD45="","",'Data Checking'!FD45)</f>
        <v>0</v>
      </c>
      <c r="ES45" s="2" t="str">
        <f>IF('Data Checking'!FE45="","",'Data Checking'!FE45)</f>
        <v>0</v>
      </c>
      <c r="ET45" s="2" t="str">
        <f>IF('Data Checking'!FF45="","",'Data Checking'!FF45)</f>
        <v>0</v>
      </c>
      <c r="EU45" s="2" t="str">
        <f>IF('Data Checking'!FG45="","",'Data Checking'!FG45)</f>
        <v>0</v>
      </c>
      <c r="EV45" s="2" t="str">
        <f>IF('Data Checking'!FH45="","",'Data Checking'!FH45)</f>
        <v>0</v>
      </c>
      <c r="EW45" s="2" t="str">
        <f>IF('Data Checking'!FI45="","",'Data Checking'!FI45)</f>
        <v/>
      </c>
      <c r="EX45" s="2" t="str">
        <f>IF('Data Checking'!FJ45="","",'Data Checking'!FJ45)</f>
        <v>oui</v>
      </c>
      <c r="EY45" s="2" t="str">
        <f>IF('Data Checking'!FK45="","",'Data Checking'!FK45)</f>
        <v>Chef_village</v>
      </c>
      <c r="EZ45" s="2" t="str">
        <f>IF('Data Checking'!FL45="","",'Data Checking'!FL45)</f>
        <v>0</v>
      </c>
      <c r="FA45" s="2" t="str">
        <f>IF('Data Checking'!FM45="","",'Data Checking'!FM45)</f>
        <v>0</v>
      </c>
      <c r="FB45" s="2" t="str">
        <f>IF('Data Checking'!FN45="","",'Data Checking'!FN45)</f>
        <v>0</v>
      </c>
      <c r="FC45" s="2" t="str">
        <f>IF('Data Checking'!FO45="","",'Data Checking'!FO45)</f>
        <v>0</v>
      </c>
      <c r="FD45" s="2" t="str">
        <f>IF('Data Checking'!FP45="","",'Data Checking'!FP45)</f>
        <v>1</v>
      </c>
      <c r="FE45" s="2" t="str">
        <f>IF('Data Checking'!FQ45="","",'Data Checking'!FQ45)</f>
        <v>0</v>
      </c>
      <c r="FF45" s="2" t="str">
        <f>IF('Data Checking'!FR45="","",'Data Checking'!FR45)</f>
        <v>0</v>
      </c>
      <c r="FG45" s="2" t="str">
        <f>IF('Data Checking'!FS45="","",'Data Checking'!FS45)</f>
        <v>0</v>
      </c>
      <c r="FH45" s="2" t="str">
        <f>IF('Data Checking'!FT45="","",'Data Checking'!FT45)</f>
        <v>0</v>
      </c>
      <c r="FI45" s="2" t="str">
        <f>IF('Data Checking'!FU45="","",'Data Checking'!FU45)</f>
        <v>0</v>
      </c>
      <c r="FJ45" s="2" t="str">
        <f>IF('Data Checking'!FV45="","",'Data Checking'!FV45)</f>
        <v>0</v>
      </c>
      <c r="FK45" s="2" t="str">
        <f>IF('Data Checking'!FW45="","",'Data Checking'!FW45)</f>
        <v>0</v>
      </c>
      <c r="FL45" s="2" t="str">
        <f>IF('Data Checking'!FX45="","",'Data Checking'!FX45)</f>
        <v>0</v>
      </c>
      <c r="FM45" s="2" t="str">
        <f>IF('Data Checking'!FY45="","",'Data Checking'!FY45)</f>
        <v>0</v>
      </c>
      <c r="FN45" s="2" t="str">
        <f>IF('Data Checking'!FZ45="","",'Data Checking'!FZ45)</f>
        <v/>
      </c>
      <c r="FO45" s="2" t="str">
        <f>IF('Data Checking'!GA45="","",'Data Checking'!GA45)</f>
        <v>oui_ensemble</v>
      </c>
      <c r="FP45" s="2" t="str">
        <f>IF('Data Checking'!GB45="","",'Data Checking'!GB45)</f>
        <v>oui_ensemble</v>
      </c>
      <c r="FQ45" s="2" t="str">
        <f>IF('Data Checking'!GC45="","",'Data Checking'!GC45)</f>
        <v/>
      </c>
      <c r="FR45" s="2" t="str">
        <f>IF('Data Checking'!GD45="","",'Data Checking'!GD45)</f>
        <v/>
      </c>
      <c r="FS45" s="2" t="str">
        <f>IF('Data Checking'!GE45="","",'Data Checking'!GE45)</f>
        <v/>
      </c>
      <c r="FT45" s="2" t="str">
        <f>IF('Data Checking'!GF45="","",'Data Checking'!GF45)</f>
        <v/>
      </c>
      <c r="FU45" s="2" t="str">
        <f>IF('Data Checking'!GG45="","",'Data Checking'!GG45)</f>
        <v/>
      </c>
      <c r="FV45" s="2" t="str">
        <f>IF('Data Checking'!GH45="","",'Data Checking'!GH45)</f>
        <v/>
      </c>
      <c r="FW45" s="2" t="str">
        <f>IF('Data Checking'!GI45="","",'Data Checking'!GI45)</f>
        <v/>
      </c>
      <c r="FX45" s="2" t="str">
        <f>IF('Data Checking'!GJ45="","",'Data Checking'!GJ45)</f>
        <v/>
      </c>
      <c r="FY45" s="2" t="str">
        <f>IF('Data Checking'!GK45="","",'Data Checking'!GK45)</f>
        <v/>
      </c>
      <c r="FZ45" s="2" t="str">
        <f>IF('Data Checking'!GL45="","",'Data Checking'!GL45)</f>
        <v/>
      </c>
      <c r="GA45" s="2" t="str">
        <f>IF('Data Checking'!GM45="","",'Data Checking'!GM45)</f>
        <v>ensemble</v>
      </c>
      <c r="GB45" s="2" t="str">
        <f>IF('Data Checking'!GN45="","",'Data Checking'!GN45)</f>
        <v>ensemble</v>
      </c>
      <c r="GC45" s="2" t="str">
        <f>IF('Data Checking'!GO45="","",'Data Checking'!GO45)</f>
        <v>Services_de_sante</v>
      </c>
      <c r="GD45" s="2" t="str">
        <f>IF('Data Checking'!GP45="","",'Data Checking'!GP45)</f>
        <v>0</v>
      </c>
      <c r="GE45" s="2" t="str">
        <f>IF('Data Checking'!GQ45="","",'Data Checking'!GQ45)</f>
        <v>0</v>
      </c>
      <c r="GF45" s="2" t="str">
        <f>IF('Data Checking'!GR45="","",'Data Checking'!GR45)</f>
        <v>0</v>
      </c>
      <c r="GG45" s="2" t="str">
        <f>IF('Data Checking'!GS45="","",'Data Checking'!GS45)</f>
        <v>1</v>
      </c>
      <c r="GH45" s="2" t="str">
        <f>IF('Data Checking'!GT45="","",'Data Checking'!GT45)</f>
        <v>0</v>
      </c>
      <c r="GI45" s="2" t="str">
        <f>IF('Data Checking'!GU45="","",'Data Checking'!GU45)</f>
        <v>0</v>
      </c>
      <c r="GJ45" s="2" t="str">
        <f>IF('Data Checking'!GV45="","",'Data Checking'!GV45)</f>
        <v>0</v>
      </c>
      <c r="GK45" s="2" t="str">
        <f>IF('Data Checking'!GW45="","",'Data Checking'!GW45)</f>
        <v>0</v>
      </c>
      <c r="GL45" s="2" t="str">
        <f>IF('Data Checking'!GX45="","",'Data Checking'!GX45)</f>
        <v>0</v>
      </c>
      <c r="GM45" s="2" t="str">
        <f>IF('Data Checking'!GY45="","",'Data Checking'!GY45)</f>
        <v/>
      </c>
      <c r="GN45" s="2" t="str">
        <f>IF('Data Checking'!GZ45="","",'Data Checking'!GZ45)</f>
        <v>oui_ensemble</v>
      </c>
      <c r="GO45" s="2" t="str">
        <f>IF('Data Checking'!HA45="","",'Data Checking'!HA45)</f>
        <v>oui_ensemble</v>
      </c>
      <c r="GP45" s="2" t="str">
        <f>IF('Data Checking'!HB45="","",'Data Checking'!HB45)</f>
        <v>repond_besoins_pop amelioration_futur</v>
      </c>
      <c r="GQ45" s="2" t="str">
        <f>IF('Data Checking'!HC45="","",'Data Checking'!HC45)</f>
        <v>1</v>
      </c>
      <c r="GR45" s="2" t="str">
        <f>IF('Data Checking'!HD45="","",'Data Checking'!HD45)</f>
        <v>1</v>
      </c>
      <c r="GS45" s="2" t="str">
        <f>IF('Data Checking'!HE45="","",'Data Checking'!HE45)</f>
        <v>0</v>
      </c>
      <c r="GT45" s="2" t="str">
        <f>IF('Data Checking'!HF45="","",'Data Checking'!HF45)</f>
        <v>0</v>
      </c>
      <c r="GU45" s="2" t="str">
        <f>IF('Data Checking'!HG45="","",'Data Checking'!HG45)</f>
        <v>0</v>
      </c>
      <c r="GV45" s="2" t="str">
        <f>IF('Data Checking'!HH45="","",'Data Checking'!HH45)</f>
        <v>0</v>
      </c>
      <c r="GW45" s="2" t="str">
        <f>IF('Data Checking'!HI45="","",'Data Checking'!HI45)</f>
        <v>0</v>
      </c>
      <c r="GX45" s="2" t="str">
        <f>IF('Data Checking'!HJ45="","",'Data Checking'!HJ45)</f>
        <v>0</v>
      </c>
      <c r="GY45" s="2" t="str">
        <f>IF('Data Checking'!HK45="","",'Data Checking'!HK45)</f>
        <v/>
      </c>
      <c r="GZ45" s="2" t="str">
        <f>IF('Data Checking'!HL45="","",'Data Checking'!HL45)</f>
        <v/>
      </c>
      <c r="HA45" s="2" t="str">
        <f>IF('Data Checking'!HM45="","",'Data Checking'!HM45)</f>
        <v/>
      </c>
      <c r="HB45" s="2" t="str">
        <f>IF('Data Checking'!HN45="","",'Data Checking'!HN45)</f>
        <v/>
      </c>
      <c r="HC45" s="2" t="str">
        <f>IF('Data Checking'!HO45="","",'Data Checking'!HO45)</f>
        <v/>
      </c>
      <c r="HD45" s="2" t="str">
        <f>IF('Data Checking'!HP45="","",'Data Checking'!HP45)</f>
        <v/>
      </c>
      <c r="HE45" s="2" t="str">
        <f>IF('Data Checking'!HQ45="","",'Data Checking'!HQ45)</f>
        <v/>
      </c>
      <c r="HF45" s="2" t="str">
        <f>IF('Data Checking'!HR45="","",'Data Checking'!HR45)</f>
        <v/>
      </c>
      <c r="HG45" s="2" t="str">
        <f>IF('Data Checking'!HS45="","",'Data Checking'!HS45)</f>
        <v/>
      </c>
      <c r="HH45" s="2" t="str">
        <f>IF('Data Checking'!HT45="","",'Data Checking'!HT45)</f>
        <v/>
      </c>
      <c r="HI45" s="2" t="str">
        <f>IF('Data Checking'!HU45="","",'Data Checking'!HU45)</f>
        <v>non</v>
      </c>
      <c r="HJ45" s="2" t="str">
        <f>IF('Data Checking'!HV45="","",'Data Checking'!HV45)</f>
        <v/>
      </c>
      <c r="HK45" s="2" t="str">
        <f>IF('Data Checking'!HW45="","",'Data Checking'!HW45)</f>
        <v/>
      </c>
      <c r="HL45" s="2" t="str">
        <f>IF('Data Checking'!HX45="","",'Data Checking'!HX45)</f>
        <v/>
      </c>
      <c r="HM45" s="2" t="str">
        <f>IF('Data Checking'!HY45="","",'Data Checking'!HY45)</f>
        <v/>
      </c>
      <c r="HN45" s="2" t="str">
        <f>IF('Data Checking'!HZ45="","",'Data Checking'!HZ45)</f>
        <v/>
      </c>
      <c r="HO45" s="2" t="str">
        <f>IF('Data Checking'!IA45="","",'Data Checking'!IA45)</f>
        <v/>
      </c>
      <c r="HP45" s="2" t="str">
        <f>IF('Data Checking'!IB45="","",'Data Checking'!IB45)</f>
        <v/>
      </c>
      <c r="HQ45" s="2" t="str">
        <f>IF('Data Checking'!IC45="","",'Data Checking'!IC45)</f>
        <v/>
      </c>
      <c r="HR45" s="2" t="str">
        <f>IF('Data Checking'!ID45="","",'Data Checking'!ID45)</f>
        <v/>
      </c>
      <c r="HS45" s="2" t="str">
        <f>IF('Data Checking'!IE45="","",'Data Checking'!IE45)</f>
        <v/>
      </c>
      <c r="HT45" s="2" t="str">
        <f>IF('Data Checking'!IF45="","",'Data Checking'!IF45)</f>
        <v/>
      </c>
      <c r="HU45" s="2" t="str">
        <f>IF('Data Checking'!IG45="","",'Data Checking'!IG45)</f>
        <v/>
      </c>
      <c r="HV45" s="2" t="str">
        <f>IF('Data Checking'!IH45="","",'Data Checking'!IH45)</f>
        <v>oui</v>
      </c>
      <c r="HW45" s="2" t="str">
        <f>IF('Data Checking'!II45="","",'Data Checking'!II45)</f>
        <v/>
      </c>
      <c r="HX45" s="2" t="str">
        <f>IF('Data Checking'!IJ45="","",'Data Checking'!IJ45)</f>
        <v/>
      </c>
      <c r="HY45" s="2" t="str">
        <f>IF('Data Checking'!IK45="","",'Data Checking'!IK45)</f>
        <v/>
      </c>
      <c r="HZ45" s="2" t="str">
        <f>IF('Data Checking'!IL45="","",'Data Checking'!IL45)</f>
        <v/>
      </c>
      <c r="IA45" s="2" t="str">
        <f>IF('Data Checking'!IM45="","",'Data Checking'!IM45)</f>
        <v/>
      </c>
      <c r="IB45" s="2" t="str">
        <f>IF('Data Checking'!IN45="","",'Data Checking'!IN45)</f>
        <v/>
      </c>
      <c r="IC45" s="2" t="str">
        <f>IF('Data Checking'!IO45="","",'Data Checking'!IO45)</f>
        <v/>
      </c>
      <c r="ID45" s="2" t="str">
        <f>IF('Data Checking'!IP45="","",'Data Checking'!IP45)</f>
        <v/>
      </c>
      <c r="IE45" s="2" t="str">
        <f>IF('Data Checking'!IQ45="","",'Data Checking'!IQ45)</f>
        <v/>
      </c>
      <c r="IF45" s="2" t="str">
        <f>IF('Data Checking'!IR45="","",'Data Checking'!IR45)</f>
        <v/>
      </c>
      <c r="IG45" s="2" t="str">
        <f>IF('Data Checking'!IS45="","",'Data Checking'!IS45)</f>
        <v/>
      </c>
      <c r="IH45" s="2" t="str">
        <f>IF('Data Checking'!IT45="","",'Data Checking'!IT45)</f>
        <v/>
      </c>
      <c r="II45" s="2" t="str">
        <f>IF('Data Checking'!IU45="","",'Data Checking'!IU45)</f>
        <v/>
      </c>
      <c r="IJ45" s="2" t="str">
        <f>IF('Data Checking'!IV45="","",'Data Checking'!IV45)</f>
        <v/>
      </c>
      <c r="IK45" s="2" t="str">
        <f>IF('Data Checking'!IW45="","",'Data Checking'!IW45)</f>
        <v/>
      </c>
      <c r="IL45" s="2" t="str">
        <f>IF('Data Checking'!IX45="","",'Data Checking'!IX45)</f>
        <v/>
      </c>
      <c r="IM45" s="2" t="str">
        <f>IF('Data Checking'!IY45="","",'Data Checking'!IY45)</f>
        <v/>
      </c>
      <c r="IN45" s="2" t="str">
        <f>IF('Data Checking'!IZ45="","",'Data Checking'!IZ45)</f>
        <v>2</v>
      </c>
      <c r="IO45" s="2" t="str">
        <f>IF('Data Checking'!JA45="","",'Data Checking'!JA45)</f>
        <v>Services_medicaux points_ecoute</v>
      </c>
      <c r="IP45" s="2" t="str">
        <f>IF('Data Checking'!JB45="","",'Data Checking'!JB45)</f>
        <v>0</v>
      </c>
      <c r="IQ45" s="2" t="str">
        <f>IF('Data Checking'!JC45="","",'Data Checking'!JC45)</f>
        <v>1</v>
      </c>
      <c r="IR45" s="2" t="str">
        <f>IF('Data Checking'!JD45="","",'Data Checking'!JD45)</f>
        <v>0</v>
      </c>
      <c r="IS45" s="2" t="str">
        <f>IF('Data Checking'!JE45="","",'Data Checking'!JE45)</f>
        <v>0</v>
      </c>
      <c r="IT45" s="2" t="str">
        <f>IF('Data Checking'!JF45="","",'Data Checking'!JF45)</f>
        <v>0</v>
      </c>
      <c r="IU45" s="2" t="str">
        <f>IF('Data Checking'!JG45="","",'Data Checking'!JG45)</f>
        <v>0</v>
      </c>
      <c r="IV45" s="2" t="str">
        <f>IF('Data Checking'!JH45="","",'Data Checking'!JH45)</f>
        <v>0</v>
      </c>
      <c r="IW45" s="2" t="str">
        <f>IF('Data Checking'!JI45="","",'Data Checking'!JI45)</f>
        <v>1</v>
      </c>
      <c r="IX45" s="2" t="str">
        <f>IF('Data Checking'!JJ45="","",'Data Checking'!JJ45)</f>
        <v>0</v>
      </c>
      <c r="IY45" s="2" t="str">
        <f>IF('Data Checking'!JK45="","",'Data Checking'!JK45)</f>
        <v>0</v>
      </c>
      <c r="IZ45" s="2" t="str">
        <f>IF('Data Checking'!JL45="","",'Data Checking'!JL45)</f>
        <v/>
      </c>
      <c r="JA45" s="2" t="str">
        <f>IF('Data Checking'!JM45="","",'Data Checking'!JM45)</f>
        <v>prise_enchage signalement</v>
      </c>
      <c r="JB45" s="2" t="str">
        <f>IF('Data Checking'!JN45="","",'Data Checking'!JN45)</f>
        <v>1</v>
      </c>
      <c r="JC45" s="2" t="str">
        <f>IF('Data Checking'!JO45="","",'Data Checking'!JO45)</f>
        <v>0</v>
      </c>
      <c r="JD45" s="2" t="str">
        <f>IF('Data Checking'!JP45="","",'Data Checking'!JP45)</f>
        <v>1</v>
      </c>
      <c r="JE45" s="2" t="str">
        <f>IF('Data Checking'!JQ45="","",'Data Checking'!JQ45)</f>
        <v>0</v>
      </c>
      <c r="JF45" s="2" t="str">
        <f>IF('Data Checking'!JR45="","",'Data Checking'!JR45)</f>
        <v>0</v>
      </c>
      <c r="JG45" s="2" t="str">
        <f>IF('Data Checking'!JS45="","",'Data Checking'!JS45)</f>
        <v>0</v>
      </c>
      <c r="JH45" s="2" t="str">
        <f>IF('Data Checking'!JT45="","",'Data Checking'!JT45)</f>
        <v/>
      </c>
      <c r="JI45" s="2" t="str">
        <f>IF('Data Checking'!JU45="","",'Data Checking'!JU45)</f>
        <v>point_ecoute medical</v>
      </c>
      <c r="JJ45" s="2" t="str">
        <f>IF('Data Checking'!JV45="","",'Data Checking'!JV45)</f>
        <v>1</v>
      </c>
      <c r="JK45" s="2" t="str">
        <f>IF('Data Checking'!JW45="","",'Data Checking'!JW45)</f>
        <v>0</v>
      </c>
      <c r="JL45" s="2" t="str">
        <f>IF('Data Checking'!JX45="","",'Data Checking'!JX45)</f>
        <v>1</v>
      </c>
      <c r="JM45" s="2" t="str">
        <f>IF('Data Checking'!JY45="","",'Data Checking'!JY45)</f>
        <v>0</v>
      </c>
      <c r="JN45" s="2" t="str">
        <f>IF('Data Checking'!JZ45="","",'Data Checking'!JZ45)</f>
        <v>0</v>
      </c>
      <c r="JO45" s="2" t="str">
        <f>IF('Data Checking'!KA45="","",'Data Checking'!KA45)</f>
        <v>0</v>
      </c>
      <c r="JP45" s="2" t="str">
        <f>IF('Data Checking'!KB45="","",'Data Checking'!KB45)</f>
        <v>0</v>
      </c>
      <c r="JQ45" s="2" t="str">
        <f>IF('Data Checking'!KC45="","",'Data Checking'!KC45)</f>
        <v>0</v>
      </c>
      <c r="JR45" s="2" t="str">
        <f>IF('Data Checking'!KD45="","",'Data Checking'!KD45)</f>
        <v>0</v>
      </c>
      <c r="JS45" s="2" t="str">
        <f>IF('Data Checking'!KE45="","",'Data Checking'!KE45)</f>
        <v/>
      </c>
      <c r="JT45" s="2" t="str">
        <f>IF('Data Checking'!KF45="","",'Data Checking'!KF45)</f>
        <v>point_ecoute medical</v>
      </c>
      <c r="JU45" s="2" t="str">
        <f>IF('Data Checking'!KG45="","",'Data Checking'!KG45)</f>
        <v>1</v>
      </c>
      <c r="JV45" s="2" t="str">
        <f>IF('Data Checking'!KH45="","",'Data Checking'!KH45)</f>
        <v>0</v>
      </c>
      <c r="JW45" s="2" t="str">
        <f>IF('Data Checking'!KI45="","",'Data Checking'!KI45)</f>
        <v>1</v>
      </c>
      <c r="JX45" s="2" t="str">
        <f>IF('Data Checking'!KJ45="","",'Data Checking'!KJ45)</f>
        <v>0</v>
      </c>
      <c r="JY45" s="2" t="str">
        <f>IF('Data Checking'!KK45="","",'Data Checking'!KK45)</f>
        <v>0</v>
      </c>
      <c r="JZ45" s="2" t="str">
        <f>IF('Data Checking'!KL45="","",'Data Checking'!KL45)</f>
        <v>0</v>
      </c>
      <c r="KA45" s="2" t="str">
        <f>IF('Data Checking'!KM45="","",'Data Checking'!KM45)</f>
        <v>0</v>
      </c>
      <c r="KB45" s="2" t="str">
        <f>IF('Data Checking'!KN45="","",'Data Checking'!KN45)</f>
        <v>0</v>
      </c>
      <c r="KC45" s="2" t="str">
        <f>IF('Data Checking'!KO45="","",'Data Checking'!KO45)</f>
        <v>0</v>
      </c>
      <c r="KD45" s="2" t="str">
        <f>IF('Data Checking'!KP45="","",'Data Checking'!KP45)</f>
        <v/>
      </c>
      <c r="KE45" s="2" t="str">
        <f>IF('Data Checking'!KQ45="","",'Data Checking'!KQ45)</f>
        <v/>
      </c>
      <c r="KF45" s="2" t="str">
        <f>IF('Data Checking'!KR45="","",'Data Checking'!KR45)</f>
        <v>oui</v>
      </c>
      <c r="KG45" s="2" t="str">
        <f>IF('Data Checking'!KS45="","",'Data Checking'!KS45)</f>
        <v>manque_moyens probleme_orientation</v>
      </c>
      <c r="KH45" s="2" t="str">
        <f>IF('Data Checking'!KT45="","",'Data Checking'!KT45)</f>
        <v>1</v>
      </c>
      <c r="KI45" s="2" t="str">
        <f>IF('Data Checking'!KU45="","",'Data Checking'!KU45)</f>
        <v>0</v>
      </c>
      <c r="KJ45" s="2" t="str">
        <f>IF('Data Checking'!KV45="","",'Data Checking'!KV45)</f>
        <v>0</v>
      </c>
      <c r="KK45" s="2" t="str">
        <f>IF('Data Checking'!KW45="","",'Data Checking'!KW45)</f>
        <v>1</v>
      </c>
      <c r="KL45" s="2" t="str">
        <f>IF('Data Checking'!KX45="","",'Data Checking'!KX45)</f>
        <v>0</v>
      </c>
      <c r="KM45" s="2" t="str">
        <f>IF('Data Checking'!KY45="","",'Data Checking'!KY45)</f>
        <v>0</v>
      </c>
      <c r="KN45" s="2" t="str">
        <f>IF('Data Checking'!KZ45="","",'Data Checking'!KZ45)</f>
        <v>0</v>
      </c>
      <c r="KO45" s="2" t="str">
        <f>IF('Data Checking'!LA45="","",'Data Checking'!LA45)</f>
        <v>0</v>
      </c>
      <c r="KP45" s="2" t="str">
        <f>IF('Data Checking'!LB45="","",'Data Checking'!LB45)</f>
        <v>0</v>
      </c>
      <c r="KQ45" s="2" t="str">
        <f>IF('Data Checking'!LC45="","",'Data Checking'!LC45)</f>
        <v>0</v>
      </c>
      <c r="KR45" s="2" t="str">
        <f>IF('Data Checking'!LD45="","",'Data Checking'!LD45)</f>
        <v>0</v>
      </c>
      <c r="KS45" s="2" t="str">
        <f>IF('Data Checking'!LE45="","",'Data Checking'!LE45)</f>
        <v/>
      </c>
      <c r="KT45" s="2" t="str">
        <f>IF('Data Checking'!LF45="","",'Data Checking'!LF45)</f>
        <v>pb_coordination pb_logistiques</v>
      </c>
      <c r="KU45" s="2" t="str">
        <f>IF('Data Checking'!LG45="","",'Data Checking'!LG45)</f>
        <v>0</v>
      </c>
      <c r="KV45" s="2" t="str">
        <f>IF('Data Checking'!LH45="","",'Data Checking'!LH45)</f>
        <v>1</v>
      </c>
      <c r="KW45" s="2" t="str">
        <f>IF('Data Checking'!LI45="","",'Data Checking'!LI45)</f>
        <v>0</v>
      </c>
      <c r="KX45" s="2" t="str">
        <f>IF('Data Checking'!LJ45="","",'Data Checking'!LJ45)</f>
        <v>1</v>
      </c>
      <c r="KY45" s="2" t="str">
        <f>IF('Data Checking'!LK45="","",'Data Checking'!LK45)</f>
        <v>0</v>
      </c>
      <c r="KZ45" s="2" t="str">
        <f>IF('Data Checking'!LL45="","",'Data Checking'!LL45)</f>
        <v>0</v>
      </c>
      <c r="LA45" s="2" t="str">
        <f>IF('Data Checking'!LM45="","",'Data Checking'!LM45)</f>
        <v/>
      </c>
      <c r="LB45" s="2" t="str">
        <f>IF('Data Checking'!LN45="","",'Data Checking'!LN45)</f>
        <v>non</v>
      </c>
      <c r="LC45" s="2" t="str">
        <f>IF('Data Checking'!LO45="","",'Data Checking'!LO45)</f>
        <v/>
      </c>
      <c r="LD45" s="2" t="str">
        <f>IF('Data Checking'!LP45="","",'Data Checking'!LP45)</f>
        <v/>
      </c>
      <c r="LE45" s="2" t="str">
        <f>IF('Data Checking'!LQ45="","",'Data Checking'!LQ45)</f>
        <v/>
      </c>
      <c r="LF45" s="2" t="str">
        <f>IF('Data Checking'!LR45="","",'Data Checking'!LR45)</f>
        <v/>
      </c>
      <c r="LG45" s="2" t="str">
        <f>IF('Data Checking'!LS45="","",'Data Checking'!LS45)</f>
        <v/>
      </c>
      <c r="LH45" s="2" t="str">
        <f>IF('Data Checking'!LT45="","",'Data Checking'!LT45)</f>
        <v/>
      </c>
      <c r="LI45" s="2" t="str">
        <f>IF('Data Checking'!LU45="","",'Data Checking'!LU45)</f>
        <v/>
      </c>
      <c r="LJ45" s="2" t="str">
        <f>IF('Data Checking'!LV45="","",'Data Checking'!LV45)</f>
        <v/>
      </c>
      <c r="LK45" s="2" t="str">
        <f>IF('Data Checking'!LW45="","",'Data Checking'!LW45)</f>
        <v/>
      </c>
      <c r="LL45" s="2" t="str">
        <f>IF('Data Checking'!LX45="","",'Data Checking'!LX45)</f>
        <v/>
      </c>
      <c r="LM45" s="2" t="str">
        <f>IF('Data Checking'!LY45="","",'Data Checking'!LY45)</f>
        <v/>
      </c>
      <c r="LN45" s="2" t="str">
        <f>IF('Data Checking'!LZ45="","",'Data Checking'!LZ45)</f>
        <v/>
      </c>
      <c r="LO45" s="2" t="str">
        <f>IF('Data Checking'!MA45="","",'Data Checking'!MA45)</f>
        <v/>
      </c>
      <c r="LP45" s="2" t="str">
        <f>IF('Data Checking'!MB45="","",'Data Checking'!MB45)</f>
        <v>oui</v>
      </c>
      <c r="LQ45" s="2" t="str">
        <f>IF('Data Checking'!MC45="","",'Data Checking'!MC45)</f>
        <v/>
      </c>
      <c r="LR45" s="2" t="str">
        <f>IF('Data Checking'!MD45="","",'Data Checking'!MD45)</f>
        <v/>
      </c>
      <c r="LS45" s="2">
        <f>IF('Data Checking'!ME45="","",'Data Checking'!ME45)</f>
        <v>169355615</v>
      </c>
      <c r="LT45" s="2" t="str">
        <f>IF('Data Checking'!MF45="","",'Data Checking'!MF45)</f>
        <v>5c6a6c24-c1d3-440c-83d5-fdc6307a1a06</v>
      </c>
      <c r="LU45" s="2" t="str">
        <f>IF('Data Checking'!MG45="","",'Data Checking'!MG45)</f>
        <v>2021-04-02T19:44:42</v>
      </c>
      <c r="LV45" s="2" t="str">
        <f>IF('Data Checking'!MH45="","",'Data Checking'!MH45)</f>
        <v/>
      </c>
      <c r="LW45" s="2" t="str">
        <f>IF('Data Checking'!MI45="","",'Data Checking'!MI45)</f>
        <v>[]</v>
      </c>
      <c r="LX45" s="2" t="str">
        <f>IF('Data Checking'!MJ45="","",'Data Checking'!MJ45)</f>
        <v>submitted_via_web</v>
      </c>
      <c r="LY45" s="2" t="str">
        <f>IF('Data Checking'!MK45="","",'Data Checking'!MK45)</f>
        <v>reach_niger</v>
      </c>
      <c r="LZ45" s="2" t="str">
        <f>IF('Data Checking'!ML45="","",'Data Checking'!ML45)</f>
        <v/>
      </c>
      <c r="MA45" s="2">
        <f>IF('Data Checking'!MM45="","",'Data Checking'!MM45)</f>
        <v>34</v>
      </c>
    </row>
    <row r="46" spans="1:339" x14ac:dyDescent="0.3">
      <c r="A46" s="2" t="str">
        <f>IF('Data Checking'!D46="","",'Data Checking'!D46)</f>
        <v>2021-03-31T10:34:03.159+01:00</v>
      </c>
      <c r="B46" s="2" t="str">
        <f>IF('Data Checking'!E46="","",'Data Checking'!E46)</f>
        <v>2021-03-31T17:14:14.413+01:00</v>
      </c>
      <c r="C46" s="2" t="str">
        <f>IF('Data Checking'!M46="","",'Data Checking'!M46)</f>
        <v>2021-03-31</v>
      </c>
      <c r="D46" s="2" t="str">
        <f>IF('Data Checking'!N46="","",'Data Checking'!N46)</f>
        <v/>
      </c>
      <c r="E46" s="2" t="str">
        <f>IF('Data Checking'!O46="","",'Data Checking'!O46)</f>
        <v/>
      </c>
      <c r="F46" s="2" t="str">
        <f>IF('Data Checking'!R46="","",'Data Checking'!R46)</f>
        <v>Homme</v>
      </c>
      <c r="G46" s="2" t="str">
        <f>IF('Data Checking'!S46="","",'Data Checking'!S46)</f>
        <v>tillaberi</v>
      </c>
      <c r="H46" s="2" t="str">
        <f>IF('Data Checking'!T46="","",'Data Checking'!T46)</f>
        <v>dessa</v>
      </c>
      <c r="I46" s="2" t="str">
        <f>IF('Data Checking'!U46="","",'Data Checking'!U46)</f>
        <v>gaigorou</v>
      </c>
      <c r="J46" s="2" t="str">
        <f>IF('Data Checking'!V46="","",'Data Checking'!V46)</f>
        <v/>
      </c>
      <c r="K46" s="2" t="str">
        <f>IF('Data Checking'!W46="","",'Data Checking'!W46)</f>
        <v/>
      </c>
      <c r="L46" s="2" t="str">
        <f>IF('Data Checking'!X46="","",'Data Checking'!X46)</f>
        <v/>
      </c>
      <c r="M46" s="2" t="str">
        <f>IF('Data Checking'!Y46="","",'Data Checking'!Y46)</f>
        <v/>
      </c>
      <c r="N46" s="2" t="str">
        <f>IF('Data Checking'!Z46="","",'Data Checking'!Z46)</f>
        <v/>
      </c>
      <c r="O46" s="2" t="str">
        <f>IF('Data Checking'!AA46="","",'Data Checking'!AA46)</f>
        <v/>
      </c>
      <c r="P46" s="2" t="str">
        <f>IF('Data Checking'!AB46="","",'Data Checking'!AB46)</f>
        <v/>
      </c>
      <c r="Q46" s="2" t="str">
        <f>IF('Data Checking'!AC46="","",'Data Checking'!AC46)</f>
        <v/>
      </c>
      <c r="R46" s="2" t="str">
        <f>IF('Data Checking'!AD46="","",'Data Checking'!AD46)</f>
        <v>Homme</v>
      </c>
      <c r="S46" s="2" t="str">
        <f>IF('Data Checking'!AE46="","",'Data Checking'!AE46)</f>
        <v>31</v>
      </c>
      <c r="T46" s="2" t="str">
        <f>IF('Data Checking'!AF46="","",'Data Checking'!AF46)</f>
        <v>Hote</v>
      </c>
      <c r="U46" s="2" t="str">
        <f>IF('Data Checking'!AG46="","",'Data Checking'!AG46)</f>
        <v/>
      </c>
      <c r="V46" s="2" t="str">
        <f>IF('Data Checking'!AH46="","",'Data Checking'!AH46)</f>
        <v/>
      </c>
      <c r="W46" s="2" t="str">
        <f>IF('Data Checking'!AI46="","",'Data Checking'!AI46)</f>
        <v/>
      </c>
      <c r="X46" s="2" t="str">
        <f>IF('Data Checking'!AJ46="","",'Data Checking'!AJ46)</f>
        <v/>
      </c>
      <c r="Y46" s="2" t="str">
        <f>IF('Data Checking'!AK46="","",'Data Checking'!AK46)</f>
        <v/>
      </c>
      <c r="Z46" s="2" t="str">
        <f>IF('Data Checking'!AL46="","",'Data Checking'!AL46)</f>
        <v/>
      </c>
      <c r="AA46" s="2" t="str">
        <f>IF('Data Checking'!AM46="","",'Data Checking'!AM46)</f>
        <v/>
      </c>
      <c r="AB46" s="2" t="str">
        <f>IF('Data Checking'!AN46="","",'Data Checking'!AN46)</f>
        <v/>
      </c>
      <c r="AC46" s="2" t="str">
        <f>IF('Data Checking'!AO46="","",'Data Checking'!AO46)</f>
        <v/>
      </c>
      <c r="AD46" s="2" t="str">
        <f>IF('Data Checking'!AP46="","",'Data Checking'!AP46)</f>
        <v/>
      </c>
      <c r="AE46" s="2" t="str">
        <f>IF('Data Checking'!AQ46="","",'Data Checking'!AQ46)</f>
        <v/>
      </c>
      <c r="AF46" s="2" t="str">
        <f>IF('Data Checking'!AR46="","",'Data Checking'!AR46)</f>
        <v/>
      </c>
      <c r="AG46" s="2" t="str">
        <f>IF('Data Checking'!AS46="","",'Data Checking'!AS46)</f>
        <v>non</v>
      </c>
      <c r="AH46" s="2" t="str">
        <f>IF('Data Checking'!AT46="","",'Data Checking'!AT46)</f>
        <v/>
      </c>
      <c r="AI46" s="2" t="str">
        <f>IF('Data Checking'!AU46="","",'Data Checking'!AU46)</f>
        <v/>
      </c>
      <c r="AJ46" s="2" t="str">
        <f>IF('Data Checking'!AV46="","",'Data Checking'!AV46)</f>
        <v/>
      </c>
      <c r="AK46" s="2" t="str">
        <f>IF('Data Checking'!AW46="","",'Data Checking'!AW46)</f>
        <v/>
      </c>
      <c r="AL46" s="2" t="str">
        <f>IF('Data Checking'!AX46="","",'Data Checking'!AX46)</f>
        <v/>
      </c>
      <c r="AM46" s="2" t="str">
        <f>IF('Data Checking'!AY46="","",'Data Checking'!AY46)</f>
        <v/>
      </c>
      <c r="AN46" s="2" t="str">
        <f>IF('Data Checking'!AZ46="","",'Data Checking'!AZ46)</f>
        <v/>
      </c>
      <c r="AO46" s="2" t="str">
        <f>IF('Data Checking'!BA46="","",'Data Checking'!BA46)</f>
        <v/>
      </c>
      <c r="AP46" s="2" t="str">
        <f>IF('Data Checking'!BB46="","",'Data Checking'!BB46)</f>
        <v/>
      </c>
      <c r="AQ46" s="2" t="str">
        <f>IF('Data Checking'!BC46="","",'Data Checking'!BC46)</f>
        <v/>
      </c>
      <c r="AR46" s="2" t="str">
        <f>IF('Data Checking'!BD46="","",'Data Checking'!BD46)</f>
        <v/>
      </c>
      <c r="AS46" s="2" t="str">
        <f>IF('Data Checking'!BE46="","",'Data Checking'!BE46)</f>
        <v/>
      </c>
      <c r="AT46" s="2" t="str">
        <f>IF('Data Checking'!BF46="","",'Data Checking'!BF46)</f>
        <v/>
      </c>
      <c r="AU46" s="2" t="str">
        <f>IF('Data Checking'!BG46="","",'Data Checking'!BG46)</f>
        <v/>
      </c>
      <c r="AV46" s="2" t="str">
        <f>IF('Data Checking'!BH46="","",'Data Checking'!BH46)</f>
        <v/>
      </c>
      <c r="AW46" s="2" t="str">
        <f>IF('Data Checking'!BI46="","",'Data Checking'!BI46)</f>
        <v/>
      </c>
      <c r="AX46" s="2" t="str">
        <f>IF('Data Checking'!BJ46="","",'Data Checking'!BJ46)</f>
        <v/>
      </c>
      <c r="AY46" s="2" t="str">
        <f>IF('Data Checking'!BK46="","",'Data Checking'!BK46)</f>
        <v/>
      </c>
      <c r="AZ46" s="2" t="str">
        <f>IF('Data Checking'!BL46="","",'Data Checking'!BL46)</f>
        <v/>
      </c>
      <c r="BA46" s="2" t="str">
        <f>IF('Data Checking'!BM46="","",'Data Checking'!BM46)</f>
        <v/>
      </c>
      <c r="BB46" s="2" t="str">
        <f>IF('Data Checking'!BN46="","",'Data Checking'!BN46)</f>
        <v/>
      </c>
      <c r="BC46" s="2" t="str">
        <f>IF('Data Checking'!BO46="","",'Data Checking'!BO46)</f>
        <v/>
      </c>
      <c r="BD46" s="2" t="str">
        <f>IF('Data Checking'!BP46="","",'Data Checking'!BP46)</f>
        <v/>
      </c>
      <c r="BE46" s="2" t="str">
        <f>IF('Data Checking'!BQ46="","",'Data Checking'!BQ46)</f>
        <v/>
      </c>
      <c r="BF46" s="2" t="str">
        <f>IF('Data Checking'!BR46="","",'Data Checking'!BR46)</f>
        <v/>
      </c>
      <c r="BG46" s="2" t="str">
        <f>IF('Data Checking'!BS46="","",'Data Checking'!BS46)</f>
        <v/>
      </c>
      <c r="BH46" s="2" t="str">
        <f>IF('Data Checking'!BT46="","",'Data Checking'!BT46)</f>
        <v/>
      </c>
      <c r="BI46" s="2" t="str">
        <f>IF('Data Checking'!BU46="","",'Data Checking'!BU46)</f>
        <v/>
      </c>
      <c r="BJ46" s="2" t="str">
        <f>IF('Data Checking'!BV46="","",'Data Checking'!BV46)</f>
        <v/>
      </c>
      <c r="BK46" s="2" t="str">
        <f>IF('Data Checking'!BW46="","",'Data Checking'!BW46)</f>
        <v/>
      </c>
      <c r="BL46" s="2" t="str">
        <f>IF('Data Checking'!BX46="","",'Data Checking'!BX46)</f>
        <v/>
      </c>
      <c r="BM46" s="2" t="str">
        <f>IF('Data Checking'!BY46="","",'Data Checking'!BY46)</f>
        <v/>
      </c>
      <c r="BN46" s="2" t="str">
        <f>IF('Data Checking'!BZ46="","",'Data Checking'!BZ46)</f>
        <v/>
      </c>
      <c r="BO46" s="2" t="str">
        <f>IF('Data Checking'!CA46="","",'Data Checking'!CA46)</f>
        <v/>
      </c>
      <c r="BP46" s="2" t="str">
        <f>IF('Data Checking'!CB46="","",'Data Checking'!CB46)</f>
        <v/>
      </c>
      <c r="BQ46" s="2" t="str">
        <f>IF('Data Checking'!CC46="","",'Data Checking'!CC46)</f>
        <v>non</v>
      </c>
      <c r="BR46" s="2" t="str">
        <f>IF('Data Checking'!CD46="","",'Data Checking'!CD46)</f>
        <v/>
      </c>
      <c r="BS46" s="2" t="str">
        <f>IF('Data Checking'!CE46="","",'Data Checking'!CE46)</f>
        <v/>
      </c>
      <c r="BT46" s="2" t="str">
        <f>IF('Data Checking'!CF46="","",'Data Checking'!CF46)</f>
        <v/>
      </c>
      <c r="BU46" s="2" t="str">
        <f>IF('Data Checking'!CG46="","",'Data Checking'!CG46)</f>
        <v/>
      </c>
      <c r="BV46" s="2" t="str">
        <f>IF('Data Checking'!CH46="","",'Data Checking'!CH46)</f>
        <v/>
      </c>
      <c r="BW46" s="2" t="str">
        <f>IF('Data Checking'!CI46="","",'Data Checking'!CI46)</f>
        <v/>
      </c>
      <c r="BX46" s="2" t="str">
        <f>IF('Data Checking'!CJ46="","",'Data Checking'!CJ46)</f>
        <v/>
      </c>
      <c r="BY46" s="2" t="str">
        <f>IF('Data Checking'!CK46="","",'Data Checking'!CK46)</f>
        <v/>
      </c>
      <c r="BZ46" s="2" t="str">
        <f>IF('Data Checking'!CL46="","",'Data Checking'!CL46)</f>
        <v/>
      </c>
      <c r="CA46" s="2" t="str">
        <f>IF('Data Checking'!CM46="","",'Data Checking'!CM46)</f>
        <v/>
      </c>
      <c r="CB46" s="2" t="str">
        <f>IF('Data Checking'!CN46="","",'Data Checking'!CN46)</f>
        <v/>
      </c>
      <c r="CC46" s="2" t="str">
        <f>IF('Data Checking'!CO46="","",'Data Checking'!CO46)</f>
        <v/>
      </c>
      <c r="CD46" s="2" t="str">
        <f>IF('Data Checking'!CP46="","",'Data Checking'!CP46)</f>
        <v/>
      </c>
      <c r="CE46" s="2" t="str">
        <f>IF('Data Checking'!CQ46="","",'Data Checking'!CQ46)</f>
        <v/>
      </c>
      <c r="CF46" s="2" t="str">
        <f>IF('Data Checking'!CR46="","",'Data Checking'!CR46)</f>
        <v/>
      </c>
      <c r="CG46" s="2" t="str">
        <f>IF('Data Checking'!CS46="","",'Data Checking'!CS46)</f>
        <v/>
      </c>
      <c r="CH46" s="2" t="str">
        <f>IF('Data Checking'!CT46="","",'Data Checking'!CT46)</f>
        <v/>
      </c>
      <c r="CI46" s="2" t="str">
        <f>IF('Data Checking'!CU46="","",'Data Checking'!CU46)</f>
        <v/>
      </c>
      <c r="CJ46" s="2" t="str">
        <f>IF('Data Checking'!CV46="","",'Data Checking'!CV46)</f>
        <v/>
      </c>
      <c r="CK46" s="2" t="str">
        <f>IF('Data Checking'!CW46="","",'Data Checking'!CW46)</f>
        <v/>
      </c>
      <c r="CL46" s="2" t="str">
        <f>IF('Data Checking'!CX46="","",'Data Checking'!CX46)</f>
        <v/>
      </c>
      <c r="CM46" s="2" t="str">
        <f>IF('Data Checking'!CY46="","",'Data Checking'!CY46)</f>
        <v/>
      </c>
      <c r="CN46" s="2" t="str">
        <f>IF('Data Checking'!CZ46="","",'Data Checking'!CZ46)</f>
        <v/>
      </c>
      <c r="CO46" s="2" t="str">
        <f>IF('Data Checking'!DA46="","",'Data Checking'!DA46)</f>
        <v/>
      </c>
      <c r="CP46" s="2" t="str">
        <f>IF('Data Checking'!DB46="","",'Data Checking'!DB46)</f>
        <v/>
      </c>
      <c r="CQ46" s="2" t="str">
        <f>IF('Data Checking'!DC46="","",'Data Checking'!DC46)</f>
        <v/>
      </c>
      <c r="CR46" s="2" t="str">
        <f>IF('Data Checking'!DD46="","",'Data Checking'!DD46)</f>
        <v/>
      </c>
      <c r="CS46" s="2" t="str">
        <f>IF('Data Checking'!DE46="","",'Data Checking'!DE46)</f>
        <v/>
      </c>
      <c r="CT46" s="2" t="str">
        <f>IF('Data Checking'!DF46="","",'Data Checking'!DF46)</f>
        <v/>
      </c>
      <c r="CU46" s="2" t="str">
        <f>IF('Data Checking'!DG46="","",'Data Checking'!DG46)</f>
        <v/>
      </c>
      <c r="CV46" s="2" t="str">
        <f>IF('Data Checking'!DH46="","",'Data Checking'!DH46)</f>
        <v/>
      </c>
      <c r="CW46" s="2" t="str">
        <f>IF('Data Checking'!DI46="","",'Data Checking'!DI46)</f>
        <v/>
      </c>
      <c r="CX46" s="2" t="str">
        <f>IF('Data Checking'!DJ46="","",'Data Checking'!DJ46)</f>
        <v/>
      </c>
      <c r="CY46" s="2" t="str">
        <f>IF('Data Checking'!DK46="","",'Data Checking'!DK46)</f>
        <v/>
      </c>
      <c r="CZ46" s="2" t="str">
        <f>IF('Data Checking'!DL46="","",'Data Checking'!DL46)</f>
        <v/>
      </c>
      <c r="DA46" s="2" t="str">
        <f>IF('Data Checking'!DM46="","",'Data Checking'!DM46)</f>
        <v/>
      </c>
      <c r="DB46" s="2" t="str">
        <f>IF('Data Checking'!DN46="","",'Data Checking'!DN46)</f>
        <v/>
      </c>
      <c r="DC46" s="2" t="str">
        <f>IF('Data Checking'!DO46="","",'Data Checking'!DO46)</f>
        <v/>
      </c>
      <c r="DD46" s="2" t="str">
        <f>IF('Data Checking'!DP46="","",'Data Checking'!DP46)</f>
        <v/>
      </c>
      <c r="DE46" s="2" t="str">
        <f>IF('Data Checking'!DQ46="","",'Data Checking'!DQ46)</f>
        <v/>
      </c>
      <c r="DF46" s="2" t="str">
        <f>IF('Data Checking'!DR46="","",'Data Checking'!DR46)</f>
        <v/>
      </c>
      <c r="DG46" s="2" t="str">
        <f>IF('Data Checking'!DS46="","",'Data Checking'!DS46)</f>
        <v/>
      </c>
      <c r="DH46" s="2" t="str">
        <f>IF('Data Checking'!DT46="","",'Data Checking'!DT46)</f>
        <v/>
      </c>
      <c r="DI46" s="2" t="str">
        <f>IF('Data Checking'!DU46="","",'Data Checking'!DU46)</f>
        <v/>
      </c>
      <c r="DJ46" s="2" t="str">
        <f>IF('Data Checking'!DV46="","",'Data Checking'!DV46)</f>
        <v/>
      </c>
      <c r="DK46" s="2" t="str">
        <f>IF('Data Checking'!DW46="","",'Data Checking'!DW46)</f>
        <v/>
      </c>
      <c r="DL46" s="2" t="str">
        <f>IF('Data Checking'!DX46="","",'Data Checking'!DX46)</f>
        <v/>
      </c>
      <c r="DM46" s="2" t="str">
        <f>IF('Data Checking'!DY46="","",'Data Checking'!DY46)</f>
        <v/>
      </c>
      <c r="DN46" s="2" t="str">
        <f>IF('Data Checking'!DZ46="","",'Data Checking'!DZ46)</f>
        <v/>
      </c>
      <c r="DO46" s="2" t="str">
        <f>IF('Data Checking'!EA46="","",'Data Checking'!EA46)</f>
        <v/>
      </c>
      <c r="DP46" s="2" t="str">
        <f>IF('Data Checking'!EB46="","",'Data Checking'!EB46)</f>
        <v/>
      </c>
      <c r="DQ46" s="2" t="str">
        <f>IF('Data Checking'!EC46="","",'Data Checking'!EC46)</f>
        <v/>
      </c>
      <c r="DR46" s="2" t="str">
        <f>IF('Data Checking'!ED46="","",'Data Checking'!ED46)</f>
        <v/>
      </c>
      <c r="DS46" s="2" t="str">
        <f>IF('Data Checking'!EE46="","",'Data Checking'!EE46)</f>
        <v/>
      </c>
      <c r="DT46" s="2" t="str">
        <f>IF('Data Checking'!EF46="","",'Data Checking'!EF46)</f>
        <v/>
      </c>
      <c r="DU46" s="2" t="str">
        <f>IF('Data Checking'!EG46="","",'Data Checking'!EG46)</f>
        <v/>
      </c>
      <c r="DV46" s="2" t="str">
        <f>IF('Data Checking'!EH46="","",'Data Checking'!EH46)</f>
        <v/>
      </c>
      <c r="DW46" s="2" t="str">
        <f>IF('Data Checking'!EI46="","",'Data Checking'!EI46)</f>
        <v/>
      </c>
      <c r="DX46" s="2" t="str">
        <f>IF('Data Checking'!EJ46="","",'Data Checking'!EJ46)</f>
        <v/>
      </c>
      <c r="DY46" s="2" t="str">
        <f>IF('Data Checking'!EK46="","",'Data Checking'!EK46)</f>
        <v/>
      </c>
      <c r="DZ46" s="2" t="str">
        <f>IF('Data Checking'!EL46="","",'Data Checking'!EL46)</f>
        <v>Soutien_famille_amis Integration_com_hote</v>
      </c>
      <c r="EA46" s="2" t="str">
        <f>IF('Data Checking'!EM46="","",'Data Checking'!EM46)</f>
        <v>0</v>
      </c>
      <c r="EB46" s="2" t="str">
        <f>IF('Data Checking'!EN46="","",'Data Checking'!EN46)</f>
        <v>1</v>
      </c>
      <c r="EC46" s="2" t="str">
        <f>IF('Data Checking'!EO46="","",'Data Checking'!EO46)</f>
        <v>1</v>
      </c>
      <c r="ED46" s="2" t="str">
        <f>IF('Data Checking'!EP46="","",'Data Checking'!EP46)</f>
        <v>0</v>
      </c>
      <c r="EE46" s="2" t="str">
        <f>IF('Data Checking'!EQ46="","",'Data Checking'!EQ46)</f>
        <v>0</v>
      </c>
      <c r="EF46" s="2" t="str">
        <f>IF('Data Checking'!ER46="","",'Data Checking'!ER46)</f>
        <v>0</v>
      </c>
      <c r="EG46" s="2" t="str">
        <f>IF('Data Checking'!ES46="","",'Data Checking'!ES46)</f>
        <v>0</v>
      </c>
      <c r="EH46" s="2" t="str">
        <f>IF('Data Checking'!ET46="","",'Data Checking'!ET46)</f>
        <v>0</v>
      </c>
      <c r="EI46" s="2" t="str">
        <f>IF('Data Checking'!EU46="","",'Data Checking'!EU46)</f>
        <v>0</v>
      </c>
      <c r="EJ46" s="2" t="str">
        <f>IF('Data Checking'!EV46="","",'Data Checking'!EV46)</f>
        <v/>
      </c>
      <c r="EK46" s="2" t="str">
        <f>IF('Data Checking'!EW46="","",'Data Checking'!EW46)</f>
        <v/>
      </c>
      <c r="EL46" s="2" t="str">
        <f>IF('Data Checking'!EX46="","",'Data Checking'!EX46)</f>
        <v>famille_accueil comite_gestion_conflits comite_protection</v>
      </c>
      <c r="EM46" s="2" t="str">
        <f>IF('Data Checking'!EY46="","",'Data Checking'!EY46)</f>
        <v>0</v>
      </c>
      <c r="EN46" s="2" t="str">
        <f>IF('Data Checking'!EZ46="","",'Data Checking'!EZ46)</f>
        <v>1</v>
      </c>
      <c r="EO46" s="2" t="str">
        <f>IF('Data Checking'!FA46="","",'Data Checking'!FA46)</f>
        <v>1</v>
      </c>
      <c r="EP46" s="2" t="str">
        <f>IF('Data Checking'!FB46="","",'Data Checking'!FB46)</f>
        <v>0</v>
      </c>
      <c r="EQ46" s="2" t="str">
        <f>IF('Data Checking'!FC46="","",'Data Checking'!FC46)</f>
        <v>0</v>
      </c>
      <c r="ER46" s="2" t="str">
        <f>IF('Data Checking'!FD46="","",'Data Checking'!FD46)</f>
        <v>1</v>
      </c>
      <c r="ES46" s="2" t="str">
        <f>IF('Data Checking'!FE46="","",'Data Checking'!FE46)</f>
        <v>0</v>
      </c>
      <c r="ET46" s="2" t="str">
        <f>IF('Data Checking'!FF46="","",'Data Checking'!FF46)</f>
        <v>0</v>
      </c>
      <c r="EU46" s="2" t="str">
        <f>IF('Data Checking'!FG46="","",'Data Checking'!FG46)</f>
        <v>0</v>
      </c>
      <c r="EV46" s="2" t="str">
        <f>IF('Data Checking'!FH46="","",'Data Checking'!FH46)</f>
        <v>0</v>
      </c>
      <c r="EW46" s="2" t="str">
        <f>IF('Data Checking'!FI46="","",'Data Checking'!FI46)</f>
        <v/>
      </c>
      <c r="EX46" s="2" t="str">
        <f>IF('Data Checking'!FJ46="","",'Data Checking'!FJ46)</f>
        <v>oui</v>
      </c>
      <c r="EY46" s="2" t="str">
        <f>IF('Data Checking'!FK46="","",'Data Checking'!FK46)</f>
        <v>Radio_television manif_sociales Chef_village Groupement_femmes</v>
      </c>
      <c r="EZ46" s="2" t="str">
        <f>IF('Data Checking'!FL46="","",'Data Checking'!FL46)</f>
        <v>1</v>
      </c>
      <c r="FA46" s="2" t="str">
        <f>IF('Data Checking'!FM46="","",'Data Checking'!FM46)</f>
        <v>0</v>
      </c>
      <c r="FB46" s="2" t="str">
        <f>IF('Data Checking'!FN46="","",'Data Checking'!FN46)</f>
        <v>0</v>
      </c>
      <c r="FC46" s="2" t="str">
        <f>IF('Data Checking'!FO46="","",'Data Checking'!FO46)</f>
        <v>1</v>
      </c>
      <c r="FD46" s="2" t="str">
        <f>IF('Data Checking'!FP46="","",'Data Checking'!FP46)</f>
        <v>1</v>
      </c>
      <c r="FE46" s="2" t="str">
        <f>IF('Data Checking'!FQ46="","",'Data Checking'!FQ46)</f>
        <v>0</v>
      </c>
      <c r="FF46" s="2" t="str">
        <f>IF('Data Checking'!FR46="","",'Data Checking'!FR46)</f>
        <v>0</v>
      </c>
      <c r="FG46" s="2" t="str">
        <f>IF('Data Checking'!FS46="","",'Data Checking'!FS46)</f>
        <v>1</v>
      </c>
      <c r="FH46" s="2" t="str">
        <f>IF('Data Checking'!FT46="","",'Data Checking'!FT46)</f>
        <v>0</v>
      </c>
      <c r="FI46" s="2" t="str">
        <f>IF('Data Checking'!FU46="","",'Data Checking'!FU46)</f>
        <v>0</v>
      </c>
      <c r="FJ46" s="2" t="str">
        <f>IF('Data Checking'!FV46="","",'Data Checking'!FV46)</f>
        <v>0</v>
      </c>
      <c r="FK46" s="2" t="str">
        <f>IF('Data Checking'!FW46="","",'Data Checking'!FW46)</f>
        <v>0</v>
      </c>
      <c r="FL46" s="2" t="str">
        <f>IF('Data Checking'!FX46="","",'Data Checking'!FX46)</f>
        <v>0</v>
      </c>
      <c r="FM46" s="2" t="str">
        <f>IF('Data Checking'!FY46="","",'Data Checking'!FY46)</f>
        <v>0</v>
      </c>
      <c r="FN46" s="2" t="str">
        <f>IF('Data Checking'!FZ46="","",'Data Checking'!FZ46)</f>
        <v/>
      </c>
      <c r="FO46" s="2" t="str">
        <f>IF('Data Checking'!GA46="","",'Data Checking'!GA46)</f>
        <v>oui_moitie</v>
      </c>
      <c r="FP46" s="2" t="str">
        <f>IF('Data Checking'!GB46="","",'Data Checking'!GB46)</f>
        <v>oui_moitie</v>
      </c>
      <c r="FQ46" s="2" t="str">
        <f>IF('Data Checking'!GC46="","",'Data Checking'!GC46)</f>
        <v>manque_info trop_du_monde insecurite</v>
      </c>
      <c r="FR46" s="2" t="str">
        <f>IF('Data Checking'!GD46="","",'Data Checking'!GD46)</f>
        <v>0</v>
      </c>
      <c r="FS46" s="2" t="str">
        <f>IF('Data Checking'!GE46="","",'Data Checking'!GE46)</f>
        <v>1</v>
      </c>
      <c r="FT46" s="2" t="str">
        <f>IF('Data Checking'!GF46="","",'Data Checking'!GF46)</f>
        <v>0</v>
      </c>
      <c r="FU46" s="2" t="str">
        <f>IF('Data Checking'!GG46="","",'Data Checking'!GG46)</f>
        <v>0</v>
      </c>
      <c r="FV46" s="2" t="str">
        <f>IF('Data Checking'!GH46="","",'Data Checking'!GH46)</f>
        <v>1</v>
      </c>
      <c r="FW46" s="2" t="str">
        <f>IF('Data Checking'!GI46="","",'Data Checking'!GI46)</f>
        <v>1</v>
      </c>
      <c r="FX46" s="2" t="str">
        <f>IF('Data Checking'!GJ46="","",'Data Checking'!GJ46)</f>
        <v>0</v>
      </c>
      <c r="FY46" s="2" t="str">
        <f>IF('Data Checking'!GK46="","",'Data Checking'!GK46)</f>
        <v>0</v>
      </c>
      <c r="FZ46" s="2" t="str">
        <f>IF('Data Checking'!GL46="","",'Data Checking'!GL46)</f>
        <v/>
      </c>
      <c r="GA46" s="2" t="str">
        <f>IF('Data Checking'!GM46="","",'Data Checking'!GM46)</f>
        <v>moitie</v>
      </c>
      <c r="GB46" s="2" t="str">
        <f>IF('Data Checking'!GN46="","",'Data Checking'!GN46)</f>
        <v>moitie</v>
      </c>
      <c r="GC46" s="2" t="str">
        <f>IF('Data Checking'!GO46="","",'Data Checking'!GO46)</f>
        <v>Education Services_de_sante Acces_aux_doc</v>
      </c>
      <c r="GD46" s="2" t="str">
        <f>IF('Data Checking'!GP46="","",'Data Checking'!GP46)</f>
        <v>0</v>
      </c>
      <c r="GE46" s="2" t="str">
        <f>IF('Data Checking'!GQ46="","",'Data Checking'!GQ46)</f>
        <v>1</v>
      </c>
      <c r="GF46" s="2" t="str">
        <f>IF('Data Checking'!GR46="","",'Data Checking'!GR46)</f>
        <v>0</v>
      </c>
      <c r="GG46" s="2" t="str">
        <f>IF('Data Checking'!GS46="","",'Data Checking'!GS46)</f>
        <v>1</v>
      </c>
      <c r="GH46" s="2" t="str">
        <f>IF('Data Checking'!GT46="","",'Data Checking'!GT46)</f>
        <v>1</v>
      </c>
      <c r="GI46" s="2" t="str">
        <f>IF('Data Checking'!GU46="","",'Data Checking'!GU46)</f>
        <v>0</v>
      </c>
      <c r="GJ46" s="2" t="str">
        <f>IF('Data Checking'!GV46="","",'Data Checking'!GV46)</f>
        <v>0</v>
      </c>
      <c r="GK46" s="2" t="str">
        <f>IF('Data Checking'!GW46="","",'Data Checking'!GW46)</f>
        <v>0</v>
      </c>
      <c r="GL46" s="2" t="str">
        <f>IF('Data Checking'!GX46="","",'Data Checking'!GX46)</f>
        <v>0</v>
      </c>
      <c r="GM46" s="2" t="str">
        <f>IF('Data Checking'!GY46="","",'Data Checking'!GY46)</f>
        <v/>
      </c>
      <c r="GN46" s="2" t="str">
        <f>IF('Data Checking'!GZ46="","",'Data Checking'!GZ46)</f>
        <v>oui_minorite</v>
      </c>
      <c r="GO46" s="2" t="str">
        <f>IF('Data Checking'!HA46="","",'Data Checking'!HA46)</f>
        <v>oui_majorite</v>
      </c>
      <c r="GP46" s="2" t="str">
        <f>IF('Data Checking'!HB46="","",'Data Checking'!HB46)</f>
        <v>repond_besoins_pop permet_obtenir_conseils amelioration_futur</v>
      </c>
      <c r="GQ46" s="2" t="str">
        <f>IF('Data Checking'!HC46="","",'Data Checking'!HC46)</f>
        <v>1</v>
      </c>
      <c r="GR46" s="2" t="str">
        <f>IF('Data Checking'!HD46="","",'Data Checking'!HD46)</f>
        <v>1</v>
      </c>
      <c r="GS46" s="2" t="str">
        <f>IF('Data Checking'!HE46="","",'Data Checking'!HE46)</f>
        <v>1</v>
      </c>
      <c r="GT46" s="2" t="str">
        <f>IF('Data Checking'!HF46="","",'Data Checking'!HF46)</f>
        <v>0</v>
      </c>
      <c r="GU46" s="2" t="str">
        <f>IF('Data Checking'!HG46="","",'Data Checking'!HG46)</f>
        <v>0</v>
      </c>
      <c r="GV46" s="2" t="str">
        <f>IF('Data Checking'!HH46="","",'Data Checking'!HH46)</f>
        <v>0</v>
      </c>
      <c r="GW46" s="2" t="str">
        <f>IF('Data Checking'!HI46="","",'Data Checking'!HI46)</f>
        <v>0</v>
      </c>
      <c r="GX46" s="2" t="str">
        <f>IF('Data Checking'!HJ46="","",'Data Checking'!HJ46)</f>
        <v>0</v>
      </c>
      <c r="GY46" s="2" t="str">
        <f>IF('Data Checking'!HK46="","",'Data Checking'!HK46)</f>
        <v/>
      </c>
      <c r="GZ46" s="2" t="str">
        <f>IF('Data Checking'!HL46="","",'Data Checking'!HL46)</f>
        <v>non_diminition_tension non_obtention_info ne_repond_pas</v>
      </c>
      <c r="HA46" s="2" t="str">
        <f>IF('Data Checking'!HM46="","",'Data Checking'!HM46)</f>
        <v>0</v>
      </c>
      <c r="HB46" s="2" t="str">
        <f>IF('Data Checking'!HN46="","",'Data Checking'!HN46)</f>
        <v>1</v>
      </c>
      <c r="HC46" s="2" t="str">
        <f>IF('Data Checking'!HO46="","",'Data Checking'!HO46)</f>
        <v>1</v>
      </c>
      <c r="HD46" s="2" t="str">
        <f>IF('Data Checking'!HP46="","",'Data Checking'!HP46)</f>
        <v>1</v>
      </c>
      <c r="HE46" s="2" t="str">
        <f>IF('Data Checking'!HQ46="","",'Data Checking'!HQ46)</f>
        <v>0</v>
      </c>
      <c r="HF46" s="2" t="str">
        <f>IF('Data Checking'!HR46="","",'Data Checking'!HR46)</f>
        <v>0</v>
      </c>
      <c r="HG46" s="2" t="str">
        <f>IF('Data Checking'!HS46="","",'Data Checking'!HS46)</f>
        <v/>
      </c>
      <c r="HH46" s="2" t="str">
        <f>IF('Data Checking'!HT46="","",'Data Checking'!HT46)</f>
        <v/>
      </c>
      <c r="HI46" s="2" t="str">
        <f>IF('Data Checking'!HU46="","",'Data Checking'!HU46)</f>
        <v>non</v>
      </c>
      <c r="HJ46" s="2" t="str">
        <f>IF('Data Checking'!HV46="","",'Data Checking'!HV46)</f>
        <v/>
      </c>
      <c r="HK46" s="2" t="str">
        <f>IF('Data Checking'!HW46="","",'Data Checking'!HW46)</f>
        <v/>
      </c>
      <c r="HL46" s="2" t="str">
        <f>IF('Data Checking'!HX46="","",'Data Checking'!HX46)</f>
        <v/>
      </c>
      <c r="HM46" s="2" t="str">
        <f>IF('Data Checking'!HY46="","",'Data Checking'!HY46)</f>
        <v/>
      </c>
      <c r="HN46" s="2" t="str">
        <f>IF('Data Checking'!HZ46="","",'Data Checking'!HZ46)</f>
        <v/>
      </c>
      <c r="HO46" s="2" t="str">
        <f>IF('Data Checking'!IA46="","",'Data Checking'!IA46)</f>
        <v/>
      </c>
      <c r="HP46" s="2" t="str">
        <f>IF('Data Checking'!IB46="","",'Data Checking'!IB46)</f>
        <v/>
      </c>
      <c r="HQ46" s="2" t="str">
        <f>IF('Data Checking'!IC46="","",'Data Checking'!IC46)</f>
        <v/>
      </c>
      <c r="HR46" s="2" t="str">
        <f>IF('Data Checking'!ID46="","",'Data Checking'!ID46)</f>
        <v/>
      </c>
      <c r="HS46" s="2" t="str">
        <f>IF('Data Checking'!IE46="","",'Data Checking'!IE46)</f>
        <v/>
      </c>
      <c r="HT46" s="2" t="str">
        <f>IF('Data Checking'!IF46="","",'Data Checking'!IF46)</f>
        <v/>
      </c>
      <c r="HU46" s="2" t="str">
        <f>IF('Data Checking'!IG46="","",'Data Checking'!IG46)</f>
        <v/>
      </c>
      <c r="HV46" s="2" t="str">
        <f>IF('Data Checking'!IH46="","",'Data Checking'!IH46)</f>
        <v>oui</v>
      </c>
      <c r="HW46" s="2" t="str">
        <f>IF('Data Checking'!II46="","",'Data Checking'!II46)</f>
        <v/>
      </c>
      <c r="HX46" s="2" t="str">
        <f>IF('Data Checking'!IJ46="","",'Data Checking'!IJ46)</f>
        <v/>
      </c>
      <c r="HY46" s="2" t="str">
        <f>IF('Data Checking'!IK46="","",'Data Checking'!IK46)</f>
        <v/>
      </c>
      <c r="HZ46" s="2" t="str">
        <f>IF('Data Checking'!IL46="","",'Data Checking'!IL46)</f>
        <v/>
      </c>
      <c r="IA46" s="2" t="str">
        <f>IF('Data Checking'!IM46="","",'Data Checking'!IM46)</f>
        <v/>
      </c>
      <c r="IB46" s="2" t="str">
        <f>IF('Data Checking'!IN46="","",'Data Checking'!IN46)</f>
        <v/>
      </c>
      <c r="IC46" s="2" t="str">
        <f>IF('Data Checking'!IO46="","",'Data Checking'!IO46)</f>
        <v/>
      </c>
      <c r="ID46" s="2" t="str">
        <f>IF('Data Checking'!IP46="","",'Data Checking'!IP46)</f>
        <v/>
      </c>
      <c r="IE46" s="2" t="str">
        <f>IF('Data Checking'!IQ46="","",'Data Checking'!IQ46)</f>
        <v/>
      </c>
      <c r="IF46" s="2" t="str">
        <f>IF('Data Checking'!IR46="","",'Data Checking'!IR46)</f>
        <v/>
      </c>
      <c r="IG46" s="2" t="str">
        <f>IF('Data Checking'!IS46="","",'Data Checking'!IS46)</f>
        <v/>
      </c>
      <c r="IH46" s="2" t="str">
        <f>IF('Data Checking'!IT46="","",'Data Checking'!IT46)</f>
        <v/>
      </c>
      <c r="II46" s="2" t="str">
        <f>IF('Data Checking'!IU46="","",'Data Checking'!IU46)</f>
        <v/>
      </c>
      <c r="IJ46" s="2" t="str">
        <f>IF('Data Checking'!IV46="","",'Data Checking'!IV46)</f>
        <v/>
      </c>
      <c r="IK46" s="2" t="str">
        <f>IF('Data Checking'!IW46="","",'Data Checking'!IW46)</f>
        <v/>
      </c>
      <c r="IL46" s="2" t="str">
        <f>IF('Data Checking'!IX46="","",'Data Checking'!IX46)</f>
        <v/>
      </c>
      <c r="IM46" s="2" t="str">
        <f>IF('Data Checking'!IY46="","",'Data Checking'!IY46)</f>
        <v/>
      </c>
      <c r="IN46" s="2" t="str">
        <f>IF('Data Checking'!IZ46="","",'Data Checking'!IZ46)</f>
        <v>2</v>
      </c>
      <c r="IO46" s="2" t="str">
        <f>IF('Data Checking'!JA46="","",'Data Checking'!JA46)</f>
        <v>Services_medicaux Services_educatifs acces_docs</v>
      </c>
      <c r="IP46" s="2" t="str">
        <f>IF('Data Checking'!JB46="","",'Data Checking'!JB46)</f>
        <v>0</v>
      </c>
      <c r="IQ46" s="2" t="str">
        <f>IF('Data Checking'!JC46="","",'Data Checking'!JC46)</f>
        <v>1</v>
      </c>
      <c r="IR46" s="2" t="str">
        <f>IF('Data Checking'!JD46="","",'Data Checking'!JD46)</f>
        <v>1</v>
      </c>
      <c r="IS46" s="2" t="str">
        <f>IF('Data Checking'!JE46="","",'Data Checking'!JE46)</f>
        <v>0</v>
      </c>
      <c r="IT46" s="2" t="str">
        <f>IF('Data Checking'!JF46="","",'Data Checking'!JF46)</f>
        <v>1</v>
      </c>
      <c r="IU46" s="2" t="str">
        <f>IF('Data Checking'!JG46="","",'Data Checking'!JG46)</f>
        <v>0</v>
      </c>
      <c r="IV46" s="2" t="str">
        <f>IF('Data Checking'!JH46="","",'Data Checking'!JH46)</f>
        <v>0</v>
      </c>
      <c r="IW46" s="2" t="str">
        <f>IF('Data Checking'!JI46="","",'Data Checking'!JI46)</f>
        <v>0</v>
      </c>
      <c r="IX46" s="2" t="str">
        <f>IF('Data Checking'!JJ46="","",'Data Checking'!JJ46)</f>
        <v>0</v>
      </c>
      <c r="IY46" s="2" t="str">
        <f>IF('Data Checking'!JK46="","",'Data Checking'!JK46)</f>
        <v>0</v>
      </c>
      <c r="IZ46" s="2" t="str">
        <f>IF('Data Checking'!JL46="","",'Data Checking'!JL46)</f>
        <v/>
      </c>
      <c r="JA46" s="2" t="str">
        <f>IF('Data Checking'!JM46="","",'Data Checking'!JM46)</f>
        <v>prise_enchage reorientation signalement</v>
      </c>
      <c r="JB46" s="2" t="str">
        <f>IF('Data Checking'!JN46="","",'Data Checking'!JN46)</f>
        <v>1</v>
      </c>
      <c r="JC46" s="2" t="str">
        <f>IF('Data Checking'!JO46="","",'Data Checking'!JO46)</f>
        <v>1</v>
      </c>
      <c r="JD46" s="2" t="str">
        <f>IF('Data Checking'!JP46="","",'Data Checking'!JP46)</f>
        <v>1</v>
      </c>
      <c r="JE46" s="2" t="str">
        <f>IF('Data Checking'!JQ46="","",'Data Checking'!JQ46)</f>
        <v>0</v>
      </c>
      <c r="JF46" s="2" t="str">
        <f>IF('Data Checking'!JR46="","",'Data Checking'!JR46)</f>
        <v>0</v>
      </c>
      <c r="JG46" s="2" t="str">
        <f>IF('Data Checking'!JS46="","",'Data Checking'!JS46)</f>
        <v>0</v>
      </c>
      <c r="JH46" s="2" t="str">
        <f>IF('Data Checking'!JT46="","",'Data Checking'!JT46)</f>
        <v/>
      </c>
      <c r="JI46" s="2" t="str">
        <f>IF('Data Checking'!JU46="","",'Data Checking'!JU46)</f>
        <v>medical point_ecoute surete</v>
      </c>
      <c r="JJ46" s="2" t="str">
        <f>IF('Data Checking'!JV46="","",'Data Checking'!JV46)</f>
        <v>1</v>
      </c>
      <c r="JK46" s="2" t="str">
        <f>IF('Data Checking'!JW46="","",'Data Checking'!JW46)</f>
        <v>0</v>
      </c>
      <c r="JL46" s="2" t="str">
        <f>IF('Data Checking'!JX46="","",'Data Checking'!JX46)</f>
        <v>1</v>
      </c>
      <c r="JM46" s="2" t="str">
        <f>IF('Data Checking'!JY46="","",'Data Checking'!JY46)</f>
        <v>0</v>
      </c>
      <c r="JN46" s="2" t="str">
        <f>IF('Data Checking'!JZ46="","",'Data Checking'!JZ46)</f>
        <v>1</v>
      </c>
      <c r="JO46" s="2" t="str">
        <f>IF('Data Checking'!KA46="","",'Data Checking'!KA46)</f>
        <v>0</v>
      </c>
      <c r="JP46" s="2" t="str">
        <f>IF('Data Checking'!KB46="","",'Data Checking'!KB46)</f>
        <v>0</v>
      </c>
      <c r="JQ46" s="2" t="str">
        <f>IF('Data Checking'!KC46="","",'Data Checking'!KC46)</f>
        <v>0</v>
      </c>
      <c r="JR46" s="2" t="str">
        <f>IF('Data Checking'!KD46="","",'Data Checking'!KD46)</f>
        <v>0</v>
      </c>
      <c r="JS46" s="2" t="str">
        <f>IF('Data Checking'!KE46="","",'Data Checking'!KE46)</f>
        <v/>
      </c>
      <c r="JT46" s="2" t="str">
        <f>IF('Data Checking'!KF46="","",'Data Checking'!KF46)</f>
        <v>medical point_ecoute surete</v>
      </c>
      <c r="JU46" s="2" t="str">
        <f>IF('Data Checking'!KG46="","",'Data Checking'!KG46)</f>
        <v>1</v>
      </c>
      <c r="JV46" s="2" t="str">
        <f>IF('Data Checking'!KH46="","",'Data Checking'!KH46)</f>
        <v>0</v>
      </c>
      <c r="JW46" s="2" t="str">
        <f>IF('Data Checking'!KI46="","",'Data Checking'!KI46)</f>
        <v>1</v>
      </c>
      <c r="JX46" s="2" t="str">
        <f>IF('Data Checking'!KJ46="","",'Data Checking'!KJ46)</f>
        <v>0</v>
      </c>
      <c r="JY46" s="2" t="str">
        <f>IF('Data Checking'!KK46="","",'Data Checking'!KK46)</f>
        <v>1</v>
      </c>
      <c r="JZ46" s="2" t="str">
        <f>IF('Data Checking'!KL46="","",'Data Checking'!KL46)</f>
        <v>0</v>
      </c>
      <c r="KA46" s="2" t="str">
        <f>IF('Data Checking'!KM46="","",'Data Checking'!KM46)</f>
        <v>0</v>
      </c>
      <c r="KB46" s="2" t="str">
        <f>IF('Data Checking'!KN46="","",'Data Checking'!KN46)</f>
        <v>0</v>
      </c>
      <c r="KC46" s="2" t="str">
        <f>IF('Data Checking'!KO46="","",'Data Checking'!KO46)</f>
        <v>0</v>
      </c>
      <c r="KD46" s="2" t="str">
        <f>IF('Data Checking'!KP46="","",'Data Checking'!KP46)</f>
        <v/>
      </c>
      <c r="KE46" s="2" t="str">
        <f>IF('Data Checking'!KQ46="","",'Data Checking'!KQ46)</f>
        <v/>
      </c>
      <c r="KF46" s="2" t="str">
        <f>IF('Data Checking'!KR46="","",'Data Checking'!KR46)</f>
        <v>oui</v>
      </c>
      <c r="KG46" s="2" t="str">
        <f>IF('Data Checking'!KS46="","",'Data Checking'!KS46)</f>
        <v>manque_moyens insecurite_zone probleme_orientation</v>
      </c>
      <c r="KH46" s="2" t="str">
        <f>IF('Data Checking'!KT46="","",'Data Checking'!KT46)</f>
        <v>1</v>
      </c>
      <c r="KI46" s="2" t="str">
        <f>IF('Data Checking'!KU46="","",'Data Checking'!KU46)</f>
        <v>0</v>
      </c>
      <c r="KJ46" s="2" t="str">
        <f>IF('Data Checking'!KV46="","",'Data Checking'!KV46)</f>
        <v>0</v>
      </c>
      <c r="KK46" s="2" t="str">
        <f>IF('Data Checking'!KW46="","",'Data Checking'!KW46)</f>
        <v>1</v>
      </c>
      <c r="KL46" s="2" t="str">
        <f>IF('Data Checking'!KX46="","",'Data Checking'!KX46)</f>
        <v>1</v>
      </c>
      <c r="KM46" s="2" t="str">
        <f>IF('Data Checking'!KY46="","",'Data Checking'!KY46)</f>
        <v>0</v>
      </c>
      <c r="KN46" s="2" t="str">
        <f>IF('Data Checking'!KZ46="","",'Data Checking'!KZ46)</f>
        <v>0</v>
      </c>
      <c r="KO46" s="2" t="str">
        <f>IF('Data Checking'!LA46="","",'Data Checking'!LA46)</f>
        <v>0</v>
      </c>
      <c r="KP46" s="2" t="str">
        <f>IF('Data Checking'!LB46="","",'Data Checking'!LB46)</f>
        <v>0</v>
      </c>
      <c r="KQ46" s="2" t="str">
        <f>IF('Data Checking'!LC46="","",'Data Checking'!LC46)</f>
        <v>0</v>
      </c>
      <c r="KR46" s="2" t="str">
        <f>IF('Data Checking'!LD46="","",'Data Checking'!LD46)</f>
        <v>0</v>
      </c>
      <c r="KS46" s="2" t="str">
        <f>IF('Data Checking'!LE46="","",'Data Checking'!LE46)</f>
        <v/>
      </c>
      <c r="KT46" s="2" t="str">
        <f>IF('Data Checking'!LF46="","",'Data Checking'!LF46)</f>
        <v>pb_logistiques pb_secu</v>
      </c>
      <c r="KU46" s="2" t="str">
        <f>IF('Data Checking'!LG46="","",'Data Checking'!LG46)</f>
        <v>0</v>
      </c>
      <c r="KV46" s="2" t="str">
        <f>IF('Data Checking'!LH46="","",'Data Checking'!LH46)</f>
        <v>1</v>
      </c>
      <c r="KW46" s="2" t="str">
        <f>IF('Data Checking'!LI46="","",'Data Checking'!LI46)</f>
        <v>1</v>
      </c>
      <c r="KX46" s="2" t="str">
        <f>IF('Data Checking'!LJ46="","",'Data Checking'!LJ46)</f>
        <v>0</v>
      </c>
      <c r="KY46" s="2" t="str">
        <f>IF('Data Checking'!LK46="","",'Data Checking'!LK46)</f>
        <v>0</v>
      </c>
      <c r="KZ46" s="2" t="str">
        <f>IF('Data Checking'!LL46="","",'Data Checking'!LL46)</f>
        <v>0</v>
      </c>
      <c r="LA46" s="2" t="str">
        <f>IF('Data Checking'!LM46="","",'Data Checking'!LM46)</f>
        <v/>
      </c>
      <c r="LB46" s="2" t="str">
        <f>IF('Data Checking'!LN46="","",'Data Checking'!LN46)</f>
        <v>non</v>
      </c>
      <c r="LC46" s="2" t="str">
        <f>IF('Data Checking'!LO46="","",'Data Checking'!LO46)</f>
        <v/>
      </c>
      <c r="LD46" s="2" t="str">
        <f>IF('Data Checking'!LP46="","",'Data Checking'!LP46)</f>
        <v/>
      </c>
      <c r="LE46" s="2" t="str">
        <f>IF('Data Checking'!LQ46="","",'Data Checking'!LQ46)</f>
        <v/>
      </c>
      <c r="LF46" s="2" t="str">
        <f>IF('Data Checking'!LR46="","",'Data Checking'!LR46)</f>
        <v/>
      </c>
      <c r="LG46" s="2" t="str">
        <f>IF('Data Checking'!LS46="","",'Data Checking'!LS46)</f>
        <v/>
      </c>
      <c r="LH46" s="2" t="str">
        <f>IF('Data Checking'!LT46="","",'Data Checking'!LT46)</f>
        <v/>
      </c>
      <c r="LI46" s="2" t="str">
        <f>IF('Data Checking'!LU46="","",'Data Checking'!LU46)</f>
        <v/>
      </c>
      <c r="LJ46" s="2" t="str">
        <f>IF('Data Checking'!LV46="","",'Data Checking'!LV46)</f>
        <v/>
      </c>
      <c r="LK46" s="2" t="str">
        <f>IF('Data Checking'!LW46="","",'Data Checking'!LW46)</f>
        <v/>
      </c>
      <c r="LL46" s="2" t="str">
        <f>IF('Data Checking'!LX46="","",'Data Checking'!LX46)</f>
        <v/>
      </c>
      <c r="LM46" s="2" t="str">
        <f>IF('Data Checking'!LY46="","",'Data Checking'!LY46)</f>
        <v/>
      </c>
      <c r="LN46" s="2" t="str">
        <f>IF('Data Checking'!LZ46="","",'Data Checking'!LZ46)</f>
        <v/>
      </c>
      <c r="LO46" s="2" t="str">
        <f>IF('Data Checking'!MA46="","",'Data Checking'!MA46)</f>
        <v/>
      </c>
      <c r="LP46" s="2" t="str">
        <f>IF('Data Checking'!MB46="","",'Data Checking'!MB46)</f>
        <v>oui</v>
      </c>
      <c r="LQ46" s="2" t="str">
        <f>IF('Data Checking'!MC46="","",'Data Checking'!MC46)</f>
        <v/>
      </c>
      <c r="LR46" s="2" t="str">
        <f>IF('Data Checking'!MD46="","",'Data Checking'!MD46)</f>
        <v/>
      </c>
      <c r="LS46" s="2">
        <f>IF('Data Checking'!ME46="","",'Data Checking'!ME46)</f>
        <v>168954344</v>
      </c>
      <c r="LT46" s="2" t="str">
        <f>IF('Data Checking'!MF46="","",'Data Checking'!MF46)</f>
        <v>db614297-8d74-4f89-afc9-d32bc984d1ee</v>
      </c>
      <c r="LU46" s="2" t="str">
        <f>IF('Data Checking'!MG46="","",'Data Checking'!MG46)</f>
        <v>2021-03-31T17:53:43</v>
      </c>
      <c r="LV46" s="2" t="str">
        <f>IF('Data Checking'!MH46="","",'Data Checking'!MH46)</f>
        <v/>
      </c>
      <c r="LW46" s="2" t="str">
        <f>IF('Data Checking'!MI46="","",'Data Checking'!MI46)</f>
        <v>[]</v>
      </c>
      <c r="LX46" s="2" t="str">
        <f>IF('Data Checking'!MJ46="","",'Data Checking'!MJ46)</f>
        <v>submitted_via_web</v>
      </c>
      <c r="LY46" s="2" t="str">
        <f>IF('Data Checking'!MK46="","",'Data Checking'!MK46)</f>
        <v>reach_niger</v>
      </c>
      <c r="LZ46" s="2" t="str">
        <f>IF('Data Checking'!ML46="","",'Data Checking'!ML46)</f>
        <v/>
      </c>
      <c r="MA46" s="2">
        <f>IF('Data Checking'!MM46="","",'Data Checking'!MM46)</f>
        <v>3</v>
      </c>
    </row>
    <row r="47" spans="1:339" x14ac:dyDescent="0.3">
      <c r="A47" s="2" t="str">
        <f>IF('Data Checking'!D47="","",'Data Checking'!D47)</f>
        <v>2021-03-31T12:52:50.582+01:00</v>
      </c>
      <c r="B47" s="2" t="str">
        <f>IF('Data Checking'!E47="","",'Data Checking'!E47)</f>
        <v>2021-03-31T17:13:57.614+01:00</v>
      </c>
      <c r="C47" s="2" t="str">
        <f>IF('Data Checking'!M47="","",'Data Checking'!M47)</f>
        <v>2021-03-31</v>
      </c>
      <c r="D47" s="2" t="str">
        <f>IF('Data Checking'!N47="","",'Data Checking'!N47)</f>
        <v/>
      </c>
      <c r="E47" s="2" t="str">
        <f>IF('Data Checking'!O47="","",'Data Checking'!O47)</f>
        <v/>
      </c>
      <c r="F47" s="2" t="str">
        <f>IF('Data Checking'!R47="","",'Data Checking'!R47)</f>
        <v>Homme</v>
      </c>
      <c r="G47" s="2" t="str">
        <f>IF('Data Checking'!S47="","",'Data Checking'!S47)</f>
        <v>tillaberi</v>
      </c>
      <c r="H47" s="2" t="str">
        <f>IF('Data Checking'!T47="","",'Data Checking'!T47)</f>
        <v>dessa</v>
      </c>
      <c r="I47" s="2" t="str">
        <f>IF('Data Checking'!U47="","",'Data Checking'!U47)</f>
        <v>famale</v>
      </c>
      <c r="J47" s="2" t="str">
        <f>IF('Data Checking'!V47="","",'Data Checking'!V47)</f>
        <v/>
      </c>
      <c r="K47" s="2" t="str">
        <f>IF('Data Checking'!W47="","",'Data Checking'!W47)</f>
        <v/>
      </c>
      <c r="L47" s="2" t="str">
        <f>IF('Data Checking'!X47="","",'Data Checking'!X47)</f>
        <v/>
      </c>
      <c r="M47" s="2" t="str">
        <f>IF('Data Checking'!Y47="","",'Data Checking'!Y47)</f>
        <v/>
      </c>
      <c r="N47" s="2" t="str">
        <f>IF('Data Checking'!Z47="","",'Data Checking'!Z47)</f>
        <v/>
      </c>
      <c r="O47" s="2" t="str">
        <f>IF('Data Checking'!AA47="","",'Data Checking'!AA47)</f>
        <v/>
      </c>
      <c r="P47" s="2" t="str">
        <f>IF('Data Checking'!AB47="","",'Data Checking'!AB47)</f>
        <v/>
      </c>
      <c r="Q47" s="2" t="str">
        <f>IF('Data Checking'!AC47="","",'Data Checking'!AC47)</f>
        <v/>
      </c>
      <c r="R47" s="2" t="str">
        <f>IF('Data Checking'!AD47="","",'Data Checking'!AD47)</f>
        <v>Homme</v>
      </c>
      <c r="S47" s="2" t="str">
        <f>IF('Data Checking'!AE47="","",'Data Checking'!AE47)</f>
        <v>64</v>
      </c>
      <c r="T47" s="2" t="str">
        <f>IF('Data Checking'!AF47="","",'Data Checking'!AF47)</f>
        <v>Hote</v>
      </c>
      <c r="U47" s="2" t="str">
        <f>IF('Data Checking'!AG47="","",'Data Checking'!AG47)</f>
        <v/>
      </c>
      <c r="V47" s="2" t="str">
        <f>IF('Data Checking'!AH47="","",'Data Checking'!AH47)</f>
        <v/>
      </c>
      <c r="W47" s="2" t="str">
        <f>IF('Data Checking'!AI47="","",'Data Checking'!AI47)</f>
        <v/>
      </c>
      <c r="X47" s="2" t="str">
        <f>IF('Data Checking'!AJ47="","",'Data Checking'!AJ47)</f>
        <v/>
      </c>
      <c r="Y47" s="2" t="str">
        <f>IF('Data Checking'!AK47="","",'Data Checking'!AK47)</f>
        <v/>
      </c>
      <c r="Z47" s="2" t="str">
        <f>IF('Data Checking'!AL47="","",'Data Checking'!AL47)</f>
        <v/>
      </c>
      <c r="AA47" s="2" t="str">
        <f>IF('Data Checking'!AM47="","",'Data Checking'!AM47)</f>
        <v/>
      </c>
      <c r="AB47" s="2" t="str">
        <f>IF('Data Checking'!AN47="","",'Data Checking'!AN47)</f>
        <v/>
      </c>
      <c r="AC47" s="2" t="str">
        <f>IF('Data Checking'!AO47="","",'Data Checking'!AO47)</f>
        <v/>
      </c>
      <c r="AD47" s="2" t="str">
        <f>IF('Data Checking'!AP47="","",'Data Checking'!AP47)</f>
        <v/>
      </c>
      <c r="AE47" s="2" t="str">
        <f>IF('Data Checking'!AQ47="","",'Data Checking'!AQ47)</f>
        <v/>
      </c>
      <c r="AF47" s="2" t="str">
        <f>IF('Data Checking'!AR47="","",'Data Checking'!AR47)</f>
        <v/>
      </c>
      <c r="AG47" s="2" t="str">
        <f>IF('Data Checking'!AS47="","",'Data Checking'!AS47)</f>
        <v>oui</v>
      </c>
      <c r="AH47" s="2" t="str">
        <f>IF('Data Checking'!AT47="","",'Data Checking'!AT47)</f>
        <v>Violences_physique_civils Attaques_ecoles_sante extorsions Vols_braquages</v>
      </c>
      <c r="AI47" s="2" t="str">
        <f>IF('Data Checking'!AU47="","",'Data Checking'!AU47)</f>
        <v>0</v>
      </c>
      <c r="AJ47" s="2" t="str">
        <f>IF('Data Checking'!AV47="","",'Data Checking'!AV47)</f>
        <v>0</v>
      </c>
      <c r="AK47" s="2" t="str">
        <f>IF('Data Checking'!AW47="","",'Data Checking'!AW47)</f>
        <v>1</v>
      </c>
      <c r="AL47" s="2" t="str">
        <f>IF('Data Checking'!AX47="","",'Data Checking'!AX47)</f>
        <v>1</v>
      </c>
      <c r="AM47" s="2" t="str">
        <f>IF('Data Checking'!AY47="","",'Data Checking'!AY47)</f>
        <v>1</v>
      </c>
      <c r="AN47" s="2" t="str">
        <f>IF('Data Checking'!AZ47="","",'Data Checking'!AZ47)</f>
        <v>0</v>
      </c>
      <c r="AO47" s="2" t="str">
        <f>IF('Data Checking'!BA47="","",'Data Checking'!BA47)</f>
        <v>0</v>
      </c>
      <c r="AP47" s="2" t="str">
        <f>IF('Data Checking'!BB47="","",'Data Checking'!BB47)</f>
        <v>1</v>
      </c>
      <c r="AQ47" s="2" t="str">
        <f>IF('Data Checking'!BC47="","",'Data Checking'!BC47)</f>
        <v>0</v>
      </c>
      <c r="AR47" s="2" t="str">
        <f>IF('Data Checking'!BD47="","",'Data Checking'!BD47)</f>
        <v>0</v>
      </c>
      <c r="AS47" s="2" t="str">
        <f>IF('Data Checking'!BE47="","",'Data Checking'!BE47)</f>
        <v>0</v>
      </c>
      <c r="AT47" s="2" t="str">
        <f>IF('Data Checking'!BF47="","",'Data Checking'!BF47)</f>
        <v>0</v>
      </c>
      <c r="AU47" s="2" t="str">
        <f>IF('Data Checking'!BG47="","",'Data Checking'!BG47)</f>
        <v>0</v>
      </c>
      <c r="AV47" s="2" t="str">
        <f>IF('Data Checking'!BH47="","",'Data Checking'!BH47)</f>
        <v>0</v>
      </c>
      <c r="AW47" s="2" t="str">
        <f>IF('Data Checking'!BI47="","",'Data Checking'!BI47)</f>
        <v/>
      </c>
      <c r="AX47" s="2" t="str">
        <f>IF('Data Checking'!BJ47="","",'Data Checking'!BJ47)</f>
        <v>Hommes</v>
      </c>
      <c r="AY47" s="2" t="str">
        <f>IF('Data Checking'!BK47="","",'Data Checking'!BK47)</f>
        <v>0</v>
      </c>
      <c r="AZ47" s="2" t="str">
        <f>IF('Data Checking'!BL47="","",'Data Checking'!BL47)</f>
        <v>0</v>
      </c>
      <c r="BA47" s="2" t="str">
        <f>IF('Data Checking'!BM47="","",'Data Checking'!BM47)</f>
        <v>0</v>
      </c>
      <c r="BB47" s="2" t="str">
        <f>IF('Data Checking'!BN47="","",'Data Checking'!BN47)</f>
        <v>0</v>
      </c>
      <c r="BC47" s="2" t="str">
        <f>IF('Data Checking'!BO47="","",'Data Checking'!BO47)</f>
        <v>0</v>
      </c>
      <c r="BD47" s="2" t="str">
        <f>IF('Data Checking'!BP47="","",'Data Checking'!BP47)</f>
        <v>1</v>
      </c>
      <c r="BE47" s="2" t="str">
        <f>IF('Data Checking'!BQ47="","",'Data Checking'!BQ47)</f>
        <v>0</v>
      </c>
      <c r="BF47" s="2" t="str">
        <f>IF('Data Checking'!BR47="","",'Data Checking'!BR47)</f>
        <v>0</v>
      </c>
      <c r="BG47" s="2" t="str">
        <f>IF('Data Checking'!BS47="","",'Data Checking'!BS47)</f>
        <v>0</v>
      </c>
      <c r="BH47" s="2" t="str">
        <f>IF('Data Checking'!BT47="","",'Data Checking'!BT47)</f>
        <v>0</v>
      </c>
      <c r="BI47" s="2" t="str">
        <f>IF('Data Checking'!BU47="","",'Data Checking'!BU47)</f>
        <v>0</v>
      </c>
      <c r="BJ47" s="2" t="str">
        <f>IF('Data Checking'!BV47="","",'Data Checking'!BV47)</f>
        <v>0</v>
      </c>
      <c r="BK47" s="2" t="str">
        <f>IF('Data Checking'!BW47="","",'Data Checking'!BW47)</f>
        <v>0</v>
      </c>
      <c r="BL47" s="2" t="str">
        <f>IF('Data Checking'!BX47="","",'Data Checking'!BX47)</f>
        <v>0</v>
      </c>
      <c r="BM47" s="2" t="str">
        <f>IF('Data Checking'!BY47="","",'Data Checking'!BY47)</f>
        <v/>
      </c>
      <c r="BN47" s="2" t="str">
        <f>IF('Data Checking'!BZ47="","",'Data Checking'!BZ47)</f>
        <v>1</v>
      </c>
      <c r="BO47" s="2" t="str">
        <f>IF('Data Checking'!CA47="","",'Data Checking'!CA47)</f>
        <v>diminue</v>
      </c>
      <c r="BP47" s="2" t="str">
        <f>IF('Data Checking'!CB47="","",'Data Checking'!CB47)</f>
        <v/>
      </c>
      <c r="BQ47" s="2" t="str">
        <f>IF('Data Checking'!CC47="","",'Data Checking'!CC47)</f>
        <v>non</v>
      </c>
      <c r="BR47" s="2" t="str">
        <f>IF('Data Checking'!CD47="","",'Data Checking'!CD47)</f>
        <v/>
      </c>
      <c r="BS47" s="2" t="str">
        <f>IF('Data Checking'!CE47="","",'Data Checking'!CE47)</f>
        <v/>
      </c>
      <c r="BT47" s="2" t="str">
        <f>IF('Data Checking'!CF47="","",'Data Checking'!CF47)</f>
        <v/>
      </c>
      <c r="BU47" s="2" t="str">
        <f>IF('Data Checking'!CG47="","",'Data Checking'!CG47)</f>
        <v/>
      </c>
      <c r="BV47" s="2" t="str">
        <f>IF('Data Checking'!CH47="","",'Data Checking'!CH47)</f>
        <v/>
      </c>
      <c r="BW47" s="2" t="str">
        <f>IF('Data Checking'!CI47="","",'Data Checking'!CI47)</f>
        <v/>
      </c>
      <c r="BX47" s="2" t="str">
        <f>IF('Data Checking'!CJ47="","",'Data Checking'!CJ47)</f>
        <v/>
      </c>
      <c r="BY47" s="2" t="str">
        <f>IF('Data Checking'!CK47="","",'Data Checking'!CK47)</f>
        <v/>
      </c>
      <c r="BZ47" s="2" t="str">
        <f>IF('Data Checking'!CL47="","",'Data Checking'!CL47)</f>
        <v/>
      </c>
      <c r="CA47" s="2" t="str">
        <f>IF('Data Checking'!CM47="","",'Data Checking'!CM47)</f>
        <v/>
      </c>
      <c r="CB47" s="2" t="str">
        <f>IF('Data Checking'!CN47="","",'Data Checking'!CN47)</f>
        <v/>
      </c>
      <c r="CC47" s="2" t="str">
        <f>IF('Data Checking'!CO47="","",'Data Checking'!CO47)</f>
        <v/>
      </c>
      <c r="CD47" s="2" t="str">
        <f>IF('Data Checking'!CP47="","",'Data Checking'!CP47)</f>
        <v/>
      </c>
      <c r="CE47" s="2" t="str">
        <f>IF('Data Checking'!CQ47="","",'Data Checking'!CQ47)</f>
        <v/>
      </c>
      <c r="CF47" s="2" t="str">
        <f>IF('Data Checking'!CR47="","",'Data Checking'!CR47)</f>
        <v/>
      </c>
      <c r="CG47" s="2" t="str">
        <f>IF('Data Checking'!CS47="","",'Data Checking'!CS47)</f>
        <v/>
      </c>
      <c r="CH47" s="2" t="str">
        <f>IF('Data Checking'!CT47="","",'Data Checking'!CT47)</f>
        <v/>
      </c>
      <c r="CI47" s="2" t="str">
        <f>IF('Data Checking'!CU47="","",'Data Checking'!CU47)</f>
        <v/>
      </c>
      <c r="CJ47" s="2" t="str">
        <f>IF('Data Checking'!CV47="","",'Data Checking'!CV47)</f>
        <v/>
      </c>
      <c r="CK47" s="2" t="str">
        <f>IF('Data Checking'!CW47="","",'Data Checking'!CW47)</f>
        <v/>
      </c>
      <c r="CL47" s="2" t="str">
        <f>IF('Data Checking'!CX47="","",'Data Checking'!CX47)</f>
        <v/>
      </c>
      <c r="CM47" s="2" t="str">
        <f>IF('Data Checking'!CY47="","",'Data Checking'!CY47)</f>
        <v/>
      </c>
      <c r="CN47" s="2" t="str">
        <f>IF('Data Checking'!CZ47="","",'Data Checking'!CZ47)</f>
        <v/>
      </c>
      <c r="CO47" s="2" t="str">
        <f>IF('Data Checking'!DA47="","",'Data Checking'!DA47)</f>
        <v/>
      </c>
      <c r="CP47" s="2" t="str">
        <f>IF('Data Checking'!DB47="","",'Data Checking'!DB47)</f>
        <v/>
      </c>
      <c r="CQ47" s="2" t="str">
        <f>IF('Data Checking'!DC47="","",'Data Checking'!DC47)</f>
        <v/>
      </c>
      <c r="CR47" s="2" t="str">
        <f>IF('Data Checking'!DD47="","",'Data Checking'!DD47)</f>
        <v/>
      </c>
      <c r="CS47" s="2" t="str">
        <f>IF('Data Checking'!DE47="","",'Data Checking'!DE47)</f>
        <v/>
      </c>
      <c r="CT47" s="2" t="str">
        <f>IF('Data Checking'!DF47="","",'Data Checking'!DF47)</f>
        <v/>
      </c>
      <c r="CU47" s="2" t="str">
        <f>IF('Data Checking'!DG47="","",'Data Checking'!DG47)</f>
        <v/>
      </c>
      <c r="CV47" s="2" t="str">
        <f>IF('Data Checking'!DH47="","",'Data Checking'!DH47)</f>
        <v/>
      </c>
      <c r="CW47" s="2" t="str">
        <f>IF('Data Checking'!DI47="","",'Data Checking'!DI47)</f>
        <v/>
      </c>
      <c r="CX47" s="2" t="str">
        <f>IF('Data Checking'!DJ47="","",'Data Checking'!DJ47)</f>
        <v/>
      </c>
      <c r="CY47" s="2" t="str">
        <f>IF('Data Checking'!DK47="","",'Data Checking'!DK47)</f>
        <v/>
      </c>
      <c r="CZ47" s="2" t="str">
        <f>IF('Data Checking'!DL47="","",'Data Checking'!DL47)</f>
        <v/>
      </c>
      <c r="DA47" s="2" t="str">
        <f>IF('Data Checking'!DM47="","",'Data Checking'!DM47)</f>
        <v/>
      </c>
      <c r="DB47" s="2" t="str">
        <f>IF('Data Checking'!DN47="","",'Data Checking'!DN47)</f>
        <v/>
      </c>
      <c r="DC47" s="2" t="str">
        <f>IF('Data Checking'!DO47="","",'Data Checking'!DO47)</f>
        <v/>
      </c>
      <c r="DD47" s="2" t="str">
        <f>IF('Data Checking'!DP47="","",'Data Checking'!DP47)</f>
        <v/>
      </c>
      <c r="DE47" s="2" t="str">
        <f>IF('Data Checking'!DQ47="","",'Data Checking'!DQ47)</f>
        <v/>
      </c>
      <c r="DF47" s="2" t="str">
        <f>IF('Data Checking'!DR47="","",'Data Checking'!DR47)</f>
        <v/>
      </c>
      <c r="DG47" s="2" t="str">
        <f>IF('Data Checking'!DS47="","",'Data Checking'!DS47)</f>
        <v/>
      </c>
      <c r="DH47" s="2" t="str">
        <f>IF('Data Checking'!DT47="","",'Data Checking'!DT47)</f>
        <v/>
      </c>
      <c r="DI47" s="2" t="str">
        <f>IF('Data Checking'!DU47="","",'Data Checking'!DU47)</f>
        <v/>
      </c>
      <c r="DJ47" s="2" t="str">
        <f>IF('Data Checking'!DV47="","",'Data Checking'!DV47)</f>
        <v/>
      </c>
      <c r="DK47" s="2" t="str">
        <f>IF('Data Checking'!DW47="","",'Data Checking'!DW47)</f>
        <v/>
      </c>
      <c r="DL47" s="2" t="str">
        <f>IF('Data Checking'!DX47="","",'Data Checking'!DX47)</f>
        <v/>
      </c>
      <c r="DM47" s="2" t="str">
        <f>IF('Data Checking'!DY47="","",'Data Checking'!DY47)</f>
        <v/>
      </c>
      <c r="DN47" s="2" t="str">
        <f>IF('Data Checking'!DZ47="","",'Data Checking'!DZ47)</f>
        <v>amelioration_cond_abris amelioration_acces_service_base</v>
      </c>
      <c r="DO47" s="2" t="str">
        <f>IF('Data Checking'!EA47="","",'Data Checking'!EA47)</f>
        <v>0</v>
      </c>
      <c r="DP47" s="2" t="str">
        <f>IF('Data Checking'!EB47="","",'Data Checking'!EB47)</f>
        <v>1</v>
      </c>
      <c r="DQ47" s="2" t="str">
        <f>IF('Data Checking'!EC47="","",'Data Checking'!EC47)</f>
        <v>1</v>
      </c>
      <c r="DR47" s="2" t="str">
        <f>IF('Data Checking'!ED47="","",'Data Checking'!ED47)</f>
        <v>0</v>
      </c>
      <c r="DS47" s="2" t="str">
        <f>IF('Data Checking'!EE47="","",'Data Checking'!EE47)</f>
        <v>0</v>
      </c>
      <c r="DT47" s="2" t="str">
        <f>IF('Data Checking'!EF47="","",'Data Checking'!EF47)</f>
        <v>0</v>
      </c>
      <c r="DU47" s="2" t="str">
        <f>IF('Data Checking'!EG47="","",'Data Checking'!EG47)</f>
        <v>0</v>
      </c>
      <c r="DV47" s="2" t="str">
        <f>IF('Data Checking'!EH47="","",'Data Checking'!EH47)</f>
        <v>0</v>
      </c>
      <c r="DW47" s="2" t="str">
        <f>IF('Data Checking'!EI47="","",'Data Checking'!EI47)</f>
        <v>0</v>
      </c>
      <c r="DX47" s="2" t="str">
        <f>IF('Data Checking'!EJ47="","",'Data Checking'!EJ47)</f>
        <v/>
      </c>
      <c r="DY47" s="2" t="str">
        <f>IF('Data Checking'!EK47="","",'Data Checking'!EK47)</f>
        <v/>
      </c>
      <c r="DZ47" s="2" t="str">
        <f>IF('Data Checking'!EL47="","",'Data Checking'!EL47)</f>
        <v>Soutien_famille_amis Integration_com_hote</v>
      </c>
      <c r="EA47" s="2" t="str">
        <f>IF('Data Checking'!EM47="","",'Data Checking'!EM47)</f>
        <v>0</v>
      </c>
      <c r="EB47" s="2" t="str">
        <f>IF('Data Checking'!EN47="","",'Data Checking'!EN47)</f>
        <v>1</v>
      </c>
      <c r="EC47" s="2" t="str">
        <f>IF('Data Checking'!EO47="","",'Data Checking'!EO47)</f>
        <v>1</v>
      </c>
      <c r="ED47" s="2" t="str">
        <f>IF('Data Checking'!EP47="","",'Data Checking'!EP47)</f>
        <v>0</v>
      </c>
      <c r="EE47" s="2" t="str">
        <f>IF('Data Checking'!EQ47="","",'Data Checking'!EQ47)</f>
        <v>0</v>
      </c>
      <c r="EF47" s="2" t="str">
        <f>IF('Data Checking'!ER47="","",'Data Checking'!ER47)</f>
        <v>0</v>
      </c>
      <c r="EG47" s="2" t="str">
        <f>IF('Data Checking'!ES47="","",'Data Checking'!ES47)</f>
        <v>0</v>
      </c>
      <c r="EH47" s="2" t="str">
        <f>IF('Data Checking'!ET47="","",'Data Checking'!ET47)</f>
        <v>0</v>
      </c>
      <c r="EI47" s="2" t="str">
        <f>IF('Data Checking'!EU47="","",'Data Checking'!EU47)</f>
        <v>0</v>
      </c>
      <c r="EJ47" s="2" t="str">
        <f>IF('Data Checking'!EV47="","",'Data Checking'!EV47)</f>
        <v/>
      </c>
      <c r="EK47" s="2" t="str">
        <f>IF('Data Checking'!EW47="","",'Data Checking'!EW47)</f>
        <v/>
      </c>
      <c r="EL47" s="2" t="str">
        <f>IF('Data Checking'!EX47="","",'Data Checking'!EX47)</f>
        <v>famille_accueil comite_protection</v>
      </c>
      <c r="EM47" s="2" t="str">
        <f>IF('Data Checking'!EY47="","",'Data Checking'!EY47)</f>
        <v>0</v>
      </c>
      <c r="EN47" s="2" t="str">
        <f>IF('Data Checking'!EZ47="","",'Data Checking'!EZ47)</f>
        <v>1</v>
      </c>
      <c r="EO47" s="2" t="str">
        <f>IF('Data Checking'!FA47="","",'Data Checking'!FA47)</f>
        <v>1</v>
      </c>
      <c r="EP47" s="2" t="str">
        <f>IF('Data Checking'!FB47="","",'Data Checking'!FB47)</f>
        <v>0</v>
      </c>
      <c r="EQ47" s="2" t="str">
        <f>IF('Data Checking'!FC47="","",'Data Checking'!FC47)</f>
        <v>0</v>
      </c>
      <c r="ER47" s="2" t="str">
        <f>IF('Data Checking'!FD47="","",'Data Checking'!FD47)</f>
        <v>0</v>
      </c>
      <c r="ES47" s="2" t="str">
        <f>IF('Data Checking'!FE47="","",'Data Checking'!FE47)</f>
        <v>0</v>
      </c>
      <c r="ET47" s="2" t="str">
        <f>IF('Data Checking'!FF47="","",'Data Checking'!FF47)</f>
        <v>0</v>
      </c>
      <c r="EU47" s="2" t="str">
        <f>IF('Data Checking'!FG47="","",'Data Checking'!FG47)</f>
        <v>0</v>
      </c>
      <c r="EV47" s="2" t="str">
        <f>IF('Data Checking'!FH47="","",'Data Checking'!FH47)</f>
        <v>0</v>
      </c>
      <c r="EW47" s="2" t="str">
        <f>IF('Data Checking'!FI47="","",'Data Checking'!FI47)</f>
        <v/>
      </c>
      <c r="EX47" s="2" t="str">
        <f>IF('Data Checking'!FJ47="","",'Data Checking'!FJ47)</f>
        <v>oui</v>
      </c>
      <c r="EY47" s="2" t="str">
        <f>IF('Data Checking'!FK47="","",'Data Checking'!FK47)</f>
        <v>famille_amis</v>
      </c>
      <c r="EZ47" s="2" t="str">
        <f>IF('Data Checking'!FL47="","",'Data Checking'!FL47)</f>
        <v>0</v>
      </c>
      <c r="FA47" s="2" t="str">
        <f>IF('Data Checking'!FM47="","",'Data Checking'!FM47)</f>
        <v>0</v>
      </c>
      <c r="FB47" s="2" t="str">
        <f>IF('Data Checking'!FN47="","",'Data Checking'!FN47)</f>
        <v>0</v>
      </c>
      <c r="FC47" s="2" t="str">
        <f>IF('Data Checking'!FO47="","",'Data Checking'!FO47)</f>
        <v>0</v>
      </c>
      <c r="FD47" s="2" t="str">
        <f>IF('Data Checking'!FP47="","",'Data Checking'!FP47)</f>
        <v>0</v>
      </c>
      <c r="FE47" s="2" t="str">
        <f>IF('Data Checking'!FQ47="","",'Data Checking'!FQ47)</f>
        <v>1</v>
      </c>
      <c r="FF47" s="2" t="str">
        <f>IF('Data Checking'!FR47="","",'Data Checking'!FR47)</f>
        <v>0</v>
      </c>
      <c r="FG47" s="2" t="str">
        <f>IF('Data Checking'!FS47="","",'Data Checking'!FS47)</f>
        <v>0</v>
      </c>
      <c r="FH47" s="2" t="str">
        <f>IF('Data Checking'!FT47="","",'Data Checking'!FT47)</f>
        <v>0</v>
      </c>
      <c r="FI47" s="2" t="str">
        <f>IF('Data Checking'!FU47="","",'Data Checking'!FU47)</f>
        <v>0</v>
      </c>
      <c r="FJ47" s="2" t="str">
        <f>IF('Data Checking'!FV47="","",'Data Checking'!FV47)</f>
        <v>0</v>
      </c>
      <c r="FK47" s="2" t="str">
        <f>IF('Data Checking'!FW47="","",'Data Checking'!FW47)</f>
        <v>0</v>
      </c>
      <c r="FL47" s="2" t="str">
        <f>IF('Data Checking'!FX47="","",'Data Checking'!FX47)</f>
        <v>0</v>
      </c>
      <c r="FM47" s="2" t="str">
        <f>IF('Data Checking'!FY47="","",'Data Checking'!FY47)</f>
        <v>0</v>
      </c>
      <c r="FN47" s="2" t="str">
        <f>IF('Data Checking'!FZ47="","",'Data Checking'!FZ47)</f>
        <v/>
      </c>
      <c r="FO47" s="2" t="str">
        <f>IF('Data Checking'!GA47="","",'Data Checking'!GA47)</f>
        <v>oui_majorite</v>
      </c>
      <c r="FP47" s="2" t="str">
        <f>IF('Data Checking'!GB47="","",'Data Checking'!GB47)</f>
        <v>oui_moitie</v>
      </c>
      <c r="FQ47" s="2" t="str">
        <f>IF('Data Checking'!GC47="","",'Data Checking'!GC47)</f>
        <v>manque_info trop_du_monde</v>
      </c>
      <c r="FR47" s="2" t="str">
        <f>IF('Data Checking'!GD47="","",'Data Checking'!GD47)</f>
        <v>0</v>
      </c>
      <c r="FS47" s="2" t="str">
        <f>IF('Data Checking'!GE47="","",'Data Checking'!GE47)</f>
        <v>1</v>
      </c>
      <c r="FT47" s="2" t="str">
        <f>IF('Data Checking'!GF47="","",'Data Checking'!GF47)</f>
        <v>0</v>
      </c>
      <c r="FU47" s="2" t="str">
        <f>IF('Data Checking'!GG47="","",'Data Checking'!GG47)</f>
        <v>0</v>
      </c>
      <c r="FV47" s="2" t="str">
        <f>IF('Data Checking'!GH47="","",'Data Checking'!GH47)</f>
        <v>1</v>
      </c>
      <c r="FW47" s="2" t="str">
        <f>IF('Data Checking'!GI47="","",'Data Checking'!GI47)</f>
        <v>0</v>
      </c>
      <c r="FX47" s="2" t="str">
        <f>IF('Data Checking'!GJ47="","",'Data Checking'!GJ47)</f>
        <v>0</v>
      </c>
      <c r="FY47" s="2" t="str">
        <f>IF('Data Checking'!GK47="","",'Data Checking'!GK47)</f>
        <v>0</v>
      </c>
      <c r="FZ47" s="2" t="str">
        <f>IF('Data Checking'!GL47="","",'Data Checking'!GL47)</f>
        <v/>
      </c>
      <c r="GA47" s="2" t="str">
        <f>IF('Data Checking'!GM47="","",'Data Checking'!GM47)</f>
        <v>minorite</v>
      </c>
      <c r="GB47" s="2" t="str">
        <f>IF('Data Checking'!GN47="","",'Data Checking'!GN47)</f>
        <v>majorite</v>
      </c>
      <c r="GC47" s="2" t="str">
        <f>IF('Data Checking'!GO47="","",'Data Checking'!GO47)</f>
        <v>Services_de_sante</v>
      </c>
      <c r="GD47" s="2" t="str">
        <f>IF('Data Checking'!GP47="","",'Data Checking'!GP47)</f>
        <v>0</v>
      </c>
      <c r="GE47" s="2" t="str">
        <f>IF('Data Checking'!GQ47="","",'Data Checking'!GQ47)</f>
        <v>0</v>
      </c>
      <c r="GF47" s="2" t="str">
        <f>IF('Data Checking'!GR47="","",'Data Checking'!GR47)</f>
        <v>0</v>
      </c>
      <c r="GG47" s="2" t="str">
        <f>IF('Data Checking'!GS47="","",'Data Checking'!GS47)</f>
        <v>1</v>
      </c>
      <c r="GH47" s="2" t="str">
        <f>IF('Data Checking'!GT47="","",'Data Checking'!GT47)</f>
        <v>0</v>
      </c>
      <c r="GI47" s="2" t="str">
        <f>IF('Data Checking'!GU47="","",'Data Checking'!GU47)</f>
        <v>0</v>
      </c>
      <c r="GJ47" s="2" t="str">
        <f>IF('Data Checking'!GV47="","",'Data Checking'!GV47)</f>
        <v>0</v>
      </c>
      <c r="GK47" s="2" t="str">
        <f>IF('Data Checking'!GW47="","",'Data Checking'!GW47)</f>
        <v>0</v>
      </c>
      <c r="GL47" s="2" t="str">
        <f>IF('Data Checking'!GX47="","",'Data Checking'!GX47)</f>
        <v>0</v>
      </c>
      <c r="GM47" s="2" t="str">
        <f>IF('Data Checking'!GY47="","",'Data Checking'!GY47)</f>
        <v/>
      </c>
      <c r="GN47" s="2" t="str">
        <f>IF('Data Checking'!GZ47="","",'Data Checking'!GZ47)</f>
        <v>oui_majorite</v>
      </c>
      <c r="GO47" s="2" t="str">
        <f>IF('Data Checking'!HA47="","",'Data Checking'!HA47)</f>
        <v>oui_majorite</v>
      </c>
      <c r="GP47" s="2" t="str">
        <f>IF('Data Checking'!HB47="","",'Data Checking'!HB47)</f>
        <v>repond_besoins_pop</v>
      </c>
      <c r="GQ47" s="2" t="str">
        <f>IF('Data Checking'!HC47="","",'Data Checking'!HC47)</f>
        <v>0</v>
      </c>
      <c r="GR47" s="2" t="str">
        <f>IF('Data Checking'!HD47="","",'Data Checking'!HD47)</f>
        <v>1</v>
      </c>
      <c r="GS47" s="2" t="str">
        <f>IF('Data Checking'!HE47="","",'Data Checking'!HE47)</f>
        <v>0</v>
      </c>
      <c r="GT47" s="2" t="str">
        <f>IF('Data Checking'!HF47="","",'Data Checking'!HF47)</f>
        <v>0</v>
      </c>
      <c r="GU47" s="2" t="str">
        <f>IF('Data Checking'!HG47="","",'Data Checking'!HG47)</f>
        <v>0</v>
      </c>
      <c r="GV47" s="2" t="str">
        <f>IF('Data Checking'!HH47="","",'Data Checking'!HH47)</f>
        <v>0</v>
      </c>
      <c r="GW47" s="2" t="str">
        <f>IF('Data Checking'!HI47="","",'Data Checking'!HI47)</f>
        <v>0</v>
      </c>
      <c r="GX47" s="2" t="str">
        <f>IF('Data Checking'!HJ47="","",'Data Checking'!HJ47)</f>
        <v>0</v>
      </c>
      <c r="GY47" s="2" t="str">
        <f>IF('Data Checking'!HK47="","",'Data Checking'!HK47)</f>
        <v/>
      </c>
      <c r="GZ47" s="2" t="str">
        <f>IF('Data Checking'!HL47="","",'Data Checking'!HL47)</f>
        <v>ne_repond_pas</v>
      </c>
      <c r="HA47" s="2" t="str">
        <f>IF('Data Checking'!HM47="","",'Data Checking'!HM47)</f>
        <v>0</v>
      </c>
      <c r="HB47" s="2" t="str">
        <f>IF('Data Checking'!HN47="","",'Data Checking'!HN47)</f>
        <v>1</v>
      </c>
      <c r="HC47" s="2" t="str">
        <f>IF('Data Checking'!HO47="","",'Data Checking'!HO47)</f>
        <v>0</v>
      </c>
      <c r="HD47" s="2" t="str">
        <f>IF('Data Checking'!HP47="","",'Data Checking'!HP47)</f>
        <v>0</v>
      </c>
      <c r="HE47" s="2" t="str">
        <f>IF('Data Checking'!HQ47="","",'Data Checking'!HQ47)</f>
        <v>0</v>
      </c>
      <c r="HF47" s="2" t="str">
        <f>IF('Data Checking'!HR47="","",'Data Checking'!HR47)</f>
        <v>0</v>
      </c>
      <c r="HG47" s="2" t="str">
        <f>IF('Data Checking'!HS47="","",'Data Checking'!HS47)</f>
        <v/>
      </c>
      <c r="HH47" s="2" t="str">
        <f>IF('Data Checking'!HT47="","",'Data Checking'!HT47)</f>
        <v/>
      </c>
      <c r="HI47" s="2" t="str">
        <f>IF('Data Checking'!HU47="","",'Data Checking'!HU47)</f>
        <v>non</v>
      </c>
      <c r="HJ47" s="2" t="str">
        <f>IF('Data Checking'!HV47="","",'Data Checking'!HV47)</f>
        <v/>
      </c>
      <c r="HK47" s="2" t="str">
        <f>IF('Data Checking'!HW47="","",'Data Checking'!HW47)</f>
        <v/>
      </c>
      <c r="HL47" s="2" t="str">
        <f>IF('Data Checking'!HX47="","",'Data Checking'!HX47)</f>
        <v/>
      </c>
      <c r="HM47" s="2" t="str">
        <f>IF('Data Checking'!HY47="","",'Data Checking'!HY47)</f>
        <v/>
      </c>
      <c r="HN47" s="2" t="str">
        <f>IF('Data Checking'!HZ47="","",'Data Checking'!HZ47)</f>
        <v/>
      </c>
      <c r="HO47" s="2" t="str">
        <f>IF('Data Checking'!IA47="","",'Data Checking'!IA47)</f>
        <v/>
      </c>
      <c r="HP47" s="2" t="str">
        <f>IF('Data Checking'!IB47="","",'Data Checking'!IB47)</f>
        <v/>
      </c>
      <c r="HQ47" s="2" t="str">
        <f>IF('Data Checking'!IC47="","",'Data Checking'!IC47)</f>
        <v/>
      </c>
      <c r="HR47" s="2" t="str">
        <f>IF('Data Checking'!ID47="","",'Data Checking'!ID47)</f>
        <v/>
      </c>
      <c r="HS47" s="2" t="str">
        <f>IF('Data Checking'!IE47="","",'Data Checking'!IE47)</f>
        <v/>
      </c>
      <c r="HT47" s="2" t="str">
        <f>IF('Data Checking'!IF47="","",'Data Checking'!IF47)</f>
        <v/>
      </c>
      <c r="HU47" s="2" t="str">
        <f>IF('Data Checking'!IG47="","",'Data Checking'!IG47)</f>
        <v/>
      </c>
      <c r="HV47" s="2" t="str">
        <f>IF('Data Checking'!IH47="","",'Data Checking'!IH47)</f>
        <v>oui</v>
      </c>
      <c r="HW47" s="2" t="str">
        <f>IF('Data Checking'!II47="","",'Data Checking'!II47)</f>
        <v/>
      </c>
      <c r="HX47" s="2" t="str">
        <f>IF('Data Checking'!IJ47="","",'Data Checking'!IJ47)</f>
        <v>Hommes Hommes_ages Femmes</v>
      </c>
      <c r="HY47" s="2" t="str">
        <f>IF('Data Checking'!IK47="","",'Data Checking'!IK47)</f>
        <v>0</v>
      </c>
      <c r="HZ47" s="2" t="str">
        <f>IF('Data Checking'!IL47="","",'Data Checking'!IL47)</f>
        <v>0</v>
      </c>
      <c r="IA47" s="2" t="str">
        <f>IF('Data Checking'!IM47="","",'Data Checking'!IM47)</f>
        <v>0</v>
      </c>
      <c r="IB47" s="2" t="str">
        <f>IF('Data Checking'!IN47="","",'Data Checking'!IN47)</f>
        <v>0</v>
      </c>
      <c r="IC47" s="2" t="str">
        <f>IF('Data Checking'!IO47="","",'Data Checking'!IO47)</f>
        <v>1</v>
      </c>
      <c r="ID47" s="2" t="str">
        <f>IF('Data Checking'!IP47="","",'Data Checking'!IP47)</f>
        <v>1</v>
      </c>
      <c r="IE47" s="2" t="str">
        <f>IF('Data Checking'!IQ47="","",'Data Checking'!IQ47)</f>
        <v>0</v>
      </c>
      <c r="IF47" s="2" t="str">
        <f>IF('Data Checking'!IR47="","",'Data Checking'!IR47)</f>
        <v>1</v>
      </c>
      <c r="IG47" s="2" t="str">
        <f>IF('Data Checking'!IS47="","",'Data Checking'!IS47)</f>
        <v>0</v>
      </c>
      <c r="IH47" s="2" t="str">
        <f>IF('Data Checking'!IT47="","",'Data Checking'!IT47)</f>
        <v>0</v>
      </c>
      <c r="II47" s="2" t="str">
        <f>IF('Data Checking'!IU47="","",'Data Checking'!IU47)</f>
        <v>0</v>
      </c>
      <c r="IJ47" s="2" t="str">
        <f>IF('Data Checking'!IV47="","",'Data Checking'!IV47)</f>
        <v>0</v>
      </c>
      <c r="IK47" s="2" t="str">
        <f>IF('Data Checking'!IW47="","",'Data Checking'!IW47)</f>
        <v>0</v>
      </c>
      <c r="IL47" s="2" t="str">
        <f>IF('Data Checking'!IX47="","",'Data Checking'!IX47)</f>
        <v>0</v>
      </c>
      <c r="IM47" s="2" t="str">
        <f>IF('Data Checking'!IY47="","",'Data Checking'!IY47)</f>
        <v/>
      </c>
      <c r="IN47" s="2" t="str">
        <f>IF('Data Checking'!IZ47="","",'Data Checking'!IZ47)</f>
        <v>2</v>
      </c>
      <c r="IO47" s="2" t="str">
        <f>IF('Data Checking'!JA47="","",'Data Checking'!JA47)</f>
        <v>reinsertion Services_medicaux</v>
      </c>
      <c r="IP47" s="2" t="str">
        <f>IF('Data Checking'!JB47="","",'Data Checking'!JB47)</f>
        <v>0</v>
      </c>
      <c r="IQ47" s="2" t="str">
        <f>IF('Data Checking'!JC47="","",'Data Checking'!JC47)</f>
        <v>1</v>
      </c>
      <c r="IR47" s="2" t="str">
        <f>IF('Data Checking'!JD47="","",'Data Checking'!JD47)</f>
        <v>0</v>
      </c>
      <c r="IS47" s="2" t="str">
        <f>IF('Data Checking'!JE47="","",'Data Checking'!JE47)</f>
        <v>0</v>
      </c>
      <c r="IT47" s="2" t="str">
        <f>IF('Data Checking'!JF47="","",'Data Checking'!JF47)</f>
        <v>0</v>
      </c>
      <c r="IU47" s="2" t="str">
        <f>IF('Data Checking'!JG47="","",'Data Checking'!JG47)</f>
        <v>0</v>
      </c>
      <c r="IV47" s="2" t="str">
        <f>IF('Data Checking'!JH47="","",'Data Checking'!JH47)</f>
        <v>0</v>
      </c>
      <c r="IW47" s="2" t="str">
        <f>IF('Data Checking'!JI47="","",'Data Checking'!JI47)</f>
        <v>0</v>
      </c>
      <c r="IX47" s="2" t="str">
        <f>IF('Data Checking'!JJ47="","",'Data Checking'!JJ47)</f>
        <v>1</v>
      </c>
      <c r="IY47" s="2" t="str">
        <f>IF('Data Checking'!JK47="","",'Data Checking'!JK47)</f>
        <v>0</v>
      </c>
      <c r="IZ47" s="2" t="str">
        <f>IF('Data Checking'!JL47="","",'Data Checking'!JL47)</f>
        <v/>
      </c>
      <c r="JA47" s="2" t="str">
        <f>IF('Data Checking'!JM47="","",'Data Checking'!JM47)</f>
        <v>reorientation signalement</v>
      </c>
      <c r="JB47" s="2" t="str">
        <f>IF('Data Checking'!JN47="","",'Data Checking'!JN47)</f>
        <v>0</v>
      </c>
      <c r="JC47" s="2" t="str">
        <f>IF('Data Checking'!JO47="","",'Data Checking'!JO47)</f>
        <v>1</v>
      </c>
      <c r="JD47" s="2" t="str">
        <f>IF('Data Checking'!JP47="","",'Data Checking'!JP47)</f>
        <v>1</v>
      </c>
      <c r="JE47" s="2" t="str">
        <f>IF('Data Checking'!JQ47="","",'Data Checking'!JQ47)</f>
        <v>0</v>
      </c>
      <c r="JF47" s="2" t="str">
        <f>IF('Data Checking'!JR47="","",'Data Checking'!JR47)</f>
        <v>0</v>
      </c>
      <c r="JG47" s="2" t="str">
        <f>IF('Data Checking'!JS47="","",'Data Checking'!JS47)</f>
        <v>0</v>
      </c>
      <c r="JH47" s="2" t="str">
        <f>IF('Data Checking'!JT47="","",'Data Checking'!JT47)</f>
        <v/>
      </c>
      <c r="JI47" s="2" t="str">
        <f>IF('Data Checking'!JU47="","",'Data Checking'!JU47)</f>
        <v/>
      </c>
      <c r="JJ47" s="2" t="str">
        <f>IF('Data Checking'!JV47="","",'Data Checking'!JV47)</f>
        <v/>
      </c>
      <c r="JK47" s="2" t="str">
        <f>IF('Data Checking'!JW47="","",'Data Checking'!JW47)</f>
        <v/>
      </c>
      <c r="JL47" s="2" t="str">
        <f>IF('Data Checking'!JX47="","",'Data Checking'!JX47)</f>
        <v/>
      </c>
      <c r="JM47" s="2" t="str">
        <f>IF('Data Checking'!JY47="","",'Data Checking'!JY47)</f>
        <v/>
      </c>
      <c r="JN47" s="2" t="str">
        <f>IF('Data Checking'!JZ47="","",'Data Checking'!JZ47)</f>
        <v/>
      </c>
      <c r="JO47" s="2" t="str">
        <f>IF('Data Checking'!KA47="","",'Data Checking'!KA47)</f>
        <v/>
      </c>
      <c r="JP47" s="2" t="str">
        <f>IF('Data Checking'!KB47="","",'Data Checking'!KB47)</f>
        <v/>
      </c>
      <c r="JQ47" s="2" t="str">
        <f>IF('Data Checking'!KC47="","",'Data Checking'!KC47)</f>
        <v/>
      </c>
      <c r="JR47" s="2" t="str">
        <f>IF('Data Checking'!KD47="","",'Data Checking'!KD47)</f>
        <v/>
      </c>
      <c r="JS47" s="2" t="str">
        <f>IF('Data Checking'!KE47="","",'Data Checking'!KE47)</f>
        <v/>
      </c>
      <c r="JT47" s="2" t="str">
        <f>IF('Data Checking'!KF47="","",'Data Checking'!KF47)</f>
        <v>medical point_ecoute</v>
      </c>
      <c r="JU47" s="2" t="str">
        <f>IF('Data Checking'!KG47="","",'Data Checking'!KG47)</f>
        <v>1</v>
      </c>
      <c r="JV47" s="2" t="str">
        <f>IF('Data Checking'!KH47="","",'Data Checking'!KH47)</f>
        <v>0</v>
      </c>
      <c r="JW47" s="2" t="str">
        <f>IF('Data Checking'!KI47="","",'Data Checking'!KI47)</f>
        <v>1</v>
      </c>
      <c r="JX47" s="2" t="str">
        <f>IF('Data Checking'!KJ47="","",'Data Checking'!KJ47)</f>
        <v>0</v>
      </c>
      <c r="JY47" s="2" t="str">
        <f>IF('Data Checking'!KK47="","",'Data Checking'!KK47)</f>
        <v>0</v>
      </c>
      <c r="JZ47" s="2" t="str">
        <f>IF('Data Checking'!KL47="","",'Data Checking'!KL47)</f>
        <v>0</v>
      </c>
      <c r="KA47" s="2" t="str">
        <f>IF('Data Checking'!KM47="","",'Data Checking'!KM47)</f>
        <v>0</v>
      </c>
      <c r="KB47" s="2" t="str">
        <f>IF('Data Checking'!KN47="","",'Data Checking'!KN47)</f>
        <v>0</v>
      </c>
      <c r="KC47" s="2" t="str">
        <f>IF('Data Checking'!KO47="","",'Data Checking'!KO47)</f>
        <v>0</v>
      </c>
      <c r="KD47" s="2" t="str">
        <f>IF('Data Checking'!KP47="","",'Data Checking'!KP47)</f>
        <v/>
      </c>
      <c r="KE47" s="2" t="str">
        <f>IF('Data Checking'!KQ47="","",'Data Checking'!KQ47)</f>
        <v/>
      </c>
      <c r="KF47" s="2" t="str">
        <f>IF('Data Checking'!KR47="","",'Data Checking'!KR47)</f>
        <v>oui</v>
      </c>
      <c r="KG47" s="2" t="str">
        <f>IF('Data Checking'!KS47="","",'Data Checking'!KS47)</f>
        <v>manque_moyens probleme_orientation insecurite_zone</v>
      </c>
      <c r="KH47" s="2" t="str">
        <f>IF('Data Checking'!KT47="","",'Data Checking'!KT47)</f>
        <v>1</v>
      </c>
      <c r="KI47" s="2" t="str">
        <f>IF('Data Checking'!KU47="","",'Data Checking'!KU47)</f>
        <v>0</v>
      </c>
      <c r="KJ47" s="2" t="str">
        <f>IF('Data Checking'!KV47="","",'Data Checking'!KV47)</f>
        <v>0</v>
      </c>
      <c r="KK47" s="2" t="str">
        <f>IF('Data Checking'!KW47="","",'Data Checking'!KW47)</f>
        <v>1</v>
      </c>
      <c r="KL47" s="2" t="str">
        <f>IF('Data Checking'!KX47="","",'Data Checking'!KX47)</f>
        <v>1</v>
      </c>
      <c r="KM47" s="2" t="str">
        <f>IF('Data Checking'!KY47="","",'Data Checking'!KY47)</f>
        <v>0</v>
      </c>
      <c r="KN47" s="2" t="str">
        <f>IF('Data Checking'!KZ47="","",'Data Checking'!KZ47)</f>
        <v>0</v>
      </c>
      <c r="KO47" s="2" t="str">
        <f>IF('Data Checking'!LA47="","",'Data Checking'!LA47)</f>
        <v>0</v>
      </c>
      <c r="KP47" s="2" t="str">
        <f>IF('Data Checking'!LB47="","",'Data Checking'!LB47)</f>
        <v>0</v>
      </c>
      <c r="KQ47" s="2" t="str">
        <f>IF('Data Checking'!LC47="","",'Data Checking'!LC47)</f>
        <v>0</v>
      </c>
      <c r="KR47" s="2" t="str">
        <f>IF('Data Checking'!LD47="","",'Data Checking'!LD47)</f>
        <v>0</v>
      </c>
      <c r="KS47" s="2" t="str">
        <f>IF('Data Checking'!LE47="","",'Data Checking'!LE47)</f>
        <v/>
      </c>
      <c r="KT47" s="2" t="str">
        <f>IF('Data Checking'!LF47="","",'Data Checking'!LF47)</f>
        <v>pb_logistiques pb_coordination</v>
      </c>
      <c r="KU47" s="2" t="str">
        <f>IF('Data Checking'!LG47="","",'Data Checking'!LG47)</f>
        <v>0</v>
      </c>
      <c r="KV47" s="2" t="str">
        <f>IF('Data Checking'!LH47="","",'Data Checking'!LH47)</f>
        <v>1</v>
      </c>
      <c r="KW47" s="2" t="str">
        <f>IF('Data Checking'!LI47="","",'Data Checking'!LI47)</f>
        <v>0</v>
      </c>
      <c r="KX47" s="2" t="str">
        <f>IF('Data Checking'!LJ47="","",'Data Checking'!LJ47)</f>
        <v>1</v>
      </c>
      <c r="KY47" s="2" t="str">
        <f>IF('Data Checking'!LK47="","",'Data Checking'!LK47)</f>
        <v>0</v>
      </c>
      <c r="KZ47" s="2" t="str">
        <f>IF('Data Checking'!LL47="","",'Data Checking'!LL47)</f>
        <v>0</v>
      </c>
      <c r="LA47" s="2" t="str">
        <f>IF('Data Checking'!LM47="","",'Data Checking'!LM47)</f>
        <v/>
      </c>
      <c r="LB47" s="2" t="str">
        <f>IF('Data Checking'!LN47="","",'Data Checking'!LN47)</f>
        <v>non</v>
      </c>
      <c r="LC47" s="2" t="str">
        <f>IF('Data Checking'!LO47="","",'Data Checking'!LO47)</f>
        <v/>
      </c>
      <c r="LD47" s="2" t="str">
        <f>IF('Data Checking'!LP47="","",'Data Checking'!LP47)</f>
        <v/>
      </c>
      <c r="LE47" s="2" t="str">
        <f>IF('Data Checking'!LQ47="","",'Data Checking'!LQ47)</f>
        <v/>
      </c>
      <c r="LF47" s="2" t="str">
        <f>IF('Data Checking'!LR47="","",'Data Checking'!LR47)</f>
        <v/>
      </c>
      <c r="LG47" s="2" t="str">
        <f>IF('Data Checking'!LS47="","",'Data Checking'!LS47)</f>
        <v/>
      </c>
      <c r="LH47" s="2" t="str">
        <f>IF('Data Checking'!LT47="","",'Data Checking'!LT47)</f>
        <v/>
      </c>
      <c r="LI47" s="2" t="str">
        <f>IF('Data Checking'!LU47="","",'Data Checking'!LU47)</f>
        <v/>
      </c>
      <c r="LJ47" s="2" t="str">
        <f>IF('Data Checking'!LV47="","",'Data Checking'!LV47)</f>
        <v/>
      </c>
      <c r="LK47" s="2" t="str">
        <f>IF('Data Checking'!LW47="","",'Data Checking'!LW47)</f>
        <v/>
      </c>
      <c r="LL47" s="2" t="str">
        <f>IF('Data Checking'!LX47="","",'Data Checking'!LX47)</f>
        <v/>
      </c>
      <c r="LM47" s="2" t="str">
        <f>IF('Data Checking'!LY47="","",'Data Checking'!LY47)</f>
        <v/>
      </c>
      <c r="LN47" s="2" t="str">
        <f>IF('Data Checking'!LZ47="","",'Data Checking'!LZ47)</f>
        <v/>
      </c>
      <c r="LO47" s="2" t="str">
        <f>IF('Data Checking'!MA47="","",'Data Checking'!MA47)</f>
        <v/>
      </c>
      <c r="LP47" s="2" t="str">
        <f>IF('Data Checking'!MB47="","",'Data Checking'!MB47)</f>
        <v>oui</v>
      </c>
      <c r="LQ47" s="2" t="str">
        <f>IF('Data Checking'!MC47="","",'Data Checking'!MC47)</f>
        <v/>
      </c>
      <c r="LR47" s="2" t="str">
        <f>IF('Data Checking'!MD47="","",'Data Checking'!MD47)</f>
        <v/>
      </c>
      <c r="LS47" s="2">
        <f>IF('Data Checking'!ME47="","",'Data Checking'!ME47)</f>
        <v>168951339</v>
      </c>
      <c r="LT47" s="2" t="str">
        <f>IF('Data Checking'!MF47="","",'Data Checking'!MF47)</f>
        <v>d445d12c-abfc-4fb8-9c83-c44271a9dedb</v>
      </c>
      <c r="LU47" s="2" t="str">
        <f>IF('Data Checking'!MG47="","",'Data Checking'!MG47)</f>
        <v>2021-03-31T17:35:54</v>
      </c>
      <c r="LV47" s="2" t="str">
        <f>IF('Data Checking'!MH47="","",'Data Checking'!MH47)</f>
        <v/>
      </c>
      <c r="LW47" s="2" t="str">
        <f>IF('Data Checking'!MI47="","",'Data Checking'!MI47)</f>
        <v>[]</v>
      </c>
      <c r="LX47" s="2" t="str">
        <f>IF('Data Checking'!MJ47="","",'Data Checking'!MJ47)</f>
        <v>submitted_via_web</v>
      </c>
      <c r="LY47" s="2" t="str">
        <f>IF('Data Checking'!MK47="","",'Data Checking'!MK47)</f>
        <v>reach_niger</v>
      </c>
      <c r="LZ47" s="2" t="str">
        <f>IF('Data Checking'!ML47="","",'Data Checking'!ML47)</f>
        <v/>
      </c>
      <c r="MA47" s="2">
        <f>IF('Data Checking'!MM47="","",'Data Checking'!MM47)</f>
        <v>6</v>
      </c>
    </row>
    <row r="48" spans="1:339" x14ac:dyDescent="0.3">
      <c r="A48" s="2" t="str">
        <f>IF('Data Checking'!D48="","",'Data Checking'!D48)</f>
        <v>2021-04-01T13:18:00.025+01:00</v>
      </c>
      <c r="B48" s="2" t="str">
        <f>IF('Data Checking'!E48="","",'Data Checking'!E48)</f>
        <v>2021-04-01T14:21:17.604+01:00</v>
      </c>
      <c r="C48" s="2" t="str">
        <f>IF('Data Checking'!M48="","",'Data Checking'!M48)</f>
        <v>2021-04-01</v>
      </c>
      <c r="D48" s="2" t="str">
        <f>IF('Data Checking'!N48="","",'Data Checking'!N48)</f>
        <v/>
      </c>
      <c r="E48" s="2" t="str">
        <f>IF('Data Checking'!O48="","",'Data Checking'!O48)</f>
        <v/>
      </c>
      <c r="F48" s="2" t="str">
        <f>IF('Data Checking'!R48="","",'Data Checking'!R48)</f>
        <v>Homme</v>
      </c>
      <c r="G48" s="2" t="str">
        <f>IF('Data Checking'!S48="","",'Data Checking'!S48)</f>
        <v>tillaberi</v>
      </c>
      <c r="H48" s="2" t="str">
        <f>IF('Data Checking'!T48="","",'Data Checking'!T48)</f>
        <v>sakoira</v>
      </c>
      <c r="I48" s="2" t="str">
        <f>IF('Data Checking'!U48="","",'Data Checking'!U48)</f>
        <v>sakoira</v>
      </c>
      <c r="J48" s="2" t="str">
        <f>IF('Data Checking'!V48="","",'Data Checking'!V48)</f>
        <v/>
      </c>
      <c r="K48" s="2" t="str">
        <f>IF('Data Checking'!W48="","",'Data Checking'!W48)</f>
        <v/>
      </c>
      <c r="L48" s="2" t="str">
        <f>IF('Data Checking'!X48="","",'Data Checking'!X48)</f>
        <v/>
      </c>
      <c r="M48" s="2" t="str">
        <f>IF('Data Checking'!Y48="","",'Data Checking'!Y48)</f>
        <v/>
      </c>
      <c r="N48" s="2" t="str">
        <f>IF('Data Checking'!Z48="","",'Data Checking'!Z48)</f>
        <v/>
      </c>
      <c r="O48" s="2" t="str">
        <f>IF('Data Checking'!AA48="","",'Data Checking'!AA48)</f>
        <v/>
      </c>
      <c r="P48" s="2" t="str">
        <f>IF('Data Checking'!AB48="","",'Data Checking'!AB48)</f>
        <v/>
      </c>
      <c r="Q48" s="2" t="str">
        <f>IF('Data Checking'!AC48="","",'Data Checking'!AC48)</f>
        <v/>
      </c>
      <c r="R48" s="2" t="str">
        <f>IF('Data Checking'!AD48="","",'Data Checking'!AD48)</f>
        <v>Homme</v>
      </c>
      <c r="S48" s="2" t="str">
        <f>IF('Data Checking'!AE48="","",'Data Checking'!AE48)</f>
        <v>47</v>
      </c>
      <c r="T48" s="2" t="str">
        <f>IF('Data Checking'!AF48="","",'Data Checking'!AF48)</f>
        <v>Hote</v>
      </c>
      <c r="U48" s="2" t="str">
        <f>IF('Data Checking'!AG48="","",'Data Checking'!AG48)</f>
        <v/>
      </c>
      <c r="V48" s="2" t="str">
        <f>IF('Data Checking'!AH48="","",'Data Checking'!AH48)</f>
        <v/>
      </c>
      <c r="W48" s="2" t="str">
        <f>IF('Data Checking'!AI48="","",'Data Checking'!AI48)</f>
        <v/>
      </c>
      <c r="X48" s="2" t="str">
        <f>IF('Data Checking'!AJ48="","",'Data Checking'!AJ48)</f>
        <v/>
      </c>
      <c r="Y48" s="2" t="str">
        <f>IF('Data Checking'!AK48="","",'Data Checking'!AK48)</f>
        <v/>
      </c>
      <c r="Z48" s="2" t="str">
        <f>IF('Data Checking'!AL48="","",'Data Checking'!AL48)</f>
        <v/>
      </c>
      <c r="AA48" s="2" t="str">
        <f>IF('Data Checking'!AM48="","",'Data Checking'!AM48)</f>
        <v/>
      </c>
      <c r="AB48" s="2" t="str">
        <f>IF('Data Checking'!AN48="","",'Data Checking'!AN48)</f>
        <v/>
      </c>
      <c r="AC48" s="2" t="str">
        <f>IF('Data Checking'!AO48="","",'Data Checking'!AO48)</f>
        <v/>
      </c>
      <c r="AD48" s="2" t="str">
        <f>IF('Data Checking'!AP48="","",'Data Checking'!AP48)</f>
        <v/>
      </c>
      <c r="AE48" s="2" t="str">
        <f>IF('Data Checking'!AQ48="","",'Data Checking'!AQ48)</f>
        <v/>
      </c>
      <c r="AF48" s="2" t="str">
        <f>IF('Data Checking'!AR48="","",'Data Checking'!AR48)</f>
        <v/>
      </c>
      <c r="AG48" s="2" t="str">
        <f>IF('Data Checking'!AS48="","",'Data Checking'!AS48)</f>
        <v>non</v>
      </c>
      <c r="AH48" s="2" t="str">
        <f>IF('Data Checking'!AT48="","",'Data Checking'!AT48)</f>
        <v/>
      </c>
      <c r="AI48" s="2" t="str">
        <f>IF('Data Checking'!AU48="","",'Data Checking'!AU48)</f>
        <v/>
      </c>
      <c r="AJ48" s="2" t="str">
        <f>IF('Data Checking'!AV48="","",'Data Checking'!AV48)</f>
        <v/>
      </c>
      <c r="AK48" s="2" t="str">
        <f>IF('Data Checking'!AW48="","",'Data Checking'!AW48)</f>
        <v/>
      </c>
      <c r="AL48" s="2" t="str">
        <f>IF('Data Checking'!AX48="","",'Data Checking'!AX48)</f>
        <v/>
      </c>
      <c r="AM48" s="2" t="str">
        <f>IF('Data Checking'!AY48="","",'Data Checking'!AY48)</f>
        <v/>
      </c>
      <c r="AN48" s="2" t="str">
        <f>IF('Data Checking'!AZ48="","",'Data Checking'!AZ48)</f>
        <v/>
      </c>
      <c r="AO48" s="2" t="str">
        <f>IF('Data Checking'!BA48="","",'Data Checking'!BA48)</f>
        <v/>
      </c>
      <c r="AP48" s="2" t="str">
        <f>IF('Data Checking'!BB48="","",'Data Checking'!BB48)</f>
        <v/>
      </c>
      <c r="AQ48" s="2" t="str">
        <f>IF('Data Checking'!BC48="","",'Data Checking'!BC48)</f>
        <v/>
      </c>
      <c r="AR48" s="2" t="str">
        <f>IF('Data Checking'!BD48="","",'Data Checking'!BD48)</f>
        <v/>
      </c>
      <c r="AS48" s="2" t="str">
        <f>IF('Data Checking'!BE48="","",'Data Checking'!BE48)</f>
        <v/>
      </c>
      <c r="AT48" s="2" t="str">
        <f>IF('Data Checking'!BF48="","",'Data Checking'!BF48)</f>
        <v/>
      </c>
      <c r="AU48" s="2" t="str">
        <f>IF('Data Checking'!BG48="","",'Data Checking'!BG48)</f>
        <v/>
      </c>
      <c r="AV48" s="2" t="str">
        <f>IF('Data Checking'!BH48="","",'Data Checking'!BH48)</f>
        <v/>
      </c>
      <c r="AW48" s="2" t="str">
        <f>IF('Data Checking'!BI48="","",'Data Checking'!BI48)</f>
        <v/>
      </c>
      <c r="AX48" s="2" t="str">
        <f>IF('Data Checking'!BJ48="","",'Data Checking'!BJ48)</f>
        <v/>
      </c>
      <c r="AY48" s="2" t="str">
        <f>IF('Data Checking'!BK48="","",'Data Checking'!BK48)</f>
        <v/>
      </c>
      <c r="AZ48" s="2" t="str">
        <f>IF('Data Checking'!BL48="","",'Data Checking'!BL48)</f>
        <v/>
      </c>
      <c r="BA48" s="2" t="str">
        <f>IF('Data Checking'!BM48="","",'Data Checking'!BM48)</f>
        <v/>
      </c>
      <c r="BB48" s="2" t="str">
        <f>IF('Data Checking'!BN48="","",'Data Checking'!BN48)</f>
        <v/>
      </c>
      <c r="BC48" s="2" t="str">
        <f>IF('Data Checking'!BO48="","",'Data Checking'!BO48)</f>
        <v/>
      </c>
      <c r="BD48" s="2" t="str">
        <f>IF('Data Checking'!BP48="","",'Data Checking'!BP48)</f>
        <v/>
      </c>
      <c r="BE48" s="2" t="str">
        <f>IF('Data Checking'!BQ48="","",'Data Checking'!BQ48)</f>
        <v/>
      </c>
      <c r="BF48" s="2" t="str">
        <f>IF('Data Checking'!BR48="","",'Data Checking'!BR48)</f>
        <v/>
      </c>
      <c r="BG48" s="2" t="str">
        <f>IF('Data Checking'!BS48="","",'Data Checking'!BS48)</f>
        <v/>
      </c>
      <c r="BH48" s="2" t="str">
        <f>IF('Data Checking'!BT48="","",'Data Checking'!BT48)</f>
        <v/>
      </c>
      <c r="BI48" s="2" t="str">
        <f>IF('Data Checking'!BU48="","",'Data Checking'!BU48)</f>
        <v/>
      </c>
      <c r="BJ48" s="2" t="str">
        <f>IF('Data Checking'!BV48="","",'Data Checking'!BV48)</f>
        <v/>
      </c>
      <c r="BK48" s="2" t="str">
        <f>IF('Data Checking'!BW48="","",'Data Checking'!BW48)</f>
        <v/>
      </c>
      <c r="BL48" s="2" t="str">
        <f>IF('Data Checking'!BX48="","",'Data Checking'!BX48)</f>
        <v/>
      </c>
      <c r="BM48" s="2" t="str">
        <f>IF('Data Checking'!BY48="","",'Data Checking'!BY48)</f>
        <v/>
      </c>
      <c r="BN48" s="2" t="str">
        <f>IF('Data Checking'!BZ48="","",'Data Checking'!BZ48)</f>
        <v/>
      </c>
      <c r="BO48" s="2" t="str">
        <f>IF('Data Checking'!CA48="","",'Data Checking'!CA48)</f>
        <v/>
      </c>
      <c r="BP48" s="2" t="str">
        <f>IF('Data Checking'!CB48="","",'Data Checking'!CB48)</f>
        <v/>
      </c>
      <c r="BQ48" s="2" t="str">
        <f>IF('Data Checking'!CC48="","",'Data Checking'!CC48)</f>
        <v>non</v>
      </c>
      <c r="BR48" s="2" t="str">
        <f>IF('Data Checking'!CD48="","",'Data Checking'!CD48)</f>
        <v/>
      </c>
      <c r="BS48" s="2" t="str">
        <f>IF('Data Checking'!CE48="","",'Data Checking'!CE48)</f>
        <v/>
      </c>
      <c r="BT48" s="2" t="str">
        <f>IF('Data Checking'!CF48="","",'Data Checking'!CF48)</f>
        <v/>
      </c>
      <c r="BU48" s="2" t="str">
        <f>IF('Data Checking'!CG48="","",'Data Checking'!CG48)</f>
        <v/>
      </c>
      <c r="BV48" s="2" t="str">
        <f>IF('Data Checking'!CH48="","",'Data Checking'!CH48)</f>
        <v/>
      </c>
      <c r="BW48" s="2" t="str">
        <f>IF('Data Checking'!CI48="","",'Data Checking'!CI48)</f>
        <v/>
      </c>
      <c r="BX48" s="2" t="str">
        <f>IF('Data Checking'!CJ48="","",'Data Checking'!CJ48)</f>
        <v/>
      </c>
      <c r="BY48" s="2" t="str">
        <f>IF('Data Checking'!CK48="","",'Data Checking'!CK48)</f>
        <v/>
      </c>
      <c r="BZ48" s="2" t="str">
        <f>IF('Data Checking'!CL48="","",'Data Checking'!CL48)</f>
        <v/>
      </c>
      <c r="CA48" s="2" t="str">
        <f>IF('Data Checking'!CM48="","",'Data Checking'!CM48)</f>
        <v/>
      </c>
      <c r="CB48" s="2" t="str">
        <f>IF('Data Checking'!CN48="","",'Data Checking'!CN48)</f>
        <v/>
      </c>
      <c r="CC48" s="2" t="str">
        <f>IF('Data Checking'!CO48="","",'Data Checking'!CO48)</f>
        <v/>
      </c>
      <c r="CD48" s="2" t="str">
        <f>IF('Data Checking'!CP48="","",'Data Checking'!CP48)</f>
        <v/>
      </c>
      <c r="CE48" s="2" t="str">
        <f>IF('Data Checking'!CQ48="","",'Data Checking'!CQ48)</f>
        <v/>
      </c>
      <c r="CF48" s="2" t="str">
        <f>IF('Data Checking'!CR48="","",'Data Checking'!CR48)</f>
        <v/>
      </c>
      <c r="CG48" s="2" t="str">
        <f>IF('Data Checking'!CS48="","",'Data Checking'!CS48)</f>
        <v/>
      </c>
      <c r="CH48" s="2" t="str">
        <f>IF('Data Checking'!CT48="","",'Data Checking'!CT48)</f>
        <v/>
      </c>
      <c r="CI48" s="2" t="str">
        <f>IF('Data Checking'!CU48="","",'Data Checking'!CU48)</f>
        <v/>
      </c>
      <c r="CJ48" s="2" t="str">
        <f>IF('Data Checking'!CV48="","",'Data Checking'!CV48)</f>
        <v/>
      </c>
      <c r="CK48" s="2" t="str">
        <f>IF('Data Checking'!CW48="","",'Data Checking'!CW48)</f>
        <v/>
      </c>
      <c r="CL48" s="2" t="str">
        <f>IF('Data Checking'!CX48="","",'Data Checking'!CX48)</f>
        <v/>
      </c>
      <c r="CM48" s="2" t="str">
        <f>IF('Data Checking'!CY48="","",'Data Checking'!CY48)</f>
        <v/>
      </c>
      <c r="CN48" s="2" t="str">
        <f>IF('Data Checking'!CZ48="","",'Data Checking'!CZ48)</f>
        <v/>
      </c>
      <c r="CO48" s="2" t="str">
        <f>IF('Data Checking'!DA48="","",'Data Checking'!DA48)</f>
        <v/>
      </c>
      <c r="CP48" s="2" t="str">
        <f>IF('Data Checking'!DB48="","",'Data Checking'!DB48)</f>
        <v/>
      </c>
      <c r="CQ48" s="2" t="str">
        <f>IF('Data Checking'!DC48="","",'Data Checking'!DC48)</f>
        <v/>
      </c>
      <c r="CR48" s="2" t="str">
        <f>IF('Data Checking'!DD48="","",'Data Checking'!DD48)</f>
        <v/>
      </c>
      <c r="CS48" s="2" t="str">
        <f>IF('Data Checking'!DE48="","",'Data Checking'!DE48)</f>
        <v/>
      </c>
      <c r="CT48" s="2" t="str">
        <f>IF('Data Checking'!DF48="","",'Data Checking'!DF48)</f>
        <v/>
      </c>
      <c r="CU48" s="2" t="str">
        <f>IF('Data Checking'!DG48="","",'Data Checking'!DG48)</f>
        <v/>
      </c>
      <c r="CV48" s="2" t="str">
        <f>IF('Data Checking'!DH48="","",'Data Checking'!DH48)</f>
        <v/>
      </c>
      <c r="CW48" s="2" t="str">
        <f>IF('Data Checking'!DI48="","",'Data Checking'!DI48)</f>
        <v/>
      </c>
      <c r="CX48" s="2" t="str">
        <f>IF('Data Checking'!DJ48="","",'Data Checking'!DJ48)</f>
        <v/>
      </c>
      <c r="CY48" s="2" t="str">
        <f>IF('Data Checking'!DK48="","",'Data Checking'!DK48)</f>
        <v/>
      </c>
      <c r="CZ48" s="2" t="str">
        <f>IF('Data Checking'!DL48="","",'Data Checking'!DL48)</f>
        <v/>
      </c>
      <c r="DA48" s="2" t="str">
        <f>IF('Data Checking'!DM48="","",'Data Checking'!DM48)</f>
        <v/>
      </c>
      <c r="DB48" s="2" t="str">
        <f>IF('Data Checking'!DN48="","",'Data Checking'!DN48)</f>
        <v/>
      </c>
      <c r="DC48" s="2" t="str">
        <f>IF('Data Checking'!DO48="","",'Data Checking'!DO48)</f>
        <v/>
      </c>
      <c r="DD48" s="2" t="str">
        <f>IF('Data Checking'!DP48="","",'Data Checking'!DP48)</f>
        <v/>
      </c>
      <c r="DE48" s="2" t="str">
        <f>IF('Data Checking'!DQ48="","",'Data Checking'!DQ48)</f>
        <v/>
      </c>
      <c r="DF48" s="2" t="str">
        <f>IF('Data Checking'!DR48="","",'Data Checking'!DR48)</f>
        <v/>
      </c>
      <c r="DG48" s="2" t="str">
        <f>IF('Data Checking'!DS48="","",'Data Checking'!DS48)</f>
        <v/>
      </c>
      <c r="DH48" s="2" t="str">
        <f>IF('Data Checking'!DT48="","",'Data Checking'!DT48)</f>
        <v/>
      </c>
      <c r="DI48" s="2" t="str">
        <f>IF('Data Checking'!DU48="","",'Data Checking'!DU48)</f>
        <v/>
      </c>
      <c r="DJ48" s="2" t="str">
        <f>IF('Data Checking'!DV48="","",'Data Checking'!DV48)</f>
        <v/>
      </c>
      <c r="DK48" s="2" t="str">
        <f>IF('Data Checking'!DW48="","",'Data Checking'!DW48)</f>
        <v/>
      </c>
      <c r="DL48" s="2" t="str">
        <f>IF('Data Checking'!DX48="","",'Data Checking'!DX48)</f>
        <v/>
      </c>
      <c r="DM48" s="2" t="str">
        <f>IF('Data Checking'!DY48="","",'Data Checking'!DY48)</f>
        <v/>
      </c>
      <c r="DN48" s="2" t="str">
        <f>IF('Data Checking'!DZ48="","",'Data Checking'!DZ48)</f>
        <v/>
      </c>
      <c r="DO48" s="2" t="str">
        <f>IF('Data Checking'!EA48="","",'Data Checking'!EA48)</f>
        <v/>
      </c>
      <c r="DP48" s="2" t="str">
        <f>IF('Data Checking'!EB48="","",'Data Checking'!EB48)</f>
        <v/>
      </c>
      <c r="DQ48" s="2" t="str">
        <f>IF('Data Checking'!EC48="","",'Data Checking'!EC48)</f>
        <v/>
      </c>
      <c r="DR48" s="2" t="str">
        <f>IF('Data Checking'!ED48="","",'Data Checking'!ED48)</f>
        <v/>
      </c>
      <c r="DS48" s="2" t="str">
        <f>IF('Data Checking'!EE48="","",'Data Checking'!EE48)</f>
        <v/>
      </c>
      <c r="DT48" s="2" t="str">
        <f>IF('Data Checking'!EF48="","",'Data Checking'!EF48)</f>
        <v/>
      </c>
      <c r="DU48" s="2" t="str">
        <f>IF('Data Checking'!EG48="","",'Data Checking'!EG48)</f>
        <v/>
      </c>
      <c r="DV48" s="2" t="str">
        <f>IF('Data Checking'!EH48="","",'Data Checking'!EH48)</f>
        <v/>
      </c>
      <c r="DW48" s="2" t="str">
        <f>IF('Data Checking'!EI48="","",'Data Checking'!EI48)</f>
        <v/>
      </c>
      <c r="DX48" s="2" t="str">
        <f>IF('Data Checking'!EJ48="","",'Data Checking'!EJ48)</f>
        <v/>
      </c>
      <c r="DY48" s="2" t="str">
        <f>IF('Data Checking'!EK48="","",'Data Checking'!EK48)</f>
        <v/>
      </c>
      <c r="DZ48" s="2" t="str">
        <f>IF('Data Checking'!EL48="","",'Data Checking'!EL48)</f>
        <v>Integration_com_hote Soutien_famille_amis Soutien_chef_village</v>
      </c>
      <c r="EA48" s="2" t="str">
        <f>IF('Data Checking'!EM48="","",'Data Checking'!EM48)</f>
        <v>0</v>
      </c>
      <c r="EB48" s="2" t="str">
        <f>IF('Data Checking'!EN48="","",'Data Checking'!EN48)</f>
        <v>1</v>
      </c>
      <c r="EC48" s="2" t="str">
        <f>IF('Data Checking'!EO48="","",'Data Checking'!EO48)</f>
        <v>1</v>
      </c>
      <c r="ED48" s="2" t="str">
        <f>IF('Data Checking'!EP48="","",'Data Checking'!EP48)</f>
        <v>1</v>
      </c>
      <c r="EE48" s="2" t="str">
        <f>IF('Data Checking'!EQ48="","",'Data Checking'!EQ48)</f>
        <v>0</v>
      </c>
      <c r="EF48" s="2" t="str">
        <f>IF('Data Checking'!ER48="","",'Data Checking'!ER48)</f>
        <v>0</v>
      </c>
      <c r="EG48" s="2" t="str">
        <f>IF('Data Checking'!ES48="","",'Data Checking'!ES48)</f>
        <v>0</v>
      </c>
      <c r="EH48" s="2" t="str">
        <f>IF('Data Checking'!ET48="","",'Data Checking'!ET48)</f>
        <v>0</v>
      </c>
      <c r="EI48" s="2" t="str">
        <f>IF('Data Checking'!EU48="","",'Data Checking'!EU48)</f>
        <v>0</v>
      </c>
      <c r="EJ48" s="2" t="str">
        <f>IF('Data Checking'!EV48="","",'Data Checking'!EV48)</f>
        <v/>
      </c>
      <c r="EK48" s="2" t="str">
        <f>IF('Data Checking'!EW48="","",'Data Checking'!EW48)</f>
        <v/>
      </c>
      <c r="EL48" s="2" t="str">
        <f>IF('Data Checking'!EX48="","",'Data Checking'!EX48)</f>
        <v>comite_protection famille_accueil</v>
      </c>
      <c r="EM48" s="2" t="str">
        <f>IF('Data Checking'!EY48="","",'Data Checking'!EY48)</f>
        <v>0</v>
      </c>
      <c r="EN48" s="2" t="str">
        <f>IF('Data Checking'!EZ48="","",'Data Checking'!EZ48)</f>
        <v>1</v>
      </c>
      <c r="EO48" s="2" t="str">
        <f>IF('Data Checking'!FA48="","",'Data Checking'!FA48)</f>
        <v>1</v>
      </c>
      <c r="EP48" s="2" t="str">
        <f>IF('Data Checking'!FB48="","",'Data Checking'!FB48)</f>
        <v>0</v>
      </c>
      <c r="EQ48" s="2" t="str">
        <f>IF('Data Checking'!FC48="","",'Data Checking'!FC48)</f>
        <v>0</v>
      </c>
      <c r="ER48" s="2" t="str">
        <f>IF('Data Checking'!FD48="","",'Data Checking'!FD48)</f>
        <v>0</v>
      </c>
      <c r="ES48" s="2" t="str">
        <f>IF('Data Checking'!FE48="","",'Data Checking'!FE48)</f>
        <v>0</v>
      </c>
      <c r="ET48" s="2" t="str">
        <f>IF('Data Checking'!FF48="","",'Data Checking'!FF48)</f>
        <v>0</v>
      </c>
      <c r="EU48" s="2" t="str">
        <f>IF('Data Checking'!FG48="","",'Data Checking'!FG48)</f>
        <v>0</v>
      </c>
      <c r="EV48" s="2" t="str">
        <f>IF('Data Checking'!FH48="","",'Data Checking'!FH48)</f>
        <v>0</v>
      </c>
      <c r="EW48" s="2" t="str">
        <f>IF('Data Checking'!FI48="","",'Data Checking'!FI48)</f>
        <v/>
      </c>
      <c r="EX48" s="2" t="str">
        <f>IF('Data Checking'!FJ48="","",'Data Checking'!FJ48)</f>
        <v>oui</v>
      </c>
      <c r="EY48" s="2" t="str">
        <f>IF('Data Checking'!FK48="","",'Data Checking'!FK48)</f>
        <v>famille_amis Chef_village</v>
      </c>
      <c r="EZ48" s="2" t="str">
        <f>IF('Data Checking'!FL48="","",'Data Checking'!FL48)</f>
        <v>0</v>
      </c>
      <c r="FA48" s="2" t="str">
        <f>IF('Data Checking'!FM48="","",'Data Checking'!FM48)</f>
        <v>0</v>
      </c>
      <c r="FB48" s="2" t="str">
        <f>IF('Data Checking'!FN48="","",'Data Checking'!FN48)</f>
        <v>0</v>
      </c>
      <c r="FC48" s="2" t="str">
        <f>IF('Data Checking'!FO48="","",'Data Checking'!FO48)</f>
        <v>0</v>
      </c>
      <c r="FD48" s="2" t="str">
        <f>IF('Data Checking'!FP48="","",'Data Checking'!FP48)</f>
        <v>1</v>
      </c>
      <c r="FE48" s="2" t="str">
        <f>IF('Data Checking'!FQ48="","",'Data Checking'!FQ48)</f>
        <v>1</v>
      </c>
      <c r="FF48" s="2" t="str">
        <f>IF('Data Checking'!FR48="","",'Data Checking'!FR48)</f>
        <v>0</v>
      </c>
      <c r="FG48" s="2" t="str">
        <f>IF('Data Checking'!FS48="","",'Data Checking'!FS48)</f>
        <v>0</v>
      </c>
      <c r="FH48" s="2" t="str">
        <f>IF('Data Checking'!FT48="","",'Data Checking'!FT48)</f>
        <v>0</v>
      </c>
      <c r="FI48" s="2" t="str">
        <f>IF('Data Checking'!FU48="","",'Data Checking'!FU48)</f>
        <v>0</v>
      </c>
      <c r="FJ48" s="2" t="str">
        <f>IF('Data Checking'!FV48="","",'Data Checking'!FV48)</f>
        <v>0</v>
      </c>
      <c r="FK48" s="2" t="str">
        <f>IF('Data Checking'!FW48="","",'Data Checking'!FW48)</f>
        <v>0</v>
      </c>
      <c r="FL48" s="2" t="str">
        <f>IF('Data Checking'!FX48="","",'Data Checking'!FX48)</f>
        <v>0</v>
      </c>
      <c r="FM48" s="2" t="str">
        <f>IF('Data Checking'!FY48="","",'Data Checking'!FY48)</f>
        <v>0</v>
      </c>
      <c r="FN48" s="2" t="str">
        <f>IF('Data Checking'!FZ48="","",'Data Checking'!FZ48)</f>
        <v/>
      </c>
      <c r="FO48" s="2" t="str">
        <f>IF('Data Checking'!GA48="","",'Data Checking'!GA48)</f>
        <v>oui_majorite</v>
      </c>
      <c r="FP48" s="2" t="str">
        <f>IF('Data Checking'!GB48="","",'Data Checking'!GB48)</f>
        <v>oui_majorite</v>
      </c>
      <c r="FQ48" s="2" t="str">
        <f>IF('Data Checking'!GC48="","",'Data Checking'!GC48)</f>
        <v>manque_info</v>
      </c>
      <c r="FR48" s="2" t="str">
        <f>IF('Data Checking'!GD48="","",'Data Checking'!GD48)</f>
        <v>0</v>
      </c>
      <c r="FS48" s="2" t="str">
        <f>IF('Data Checking'!GE48="","",'Data Checking'!GE48)</f>
        <v>1</v>
      </c>
      <c r="FT48" s="2" t="str">
        <f>IF('Data Checking'!GF48="","",'Data Checking'!GF48)</f>
        <v>0</v>
      </c>
      <c r="FU48" s="2" t="str">
        <f>IF('Data Checking'!GG48="","",'Data Checking'!GG48)</f>
        <v>0</v>
      </c>
      <c r="FV48" s="2" t="str">
        <f>IF('Data Checking'!GH48="","",'Data Checking'!GH48)</f>
        <v>0</v>
      </c>
      <c r="FW48" s="2" t="str">
        <f>IF('Data Checking'!GI48="","",'Data Checking'!GI48)</f>
        <v>0</v>
      </c>
      <c r="FX48" s="2" t="str">
        <f>IF('Data Checking'!GJ48="","",'Data Checking'!GJ48)</f>
        <v>0</v>
      </c>
      <c r="FY48" s="2" t="str">
        <f>IF('Data Checking'!GK48="","",'Data Checking'!GK48)</f>
        <v>0</v>
      </c>
      <c r="FZ48" s="2" t="str">
        <f>IF('Data Checking'!GL48="","",'Data Checking'!GL48)</f>
        <v/>
      </c>
      <c r="GA48" s="2" t="str">
        <f>IF('Data Checking'!GM48="","",'Data Checking'!GM48)</f>
        <v>majorite</v>
      </c>
      <c r="GB48" s="2" t="str">
        <f>IF('Data Checking'!GN48="","",'Data Checking'!GN48)</f>
        <v>majorite</v>
      </c>
      <c r="GC48" s="2" t="str">
        <f>IF('Data Checking'!GO48="","",'Data Checking'!GO48)</f>
        <v>Education Services_de_sante Acces_aux_doc</v>
      </c>
      <c r="GD48" s="2" t="str">
        <f>IF('Data Checking'!GP48="","",'Data Checking'!GP48)</f>
        <v>0</v>
      </c>
      <c r="GE48" s="2" t="str">
        <f>IF('Data Checking'!GQ48="","",'Data Checking'!GQ48)</f>
        <v>1</v>
      </c>
      <c r="GF48" s="2" t="str">
        <f>IF('Data Checking'!GR48="","",'Data Checking'!GR48)</f>
        <v>0</v>
      </c>
      <c r="GG48" s="2" t="str">
        <f>IF('Data Checking'!GS48="","",'Data Checking'!GS48)</f>
        <v>1</v>
      </c>
      <c r="GH48" s="2" t="str">
        <f>IF('Data Checking'!GT48="","",'Data Checking'!GT48)</f>
        <v>1</v>
      </c>
      <c r="GI48" s="2" t="str">
        <f>IF('Data Checking'!GU48="","",'Data Checking'!GU48)</f>
        <v>0</v>
      </c>
      <c r="GJ48" s="2" t="str">
        <f>IF('Data Checking'!GV48="","",'Data Checking'!GV48)</f>
        <v>0</v>
      </c>
      <c r="GK48" s="2" t="str">
        <f>IF('Data Checking'!GW48="","",'Data Checking'!GW48)</f>
        <v>0</v>
      </c>
      <c r="GL48" s="2" t="str">
        <f>IF('Data Checking'!GX48="","",'Data Checking'!GX48)</f>
        <v>0</v>
      </c>
      <c r="GM48" s="2" t="str">
        <f>IF('Data Checking'!GY48="","",'Data Checking'!GY48)</f>
        <v/>
      </c>
      <c r="GN48" s="2" t="str">
        <f>IF('Data Checking'!GZ48="","",'Data Checking'!GZ48)</f>
        <v>oui_ensemble</v>
      </c>
      <c r="GO48" s="2" t="str">
        <f>IF('Data Checking'!HA48="","",'Data Checking'!HA48)</f>
        <v>oui_ensemble</v>
      </c>
      <c r="GP48" s="2" t="str">
        <f>IF('Data Checking'!HB48="","",'Data Checking'!HB48)</f>
        <v>amelioration_futur repond_besoins_pop permet_eviter_conflits</v>
      </c>
      <c r="GQ48" s="2" t="str">
        <f>IF('Data Checking'!HC48="","",'Data Checking'!HC48)</f>
        <v>1</v>
      </c>
      <c r="GR48" s="2" t="str">
        <f>IF('Data Checking'!HD48="","",'Data Checking'!HD48)</f>
        <v>1</v>
      </c>
      <c r="GS48" s="2" t="str">
        <f>IF('Data Checking'!HE48="","",'Data Checking'!HE48)</f>
        <v>0</v>
      </c>
      <c r="GT48" s="2" t="str">
        <f>IF('Data Checking'!HF48="","",'Data Checking'!HF48)</f>
        <v>1</v>
      </c>
      <c r="GU48" s="2" t="str">
        <f>IF('Data Checking'!HG48="","",'Data Checking'!HG48)</f>
        <v>0</v>
      </c>
      <c r="GV48" s="2" t="str">
        <f>IF('Data Checking'!HH48="","",'Data Checking'!HH48)</f>
        <v>0</v>
      </c>
      <c r="GW48" s="2" t="str">
        <f>IF('Data Checking'!HI48="","",'Data Checking'!HI48)</f>
        <v>0</v>
      </c>
      <c r="GX48" s="2" t="str">
        <f>IF('Data Checking'!HJ48="","",'Data Checking'!HJ48)</f>
        <v>0</v>
      </c>
      <c r="GY48" s="2" t="str">
        <f>IF('Data Checking'!HK48="","",'Data Checking'!HK48)</f>
        <v/>
      </c>
      <c r="GZ48" s="2" t="str">
        <f>IF('Data Checking'!HL48="","",'Data Checking'!HL48)</f>
        <v/>
      </c>
      <c r="HA48" s="2" t="str">
        <f>IF('Data Checking'!HM48="","",'Data Checking'!HM48)</f>
        <v/>
      </c>
      <c r="HB48" s="2" t="str">
        <f>IF('Data Checking'!HN48="","",'Data Checking'!HN48)</f>
        <v/>
      </c>
      <c r="HC48" s="2" t="str">
        <f>IF('Data Checking'!HO48="","",'Data Checking'!HO48)</f>
        <v/>
      </c>
      <c r="HD48" s="2" t="str">
        <f>IF('Data Checking'!HP48="","",'Data Checking'!HP48)</f>
        <v/>
      </c>
      <c r="HE48" s="2" t="str">
        <f>IF('Data Checking'!HQ48="","",'Data Checking'!HQ48)</f>
        <v/>
      </c>
      <c r="HF48" s="2" t="str">
        <f>IF('Data Checking'!HR48="","",'Data Checking'!HR48)</f>
        <v/>
      </c>
      <c r="HG48" s="2" t="str">
        <f>IF('Data Checking'!HS48="","",'Data Checking'!HS48)</f>
        <v/>
      </c>
      <c r="HH48" s="2" t="str">
        <f>IF('Data Checking'!HT48="","",'Data Checking'!HT48)</f>
        <v/>
      </c>
      <c r="HI48" s="2" t="str">
        <f>IF('Data Checking'!HU48="","",'Data Checking'!HU48)</f>
        <v>non</v>
      </c>
      <c r="HJ48" s="2" t="str">
        <f>IF('Data Checking'!HV48="","",'Data Checking'!HV48)</f>
        <v/>
      </c>
      <c r="HK48" s="2" t="str">
        <f>IF('Data Checking'!HW48="","",'Data Checking'!HW48)</f>
        <v/>
      </c>
      <c r="HL48" s="2" t="str">
        <f>IF('Data Checking'!HX48="","",'Data Checking'!HX48)</f>
        <v/>
      </c>
      <c r="HM48" s="2" t="str">
        <f>IF('Data Checking'!HY48="","",'Data Checking'!HY48)</f>
        <v/>
      </c>
      <c r="HN48" s="2" t="str">
        <f>IF('Data Checking'!HZ48="","",'Data Checking'!HZ48)</f>
        <v/>
      </c>
      <c r="HO48" s="2" t="str">
        <f>IF('Data Checking'!IA48="","",'Data Checking'!IA48)</f>
        <v/>
      </c>
      <c r="HP48" s="2" t="str">
        <f>IF('Data Checking'!IB48="","",'Data Checking'!IB48)</f>
        <v/>
      </c>
      <c r="HQ48" s="2" t="str">
        <f>IF('Data Checking'!IC48="","",'Data Checking'!IC48)</f>
        <v/>
      </c>
      <c r="HR48" s="2" t="str">
        <f>IF('Data Checking'!ID48="","",'Data Checking'!ID48)</f>
        <v/>
      </c>
      <c r="HS48" s="2" t="str">
        <f>IF('Data Checking'!IE48="","",'Data Checking'!IE48)</f>
        <v/>
      </c>
      <c r="HT48" s="2" t="str">
        <f>IF('Data Checking'!IF48="","",'Data Checking'!IF48)</f>
        <v/>
      </c>
      <c r="HU48" s="2" t="str">
        <f>IF('Data Checking'!IG48="","",'Data Checking'!IG48)</f>
        <v/>
      </c>
      <c r="HV48" s="2" t="str">
        <f>IF('Data Checking'!IH48="","",'Data Checking'!IH48)</f>
        <v>oui</v>
      </c>
      <c r="HW48" s="2" t="str">
        <f>IF('Data Checking'!II48="","",'Data Checking'!II48)</f>
        <v/>
      </c>
      <c r="HX48" s="2" t="str">
        <f>IF('Data Checking'!IJ48="","",'Data Checking'!IJ48)</f>
        <v/>
      </c>
      <c r="HY48" s="2" t="str">
        <f>IF('Data Checking'!IK48="","",'Data Checking'!IK48)</f>
        <v/>
      </c>
      <c r="HZ48" s="2" t="str">
        <f>IF('Data Checking'!IL48="","",'Data Checking'!IL48)</f>
        <v/>
      </c>
      <c r="IA48" s="2" t="str">
        <f>IF('Data Checking'!IM48="","",'Data Checking'!IM48)</f>
        <v/>
      </c>
      <c r="IB48" s="2" t="str">
        <f>IF('Data Checking'!IN48="","",'Data Checking'!IN48)</f>
        <v/>
      </c>
      <c r="IC48" s="2" t="str">
        <f>IF('Data Checking'!IO48="","",'Data Checking'!IO48)</f>
        <v/>
      </c>
      <c r="ID48" s="2" t="str">
        <f>IF('Data Checking'!IP48="","",'Data Checking'!IP48)</f>
        <v/>
      </c>
      <c r="IE48" s="2" t="str">
        <f>IF('Data Checking'!IQ48="","",'Data Checking'!IQ48)</f>
        <v/>
      </c>
      <c r="IF48" s="2" t="str">
        <f>IF('Data Checking'!IR48="","",'Data Checking'!IR48)</f>
        <v/>
      </c>
      <c r="IG48" s="2" t="str">
        <f>IF('Data Checking'!IS48="","",'Data Checking'!IS48)</f>
        <v/>
      </c>
      <c r="IH48" s="2" t="str">
        <f>IF('Data Checking'!IT48="","",'Data Checking'!IT48)</f>
        <v/>
      </c>
      <c r="II48" s="2" t="str">
        <f>IF('Data Checking'!IU48="","",'Data Checking'!IU48)</f>
        <v/>
      </c>
      <c r="IJ48" s="2" t="str">
        <f>IF('Data Checking'!IV48="","",'Data Checking'!IV48)</f>
        <v/>
      </c>
      <c r="IK48" s="2" t="str">
        <f>IF('Data Checking'!IW48="","",'Data Checking'!IW48)</f>
        <v/>
      </c>
      <c r="IL48" s="2" t="str">
        <f>IF('Data Checking'!IX48="","",'Data Checking'!IX48)</f>
        <v/>
      </c>
      <c r="IM48" s="2" t="str">
        <f>IF('Data Checking'!IY48="","",'Data Checking'!IY48)</f>
        <v/>
      </c>
      <c r="IN48" s="2" t="str">
        <f>IF('Data Checking'!IZ48="","",'Data Checking'!IZ48)</f>
        <v>1</v>
      </c>
      <c r="IO48" s="2" t="str">
        <f>IF('Data Checking'!JA48="","",'Data Checking'!JA48)</f>
        <v>acces_docs Services_medicaux</v>
      </c>
      <c r="IP48" s="2" t="str">
        <f>IF('Data Checking'!JB48="","",'Data Checking'!JB48)</f>
        <v>0</v>
      </c>
      <c r="IQ48" s="2" t="str">
        <f>IF('Data Checking'!JC48="","",'Data Checking'!JC48)</f>
        <v>1</v>
      </c>
      <c r="IR48" s="2" t="str">
        <f>IF('Data Checking'!JD48="","",'Data Checking'!JD48)</f>
        <v>0</v>
      </c>
      <c r="IS48" s="2" t="str">
        <f>IF('Data Checking'!JE48="","",'Data Checking'!JE48)</f>
        <v>0</v>
      </c>
      <c r="IT48" s="2" t="str">
        <f>IF('Data Checking'!JF48="","",'Data Checking'!JF48)</f>
        <v>1</v>
      </c>
      <c r="IU48" s="2" t="str">
        <f>IF('Data Checking'!JG48="","",'Data Checking'!JG48)</f>
        <v>0</v>
      </c>
      <c r="IV48" s="2" t="str">
        <f>IF('Data Checking'!JH48="","",'Data Checking'!JH48)</f>
        <v>0</v>
      </c>
      <c r="IW48" s="2" t="str">
        <f>IF('Data Checking'!JI48="","",'Data Checking'!JI48)</f>
        <v>0</v>
      </c>
      <c r="IX48" s="2" t="str">
        <f>IF('Data Checking'!JJ48="","",'Data Checking'!JJ48)</f>
        <v>0</v>
      </c>
      <c r="IY48" s="2" t="str">
        <f>IF('Data Checking'!JK48="","",'Data Checking'!JK48)</f>
        <v>0</v>
      </c>
      <c r="IZ48" s="2" t="str">
        <f>IF('Data Checking'!JL48="","",'Data Checking'!JL48)</f>
        <v/>
      </c>
      <c r="JA48" s="2" t="str">
        <f>IF('Data Checking'!JM48="","",'Data Checking'!JM48)</f>
        <v>reorientation</v>
      </c>
      <c r="JB48" s="2" t="str">
        <f>IF('Data Checking'!JN48="","",'Data Checking'!JN48)</f>
        <v>0</v>
      </c>
      <c r="JC48" s="2" t="str">
        <f>IF('Data Checking'!JO48="","",'Data Checking'!JO48)</f>
        <v>1</v>
      </c>
      <c r="JD48" s="2" t="str">
        <f>IF('Data Checking'!JP48="","",'Data Checking'!JP48)</f>
        <v>0</v>
      </c>
      <c r="JE48" s="2" t="str">
        <f>IF('Data Checking'!JQ48="","",'Data Checking'!JQ48)</f>
        <v>0</v>
      </c>
      <c r="JF48" s="2" t="str">
        <f>IF('Data Checking'!JR48="","",'Data Checking'!JR48)</f>
        <v>0</v>
      </c>
      <c r="JG48" s="2" t="str">
        <f>IF('Data Checking'!JS48="","",'Data Checking'!JS48)</f>
        <v>0</v>
      </c>
      <c r="JH48" s="2" t="str">
        <f>IF('Data Checking'!JT48="","",'Data Checking'!JT48)</f>
        <v/>
      </c>
      <c r="JI48" s="2" t="str">
        <f>IF('Data Checking'!JU48="","",'Data Checking'!JU48)</f>
        <v/>
      </c>
      <c r="JJ48" s="2" t="str">
        <f>IF('Data Checking'!JV48="","",'Data Checking'!JV48)</f>
        <v/>
      </c>
      <c r="JK48" s="2" t="str">
        <f>IF('Data Checking'!JW48="","",'Data Checking'!JW48)</f>
        <v/>
      </c>
      <c r="JL48" s="2" t="str">
        <f>IF('Data Checking'!JX48="","",'Data Checking'!JX48)</f>
        <v/>
      </c>
      <c r="JM48" s="2" t="str">
        <f>IF('Data Checking'!JY48="","",'Data Checking'!JY48)</f>
        <v/>
      </c>
      <c r="JN48" s="2" t="str">
        <f>IF('Data Checking'!JZ48="","",'Data Checking'!JZ48)</f>
        <v/>
      </c>
      <c r="JO48" s="2" t="str">
        <f>IF('Data Checking'!KA48="","",'Data Checking'!KA48)</f>
        <v/>
      </c>
      <c r="JP48" s="2" t="str">
        <f>IF('Data Checking'!KB48="","",'Data Checking'!KB48)</f>
        <v/>
      </c>
      <c r="JQ48" s="2" t="str">
        <f>IF('Data Checking'!KC48="","",'Data Checking'!KC48)</f>
        <v/>
      </c>
      <c r="JR48" s="2" t="str">
        <f>IF('Data Checking'!KD48="","",'Data Checking'!KD48)</f>
        <v/>
      </c>
      <c r="JS48" s="2" t="str">
        <f>IF('Data Checking'!KE48="","",'Data Checking'!KE48)</f>
        <v/>
      </c>
      <c r="JT48" s="2" t="str">
        <f>IF('Data Checking'!KF48="","",'Data Checking'!KF48)</f>
        <v>point_ecoute</v>
      </c>
      <c r="JU48" s="2" t="str">
        <f>IF('Data Checking'!KG48="","",'Data Checking'!KG48)</f>
        <v>0</v>
      </c>
      <c r="JV48" s="2" t="str">
        <f>IF('Data Checking'!KH48="","",'Data Checking'!KH48)</f>
        <v>0</v>
      </c>
      <c r="JW48" s="2" t="str">
        <f>IF('Data Checking'!KI48="","",'Data Checking'!KI48)</f>
        <v>1</v>
      </c>
      <c r="JX48" s="2" t="str">
        <f>IF('Data Checking'!KJ48="","",'Data Checking'!KJ48)</f>
        <v>0</v>
      </c>
      <c r="JY48" s="2" t="str">
        <f>IF('Data Checking'!KK48="","",'Data Checking'!KK48)</f>
        <v>0</v>
      </c>
      <c r="JZ48" s="2" t="str">
        <f>IF('Data Checking'!KL48="","",'Data Checking'!KL48)</f>
        <v>0</v>
      </c>
      <c r="KA48" s="2" t="str">
        <f>IF('Data Checking'!KM48="","",'Data Checking'!KM48)</f>
        <v>0</v>
      </c>
      <c r="KB48" s="2" t="str">
        <f>IF('Data Checking'!KN48="","",'Data Checking'!KN48)</f>
        <v>0</v>
      </c>
      <c r="KC48" s="2" t="str">
        <f>IF('Data Checking'!KO48="","",'Data Checking'!KO48)</f>
        <v>0</v>
      </c>
      <c r="KD48" s="2" t="str">
        <f>IF('Data Checking'!KP48="","",'Data Checking'!KP48)</f>
        <v/>
      </c>
      <c r="KE48" s="2" t="str">
        <f>IF('Data Checking'!KQ48="","",'Data Checking'!KQ48)</f>
        <v/>
      </c>
      <c r="KF48" s="2" t="str">
        <f>IF('Data Checking'!KR48="","",'Data Checking'!KR48)</f>
        <v>non</v>
      </c>
      <c r="KG48" s="2" t="str">
        <f>IF('Data Checking'!KS48="","",'Data Checking'!KS48)</f>
        <v/>
      </c>
      <c r="KH48" s="2" t="str">
        <f>IF('Data Checking'!KT48="","",'Data Checking'!KT48)</f>
        <v/>
      </c>
      <c r="KI48" s="2" t="str">
        <f>IF('Data Checking'!KU48="","",'Data Checking'!KU48)</f>
        <v/>
      </c>
      <c r="KJ48" s="2" t="str">
        <f>IF('Data Checking'!KV48="","",'Data Checking'!KV48)</f>
        <v/>
      </c>
      <c r="KK48" s="2" t="str">
        <f>IF('Data Checking'!KW48="","",'Data Checking'!KW48)</f>
        <v/>
      </c>
      <c r="KL48" s="2" t="str">
        <f>IF('Data Checking'!KX48="","",'Data Checking'!KX48)</f>
        <v/>
      </c>
      <c r="KM48" s="2" t="str">
        <f>IF('Data Checking'!KY48="","",'Data Checking'!KY48)</f>
        <v/>
      </c>
      <c r="KN48" s="2" t="str">
        <f>IF('Data Checking'!KZ48="","",'Data Checking'!KZ48)</f>
        <v/>
      </c>
      <c r="KO48" s="2" t="str">
        <f>IF('Data Checking'!LA48="","",'Data Checking'!LA48)</f>
        <v/>
      </c>
      <c r="KP48" s="2" t="str">
        <f>IF('Data Checking'!LB48="","",'Data Checking'!LB48)</f>
        <v/>
      </c>
      <c r="KQ48" s="2" t="str">
        <f>IF('Data Checking'!LC48="","",'Data Checking'!LC48)</f>
        <v/>
      </c>
      <c r="KR48" s="2" t="str">
        <f>IF('Data Checking'!LD48="","",'Data Checking'!LD48)</f>
        <v/>
      </c>
      <c r="KS48" s="2" t="str">
        <f>IF('Data Checking'!LE48="","",'Data Checking'!LE48)</f>
        <v/>
      </c>
      <c r="KT48" s="2" t="str">
        <f>IF('Data Checking'!LF48="","",'Data Checking'!LF48)</f>
        <v/>
      </c>
      <c r="KU48" s="2" t="str">
        <f>IF('Data Checking'!LG48="","",'Data Checking'!LG48)</f>
        <v/>
      </c>
      <c r="KV48" s="2" t="str">
        <f>IF('Data Checking'!LH48="","",'Data Checking'!LH48)</f>
        <v/>
      </c>
      <c r="KW48" s="2" t="str">
        <f>IF('Data Checking'!LI48="","",'Data Checking'!LI48)</f>
        <v/>
      </c>
      <c r="KX48" s="2" t="str">
        <f>IF('Data Checking'!LJ48="","",'Data Checking'!LJ48)</f>
        <v/>
      </c>
      <c r="KY48" s="2" t="str">
        <f>IF('Data Checking'!LK48="","",'Data Checking'!LK48)</f>
        <v/>
      </c>
      <c r="KZ48" s="2" t="str">
        <f>IF('Data Checking'!LL48="","",'Data Checking'!LL48)</f>
        <v/>
      </c>
      <c r="LA48" s="2" t="str">
        <f>IF('Data Checking'!LM48="","",'Data Checking'!LM48)</f>
        <v/>
      </c>
      <c r="LB48" s="2" t="str">
        <f>IF('Data Checking'!LN48="","",'Data Checking'!LN48)</f>
        <v>non</v>
      </c>
      <c r="LC48" s="2" t="str">
        <f>IF('Data Checking'!LO48="","",'Data Checking'!LO48)</f>
        <v/>
      </c>
      <c r="LD48" s="2" t="str">
        <f>IF('Data Checking'!LP48="","",'Data Checking'!LP48)</f>
        <v/>
      </c>
      <c r="LE48" s="2" t="str">
        <f>IF('Data Checking'!LQ48="","",'Data Checking'!LQ48)</f>
        <v/>
      </c>
      <c r="LF48" s="2" t="str">
        <f>IF('Data Checking'!LR48="","",'Data Checking'!LR48)</f>
        <v/>
      </c>
      <c r="LG48" s="2" t="str">
        <f>IF('Data Checking'!LS48="","",'Data Checking'!LS48)</f>
        <v/>
      </c>
      <c r="LH48" s="2" t="str">
        <f>IF('Data Checking'!LT48="","",'Data Checking'!LT48)</f>
        <v/>
      </c>
      <c r="LI48" s="2" t="str">
        <f>IF('Data Checking'!LU48="","",'Data Checking'!LU48)</f>
        <v/>
      </c>
      <c r="LJ48" s="2" t="str">
        <f>IF('Data Checking'!LV48="","",'Data Checking'!LV48)</f>
        <v/>
      </c>
      <c r="LK48" s="2" t="str">
        <f>IF('Data Checking'!LW48="","",'Data Checking'!LW48)</f>
        <v/>
      </c>
      <c r="LL48" s="2" t="str">
        <f>IF('Data Checking'!LX48="","",'Data Checking'!LX48)</f>
        <v/>
      </c>
      <c r="LM48" s="2" t="str">
        <f>IF('Data Checking'!LY48="","",'Data Checking'!LY48)</f>
        <v/>
      </c>
      <c r="LN48" s="2" t="str">
        <f>IF('Data Checking'!LZ48="","",'Data Checking'!LZ48)</f>
        <v/>
      </c>
      <c r="LO48" s="2" t="str">
        <f>IF('Data Checking'!MA48="","",'Data Checking'!MA48)</f>
        <v/>
      </c>
      <c r="LP48" s="2" t="str">
        <f>IF('Data Checking'!MB48="","",'Data Checking'!MB48)</f>
        <v>oui</v>
      </c>
      <c r="LQ48" s="2" t="str">
        <f>IF('Data Checking'!MC48="","",'Data Checking'!MC48)</f>
        <v/>
      </c>
      <c r="LR48" s="2" t="str">
        <f>IF('Data Checking'!MD48="","",'Data Checking'!MD48)</f>
        <v/>
      </c>
      <c r="LS48" s="2">
        <f>IF('Data Checking'!ME48="","",'Data Checking'!ME48)</f>
        <v>169219605</v>
      </c>
      <c r="LT48" s="2" t="str">
        <f>IF('Data Checking'!MF48="","",'Data Checking'!MF48)</f>
        <v>57635968-d9e1-4531-b1f9-b3e2398ea5ca</v>
      </c>
      <c r="LU48" s="2" t="str">
        <f>IF('Data Checking'!MG48="","",'Data Checking'!MG48)</f>
        <v>2021-04-01T19:45:17</v>
      </c>
      <c r="LV48" s="2" t="str">
        <f>IF('Data Checking'!MH48="","",'Data Checking'!MH48)</f>
        <v/>
      </c>
      <c r="LW48" s="2" t="str">
        <f>IF('Data Checking'!MI48="","",'Data Checking'!MI48)</f>
        <v>[]</v>
      </c>
      <c r="LX48" s="2" t="str">
        <f>IF('Data Checking'!MJ48="","",'Data Checking'!MJ48)</f>
        <v>submitted_via_web</v>
      </c>
      <c r="LY48" s="2" t="str">
        <f>IF('Data Checking'!MK48="","",'Data Checking'!MK48)</f>
        <v>reach_niger</v>
      </c>
      <c r="LZ48" s="2" t="str">
        <f>IF('Data Checking'!ML48="","",'Data Checking'!ML48)</f>
        <v/>
      </c>
      <c r="MA48" s="2">
        <f>IF('Data Checking'!MM48="","",'Data Checking'!MM48)</f>
        <v>18</v>
      </c>
    </row>
    <row r="49" spans="1:339" x14ac:dyDescent="0.3">
      <c r="A49" s="2" t="str">
        <f>IF('Data Checking'!D49="","",'Data Checking'!D49)</f>
        <v>2021-04-01T09:41:30.475+01:00</v>
      </c>
      <c r="B49" s="2" t="str">
        <f>IF('Data Checking'!E49="","",'Data Checking'!E49)</f>
        <v>2021-04-01T10:28:01.271+01:00</v>
      </c>
      <c r="C49" s="2" t="str">
        <f>IF('Data Checking'!M49="","",'Data Checking'!M49)</f>
        <v>2021-04-01</v>
      </c>
      <c r="D49" s="2" t="str">
        <f>IF('Data Checking'!N49="","",'Data Checking'!N49)</f>
        <v/>
      </c>
      <c r="E49" s="2" t="str">
        <f>IF('Data Checking'!O49="","",'Data Checking'!O49)</f>
        <v/>
      </c>
      <c r="F49" s="2" t="str">
        <f>IF('Data Checking'!R49="","",'Data Checking'!R49)</f>
        <v>Homme</v>
      </c>
      <c r="G49" s="2" t="str">
        <f>IF('Data Checking'!S49="","",'Data Checking'!S49)</f>
        <v>tillaberi</v>
      </c>
      <c r="H49" s="2" t="str">
        <f>IF('Data Checking'!T49="","",'Data Checking'!T49)</f>
        <v>sakoira</v>
      </c>
      <c r="I49" s="2" t="str">
        <f>IF('Data Checking'!U49="","",'Data Checking'!U49)</f>
        <v>namari_gougoun</v>
      </c>
      <c r="J49" s="2" t="str">
        <f>IF('Data Checking'!V49="","",'Data Checking'!V49)</f>
        <v/>
      </c>
      <c r="K49" s="2" t="str">
        <f>IF('Data Checking'!W49="","",'Data Checking'!W49)</f>
        <v/>
      </c>
      <c r="L49" s="2" t="str">
        <f>IF('Data Checking'!X49="","",'Data Checking'!X49)</f>
        <v/>
      </c>
      <c r="M49" s="2" t="str">
        <f>IF('Data Checking'!Y49="","",'Data Checking'!Y49)</f>
        <v/>
      </c>
      <c r="N49" s="2" t="str">
        <f>IF('Data Checking'!Z49="","",'Data Checking'!Z49)</f>
        <v/>
      </c>
      <c r="O49" s="2" t="str">
        <f>IF('Data Checking'!AA49="","",'Data Checking'!AA49)</f>
        <v/>
      </c>
      <c r="P49" s="2" t="str">
        <f>IF('Data Checking'!AB49="","",'Data Checking'!AB49)</f>
        <v/>
      </c>
      <c r="Q49" s="2" t="str">
        <f>IF('Data Checking'!AC49="","",'Data Checking'!AC49)</f>
        <v/>
      </c>
      <c r="R49" s="2" t="str">
        <f>IF('Data Checking'!AD49="","",'Data Checking'!AD49)</f>
        <v>Femme</v>
      </c>
      <c r="S49" s="2" t="str">
        <f>IF('Data Checking'!AE49="","",'Data Checking'!AE49)</f>
        <v>45</v>
      </c>
      <c r="T49" s="2" t="str">
        <f>IF('Data Checking'!AF49="","",'Data Checking'!AF49)</f>
        <v>Hote</v>
      </c>
      <c r="U49" s="2" t="str">
        <f>IF('Data Checking'!AG49="","",'Data Checking'!AG49)</f>
        <v/>
      </c>
      <c r="V49" s="2" t="str">
        <f>IF('Data Checking'!AH49="","",'Data Checking'!AH49)</f>
        <v/>
      </c>
      <c r="W49" s="2" t="str">
        <f>IF('Data Checking'!AI49="","",'Data Checking'!AI49)</f>
        <v/>
      </c>
      <c r="X49" s="2" t="str">
        <f>IF('Data Checking'!AJ49="","",'Data Checking'!AJ49)</f>
        <v/>
      </c>
      <c r="Y49" s="2" t="str">
        <f>IF('Data Checking'!AK49="","",'Data Checking'!AK49)</f>
        <v/>
      </c>
      <c r="Z49" s="2" t="str">
        <f>IF('Data Checking'!AL49="","",'Data Checking'!AL49)</f>
        <v/>
      </c>
      <c r="AA49" s="2" t="str">
        <f>IF('Data Checking'!AM49="","",'Data Checking'!AM49)</f>
        <v/>
      </c>
      <c r="AB49" s="2" t="str">
        <f>IF('Data Checking'!AN49="","",'Data Checking'!AN49)</f>
        <v/>
      </c>
      <c r="AC49" s="2" t="str">
        <f>IF('Data Checking'!AO49="","",'Data Checking'!AO49)</f>
        <v/>
      </c>
      <c r="AD49" s="2" t="str">
        <f>IF('Data Checking'!AP49="","",'Data Checking'!AP49)</f>
        <v/>
      </c>
      <c r="AE49" s="2" t="str">
        <f>IF('Data Checking'!AQ49="","",'Data Checking'!AQ49)</f>
        <v/>
      </c>
      <c r="AF49" s="2" t="str">
        <f>IF('Data Checking'!AR49="","",'Data Checking'!AR49)</f>
        <v/>
      </c>
      <c r="AG49" s="2" t="str">
        <f>IF('Data Checking'!AS49="","",'Data Checking'!AS49)</f>
        <v>oui</v>
      </c>
      <c r="AH49" s="2" t="str">
        <f>IF('Data Checking'!AT49="","",'Data Checking'!AT49)</f>
        <v>extorsions Vols_braquages</v>
      </c>
      <c r="AI49" s="2" t="str">
        <f>IF('Data Checking'!AU49="","",'Data Checking'!AU49)</f>
        <v>0</v>
      </c>
      <c r="AJ49" s="2" t="str">
        <f>IF('Data Checking'!AV49="","",'Data Checking'!AV49)</f>
        <v>0</v>
      </c>
      <c r="AK49" s="2" t="str">
        <f>IF('Data Checking'!AW49="","",'Data Checking'!AW49)</f>
        <v>1</v>
      </c>
      <c r="AL49" s="2" t="str">
        <f>IF('Data Checking'!AX49="","",'Data Checking'!AX49)</f>
        <v>1</v>
      </c>
      <c r="AM49" s="2" t="str">
        <f>IF('Data Checking'!AY49="","",'Data Checking'!AY49)</f>
        <v>0</v>
      </c>
      <c r="AN49" s="2" t="str">
        <f>IF('Data Checking'!AZ49="","",'Data Checking'!AZ49)</f>
        <v>0</v>
      </c>
      <c r="AO49" s="2" t="str">
        <f>IF('Data Checking'!BA49="","",'Data Checking'!BA49)</f>
        <v>0</v>
      </c>
      <c r="AP49" s="2" t="str">
        <f>IF('Data Checking'!BB49="","",'Data Checking'!BB49)</f>
        <v>0</v>
      </c>
      <c r="AQ49" s="2" t="str">
        <f>IF('Data Checking'!BC49="","",'Data Checking'!BC49)</f>
        <v>0</v>
      </c>
      <c r="AR49" s="2" t="str">
        <f>IF('Data Checking'!BD49="","",'Data Checking'!BD49)</f>
        <v>0</v>
      </c>
      <c r="AS49" s="2" t="str">
        <f>IF('Data Checking'!BE49="","",'Data Checking'!BE49)</f>
        <v>0</v>
      </c>
      <c r="AT49" s="2" t="str">
        <f>IF('Data Checking'!BF49="","",'Data Checking'!BF49)</f>
        <v>0</v>
      </c>
      <c r="AU49" s="2" t="str">
        <f>IF('Data Checking'!BG49="","",'Data Checking'!BG49)</f>
        <v>0</v>
      </c>
      <c r="AV49" s="2" t="str">
        <f>IF('Data Checking'!BH49="","",'Data Checking'!BH49)</f>
        <v>0</v>
      </c>
      <c r="AW49" s="2" t="str">
        <f>IF('Data Checking'!BI49="","",'Data Checking'!BI49)</f>
        <v/>
      </c>
      <c r="AX49" s="2" t="str">
        <f>IF('Data Checking'!BJ49="","",'Data Checking'!BJ49)</f>
        <v>Hommes Femmes</v>
      </c>
      <c r="AY49" s="2" t="str">
        <f>IF('Data Checking'!BK49="","",'Data Checking'!BK49)</f>
        <v>0</v>
      </c>
      <c r="AZ49" s="2" t="str">
        <f>IF('Data Checking'!BL49="","",'Data Checking'!BL49)</f>
        <v>0</v>
      </c>
      <c r="BA49" s="2" t="str">
        <f>IF('Data Checking'!BM49="","",'Data Checking'!BM49)</f>
        <v>0</v>
      </c>
      <c r="BB49" s="2" t="str">
        <f>IF('Data Checking'!BN49="","",'Data Checking'!BN49)</f>
        <v>0</v>
      </c>
      <c r="BC49" s="2" t="str">
        <f>IF('Data Checking'!BO49="","",'Data Checking'!BO49)</f>
        <v>1</v>
      </c>
      <c r="BD49" s="2" t="str">
        <f>IF('Data Checking'!BP49="","",'Data Checking'!BP49)</f>
        <v>1</v>
      </c>
      <c r="BE49" s="2" t="str">
        <f>IF('Data Checking'!BQ49="","",'Data Checking'!BQ49)</f>
        <v>0</v>
      </c>
      <c r="BF49" s="2" t="str">
        <f>IF('Data Checking'!BR49="","",'Data Checking'!BR49)</f>
        <v>0</v>
      </c>
      <c r="BG49" s="2" t="str">
        <f>IF('Data Checking'!BS49="","",'Data Checking'!BS49)</f>
        <v>0</v>
      </c>
      <c r="BH49" s="2" t="str">
        <f>IF('Data Checking'!BT49="","",'Data Checking'!BT49)</f>
        <v>0</v>
      </c>
      <c r="BI49" s="2" t="str">
        <f>IF('Data Checking'!BU49="","",'Data Checking'!BU49)</f>
        <v>0</v>
      </c>
      <c r="BJ49" s="2" t="str">
        <f>IF('Data Checking'!BV49="","",'Data Checking'!BV49)</f>
        <v>0</v>
      </c>
      <c r="BK49" s="2" t="str">
        <f>IF('Data Checking'!BW49="","",'Data Checking'!BW49)</f>
        <v>0</v>
      </c>
      <c r="BL49" s="2" t="str">
        <f>IF('Data Checking'!BX49="","",'Data Checking'!BX49)</f>
        <v>0</v>
      </c>
      <c r="BM49" s="2" t="str">
        <f>IF('Data Checking'!BY49="","",'Data Checking'!BY49)</f>
        <v/>
      </c>
      <c r="BN49" s="2" t="str">
        <f>IF('Data Checking'!BZ49="","",'Data Checking'!BZ49)</f>
        <v>1</v>
      </c>
      <c r="BO49" s="2" t="str">
        <f>IF('Data Checking'!CA49="","",'Data Checking'!CA49)</f>
        <v>stable</v>
      </c>
      <c r="BP49" s="2" t="str">
        <f>IF('Data Checking'!CB49="","",'Data Checking'!CB49)</f>
        <v/>
      </c>
      <c r="BQ49" s="2" t="str">
        <f>IF('Data Checking'!CC49="","",'Data Checking'!CC49)</f>
        <v>non</v>
      </c>
      <c r="BR49" s="2" t="str">
        <f>IF('Data Checking'!CD49="","",'Data Checking'!CD49)</f>
        <v/>
      </c>
      <c r="BS49" s="2" t="str">
        <f>IF('Data Checking'!CE49="","",'Data Checking'!CE49)</f>
        <v/>
      </c>
      <c r="BT49" s="2" t="str">
        <f>IF('Data Checking'!CF49="","",'Data Checking'!CF49)</f>
        <v/>
      </c>
      <c r="BU49" s="2" t="str">
        <f>IF('Data Checking'!CG49="","",'Data Checking'!CG49)</f>
        <v/>
      </c>
      <c r="BV49" s="2" t="str">
        <f>IF('Data Checking'!CH49="","",'Data Checking'!CH49)</f>
        <v/>
      </c>
      <c r="BW49" s="2" t="str">
        <f>IF('Data Checking'!CI49="","",'Data Checking'!CI49)</f>
        <v/>
      </c>
      <c r="BX49" s="2" t="str">
        <f>IF('Data Checking'!CJ49="","",'Data Checking'!CJ49)</f>
        <v/>
      </c>
      <c r="BY49" s="2" t="str">
        <f>IF('Data Checking'!CK49="","",'Data Checking'!CK49)</f>
        <v/>
      </c>
      <c r="BZ49" s="2" t="str">
        <f>IF('Data Checking'!CL49="","",'Data Checking'!CL49)</f>
        <v/>
      </c>
      <c r="CA49" s="2" t="str">
        <f>IF('Data Checking'!CM49="","",'Data Checking'!CM49)</f>
        <v/>
      </c>
      <c r="CB49" s="2" t="str">
        <f>IF('Data Checking'!CN49="","",'Data Checking'!CN49)</f>
        <v/>
      </c>
      <c r="CC49" s="2" t="str">
        <f>IF('Data Checking'!CO49="","",'Data Checking'!CO49)</f>
        <v/>
      </c>
      <c r="CD49" s="2" t="str">
        <f>IF('Data Checking'!CP49="","",'Data Checking'!CP49)</f>
        <v/>
      </c>
      <c r="CE49" s="2" t="str">
        <f>IF('Data Checking'!CQ49="","",'Data Checking'!CQ49)</f>
        <v/>
      </c>
      <c r="CF49" s="2" t="str">
        <f>IF('Data Checking'!CR49="","",'Data Checking'!CR49)</f>
        <v/>
      </c>
      <c r="CG49" s="2" t="str">
        <f>IF('Data Checking'!CS49="","",'Data Checking'!CS49)</f>
        <v/>
      </c>
      <c r="CH49" s="2" t="str">
        <f>IF('Data Checking'!CT49="","",'Data Checking'!CT49)</f>
        <v/>
      </c>
      <c r="CI49" s="2" t="str">
        <f>IF('Data Checking'!CU49="","",'Data Checking'!CU49)</f>
        <v/>
      </c>
      <c r="CJ49" s="2" t="str">
        <f>IF('Data Checking'!CV49="","",'Data Checking'!CV49)</f>
        <v/>
      </c>
      <c r="CK49" s="2" t="str">
        <f>IF('Data Checking'!CW49="","",'Data Checking'!CW49)</f>
        <v/>
      </c>
      <c r="CL49" s="2" t="str">
        <f>IF('Data Checking'!CX49="","",'Data Checking'!CX49)</f>
        <v/>
      </c>
      <c r="CM49" s="2" t="str">
        <f>IF('Data Checking'!CY49="","",'Data Checking'!CY49)</f>
        <v/>
      </c>
      <c r="CN49" s="2" t="str">
        <f>IF('Data Checking'!CZ49="","",'Data Checking'!CZ49)</f>
        <v/>
      </c>
      <c r="CO49" s="2" t="str">
        <f>IF('Data Checking'!DA49="","",'Data Checking'!DA49)</f>
        <v/>
      </c>
      <c r="CP49" s="2" t="str">
        <f>IF('Data Checking'!DB49="","",'Data Checking'!DB49)</f>
        <v/>
      </c>
      <c r="CQ49" s="2" t="str">
        <f>IF('Data Checking'!DC49="","",'Data Checking'!DC49)</f>
        <v/>
      </c>
      <c r="CR49" s="2" t="str">
        <f>IF('Data Checking'!DD49="","",'Data Checking'!DD49)</f>
        <v/>
      </c>
      <c r="CS49" s="2" t="str">
        <f>IF('Data Checking'!DE49="","",'Data Checking'!DE49)</f>
        <v/>
      </c>
      <c r="CT49" s="2" t="str">
        <f>IF('Data Checking'!DF49="","",'Data Checking'!DF49)</f>
        <v/>
      </c>
      <c r="CU49" s="2" t="str">
        <f>IF('Data Checking'!DG49="","",'Data Checking'!DG49)</f>
        <v/>
      </c>
      <c r="CV49" s="2" t="str">
        <f>IF('Data Checking'!DH49="","",'Data Checking'!DH49)</f>
        <v/>
      </c>
      <c r="CW49" s="2" t="str">
        <f>IF('Data Checking'!DI49="","",'Data Checking'!DI49)</f>
        <v/>
      </c>
      <c r="CX49" s="2" t="str">
        <f>IF('Data Checking'!DJ49="","",'Data Checking'!DJ49)</f>
        <v/>
      </c>
      <c r="CY49" s="2" t="str">
        <f>IF('Data Checking'!DK49="","",'Data Checking'!DK49)</f>
        <v/>
      </c>
      <c r="CZ49" s="2" t="str">
        <f>IF('Data Checking'!DL49="","",'Data Checking'!DL49)</f>
        <v/>
      </c>
      <c r="DA49" s="2" t="str">
        <f>IF('Data Checking'!DM49="","",'Data Checking'!DM49)</f>
        <v/>
      </c>
      <c r="DB49" s="2" t="str">
        <f>IF('Data Checking'!DN49="","",'Data Checking'!DN49)</f>
        <v/>
      </c>
      <c r="DC49" s="2" t="str">
        <f>IF('Data Checking'!DO49="","",'Data Checking'!DO49)</f>
        <v/>
      </c>
      <c r="DD49" s="2" t="str">
        <f>IF('Data Checking'!DP49="","",'Data Checking'!DP49)</f>
        <v/>
      </c>
      <c r="DE49" s="2" t="str">
        <f>IF('Data Checking'!DQ49="","",'Data Checking'!DQ49)</f>
        <v/>
      </c>
      <c r="DF49" s="2" t="str">
        <f>IF('Data Checking'!DR49="","",'Data Checking'!DR49)</f>
        <v/>
      </c>
      <c r="DG49" s="2" t="str">
        <f>IF('Data Checking'!DS49="","",'Data Checking'!DS49)</f>
        <v/>
      </c>
      <c r="DH49" s="2" t="str">
        <f>IF('Data Checking'!DT49="","",'Data Checking'!DT49)</f>
        <v/>
      </c>
      <c r="DI49" s="2" t="str">
        <f>IF('Data Checking'!DU49="","",'Data Checking'!DU49)</f>
        <v/>
      </c>
      <c r="DJ49" s="2" t="str">
        <f>IF('Data Checking'!DV49="","",'Data Checking'!DV49)</f>
        <v/>
      </c>
      <c r="DK49" s="2" t="str">
        <f>IF('Data Checking'!DW49="","",'Data Checking'!DW49)</f>
        <v/>
      </c>
      <c r="DL49" s="2" t="str">
        <f>IF('Data Checking'!DX49="","",'Data Checking'!DX49)</f>
        <v/>
      </c>
      <c r="DM49" s="2" t="str">
        <f>IF('Data Checking'!DY49="","",'Data Checking'!DY49)</f>
        <v/>
      </c>
      <c r="DN49" s="2" t="str">
        <f>IF('Data Checking'!DZ49="","",'Data Checking'!DZ49)</f>
        <v/>
      </c>
      <c r="DO49" s="2" t="str">
        <f>IF('Data Checking'!EA49="","",'Data Checking'!EA49)</f>
        <v/>
      </c>
      <c r="DP49" s="2" t="str">
        <f>IF('Data Checking'!EB49="","",'Data Checking'!EB49)</f>
        <v/>
      </c>
      <c r="DQ49" s="2" t="str">
        <f>IF('Data Checking'!EC49="","",'Data Checking'!EC49)</f>
        <v/>
      </c>
      <c r="DR49" s="2" t="str">
        <f>IF('Data Checking'!ED49="","",'Data Checking'!ED49)</f>
        <v/>
      </c>
      <c r="DS49" s="2" t="str">
        <f>IF('Data Checking'!EE49="","",'Data Checking'!EE49)</f>
        <v/>
      </c>
      <c r="DT49" s="2" t="str">
        <f>IF('Data Checking'!EF49="","",'Data Checking'!EF49)</f>
        <v/>
      </c>
      <c r="DU49" s="2" t="str">
        <f>IF('Data Checking'!EG49="","",'Data Checking'!EG49)</f>
        <v/>
      </c>
      <c r="DV49" s="2" t="str">
        <f>IF('Data Checking'!EH49="","",'Data Checking'!EH49)</f>
        <v/>
      </c>
      <c r="DW49" s="2" t="str">
        <f>IF('Data Checking'!EI49="","",'Data Checking'!EI49)</f>
        <v/>
      </c>
      <c r="DX49" s="2" t="str">
        <f>IF('Data Checking'!EJ49="","",'Data Checking'!EJ49)</f>
        <v/>
      </c>
      <c r="DY49" s="2" t="str">
        <f>IF('Data Checking'!EK49="","",'Data Checking'!EK49)</f>
        <v/>
      </c>
      <c r="DZ49" s="2" t="str">
        <f>IF('Data Checking'!EL49="","",'Data Checking'!EL49)</f>
        <v>Integration_com_hote Soutien_famille_amis</v>
      </c>
      <c r="EA49" s="2" t="str">
        <f>IF('Data Checking'!EM49="","",'Data Checking'!EM49)</f>
        <v>0</v>
      </c>
      <c r="EB49" s="2" t="str">
        <f>IF('Data Checking'!EN49="","",'Data Checking'!EN49)</f>
        <v>1</v>
      </c>
      <c r="EC49" s="2" t="str">
        <f>IF('Data Checking'!EO49="","",'Data Checking'!EO49)</f>
        <v>1</v>
      </c>
      <c r="ED49" s="2" t="str">
        <f>IF('Data Checking'!EP49="","",'Data Checking'!EP49)</f>
        <v>0</v>
      </c>
      <c r="EE49" s="2" t="str">
        <f>IF('Data Checking'!EQ49="","",'Data Checking'!EQ49)</f>
        <v>0</v>
      </c>
      <c r="EF49" s="2" t="str">
        <f>IF('Data Checking'!ER49="","",'Data Checking'!ER49)</f>
        <v>0</v>
      </c>
      <c r="EG49" s="2" t="str">
        <f>IF('Data Checking'!ES49="","",'Data Checking'!ES49)</f>
        <v>0</v>
      </c>
      <c r="EH49" s="2" t="str">
        <f>IF('Data Checking'!ET49="","",'Data Checking'!ET49)</f>
        <v>0</v>
      </c>
      <c r="EI49" s="2" t="str">
        <f>IF('Data Checking'!EU49="","",'Data Checking'!EU49)</f>
        <v>0</v>
      </c>
      <c r="EJ49" s="2" t="str">
        <f>IF('Data Checking'!EV49="","",'Data Checking'!EV49)</f>
        <v/>
      </c>
      <c r="EK49" s="2" t="str">
        <f>IF('Data Checking'!EW49="","",'Data Checking'!EW49)</f>
        <v/>
      </c>
      <c r="EL49" s="2" t="str">
        <f>IF('Data Checking'!EX49="","",'Data Checking'!EX49)</f>
        <v>comite_protection femmes_elite famille_accueil</v>
      </c>
      <c r="EM49" s="2" t="str">
        <f>IF('Data Checking'!EY49="","",'Data Checking'!EY49)</f>
        <v>1</v>
      </c>
      <c r="EN49" s="2" t="str">
        <f>IF('Data Checking'!EZ49="","",'Data Checking'!EZ49)</f>
        <v>1</v>
      </c>
      <c r="EO49" s="2" t="str">
        <f>IF('Data Checking'!FA49="","",'Data Checking'!FA49)</f>
        <v>1</v>
      </c>
      <c r="EP49" s="2" t="str">
        <f>IF('Data Checking'!FB49="","",'Data Checking'!FB49)</f>
        <v>0</v>
      </c>
      <c r="EQ49" s="2" t="str">
        <f>IF('Data Checking'!FC49="","",'Data Checking'!FC49)</f>
        <v>0</v>
      </c>
      <c r="ER49" s="2" t="str">
        <f>IF('Data Checking'!FD49="","",'Data Checking'!FD49)</f>
        <v>0</v>
      </c>
      <c r="ES49" s="2" t="str">
        <f>IF('Data Checking'!FE49="","",'Data Checking'!FE49)</f>
        <v>0</v>
      </c>
      <c r="ET49" s="2" t="str">
        <f>IF('Data Checking'!FF49="","",'Data Checking'!FF49)</f>
        <v>0</v>
      </c>
      <c r="EU49" s="2" t="str">
        <f>IF('Data Checking'!FG49="","",'Data Checking'!FG49)</f>
        <v>0</v>
      </c>
      <c r="EV49" s="2" t="str">
        <f>IF('Data Checking'!FH49="","",'Data Checking'!FH49)</f>
        <v>0</v>
      </c>
      <c r="EW49" s="2" t="str">
        <f>IF('Data Checking'!FI49="","",'Data Checking'!FI49)</f>
        <v/>
      </c>
      <c r="EX49" s="2" t="str">
        <f>IF('Data Checking'!FJ49="","",'Data Checking'!FJ49)</f>
        <v>oui</v>
      </c>
      <c r="EY49" s="2" t="str">
        <f>IF('Data Checking'!FK49="","",'Data Checking'!FK49)</f>
        <v>Groupement_femmes Chef_village</v>
      </c>
      <c r="EZ49" s="2" t="str">
        <f>IF('Data Checking'!FL49="","",'Data Checking'!FL49)</f>
        <v>0</v>
      </c>
      <c r="FA49" s="2" t="str">
        <f>IF('Data Checking'!FM49="","",'Data Checking'!FM49)</f>
        <v>0</v>
      </c>
      <c r="FB49" s="2" t="str">
        <f>IF('Data Checking'!FN49="","",'Data Checking'!FN49)</f>
        <v>0</v>
      </c>
      <c r="FC49" s="2" t="str">
        <f>IF('Data Checking'!FO49="","",'Data Checking'!FO49)</f>
        <v>0</v>
      </c>
      <c r="FD49" s="2" t="str">
        <f>IF('Data Checking'!FP49="","",'Data Checking'!FP49)</f>
        <v>1</v>
      </c>
      <c r="FE49" s="2" t="str">
        <f>IF('Data Checking'!FQ49="","",'Data Checking'!FQ49)</f>
        <v>0</v>
      </c>
      <c r="FF49" s="2" t="str">
        <f>IF('Data Checking'!FR49="","",'Data Checking'!FR49)</f>
        <v>0</v>
      </c>
      <c r="FG49" s="2" t="str">
        <f>IF('Data Checking'!FS49="","",'Data Checking'!FS49)</f>
        <v>1</v>
      </c>
      <c r="FH49" s="2" t="str">
        <f>IF('Data Checking'!FT49="","",'Data Checking'!FT49)</f>
        <v>0</v>
      </c>
      <c r="FI49" s="2" t="str">
        <f>IF('Data Checking'!FU49="","",'Data Checking'!FU49)</f>
        <v>0</v>
      </c>
      <c r="FJ49" s="2" t="str">
        <f>IF('Data Checking'!FV49="","",'Data Checking'!FV49)</f>
        <v>0</v>
      </c>
      <c r="FK49" s="2" t="str">
        <f>IF('Data Checking'!FW49="","",'Data Checking'!FW49)</f>
        <v>0</v>
      </c>
      <c r="FL49" s="2" t="str">
        <f>IF('Data Checking'!FX49="","",'Data Checking'!FX49)</f>
        <v>0</v>
      </c>
      <c r="FM49" s="2" t="str">
        <f>IF('Data Checking'!FY49="","",'Data Checking'!FY49)</f>
        <v>0</v>
      </c>
      <c r="FN49" s="2" t="str">
        <f>IF('Data Checking'!FZ49="","",'Data Checking'!FZ49)</f>
        <v/>
      </c>
      <c r="FO49" s="2" t="str">
        <f>IF('Data Checking'!GA49="","",'Data Checking'!GA49)</f>
        <v>oui_majorite</v>
      </c>
      <c r="FP49" s="2" t="str">
        <f>IF('Data Checking'!GB49="","",'Data Checking'!GB49)</f>
        <v>oui_majorite</v>
      </c>
      <c r="FQ49" s="2" t="str">
        <f>IF('Data Checking'!GC49="","",'Data Checking'!GC49)</f>
        <v>manque_info</v>
      </c>
      <c r="FR49" s="2" t="str">
        <f>IF('Data Checking'!GD49="","",'Data Checking'!GD49)</f>
        <v>0</v>
      </c>
      <c r="FS49" s="2" t="str">
        <f>IF('Data Checking'!GE49="","",'Data Checking'!GE49)</f>
        <v>1</v>
      </c>
      <c r="FT49" s="2" t="str">
        <f>IF('Data Checking'!GF49="","",'Data Checking'!GF49)</f>
        <v>0</v>
      </c>
      <c r="FU49" s="2" t="str">
        <f>IF('Data Checking'!GG49="","",'Data Checking'!GG49)</f>
        <v>0</v>
      </c>
      <c r="FV49" s="2" t="str">
        <f>IF('Data Checking'!GH49="","",'Data Checking'!GH49)</f>
        <v>0</v>
      </c>
      <c r="FW49" s="2" t="str">
        <f>IF('Data Checking'!GI49="","",'Data Checking'!GI49)</f>
        <v>0</v>
      </c>
      <c r="FX49" s="2" t="str">
        <f>IF('Data Checking'!GJ49="","",'Data Checking'!GJ49)</f>
        <v>0</v>
      </c>
      <c r="FY49" s="2" t="str">
        <f>IF('Data Checking'!GK49="","",'Data Checking'!GK49)</f>
        <v>0</v>
      </c>
      <c r="FZ49" s="2" t="str">
        <f>IF('Data Checking'!GL49="","",'Data Checking'!GL49)</f>
        <v/>
      </c>
      <c r="GA49" s="2" t="str">
        <f>IF('Data Checking'!GM49="","",'Data Checking'!GM49)</f>
        <v>majorite</v>
      </c>
      <c r="GB49" s="2" t="str">
        <f>IF('Data Checking'!GN49="","",'Data Checking'!GN49)</f>
        <v>majorite</v>
      </c>
      <c r="GC49" s="2" t="str">
        <f>IF('Data Checking'!GO49="","",'Data Checking'!GO49)</f>
        <v>Services_de_sante Education Acces_aux_doc</v>
      </c>
      <c r="GD49" s="2" t="str">
        <f>IF('Data Checking'!GP49="","",'Data Checking'!GP49)</f>
        <v>0</v>
      </c>
      <c r="GE49" s="2" t="str">
        <f>IF('Data Checking'!GQ49="","",'Data Checking'!GQ49)</f>
        <v>1</v>
      </c>
      <c r="GF49" s="2" t="str">
        <f>IF('Data Checking'!GR49="","",'Data Checking'!GR49)</f>
        <v>0</v>
      </c>
      <c r="GG49" s="2" t="str">
        <f>IF('Data Checking'!GS49="","",'Data Checking'!GS49)</f>
        <v>1</v>
      </c>
      <c r="GH49" s="2" t="str">
        <f>IF('Data Checking'!GT49="","",'Data Checking'!GT49)</f>
        <v>1</v>
      </c>
      <c r="GI49" s="2" t="str">
        <f>IF('Data Checking'!GU49="","",'Data Checking'!GU49)</f>
        <v>0</v>
      </c>
      <c r="GJ49" s="2" t="str">
        <f>IF('Data Checking'!GV49="","",'Data Checking'!GV49)</f>
        <v>0</v>
      </c>
      <c r="GK49" s="2" t="str">
        <f>IF('Data Checking'!GW49="","",'Data Checking'!GW49)</f>
        <v>0</v>
      </c>
      <c r="GL49" s="2" t="str">
        <f>IF('Data Checking'!GX49="","",'Data Checking'!GX49)</f>
        <v>0</v>
      </c>
      <c r="GM49" s="2" t="str">
        <f>IF('Data Checking'!GY49="","",'Data Checking'!GY49)</f>
        <v/>
      </c>
      <c r="GN49" s="2" t="str">
        <f>IF('Data Checking'!GZ49="","",'Data Checking'!GZ49)</f>
        <v>oui_majorite</v>
      </c>
      <c r="GO49" s="2" t="str">
        <f>IF('Data Checking'!HA49="","",'Data Checking'!HA49)</f>
        <v>oui_majorite</v>
      </c>
      <c r="GP49" s="2" t="str">
        <f>IF('Data Checking'!HB49="","",'Data Checking'!HB49)</f>
        <v>repond_besoins_pop permet_eviter_conflits amelioration_futur</v>
      </c>
      <c r="GQ49" s="2" t="str">
        <f>IF('Data Checking'!HC49="","",'Data Checking'!HC49)</f>
        <v>1</v>
      </c>
      <c r="GR49" s="2" t="str">
        <f>IF('Data Checking'!HD49="","",'Data Checking'!HD49)</f>
        <v>1</v>
      </c>
      <c r="GS49" s="2" t="str">
        <f>IF('Data Checking'!HE49="","",'Data Checking'!HE49)</f>
        <v>0</v>
      </c>
      <c r="GT49" s="2" t="str">
        <f>IF('Data Checking'!HF49="","",'Data Checking'!HF49)</f>
        <v>1</v>
      </c>
      <c r="GU49" s="2" t="str">
        <f>IF('Data Checking'!HG49="","",'Data Checking'!HG49)</f>
        <v>0</v>
      </c>
      <c r="GV49" s="2" t="str">
        <f>IF('Data Checking'!HH49="","",'Data Checking'!HH49)</f>
        <v>0</v>
      </c>
      <c r="GW49" s="2" t="str">
        <f>IF('Data Checking'!HI49="","",'Data Checking'!HI49)</f>
        <v>0</v>
      </c>
      <c r="GX49" s="2" t="str">
        <f>IF('Data Checking'!HJ49="","",'Data Checking'!HJ49)</f>
        <v>0</v>
      </c>
      <c r="GY49" s="2" t="str">
        <f>IF('Data Checking'!HK49="","",'Data Checking'!HK49)</f>
        <v/>
      </c>
      <c r="GZ49" s="2" t="str">
        <f>IF('Data Checking'!HL49="","",'Data Checking'!HL49)</f>
        <v>ne_repond_pas ne_contribue_pas</v>
      </c>
      <c r="HA49" s="2" t="str">
        <f>IF('Data Checking'!HM49="","",'Data Checking'!HM49)</f>
        <v>1</v>
      </c>
      <c r="HB49" s="2" t="str">
        <f>IF('Data Checking'!HN49="","",'Data Checking'!HN49)</f>
        <v>1</v>
      </c>
      <c r="HC49" s="2" t="str">
        <f>IF('Data Checking'!HO49="","",'Data Checking'!HO49)</f>
        <v>0</v>
      </c>
      <c r="HD49" s="2" t="str">
        <f>IF('Data Checking'!HP49="","",'Data Checking'!HP49)</f>
        <v>0</v>
      </c>
      <c r="HE49" s="2" t="str">
        <f>IF('Data Checking'!HQ49="","",'Data Checking'!HQ49)</f>
        <v>0</v>
      </c>
      <c r="HF49" s="2" t="str">
        <f>IF('Data Checking'!HR49="","",'Data Checking'!HR49)</f>
        <v>0</v>
      </c>
      <c r="HG49" s="2" t="str">
        <f>IF('Data Checking'!HS49="","",'Data Checking'!HS49)</f>
        <v/>
      </c>
      <c r="HH49" s="2" t="str">
        <f>IF('Data Checking'!HT49="","",'Data Checking'!HT49)</f>
        <v/>
      </c>
      <c r="HI49" s="2" t="str">
        <f>IF('Data Checking'!HU49="","",'Data Checking'!HU49)</f>
        <v>non</v>
      </c>
      <c r="HJ49" s="2" t="str">
        <f>IF('Data Checking'!HV49="","",'Data Checking'!HV49)</f>
        <v/>
      </c>
      <c r="HK49" s="2" t="str">
        <f>IF('Data Checking'!HW49="","",'Data Checking'!HW49)</f>
        <v/>
      </c>
      <c r="HL49" s="2" t="str">
        <f>IF('Data Checking'!HX49="","",'Data Checking'!HX49)</f>
        <v/>
      </c>
      <c r="HM49" s="2" t="str">
        <f>IF('Data Checking'!HY49="","",'Data Checking'!HY49)</f>
        <v/>
      </c>
      <c r="HN49" s="2" t="str">
        <f>IF('Data Checking'!HZ49="","",'Data Checking'!HZ49)</f>
        <v/>
      </c>
      <c r="HO49" s="2" t="str">
        <f>IF('Data Checking'!IA49="","",'Data Checking'!IA49)</f>
        <v/>
      </c>
      <c r="HP49" s="2" t="str">
        <f>IF('Data Checking'!IB49="","",'Data Checking'!IB49)</f>
        <v/>
      </c>
      <c r="HQ49" s="2" t="str">
        <f>IF('Data Checking'!IC49="","",'Data Checking'!IC49)</f>
        <v/>
      </c>
      <c r="HR49" s="2" t="str">
        <f>IF('Data Checking'!ID49="","",'Data Checking'!ID49)</f>
        <v/>
      </c>
      <c r="HS49" s="2" t="str">
        <f>IF('Data Checking'!IE49="","",'Data Checking'!IE49)</f>
        <v/>
      </c>
      <c r="HT49" s="2" t="str">
        <f>IF('Data Checking'!IF49="","",'Data Checking'!IF49)</f>
        <v/>
      </c>
      <c r="HU49" s="2" t="str">
        <f>IF('Data Checking'!IG49="","",'Data Checking'!IG49)</f>
        <v/>
      </c>
      <c r="HV49" s="2" t="str">
        <f>IF('Data Checking'!IH49="","",'Data Checking'!IH49)</f>
        <v>oui</v>
      </c>
      <c r="HW49" s="2" t="str">
        <f>IF('Data Checking'!II49="","",'Data Checking'!II49)</f>
        <v/>
      </c>
      <c r="HX49" s="2" t="str">
        <f>IF('Data Checking'!IJ49="","",'Data Checking'!IJ49)</f>
        <v>Femmes Hommes</v>
      </c>
      <c r="HY49" s="2" t="str">
        <f>IF('Data Checking'!IK49="","",'Data Checking'!IK49)</f>
        <v>0</v>
      </c>
      <c r="HZ49" s="2" t="str">
        <f>IF('Data Checking'!IL49="","",'Data Checking'!IL49)</f>
        <v>0</v>
      </c>
      <c r="IA49" s="2" t="str">
        <f>IF('Data Checking'!IM49="","",'Data Checking'!IM49)</f>
        <v>0</v>
      </c>
      <c r="IB49" s="2" t="str">
        <f>IF('Data Checking'!IN49="","",'Data Checking'!IN49)</f>
        <v>0</v>
      </c>
      <c r="IC49" s="2" t="str">
        <f>IF('Data Checking'!IO49="","",'Data Checking'!IO49)</f>
        <v>1</v>
      </c>
      <c r="ID49" s="2" t="str">
        <f>IF('Data Checking'!IP49="","",'Data Checking'!IP49)</f>
        <v>1</v>
      </c>
      <c r="IE49" s="2" t="str">
        <f>IF('Data Checking'!IQ49="","",'Data Checking'!IQ49)</f>
        <v>0</v>
      </c>
      <c r="IF49" s="2" t="str">
        <f>IF('Data Checking'!IR49="","",'Data Checking'!IR49)</f>
        <v>0</v>
      </c>
      <c r="IG49" s="2" t="str">
        <f>IF('Data Checking'!IS49="","",'Data Checking'!IS49)</f>
        <v>0</v>
      </c>
      <c r="IH49" s="2" t="str">
        <f>IF('Data Checking'!IT49="","",'Data Checking'!IT49)</f>
        <v>0</v>
      </c>
      <c r="II49" s="2" t="str">
        <f>IF('Data Checking'!IU49="","",'Data Checking'!IU49)</f>
        <v>0</v>
      </c>
      <c r="IJ49" s="2" t="str">
        <f>IF('Data Checking'!IV49="","",'Data Checking'!IV49)</f>
        <v>0</v>
      </c>
      <c r="IK49" s="2" t="str">
        <f>IF('Data Checking'!IW49="","",'Data Checking'!IW49)</f>
        <v>0</v>
      </c>
      <c r="IL49" s="2" t="str">
        <f>IF('Data Checking'!IX49="","",'Data Checking'!IX49)</f>
        <v>0</v>
      </c>
      <c r="IM49" s="2" t="str">
        <f>IF('Data Checking'!IY49="","",'Data Checking'!IY49)</f>
        <v/>
      </c>
      <c r="IN49" s="2" t="str">
        <f>IF('Data Checking'!IZ49="","",'Data Checking'!IZ49)</f>
        <v>1</v>
      </c>
      <c r="IO49" s="2" t="str">
        <f>IF('Data Checking'!JA49="","",'Data Checking'!JA49)</f>
        <v>Services_medicaux points_ecoute</v>
      </c>
      <c r="IP49" s="2" t="str">
        <f>IF('Data Checking'!JB49="","",'Data Checking'!JB49)</f>
        <v>0</v>
      </c>
      <c r="IQ49" s="2" t="str">
        <f>IF('Data Checking'!JC49="","",'Data Checking'!JC49)</f>
        <v>1</v>
      </c>
      <c r="IR49" s="2" t="str">
        <f>IF('Data Checking'!JD49="","",'Data Checking'!JD49)</f>
        <v>0</v>
      </c>
      <c r="IS49" s="2" t="str">
        <f>IF('Data Checking'!JE49="","",'Data Checking'!JE49)</f>
        <v>0</v>
      </c>
      <c r="IT49" s="2" t="str">
        <f>IF('Data Checking'!JF49="","",'Data Checking'!JF49)</f>
        <v>0</v>
      </c>
      <c r="IU49" s="2" t="str">
        <f>IF('Data Checking'!JG49="","",'Data Checking'!JG49)</f>
        <v>0</v>
      </c>
      <c r="IV49" s="2" t="str">
        <f>IF('Data Checking'!JH49="","",'Data Checking'!JH49)</f>
        <v>0</v>
      </c>
      <c r="IW49" s="2" t="str">
        <f>IF('Data Checking'!JI49="","",'Data Checking'!JI49)</f>
        <v>1</v>
      </c>
      <c r="IX49" s="2" t="str">
        <f>IF('Data Checking'!JJ49="","",'Data Checking'!JJ49)</f>
        <v>0</v>
      </c>
      <c r="IY49" s="2" t="str">
        <f>IF('Data Checking'!JK49="","",'Data Checking'!JK49)</f>
        <v>0</v>
      </c>
      <c r="IZ49" s="2" t="str">
        <f>IF('Data Checking'!JL49="","",'Data Checking'!JL49)</f>
        <v/>
      </c>
      <c r="JA49" s="2" t="str">
        <f>IF('Data Checking'!JM49="","",'Data Checking'!JM49)</f>
        <v>reorientation</v>
      </c>
      <c r="JB49" s="2" t="str">
        <f>IF('Data Checking'!JN49="","",'Data Checking'!JN49)</f>
        <v>0</v>
      </c>
      <c r="JC49" s="2" t="str">
        <f>IF('Data Checking'!JO49="","",'Data Checking'!JO49)</f>
        <v>1</v>
      </c>
      <c r="JD49" s="2" t="str">
        <f>IF('Data Checking'!JP49="","",'Data Checking'!JP49)</f>
        <v>0</v>
      </c>
      <c r="JE49" s="2" t="str">
        <f>IF('Data Checking'!JQ49="","",'Data Checking'!JQ49)</f>
        <v>0</v>
      </c>
      <c r="JF49" s="2" t="str">
        <f>IF('Data Checking'!JR49="","",'Data Checking'!JR49)</f>
        <v>0</v>
      </c>
      <c r="JG49" s="2" t="str">
        <f>IF('Data Checking'!JS49="","",'Data Checking'!JS49)</f>
        <v>0</v>
      </c>
      <c r="JH49" s="2" t="str">
        <f>IF('Data Checking'!JT49="","",'Data Checking'!JT49)</f>
        <v/>
      </c>
      <c r="JI49" s="2" t="str">
        <f>IF('Data Checking'!JU49="","",'Data Checking'!JU49)</f>
        <v/>
      </c>
      <c r="JJ49" s="2" t="str">
        <f>IF('Data Checking'!JV49="","",'Data Checking'!JV49)</f>
        <v/>
      </c>
      <c r="JK49" s="2" t="str">
        <f>IF('Data Checking'!JW49="","",'Data Checking'!JW49)</f>
        <v/>
      </c>
      <c r="JL49" s="2" t="str">
        <f>IF('Data Checking'!JX49="","",'Data Checking'!JX49)</f>
        <v/>
      </c>
      <c r="JM49" s="2" t="str">
        <f>IF('Data Checking'!JY49="","",'Data Checking'!JY49)</f>
        <v/>
      </c>
      <c r="JN49" s="2" t="str">
        <f>IF('Data Checking'!JZ49="","",'Data Checking'!JZ49)</f>
        <v/>
      </c>
      <c r="JO49" s="2" t="str">
        <f>IF('Data Checking'!KA49="","",'Data Checking'!KA49)</f>
        <v/>
      </c>
      <c r="JP49" s="2" t="str">
        <f>IF('Data Checking'!KB49="","",'Data Checking'!KB49)</f>
        <v/>
      </c>
      <c r="JQ49" s="2" t="str">
        <f>IF('Data Checking'!KC49="","",'Data Checking'!KC49)</f>
        <v/>
      </c>
      <c r="JR49" s="2" t="str">
        <f>IF('Data Checking'!KD49="","",'Data Checking'!KD49)</f>
        <v/>
      </c>
      <c r="JS49" s="2" t="str">
        <f>IF('Data Checking'!KE49="","",'Data Checking'!KE49)</f>
        <v/>
      </c>
      <c r="JT49" s="2" t="str">
        <f>IF('Data Checking'!KF49="","",'Data Checking'!KF49)</f>
        <v>point_ecoute</v>
      </c>
      <c r="JU49" s="2" t="str">
        <f>IF('Data Checking'!KG49="","",'Data Checking'!KG49)</f>
        <v>0</v>
      </c>
      <c r="JV49" s="2" t="str">
        <f>IF('Data Checking'!KH49="","",'Data Checking'!KH49)</f>
        <v>0</v>
      </c>
      <c r="JW49" s="2" t="str">
        <f>IF('Data Checking'!KI49="","",'Data Checking'!KI49)</f>
        <v>1</v>
      </c>
      <c r="JX49" s="2" t="str">
        <f>IF('Data Checking'!KJ49="","",'Data Checking'!KJ49)</f>
        <v>0</v>
      </c>
      <c r="JY49" s="2" t="str">
        <f>IF('Data Checking'!KK49="","",'Data Checking'!KK49)</f>
        <v>0</v>
      </c>
      <c r="JZ49" s="2" t="str">
        <f>IF('Data Checking'!KL49="","",'Data Checking'!KL49)</f>
        <v>0</v>
      </c>
      <c r="KA49" s="2" t="str">
        <f>IF('Data Checking'!KM49="","",'Data Checking'!KM49)</f>
        <v>0</v>
      </c>
      <c r="KB49" s="2" t="str">
        <f>IF('Data Checking'!KN49="","",'Data Checking'!KN49)</f>
        <v>0</v>
      </c>
      <c r="KC49" s="2" t="str">
        <f>IF('Data Checking'!KO49="","",'Data Checking'!KO49)</f>
        <v>0</v>
      </c>
      <c r="KD49" s="2" t="str">
        <f>IF('Data Checking'!KP49="","",'Data Checking'!KP49)</f>
        <v/>
      </c>
      <c r="KE49" s="2" t="str">
        <f>IF('Data Checking'!KQ49="","",'Data Checking'!KQ49)</f>
        <v/>
      </c>
      <c r="KF49" s="2" t="str">
        <f>IF('Data Checking'!KR49="","",'Data Checking'!KR49)</f>
        <v>oui</v>
      </c>
      <c r="KG49" s="2" t="str">
        <f>IF('Data Checking'!KS49="","",'Data Checking'!KS49)</f>
        <v>manque_moyens probleme_orientation manque_definition</v>
      </c>
      <c r="KH49" s="2" t="str">
        <f>IF('Data Checking'!KT49="","",'Data Checking'!KT49)</f>
        <v>1</v>
      </c>
      <c r="KI49" s="2" t="str">
        <f>IF('Data Checking'!KU49="","",'Data Checking'!KU49)</f>
        <v>0</v>
      </c>
      <c r="KJ49" s="2" t="str">
        <f>IF('Data Checking'!KV49="","",'Data Checking'!KV49)</f>
        <v>0</v>
      </c>
      <c r="KK49" s="2" t="str">
        <f>IF('Data Checking'!KW49="","",'Data Checking'!KW49)</f>
        <v>1</v>
      </c>
      <c r="KL49" s="2" t="str">
        <f>IF('Data Checking'!KX49="","",'Data Checking'!KX49)</f>
        <v>0</v>
      </c>
      <c r="KM49" s="2" t="str">
        <f>IF('Data Checking'!KY49="","",'Data Checking'!KY49)</f>
        <v>0</v>
      </c>
      <c r="KN49" s="2" t="str">
        <f>IF('Data Checking'!KZ49="","",'Data Checking'!KZ49)</f>
        <v>0</v>
      </c>
      <c r="KO49" s="2" t="str">
        <f>IF('Data Checking'!LA49="","",'Data Checking'!LA49)</f>
        <v>1</v>
      </c>
      <c r="KP49" s="2" t="str">
        <f>IF('Data Checking'!LB49="","",'Data Checking'!LB49)</f>
        <v>0</v>
      </c>
      <c r="KQ49" s="2" t="str">
        <f>IF('Data Checking'!LC49="","",'Data Checking'!LC49)</f>
        <v>0</v>
      </c>
      <c r="KR49" s="2" t="str">
        <f>IF('Data Checking'!LD49="","",'Data Checking'!LD49)</f>
        <v>0</v>
      </c>
      <c r="KS49" s="2" t="str">
        <f>IF('Data Checking'!LE49="","",'Data Checking'!LE49)</f>
        <v/>
      </c>
      <c r="KT49" s="2" t="str">
        <f>IF('Data Checking'!LF49="","",'Data Checking'!LF49)</f>
        <v>pb_protection_donnee pb_logistiques pb_coordination</v>
      </c>
      <c r="KU49" s="2" t="str">
        <f>IF('Data Checking'!LG49="","",'Data Checking'!LG49)</f>
        <v>1</v>
      </c>
      <c r="KV49" s="2" t="str">
        <f>IF('Data Checking'!LH49="","",'Data Checking'!LH49)</f>
        <v>1</v>
      </c>
      <c r="KW49" s="2" t="str">
        <f>IF('Data Checking'!LI49="","",'Data Checking'!LI49)</f>
        <v>0</v>
      </c>
      <c r="KX49" s="2" t="str">
        <f>IF('Data Checking'!LJ49="","",'Data Checking'!LJ49)</f>
        <v>1</v>
      </c>
      <c r="KY49" s="2" t="str">
        <f>IF('Data Checking'!LK49="","",'Data Checking'!LK49)</f>
        <v>0</v>
      </c>
      <c r="KZ49" s="2" t="str">
        <f>IF('Data Checking'!LL49="","",'Data Checking'!LL49)</f>
        <v>0</v>
      </c>
      <c r="LA49" s="2" t="str">
        <f>IF('Data Checking'!LM49="","",'Data Checking'!LM49)</f>
        <v/>
      </c>
      <c r="LB49" s="2" t="str">
        <f>IF('Data Checking'!LN49="","",'Data Checking'!LN49)</f>
        <v>non</v>
      </c>
      <c r="LC49" s="2" t="str">
        <f>IF('Data Checking'!LO49="","",'Data Checking'!LO49)</f>
        <v/>
      </c>
      <c r="LD49" s="2" t="str">
        <f>IF('Data Checking'!LP49="","",'Data Checking'!LP49)</f>
        <v/>
      </c>
      <c r="LE49" s="2" t="str">
        <f>IF('Data Checking'!LQ49="","",'Data Checking'!LQ49)</f>
        <v/>
      </c>
      <c r="LF49" s="2" t="str">
        <f>IF('Data Checking'!LR49="","",'Data Checking'!LR49)</f>
        <v/>
      </c>
      <c r="LG49" s="2" t="str">
        <f>IF('Data Checking'!LS49="","",'Data Checking'!LS49)</f>
        <v/>
      </c>
      <c r="LH49" s="2" t="str">
        <f>IF('Data Checking'!LT49="","",'Data Checking'!LT49)</f>
        <v/>
      </c>
      <c r="LI49" s="2" t="str">
        <f>IF('Data Checking'!LU49="","",'Data Checking'!LU49)</f>
        <v/>
      </c>
      <c r="LJ49" s="2" t="str">
        <f>IF('Data Checking'!LV49="","",'Data Checking'!LV49)</f>
        <v/>
      </c>
      <c r="LK49" s="2" t="str">
        <f>IF('Data Checking'!LW49="","",'Data Checking'!LW49)</f>
        <v/>
      </c>
      <c r="LL49" s="2" t="str">
        <f>IF('Data Checking'!LX49="","",'Data Checking'!LX49)</f>
        <v/>
      </c>
      <c r="LM49" s="2" t="str">
        <f>IF('Data Checking'!LY49="","",'Data Checking'!LY49)</f>
        <v/>
      </c>
      <c r="LN49" s="2" t="str">
        <f>IF('Data Checking'!LZ49="","",'Data Checking'!LZ49)</f>
        <v/>
      </c>
      <c r="LO49" s="2" t="str">
        <f>IF('Data Checking'!MA49="","",'Data Checking'!MA49)</f>
        <v/>
      </c>
      <c r="LP49" s="2" t="str">
        <f>IF('Data Checking'!MB49="","",'Data Checking'!MB49)</f>
        <v>oui</v>
      </c>
      <c r="LQ49" s="2" t="str">
        <f>IF('Data Checking'!MC49="","",'Data Checking'!MC49)</f>
        <v/>
      </c>
      <c r="LR49" s="2" t="str">
        <f>IF('Data Checking'!MD49="","",'Data Checking'!MD49)</f>
        <v/>
      </c>
      <c r="LS49" s="2">
        <f>IF('Data Checking'!ME49="","",'Data Checking'!ME49)</f>
        <v>169219588</v>
      </c>
      <c r="LT49" s="2" t="str">
        <f>IF('Data Checking'!MF49="","",'Data Checking'!MF49)</f>
        <v>9a806334-fa0b-4b0a-b93f-6cc54034100b</v>
      </c>
      <c r="LU49" s="2" t="str">
        <f>IF('Data Checking'!MG49="","",'Data Checking'!MG49)</f>
        <v>2021-04-01T19:45:06</v>
      </c>
      <c r="LV49" s="2" t="str">
        <f>IF('Data Checking'!MH49="","",'Data Checking'!MH49)</f>
        <v/>
      </c>
      <c r="LW49" s="2" t="str">
        <f>IF('Data Checking'!MI49="","",'Data Checking'!MI49)</f>
        <v>[]</v>
      </c>
      <c r="LX49" s="2" t="str">
        <f>IF('Data Checking'!MJ49="","",'Data Checking'!MJ49)</f>
        <v>submitted_via_web</v>
      </c>
      <c r="LY49" s="2" t="str">
        <f>IF('Data Checking'!MK49="","",'Data Checking'!MK49)</f>
        <v>reach_niger</v>
      </c>
      <c r="LZ49" s="2" t="str">
        <f>IF('Data Checking'!ML49="","",'Data Checking'!ML49)</f>
        <v/>
      </c>
      <c r="MA49" s="2">
        <f>IF('Data Checking'!MM49="","",'Data Checking'!MM49)</f>
        <v>17</v>
      </c>
    </row>
    <row r="50" spans="1:339" x14ac:dyDescent="0.3">
      <c r="A50" s="2" t="str">
        <f>IF('Data Checking'!D50="","",'Data Checking'!D50)</f>
        <v>2021-04-03T09:41:49.968+01:00</v>
      </c>
      <c r="B50" s="2" t="str">
        <f>IF('Data Checking'!E50="","",'Data Checking'!E50)</f>
        <v>2021-04-03T10:17:35.323+01:00</v>
      </c>
      <c r="C50" s="2" t="str">
        <f>IF('Data Checking'!M50="","",'Data Checking'!M50)</f>
        <v>2021-04-03</v>
      </c>
      <c r="D50" s="2" t="str">
        <f>IF('Data Checking'!N50="","",'Data Checking'!N50)</f>
        <v/>
      </c>
      <c r="E50" s="2" t="str">
        <f>IF('Data Checking'!O50="","",'Data Checking'!O50)</f>
        <v/>
      </c>
      <c r="F50" s="2" t="str">
        <f>IF('Data Checking'!R50="","",'Data Checking'!R50)</f>
        <v>Homme</v>
      </c>
      <c r="G50" s="2" t="str">
        <f>IF('Data Checking'!S50="","",'Data Checking'!S50)</f>
        <v>tillaberi</v>
      </c>
      <c r="H50" s="2" t="str">
        <f>IF('Data Checking'!T50="","",'Data Checking'!T50)</f>
        <v>tillaberi</v>
      </c>
      <c r="I50" s="2" t="str">
        <f>IF('Data Checking'!U50="","",'Data Checking'!U50)</f>
        <v>tadress</v>
      </c>
      <c r="J50" s="2" t="str">
        <f>IF('Data Checking'!V50="","",'Data Checking'!V50)</f>
        <v/>
      </c>
      <c r="K50" s="2" t="str">
        <f>IF('Data Checking'!W50="","",'Data Checking'!W50)</f>
        <v/>
      </c>
      <c r="L50" s="2" t="str">
        <f>IF('Data Checking'!X50="","",'Data Checking'!X50)</f>
        <v/>
      </c>
      <c r="M50" s="2" t="str">
        <f>IF('Data Checking'!Y50="","",'Data Checking'!Y50)</f>
        <v/>
      </c>
      <c r="N50" s="2" t="str">
        <f>IF('Data Checking'!Z50="","",'Data Checking'!Z50)</f>
        <v/>
      </c>
      <c r="O50" s="2" t="str">
        <f>IF('Data Checking'!AA50="","",'Data Checking'!AA50)</f>
        <v/>
      </c>
      <c r="P50" s="2" t="str">
        <f>IF('Data Checking'!AB50="","",'Data Checking'!AB50)</f>
        <v/>
      </c>
      <c r="Q50" s="2" t="str">
        <f>IF('Data Checking'!AC50="","",'Data Checking'!AC50)</f>
        <v/>
      </c>
      <c r="R50" s="2" t="str">
        <f>IF('Data Checking'!AD50="","",'Data Checking'!AD50)</f>
        <v>Homme</v>
      </c>
      <c r="S50" s="2" t="str">
        <f>IF('Data Checking'!AE50="","",'Data Checking'!AE50)</f>
        <v>45</v>
      </c>
      <c r="T50" s="2" t="str">
        <f>IF('Data Checking'!AF50="","",'Data Checking'!AF50)</f>
        <v>deplace_interne</v>
      </c>
      <c r="U50" s="2" t="str">
        <f>IF('Data Checking'!AG50="","",'Data Checking'!AG50)</f>
        <v/>
      </c>
      <c r="V50" s="2" t="str">
        <f>IF('Data Checking'!AH50="","",'Data Checking'!AH50)</f>
        <v/>
      </c>
      <c r="W50" s="2" t="str">
        <f>IF('Data Checking'!AI50="","",'Data Checking'!AI50)</f>
        <v/>
      </c>
      <c r="X50" s="2" t="str">
        <f>IF('Data Checking'!AJ50="","",'Data Checking'!AJ50)</f>
        <v/>
      </c>
      <c r="Y50" s="2" t="str">
        <f>IF('Data Checking'!AK50="","",'Data Checking'!AK50)</f>
        <v/>
      </c>
      <c r="Z50" s="2" t="str">
        <f>IF('Data Checking'!AL50="","",'Data Checking'!AL50)</f>
        <v>niger</v>
      </c>
      <c r="AA50" s="2" t="str">
        <f>IF('Data Checking'!AM50="","",'Data Checking'!AM50)</f>
        <v>tillaberi</v>
      </c>
      <c r="AB50" s="2" t="str">
        <f>IF('Data Checking'!AN50="","",'Data Checking'!AN50)</f>
        <v>ouallam</v>
      </c>
      <c r="AC50" s="2" t="str">
        <f>IF('Data Checking'!AO50="","",'Data Checking'!AO50)</f>
        <v/>
      </c>
      <c r="AD50" s="2" t="str">
        <f>IF('Data Checking'!AP50="","",'Data Checking'!AP50)</f>
        <v/>
      </c>
      <c r="AE50" s="2" t="str">
        <f>IF('Data Checking'!AQ50="","",'Data Checking'!AQ50)</f>
        <v/>
      </c>
      <c r="AF50" s="2" t="str">
        <f>IF('Data Checking'!AR50="","",'Data Checking'!AR50)</f>
        <v/>
      </c>
      <c r="AG50" s="2" t="str">
        <f>IF('Data Checking'!AS50="","",'Data Checking'!AS50)</f>
        <v>non</v>
      </c>
      <c r="AH50" s="2" t="str">
        <f>IF('Data Checking'!AT50="","",'Data Checking'!AT50)</f>
        <v/>
      </c>
      <c r="AI50" s="2" t="str">
        <f>IF('Data Checking'!AU50="","",'Data Checking'!AU50)</f>
        <v/>
      </c>
      <c r="AJ50" s="2" t="str">
        <f>IF('Data Checking'!AV50="","",'Data Checking'!AV50)</f>
        <v/>
      </c>
      <c r="AK50" s="2" t="str">
        <f>IF('Data Checking'!AW50="","",'Data Checking'!AW50)</f>
        <v/>
      </c>
      <c r="AL50" s="2" t="str">
        <f>IF('Data Checking'!AX50="","",'Data Checking'!AX50)</f>
        <v/>
      </c>
      <c r="AM50" s="2" t="str">
        <f>IF('Data Checking'!AY50="","",'Data Checking'!AY50)</f>
        <v/>
      </c>
      <c r="AN50" s="2" t="str">
        <f>IF('Data Checking'!AZ50="","",'Data Checking'!AZ50)</f>
        <v/>
      </c>
      <c r="AO50" s="2" t="str">
        <f>IF('Data Checking'!BA50="","",'Data Checking'!BA50)</f>
        <v/>
      </c>
      <c r="AP50" s="2" t="str">
        <f>IF('Data Checking'!BB50="","",'Data Checking'!BB50)</f>
        <v/>
      </c>
      <c r="AQ50" s="2" t="str">
        <f>IF('Data Checking'!BC50="","",'Data Checking'!BC50)</f>
        <v/>
      </c>
      <c r="AR50" s="2" t="str">
        <f>IF('Data Checking'!BD50="","",'Data Checking'!BD50)</f>
        <v/>
      </c>
      <c r="AS50" s="2" t="str">
        <f>IF('Data Checking'!BE50="","",'Data Checking'!BE50)</f>
        <v/>
      </c>
      <c r="AT50" s="2" t="str">
        <f>IF('Data Checking'!BF50="","",'Data Checking'!BF50)</f>
        <v/>
      </c>
      <c r="AU50" s="2" t="str">
        <f>IF('Data Checking'!BG50="","",'Data Checking'!BG50)</f>
        <v/>
      </c>
      <c r="AV50" s="2" t="str">
        <f>IF('Data Checking'!BH50="","",'Data Checking'!BH50)</f>
        <v/>
      </c>
      <c r="AW50" s="2" t="str">
        <f>IF('Data Checking'!BI50="","",'Data Checking'!BI50)</f>
        <v/>
      </c>
      <c r="AX50" s="2" t="str">
        <f>IF('Data Checking'!BJ50="","",'Data Checking'!BJ50)</f>
        <v/>
      </c>
      <c r="AY50" s="2" t="str">
        <f>IF('Data Checking'!BK50="","",'Data Checking'!BK50)</f>
        <v/>
      </c>
      <c r="AZ50" s="2" t="str">
        <f>IF('Data Checking'!BL50="","",'Data Checking'!BL50)</f>
        <v/>
      </c>
      <c r="BA50" s="2" t="str">
        <f>IF('Data Checking'!BM50="","",'Data Checking'!BM50)</f>
        <v/>
      </c>
      <c r="BB50" s="2" t="str">
        <f>IF('Data Checking'!BN50="","",'Data Checking'!BN50)</f>
        <v/>
      </c>
      <c r="BC50" s="2" t="str">
        <f>IF('Data Checking'!BO50="","",'Data Checking'!BO50)</f>
        <v/>
      </c>
      <c r="BD50" s="2" t="str">
        <f>IF('Data Checking'!BP50="","",'Data Checking'!BP50)</f>
        <v/>
      </c>
      <c r="BE50" s="2" t="str">
        <f>IF('Data Checking'!BQ50="","",'Data Checking'!BQ50)</f>
        <v/>
      </c>
      <c r="BF50" s="2" t="str">
        <f>IF('Data Checking'!BR50="","",'Data Checking'!BR50)</f>
        <v/>
      </c>
      <c r="BG50" s="2" t="str">
        <f>IF('Data Checking'!BS50="","",'Data Checking'!BS50)</f>
        <v/>
      </c>
      <c r="BH50" s="2" t="str">
        <f>IF('Data Checking'!BT50="","",'Data Checking'!BT50)</f>
        <v/>
      </c>
      <c r="BI50" s="2" t="str">
        <f>IF('Data Checking'!BU50="","",'Data Checking'!BU50)</f>
        <v/>
      </c>
      <c r="BJ50" s="2" t="str">
        <f>IF('Data Checking'!BV50="","",'Data Checking'!BV50)</f>
        <v/>
      </c>
      <c r="BK50" s="2" t="str">
        <f>IF('Data Checking'!BW50="","",'Data Checking'!BW50)</f>
        <v/>
      </c>
      <c r="BL50" s="2" t="str">
        <f>IF('Data Checking'!BX50="","",'Data Checking'!BX50)</f>
        <v/>
      </c>
      <c r="BM50" s="2" t="str">
        <f>IF('Data Checking'!BY50="","",'Data Checking'!BY50)</f>
        <v/>
      </c>
      <c r="BN50" s="2" t="str">
        <f>IF('Data Checking'!BZ50="","",'Data Checking'!BZ50)</f>
        <v/>
      </c>
      <c r="BO50" s="2" t="str">
        <f>IF('Data Checking'!CA50="","",'Data Checking'!CA50)</f>
        <v/>
      </c>
      <c r="BP50" s="2" t="str">
        <f>IF('Data Checking'!CB50="","",'Data Checking'!CB50)</f>
        <v/>
      </c>
      <c r="BQ50" s="2" t="str">
        <f>IF('Data Checking'!CC50="","",'Data Checking'!CC50)</f>
        <v>non</v>
      </c>
      <c r="BR50" s="2" t="str">
        <f>IF('Data Checking'!CD50="","",'Data Checking'!CD50)</f>
        <v/>
      </c>
      <c r="BS50" s="2" t="str">
        <f>IF('Data Checking'!CE50="","",'Data Checking'!CE50)</f>
        <v/>
      </c>
      <c r="BT50" s="2" t="str">
        <f>IF('Data Checking'!CF50="","",'Data Checking'!CF50)</f>
        <v/>
      </c>
      <c r="BU50" s="2" t="str">
        <f>IF('Data Checking'!CG50="","",'Data Checking'!CG50)</f>
        <v/>
      </c>
      <c r="BV50" s="2" t="str">
        <f>IF('Data Checking'!CH50="","",'Data Checking'!CH50)</f>
        <v/>
      </c>
      <c r="BW50" s="2" t="str">
        <f>IF('Data Checking'!CI50="","",'Data Checking'!CI50)</f>
        <v/>
      </c>
      <c r="BX50" s="2" t="str">
        <f>IF('Data Checking'!CJ50="","",'Data Checking'!CJ50)</f>
        <v/>
      </c>
      <c r="BY50" s="2" t="str">
        <f>IF('Data Checking'!CK50="","",'Data Checking'!CK50)</f>
        <v/>
      </c>
      <c r="BZ50" s="2" t="str">
        <f>IF('Data Checking'!CL50="","",'Data Checking'!CL50)</f>
        <v/>
      </c>
      <c r="CA50" s="2" t="str">
        <f>IF('Data Checking'!CM50="","",'Data Checking'!CM50)</f>
        <v/>
      </c>
      <c r="CB50" s="2" t="str">
        <f>IF('Data Checking'!CN50="","",'Data Checking'!CN50)</f>
        <v/>
      </c>
      <c r="CC50" s="2" t="str">
        <f>IF('Data Checking'!CO50="","",'Data Checking'!CO50)</f>
        <v/>
      </c>
      <c r="CD50" s="2" t="str">
        <f>IF('Data Checking'!CP50="","",'Data Checking'!CP50)</f>
        <v/>
      </c>
      <c r="CE50" s="2" t="str">
        <f>IF('Data Checking'!CQ50="","",'Data Checking'!CQ50)</f>
        <v/>
      </c>
      <c r="CF50" s="2" t="str">
        <f>IF('Data Checking'!CR50="","",'Data Checking'!CR50)</f>
        <v/>
      </c>
      <c r="CG50" s="2" t="str">
        <f>IF('Data Checking'!CS50="","",'Data Checking'!CS50)</f>
        <v/>
      </c>
      <c r="CH50" s="2" t="str">
        <f>IF('Data Checking'!CT50="","",'Data Checking'!CT50)</f>
        <v/>
      </c>
      <c r="CI50" s="2" t="str">
        <f>IF('Data Checking'!CU50="","",'Data Checking'!CU50)</f>
        <v/>
      </c>
      <c r="CJ50" s="2" t="str">
        <f>IF('Data Checking'!CV50="","",'Data Checking'!CV50)</f>
        <v/>
      </c>
      <c r="CK50" s="2" t="str">
        <f>IF('Data Checking'!CW50="","",'Data Checking'!CW50)</f>
        <v/>
      </c>
      <c r="CL50" s="2" t="str">
        <f>IF('Data Checking'!CX50="","",'Data Checking'!CX50)</f>
        <v/>
      </c>
      <c r="CM50" s="2" t="str">
        <f>IF('Data Checking'!CY50="","",'Data Checking'!CY50)</f>
        <v/>
      </c>
      <c r="CN50" s="2" t="str">
        <f>IF('Data Checking'!CZ50="","",'Data Checking'!CZ50)</f>
        <v/>
      </c>
      <c r="CO50" s="2" t="str">
        <f>IF('Data Checking'!DA50="","",'Data Checking'!DA50)</f>
        <v/>
      </c>
      <c r="CP50" s="2" t="str">
        <f>IF('Data Checking'!DB50="","",'Data Checking'!DB50)</f>
        <v/>
      </c>
      <c r="CQ50" s="2" t="str">
        <f>IF('Data Checking'!DC50="","",'Data Checking'!DC50)</f>
        <v/>
      </c>
      <c r="CR50" s="2" t="str">
        <f>IF('Data Checking'!DD50="","",'Data Checking'!DD50)</f>
        <v/>
      </c>
      <c r="CS50" s="2" t="str">
        <f>IF('Data Checking'!DE50="","",'Data Checking'!DE50)</f>
        <v/>
      </c>
      <c r="CT50" s="2" t="str">
        <f>IF('Data Checking'!DF50="","",'Data Checking'!DF50)</f>
        <v/>
      </c>
      <c r="CU50" s="2" t="str">
        <f>IF('Data Checking'!DG50="","",'Data Checking'!DG50)</f>
        <v/>
      </c>
      <c r="CV50" s="2" t="str">
        <f>IF('Data Checking'!DH50="","",'Data Checking'!DH50)</f>
        <v/>
      </c>
      <c r="CW50" s="2" t="str">
        <f>IF('Data Checking'!DI50="","",'Data Checking'!DI50)</f>
        <v/>
      </c>
      <c r="CX50" s="2" t="str">
        <f>IF('Data Checking'!DJ50="","",'Data Checking'!DJ50)</f>
        <v/>
      </c>
      <c r="CY50" s="2" t="str">
        <f>IF('Data Checking'!DK50="","",'Data Checking'!DK50)</f>
        <v/>
      </c>
      <c r="CZ50" s="2" t="str">
        <f>IF('Data Checking'!DL50="","",'Data Checking'!DL50)</f>
        <v/>
      </c>
      <c r="DA50" s="2" t="str">
        <f>IF('Data Checking'!DM50="","",'Data Checking'!DM50)</f>
        <v/>
      </c>
      <c r="DB50" s="2" t="str">
        <f>IF('Data Checking'!DN50="","",'Data Checking'!DN50)</f>
        <v/>
      </c>
      <c r="DC50" s="2" t="str">
        <f>IF('Data Checking'!DO50="","",'Data Checking'!DO50)</f>
        <v/>
      </c>
      <c r="DD50" s="2" t="str">
        <f>IF('Data Checking'!DP50="","",'Data Checking'!DP50)</f>
        <v/>
      </c>
      <c r="DE50" s="2" t="str">
        <f>IF('Data Checking'!DQ50="","",'Data Checking'!DQ50)</f>
        <v/>
      </c>
      <c r="DF50" s="2" t="str">
        <f>IF('Data Checking'!DR50="","",'Data Checking'!DR50)</f>
        <v/>
      </c>
      <c r="DG50" s="2" t="str">
        <f>IF('Data Checking'!DS50="","",'Data Checking'!DS50)</f>
        <v/>
      </c>
      <c r="DH50" s="2" t="str">
        <f>IF('Data Checking'!DT50="","",'Data Checking'!DT50)</f>
        <v/>
      </c>
      <c r="DI50" s="2" t="str">
        <f>IF('Data Checking'!DU50="","",'Data Checking'!DU50)</f>
        <v/>
      </c>
      <c r="DJ50" s="2" t="str">
        <f>IF('Data Checking'!DV50="","",'Data Checking'!DV50)</f>
        <v/>
      </c>
      <c r="DK50" s="2" t="str">
        <f>IF('Data Checking'!DW50="","",'Data Checking'!DW50)</f>
        <v/>
      </c>
      <c r="DL50" s="2" t="str">
        <f>IF('Data Checking'!DX50="","",'Data Checking'!DX50)</f>
        <v/>
      </c>
      <c r="DM50" s="2" t="str">
        <f>IF('Data Checking'!DY50="","",'Data Checking'!DY50)</f>
        <v/>
      </c>
      <c r="DN50" s="2" t="str">
        <f>IF('Data Checking'!DZ50="","",'Data Checking'!DZ50)</f>
        <v/>
      </c>
      <c r="DO50" s="2" t="str">
        <f>IF('Data Checking'!EA50="","",'Data Checking'!EA50)</f>
        <v/>
      </c>
      <c r="DP50" s="2" t="str">
        <f>IF('Data Checking'!EB50="","",'Data Checking'!EB50)</f>
        <v/>
      </c>
      <c r="DQ50" s="2" t="str">
        <f>IF('Data Checking'!EC50="","",'Data Checking'!EC50)</f>
        <v/>
      </c>
      <c r="DR50" s="2" t="str">
        <f>IF('Data Checking'!ED50="","",'Data Checking'!ED50)</f>
        <v/>
      </c>
      <c r="DS50" s="2" t="str">
        <f>IF('Data Checking'!EE50="","",'Data Checking'!EE50)</f>
        <v/>
      </c>
      <c r="DT50" s="2" t="str">
        <f>IF('Data Checking'!EF50="","",'Data Checking'!EF50)</f>
        <v/>
      </c>
      <c r="DU50" s="2" t="str">
        <f>IF('Data Checking'!EG50="","",'Data Checking'!EG50)</f>
        <v/>
      </c>
      <c r="DV50" s="2" t="str">
        <f>IF('Data Checking'!EH50="","",'Data Checking'!EH50)</f>
        <v/>
      </c>
      <c r="DW50" s="2" t="str">
        <f>IF('Data Checking'!EI50="","",'Data Checking'!EI50)</f>
        <v/>
      </c>
      <c r="DX50" s="2" t="str">
        <f>IF('Data Checking'!EJ50="","",'Data Checking'!EJ50)</f>
        <v/>
      </c>
      <c r="DY50" s="2" t="str">
        <f>IF('Data Checking'!EK50="","",'Data Checking'!EK50)</f>
        <v/>
      </c>
      <c r="DZ50" s="2" t="str">
        <f>IF('Data Checking'!EL50="","",'Data Checking'!EL50)</f>
        <v>dplct_abords_com Integration_com_hote</v>
      </c>
      <c r="EA50" s="2" t="str">
        <f>IF('Data Checking'!EM50="","",'Data Checking'!EM50)</f>
        <v>1</v>
      </c>
      <c r="EB50" s="2" t="str">
        <f>IF('Data Checking'!EN50="","",'Data Checking'!EN50)</f>
        <v>1</v>
      </c>
      <c r="EC50" s="2" t="str">
        <f>IF('Data Checking'!EO50="","",'Data Checking'!EO50)</f>
        <v>0</v>
      </c>
      <c r="ED50" s="2" t="str">
        <f>IF('Data Checking'!EP50="","",'Data Checking'!EP50)</f>
        <v>0</v>
      </c>
      <c r="EE50" s="2" t="str">
        <f>IF('Data Checking'!EQ50="","",'Data Checking'!EQ50)</f>
        <v>0</v>
      </c>
      <c r="EF50" s="2" t="str">
        <f>IF('Data Checking'!ER50="","",'Data Checking'!ER50)</f>
        <v>0</v>
      </c>
      <c r="EG50" s="2" t="str">
        <f>IF('Data Checking'!ES50="","",'Data Checking'!ES50)</f>
        <v>0</v>
      </c>
      <c r="EH50" s="2" t="str">
        <f>IF('Data Checking'!ET50="","",'Data Checking'!ET50)</f>
        <v>0</v>
      </c>
      <c r="EI50" s="2" t="str">
        <f>IF('Data Checking'!EU50="","",'Data Checking'!EU50)</f>
        <v>0</v>
      </c>
      <c r="EJ50" s="2" t="str">
        <f>IF('Data Checking'!EV50="","",'Data Checking'!EV50)</f>
        <v/>
      </c>
      <c r="EK50" s="2" t="str">
        <f>IF('Data Checking'!EW50="","",'Data Checking'!EW50)</f>
        <v/>
      </c>
      <c r="EL50" s="2" t="str">
        <f>IF('Data Checking'!EX50="","",'Data Checking'!EX50)</f>
        <v>comite_protection comite_gestion_conflits</v>
      </c>
      <c r="EM50" s="2" t="str">
        <f>IF('Data Checking'!EY50="","",'Data Checking'!EY50)</f>
        <v>0</v>
      </c>
      <c r="EN50" s="2" t="str">
        <f>IF('Data Checking'!EZ50="","",'Data Checking'!EZ50)</f>
        <v>1</v>
      </c>
      <c r="EO50" s="2" t="str">
        <f>IF('Data Checking'!FA50="","",'Data Checking'!FA50)</f>
        <v>0</v>
      </c>
      <c r="EP50" s="2" t="str">
        <f>IF('Data Checking'!FB50="","",'Data Checking'!FB50)</f>
        <v>0</v>
      </c>
      <c r="EQ50" s="2" t="str">
        <f>IF('Data Checking'!FC50="","",'Data Checking'!FC50)</f>
        <v>0</v>
      </c>
      <c r="ER50" s="2" t="str">
        <f>IF('Data Checking'!FD50="","",'Data Checking'!FD50)</f>
        <v>1</v>
      </c>
      <c r="ES50" s="2" t="str">
        <f>IF('Data Checking'!FE50="","",'Data Checking'!FE50)</f>
        <v>0</v>
      </c>
      <c r="ET50" s="2" t="str">
        <f>IF('Data Checking'!FF50="","",'Data Checking'!FF50)</f>
        <v>0</v>
      </c>
      <c r="EU50" s="2" t="str">
        <f>IF('Data Checking'!FG50="","",'Data Checking'!FG50)</f>
        <v>0</v>
      </c>
      <c r="EV50" s="2" t="str">
        <f>IF('Data Checking'!FH50="","",'Data Checking'!FH50)</f>
        <v>0</v>
      </c>
      <c r="EW50" s="2" t="str">
        <f>IF('Data Checking'!FI50="","",'Data Checking'!FI50)</f>
        <v/>
      </c>
      <c r="EX50" s="2" t="str">
        <f>IF('Data Checking'!FJ50="","",'Data Checking'!FJ50)</f>
        <v>oui</v>
      </c>
      <c r="EY50" s="2" t="str">
        <f>IF('Data Checking'!FK50="","",'Data Checking'!FK50)</f>
        <v>Chef_village famille_amis</v>
      </c>
      <c r="EZ50" s="2" t="str">
        <f>IF('Data Checking'!FL50="","",'Data Checking'!FL50)</f>
        <v>0</v>
      </c>
      <c r="FA50" s="2" t="str">
        <f>IF('Data Checking'!FM50="","",'Data Checking'!FM50)</f>
        <v>0</v>
      </c>
      <c r="FB50" s="2" t="str">
        <f>IF('Data Checking'!FN50="","",'Data Checking'!FN50)</f>
        <v>0</v>
      </c>
      <c r="FC50" s="2" t="str">
        <f>IF('Data Checking'!FO50="","",'Data Checking'!FO50)</f>
        <v>0</v>
      </c>
      <c r="FD50" s="2" t="str">
        <f>IF('Data Checking'!FP50="","",'Data Checking'!FP50)</f>
        <v>1</v>
      </c>
      <c r="FE50" s="2" t="str">
        <f>IF('Data Checking'!FQ50="","",'Data Checking'!FQ50)</f>
        <v>1</v>
      </c>
      <c r="FF50" s="2" t="str">
        <f>IF('Data Checking'!FR50="","",'Data Checking'!FR50)</f>
        <v>0</v>
      </c>
      <c r="FG50" s="2" t="str">
        <f>IF('Data Checking'!FS50="","",'Data Checking'!FS50)</f>
        <v>0</v>
      </c>
      <c r="FH50" s="2" t="str">
        <f>IF('Data Checking'!FT50="","",'Data Checking'!FT50)</f>
        <v>0</v>
      </c>
      <c r="FI50" s="2" t="str">
        <f>IF('Data Checking'!FU50="","",'Data Checking'!FU50)</f>
        <v>0</v>
      </c>
      <c r="FJ50" s="2" t="str">
        <f>IF('Data Checking'!FV50="","",'Data Checking'!FV50)</f>
        <v>0</v>
      </c>
      <c r="FK50" s="2" t="str">
        <f>IF('Data Checking'!FW50="","",'Data Checking'!FW50)</f>
        <v>0</v>
      </c>
      <c r="FL50" s="2" t="str">
        <f>IF('Data Checking'!FX50="","",'Data Checking'!FX50)</f>
        <v>0</v>
      </c>
      <c r="FM50" s="2" t="str">
        <f>IF('Data Checking'!FY50="","",'Data Checking'!FY50)</f>
        <v>0</v>
      </c>
      <c r="FN50" s="2" t="str">
        <f>IF('Data Checking'!FZ50="","",'Data Checking'!FZ50)</f>
        <v/>
      </c>
      <c r="FO50" s="2" t="str">
        <f>IF('Data Checking'!GA50="","",'Data Checking'!GA50)</f>
        <v>oui_moitie</v>
      </c>
      <c r="FP50" s="2" t="str">
        <f>IF('Data Checking'!GB50="","",'Data Checking'!GB50)</f>
        <v>oui_moitie</v>
      </c>
      <c r="FQ50" s="2" t="str">
        <f>IF('Data Checking'!GC50="","",'Data Checking'!GC50)</f>
        <v>manque_info</v>
      </c>
      <c r="FR50" s="2" t="str">
        <f>IF('Data Checking'!GD50="","",'Data Checking'!GD50)</f>
        <v>0</v>
      </c>
      <c r="FS50" s="2" t="str">
        <f>IF('Data Checking'!GE50="","",'Data Checking'!GE50)</f>
        <v>1</v>
      </c>
      <c r="FT50" s="2" t="str">
        <f>IF('Data Checking'!GF50="","",'Data Checking'!GF50)</f>
        <v>0</v>
      </c>
      <c r="FU50" s="2" t="str">
        <f>IF('Data Checking'!GG50="","",'Data Checking'!GG50)</f>
        <v>0</v>
      </c>
      <c r="FV50" s="2" t="str">
        <f>IF('Data Checking'!GH50="","",'Data Checking'!GH50)</f>
        <v>0</v>
      </c>
      <c r="FW50" s="2" t="str">
        <f>IF('Data Checking'!GI50="","",'Data Checking'!GI50)</f>
        <v>0</v>
      </c>
      <c r="FX50" s="2" t="str">
        <f>IF('Data Checking'!GJ50="","",'Data Checking'!GJ50)</f>
        <v>0</v>
      </c>
      <c r="FY50" s="2" t="str">
        <f>IF('Data Checking'!GK50="","",'Data Checking'!GK50)</f>
        <v>0</v>
      </c>
      <c r="FZ50" s="2" t="str">
        <f>IF('Data Checking'!GL50="","",'Data Checking'!GL50)</f>
        <v/>
      </c>
      <c r="GA50" s="2" t="str">
        <f>IF('Data Checking'!GM50="","",'Data Checking'!GM50)</f>
        <v>majorite</v>
      </c>
      <c r="GB50" s="2" t="str">
        <f>IF('Data Checking'!GN50="","",'Data Checking'!GN50)</f>
        <v>majorite</v>
      </c>
      <c r="GC50" s="2" t="str">
        <f>IF('Data Checking'!GO50="","",'Data Checking'!GO50)</f>
        <v>Education Services_de_sante Appui_psychosocial</v>
      </c>
      <c r="GD50" s="2" t="str">
        <f>IF('Data Checking'!GP50="","",'Data Checking'!GP50)</f>
        <v>1</v>
      </c>
      <c r="GE50" s="2" t="str">
        <f>IF('Data Checking'!GQ50="","",'Data Checking'!GQ50)</f>
        <v>1</v>
      </c>
      <c r="GF50" s="2" t="str">
        <f>IF('Data Checking'!GR50="","",'Data Checking'!GR50)</f>
        <v>0</v>
      </c>
      <c r="GG50" s="2" t="str">
        <f>IF('Data Checking'!GS50="","",'Data Checking'!GS50)</f>
        <v>1</v>
      </c>
      <c r="GH50" s="2" t="str">
        <f>IF('Data Checking'!GT50="","",'Data Checking'!GT50)</f>
        <v>0</v>
      </c>
      <c r="GI50" s="2" t="str">
        <f>IF('Data Checking'!GU50="","",'Data Checking'!GU50)</f>
        <v>0</v>
      </c>
      <c r="GJ50" s="2" t="str">
        <f>IF('Data Checking'!GV50="","",'Data Checking'!GV50)</f>
        <v>0</v>
      </c>
      <c r="GK50" s="2" t="str">
        <f>IF('Data Checking'!GW50="","",'Data Checking'!GW50)</f>
        <v>0</v>
      </c>
      <c r="GL50" s="2" t="str">
        <f>IF('Data Checking'!GX50="","",'Data Checking'!GX50)</f>
        <v>0</v>
      </c>
      <c r="GM50" s="2" t="str">
        <f>IF('Data Checking'!GY50="","",'Data Checking'!GY50)</f>
        <v/>
      </c>
      <c r="GN50" s="2" t="str">
        <f>IF('Data Checking'!GZ50="","",'Data Checking'!GZ50)</f>
        <v>oui_minorite</v>
      </c>
      <c r="GO50" s="2" t="str">
        <f>IF('Data Checking'!HA50="","",'Data Checking'!HA50)</f>
        <v>oui_minorite</v>
      </c>
      <c r="GP50" s="2" t="str">
        <f>IF('Data Checking'!HB50="","",'Data Checking'!HB50)</f>
        <v>amelioration_futur repond_besoins_pop permet_obtenir_conseils</v>
      </c>
      <c r="GQ50" s="2" t="str">
        <f>IF('Data Checking'!HC50="","",'Data Checking'!HC50)</f>
        <v>1</v>
      </c>
      <c r="GR50" s="2" t="str">
        <f>IF('Data Checking'!HD50="","",'Data Checking'!HD50)</f>
        <v>1</v>
      </c>
      <c r="GS50" s="2" t="str">
        <f>IF('Data Checking'!HE50="","",'Data Checking'!HE50)</f>
        <v>1</v>
      </c>
      <c r="GT50" s="2" t="str">
        <f>IF('Data Checking'!HF50="","",'Data Checking'!HF50)</f>
        <v>0</v>
      </c>
      <c r="GU50" s="2" t="str">
        <f>IF('Data Checking'!HG50="","",'Data Checking'!HG50)</f>
        <v>0</v>
      </c>
      <c r="GV50" s="2" t="str">
        <f>IF('Data Checking'!HH50="","",'Data Checking'!HH50)</f>
        <v>0</v>
      </c>
      <c r="GW50" s="2" t="str">
        <f>IF('Data Checking'!HI50="","",'Data Checking'!HI50)</f>
        <v>0</v>
      </c>
      <c r="GX50" s="2" t="str">
        <f>IF('Data Checking'!HJ50="","",'Data Checking'!HJ50)</f>
        <v>0</v>
      </c>
      <c r="GY50" s="2" t="str">
        <f>IF('Data Checking'!HK50="","",'Data Checking'!HK50)</f>
        <v/>
      </c>
      <c r="GZ50" s="2" t="str">
        <f>IF('Data Checking'!HL50="","",'Data Checking'!HL50)</f>
        <v>ne_contribue_pas ne_repond_pas non_obtention_info</v>
      </c>
      <c r="HA50" s="2" t="str">
        <f>IF('Data Checking'!HM50="","",'Data Checking'!HM50)</f>
        <v>1</v>
      </c>
      <c r="HB50" s="2" t="str">
        <f>IF('Data Checking'!HN50="","",'Data Checking'!HN50)</f>
        <v>1</v>
      </c>
      <c r="HC50" s="2" t="str">
        <f>IF('Data Checking'!HO50="","",'Data Checking'!HO50)</f>
        <v>1</v>
      </c>
      <c r="HD50" s="2" t="str">
        <f>IF('Data Checking'!HP50="","",'Data Checking'!HP50)</f>
        <v>0</v>
      </c>
      <c r="HE50" s="2" t="str">
        <f>IF('Data Checking'!HQ50="","",'Data Checking'!HQ50)</f>
        <v>0</v>
      </c>
      <c r="HF50" s="2" t="str">
        <f>IF('Data Checking'!HR50="","",'Data Checking'!HR50)</f>
        <v>0</v>
      </c>
      <c r="HG50" s="2" t="str">
        <f>IF('Data Checking'!HS50="","",'Data Checking'!HS50)</f>
        <v/>
      </c>
      <c r="HH50" s="2" t="str">
        <f>IF('Data Checking'!HT50="","",'Data Checking'!HT50)</f>
        <v/>
      </c>
      <c r="HI50" s="2" t="str">
        <f>IF('Data Checking'!HU50="","",'Data Checking'!HU50)</f>
        <v>oui_ensemble</v>
      </c>
      <c r="HJ50" s="2" t="str">
        <f>IF('Data Checking'!HV50="","",'Data Checking'!HV50)</f>
        <v>ingo</v>
      </c>
      <c r="HK50" s="2" t="str">
        <f>IF('Data Checking'!HW50="","",'Data Checking'!HW50)</f>
        <v>0</v>
      </c>
      <c r="HL50" s="2" t="str">
        <f>IF('Data Checking'!HX50="","",'Data Checking'!HX50)</f>
        <v>0</v>
      </c>
      <c r="HM50" s="2" t="str">
        <f>IF('Data Checking'!HY50="","",'Data Checking'!HY50)</f>
        <v>0</v>
      </c>
      <c r="HN50" s="2" t="str">
        <f>IF('Data Checking'!HZ50="","",'Data Checking'!HZ50)</f>
        <v>0</v>
      </c>
      <c r="HO50" s="2" t="str">
        <f>IF('Data Checking'!IA50="","",'Data Checking'!IA50)</f>
        <v>1</v>
      </c>
      <c r="HP50" s="2" t="str">
        <f>IF('Data Checking'!IB50="","",'Data Checking'!IB50)</f>
        <v>0</v>
      </c>
      <c r="HQ50" s="2" t="str">
        <f>IF('Data Checking'!IC50="","",'Data Checking'!IC50)</f>
        <v>0</v>
      </c>
      <c r="HR50" s="2" t="str">
        <f>IF('Data Checking'!ID50="","",'Data Checking'!ID50)</f>
        <v>0</v>
      </c>
      <c r="HS50" s="2" t="str">
        <f>IF('Data Checking'!IE50="","",'Data Checking'!IE50)</f>
        <v>0</v>
      </c>
      <c r="HT50" s="2" t="str">
        <f>IF('Data Checking'!IF50="","",'Data Checking'!IF50)</f>
        <v>0</v>
      </c>
      <c r="HU50" s="2" t="str">
        <f>IF('Data Checking'!IG50="","",'Data Checking'!IG50)</f>
        <v/>
      </c>
      <c r="HV50" s="2" t="str">
        <f>IF('Data Checking'!IH50="","",'Data Checking'!IH50)</f>
        <v/>
      </c>
      <c r="HW50" s="2" t="str">
        <f>IF('Data Checking'!II50="","",'Data Checking'!II50)</f>
        <v/>
      </c>
      <c r="HX50" s="2" t="str">
        <f>IF('Data Checking'!IJ50="","",'Data Checking'!IJ50)</f>
        <v/>
      </c>
      <c r="HY50" s="2" t="str">
        <f>IF('Data Checking'!IK50="","",'Data Checking'!IK50)</f>
        <v/>
      </c>
      <c r="HZ50" s="2" t="str">
        <f>IF('Data Checking'!IL50="","",'Data Checking'!IL50)</f>
        <v/>
      </c>
      <c r="IA50" s="2" t="str">
        <f>IF('Data Checking'!IM50="","",'Data Checking'!IM50)</f>
        <v/>
      </c>
      <c r="IB50" s="2" t="str">
        <f>IF('Data Checking'!IN50="","",'Data Checking'!IN50)</f>
        <v/>
      </c>
      <c r="IC50" s="2" t="str">
        <f>IF('Data Checking'!IO50="","",'Data Checking'!IO50)</f>
        <v/>
      </c>
      <c r="ID50" s="2" t="str">
        <f>IF('Data Checking'!IP50="","",'Data Checking'!IP50)</f>
        <v/>
      </c>
      <c r="IE50" s="2" t="str">
        <f>IF('Data Checking'!IQ50="","",'Data Checking'!IQ50)</f>
        <v/>
      </c>
      <c r="IF50" s="2" t="str">
        <f>IF('Data Checking'!IR50="","",'Data Checking'!IR50)</f>
        <v/>
      </c>
      <c r="IG50" s="2" t="str">
        <f>IF('Data Checking'!IS50="","",'Data Checking'!IS50)</f>
        <v/>
      </c>
      <c r="IH50" s="2" t="str">
        <f>IF('Data Checking'!IT50="","",'Data Checking'!IT50)</f>
        <v/>
      </c>
      <c r="II50" s="2" t="str">
        <f>IF('Data Checking'!IU50="","",'Data Checking'!IU50)</f>
        <v/>
      </c>
      <c r="IJ50" s="2" t="str">
        <f>IF('Data Checking'!IV50="","",'Data Checking'!IV50)</f>
        <v/>
      </c>
      <c r="IK50" s="2" t="str">
        <f>IF('Data Checking'!IW50="","",'Data Checking'!IW50)</f>
        <v/>
      </c>
      <c r="IL50" s="2" t="str">
        <f>IF('Data Checking'!IX50="","",'Data Checking'!IX50)</f>
        <v/>
      </c>
      <c r="IM50" s="2" t="str">
        <f>IF('Data Checking'!IY50="","",'Data Checking'!IY50)</f>
        <v/>
      </c>
      <c r="IN50" s="2" t="str">
        <f>IF('Data Checking'!IZ50="","",'Data Checking'!IZ50)</f>
        <v>1</v>
      </c>
      <c r="IO50" s="2" t="str">
        <f>IF('Data Checking'!JA50="","",'Data Checking'!JA50)</f>
        <v>Services_medicaux Services_educatifs acces_docs</v>
      </c>
      <c r="IP50" s="2" t="str">
        <f>IF('Data Checking'!JB50="","",'Data Checking'!JB50)</f>
        <v>0</v>
      </c>
      <c r="IQ50" s="2" t="str">
        <f>IF('Data Checking'!JC50="","",'Data Checking'!JC50)</f>
        <v>1</v>
      </c>
      <c r="IR50" s="2" t="str">
        <f>IF('Data Checking'!JD50="","",'Data Checking'!JD50)</f>
        <v>1</v>
      </c>
      <c r="IS50" s="2" t="str">
        <f>IF('Data Checking'!JE50="","",'Data Checking'!JE50)</f>
        <v>0</v>
      </c>
      <c r="IT50" s="2" t="str">
        <f>IF('Data Checking'!JF50="","",'Data Checking'!JF50)</f>
        <v>1</v>
      </c>
      <c r="IU50" s="2" t="str">
        <f>IF('Data Checking'!JG50="","",'Data Checking'!JG50)</f>
        <v>0</v>
      </c>
      <c r="IV50" s="2" t="str">
        <f>IF('Data Checking'!JH50="","",'Data Checking'!JH50)</f>
        <v>0</v>
      </c>
      <c r="IW50" s="2" t="str">
        <f>IF('Data Checking'!JI50="","",'Data Checking'!JI50)</f>
        <v>0</v>
      </c>
      <c r="IX50" s="2" t="str">
        <f>IF('Data Checking'!JJ50="","",'Data Checking'!JJ50)</f>
        <v>0</v>
      </c>
      <c r="IY50" s="2" t="str">
        <f>IF('Data Checking'!JK50="","",'Data Checking'!JK50)</f>
        <v>0</v>
      </c>
      <c r="IZ50" s="2" t="str">
        <f>IF('Data Checking'!JL50="","",'Data Checking'!JL50)</f>
        <v/>
      </c>
      <c r="JA50" s="2" t="str">
        <f>IF('Data Checking'!JM50="","",'Data Checking'!JM50)</f>
        <v>reorientation</v>
      </c>
      <c r="JB50" s="2" t="str">
        <f>IF('Data Checking'!JN50="","",'Data Checking'!JN50)</f>
        <v>0</v>
      </c>
      <c r="JC50" s="2" t="str">
        <f>IF('Data Checking'!JO50="","",'Data Checking'!JO50)</f>
        <v>1</v>
      </c>
      <c r="JD50" s="2" t="str">
        <f>IF('Data Checking'!JP50="","",'Data Checking'!JP50)</f>
        <v>0</v>
      </c>
      <c r="JE50" s="2" t="str">
        <f>IF('Data Checking'!JQ50="","",'Data Checking'!JQ50)</f>
        <v>0</v>
      </c>
      <c r="JF50" s="2" t="str">
        <f>IF('Data Checking'!JR50="","",'Data Checking'!JR50)</f>
        <v>0</v>
      </c>
      <c r="JG50" s="2" t="str">
        <f>IF('Data Checking'!JS50="","",'Data Checking'!JS50)</f>
        <v>0</v>
      </c>
      <c r="JH50" s="2" t="str">
        <f>IF('Data Checking'!JT50="","",'Data Checking'!JT50)</f>
        <v/>
      </c>
      <c r="JI50" s="2" t="str">
        <f>IF('Data Checking'!JU50="","",'Data Checking'!JU50)</f>
        <v/>
      </c>
      <c r="JJ50" s="2" t="str">
        <f>IF('Data Checking'!JV50="","",'Data Checking'!JV50)</f>
        <v/>
      </c>
      <c r="JK50" s="2" t="str">
        <f>IF('Data Checking'!JW50="","",'Data Checking'!JW50)</f>
        <v/>
      </c>
      <c r="JL50" s="2" t="str">
        <f>IF('Data Checking'!JX50="","",'Data Checking'!JX50)</f>
        <v/>
      </c>
      <c r="JM50" s="2" t="str">
        <f>IF('Data Checking'!JY50="","",'Data Checking'!JY50)</f>
        <v/>
      </c>
      <c r="JN50" s="2" t="str">
        <f>IF('Data Checking'!JZ50="","",'Data Checking'!JZ50)</f>
        <v/>
      </c>
      <c r="JO50" s="2" t="str">
        <f>IF('Data Checking'!KA50="","",'Data Checking'!KA50)</f>
        <v/>
      </c>
      <c r="JP50" s="2" t="str">
        <f>IF('Data Checking'!KB50="","",'Data Checking'!KB50)</f>
        <v/>
      </c>
      <c r="JQ50" s="2" t="str">
        <f>IF('Data Checking'!KC50="","",'Data Checking'!KC50)</f>
        <v/>
      </c>
      <c r="JR50" s="2" t="str">
        <f>IF('Data Checking'!KD50="","",'Data Checking'!KD50)</f>
        <v/>
      </c>
      <c r="JS50" s="2" t="str">
        <f>IF('Data Checking'!KE50="","",'Data Checking'!KE50)</f>
        <v/>
      </c>
      <c r="JT50" s="2" t="str">
        <f>IF('Data Checking'!KF50="","",'Data Checking'!KF50)</f>
        <v>point_ecoute reinsertion</v>
      </c>
      <c r="JU50" s="2" t="str">
        <f>IF('Data Checking'!KG50="","",'Data Checking'!KG50)</f>
        <v>0</v>
      </c>
      <c r="JV50" s="2" t="str">
        <f>IF('Data Checking'!KH50="","",'Data Checking'!KH50)</f>
        <v>0</v>
      </c>
      <c r="JW50" s="2" t="str">
        <f>IF('Data Checking'!KI50="","",'Data Checking'!KI50)</f>
        <v>1</v>
      </c>
      <c r="JX50" s="2" t="str">
        <f>IF('Data Checking'!KJ50="","",'Data Checking'!KJ50)</f>
        <v>0</v>
      </c>
      <c r="JY50" s="2" t="str">
        <f>IF('Data Checking'!KK50="","",'Data Checking'!KK50)</f>
        <v>0</v>
      </c>
      <c r="JZ50" s="2" t="str">
        <f>IF('Data Checking'!KL50="","",'Data Checking'!KL50)</f>
        <v>1</v>
      </c>
      <c r="KA50" s="2" t="str">
        <f>IF('Data Checking'!KM50="","",'Data Checking'!KM50)</f>
        <v>0</v>
      </c>
      <c r="KB50" s="2" t="str">
        <f>IF('Data Checking'!KN50="","",'Data Checking'!KN50)</f>
        <v>0</v>
      </c>
      <c r="KC50" s="2" t="str">
        <f>IF('Data Checking'!KO50="","",'Data Checking'!KO50)</f>
        <v>0</v>
      </c>
      <c r="KD50" s="2" t="str">
        <f>IF('Data Checking'!KP50="","",'Data Checking'!KP50)</f>
        <v/>
      </c>
      <c r="KE50" s="2" t="str">
        <f>IF('Data Checking'!KQ50="","",'Data Checking'!KQ50)</f>
        <v/>
      </c>
      <c r="KF50" s="2" t="str">
        <f>IF('Data Checking'!KR50="","",'Data Checking'!KR50)</f>
        <v>oui</v>
      </c>
      <c r="KG50" s="2" t="str">
        <f>IF('Data Checking'!KS50="","",'Data Checking'!KS50)</f>
        <v>manque_moyens manque_cordination</v>
      </c>
      <c r="KH50" s="2" t="str">
        <f>IF('Data Checking'!KT50="","",'Data Checking'!KT50)</f>
        <v>1</v>
      </c>
      <c r="KI50" s="2" t="str">
        <f>IF('Data Checking'!KU50="","",'Data Checking'!KU50)</f>
        <v>0</v>
      </c>
      <c r="KJ50" s="2" t="str">
        <f>IF('Data Checking'!KV50="","",'Data Checking'!KV50)</f>
        <v>0</v>
      </c>
      <c r="KK50" s="2" t="str">
        <f>IF('Data Checking'!KW50="","",'Data Checking'!KW50)</f>
        <v>0</v>
      </c>
      <c r="KL50" s="2" t="str">
        <f>IF('Data Checking'!KX50="","",'Data Checking'!KX50)</f>
        <v>0</v>
      </c>
      <c r="KM50" s="2" t="str">
        <f>IF('Data Checking'!KY50="","",'Data Checking'!KY50)</f>
        <v>0</v>
      </c>
      <c r="KN50" s="2" t="str">
        <f>IF('Data Checking'!KZ50="","",'Data Checking'!KZ50)</f>
        <v>1</v>
      </c>
      <c r="KO50" s="2" t="str">
        <f>IF('Data Checking'!LA50="","",'Data Checking'!LA50)</f>
        <v>0</v>
      </c>
      <c r="KP50" s="2" t="str">
        <f>IF('Data Checking'!LB50="","",'Data Checking'!LB50)</f>
        <v>0</v>
      </c>
      <c r="KQ50" s="2" t="str">
        <f>IF('Data Checking'!LC50="","",'Data Checking'!LC50)</f>
        <v>0</v>
      </c>
      <c r="KR50" s="2" t="str">
        <f>IF('Data Checking'!LD50="","",'Data Checking'!LD50)</f>
        <v>0</v>
      </c>
      <c r="KS50" s="2" t="str">
        <f>IF('Data Checking'!LE50="","",'Data Checking'!LE50)</f>
        <v/>
      </c>
      <c r="KT50" s="2" t="str">
        <f>IF('Data Checking'!LF50="","",'Data Checking'!LF50)</f>
        <v/>
      </c>
      <c r="KU50" s="2" t="str">
        <f>IF('Data Checking'!LG50="","",'Data Checking'!LG50)</f>
        <v/>
      </c>
      <c r="KV50" s="2" t="str">
        <f>IF('Data Checking'!LH50="","",'Data Checking'!LH50)</f>
        <v/>
      </c>
      <c r="KW50" s="2" t="str">
        <f>IF('Data Checking'!LI50="","",'Data Checking'!LI50)</f>
        <v/>
      </c>
      <c r="KX50" s="2" t="str">
        <f>IF('Data Checking'!LJ50="","",'Data Checking'!LJ50)</f>
        <v/>
      </c>
      <c r="KY50" s="2" t="str">
        <f>IF('Data Checking'!LK50="","",'Data Checking'!LK50)</f>
        <v/>
      </c>
      <c r="KZ50" s="2" t="str">
        <f>IF('Data Checking'!LL50="","",'Data Checking'!LL50)</f>
        <v/>
      </c>
      <c r="LA50" s="2" t="str">
        <f>IF('Data Checking'!LM50="","",'Data Checking'!LM50)</f>
        <v/>
      </c>
      <c r="LB50" s="2" t="str">
        <f>IF('Data Checking'!LN50="","",'Data Checking'!LN50)</f>
        <v>non</v>
      </c>
      <c r="LC50" s="2" t="str">
        <f>IF('Data Checking'!LO50="","",'Data Checking'!LO50)</f>
        <v/>
      </c>
      <c r="LD50" s="2" t="str">
        <f>IF('Data Checking'!LP50="","",'Data Checking'!LP50)</f>
        <v/>
      </c>
      <c r="LE50" s="2" t="str">
        <f>IF('Data Checking'!LQ50="","",'Data Checking'!LQ50)</f>
        <v/>
      </c>
      <c r="LF50" s="2" t="str">
        <f>IF('Data Checking'!LR50="","",'Data Checking'!LR50)</f>
        <v/>
      </c>
      <c r="LG50" s="2" t="str">
        <f>IF('Data Checking'!LS50="","",'Data Checking'!LS50)</f>
        <v/>
      </c>
      <c r="LH50" s="2" t="str">
        <f>IF('Data Checking'!LT50="","",'Data Checking'!LT50)</f>
        <v/>
      </c>
      <c r="LI50" s="2" t="str">
        <f>IF('Data Checking'!LU50="","",'Data Checking'!LU50)</f>
        <v/>
      </c>
      <c r="LJ50" s="2" t="str">
        <f>IF('Data Checking'!LV50="","",'Data Checking'!LV50)</f>
        <v/>
      </c>
      <c r="LK50" s="2" t="str">
        <f>IF('Data Checking'!LW50="","",'Data Checking'!LW50)</f>
        <v/>
      </c>
      <c r="LL50" s="2" t="str">
        <f>IF('Data Checking'!LX50="","",'Data Checking'!LX50)</f>
        <v/>
      </c>
      <c r="LM50" s="2" t="str">
        <f>IF('Data Checking'!LY50="","",'Data Checking'!LY50)</f>
        <v/>
      </c>
      <c r="LN50" s="2" t="str">
        <f>IF('Data Checking'!LZ50="","",'Data Checking'!LZ50)</f>
        <v/>
      </c>
      <c r="LO50" s="2" t="str">
        <f>IF('Data Checking'!MA50="","",'Data Checking'!MA50)</f>
        <v/>
      </c>
      <c r="LP50" s="2" t="str">
        <f>IF('Data Checking'!MB50="","",'Data Checking'!MB50)</f>
        <v>oui</v>
      </c>
      <c r="LQ50" s="2" t="str">
        <f>IF('Data Checking'!MC50="","",'Data Checking'!MC50)</f>
        <v/>
      </c>
      <c r="LR50" s="2" t="str">
        <f>IF('Data Checking'!MD50="","",'Data Checking'!MD50)</f>
        <v/>
      </c>
      <c r="LS50" s="2">
        <f>IF('Data Checking'!ME50="","",'Data Checking'!ME50)</f>
        <v>169469469</v>
      </c>
      <c r="LT50" s="2" t="str">
        <f>IF('Data Checking'!MF50="","",'Data Checking'!MF50)</f>
        <v>c4365d9a-f053-4bfc-9cdf-b67ceddbe41e</v>
      </c>
      <c r="LU50" s="2" t="str">
        <f>IF('Data Checking'!MG50="","",'Data Checking'!MG50)</f>
        <v>2021-04-03T15:16:57</v>
      </c>
      <c r="LV50" s="2" t="str">
        <f>IF('Data Checking'!MH50="","",'Data Checking'!MH50)</f>
        <v/>
      </c>
      <c r="LW50" s="2" t="str">
        <f>IF('Data Checking'!MI50="","",'Data Checking'!MI50)</f>
        <v>[]</v>
      </c>
      <c r="LX50" s="2" t="str">
        <f>IF('Data Checking'!MJ50="","",'Data Checking'!MJ50)</f>
        <v>submitted_via_web</v>
      </c>
      <c r="LY50" s="2" t="str">
        <f>IF('Data Checking'!MK50="","",'Data Checking'!MK50)</f>
        <v>reach_niger</v>
      </c>
      <c r="LZ50" s="2" t="str">
        <f>IF('Data Checking'!ML50="","",'Data Checking'!ML50)</f>
        <v/>
      </c>
      <c r="MA50" s="2">
        <f>IF('Data Checking'!MM50="","",'Data Checking'!MM50)</f>
        <v>39</v>
      </c>
    </row>
    <row r="51" spans="1:339" x14ac:dyDescent="0.3">
      <c r="A51" s="2" t="str">
        <f>IF('Data Checking'!D51="","",'Data Checking'!D51)</f>
        <v>2021-04-03T11:28:23.971+01:00</v>
      </c>
      <c r="B51" s="2" t="str">
        <f>IF('Data Checking'!E51="","",'Data Checking'!E51)</f>
        <v>2021-04-03T11:45:23.965+01:00</v>
      </c>
      <c r="C51" s="2" t="str">
        <f>IF('Data Checking'!M51="","",'Data Checking'!M51)</f>
        <v>2021-04-03</v>
      </c>
      <c r="D51" s="2" t="str">
        <f>IF('Data Checking'!N51="","",'Data Checking'!N51)</f>
        <v/>
      </c>
      <c r="E51" s="2" t="str">
        <f>IF('Data Checking'!O51="","",'Data Checking'!O51)</f>
        <v/>
      </c>
      <c r="F51" s="2" t="str">
        <f>IF('Data Checking'!R51="","",'Data Checking'!R51)</f>
        <v>Homme</v>
      </c>
      <c r="G51" s="2" t="str">
        <f>IF('Data Checking'!S51="","",'Data Checking'!S51)</f>
        <v>tillaberi</v>
      </c>
      <c r="H51" s="2" t="str">
        <f>IF('Data Checking'!T51="","",'Data Checking'!T51)</f>
        <v>tillaberi</v>
      </c>
      <c r="I51" s="2" t="str">
        <f>IF('Data Checking'!U51="","",'Data Checking'!U51)</f>
        <v>toula</v>
      </c>
      <c r="J51" s="2" t="str">
        <f>IF('Data Checking'!V51="","",'Data Checking'!V51)</f>
        <v/>
      </c>
      <c r="K51" s="2" t="str">
        <f>IF('Data Checking'!W51="","",'Data Checking'!W51)</f>
        <v/>
      </c>
      <c r="L51" s="2" t="str">
        <f>IF('Data Checking'!X51="","",'Data Checking'!X51)</f>
        <v/>
      </c>
      <c r="M51" s="2" t="str">
        <f>IF('Data Checking'!Y51="","",'Data Checking'!Y51)</f>
        <v/>
      </c>
      <c r="N51" s="2" t="str">
        <f>IF('Data Checking'!Z51="","",'Data Checking'!Z51)</f>
        <v/>
      </c>
      <c r="O51" s="2" t="str">
        <f>IF('Data Checking'!AA51="","",'Data Checking'!AA51)</f>
        <v/>
      </c>
      <c r="P51" s="2" t="str">
        <f>IF('Data Checking'!AB51="","",'Data Checking'!AB51)</f>
        <v/>
      </c>
      <c r="Q51" s="2" t="str">
        <f>IF('Data Checking'!AC51="","",'Data Checking'!AC51)</f>
        <v/>
      </c>
      <c r="R51" s="2" t="str">
        <f>IF('Data Checking'!AD51="","",'Data Checking'!AD51)</f>
        <v>Homme</v>
      </c>
      <c r="S51" s="2" t="str">
        <f>IF('Data Checking'!AE51="","",'Data Checking'!AE51)</f>
        <v>39</v>
      </c>
      <c r="T51" s="2" t="str">
        <f>IF('Data Checking'!AF51="","",'Data Checking'!AF51)</f>
        <v>deplace_interne</v>
      </c>
      <c r="U51" s="2" t="str">
        <f>IF('Data Checking'!AG51="","",'Data Checking'!AG51)</f>
        <v/>
      </c>
      <c r="V51" s="2" t="str">
        <f>IF('Data Checking'!AH51="","",'Data Checking'!AH51)</f>
        <v/>
      </c>
      <c r="W51" s="2" t="str">
        <f>IF('Data Checking'!AI51="","",'Data Checking'!AI51)</f>
        <v/>
      </c>
      <c r="X51" s="2" t="str">
        <f>IF('Data Checking'!AJ51="","",'Data Checking'!AJ51)</f>
        <v/>
      </c>
      <c r="Y51" s="2" t="str">
        <f>IF('Data Checking'!AK51="","",'Data Checking'!AK51)</f>
        <v/>
      </c>
      <c r="Z51" s="2" t="str">
        <f>IF('Data Checking'!AL51="","",'Data Checking'!AL51)</f>
        <v>niger</v>
      </c>
      <c r="AA51" s="2" t="str">
        <f>IF('Data Checking'!AM51="","",'Data Checking'!AM51)</f>
        <v>tillaberi</v>
      </c>
      <c r="AB51" s="2" t="str">
        <f>IF('Data Checking'!AN51="","",'Data Checking'!AN51)</f>
        <v>ayerou</v>
      </c>
      <c r="AC51" s="2" t="str">
        <f>IF('Data Checking'!AO51="","",'Data Checking'!AO51)</f>
        <v/>
      </c>
      <c r="AD51" s="2" t="str">
        <f>IF('Data Checking'!AP51="","",'Data Checking'!AP51)</f>
        <v/>
      </c>
      <c r="AE51" s="2" t="str">
        <f>IF('Data Checking'!AQ51="","",'Data Checking'!AQ51)</f>
        <v/>
      </c>
      <c r="AF51" s="2" t="str">
        <f>IF('Data Checking'!AR51="","",'Data Checking'!AR51)</f>
        <v/>
      </c>
      <c r="AG51" s="2" t="str">
        <f>IF('Data Checking'!AS51="","",'Data Checking'!AS51)</f>
        <v>non</v>
      </c>
      <c r="AH51" s="2" t="str">
        <f>IF('Data Checking'!AT51="","",'Data Checking'!AT51)</f>
        <v/>
      </c>
      <c r="AI51" s="2" t="str">
        <f>IF('Data Checking'!AU51="","",'Data Checking'!AU51)</f>
        <v/>
      </c>
      <c r="AJ51" s="2" t="str">
        <f>IF('Data Checking'!AV51="","",'Data Checking'!AV51)</f>
        <v/>
      </c>
      <c r="AK51" s="2" t="str">
        <f>IF('Data Checking'!AW51="","",'Data Checking'!AW51)</f>
        <v/>
      </c>
      <c r="AL51" s="2" t="str">
        <f>IF('Data Checking'!AX51="","",'Data Checking'!AX51)</f>
        <v/>
      </c>
      <c r="AM51" s="2" t="str">
        <f>IF('Data Checking'!AY51="","",'Data Checking'!AY51)</f>
        <v/>
      </c>
      <c r="AN51" s="2" t="str">
        <f>IF('Data Checking'!AZ51="","",'Data Checking'!AZ51)</f>
        <v/>
      </c>
      <c r="AO51" s="2" t="str">
        <f>IF('Data Checking'!BA51="","",'Data Checking'!BA51)</f>
        <v/>
      </c>
      <c r="AP51" s="2" t="str">
        <f>IF('Data Checking'!BB51="","",'Data Checking'!BB51)</f>
        <v/>
      </c>
      <c r="AQ51" s="2" t="str">
        <f>IF('Data Checking'!BC51="","",'Data Checking'!BC51)</f>
        <v/>
      </c>
      <c r="AR51" s="2" t="str">
        <f>IF('Data Checking'!BD51="","",'Data Checking'!BD51)</f>
        <v/>
      </c>
      <c r="AS51" s="2" t="str">
        <f>IF('Data Checking'!BE51="","",'Data Checking'!BE51)</f>
        <v/>
      </c>
      <c r="AT51" s="2" t="str">
        <f>IF('Data Checking'!BF51="","",'Data Checking'!BF51)</f>
        <v/>
      </c>
      <c r="AU51" s="2" t="str">
        <f>IF('Data Checking'!BG51="","",'Data Checking'!BG51)</f>
        <v/>
      </c>
      <c r="AV51" s="2" t="str">
        <f>IF('Data Checking'!BH51="","",'Data Checking'!BH51)</f>
        <v/>
      </c>
      <c r="AW51" s="2" t="str">
        <f>IF('Data Checking'!BI51="","",'Data Checking'!BI51)</f>
        <v/>
      </c>
      <c r="AX51" s="2" t="str">
        <f>IF('Data Checking'!BJ51="","",'Data Checking'!BJ51)</f>
        <v/>
      </c>
      <c r="AY51" s="2" t="str">
        <f>IF('Data Checking'!BK51="","",'Data Checking'!BK51)</f>
        <v/>
      </c>
      <c r="AZ51" s="2" t="str">
        <f>IF('Data Checking'!BL51="","",'Data Checking'!BL51)</f>
        <v/>
      </c>
      <c r="BA51" s="2" t="str">
        <f>IF('Data Checking'!BM51="","",'Data Checking'!BM51)</f>
        <v/>
      </c>
      <c r="BB51" s="2" t="str">
        <f>IF('Data Checking'!BN51="","",'Data Checking'!BN51)</f>
        <v/>
      </c>
      <c r="BC51" s="2" t="str">
        <f>IF('Data Checking'!BO51="","",'Data Checking'!BO51)</f>
        <v/>
      </c>
      <c r="BD51" s="2" t="str">
        <f>IF('Data Checking'!BP51="","",'Data Checking'!BP51)</f>
        <v/>
      </c>
      <c r="BE51" s="2" t="str">
        <f>IF('Data Checking'!BQ51="","",'Data Checking'!BQ51)</f>
        <v/>
      </c>
      <c r="BF51" s="2" t="str">
        <f>IF('Data Checking'!BR51="","",'Data Checking'!BR51)</f>
        <v/>
      </c>
      <c r="BG51" s="2" t="str">
        <f>IF('Data Checking'!BS51="","",'Data Checking'!BS51)</f>
        <v/>
      </c>
      <c r="BH51" s="2" t="str">
        <f>IF('Data Checking'!BT51="","",'Data Checking'!BT51)</f>
        <v/>
      </c>
      <c r="BI51" s="2" t="str">
        <f>IF('Data Checking'!BU51="","",'Data Checking'!BU51)</f>
        <v/>
      </c>
      <c r="BJ51" s="2" t="str">
        <f>IF('Data Checking'!BV51="","",'Data Checking'!BV51)</f>
        <v/>
      </c>
      <c r="BK51" s="2" t="str">
        <f>IF('Data Checking'!BW51="","",'Data Checking'!BW51)</f>
        <v/>
      </c>
      <c r="BL51" s="2" t="str">
        <f>IF('Data Checking'!BX51="","",'Data Checking'!BX51)</f>
        <v/>
      </c>
      <c r="BM51" s="2" t="str">
        <f>IF('Data Checking'!BY51="","",'Data Checking'!BY51)</f>
        <v/>
      </c>
      <c r="BN51" s="2" t="str">
        <f>IF('Data Checking'!BZ51="","",'Data Checking'!BZ51)</f>
        <v/>
      </c>
      <c r="BO51" s="2" t="str">
        <f>IF('Data Checking'!CA51="","",'Data Checking'!CA51)</f>
        <v/>
      </c>
      <c r="BP51" s="2" t="str">
        <f>IF('Data Checking'!CB51="","",'Data Checking'!CB51)</f>
        <v/>
      </c>
      <c r="BQ51" s="2" t="str">
        <f>IF('Data Checking'!CC51="","",'Data Checking'!CC51)</f>
        <v>non</v>
      </c>
      <c r="BR51" s="2" t="str">
        <f>IF('Data Checking'!CD51="","",'Data Checking'!CD51)</f>
        <v/>
      </c>
      <c r="BS51" s="2" t="str">
        <f>IF('Data Checking'!CE51="","",'Data Checking'!CE51)</f>
        <v/>
      </c>
      <c r="BT51" s="2" t="str">
        <f>IF('Data Checking'!CF51="","",'Data Checking'!CF51)</f>
        <v/>
      </c>
      <c r="BU51" s="2" t="str">
        <f>IF('Data Checking'!CG51="","",'Data Checking'!CG51)</f>
        <v/>
      </c>
      <c r="BV51" s="2" t="str">
        <f>IF('Data Checking'!CH51="","",'Data Checking'!CH51)</f>
        <v/>
      </c>
      <c r="BW51" s="2" t="str">
        <f>IF('Data Checking'!CI51="","",'Data Checking'!CI51)</f>
        <v/>
      </c>
      <c r="BX51" s="2" t="str">
        <f>IF('Data Checking'!CJ51="","",'Data Checking'!CJ51)</f>
        <v/>
      </c>
      <c r="BY51" s="2" t="str">
        <f>IF('Data Checking'!CK51="","",'Data Checking'!CK51)</f>
        <v/>
      </c>
      <c r="BZ51" s="2" t="str">
        <f>IF('Data Checking'!CL51="","",'Data Checking'!CL51)</f>
        <v/>
      </c>
      <c r="CA51" s="2" t="str">
        <f>IF('Data Checking'!CM51="","",'Data Checking'!CM51)</f>
        <v/>
      </c>
      <c r="CB51" s="2" t="str">
        <f>IF('Data Checking'!CN51="","",'Data Checking'!CN51)</f>
        <v/>
      </c>
      <c r="CC51" s="2" t="str">
        <f>IF('Data Checking'!CO51="","",'Data Checking'!CO51)</f>
        <v/>
      </c>
      <c r="CD51" s="2" t="str">
        <f>IF('Data Checking'!CP51="","",'Data Checking'!CP51)</f>
        <v/>
      </c>
      <c r="CE51" s="2" t="str">
        <f>IF('Data Checking'!CQ51="","",'Data Checking'!CQ51)</f>
        <v/>
      </c>
      <c r="CF51" s="2" t="str">
        <f>IF('Data Checking'!CR51="","",'Data Checking'!CR51)</f>
        <v/>
      </c>
      <c r="CG51" s="2" t="str">
        <f>IF('Data Checking'!CS51="","",'Data Checking'!CS51)</f>
        <v/>
      </c>
      <c r="CH51" s="2" t="str">
        <f>IF('Data Checking'!CT51="","",'Data Checking'!CT51)</f>
        <v/>
      </c>
      <c r="CI51" s="2" t="str">
        <f>IF('Data Checking'!CU51="","",'Data Checking'!CU51)</f>
        <v/>
      </c>
      <c r="CJ51" s="2" t="str">
        <f>IF('Data Checking'!CV51="","",'Data Checking'!CV51)</f>
        <v/>
      </c>
      <c r="CK51" s="2" t="str">
        <f>IF('Data Checking'!CW51="","",'Data Checking'!CW51)</f>
        <v/>
      </c>
      <c r="CL51" s="2" t="str">
        <f>IF('Data Checking'!CX51="","",'Data Checking'!CX51)</f>
        <v/>
      </c>
      <c r="CM51" s="2" t="str">
        <f>IF('Data Checking'!CY51="","",'Data Checking'!CY51)</f>
        <v/>
      </c>
      <c r="CN51" s="2" t="str">
        <f>IF('Data Checking'!CZ51="","",'Data Checking'!CZ51)</f>
        <v/>
      </c>
      <c r="CO51" s="2" t="str">
        <f>IF('Data Checking'!DA51="","",'Data Checking'!DA51)</f>
        <v/>
      </c>
      <c r="CP51" s="2" t="str">
        <f>IF('Data Checking'!DB51="","",'Data Checking'!DB51)</f>
        <v/>
      </c>
      <c r="CQ51" s="2" t="str">
        <f>IF('Data Checking'!DC51="","",'Data Checking'!DC51)</f>
        <v/>
      </c>
      <c r="CR51" s="2" t="str">
        <f>IF('Data Checking'!DD51="","",'Data Checking'!DD51)</f>
        <v/>
      </c>
      <c r="CS51" s="2" t="str">
        <f>IF('Data Checking'!DE51="","",'Data Checking'!DE51)</f>
        <v/>
      </c>
      <c r="CT51" s="2" t="str">
        <f>IF('Data Checking'!DF51="","",'Data Checking'!DF51)</f>
        <v/>
      </c>
      <c r="CU51" s="2" t="str">
        <f>IF('Data Checking'!DG51="","",'Data Checking'!DG51)</f>
        <v/>
      </c>
      <c r="CV51" s="2" t="str">
        <f>IF('Data Checking'!DH51="","",'Data Checking'!DH51)</f>
        <v/>
      </c>
      <c r="CW51" s="2" t="str">
        <f>IF('Data Checking'!DI51="","",'Data Checking'!DI51)</f>
        <v/>
      </c>
      <c r="CX51" s="2" t="str">
        <f>IF('Data Checking'!DJ51="","",'Data Checking'!DJ51)</f>
        <v/>
      </c>
      <c r="CY51" s="2" t="str">
        <f>IF('Data Checking'!DK51="","",'Data Checking'!DK51)</f>
        <v/>
      </c>
      <c r="CZ51" s="2" t="str">
        <f>IF('Data Checking'!DL51="","",'Data Checking'!DL51)</f>
        <v/>
      </c>
      <c r="DA51" s="2" t="str">
        <f>IF('Data Checking'!DM51="","",'Data Checking'!DM51)</f>
        <v/>
      </c>
      <c r="DB51" s="2" t="str">
        <f>IF('Data Checking'!DN51="","",'Data Checking'!DN51)</f>
        <v/>
      </c>
      <c r="DC51" s="2" t="str">
        <f>IF('Data Checking'!DO51="","",'Data Checking'!DO51)</f>
        <v/>
      </c>
      <c r="DD51" s="2" t="str">
        <f>IF('Data Checking'!DP51="","",'Data Checking'!DP51)</f>
        <v/>
      </c>
      <c r="DE51" s="2" t="str">
        <f>IF('Data Checking'!DQ51="","",'Data Checking'!DQ51)</f>
        <v/>
      </c>
      <c r="DF51" s="2" t="str">
        <f>IF('Data Checking'!DR51="","",'Data Checking'!DR51)</f>
        <v/>
      </c>
      <c r="DG51" s="2" t="str">
        <f>IF('Data Checking'!DS51="","",'Data Checking'!DS51)</f>
        <v/>
      </c>
      <c r="DH51" s="2" t="str">
        <f>IF('Data Checking'!DT51="","",'Data Checking'!DT51)</f>
        <v/>
      </c>
      <c r="DI51" s="2" t="str">
        <f>IF('Data Checking'!DU51="","",'Data Checking'!DU51)</f>
        <v/>
      </c>
      <c r="DJ51" s="2" t="str">
        <f>IF('Data Checking'!DV51="","",'Data Checking'!DV51)</f>
        <v/>
      </c>
      <c r="DK51" s="2" t="str">
        <f>IF('Data Checking'!DW51="","",'Data Checking'!DW51)</f>
        <v/>
      </c>
      <c r="DL51" s="2" t="str">
        <f>IF('Data Checking'!DX51="","",'Data Checking'!DX51)</f>
        <v/>
      </c>
      <c r="DM51" s="2" t="str">
        <f>IF('Data Checking'!DY51="","",'Data Checking'!DY51)</f>
        <v/>
      </c>
      <c r="DN51" s="2" t="str">
        <f>IF('Data Checking'!DZ51="","",'Data Checking'!DZ51)</f>
        <v/>
      </c>
      <c r="DO51" s="2" t="str">
        <f>IF('Data Checking'!EA51="","",'Data Checking'!EA51)</f>
        <v/>
      </c>
      <c r="DP51" s="2" t="str">
        <f>IF('Data Checking'!EB51="","",'Data Checking'!EB51)</f>
        <v/>
      </c>
      <c r="DQ51" s="2" t="str">
        <f>IF('Data Checking'!EC51="","",'Data Checking'!EC51)</f>
        <v/>
      </c>
      <c r="DR51" s="2" t="str">
        <f>IF('Data Checking'!ED51="","",'Data Checking'!ED51)</f>
        <v/>
      </c>
      <c r="DS51" s="2" t="str">
        <f>IF('Data Checking'!EE51="","",'Data Checking'!EE51)</f>
        <v/>
      </c>
      <c r="DT51" s="2" t="str">
        <f>IF('Data Checking'!EF51="","",'Data Checking'!EF51)</f>
        <v/>
      </c>
      <c r="DU51" s="2" t="str">
        <f>IF('Data Checking'!EG51="","",'Data Checking'!EG51)</f>
        <v/>
      </c>
      <c r="DV51" s="2" t="str">
        <f>IF('Data Checking'!EH51="","",'Data Checking'!EH51)</f>
        <v/>
      </c>
      <c r="DW51" s="2" t="str">
        <f>IF('Data Checking'!EI51="","",'Data Checking'!EI51)</f>
        <v/>
      </c>
      <c r="DX51" s="2" t="str">
        <f>IF('Data Checking'!EJ51="","",'Data Checking'!EJ51)</f>
        <v/>
      </c>
      <c r="DY51" s="2" t="str">
        <f>IF('Data Checking'!EK51="","",'Data Checking'!EK51)</f>
        <v/>
      </c>
      <c r="DZ51" s="2" t="str">
        <f>IF('Data Checking'!EL51="","",'Data Checking'!EL51)</f>
        <v>Integration_com_hote</v>
      </c>
      <c r="EA51" s="2" t="str">
        <f>IF('Data Checking'!EM51="","",'Data Checking'!EM51)</f>
        <v>0</v>
      </c>
      <c r="EB51" s="2" t="str">
        <f>IF('Data Checking'!EN51="","",'Data Checking'!EN51)</f>
        <v>1</v>
      </c>
      <c r="EC51" s="2" t="str">
        <f>IF('Data Checking'!EO51="","",'Data Checking'!EO51)</f>
        <v>0</v>
      </c>
      <c r="ED51" s="2" t="str">
        <f>IF('Data Checking'!EP51="","",'Data Checking'!EP51)</f>
        <v>0</v>
      </c>
      <c r="EE51" s="2" t="str">
        <f>IF('Data Checking'!EQ51="","",'Data Checking'!EQ51)</f>
        <v>0</v>
      </c>
      <c r="EF51" s="2" t="str">
        <f>IF('Data Checking'!ER51="","",'Data Checking'!ER51)</f>
        <v>0</v>
      </c>
      <c r="EG51" s="2" t="str">
        <f>IF('Data Checking'!ES51="","",'Data Checking'!ES51)</f>
        <v>0</v>
      </c>
      <c r="EH51" s="2" t="str">
        <f>IF('Data Checking'!ET51="","",'Data Checking'!ET51)</f>
        <v>0</v>
      </c>
      <c r="EI51" s="2" t="str">
        <f>IF('Data Checking'!EU51="","",'Data Checking'!EU51)</f>
        <v>0</v>
      </c>
      <c r="EJ51" s="2" t="str">
        <f>IF('Data Checking'!EV51="","",'Data Checking'!EV51)</f>
        <v/>
      </c>
      <c r="EK51" s="2" t="str">
        <f>IF('Data Checking'!EW51="","",'Data Checking'!EW51)</f>
        <v/>
      </c>
      <c r="EL51" s="2" t="str">
        <f>IF('Data Checking'!EX51="","",'Data Checking'!EX51)</f>
        <v>comite_protection</v>
      </c>
      <c r="EM51" s="2" t="str">
        <f>IF('Data Checking'!EY51="","",'Data Checking'!EY51)</f>
        <v>0</v>
      </c>
      <c r="EN51" s="2" t="str">
        <f>IF('Data Checking'!EZ51="","",'Data Checking'!EZ51)</f>
        <v>1</v>
      </c>
      <c r="EO51" s="2" t="str">
        <f>IF('Data Checking'!FA51="","",'Data Checking'!FA51)</f>
        <v>0</v>
      </c>
      <c r="EP51" s="2" t="str">
        <f>IF('Data Checking'!FB51="","",'Data Checking'!FB51)</f>
        <v>0</v>
      </c>
      <c r="EQ51" s="2" t="str">
        <f>IF('Data Checking'!FC51="","",'Data Checking'!FC51)</f>
        <v>0</v>
      </c>
      <c r="ER51" s="2" t="str">
        <f>IF('Data Checking'!FD51="","",'Data Checking'!FD51)</f>
        <v>0</v>
      </c>
      <c r="ES51" s="2" t="str">
        <f>IF('Data Checking'!FE51="","",'Data Checking'!FE51)</f>
        <v>0</v>
      </c>
      <c r="ET51" s="2" t="str">
        <f>IF('Data Checking'!FF51="","",'Data Checking'!FF51)</f>
        <v>0</v>
      </c>
      <c r="EU51" s="2" t="str">
        <f>IF('Data Checking'!FG51="","",'Data Checking'!FG51)</f>
        <v>0</v>
      </c>
      <c r="EV51" s="2" t="str">
        <f>IF('Data Checking'!FH51="","",'Data Checking'!FH51)</f>
        <v>0</v>
      </c>
      <c r="EW51" s="2" t="str">
        <f>IF('Data Checking'!FI51="","",'Data Checking'!FI51)</f>
        <v/>
      </c>
      <c r="EX51" s="2" t="str">
        <f>IF('Data Checking'!FJ51="","",'Data Checking'!FJ51)</f>
        <v>oui</v>
      </c>
      <c r="EY51" s="2" t="str">
        <f>IF('Data Checking'!FK51="","",'Data Checking'!FK51)</f>
        <v>Radio_television Chef_village</v>
      </c>
      <c r="EZ51" s="2" t="str">
        <f>IF('Data Checking'!FL51="","",'Data Checking'!FL51)</f>
        <v>1</v>
      </c>
      <c r="FA51" s="2" t="str">
        <f>IF('Data Checking'!FM51="","",'Data Checking'!FM51)</f>
        <v>0</v>
      </c>
      <c r="FB51" s="2" t="str">
        <f>IF('Data Checking'!FN51="","",'Data Checking'!FN51)</f>
        <v>0</v>
      </c>
      <c r="FC51" s="2" t="str">
        <f>IF('Data Checking'!FO51="","",'Data Checking'!FO51)</f>
        <v>0</v>
      </c>
      <c r="FD51" s="2" t="str">
        <f>IF('Data Checking'!FP51="","",'Data Checking'!FP51)</f>
        <v>1</v>
      </c>
      <c r="FE51" s="2" t="str">
        <f>IF('Data Checking'!FQ51="","",'Data Checking'!FQ51)</f>
        <v>0</v>
      </c>
      <c r="FF51" s="2" t="str">
        <f>IF('Data Checking'!FR51="","",'Data Checking'!FR51)</f>
        <v>0</v>
      </c>
      <c r="FG51" s="2" t="str">
        <f>IF('Data Checking'!FS51="","",'Data Checking'!FS51)</f>
        <v>0</v>
      </c>
      <c r="FH51" s="2" t="str">
        <f>IF('Data Checking'!FT51="","",'Data Checking'!FT51)</f>
        <v>0</v>
      </c>
      <c r="FI51" s="2" t="str">
        <f>IF('Data Checking'!FU51="","",'Data Checking'!FU51)</f>
        <v>0</v>
      </c>
      <c r="FJ51" s="2" t="str">
        <f>IF('Data Checking'!FV51="","",'Data Checking'!FV51)</f>
        <v>0</v>
      </c>
      <c r="FK51" s="2" t="str">
        <f>IF('Data Checking'!FW51="","",'Data Checking'!FW51)</f>
        <v>0</v>
      </c>
      <c r="FL51" s="2" t="str">
        <f>IF('Data Checking'!FX51="","",'Data Checking'!FX51)</f>
        <v>0</v>
      </c>
      <c r="FM51" s="2" t="str">
        <f>IF('Data Checking'!FY51="","",'Data Checking'!FY51)</f>
        <v>0</v>
      </c>
      <c r="FN51" s="2" t="str">
        <f>IF('Data Checking'!FZ51="","",'Data Checking'!FZ51)</f>
        <v/>
      </c>
      <c r="FO51" s="2" t="str">
        <f>IF('Data Checking'!GA51="","",'Data Checking'!GA51)</f>
        <v>oui_ensemble</v>
      </c>
      <c r="FP51" s="2" t="str">
        <f>IF('Data Checking'!GB51="","",'Data Checking'!GB51)</f>
        <v>oui_moitie</v>
      </c>
      <c r="FQ51" s="2" t="str">
        <f>IF('Data Checking'!GC51="","",'Data Checking'!GC51)</f>
        <v>manque_info</v>
      </c>
      <c r="FR51" s="2" t="str">
        <f>IF('Data Checking'!GD51="","",'Data Checking'!GD51)</f>
        <v>0</v>
      </c>
      <c r="FS51" s="2" t="str">
        <f>IF('Data Checking'!GE51="","",'Data Checking'!GE51)</f>
        <v>1</v>
      </c>
      <c r="FT51" s="2" t="str">
        <f>IF('Data Checking'!GF51="","",'Data Checking'!GF51)</f>
        <v>0</v>
      </c>
      <c r="FU51" s="2" t="str">
        <f>IF('Data Checking'!GG51="","",'Data Checking'!GG51)</f>
        <v>0</v>
      </c>
      <c r="FV51" s="2" t="str">
        <f>IF('Data Checking'!GH51="","",'Data Checking'!GH51)</f>
        <v>0</v>
      </c>
      <c r="FW51" s="2" t="str">
        <f>IF('Data Checking'!GI51="","",'Data Checking'!GI51)</f>
        <v>0</v>
      </c>
      <c r="FX51" s="2" t="str">
        <f>IF('Data Checking'!GJ51="","",'Data Checking'!GJ51)</f>
        <v>0</v>
      </c>
      <c r="FY51" s="2" t="str">
        <f>IF('Data Checking'!GK51="","",'Data Checking'!GK51)</f>
        <v>0</v>
      </c>
      <c r="FZ51" s="2" t="str">
        <f>IF('Data Checking'!GL51="","",'Data Checking'!GL51)</f>
        <v/>
      </c>
      <c r="GA51" s="2" t="str">
        <f>IF('Data Checking'!GM51="","",'Data Checking'!GM51)</f>
        <v>moitie</v>
      </c>
      <c r="GB51" s="2" t="str">
        <f>IF('Data Checking'!GN51="","",'Data Checking'!GN51)</f>
        <v>majorite</v>
      </c>
      <c r="GC51" s="2" t="str">
        <f>IF('Data Checking'!GO51="","",'Data Checking'!GO51)</f>
        <v>Education Services_de_sante Acces_aux_doc</v>
      </c>
      <c r="GD51" s="2" t="str">
        <f>IF('Data Checking'!GP51="","",'Data Checking'!GP51)</f>
        <v>0</v>
      </c>
      <c r="GE51" s="2" t="str">
        <f>IF('Data Checking'!GQ51="","",'Data Checking'!GQ51)</f>
        <v>1</v>
      </c>
      <c r="GF51" s="2" t="str">
        <f>IF('Data Checking'!GR51="","",'Data Checking'!GR51)</f>
        <v>0</v>
      </c>
      <c r="GG51" s="2" t="str">
        <f>IF('Data Checking'!GS51="","",'Data Checking'!GS51)</f>
        <v>1</v>
      </c>
      <c r="GH51" s="2" t="str">
        <f>IF('Data Checking'!GT51="","",'Data Checking'!GT51)</f>
        <v>1</v>
      </c>
      <c r="GI51" s="2" t="str">
        <f>IF('Data Checking'!GU51="","",'Data Checking'!GU51)</f>
        <v>0</v>
      </c>
      <c r="GJ51" s="2" t="str">
        <f>IF('Data Checking'!GV51="","",'Data Checking'!GV51)</f>
        <v>0</v>
      </c>
      <c r="GK51" s="2" t="str">
        <f>IF('Data Checking'!GW51="","",'Data Checking'!GW51)</f>
        <v>0</v>
      </c>
      <c r="GL51" s="2" t="str">
        <f>IF('Data Checking'!GX51="","",'Data Checking'!GX51)</f>
        <v>0</v>
      </c>
      <c r="GM51" s="2" t="str">
        <f>IF('Data Checking'!GY51="","",'Data Checking'!GY51)</f>
        <v/>
      </c>
      <c r="GN51" s="2" t="str">
        <f>IF('Data Checking'!GZ51="","",'Data Checking'!GZ51)</f>
        <v>oui_ensemble</v>
      </c>
      <c r="GO51" s="2" t="str">
        <f>IF('Data Checking'!HA51="","",'Data Checking'!HA51)</f>
        <v>oui_ensemble</v>
      </c>
      <c r="GP51" s="2" t="str">
        <f>IF('Data Checking'!HB51="","",'Data Checking'!HB51)</f>
        <v>amelioration_futur repond_besoins_pop permet_eviter_conflits</v>
      </c>
      <c r="GQ51" s="2" t="str">
        <f>IF('Data Checking'!HC51="","",'Data Checking'!HC51)</f>
        <v>1</v>
      </c>
      <c r="GR51" s="2" t="str">
        <f>IF('Data Checking'!HD51="","",'Data Checking'!HD51)</f>
        <v>1</v>
      </c>
      <c r="GS51" s="2" t="str">
        <f>IF('Data Checking'!HE51="","",'Data Checking'!HE51)</f>
        <v>0</v>
      </c>
      <c r="GT51" s="2" t="str">
        <f>IF('Data Checking'!HF51="","",'Data Checking'!HF51)</f>
        <v>1</v>
      </c>
      <c r="GU51" s="2" t="str">
        <f>IF('Data Checking'!HG51="","",'Data Checking'!HG51)</f>
        <v>0</v>
      </c>
      <c r="GV51" s="2" t="str">
        <f>IF('Data Checking'!HH51="","",'Data Checking'!HH51)</f>
        <v>0</v>
      </c>
      <c r="GW51" s="2" t="str">
        <f>IF('Data Checking'!HI51="","",'Data Checking'!HI51)</f>
        <v>0</v>
      </c>
      <c r="GX51" s="2" t="str">
        <f>IF('Data Checking'!HJ51="","",'Data Checking'!HJ51)</f>
        <v>0</v>
      </c>
      <c r="GY51" s="2" t="str">
        <f>IF('Data Checking'!HK51="","",'Data Checking'!HK51)</f>
        <v/>
      </c>
      <c r="GZ51" s="2" t="str">
        <f>IF('Data Checking'!HL51="","",'Data Checking'!HL51)</f>
        <v/>
      </c>
      <c r="HA51" s="2" t="str">
        <f>IF('Data Checking'!HM51="","",'Data Checking'!HM51)</f>
        <v/>
      </c>
      <c r="HB51" s="2" t="str">
        <f>IF('Data Checking'!HN51="","",'Data Checking'!HN51)</f>
        <v/>
      </c>
      <c r="HC51" s="2" t="str">
        <f>IF('Data Checking'!HO51="","",'Data Checking'!HO51)</f>
        <v/>
      </c>
      <c r="HD51" s="2" t="str">
        <f>IF('Data Checking'!HP51="","",'Data Checking'!HP51)</f>
        <v/>
      </c>
      <c r="HE51" s="2" t="str">
        <f>IF('Data Checking'!HQ51="","",'Data Checking'!HQ51)</f>
        <v/>
      </c>
      <c r="HF51" s="2" t="str">
        <f>IF('Data Checking'!HR51="","",'Data Checking'!HR51)</f>
        <v/>
      </c>
      <c r="HG51" s="2" t="str">
        <f>IF('Data Checking'!HS51="","",'Data Checking'!HS51)</f>
        <v/>
      </c>
      <c r="HH51" s="2" t="str">
        <f>IF('Data Checking'!HT51="","",'Data Checking'!HT51)</f>
        <v/>
      </c>
      <c r="HI51" s="2" t="str">
        <f>IF('Data Checking'!HU51="","",'Data Checking'!HU51)</f>
        <v>non</v>
      </c>
      <c r="HJ51" s="2" t="str">
        <f>IF('Data Checking'!HV51="","",'Data Checking'!HV51)</f>
        <v/>
      </c>
      <c r="HK51" s="2" t="str">
        <f>IF('Data Checking'!HW51="","",'Data Checking'!HW51)</f>
        <v/>
      </c>
      <c r="HL51" s="2" t="str">
        <f>IF('Data Checking'!HX51="","",'Data Checking'!HX51)</f>
        <v/>
      </c>
      <c r="HM51" s="2" t="str">
        <f>IF('Data Checking'!HY51="","",'Data Checking'!HY51)</f>
        <v/>
      </c>
      <c r="HN51" s="2" t="str">
        <f>IF('Data Checking'!HZ51="","",'Data Checking'!HZ51)</f>
        <v/>
      </c>
      <c r="HO51" s="2" t="str">
        <f>IF('Data Checking'!IA51="","",'Data Checking'!IA51)</f>
        <v/>
      </c>
      <c r="HP51" s="2" t="str">
        <f>IF('Data Checking'!IB51="","",'Data Checking'!IB51)</f>
        <v/>
      </c>
      <c r="HQ51" s="2" t="str">
        <f>IF('Data Checking'!IC51="","",'Data Checking'!IC51)</f>
        <v/>
      </c>
      <c r="HR51" s="2" t="str">
        <f>IF('Data Checking'!ID51="","",'Data Checking'!ID51)</f>
        <v/>
      </c>
      <c r="HS51" s="2" t="str">
        <f>IF('Data Checking'!IE51="","",'Data Checking'!IE51)</f>
        <v/>
      </c>
      <c r="HT51" s="2" t="str">
        <f>IF('Data Checking'!IF51="","",'Data Checking'!IF51)</f>
        <v/>
      </c>
      <c r="HU51" s="2" t="str">
        <f>IF('Data Checking'!IG51="","",'Data Checking'!IG51)</f>
        <v/>
      </c>
      <c r="HV51" s="2" t="str">
        <f>IF('Data Checking'!IH51="","",'Data Checking'!IH51)</f>
        <v>oui</v>
      </c>
      <c r="HW51" s="2" t="str">
        <f>IF('Data Checking'!II51="","",'Data Checking'!II51)</f>
        <v/>
      </c>
      <c r="HX51" s="2" t="str">
        <f>IF('Data Checking'!IJ51="","",'Data Checking'!IJ51)</f>
        <v/>
      </c>
      <c r="HY51" s="2" t="str">
        <f>IF('Data Checking'!IK51="","",'Data Checking'!IK51)</f>
        <v/>
      </c>
      <c r="HZ51" s="2" t="str">
        <f>IF('Data Checking'!IL51="","",'Data Checking'!IL51)</f>
        <v/>
      </c>
      <c r="IA51" s="2" t="str">
        <f>IF('Data Checking'!IM51="","",'Data Checking'!IM51)</f>
        <v/>
      </c>
      <c r="IB51" s="2" t="str">
        <f>IF('Data Checking'!IN51="","",'Data Checking'!IN51)</f>
        <v/>
      </c>
      <c r="IC51" s="2" t="str">
        <f>IF('Data Checking'!IO51="","",'Data Checking'!IO51)</f>
        <v/>
      </c>
      <c r="ID51" s="2" t="str">
        <f>IF('Data Checking'!IP51="","",'Data Checking'!IP51)</f>
        <v/>
      </c>
      <c r="IE51" s="2" t="str">
        <f>IF('Data Checking'!IQ51="","",'Data Checking'!IQ51)</f>
        <v/>
      </c>
      <c r="IF51" s="2" t="str">
        <f>IF('Data Checking'!IR51="","",'Data Checking'!IR51)</f>
        <v/>
      </c>
      <c r="IG51" s="2" t="str">
        <f>IF('Data Checking'!IS51="","",'Data Checking'!IS51)</f>
        <v/>
      </c>
      <c r="IH51" s="2" t="str">
        <f>IF('Data Checking'!IT51="","",'Data Checking'!IT51)</f>
        <v/>
      </c>
      <c r="II51" s="2" t="str">
        <f>IF('Data Checking'!IU51="","",'Data Checking'!IU51)</f>
        <v/>
      </c>
      <c r="IJ51" s="2" t="str">
        <f>IF('Data Checking'!IV51="","",'Data Checking'!IV51)</f>
        <v/>
      </c>
      <c r="IK51" s="2" t="str">
        <f>IF('Data Checking'!IW51="","",'Data Checking'!IW51)</f>
        <v/>
      </c>
      <c r="IL51" s="2" t="str">
        <f>IF('Data Checking'!IX51="","",'Data Checking'!IX51)</f>
        <v/>
      </c>
      <c r="IM51" s="2" t="str">
        <f>IF('Data Checking'!IY51="","",'Data Checking'!IY51)</f>
        <v/>
      </c>
      <c r="IN51" s="2" t="str">
        <f>IF('Data Checking'!IZ51="","",'Data Checking'!IZ51)</f>
        <v>1</v>
      </c>
      <c r="IO51" s="2" t="str">
        <f>IF('Data Checking'!JA51="","",'Data Checking'!JA51)</f>
        <v>Services_medicaux acces_docs Services_conseil</v>
      </c>
      <c r="IP51" s="2" t="str">
        <f>IF('Data Checking'!JB51="","",'Data Checking'!JB51)</f>
        <v>0</v>
      </c>
      <c r="IQ51" s="2" t="str">
        <f>IF('Data Checking'!JC51="","",'Data Checking'!JC51)</f>
        <v>1</v>
      </c>
      <c r="IR51" s="2" t="str">
        <f>IF('Data Checking'!JD51="","",'Data Checking'!JD51)</f>
        <v>0</v>
      </c>
      <c r="IS51" s="2" t="str">
        <f>IF('Data Checking'!JE51="","",'Data Checking'!JE51)</f>
        <v>1</v>
      </c>
      <c r="IT51" s="2" t="str">
        <f>IF('Data Checking'!JF51="","",'Data Checking'!JF51)</f>
        <v>1</v>
      </c>
      <c r="IU51" s="2" t="str">
        <f>IF('Data Checking'!JG51="","",'Data Checking'!JG51)</f>
        <v>0</v>
      </c>
      <c r="IV51" s="2" t="str">
        <f>IF('Data Checking'!JH51="","",'Data Checking'!JH51)</f>
        <v>0</v>
      </c>
      <c r="IW51" s="2" t="str">
        <f>IF('Data Checking'!JI51="","",'Data Checking'!JI51)</f>
        <v>0</v>
      </c>
      <c r="IX51" s="2" t="str">
        <f>IF('Data Checking'!JJ51="","",'Data Checking'!JJ51)</f>
        <v>0</v>
      </c>
      <c r="IY51" s="2" t="str">
        <f>IF('Data Checking'!JK51="","",'Data Checking'!JK51)</f>
        <v>0</v>
      </c>
      <c r="IZ51" s="2" t="str">
        <f>IF('Data Checking'!JL51="","",'Data Checking'!JL51)</f>
        <v/>
      </c>
      <c r="JA51" s="2" t="str">
        <f>IF('Data Checking'!JM51="","",'Data Checking'!JM51)</f>
        <v>reorientation</v>
      </c>
      <c r="JB51" s="2" t="str">
        <f>IF('Data Checking'!JN51="","",'Data Checking'!JN51)</f>
        <v>0</v>
      </c>
      <c r="JC51" s="2" t="str">
        <f>IF('Data Checking'!JO51="","",'Data Checking'!JO51)</f>
        <v>1</v>
      </c>
      <c r="JD51" s="2" t="str">
        <f>IF('Data Checking'!JP51="","",'Data Checking'!JP51)</f>
        <v>0</v>
      </c>
      <c r="JE51" s="2" t="str">
        <f>IF('Data Checking'!JQ51="","",'Data Checking'!JQ51)</f>
        <v>0</v>
      </c>
      <c r="JF51" s="2" t="str">
        <f>IF('Data Checking'!JR51="","",'Data Checking'!JR51)</f>
        <v>0</v>
      </c>
      <c r="JG51" s="2" t="str">
        <f>IF('Data Checking'!JS51="","",'Data Checking'!JS51)</f>
        <v>0</v>
      </c>
      <c r="JH51" s="2" t="str">
        <f>IF('Data Checking'!JT51="","",'Data Checking'!JT51)</f>
        <v/>
      </c>
      <c r="JI51" s="2" t="str">
        <f>IF('Data Checking'!JU51="","",'Data Checking'!JU51)</f>
        <v/>
      </c>
      <c r="JJ51" s="2" t="str">
        <f>IF('Data Checking'!JV51="","",'Data Checking'!JV51)</f>
        <v/>
      </c>
      <c r="JK51" s="2" t="str">
        <f>IF('Data Checking'!JW51="","",'Data Checking'!JW51)</f>
        <v/>
      </c>
      <c r="JL51" s="2" t="str">
        <f>IF('Data Checking'!JX51="","",'Data Checking'!JX51)</f>
        <v/>
      </c>
      <c r="JM51" s="2" t="str">
        <f>IF('Data Checking'!JY51="","",'Data Checking'!JY51)</f>
        <v/>
      </c>
      <c r="JN51" s="2" t="str">
        <f>IF('Data Checking'!JZ51="","",'Data Checking'!JZ51)</f>
        <v/>
      </c>
      <c r="JO51" s="2" t="str">
        <f>IF('Data Checking'!KA51="","",'Data Checking'!KA51)</f>
        <v/>
      </c>
      <c r="JP51" s="2" t="str">
        <f>IF('Data Checking'!KB51="","",'Data Checking'!KB51)</f>
        <v/>
      </c>
      <c r="JQ51" s="2" t="str">
        <f>IF('Data Checking'!KC51="","",'Data Checking'!KC51)</f>
        <v/>
      </c>
      <c r="JR51" s="2" t="str">
        <f>IF('Data Checking'!KD51="","",'Data Checking'!KD51)</f>
        <v/>
      </c>
      <c r="JS51" s="2" t="str">
        <f>IF('Data Checking'!KE51="","",'Data Checking'!KE51)</f>
        <v/>
      </c>
      <c r="JT51" s="2" t="str">
        <f>IF('Data Checking'!KF51="","",'Data Checking'!KF51)</f>
        <v>point_ecoute reinsertion</v>
      </c>
      <c r="JU51" s="2" t="str">
        <f>IF('Data Checking'!KG51="","",'Data Checking'!KG51)</f>
        <v>0</v>
      </c>
      <c r="JV51" s="2" t="str">
        <f>IF('Data Checking'!KH51="","",'Data Checking'!KH51)</f>
        <v>0</v>
      </c>
      <c r="JW51" s="2" t="str">
        <f>IF('Data Checking'!KI51="","",'Data Checking'!KI51)</f>
        <v>1</v>
      </c>
      <c r="JX51" s="2" t="str">
        <f>IF('Data Checking'!KJ51="","",'Data Checking'!KJ51)</f>
        <v>0</v>
      </c>
      <c r="JY51" s="2" t="str">
        <f>IF('Data Checking'!KK51="","",'Data Checking'!KK51)</f>
        <v>0</v>
      </c>
      <c r="JZ51" s="2" t="str">
        <f>IF('Data Checking'!KL51="","",'Data Checking'!KL51)</f>
        <v>1</v>
      </c>
      <c r="KA51" s="2" t="str">
        <f>IF('Data Checking'!KM51="","",'Data Checking'!KM51)</f>
        <v>0</v>
      </c>
      <c r="KB51" s="2" t="str">
        <f>IF('Data Checking'!KN51="","",'Data Checking'!KN51)</f>
        <v>0</v>
      </c>
      <c r="KC51" s="2" t="str">
        <f>IF('Data Checking'!KO51="","",'Data Checking'!KO51)</f>
        <v>0</v>
      </c>
      <c r="KD51" s="2" t="str">
        <f>IF('Data Checking'!KP51="","",'Data Checking'!KP51)</f>
        <v/>
      </c>
      <c r="KE51" s="2" t="str">
        <f>IF('Data Checking'!KQ51="","",'Data Checking'!KQ51)</f>
        <v/>
      </c>
      <c r="KF51" s="2" t="str">
        <f>IF('Data Checking'!KR51="","",'Data Checking'!KR51)</f>
        <v>non</v>
      </c>
      <c r="KG51" s="2" t="str">
        <f>IF('Data Checking'!KS51="","",'Data Checking'!KS51)</f>
        <v/>
      </c>
      <c r="KH51" s="2" t="str">
        <f>IF('Data Checking'!KT51="","",'Data Checking'!KT51)</f>
        <v/>
      </c>
      <c r="KI51" s="2" t="str">
        <f>IF('Data Checking'!KU51="","",'Data Checking'!KU51)</f>
        <v/>
      </c>
      <c r="KJ51" s="2" t="str">
        <f>IF('Data Checking'!KV51="","",'Data Checking'!KV51)</f>
        <v/>
      </c>
      <c r="KK51" s="2" t="str">
        <f>IF('Data Checking'!KW51="","",'Data Checking'!KW51)</f>
        <v/>
      </c>
      <c r="KL51" s="2" t="str">
        <f>IF('Data Checking'!KX51="","",'Data Checking'!KX51)</f>
        <v/>
      </c>
      <c r="KM51" s="2" t="str">
        <f>IF('Data Checking'!KY51="","",'Data Checking'!KY51)</f>
        <v/>
      </c>
      <c r="KN51" s="2" t="str">
        <f>IF('Data Checking'!KZ51="","",'Data Checking'!KZ51)</f>
        <v/>
      </c>
      <c r="KO51" s="2" t="str">
        <f>IF('Data Checking'!LA51="","",'Data Checking'!LA51)</f>
        <v/>
      </c>
      <c r="KP51" s="2" t="str">
        <f>IF('Data Checking'!LB51="","",'Data Checking'!LB51)</f>
        <v/>
      </c>
      <c r="KQ51" s="2" t="str">
        <f>IF('Data Checking'!LC51="","",'Data Checking'!LC51)</f>
        <v/>
      </c>
      <c r="KR51" s="2" t="str">
        <f>IF('Data Checking'!LD51="","",'Data Checking'!LD51)</f>
        <v/>
      </c>
      <c r="KS51" s="2" t="str">
        <f>IF('Data Checking'!LE51="","",'Data Checking'!LE51)</f>
        <v/>
      </c>
      <c r="KT51" s="2" t="str">
        <f>IF('Data Checking'!LF51="","",'Data Checking'!LF51)</f>
        <v/>
      </c>
      <c r="KU51" s="2" t="str">
        <f>IF('Data Checking'!LG51="","",'Data Checking'!LG51)</f>
        <v/>
      </c>
      <c r="KV51" s="2" t="str">
        <f>IF('Data Checking'!LH51="","",'Data Checking'!LH51)</f>
        <v/>
      </c>
      <c r="KW51" s="2" t="str">
        <f>IF('Data Checking'!LI51="","",'Data Checking'!LI51)</f>
        <v/>
      </c>
      <c r="KX51" s="2" t="str">
        <f>IF('Data Checking'!LJ51="","",'Data Checking'!LJ51)</f>
        <v/>
      </c>
      <c r="KY51" s="2" t="str">
        <f>IF('Data Checking'!LK51="","",'Data Checking'!LK51)</f>
        <v/>
      </c>
      <c r="KZ51" s="2" t="str">
        <f>IF('Data Checking'!LL51="","",'Data Checking'!LL51)</f>
        <v/>
      </c>
      <c r="LA51" s="2" t="str">
        <f>IF('Data Checking'!LM51="","",'Data Checking'!LM51)</f>
        <v/>
      </c>
      <c r="LB51" s="2" t="str">
        <f>IF('Data Checking'!LN51="","",'Data Checking'!LN51)</f>
        <v>non</v>
      </c>
      <c r="LC51" s="2" t="str">
        <f>IF('Data Checking'!LO51="","",'Data Checking'!LO51)</f>
        <v/>
      </c>
      <c r="LD51" s="2" t="str">
        <f>IF('Data Checking'!LP51="","",'Data Checking'!LP51)</f>
        <v/>
      </c>
      <c r="LE51" s="2" t="str">
        <f>IF('Data Checking'!LQ51="","",'Data Checking'!LQ51)</f>
        <v/>
      </c>
      <c r="LF51" s="2" t="str">
        <f>IF('Data Checking'!LR51="","",'Data Checking'!LR51)</f>
        <v/>
      </c>
      <c r="LG51" s="2" t="str">
        <f>IF('Data Checking'!LS51="","",'Data Checking'!LS51)</f>
        <v/>
      </c>
      <c r="LH51" s="2" t="str">
        <f>IF('Data Checking'!LT51="","",'Data Checking'!LT51)</f>
        <v/>
      </c>
      <c r="LI51" s="2" t="str">
        <f>IF('Data Checking'!LU51="","",'Data Checking'!LU51)</f>
        <v/>
      </c>
      <c r="LJ51" s="2" t="str">
        <f>IF('Data Checking'!LV51="","",'Data Checking'!LV51)</f>
        <v/>
      </c>
      <c r="LK51" s="2" t="str">
        <f>IF('Data Checking'!LW51="","",'Data Checking'!LW51)</f>
        <v/>
      </c>
      <c r="LL51" s="2" t="str">
        <f>IF('Data Checking'!LX51="","",'Data Checking'!LX51)</f>
        <v/>
      </c>
      <c r="LM51" s="2" t="str">
        <f>IF('Data Checking'!LY51="","",'Data Checking'!LY51)</f>
        <v/>
      </c>
      <c r="LN51" s="2" t="str">
        <f>IF('Data Checking'!LZ51="","",'Data Checking'!LZ51)</f>
        <v/>
      </c>
      <c r="LO51" s="2" t="str">
        <f>IF('Data Checking'!MA51="","",'Data Checking'!MA51)</f>
        <v/>
      </c>
      <c r="LP51" s="2" t="str">
        <f>IF('Data Checking'!MB51="","",'Data Checking'!MB51)</f>
        <v>non</v>
      </c>
      <c r="LQ51" s="2" t="str">
        <f>IF('Data Checking'!MC51="","",'Data Checking'!MC51)</f>
        <v/>
      </c>
      <c r="LR51" s="2" t="str">
        <f>IF('Data Checking'!MD51="","",'Data Checking'!MD51)</f>
        <v/>
      </c>
      <c r="LS51" s="2">
        <f>IF('Data Checking'!ME51="","",'Data Checking'!ME51)</f>
        <v>169469480</v>
      </c>
      <c r="LT51" s="2" t="str">
        <f>IF('Data Checking'!MF51="","",'Data Checking'!MF51)</f>
        <v>24d5d018-15b8-4956-96a2-5a9f22803457</v>
      </c>
      <c r="LU51" s="2" t="str">
        <f>IF('Data Checking'!MG51="","",'Data Checking'!MG51)</f>
        <v>2021-04-03T15:17:11</v>
      </c>
      <c r="LV51" s="2" t="str">
        <f>IF('Data Checking'!MH51="","",'Data Checking'!MH51)</f>
        <v/>
      </c>
      <c r="LW51" s="2" t="str">
        <f>IF('Data Checking'!MI51="","",'Data Checking'!MI51)</f>
        <v>[]</v>
      </c>
      <c r="LX51" s="2" t="str">
        <f>IF('Data Checking'!MJ51="","",'Data Checking'!MJ51)</f>
        <v>submitted_via_web</v>
      </c>
      <c r="LY51" s="2" t="str">
        <f>IF('Data Checking'!MK51="","",'Data Checking'!MK51)</f>
        <v>reach_niger</v>
      </c>
      <c r="LZ51" s="2" t="str">
        <f>IF('Data Checking'!ML51="","",'Data Checking'!ML51)</f>
        <v/>
      </c>
      <c r="MA51" s="2">
        <f>IF('Data Checking'!MM51="","",'Data Checking'!MM51)</f>
        <v>40</v>
      </c>
    </row>
    <row r="52" spans="1:339" x14ac:dyDescent="0.3">
      <c r="A52" s="2" t="str">
        <f>IF('Data Checking'!D52="","",'Data Checking'!D52)</f>
        <v>2021-03-31T12:44:17.458+01:00</v>
      </c>
      <c r="B52" s="2" t="str">
        <f>IF('Data Checking'!E52="","",'Data Checking'!E52)</f>
        <v>2021-04-01T08:28:05.251+01:00</v>
      </c>
      <c r="C52" s="2" t="str">
        <f>IF('Data Checking'!M52="","",'Data Checking'!M52)</f>
        <v>2021-03-31</v>
      </c>
      <c r="D52" s="2" t="str">
        <f>IF('Data Checking'!N52="","",'Data Checking'!N52)</f>
        <v/>
      </c>
      <c r="E52" s="2" t="str">
        <f>IF('Data Checking'!O52="","",'Data Checking'!O52)</f>
        <v/>
      </c>
      <c r="F52" s="2" t="str">
        <f>IF('Data Checking'!R52="","",'Data Checking'!R52)</f>
        <v>Femme</v>
      </c>
      <c r="G52" s="2" t="str">
        <f>IF('Data Checking'!S52="","",'Data Checking'!S52)</f>
        <v>abala</v>
      </c>
      <c r="H52" s="2" t="str">
        <f>IF('Data Checking'!T52="","",'Data Checking'!T52)</f>
        <v>abala</v>
      </c>
      <c r="I52" s="2" t="str">
        <f>IF('Data Checking'!U52="","",'Data Checking'!U52)</f>
        <v>abala_pdi</v>
      </c>
      <c r="J52" s="2" t="str">
        <f>IF('Data Checking'!V52="","",'Data Checking'!V52)</f>
        <v/>
      </c>
      <c r="K52" s="2" t="str">
        <f>IF('Data Checking'!W52="","",'Data Checking'!W52)</f>
        <v/>
      </c>
      <c r="L52" s="2" t="str">
        <f>IF('Data Checking'!X52="","",'Data Checking'!X52)</f>
        <v/>
      </c>
      <c r="M52" s="2" t="str">
        <f>IF('Data Checking'!Y52="","",'Data Checking'!Y52)</f>
        <v/>
      </c>
      <c r="N52" s="2" t="str">
        <f>IF('Data Checking'!Z52="","",'Data Checking'!Z52)</f>
        <v/>
      </c>
      <c r="O52" s="2" t="str">
        <f>IF('Data Checking'!AA52="","",'Data Checking'!AA52)</f>
        <v/>
      </c>
      <c r="P52" s="2" t="str">
        <f>IF('Data Checking'!AB52="","",'Data Checking'!AB52)</f>
        <v/>
      </c>
      <c r="Q52" s="2" t="str">
        <f>IF('Data Checking'!AC52="","",'Data Checking'!AC52)</f>
        <v/>
      </c>
      <c r="R52" s="2" t="str">
        <f>IF('Data Checking'!AD52="","",'Data Checking'!AD52)</f>
        <v>Homme</v>
      </c>
      <c r="S52" s="2" t="str">
        <f>IF('Data Checking'!AE52="","",'Data Checking'!AE52)</f>
        <v>55</v>
      </c>
      <c r="T52" s="2" t="str">
        <f>IF('Data Checking'!AF52="","",'Data Checking'!AF52)</f>
        <v>deplace_interne</v>
      </c>
      <c r="U52" s="2" t="str">
        <f>IF('Data Checking'!AG52="","",'Data Checking'!AG52)</f>
        <v/>
      </c>
      <c r="V52" s="2" t="str">
        <f>IF('Data Checking'!AH52="","",'Data Checking'!AH52)</f>
        <v/>
      </c>
      <c r="W52" s="2" t="str">
        <f>IF('Data Checking'!AI52="","",'Data Checking'!AI52)</f>
        <v/>
      </c>
      <c r="X52" s="2" t="str">
        <f>IF('Data Checking'!AJ52="","",'Data Checking'!AJ52)</f>
        <v/>
      </c>
      <c r="Y52" s="2" t="str">
        <f>IF('Data Checking'!AK52="","",'Data Checking'!AK52)</f>
        <v/>
      </c>
      <c r="Z52" s="2" t="str">
        <f>IF('Data Checking'!AL52="","",'Data Checking'!AL52)</f>
        <v>niger</v>
      </c>
      <c r="AA52" s="2" t="str">
        <f>IF('Data Checking'!AM52="","",'Data Checking'!AM52)</f>
        <v>tillaberi</v>
      </c>
      <c r="AB52" s="2" t="str">
        <f>IF('Data Checking'!AN52="","",'Data Checking'!AN52)</f>
        <v>abala</v>
      </c>
      <c r="AC52" s="2" t="str">
        <f>IF('Data Checking'!AO52="","",'Data Checking'!AO52)</f>
        <v/>
      </c>
      <c r="AD52" s="2" t="str">
        <f>IF('Data Checking'!AP52="","",'Data Checking'!AP52)</f>
        <v/>
      </c>
      <c r="AE52" s="2" t="str">
        <f>IF('Data Checking'!AQ52="","",'Data Checking'!AQ52)</f>
        <v/>
      </c>
      <c r="AF52" s="2" t="str">
        <f>IF('Data Checking'!AR52="","",'Data Checking'!AR52)</f>
        <v/>
      </c>
      <c r="AG52" s="2" t="str">
        <f>IF('Data Checking'!AS52="","",'Data Checking'!AS52)</f>
        <v>non</v>
      </c>
      <c r="AH52" s="2" t="str">
        <f>IF('Data Checking'!AT52="","",'Data Checking'!AT52)</f>
        <v/>
      </c>
      <c r="AI52" s="2" t="str">
        <f>IF('Data Checking'!AU52="","",'Data Checking'!AU52)</f>
        <v/>
      </c>
      <c r="AJ52" s="2" t="str">
        <f>IF('Data Checking'!AV52="","",'Data Checking'!AV52)</f>
        <v/>
      </c>
      <c r="AK52" s="2" t="str">
        <f>IF('Data Checking'!AW52="","",'Data Checking'!AW52)</f>
        <v/>
      </c>
      <c r="AL52" s="2" t="str">
        <f>IF('Data Checking'!AX52="","",'Data Checking'!AX52)</f>
        <v/>
      </c>
      <c r="AM52" s="2" t="str">
        <f>IF('Data Checking'!AY52="","",'Data Checking'!AY52)</f>
        <v/>
      </c>
      <c r="AN52" s="2" t="str">
        <f>IF('Data Checking'!AZ52="","",'Data Checking'!AZ52)</f>
        <v/>
      </c>
      <c r="AO52" s="2" t="str">
        <f>IF('Data Checking'!BA52="","",'Data Checking'!BA52)</f>
        <v/>
      </c>
      <c r="AP52" s="2" t="str">
        <f>IF('Data Checking'!BB52="","",'Data Checking'!BB52)</f>
        <v/>
      </c>
      <c r="AQ52" s="2" t="str">
        <f>IF('Data Checking'!BC52="","",'Data Checking'!BC52)</f>
        <v/>
      </c>
      <c r="AR52" s="2" t="str">
        <f>IF('Data Checking'!BD52="","",'Data Checking'!BD52)</f>
        <v/>
      </c>
      <c r="AS52" s="2" t="str">
        <f>IF('Data Checking'!BE52="","",'Data Checking'!BE52)</f>
        <v/>
      </c>
      <c r="AT52" s="2" t="str">
        <f>IF('Data Checking'!BF52="","",'Data Checking'!BF52)</f>
        <v/>
      </c>
      <c r="AU52" s="2" t="str">
        <f>IF('Data Checking'!BG52="","",'Data Checking'!BG52)</f>
        <v/>
      </c>
      <c r="AV52" s="2" t="str">
        <f>IF('Data Checking'!BH52="","",'Data Checking'!BH52)</f>
        <v/>
      </c>
      <c r="AW52" s="2" t="str">
        <f>IF('Data Checking'!BI52="","",'Data Checking'!BI52)</f>
        <v/>
      </c>
      <c r="AX52" s="2" t="str">
        <f>IF('Data Checking'!BJ52="","",'Data Checking'!BJ52)</f>
        <v/>
      </c>
      <c r="AY52" s="2" t="str">
        <f>IF('Data Checking'!BK52="","",'Data Checking'!BK52)</f>
        <v/>
      </c>
      <c r="AZ52" s="2" t="str">
        <f>IF('Data Checking'!BL52="","",'Data Checking'!BL52)</f>
        <v/>
      </c>
      <c r="BA52" s="2" t="str">
        <f>IF('Data Checking'!BM52="","",'Data Checking'!BM52)</f>
        <v/>
      </c>
      <c r="BB52" s="2" t="str">
        <f>IF('Data Checking'!BN52="","",'Data Checking'!BN52)</f>
        <v/>
      </c>
      <c r="BC52" s="2" t="str">
        <f>IF('Data Checking'!BO52="","",'Data Checking'!BO52)</f>
        <v/>
      </c>
      <c r="BD52" s="2" t="str">
        <f>IF('Data Checking'!BP52="","",'Data Checking'!BP52)</f>
        <v/>
      </c>
      <c r="BE52" s="2" t="str">
        <f>IF('Data Checking'!BQ52="","",'Data Checking'!BQ52)</f>
        <v/>
      </c>
      <c r="BF52" s="2" t="str">
        <f>IF('Data Checking'!BR52="","",'Data Checking'!BR52)</f>
        <v/>
      </c>
      <c r="BG52" s="2" t="str">
        <f>IF('Data Checking'!BS52="","",'Data Checking'!BS52)</f>
        <v/>
      </c>
      <c r="BH52" s="2" t="str">
        <f>IF('Data Checking'!BT52="","",'Data Checking'!BT52)</f>
        <v/>
      </c>
      <c r="BI52" s="2" t="str">
        <f>IF('Data Checking'!BU52="","",'Data Checking'!BU52)</f>
        <v/>
      </c>
      <c r="BJ52" s="2" t="str">
        <f>IF('Data Checking'!BV52="","",'Data Checking'!BV52)</f>
        <v/>
      </c>
      <c r="BK52" s="2" t="str">
        <f>IF('Data Checking'!BW52="","",'Data Checking'!BW52)</f>
        <v/>
      </c>
      <c r="BL52" s="2" t="str">
        <f>IF('Data Checking'!BX52="","",'Data Checking'!BX52)</f>
        <v/>
      </c>
      <c r="BM52" s="2" t="str">
        <f>IF('Data Checking'!BY52="","",'Data Checking'!BY52)</f>
        <v/>
      </c>
      <c r="BN52" s="2" t="str">
        <f>IF('Data Checking'!BZ52="","",'Data Checking'!BZ52)</f>
        <v/>
      </c>
      <c r="BO52" s="2" t="str">
        <f>IF('Data Checking'!CA52="","",'Data Checking'!CA52)</f>
        <v/>
      </c>
      <c r="BP52" s="2" t="str">
        <f>IF('Data Checking'!CB52="","",'Data Checking'!CB52)</f>
        <v/>
      </c>
      <c r="BQ52" s="2" t="str">
        <f>IF('Data Checking'!CC52="","",'Data Checking'!CC52)</f>
        <v>non</v>
      </c>
      <c r="BR52" s="2" t="str">
        <f>IF('Data Checking'!CD52="","",'Data Checking'!CD52)</f>
        <v/>
      </c>
      <c r="BS52" s="2" t="str">
        <f>IF('Data Checking'!CE52="","",'Data Checking'!CE52)</f>
        <v/>
      </c>
      <c r="BT52" s="2" t="str">
        <f>IF('Data Checking'!CF52="","",'Data Checking'!CF52)</f>
        <v/>
      </c>
      <c r="BU52" s="2" t="str">
        <f>IF('Data Checking'!CG52="","",'Data Checking'!CG52)</f>
        <v/>
      </c>
      <c r="BV52" s="2" t="str">
        <f>IF('Data Checking'!CH52="","",'Data Checking'!CH52)</f>
        <v/>
      </c>
      <c r="BW52" s="2" t="str">
        <f>IF('Data Checking'!CI52="","",'Data Checking'!CI52)</f>
        <v/>
      </c>
      <c r="BX52" s="2" t="str">
        <f>IF('Data Checking'!CJ52="","",'Data Checking'!CJ52)</f>
        <v/>
      </c>
      <c r="BY52" s="2" t="str">
        <f>IF('Data Checking'!CK52="","",'Data Checking'!CK52)</f>
        <v/>
      </c>
      <c r="BZ52" s="2" t="str">
        <f>IF('Data Checking'!CL52="","",'Data Checking'!CL52)</f>
        <v/>
      </c>
      <c r="CA52" s="2" t="str">
        <f>IF('Data Checking'!CM52="","",'Data Checking'!CM52)</f>
        <v/>
      </c>
      <c r="CB52" s="2" t="str">
        <f>IF('Data Checking'!CN52="","",'Data Checking'!CN52)</f>
        <v/>
      </c>
      <c r="CC52" s="2" t="str">
        <f>IF('Data Checking'!CO52="","",'Data Checking'!CO52)</f>
        <v/>
      </c>
      <c r="CD52" s="2" t="str">
        <f>IF('Data Checking'!CP52="","",'Data Checking'!CP52)</f>
        <v/>
      </c>
      <c r="CE52" s="2" t="str">
        <f>IF('Data Checking'!CQ52="","",'Data Checking'!CQ52)</f>
        <v/>
      </c>
      <c r="CF52" s="2" t="str">
        <f>IF('Data Checking'!CR52="","",'Data Checking'!CR52)</f>
        <v/>
      </c>
      <c r="CG52" s="2" t="str">
        <f>IF('Data Checking'!CS52="","",'Data Checking'!CS52)</f>
        <v/>
      </c>
      <c r="CH52" s="2" t="str">
        <f>IF('Data Checking'!CT52="","",'Data Checking'!CT52)</f>
        <v/>
      </c>
      <c r="CI52" s="2" t="str">
        <f>IF('Data Checking'!CU52="","",'Data Checking'!CU52)</f>
        <v/>
      </c>
      <c r="CJ52" s="2" t="str">
        <f>IF('Data Checking'!CV52="","",'Data Checking'!CV52)</f>
        <v/>
      </c>
      <c r="CK52" s="2" t="str">
        <f>IF('Data Checking'!CW52="","",'Data Checking'!CW52)</f>
        <v/>
      </c>
      <c r="CL52" s="2" t="str">
        <f>IF('Data Checking'!CX52="","",'Data Checking'!CX52)</f>
        <v/>
      </c>
      <c r="CM52" s="2" t="str">
        <f>IF('Data Checking'!CY52="","",'Data Checking'!CY52)</f>
        <v/>
      </c>
      <c r="CN52" s="2" t="str">
        <f>IF('Data Checking'!CZ52="","",'Data Checking'!CZ52)</f>
        <v/>
      </c>
      <c r="CO52" s="2" t="str">
        <f>IF('Data Checking'!DA52="","",'Data Checking'!DA52)</f>
        <v/>
      </c>
      <c r="CP52" s="2" t="str">
        <f>IF('Data Checking'!DB52="","",'Data Checking'!DB52)</f>
        <v/>
      </c>
      <c r="CQ52" s="2" t="str">
        <f>IF('Data Checking'!DC52="","",'Data Checking'!DC52)</f>
        <v/>
      </c>
      <c r="CR52" s="2" t="str">
        <f>IF('Data Checking'!DD52="","",'Data Checking'!DD52)</f>
        <v/>
      </c>
      <c r="CS52" s="2" t="str">
        <f>IF('Data Checking'!DE52="","",'Data Checking'!DE52)</f>
        <v/>
      </c>
      <c r="CT52" s="2" t="str">
        <f>IF('Data Checking'!DF52="","",'Data Checking'!DF52)</f>
        <v/>
      </c>
      <c r="CU52" s="2" t="str">
        <f>IF('Data Checking'!DG52="","",'Data Checking'!DG52)</f>
        <v/>
      </c>
      <c r="CV52" s="2" t="str">
        <f>IF('Data Checking'!DH52="","",'Data Checking'!DH52)</f>
        <v/>
      </c>
      <c r="CW52" s="2" t="str">
        <f>IF('Data Checking'!DI52="","",'Data Checking'!DI52)</f>
        <v/>
      </c>
      <c r="CX52" s="2" t="str">
        <f>IF('Data Checking'!DJ52="","",'Data Checking'!DJ52)</f>
        <v/>
      </c>
      <c r="CY52" s="2" t="str">
        <f>IF('Data Checking'!DK52="","",'Data Checking'!DK52)</f>
        <v/>
      </c>
      <c r="CZ52" s="2" t="str">
        <f>IF('Data Checking'!DL52="","",'Data Checking'!DL52)</f>
        <v/>
      </c>
      <c r="DA52" s="2" t="str">
        <f>IF('Data Checking'!DM52="","",'Data Checking'!DM52)</f>
        <v/>
      </c>
      <c r="DB52" s="2" t="str">
        <f>IF('Data Checking'!DN52="","",'Data Checking'!DN52)</f>
        <v/>
      </c>
      <c r="DC52" s="2" t="str">
        <f>IF('Data Checking'!DO52="","",'Data Checking'!DO52)</f>
        <v/>
      </c>
      <c r="DD52" s="2" t="str">
        <f>IF('Data Checking'!DP52="","",'Data Checking'!DP52)</f>
        <v/>
      </c>
      <c r="DE52" s="2" t="str">
        <f>IF('Data Checking'!DQ52="","",'Data Checking'!DQ52)</f>
        <v/>
      </c>
      <c r="DF52" s="2" t="str">
        <f>IF('Data Checking'!DR52="","",'Data Checking'!DR52)</f>
        <v/>
      </c>
      <c r="DG52" s="2" t="str">
        <f>IF('Data Checking'!DS52="","",'Data Checking'!DS52)</f>
        <v/>
      </c>
      <c r="DH52" s="2" t="str">
        <f>IF('Data Checking'!DT52="","",'Data Checking'!DT52)</f>
        <v/>
      </c>
      <c r="DI52" s="2" t="str">
        <f>IF('Data Checking'!DU52="","",'Data Checking'!DU52)</f>
        <v/>
      </c>
      <c r="DJ52" s="2" t="str">
        <f>IF('Data Checking'!DV52="","",'Data Checking'!DV52)</f>
        <v/>
      </c>
      <c r="DK52" s="2" t="str">
        <f>IF('Data Checking'!DW52="","",'Data Checking'!DW52)</f>
        <v/>
      </c>
      <c r="DL52" s="2" t="str">
        <f>IF('Data Checking'!DX52="","",'Data Checking'!DX52)</f>
        <v/>
      </c>
      <c r="DM52" s="2" t="str">
        <f>IF('Data Checking'!DY52="","",'Data Checking'!DY52)</f>
        <v/>
      </c>
      <c r="DN52" s="2" t="str">
        <f>IF('Data Checking'!DZ52="","",'Data Checking'!DZ52)</f>
        <v/>
      </c>
      <c r="DO52" s="2" t="str">
        <f>IF('Data Checking'!EA52="","",'Data Checking'!EA52)</f>
        <v/>
      </c>
      <c r="DP52" s="2" t="str">
        <f>IF('Data Checking'!EB52="","",'Data Checking'!EB52)</f>
        <v/>
      </c>
      <c r="DQ52" s="2" t="str">
        <f>IF('Data Checking'!EC52="","",'Data Checking'!EC52)</f>
        <v/>
      </c>
      <c r="DR52" s="2" t="str">
        <f>IF('Data Checking'!ED52="","",'Data Checking'!ED52)</f>
        <v/>
      </c>
      <c r="DS52" s="2" t="str">
        <f>IF('Data Checking'!EE52="","",'Data Checking'!EE52)</f>
        <v/>
      </c>
      <c r="DT52" s="2" t="str">
        <f>IF('Data Checking'!EF52="","",'Data Checking'!EF52)</f>
        <v/>
      </c>
      <c r="DU52" s="2" t="str">
        <f>IF('Data Checking'!EG52="","",'Data Checking'!EG52)</f>
        <v/>
      </c>
      <c r="DV52" s="2" t="str">
        <f>IF('Data Checking'!EH52="","",'Data Checking'!EH52)</f>
        <v/>
      </c>
      <c r="DW52" s="2" t="str">
        <f>IF('Data Checking'!EI52="","",'Data Checking'!EI52)</f>
        <v/>
      </c>
      <c r="DX52" s="2" t="str">
        <f>IF('Data Checking'!EJ52="","",'Data Checking'!EJ52)</f>
        <v/>
      </c>
      <c r="DY52" s="2" t="str">
        <f>IF('Data Checking'!EK52="","",'Data Checking'!EK52)</f>
        <v/>
      </c>
      <c r="DZ52" s="2" t="str">
        <f>IF('Data Checking'!EL52="","",'Data Checking'!EL52)</f>
        <v>Soutien_famille_amis Soutien_psychosocial</v>
      </c>
      <c r="EA52" s="2" t="str">
        <f>IF('Data Checking'!EM52="","",'Data Checking'!EM52)</f>
        <v>0</v>
      </c>
      <c r="EB52" s="2" t="str">
        <f>IF('Data Checking'!EN52="","",'Data Checking'!EN52)</f>
        <v>0</v>
      </c>
      <c r="EC52" s="2" t="str">
        <f>IF('Data Checking'!EO52="","",'Data Checking'!EO52)</f>
        <v>1</v>
      </c>
      <c r="ED52" s="2" t="str">
        <f>IF('Data Checking'!EP52="","",'Data Checking'!EP52)</f>
        <v>0</v>
      </c>
      <c r="EE52" s="2" t="str">
        <f>IF('Data Checking'!EQ52="","",'Data Checking'!EQ52)</f>
        <v>1</v>
      </c>
      <c r="EF52" s="2" t="str">
        <f>IF('Data Checking'!ER52="","",'Data Checking'!ER52)</f>
        <v>0</v>
      </c>
      <c r="EG52" s="2" t="str">
        <f>IF('Data Checking'!ES52="","",'Data Checking'!ES52)</f>
        <v>0</v>
      </c>
      <c r="EH52" s="2" t="str">
        <f>IF('Data Checking'!ET52="","",'Data Checking'!ET52)</f>
        <v>0</v>
      </c>
      <c r="EI52" s="2" t="str">
        <f>IF('Data Checking'!EU52="","",'Data Checking'!EU52)</f>
        <v>0</v>
      </c>
      <c r="EJ52" s="2" t="str">
        <f>IF('Data Checking'!EV52="","",'Data Checking'!EV52)</f>
        <v/>
      </c>
      <c r="EK52" s="2" t="str">
        <f>IF('Data Checking'!EW52="","",'Data Checking'!EW52)</f>
        <v/>
      </c>
      <c r="EL52" s="2" t="str">
        <f>IF('Data Checking'!EX52="","",'Data Checking'!EX52)</f>
        <v>femmes_elite comite_protection comite_gestion_conflits</v>
      </c>
      <c r="EM52" s="2" t="str">
        <f>IF('Data Checking'!EY52="","",'Data Checking'!EY52)</f>
        <v>1</v>
      </c>
      <c r="EN52" s="2" t="str">
        <f>IF('Data Checking'!EZ52="","",'Data Checking'!EZ52)</f>
        <v>1</v>
      </c>
      <c r="EO52" s="2" t="str">
        <f>IF('Data Checking'!FA52="","",'Data Checking'!FA52)</f>
        <v>0</v>
      </c>
      <c r="EP52" s="2" t="str">
        <f>IF('Data Checking'!FB52="","",'Data Checking'!FB52)</f>
        <v>0</v>
      </c>
      <c r="EQ52" s="2" t="str">
        <f>IF('Data Checking'!FC52="","",'Data Checking'!FC52)</f>
        <v>0</v>
      </c>
      <c r="ER52" s="2" t="str">
        <f>IF('Data Checking'!FD52="","",'Data Checking'!FD52)</f>
        <v>1</v>
      </c>
      <c r="ES52" s="2" t="str">
        <f>IF('Data Checking'!FE52="","",'Data Checking'!FE52)</f>
        <v>0</v>
      </c>
      <c r="ET52" s="2" t="str">
        <f>IF('Data Checking'!FF52="","",'Data Checking'!FF52)</f>
        <v>0</v>
      </c>
      <c r="EU52" s="2" t="str">
        <f>IF('Data Checking'!FG52="","",'Data Checking'!FG52)</f>
        <v>0</v>
      </c>
      <c r="EV52" s="2" t="str">
        <f>IF('Data Checking'!FH52="","",'Data Checking'!FH52)</f>
        <v>0</v>
      </c>
      <c r="EW52" s="2" t="str">
        <f>IF('Data Checking'!FI52="","",'Data Checking'!FI52)</f>
        <v/>
      </c>
      <c r="EX52" s="2" t="str">
        <f>IF('Data Checking'!FJ52="","",'Data Checking'!FJ52)</f>
        <v>oui</v>
      </c>
      <c r="EY52" s="2" t="str">
        <f>IF('Data Checking'!FK52="","",'Data Checking'!FK52)</f>
        <v>Radio_television</v>
      </c>
      <c r="EZ52" s="2" t="str">
        <f>IF('Data Checking'!FL52="","",'Data Checking'!FL52)</f>
        <v>1</v>
      </c>
      <c r="FA52" s="2" t="str">
        <f>IF('Data Checking'!FM52="","",'Data Checking'!FM52)</f>
        <v>0</v>
      </c>
      <c r="FB52" s="2" t="str">
        <f>IF('Data Checking'!FN52="","",'Data Checking'!FN52)</f>
        <v>0</v>
      </c>
      <c r="FC52" s="2" t="str">
        <f>IF('Data Checking'!FO52="","",'Data Checking'!FO52)</f>
        <v>0</v>
      </c>
      <c r="FD52" s="2" t="str">
        <f>IF('Data Checking'!FP52="","",'Data Checking'!FP52)</f>
        <v>0</v>
      </c>
      <c r="FE52" s="2" t="str">
        <f>IF('Data Checking'!FQ52="","",'Data Checking'!FQ52)</f>
        <v>0</v>
      </c>
      <c r="FF52" s="2" t="str">
        <f>IF('Data Checking'!FR52="","",'Data Checking'!FR52)</f>
        <v>0</v>
      </c>
      <c r="FG52" s="2" t="str">
        <f>IF('Data Checking'!FS52="","",'Data Checking'!FS52)</f>
        <v>0</v>
      </c>
      <c r="FH52" s="2" t="str">
        <f>IF('Data Checking'!FT52="","",'Data Checking'!FT52)</f>
        <v>0</v>
      </c>
      <c r="FI52" s="2" t="str">
        <f>IF('Data Checking'!FU52="","",'Data Checking'!FU52)</f>
        <v>0</v>
      </c>
      <c r="FJ52" s="2" t="str">
        <f>IF('Data Checking'!FV52="","",'Data Checking'!FV52)</f>
        <v>0</v>
      </c>
      <c r="FK52" s="2" t="str">
        <f>IF('Data Checking'!FW52="","",'Data Checking'!FW52)</f>
        <v>0</v>
      </c>
      <c r="FL52" s="2" t="str">
        <f>IF('Data Checking'!FX52="","",'Data Checking'!FX52)</f>
        <v>0</v>
      </c>
      <c r="FM52" s="2" t="str">
        <f>IF('Data Checking'!FY52="","",'Data Checking'!FY52)</f>
        <v>0</v>
      </c>
      <c r="FN52" s="2" t="str">
        <f>IF('Data Checking'!FZ52="","",'Data Checking'!FZ52)</f>
        <v/>
      </c>
      <c r="FO52" s="2" t="str">
        <f>IF('Data Checking'!GA52="","",'Data Checking'!GA52)</f>
        <v>oui_ensemble</v>
      </c>
      <c r="FP52" s="2" t="str">
        <f>IF('Data Checking'!GB52="","",'Data Checking'!GB52)</f>
        <v>oui_ensemble</v>
      </c>
      <c r="FQ52" s="2" t="str">
        <f>IF('Data Checking'!GC52="","",'Data Checking'!GC52)</f>
        <v/>
      </c>
      <c r="FR52" s="2" t="str">
        <f>IF('Data Checking'!GD52="","",'Data Checking'!GD52)</f>
        <v/>
      </c>
      <c r="FS52" s="2" t="str">
        <f>IF('Data Checking'!GE52="","",'Data Checking'!GE52)</f>
        <v/>
      </c>
      <c r="FT52" s="2" t="str">
        <f>IF('Data Checking'!GF52="","",'Data Checking'!GF52)</f>
        <v/>
      </c>
      <c r="FU52" s="2" t="str">
        <f>IF('Data Checking'!GG52="","",'Data Checking'!GG52)</f>
        <v/>
      </c>
      <c r="FV52" s="2" t="str">
        <f>IF('Data Checking'!GH52="","",'Data Checking'!GH52)</f>
        <v/>
      </c>
      <c r="FW52" s="2" t="str">
        <f>IF('Data Checking'!GI52="","",'Data Checking'!GI52)</f>
        <v/>
      </c>
      <c r="FX52" s="2" t="str">
        <f>IF('Data Checking'!GJ52="","",'Data Checking'!GJ52)</f>
        <v/>
      </c>
      <c r="FY52" s="2" t="str">
        <f>IF('Data Checking'!GK52="","",'Data Checking'!GK52)</f>
        <v/>
      </c>
      <c r="FZ52" s="2" t="str">
        <f>IF('Data Checking'!GL52="","",'Data Checking'!GL52)</f>
        <v/>
      </c>
      <c r="GA52" s="2" t="str">
        <f>IF('Data Checking'!GM52="","",'Data Checking'!GM52)</f>
        <v>ensemble</v>
      </c>
      <c r="GB52" s="2" t="str">
        <f>IF('Data Checking'!GN52="","",'Data Checking'!GN52)</f>
        <v>ensemble</v>
      </c>
      <c r="GC52" s="2" t="str">
        <f>IF('Data Checking'!GO52="","",'Data Checking'!GO52)</f>
        <v>Services_de_sante Education</v>
      </c>
      <c r="GD52" s="2" t="str">
        <f>IF('Data Checking'!GP52="","",'Data Checking'!GP52)</f>
        <v>0</v>
      </c>
      <c r="GE52" s="2" t="str">
        <f>IF('Data Checking'!GQ52="","",'Data Checking'!GQ52)</f>
        <v>1</v>
      </c>
      <c r="GF52" s="2" t="str">
        <f>IF('Data Checking'!GR52="","",'Data Checking'!GR52)</f>
        <v>0</v>
      </c>
      <c r="GG52" s="2" t="str">
        <f>IF('Data Checking'!GS52="","",'Data Checking'!GS52)</f>
        <v>1</v>
      </c>
      <c r="GH52" s="2" t="str">
        <f>IF('Data Checking'!GT52="","",'Data Checking'!GT52)</f>
        <v>0</v>
      </c>
      <c r="GI52" s="2" t="str">
        <f>IF('Data Checking'!GU52="","",'Data Checking'!GU52)</f>
        <v>0</v>
      </c>
      <c r="GJ52" s="2" t="str">
        <f>IF('Data Checking'!GV52="","",'Data Checking'!GV52)</f>
        <v>0</v>
      </c>
      <c r="GK52" s="2" t="str">
        <f>IF('Data Checking'!GW52="","",'Data Checking'!GW52)</f>
        <v>0</v>
      </c>
      <c r="GL52" s="2" t="str">
        <f>IF('Data Checking'!GX52="","",'Data Checking'!GX52)</f>
        <v>0</v>
      </c>
      <c r="GM52" s="2" t="str">
        <f>IF('Data Checking'!GY52="","",'Data Checking'!GY52)</f>
        <v/>
      </c>
      <c r="GN52" s="2" t="str">
        <f>IF('Data Checking'!GZ52="","",'Data Checking'!GZ52)</f>
        <v>oui_ensemble</v>
      </c>
      <c r="GO52" s="2" t="str">
        <f>IF('Data Checking'!HA52="","",'Data Checking'!HA52)</f>
        <v>oui_ensemble</v>
      </c>
      <c r="GP52" s="2" t="str">
        <f>IF('Data Checking'!HB52="","",'Data Checking'!HB52)</f>
        <v>repond_besoins_pop</v>
      </c>
      <c r="GQ52" s="2" t="str">
        <f>IF('Data Checking'!HC52="","",'Data Checking'!HC52)</f>
        <v>0</v>
      </c>
      <c r="GR52" s="2" t="str">
        <f>IF('Data Checking'!HD52="","",'Data Checking'!HD52)</f>
        <v>1</v>
      </c>
      <c r="GS52" s="2" t="str">
        <f>IF('Data Checking'!HE52="","",'Data Checking'!HE52)</f>
        <v>0</v>
      </c>
      <c r="GT52" s="2" t="str">
        <f>IF('Data Checking'!HF52="","",'Data Checking'!HF52)</f>
        <v>0</v>
      </c>
      <c r="GU52" s="2" t="str">
        <f>IF('Data Checking'!HG52="","",'Data Checking'!HG52)</f>
        <v>0</v>
      </c>
      <c r="GV52" s="2" t="str">
        <f>IF('Data Checking'!HH52="","",'Data Checking'!HH52)</f>
        <v>0</v>
      </c>
      <c r="GW52" s="2" t="str">
        <f>IF('Data Checking'!HI52="","",'Data Checking'!HI52)</f>
        <v>0</v>
      </c>
      <c r="GX52" s="2" t="str">
        <f>IF('Data Checking'!HJ52="","",'Data Checking'!HJ52)</f>
        <v>0</v>
      </c>
      <c r="GY52" s="2" t="str">
        <f>IF('Data Checking'!HK52="","",'Data Checking'!HK52)</f>
        <v/>
      </c>
      <c r="GZ52" s="2" t="str">
        <f>IF('Data Checking'!HL52="","",'Data Checking'!HL52)</f>
        <v/>
      </c>
      <c r="HA52" s="2" t="str">
        <f>IF('Data Checking'!HM52="","",'Data Checking'!HM52)</f>
        <v/>
      </c>
      <c r="HB52" s="2" t="str">
        <f>IF('Data Checking'!HN52="","",'Data Checking'!HN52)</f>
        <v/>
      </c>
      <c r="HC52" s="2" t="str">
        <f>IF('Data Checking'!HO52="","",'Data Checking'!HO52)</f>
        <v/>
      </c>
      <c r="HD52" s="2" t="str">
        <f>IF('Data Checking'!HP52="","",'Data Checking'!HP52)</f>
        <v/>
      </c>
      <c r="HE52" s="2" t="str">
        <f>IF('Data Checking'!HQ52="","",'Data Checking'!HQ52)</f>
        <v/>
      </c>
      <c r="HF52" s="2" t="str">
        <f>IF('Data Checking'!HR52="","",'Data Checking'!HR52)</f>
        <v/>
      </c>
      <c r="HG52" s="2" t="str">
        <f>IF('Data Checking'!HS52="","",'Data Checking'!HS52)</f>
        <v/>
      </c>
      <c r="HH52" s="2" t="str">
        <f>IF('Data Checking'!HT52="","",'Data Checking'!HT52)</f>
        <v/>
      </c>
      <c r="HI52" s="2" t="str">
        <f>IF('Data Checking'!HU52="","",'Data Checking'!HU52)</f>
        <v>non</v>
      </c>
      <c r="HJ52" s="2" t="str">
        <f>IF('Data Checking'!HV52="","",'Data Checking'!HV52)</f>
        <v/>
      </c>
      <c r="HK52" s="2" t="str">
        <f>IF('Data Checking'!HW52="","",'Data Checking'!HW52)</f>
        <v/>
      </c>
      <c r="HL52" s="2" t="str">
        <f>IF('Data Checking'!HX52="","",'Data Checking'!HX52)</f>
        <v/>
      </c>
      <c r="HM52" s="2" t="str">
        <f>IF('Data Checking'!HY52="","",'Data Checking'!HY52)</f>
        <v/>
      </c>
      <c r="HN52" s="2" t="str">
        <f>IF('Data Checking'!HZ52="","",'Data Checking'!HZ52)</f>
        <v/>
      </c>
      <c r="HO52" s="2" t="str">
        <f>IF('Data Checking'!IA52="","",'Data Checking'!IA52)</f>
        <v/>
      </c>
      <c r="HP52" s="2" t="str">
        <f>IF('Data Checking'!IB52="","",'Data Checking'!IB52)</f>
        <v/>
      </c>
      <c r="HQ52" s="2" t="str">
        <f>IF('Data Checking'!IC52="","",'Data Checking'!IC52)</f>
        <v/>
      </c>
      <c r="HR52" s="2" t="str">
        <f>IF('Data Checking'!ID52="","",'Data Checking'!ID52)</f>
        <v/>
      </c>
      <c r="HS52" s="2" t="str">
        <f>IF('Data Checking'!IE52="","",'Data Checking'!IE52)</f>
        <v/>
      </c>
      <c r="HT52" s="2" t="str">
        <f>IF('Data Checking'!IF52="","",'Data Checking'!IF52)</f>
        <v/>
      </c>
      <c r="HU52" s="2" t="str">
        <f>IF('Data Checking'!IG52="","",'Data Checking'!IG52)</f>
        <v/>
      </c>
      <c r="HV52" s="2" t="str">
        <f>IF('Data Checking'!IH52="","",'Data Checking'!IH52)</f>
        <v>oui</v>
      </c>
      <c r="HW52" s="2" t="str">
        <f>IF('Data Checking'!II52="","",'Data Checking'!II52)</f>
        <v/>
      </c>
      <c r="HX52" s="2" t="str">
        <f>IF('Data Checking'!IJ52="","",'Data Checking'!IJ52)</f>
        <v/>
      </c>
      <c r="HY52" s="2" t="str">
        <f>IF('Data Checking'!IK52="","",'Data Checking'!IK52)</f>
        <v/>
      </c>
      <c r="HZ52" s="2" t="str">
        <f>IF('Data Checking'!IL52="","",'Data Checking'!IL52)</f>
        <v/>
      </c>
      <c r="IA52" s="2" t="str">
        <f>IF('Data Checking'!IM52="","",'Data Checking'!IM52)</f>
        <v/>
      </c>
      <c r="IB52" s="2" t="str">
        <f>IF('Data Checking'!IN52="","",'Data Checking'!IN52)</f>
        <v/>
      </c>
      <c r="IC52" s="2" t="str">
        <f>IF('Data Checking'!IO52="","",'Data Checking'!IO52)</f>
        <v/>
      </c>
      <c r="ID52" s="2" t="str">
        <f>IF('Data Checking'!IP52="","",'Data Checking'!IP52)</f>
        <v/>
      </c>
      <c r="IE52" s="2" t="str">
        <f>IF('Data Checking'!IQ52="","",'Data Checking'!IQ52)</f>
        <v/>
      </c>
      <c r="IF52" s="2" t="str">
        <f>IF('Data Checking'!IR52="","",'Data Checking'!IR52)</f>
        <v/>
      </c>
      <c r="IG52" s="2" t="str">
        <f>IF('Data Checking'!IS52="","",'Data Checking'!IS52)</f>
        <v/>
      </c>
      <c r="IH52" s="2" t="str">
        <f>IF('Data Checking'!IT52="","",'Data Checking'!IT52)</f>
        <v/>
      </c>
      <c r="II52" s="2" t="str">
        <f>IF('Data Checking'!IU52="","",'Data Checking'!IU52)</f>
        <v/>
      </c>
      <c r="IJ52" s="2" t="str">
        <f>IF('Data Checking'!IV52="","",'Data Checking'!IV52)</f>
        <v/>
      </c>
      <c r="IK52" s="2" t="str">
        <f>IF('Data Checking'!IW52="","",'Data Checking'!IW52)</f>
        <v/>
      </c>
      <c r="IL52" s="2" t="str">
        <f>IF('Data Checking'!IX52="","",'Data Checking'!IX52)</f>
        <v/>
      </c>
      <c r="IM52" s="2" t="str">
        <f>IF('Data Checking'!IY52="","",'Data Checking'!IY52)</f>
        <v/>
      </c>
      <c r="IN52" s="2" t="str">
        <f>IF('Data Checking'!IZ52="","",'Data Checking'!IZ52)</f>
        <v>50</v>
      </c>
      <c r="IO52" s="2" t="str">
        <f>IF('Data Checking'!JA52="","",'Data Checking'!JA52)</f>
        <v>Services_educatifs Services_medicaux acces_docs</v>
      </c>
      <c r="IP52" s="2" t="str">
        <f>IF('Data Checking'!JB52="","",'Data Checking'!JB52)</f>
        <v>0</v>
      </c>
      <c r="IQ52" s="2" t="str">
        <f>IF('Data Checking'!JC52="","",'Data Checking'!JC52)</f>
        <v>1</v>
      </c>
      <c r="IR52" s="2" t="str">
        <f>IF('Data Checking'!JD52="","",'Data Checking'!JD52)</f>
        <v>1</v>
      </c>
      <c r="IS52" s="2" t="str">
        <f>IF('Data Checking'!JE52="","",'Data Checking'!JE52)</f>
        <v>0</v>
      </c>
      <c r="IT52" s="2" t="str">
        <f>IF('Data Checking'!JF52="","",'Data Checking'!JF52)</f>
        <v>1</v>
      </c>
      <c r="IU52" s="2" t="str">
        <f>IF('Data Checking'!JG52="","",'Data Checking'!JG52)</f>
        <v>0</v>
      </c>
      <c r="IV52" s="2" t="str">
        <f>IF('Data Checking'!JH52="","",'Data Checking'!JH52)</f>
        <v>0</v>
      </c>
      <c r="IW52" s="2" t="str">
        <f>IF('Data Checking'!JI52="","",'Data Checking'!JI52)</f>
        <v>0</v>
      </c>
      <c r="IX52" s="2" t="str">
        <f>IF('Data Checking'!JJ52="","",'Data Checking'!JJ52)</f>
        <v>0</v>
      </c>
      <c r="IY52" s="2" t="str">
        <f>IF('Data Checking'!JK52="","",'Data Checking'!JK52)</f>
        <v>0</v>
      </c>
      <c r="IZ52" s="2" t="str">
        <f>IF('Data Checking'!JL52="","",'Data Checking'!JL52)</f>
        <v/>
      </c>
      <c r="JA52" s="2" t="str">
        <f>IF('Data Checking'!JM52="","",'Data Checking'!JM52)</f>
        <v>prise_enchage reorientation</v>
      </c>
      <c r="JB52" s="2" t="str">
        <f>IF('Data Checking'!JN52="","",'Data Checking'!JN52)</f>
        <v>1</v>
      </c>
      <c r="JC52" s="2" t="str">
        <f>IF('Data Checking'!JO52="","",'Data Checking'!JO52)</f>
        <v>1</v>
      </c>
      <c r="JD52" s="2" t="str">
        <f>IF('Data Checking'!JP52="","",'Data Checking'!JP52)</f>
        <v>0</v>
      </c>
      <c r="JE52" s="2" t="str">
        <f>IF('Data Checking'!JQ52="","",'Data Checking'!JQ52)</f>
        <v>0</v>
      </c>
      <c r="JF52" s="2" t="str">
        <f>IF('Data Checking'!JR52="","",'Data Checking'!JR52)</f>
        <v>0</v>
      </c>
      <c r="JG52" s="2" t="str">
        <f>IF('Data Checking'!JS52="","",'Data Checking'!JS52)</f>
        <v>0</v>
      </c>
      <c r="JH52" s="2" t="str">
        <f>IF('Data Checking'!JT52="","",'Data Checking'!JT52)</f>
        <v/>
      </c>
      <c r="JI52" s="2" t="str">
        <f>IF('Data Checking'!JU52="","",'Data Checking'!JU52)</f>
        <v>point_ecoute</v>
      </c>
      <c r="JJ52" s="2" t="str">
        <f>IF('Data Checking'!JV52="","",'Data Checking'!JV52)</f>
        <v>0</v>
      </c>
      <c r="JK52" s="2" t="str">
        <f>IF('Data Checking'!JW52="","",'Data Checking'!JW52)</f>
        <v>0</v>
      </c>
      <c r="JL52" s="2" t="str">
        <f>IF('Data Checking'!JX52="","",'Data Checking'!JX52)</f>
        <v>1</v>
      </c>
      <c r="JM52" s="2" t="str">
        <f>IF('Data Checking'!JY52="","",'Data Checking'!JY52)</f>
        <v>0</v>
      </c>
      <c r="JN52" s="2" t="str">
        <f>IF('Data Checking'!JZ52="","",'Data Checking'!JZ52)</f>
        <v>0</v>
      </c>
      <c r="JO52" s="2" t="str">
        <f>IF('Data Checking'!KA52="","",'Data Checking'!KA52)</f>
        <v>0</v>
      </c>
      <c r="JP52" s="2" t="str">
        <f>IF('Data Checking'!KB52="","",'Data Checking'!KB52)</f>
        <v>0</v>
      </c>
      <c r="JQ52" s="2" t="str">
        <f>IF('Data Checking'!KC52="","",'Data Checking'!KC52)</f>
        <v>0</v>
      </c>
      <c r="JR52" s="2" t="str">
        <f>IF('Data Checking'!KD52="","",'Data Checking'!KD52)</f>
        <v>0</v>
      </c>
      <c r="JS52" s="2" t="str">
        <f>IF('Data Checking'!KE52="","",'Data Checking'!KE52)</f>
        <v/>
      </c>
      <c r="JT52" s="2" t="str">
        <f>IF('Data Checking'!KF52="","",'Data Checking'!KF52)</f>
        <v>juridique medical</v>
      </c>
      <c r="JU52" s="2" t="str">
        <f>IF('Data Checking'!KG52="","",'Data Checking'!KG52)</f>
        <v>1</v>
      </c>
      <c r="JV52" s="2" t="str">
        <f>IF('Data Checking'!KH52="","",'Data Checking'!KH52)</f>
        <v>0</v>
      </c>
      <c r="JW52" s="2" t="str">
        <f>IF('Data Checking'!KI52="","",'Data Checking'!KI52)</f>
        <v>0</v>
      </c>
      <c r="JX52" s="2" t="str">
        <f>IF('Data Checking'!KJ52="","",'Data Checking'!KJ52)</f>
        <v>1</v>
      </c>
      <c r="JY52" s="2" t="str">
        <f>IF('Data Checking'!KK52="","",'Data Checking'!KK52)</f>
        <v>0</v>
      </c>
      <c r="JZ52" s="2" t="str">
        <f>IF('Data Checking'!KL52="","",'Data Checking'!KL52)</f>
        <v>0</v>
      </c>
      <c r="KA52" s="2" t="str">
        <f>IF('Data Checking'!KM52="","",'Data Checking'!KM52)</f>
        <v>0</v>
      </c>
      <c r="KB52" s="2" t="str">
        <f>IF('Data Checking'!KN52="","",'Data Checking'!KN52)</f>
        <v>0</v>
      </c>
      <c r="KC52" s="2" t="str">
        <f>IF('Data Checking'!KO52="","",'Data Checking'!KO52)</f>
        <v>0</v>
      </c>
      <c r="KD52" s="2" t="str">
        <f>IF('Data Checking'!KP52="","",'Data Checking'!KP52)</f>
        <v/>
      </c>
      <c r="KE52" s="2" t="str">
        <f>IF('Data Checking'!KQ52="","",'Data Checking'!KQ52)</f>
        <v/>
      </c>
      <c r="KF52" s="2" t="str">
        <f>IF('Data Checking'!KR52="","",'Data Checking'!KR52)</f>
        <v>oui</v>
      </c>
      <c r="KG52" s="2" t="str">
        <f>IF('Data Checking'!KS52="","",'Data Checking'!KS52)</f>
        <v>insecurite_zone manque_moyens</v>
      </c>
      <c r="KH52" s="2" t="str">
        <f>IF('Data Checking'!KT52="","",'Data Checking'!KT52)</f>
        <v>1</v>
      </c>
      <c r="KI52" s="2" t="str">
        <f>IF('Data Checking'!KU52="","",'Data Checking'!KU52)</f>
        <v>0</v>
      </c>
      <c r="KJ52" s="2" t="str">
        <f>IF('Data Checking'!KV52="","",'Data Checking'!KV52)</f>
        <v>0</v>
      </c>
      <c r="KK52" s="2" t="str">
        <f>IF('Data Checking'!KW52="","",'Data Checking'!KW52)</f>
        <v>0</v>
      </c>
      <c r="KL52" s="2" t="str">
        <f>IF('Data Checking'!KX52="","",'Data Checking'!KX52)</f>
        <v>1</v>
      </c>
      <c r="KM52" s="2" t="str">
        <f>IF('Data Checking'!KY52="","",'Data Checking'!KY52)</f>
        <v>0</v>
      </c>
      <c r="KN52" s="2" t="str">
        <f>IF('Data Checking'!KZ52="","",'Data Checking'!KZ52)</f>
        <v>0</v>
      </c>
      <c r="KO52" s="2" t="str">
        <f>IF('Data Checking'!LA52="","",'Data Checking'!LA52)</f>
        <v>0</v>
      </c>
      <c r="KP52" s="2" t="str">
        <f>IF('Data Checking'!LB52="","",'Data Checking'!LB52)</f>
        <v>0</v>
      </c>
      <c r="KQ52" s="2" t="str">
        <f>IF('Data Checking'!LC52="","",'Data Checking'!LC52)</f>
        <v>0</v>
      </c>
      <c r="KR52" s="2" t="str">
        <f>IF('Data Checking'!LD52="","",'Data Checking'!LD52)</f>
        <v>0</v>
      </c>
      <c r="KS52" s="2" t="str">
        <f>IF('Data Checking'!LE52="","",'Data Checking'!LE52)</f>
        <v/>
      </c>
      <c r="KT52" s="2" t="str">
        <f>IF('Data Checking'!LF52="","",'Data Checking'!LF52)</f>
        <v/>
      </c>
      <c r="KU52" s="2" t="str">
        <f>IF('Data Checking'!LG52="","",'Data Checking'!LG52)</f>
        <v/>
      </c>
      <c r="KV52" s="2" t="str">
        <f>IF('Data Checking'!LH52="","",'Data Checking'!LH52)</f>
        <v/>
      </c>
      <c r="KW52" s="2" t="str">
        <f>IF('Data Checking'!LI52="","",'Data Checking'!LI52)</f>
        <v/>
      </c>
      <c r="KX52" s="2" t="str">
        <f>IF('Data Checking'!LJ52="","",'Data Checking'!LJ52)</f>
        <v/>
      </c>
      <c r="KY52" s="2" t="str">
        <f>IF('Data Checking'!LK52="","",'Data Checking'!LK52)</f>
        <v/>
      </c>
      <c r="KZ52" s="2" t="str">
        <f>IF('Data Checking'!LL52="","",'Data Checking'!LL52)</f>
        <v/>
      </c>
      <c r="LA52" s="2" t="str">
        <f>IF('Data Checking'!LM52="","",'Data Checking'!LM52)</f>
        <v/>
      </c>
      <c r="LB52" s="2" t="str">
        <f>IF('Data Checking'!LN52="","",'Data Checking'!LN52)</f>
        <v>non</v>
      </c>
      <c r="LC52" s="2" t="str">
        <f>IF('Data Checking'!LO52="","",'Data Checking'!LO52)</f>
        <v/>
      </c>
      <c r="LD52" s="2" t="str">
        <f>IF('Data Checking'!LP52="","",'Data Checking'!LP52)</f>
        <v/>
      </c>
      <c r="LE52" s="2" t="str">
        <f>IF('Data Checking'!LQ52="","",'Data Checking'!LQ52)</f>
        <v/>
      </c>
      <c r="LF52" s="2" t="str">
        <f>IF('Data Checking'!LR52="","",'Data Checking'!LR52)</f>
        <v/>
      </c>
      <c r="LG52" s="2" t="str">
        <f>IF('Data Checking'!LS52="","",'Data Checking'!LS52)</f>
        <v/>
      </c>
      <c r="LH52" s="2" t="str">
        <f>IF('Data Checking'!LT52="","",'Data Checking'!LT52)</f>
        <v/>
      </c>
      <c r="LI52" s="2" t="str">
        <f>IF('Data Checking'!LU52="","",'Data Checking'!LU52)</f>
        <v/>
      </c>
      <c r="LJ52" s="2" t="str">
        <f>IF('Data Checking'!LV52="","",'Data Checking'!LV52)</f>
        <v/>
      </c>
      <c r="LK52" s="2" t="str">
        <f>IF('Data Checking'!LW52="","",'Data Checking'!LW52)</f>
        <v/>
      </c>
      <c r="LL52" s="2" t="str">
        <f>IF('Data Checking'!LX52="","",'Data Checking'!LX52)</f>
        <v/>
      </c>
      <c r="LM52" s="2" t="str">
        <f>IF('Data Checking'!LY52="","",'Data Checking'!LY52)</f>
        <v/>
      </c>
      <c r="LN52" s="2" t="str">
        <f>IF('Data Checking'!LZ52="","",'Data Checking'!LZ52)</f>
        <v/>
      </c>
      <c r="LO52" s="2" t="str">
        <f>IF('Data Checking'!MA52="","",'Data Checking'!MA52)</f>
        <v/>
      </c>
      <c r="LP52" s="2" t="str">
        <f>IF('Data Checking'!MB52="","",'Data Checking'!MB52)</f>
        <v>oui</v>
      </c>
      <c r="LQ52" s="2" t="str">
        <f>IF('Data Checking'!MC52="","",'Data Checking'!MC52)</f>
        <v/>
      </c>
      <c r="LR52" s="2" t="str">
        <f>IF('Data Checking'!MD52="","",'Data Checking'!MD52)</f>
        <v/>
      </c>
      <c r="LS52" s="2">
        <f>IF('Data Checking'!ME52="","",'Data Checking'!ME52)</f>
        <v>169049290</v>
      </c>
      <c r="LT52" s="2" t="str">
        <f>IF('Data Checking'!MF52="","",'Data Checking'!MF52)</f>
        <v>4705e4cd-2e11-492b-a954-8e0c4049f138</v>
      </c>
      <c r="LU52" s="2" t="str">
        <f>IF('Data Checking'!MG52="","",'Data Checking'!MG52)</f>
        <v>2021-04-01T07:57:55</v>
      </c>
      <c r="LV52" s="2" t="str">
        <f>IF('Data Checking'!MH52="","",'Data Checking'!MH52)</f>
        <v/>
      </c>
      <c r="LW52" s="2" t="str">
        <f>IF('Data Checking'!MI52="","",'Data Checking'!MI52)</f>
        <v>[]</v>
      </c>
      <c r="LX52" s="2" t="str">
        <f>IF('Data Checking'!MJ52="","",'Data Checking'!MJ52)</f>
        <v>submitted_via_web</v>
      </c>
      <c r="LY52" s="2" t="str">
        <f>IF('Data Checking'!MK52="","",'Data Checking'!MK52)</f>
        <v>reach_niger</v>
      </c>
      <c r="LZ52" s="2" t="str">
        <f>IF('Data Checking'!ML52="","",'Data Checking'!ML52)</f>
        <v/>
      </c>
      <c r="MA52" s="2">
        <f>IF('Data Checking'!MM52="","",'Data Checking'!MM52)</f>
        <v>10</v>
      </c>
    </row>
    <row r="53" spans="1:339" x14ac:dyDescent="0.3">
      <c r="A53" s="2" t="str">
        <f>IF('Data Checking'!D53="","",'Data Checking'!D53)</f>
        <v>2021-03-31T15:41:03.814+01:00</v>
      </c>
      <c r="B53" s="2" t="str">
        <f>IF('Data Checking'!E53="","",'Data Checking'!E53)</f>
        <v>2021-04-01T08:28:17.479+01:00</v>
      </c>
      <c r="C53" s="2" t="str">
        <f>IF('Data Checking'!M53="","",'Data Checking'!M53)</f>
        <v>2021-03-31</v>
      </c>
      <c r="D53" s="2" t="str">
        <f>IF('Data Checking'!N53="","",'Data Checking'!N53)</f>
        <v/>
      </c>
      <c r="E53" s="2" t="str">
        <f>IF('Data Checking'!O53="","",'Data Checking'!O53)</f>
        <v/>
      </c>
      <c r="F53" s="2" t="str">
        <f>IF('Data Checking'!R53="","",'Data Checking'!R53)</f>
        <v>Femme</v>
      </c>
      <c r="G53" s="2" t="str">
        <f>IF('Data Checking'!S53="","",'Data Checking'!S53)</f>
        <v>abala</v>
      </c>
      <c r="H53" s="2" t="str">
        <f>IF('Data Checking'!T53="","",'Data Checking'!T53)</f>
        <v>abala</v>
      </c>
      <c r="I53" s="2" t="str">
        <f>IF('Data Checking'!U53="","",'Data Checking'!U53)</f>
        <v>abala_ref</v>
      </c>
      <c r="J53" s="2" t="str">
        <f>IF('Data Checking'!V53="","",'Data Checking'!V53)</f>
        <v/>
      </c>
      <c r="K53" s="2" t="str">
        <f>IF('Data Checking'!W53="","",'Data Checking'!W53)</f>
        <v/>
      </c>
      <c r="L53" s="2" t="str">
        <f>IF('Data Checking'!X53="","",'Data Checking'!X53)</f>
        <v/>
      </c>
      <c r="M53" s="2" t="str">
        <f>IF('Data Checking'!Y53="","",'Data Checking'!Y53)</f>
        <v/>
      </c>
      <c r="N53" s="2" t="str">
        <f>IF('Data Checking'!Z53="","",'Data Checking'!Z53)</f>
        <v/>
      </c>
      <c r="O53" s="2" t="str">
        <f>IF('Data Checking'!AA53="","",'Data Checking'!AA53)</f>
        <v/>
      </c>
      <c r="P53" s="2" t="str">
        <f>IF('Data Checking'!AB53="","",'Data Checking'!AB53)</f>
        <v/>
      </c>
      <c r="Q53" s="2" t="str">
        <f>IF('Data Checking'!AC53="","",'Data Checking'!AC53)</f>
        <v/>
      </c>
      <c r="R53" s="2" t="str">
        <f>IF('Data Checking'!AD53="","",'Data Checking'!AD53)</f>
        <v>Femme</v>
      </c>
      <c r="S53" s="2" t="str">
        <f>IF('Data Checking'!AE53="","",'Data Checking'!AE53)</f>
        <v>18</v>
      </c>
      <c r="T53" s="2" t="str">
        <f>IF('Data Checking'!AF53="","",'Data Checking'!AF53)</f>
        <v>refugie</v>
      </c>
      <c r="U53" s="2" t="str">
        <f>IF('Data Checking'!AG53="","",'Data Checking'!AG53)</f>
        <v/>
      </c>
      <c r="V53" s="2" t="str">
        <f>IF('Data Checking'!AH53="","",'Data Checking'!AH53)</f>
        <v/>
      </c>
      <c r="W53" s="2" t="str">
        <f>IF('Data Checking'!AI53="","",'Data Checking'!AI53)</f>
        <v/>
      </c>
      <c r="X53" s="2" t="str">
        <f>IF('Data Checking'!AJ53="","",'Data Checking'!AJ53)</f>
        <v/>
      </c>
      <c r="Y53" s="2" t="str">
        <f>IF('Data Checking'!AK53="","",'Data Checking'!AK53)</f>
        <v/>
      </c>
      <c r="Z53" s="2" t="str">
        <f>IF('Data Checking'!AL53="","",'Data Checking'!AL53)</f>
        <v>mali</v>
      </c>
      <c r="AA53" s="2" t="str">
        <f>IF('Data Checking'!AM53="","",'Data Checking'!AM53)</f>
        <v>menaka</v>
      </c>
      <c r="AB53" s="2" t="str">
        <f>IF('Data Checking'!AN53="","",'Data Checking'!AN53)</f>
        <v>anderamboukane</v>
      </c>
      <c r="AC53" s="2" t="str">
        <f>IF('Data Checking'!AO53="","",'Data Checking'!AO53)</f>
        <v/>
      </c>
      <c r="AD53" s="2" t="str">
        <f>IF('Data Checking'!AP53="","",'Data Checking'!AP53)</f>
        <v/>
      </c>
      <c r="AE53" s="2" t="str">
        <f>IF('Data Checking'!AQ53="","",'Data Checking'!AQ53)</f>
        <v/>
      </c>
      <c r="AF53" s="2" t="str">
        <f>IF('Data Checking'!AR53="","",'Data Checking'!AR53)</f>
        <v/>
      </c>
      <c r="AG53" s="2" t="str">
        <f>IF('Data Checking'!AS53="","",'Data Checking'!AS53)</f>
        <v>oui</v>
      </c>
      <c r="AH53" s="2" t="str">
        <f>IF('Data Checking'!AT53="","",'Data Checking'!AT53)</f>
        <v>Vols_braquages Violences_physique_civils</v>
      </c>
      <c r="AI53" s="2" t="str">
        <f>IF('Data Checking'!AU53="","",'Data Checking'!AU53)</f>
        <v>0</v>
      </c>
      <c r="AJ53" s="2" t="str">
        <f>IF('Data Checking'!AV53="","",'Data Checking'!AV53)</f>
        <v>0</v>
      </c>
      <c r="AK53" s="2" t="str">
        <f>IF('Data Checking'!AW53="","",'Data Checking'!AW53)</f>
        <v>1</v>
      </c>
      <c r="AL53" s="2" t="str">
        <f>IF('Data Checking'!AX53="","",'Data Checking'!AX53)</f>
        <v>0</v>
      </c>
      <c r="AM53" s="2" t="str">
        <f>IF('Data Checking'!AY53="","",'Data Checking'!AY53)</f>
        <v>1</v>
      </c>
      <c r="AN53" s="2" t="str">
        <f>IF('Data Checking'!AZ53="","",'Data Checking'!AZ53)</f>
        <v>0</v>
      </c>
      <c r="AO53" s="2" t="str">
        <f>IF('Data Checking'!BA53="","",'Data Checking'!BA53)</f>
        <v>0</v>
      </c>
      <c r="AP53" s="2" t="str">
        <f>IF('Data Checking'!BB53="","",'Data Checking'!BB53)</f>
        <v>0</v>
      </c>
      <c r="AQ53" s="2" t="str">
        <f>IF('Data Checking'!BC53="","",'Data Checking'!BC53)</f>
        <v>0</v>
      </c>
      <c r="AR53" s="2" t="str">
        <f>IF('Data Checking'!BD53="","",'Data Checking'!BD53)</f>
        <v>0</v>
      </c>
      <c r="AS53" s="2" t="str">
        <f>IF('Data Checking'!BE53="","",'Data Checking'!BE53)</f>
        <v>0</v>
      </c>
      <c r="AT53" s="2" t="str">
        <f>IF('Data Checking'!BF53="","",'Data Checking'!BF53)</f>
        <v>0</v>
      </c>
      <c r="AU53" s="2" t="str">
        <f>IF('Data Checking'!BG53="","",'Data Checking'!BG53)</f>
        <v>0</v>
      </c>
      <c r="AV53" s="2" t="str">
        <f>IF('Data Checking'!BH53="","",'Data Checking'!BH53)</f>
        <v>0</v>
      </c>
      <c r="AW53" s="2" t="str">
        <f>IF('Data Checking'!BI53="","",'Data Checking'!BI53)</f>
        <v/>
      </c>
      <c r="AX53" s="2" t="str">
        <f>IF('Data Checking'!BJ53="","",'Data Checking'!BJ53)</f>
        <v>Toute_population</v>
      </c>
      <c r="AY53" s="2" t="str">
        <f>IF('Data Checking'!BK53="","",'Data Checking'!BK53)</f>
        <v>0</v>
      </c>
      <c r="AZ53" s="2" t="str">
        <f>IF('Data Checking'!BL53="","",'Data Checking'!BL53)</f>
        <v>0</v>
      </c>
      <c r="BA53" s="2" t="str">
        <f>IF('Data Checking'!BM53="","",'Data Checking'!BM53)</f>
        <v>0</v>
      </c>
      <c r="BB53" s="2" t="str">
        <f>IF('Data Checking'!BN53="","",'Data Checking'!BN53)</f>
        <v>0</v>
      </c>
      <c r="BC53" s="2" t="str">
        <f>IF('Data Checking'!BO53="","",'Data Checking'!BO53)</f>
        <v>0</v>
      </c>
      <c r="BD53" s="2" t="str">
        <f>IF('Data Checking'!BP53="","",'Data Checking'!BP53)</f>
        <v>0</v>
      </c>
      <c r="BE53" s="2" t="str">
        <f>IF('Data Checking'!BQ53="","",'Data Checking'!BQ53)</f>
        <v>0</v>
      </c>
      <c r="BF53" s="2" t="str">
        <f>IF('Data Checking'!BR53="","",'Data Checking'!BR53)</f>
        <v>0</v>
      </c>
      <c r="BG53" s="2" t="str">
        <f>IF('Data Checking'!BS53="","",'Data Checking'!BS53)</f>
        <v>0</v>
      </c>
      <c r="BH53" s="2" t="str">
        <f>IF('Data Checking'!BT53="","",'Data Checking'!BT53)</f>
        <v>0</v>
      </c>
      <c r="BI53" s="2" t="str">
        <f>IF('Data Checking'!BU53="","",'Data Checking'!BU53)</f>
        <v>1</v>
      </c>
      <c r="BJ53" s="2" t="str">
        <f>IF('Data Checking'!BV53="","",'Data Checking'!BV53)</f>
        <v>0</v>
      </c>
      <c r="BK53" s="2" t="str">
        <f>IF('Data Checking'!BW53="","",'Data Checking'!BW53)</f>
        <v>0</v>
      </c>
      <c r="BL53" s="2" t="str">
        <f>IF('Data Checking'!BX53="","",'Data Checking'!BX53)</f>
        <v>0</v>
      </c>
      <c r="BM53" s="2" t="str">
        <f>IF('Data Checking'!BY53="","",'Data Checking'!BY53)</f>
        <v/>
      </c>
      <c r="BN53" s="2" t="str">
        <f>IF('Data Checking'!BZ53="","",'Data Checking'!BZ53)</f>
        <v>4</v>
      </c>
      <c r="BO53" s="2" t="str">
        <f>IF('Data Checking'!CA53="","",'Data Checking'!CA53)</f>
        <v>augmente</v>
      </c>
      <c r="BP53" s="2" t="str">
        <f>IF('Data Checking'!CB53="","",'Data Checking'!CB53)</f>
        <v/>
      </c>
      <c r="BQ53" s="2" t="str">
        <f>IF('Data Checking'!CC53="","",'Data Checking'!CC53)</f>
        <v>oui</v>
      </c>
      <c r="BR53" s="2" t="str">
        <f>IF('Data Checking'!CD53="","",'Data Checking'!CD53)</f>
        <v>viol enscrimination_acces_services</v>
      </c>
      <c r="BS53" s="2" t="str">
        <f>IF('Data Checking'!CE53="","",'Data Checking'!CE53)</f>
        <v>1</v>
      </c>
      <c r="BT53" s="2" t="str">
        <f>IF('Data Checking'!CF53="","",'Data Checking'!CF53)</f>
        <v>0</v>
      </c>
      <c r="BU53" s="2" t="str">
        <f>IF('Data Checking'!CG53="","",'Data Checking'!CG53)</f>
        <v>0</v>
      </c>
      <c r="BV53" s="2" t="str">
        <f>IF('Data Checking'!CH53="","",'Data Checking'!CH53)</f>
        <v>0</v>
      </c>
      <c r="BW53" s="2" t="str">
        <f>IF('Data Checking'!CI53="","",'Data Checking'!CI53)</f>
        <v>0</v>
      </c>
      <c r="BX53" s="2" t="str">
        <f>IF('Data Checking'!CJ53="","",'Data Checking'!CJ53)</f>
        <v>0</v>
      </c>
      <c r="BY53" s="2" t="str">
        <f>IF('Data Checking'!CK53="","",'Data Checking'!CK53)</f>
        <v>0</v>
      </c>
      <c r="BZ53" s="2" t="str">
        <f>IF('Data Checking'!CL53="","",'Data Checking'!CL53)</f>
        <v>0</v>
      </c>
      <c r="CA53" s="2" t="str">
        <f>IF('Data Checking'!CM53="","",'Data Checking'!CM53)</f>
        <v>0</v>
      </c>
      <c r="CB53" s="2" t="str">
        <f>IF('Data Checking'!CN53="","",'Data Checking'!CN53)</f>
        <v>0</v>
      </c>
      <c r="CC53" s="2" t="str">
        <f>IF('Data Checking'!CO53="","",'Data Checking'!CO53)</f>
        <v>0</v>
      </c>
      <c r="CD53" s="2" t="str">
        <f>IF('Data Checking'!CP53="","",'Data Checking'!CP53)</f>
        <v>1</v>
      </c>
      <c r="CE53" s="2" t="str">
        <f>IF('Data Checking'!CQ53="","",'Data Checking'!CQ53)</f>
        <v>0</v>
      </c>
      <c r="CF53" s="2" t="str">
        <f>IF('Data Checking'!CR53="","",'Data Checking'!CR53)</f>
        <v>0</v>
      </c>
      <c r="CG53" s="2" t="str">
        <f>IF('Data Checking'!CS53="","",'Data Checking'!CS53)</f>
        <v>0</v>
      </c>
      <c r="CH53" s="2" t="str">
        <f>IF('Data Checking'!CT53="","",'Data Checking'!CT53)</f>
        <v/>
      </c>
      <c r="CI53" s="2" t="str">
        <f>IF('Data Checking'!CU53="","",'Data Checking'!CU53)</f>
        <v>Femmes Hommes</v>
      </c>
      <c r="CJ53" s="2" t="str">
        <f>IF('Data Checking'!CV53="","",'Data Checking'!CV53)</f>
        <v>0</v>
      </c>
      <c r="CK53" s="2" t="str">
        <f>IF('Data Checking'!CW53="","",'Data Checking'!CW53)</f>
        <v>0</v>
      </c>
      <c r="CL53" s="2" t="str">
        <f>IF('Data Checking'!CX53="","",'Data Checking'!CX53)</f>
        <v>0</v>
      </c>
      <c r="CM53" s="2" t="str">
        <f>IF('Data Checking'!CY53="","",'Data Checking'!CY53)</f>
        <v>0</v>
      </c>
      <c r="CN53" s="2" t="str">
        <f>IF('Data Checking'!CZ53="","",'Data Checking'!CZ53)</f>
        <v>1</v>
      </c>
      <c r="CO53" s="2" t="str">
        <f>IF('Data Checking'!DA53="","",'Data Checking'!DA53)</f>
        <v>1</v>
      </c>
      <c r="CP53" s="2" t="str">
        <f>IF('Data Checking'!DB53="","",'Data Checking'!DB53)</f>
        <v>0</v>
      </c>
      <c r="CQ53" s="2" t="str">
        <f>IF('Data Checking'!DC53="","",'Data Checking'!DC53)</f>
        <v>0</v>
      </c>
      <c r="CR53" s="2" t="str">
        <f>IF('Data Checking'!DD53="","",'Data Checking'!DD53)</f>
        <v>0</v>
      </c>
      <c r="CS53" s="2" t="str">
        <f>IF('Data Checking'!DE53="","",'Data Checking'!DE53)</f>
        <v>0</v>
      </c>
      <c r="CT53" s="2" t="str">
        <f>IF('Data Checking'!DF53="","",'Data Checking'!DF53)</f>
        <v>0</v>
      </c>
      <c r="CU53" s="2" t="str">
        <f>IF('Data Checking'!DG53="","",'Data Checking'!DG53)</f>
        <v>0</v>
      </c>
      <c r="CV53" s="2" t="str">
        <f>IF('Data Checking'!DH53="","",'Data Checking'!DH53)</f>
        <v>0</v>
      </c>
      <c r="CW53" s="2" t="str">
        <f>IF('Data Checking'!DI53="","",'Data Checking'!DI53)</f>
        <v>0</v>
      </c>
      <c r="CX53" s="2" t="str">
        <f>IF('Data Checking'!DJ53="","",'Data Checking'!DJ53)</f>
        <v/>
      </c>
      <c r="CY53" s="2" t="str">
        <f>IF('Data Checking'!DK53="","",'Data Checking'!DK53)</f>
        <v>2</v>
      </c>
      <c r="CZ53" s="2" t="str">
        <f>IF('Data Checking'!DL53="","",'Data Checking'!DL53)</f>
        <v>diminue</v>
      </c>
      <c r="DA53" s="2" t="str">
        <f>IF('Data Checking'!DM53="","",'Data Checking'!DM53)</f>
        <v/>
      </c>
      <c r="DB53" s="2" t="str">
        <f>IF('Data Checking'!DN53="","",'Data Checking'!DN53)</f>
        <v>diminution_moyens_existence hausse_chomeurs</v>
      </c>
      <c r="DC53" s="2" t="str">
        <f>IF('Data Checking'!DO53="","",'Data Checking'!DO53)</f>
        <v>1</v>
      </c>
      <c r="DD53" s="2" t="str">
        <f>IF('Data Checking'!DP53="","",'Data Checking'!DP53)</f>
        <v>0</v>
      </c>
      <c r="DE53" s="2" t="str">
        <f>IF('Data Checking'!DQ53="","",'Data Checking'!DQ53)</f>
        <v>0</v>
      </c>
      <c r="DF53" s="2" t="str">
        <f>IF('Data Checking'!DR53="","",'Data Checking'!DR53)</f>
        <v>0</v>
      </c>
      <c r="DG53" s="2" t="str">
        <f>IF('Data Checking'!DS53="","",'Data Checking'!DS53)</f>
        <v>0</v>
      </c>
      <c r="DH53" s="2" t="str">
        <f>IF('Data Checking'!DT53="","",'Data Checking'!DT53)</f>
        <v>0</v>
      </c>
      <c r="DI53" s="2" t="str">
        <f>IF('Data Checking'!DU53="","",'Data Checking'!DU53)</f>
        <v>1</v>
      </c>
      <c r="DJ53" s="2" t="str">
        <f>IF('Data Checking'!DV53="","",'Data Checking'!DV53)</f>
        <v>0</v>
      </c>
      <c r="DK53" s="2" t="str">
        <f>IF('Data Checking'!DW53="","",'Data Checking'!DW53)</f>
        <v>0</v>
      </c>
      <c r="DL53" s="2" t="str">
        <f>IF('Data Checking'!DX53="","",'Data Checking'!DX53)</f>
        <v>0</v>
      </c>
      <c r="DM53" s="2" t="str">
        <f>IF('Data Checking'!DY53="","",'Data Checking'!DY53)</f>
        <v/>
      </c>
      <c r="DN53" s="2" t="str">
        <f>IF('Data Checking'!DZ53="","",'Data Checking'!DZ53)</f>
        <v>dim_tensions_intercomm autre</v>
      </c>
      <c r="DO53" s="2" t="str">
        <f>IF('Data Checking'!EA53="","",'Data Checking'!EA53)</f>
        <v>0</v>
      </c>
      <c r="DP53" s="2" t="str">
        <f>IF('Data Checking'!EB53="","",'Data Checking'!EB53)</f>
        <v>0</v>
      </c>
      <c r="DQ53" s="2" t="str">
        <f>IF('Data Checking'!EC53="","",'Data Checking'!EC53)</f>
        <v>0</v>
      </c>
      <c r="DR53" s="2" t="str">
        <f>IF('Data Checking'!ED53="","",'Data Checking'!ED53)</f>
        <v>1</v>
      </c>
      <c r="DS53" s="2" t="str">
        <f>IF('Data Checking'!EE53="","",'Data Checking'!EE53)</f>
        <v>0</v>
      </c>
      <c r="DT53" s="2" t="str">
        <f>IF('Data Checking'!EF53="","",'Data Checking'!EF53)</f>
        <v>0</v>
      </c>
      <c r="DU53" s="2" t="str">
        <f>IF('Data Checking'!EG53="","",'Data Checking'!EG53)</f>
        <v>1</v>
      </c>
      <c r="DV53" s="2" t="str">
        <f>IF('Data Checking'!EH53="","",'Data Checking'!EH53)</f>
        <v>0</v>
      </c>
      <c r="DW53" s="2" t="str">
        <f>IF('Data Checking'!EI53="","",'Data Checking'!EI53)</f>
        <v>0</v>
      </c>
      <c r="DX53" s="2" t="str">
        <f>IF('Data Checking'!EJ53="","",'Data Checking'!EJ53)</f>
        <v>Sensibilisation</v>
      </c>
      <c r="DY53" s="2" t="str">
        <f>IF('Data Checking'!EK53="","",'Data Checking'!EK53)</f>
        <v/>
      </c>
      <c r="DZ53" s="2" t="str">
        <f>IF('Data Checking'!EL53="","",'Data Checking'!EL53)</f>
        <v>Soutien_psychosocial</v>
      </c>
      <c r="EA53" s="2" t="str">
        <f>IF('Data Checking'!EM53="","",'Data Checking'!EM53)</f>
        <v>0</v>
      </c>
      <c r="EB53" s="2" t="str">
        <f>IF('Data Checking'!EN53="","",'Data Checking'!EN53)</f>
        <v>0</v>
      </c>
      <c r="EC53" s="2" t="str">
        <f>IF('Data Checking'!EO53="","",'Data Checking'!EO53)</f>
        <v>0</v>
      </c>
      <c r="ED53" s="2" t="str">
        <f>IF('Data Checking'!EP53="","",'Data Checking'!EP53)</f>
        <v>0</v>
      </c>
      <c r="EE53" s="2" t="str">
        <f>IF('Data Checking'!EQ53="","",'Data Checking'!EQ53)</f>
        <v>1</v>
      </c>
      <c r="EF53" s="2" t="str">
        <f>IF('Data Checking'!ER53="","",'Data Checking'!ER53)</f>
        <v>0</v>
      </c>
      <c r="EG53" s="2" t="str">
        <f>IF('Data Checking'!ES53="","",'Data Checking'!ES53)</f>
        <v>0</v>
      </c>
      <c r="EH53" s="2" t="str">
        <f>IF('Data Checking'!ET53="","",'Data Checking'!ET53)</f>
        <v>0</v>
      </c>
      <c r="EI53" s="2" t="str">
        <f>IF('Data Checking'!EU53="","",'Data Checking'!EU53)</f>
        <v>0</v>
      </c>
      <c r="EJ53" s="2" t="str">
        <f>IF('Data Checking'!EV53="","",'Data Checking'!EV53)</f>
        <v/>
      </c>
      <c r="EK53" s="2" t="str">
        <f>IF('Data Checking'!EW53="","",'Data Checking'!EW53)</f>
        <v/>
      </c>
      <c r="EL53" s="2" t="str">
        <f>IF('Data Checking'!EX53="","",'Data Checking'!EX53)</f>
        <v>femmes_elite comite_protection comite_alerte comite_gestion_conflits</v>
      </c>
      <c r="EM53" s="2" t="str">
        <f>IF('Data Checking'!EY53="","",'Data Checking'!EY53)</f>
        <v>1</v>
      </c>
      <c r="EN53" s="2" t="str">
        <f>IF('Data Checking'!EZ53="","",'Data Checking'!EZ53)</f>
        <v>1</v>
      </c>
      <c r="EO53" s="2" t="str">
        <f>IF('Data Checking'!FA53="","",'Data Checking'!FA53)</f>
        <v>0</v>
      </c>
      <c r="EP53" s="2" t="str">
        <f>IF('Data Checking'!FB53="","",'Data Checking'!FB53)</f>
        <v>1</v>
      </c>
      <c r="EQ53" s="2" t="str">
        <f>IF('Data Checking'!FC53="","",'Data Checking'!FC53)</f>
        <v>0</v>
      </c>
      <c r="ER53" s="2" t="str">
        <f>IF('Data Checking'!FD53="","",'Data Checking'!FD53)</f>
        <v>1</v>
      </c>
      <c r="ES53" s="2" t="str">
        <f>IF('Data Checking'!FE53="","",'Data Checking'!FE53)</f>
        <v>0</v>
      </c>
      <c r="ET53" s="2" t="str">
        <f>IF('Data Checking'!FF53="","",'Data Checking'!FF53)</f>
        <v>0</v>
      </c>
      <c r="EU53" s="2" t="str">
        <f>IF('Data Checking'!FG53="","",'Data Checking'!FG53)</f>
        <v>0</v>
      </c>
      <c r="EV53" s="2" t="str">
        <f>IF('Data Checking'!FH53="","",'Data Checking'!FH53)</f>
        <v>0</v>
      </c>
      <c r="EW53" s="2" t="str">
        <f>IF('Data Checking'!FI53="","",'Data Checking'!FI53)</f>
        <v/>
      </c>
      <c r="EX53" s="2" t="str">
        <f>IF('Data Checking'!FJ53="","",'Data Checking'!FJ53)</f>
        <v>oui</v>
      </c>
      <c r="EY53" s="2" t="str">
        <f>IF('Data Checking'!FK53="","",'Data Checking'!FK53)</f>
        <v>Radio_television manif_sociales</v>
      </c>
      <c r="EZ53" s="2" t="str">
        <f>IF('Data Checking'!FL53="","",'Data Checking'!FL53)</f>
        <v>1</v>
      </c>
      <c r="FA53" s="2" t="str">
        <f>IF('Data Checking'!FM53="","",'Data Checking'!FM53)</f>
        <v>0</v>
      </c>
      <c r="FB53" s="2" t="str">
        <f>IF('Data Checking'!FN53="","",'Data Checking'!FN53)</f>
        <v>0</v>
      </c>
      <c r="FC53" s="2" t="str">
        <f>IF('Data Checking'!FO53="","",'Data Checking'!FO53)</f>
        <v>1</v>
      </c>
      <c r="FD53" s="2" t="str">
        <f>IF('Data Checking'!FP53="","",'Data Checking'!FP53)</f>
        <v>0</v>
      </c>
      <c r="FE53" s="2" t="str">
        <f>IF('Data Checking'!FQ53="","",'Data Checking'!FQ53)</f>
        <v>0</v>
      </c>
      <c r="FF53" s="2" t="str">
        <f>IF('Data Checking'!FR53="","",'Data Checking'!FR53)</f>
        <v>0</v>
      </c>
      <c r="FG53" s="2" t="str">
        <f>IF('Data Checking'!FS53="","",'Data Checking'!FS53)</f>
        <v>0</v>
      </c>
      <c r="FH53" s="2" t="str">
        <f>IF('Data Checking'!FT53="","",'Data Checking'!FT53)</f>
        <v>0</v>
      </c>
      <c r="FI53" s="2" t="str">
        <f>IF('Data Checking'!FU53="","",'Data Checking'!FU53)</f>
        <v>0</v>
      </c>
      <c r="FJ53" s="2" t="str">
        <f>IF('Data Checking'!FV53="","",'Data Checking'!FV53)</f>
        <v>0</v>
      </c>
      <c r="FK53" s="2" t="str">
        <f>IF('Data Checking'!FW53="","",'Data Checking'!FW53)</f>
        <v>0</v>
      </c>
      <c r="FL53" s="2" t="str">
        <f>IF('Data Checking'!FX53="","",'Data Checking'!FX53)</f>
        <v>0</v>
      </c>
      <c r="FM53" s="2" t="str">
        <f>IF('Data Checking'!FY53="","",'Data Checking'!FY53)</f>
        <v>0</v>
      </c>
      <c r="FN53" s="2" t="str">
        <f>IF('Data Checking'!FZ53="","",'Data Checking'!FZ53)</f>
        <v/>
      </c>
      <c r="FO53" s="2" t="str">
        <f>IF('Data Checking'!GA53="","",'Data Checking'!GA53)</f>
        <v>oui_ensemble</v>
      </c>
      <c r="FP53" s="2" t="str">
        <f>IF('Data Checking'!GB53="","",'Data Checking'!GB53)</f>
        <v>oui_ensemble</v>
      </c>
      <c r="FQ53" s="2" t="str">
        <f>IF('Data Checking'!GC53="","",'Data Checking'!GC53)</f>
        <v/>
      </c>
      <c r="FR53" s="2" t="str">
        <f>IF('Data Checking'!GD53="","",'Data Checking'!GD53)</f>
        <v/>
      </c>
      <c r="FS53" s="2" t="str">
        <f>IF('Data Checking'!GE53="","",'Data Checking'!GE53)</f>
        <v/>
      </c>
      <c r="FT53" s="2" t="str">
        <f>IF('Data Checking'!GF53="","",'Data Checking'!GF53)</f>
        <v/>
      </c>
      <c r="FU53" s="2" t="str">
        <f>IF('Data Checking'!GG53="","",'Data Checking'!GG53)</f>
        <v/>
      </c>
      <c r="FV53" s="2" t="str">
        <f>IF('Data Checking'!GH53="","",'Data Checking'!GH53)</f>
        <v/>
      </c>
      <c r="FW53" s="2" t="str">
        <f>IF('Data Checking'!GI53="","",'Data Checking'!GI53)</f>
        <v/>
      </c>
      <c r="FX53" s="2" t="str">
        <f>IF('Data Checking'!GJ53="","",'Data Checking'!GJ53)</f>
        <v/>
      </c>
      <c r="FY53" s="2" t="str">
        <f>IF('Data Checking'!GK53="","",'Data Checking'!GK53)</f>
        <v/>
      </c>
      <c r="FZ53" s="2" t="str">
        <f>IF('Data Checking'!GL53="","",'Data Checking'!GL53)</f>
        <v/>
      </c>
      <c r="GA53" s="2" t="str">
        <f>IF('Data Checking'!GM53="","",'Data Checking'!GM53)</f>
        <v>ensemble</v>
      </c>
      <c r="GB53" s="2" t="str">
        <f>IF('Data Checking'!GN53="","",'Data Checking'!GN53)</f>
        <v>ensemble</v>
      </c>
      <c r="GC53" s="2" t="str">
        <f>IF('Data Checking'!GO53="","",'Data Checking'!GO53)</f>
        <v>Services_de_sante Acces_aux_doc Education</v>
      </c>
      <c r="GD53" s="2" t="str">
        <f>IF('Data Checking'!GP53="","",'Data Checking'!GP53)</f>
        <v>0</v>
      </c>
      <c r="GE53" s="2" t="str">
        <f>IF('Data Checking'!GQ53="","",'Data Checking'!GQ53)</f>
        <v>1</v>
      </c>
      <c r="GF53" s="2" t="str">
        <f>IF('Data Checking'!GR53="","",'Data Checking'!GR53)</f>
        <v>0</v>
      </c>
      <c r="GG53" s="2" t="str">
        <f>IF('Data Checking'!GS53="","",'Data Checking'!GS53)</f>
        <v>1</v>
      </c>
      <c r="GH53" s="2" t="str">
        <f>IF('Data Checking'!GT53="","",'Data Checking'!GT53)</f>
        <v>1</v>
      </c>
      <c r="GI53" s="2" t="str">
        <f>IF('Data Checking'!GU53="","",'Data Checking'!GU53)</f>
        <v>0</v>
      </c>
      <c r="GJ53" s="2" t="str">
        <f>IF('Data Checking'!GV53="","",'Data Checking'!GV53)</f>
        <v>0</v>
      </c>
      <c r="GK53" s="2" t="str">
        <f>IF('Data Checking'!GW53="","",'Data Checking'!GW53)</f>
        <v>0</v>
      </c>
      <c r="GL53" s="2" t="str">
        <f>IF('Data Checking'!GX53="","",'Data Checking'!GX53)</f>
        <v>0</v>
      </c>
      <c r="GM53" s="2" t="str">
        <f>IF('Data Checking'!GY53="","",'Data Checking'!GY53)</f>
        <v/>
      </c>
      <c r="GN53" s="2" t="str">
        <f>IF('Data Checking'!GZ53="","",'Data Checking'!GZ53)</f>
        <v>oui_ensemble</v>
      </c>
      <c r="GO53" s="2" t="str">
        <f>IF('Data Checking'!HA53="","",'Data Checking'!HA53)</f>
        <v>oui_ensemble</v>
      </c>
      <c r="GP53" s="2" t="str">
        <f>IF('Data Checking'!HB53="","",'Data Checking'!HB53)</f>
        <v>amelioration_futur repond_besoins_pop</v>
      </c>
      <c r="GQ53" s="2" t="str">
        <f>IF('Data Checking'!HC53="","",'Data Checking'!HC53)</f>
        <v>1</v>
      </c>
      <c r="GR53" s="2" t="str">
        <f>IF('Data Checking'!HD53="","",'Data Checking'!HD53)</f>
        <v>1</v>
      </c>
      <c r="GS53" s="2" t="str">
        <f>IF('Data Checking'!HE53="","",'Data Checking'!HE53)</f>
        <v>0</v>
      </c>
      <c r="GT53" s="2" t="str">
        <f>IF('Data Checking'!HF53="","",'Data Checking'!HF53)</f>
        <v>0</v>
      </c>
      <c r="GU53" s="2" t="str">
        <f>IF('Data Checking'!HG53="","",'Data Checking'!HG53)</f>
        <v>0</v>
      </c>
      <c r="GV53" s="2" t="str">
        <f>IF('Data Checking'!HH53="","",'Data Checking'!HH53)</f>
        <v>0</v>
      </c>
      <c r="GW53" s="2" t="str">
        <f>IF('Data Checking'!HI53="","",'Data Checking'!HI53)</f>
        <v>0</v>
      </c>
      <c r="GX53" s="2" t="str">
        <f>IF('Data Checking'!HJ53="","",'Data Checking'!HJ53)</f>
        <v>0</v>
      </c>
      <c r="GY53" s="2" t="str">
        <f>IF('Data Checking'!HK53="","",'Data Checking'!HK53)</f>
        <v/>
      </c>
      <c r="GZ53" s="2" t="str">
        <f>IF('Data Checking'!HL53="","",'Data Checking'!HL53)</f>
        <v/>
      </c>
      <c r="HA53" s="2" t="str">
        <f>IF('Data Checking'!HM53="","",'Data Checking'!HM53)</f>
        <v/>
      </c>
      <c r="HB53" s="2" t="str">
        <f>IF('Data Checking'!HN53="","",'Data Checking'!HN53)</f>
        <v/>
      </c>
      <c r="HC53" s="2" t="str">
        <f>IF('Data Checking'!HO53="","",'Data Checking'!HO53)</f>
        <v/>
      </c>
      <c r="HD53" s="2" t="str">
        <f>IF('Data Checking'!HP53="","",'Data Checking'!HP53)</f>
        <v/>
      </c>
      <c r="HE53" s="2" t="str">
        <f>IF('Data Checking'!HQ53="","",'Data Checking'!HQ53)</f>
        <v/>
      </c>
      <c r="HF53" s="2" t="str">
        <f>IF('Data Checking'!HR53="","",'Data Checking'!HR53)</f>
        <v/>
      </c>
      <c r="HG53" s="2" t="str">
        <f>IF('Data Checking'!HS53="","",'Data Checking'!HS53)</f>
        <v/>
      </c>
      <c r="HH53" s="2" t="str">
        <f>IF('Data Checking'!HT53="","",'Data Checking'!HT53)</f>
        <v/>
      </c>
      <c r="HI53" s="2" t="str">
        <f>IF('Data Checking'!HU53="","",'Data Checking'!HU53)</f>
        <v>oui_ensemble</v>
      </c>
      <c r="HJ53" s="2" t="str">
        <f>IF('Data Checking'!HV53="","",'Data Checking'!HV53)</f>
        <v>ong_locale autorite_locale_leaders</v>
      </c>
      <c r="HK53" s="2" t="str">
        <f>IF('Data Checking'!HW53="","",'Data Checking'!HW53)</f>
        <v>0</v>
      </c>
      <c r="HL53" s="2" t="str">
        <f>IF('Data Checking'!HX53="","",'Data Checking'!HX53)</f>
        <v>0</v>
      </c>
      <c r="HM53" s="2" t="str">
        <f>IF('Data Checking'!HY53="","",'Data Checking'!HY53)</f>
        <v>1</v>
      </c>
      <c r="HN53" s="2" t="str">
        <f>IF('Data Checking'!HZ53="","",'Data Checking'!HZ53)</f>
        <v>0</v>
      </c>
      <c r="HO53" s="2" t="str">
        <f>IF('Data Checking'!IA53="","",'Data Checking'!IA53)</f>
        <v>0</v>
      </c>
      <c r="HP53" s="2" t="str">
        <f>IF('Data Checking'!IB53="","",'Data Checking'!IB53)</f>
        <v>1</v>
      </c>
      <c r="HQ53" s="2" t="str">
        <f>IF('Data Checking'!IC53="","",'Data Checking'!IC53)</f>
        <v>0</v>
      </c>
      <c r="HR53" s="2" t="str">
        <f>IF('Data Checking'!ID53="","",'Data Checking'!ID53)</f>
        <v>0</v>
      </c>
      <c r="HS53" s="2" t="str">
        <f>IF('Data Checking'!IE53="","",'Data Checking'!IE53)</f>
        <v>0</v>
      </c>
      <c r="HT53" s="2" t="str">
        <f>IF('Data Checking'!IF53="","",'Data Checking'!IF53)</f>
        <v>0</v>
      </c>
      <c r="HU53" s="2" t="str">
        <f>IF('Data Checking'!IG53="","",'Data Checking'!IG53)</f>
        <v/>
      </c>
      <c r="HV53" s="2" t="str">
        <f>IF('Data Checking'!IH53="","",'Data Checking'!IH53)</f>
        <v/>
      </c>
      <c r="HW53" s="2" t="str">
        <f>IF('Data Checking'!II53="","",'Data Checking'!II53)</f>
        <v/>
      </c>
      <c r="HX53" s="2" t="str">
        <f>IF('Data Checking'!IJ53="","",'Data Checking'!IJ53)</f>
        <v>Femmes Hommes</v>
      </c>
      <c r="HY53" s="2" t="str">
        <f>IF('Data Checking'!IK53="","",'Data Checking'!IK53)</f>
        <v>0</v>
      </c>
      <c r="HZ53" s="2" t="str">
        <f>IF('Data Checking'!IL53="","",'Data Checking'!IL53)</f>
        <v>0</v>
      </c>
      <c r="IA53" s="2" t="str">
        <f>IF('Data Checking'!IM53="","",'Data Checking'!IM53)</f>
        <v>0</v>
      </c>
      <c r="IB53" s="2" t="str">
        <f>IF('Data Checking'!IN53="","",'Data Checking'!IN53)</f>
        <v>0</v>
      </c>
      <c r="IC53" s="2" t="str">
        <f>IF('Data Checking'!IO53="","",'Data Checking'!IO53)</f>
        <v>1</v>
      </c>
      <c r="ID53" s="2" t="str">
        <f>IF('Data Checking'!IP53="","",'Data Checking'!IP53)</f>
        <v>1</v>
      </c>
      <c r="IE53" s="2" t="str">
        <f>IF('Data Checking'!IQ53="","",'Data Checking'!IQ53)</f>
        <v>0</v>
      </c>
      <c r="IF53" s="2" t="str">
        <f>IF('Data Checking'!IR53="","",'Data Checking'!IR53)</f>
        <v>0</v>
      </c>
      <c r="IG53" s="2" t="str">
        <f>IF('Data Checking'!IS53="","",'Data Checking'!IS53)</f>
        <v>0</v>
      </c>
      <c r="IH53" s="2" t="str">
        <f>IF('Data Checking'!IT53="","",'Data Checking'!IT53)</f>
        <v>0</v>
      </c>
      <c r="II53" s="2" t="str">
        <f>IF('Data Checking'!IU53="","",'Data Checking'!IU53)</f>
        <v>0</v>
      </c>
      <c r="IJ53" s="2" t="str">
        <f>IF('Data Checking'!IV53="","",'Data Checking'!IV53)</f>
        <v>0</v>
      </c>
      <c r="IK53" s="2" t="str">
        <f>IF('Data Checking'!IW53="","",'Data Checking'!IW53)</f>
        <v>0</v>
      </c>
      <c r="IL53" s="2" t="str">
        <f>IF('Data Checking'!IX53="","",'Data Checking'!IX53)</f>
        <v>0</v>
      </c>
      <c r="IM53" s="2" t="str">
        <f>IF('Data Checking'!IY53="","",'Data Checking'!IY53)</f>
        <v/>
      </c>
      <c r="IN53" s="2" t="str">
        <f>IF('Data Checking'!IZ53="","",'Data Checking'!IZ53)</f>
        <v>70</v>
      </c>
      <c r="IO53" s="2" t="str">
        <f>IF('Data Checking'!JA53="","",'Data Checking'!JA53)</f>
        <v>Services_medicaux</v>
      </c>
      <c r="IP53" s="2" t="str">
        <f>IF('Data Checking'!JB53="","",'Data Checking'!JB53)</f>
        <v>0</v>
      </c>
      <c r="IQ53" s="2" t="str">
        <f>IF('Data Checking'!JC53="","",'Data Checking'!JC53)</f>
        <v>1</v>
      </c>
      <c r="IR53" s="2" t="str">
        <f>IF('Data Checking'!JD53="","",'Data Checking'!JD53)</f>
        <v>0</v>
      </c>
      <c r="IS53" s="2" t="str">
        <f>IF('Data Checking'!JE53="","",'Data Checking'!JE53)</f>
        <v>0</v>
      </c>
      <c r="IT53" s="2" t="str">
        <f>IF('Data Checking'!JF53="","",'Data Checking'!JF53)</f>
        <v>0</v>
      </c>
      <c r="IU53" s="2" t="str">
        <f>IF('Data Checking'!JG53="","",'Data Checking'!JG53)</f>
        <v>0</v>
      </c>
      <c r="IV53" s="2" t="str">
        <f>IF('Data Checking'!JH53="","",'Data Checking'!JH53)</f>
        <v>0</v>
      </c>
      <c r="IW53" s="2" t="str">
        <f>IF('Data Checking'!JI53="","",'Data Checking'!JI53)</f>
        <v>0</v>
      </c>
      <c r="IX53" s="2" t="str">
        <f>IF('Data Checking'!JJ53="","",'Data Checking'!JJ53)</f>
        <v>0</v>
      </c>
      <c r="IY53" s="2" t="str">
        <f>IF('Data Checking'!JK53="","",'Data Checking'!JK53)</f>
        <v>0</v>
      </c>
      <c r="IZ53" s="2" t="str">
        <f>IF('Data Checking'!JL53="","",'Data Checking'!JL53)</f>
        <v/>
      </c>
      <c r="JA53" s="2" t="str">
        <f>IF('Data Checking'!JM53="","",'Data Checking'!JM53)</f>
        <v>prise_enchage reorientation</v>
      </c>
      <c r="JB53" s="2" t="str">
        <f>IF('Data Checking'!JN53="","",'Data Checking'!JN53)</f>
        <v>1</v>
      </c>
      <c r="JC53" s="2" t="str">
        <f>IF('Data Checking'!JO53="","",'Data Checking'!JO53)</f>
        <v>1</v>
      </c>
      <c r="JD53" s="2" t="str">
        <f>IF('Data Checking'!JP53="","",'Data Checking'!JP53)</f>
        <v>0</v>
      </c>
      <c r="JE53" s="2" t="str">
        <f>IF('Data Checking'!JQ53="","",'Data Checking'!JQ53)</f>
        <v>0</v>
      </c>
      <c r="JF53" s="2" t="str">
        <f>IF('Data Checking'!JR53="","",'Data Checking'!JR53)</f>
        <v>0</v>
      </c>
      <c r="JG53" s="2" t="str">
        <f>IF('Data Checking'!JS53="","",'Data Checking'!JS53)</f>
        <v>0</v>
      </c>
      <c r="JH53" s="2" t="str">
        <f>IF('Data Checking'!JT53="","",'Data Checking'!JT53)</f>
        <v/>
      </c>
      <c r="JI53" s="2" t="str">
        <f>IF('Data Checking'!JU53="","",'Data Checking'!JU53)</f>
        <v>point_ecoute</v>
      </c>
      <c r="JJ53" s="2" t="str">
        <f>IF('Data Checking'!JV53="","",'Data Checking'!JV53)</f>
        <v>0</v>
      </c>
      <c r="JK53" s="2" t="str">
        <f>IF('Data Checking'!JW53="","",'Data Checking'!JW53)</f>
        <v>0</v>
      </c>
      <c r="JL53" s="2" t="str">
        <f>IF('Data Checking'!JX53="","",'Data Checking'!JX53)</f>
        <v>1</v>
      </c>
      <c r="JM53" s="2" t="str">
        <f>IF('Data Checking'!JY53="","",'Data Checking'!JY53)</f>
        <v>0</v>
      </c>
      <c r="JN53" s="2" t="str">
        <f>IF('Data Checking'!JZ53="","",'Data Checking'!JZ53)</f>
        <v>0</v>
      </c>
      <c r="JO53" s="2" t="str">
        <f>IF('Data Checking'!KA53="","",'Data Checking'!KA53)</f>
        <v>0</v>
      </c>
      <c r="JP53" s="2" t="str">
        <f>IF('Data Checking'!KB53="","",'Data Checking'!KB53)</f>
        <v>0</v>
      </c>
      <c r="JQ53" s="2" t="str">
        <f>IF('Data Checking'!KC53="","",'Data Checking'!KC53)</f>
        <v>0</v>
      </c>
      <c r="JR53" s="2" t="str">
        <f>IF('Data Checking'!KD53="","",'Data Checking'!KD53)</f>
        <v>0</v>
      </c>
      <c r="JS53" s="2" t="str">
        <f>IF('Data Checking'!KE53="","",'Data Checking'!KE53)</f>
        <v/>
      </c>
      <c r="JT53" s="2" t="str">
        <f>IF('Data Checking'!KF53="","",'Data Checking'!KF53)</f>
        <v>point_ecoute</v>
      </c>
      <c r="JU53" s="2" t="str">
        <f>IF('Data Checking'!KG53="","",'Data Checking'!KG53)</f>
        <v>0</v>
      </c>
      <c r="JV53" s="2" t="str">
        <f>IF('Data Checking'!KH53="","",'Data Checking'!KH53)</f>
        <v>0</v>
      </c>
      <c r="JW53" s="2" t="str">
        <f>IF('Data Checking'!KI53="","",'Data Checking'!KI53)</f>
        <v>1</v>
      </c>
      <c r="JX53" s="2" t="str">
        <f>IF('Data Checking'!KJ53="","",'Data Checking'!KJ53)</f>
        <v>0</v>
      </c>
      <c r="JY53" s="2" t="str">
        <f>IF('Data Checking'!KK53="","",'Data Checking'!KK53)</f>
        <v>0</v>
      </c>
      <c r="JZ53" s="2" t="str">
        <f>IF('Data Checking'!KL53="","",'Data Checking'!KL53)</f>
        <v>0</v>
      </c>
      <c r="KA53" s="2" t="str">
        <f>IF('Data Checking'!KM53="","",'Data Checking'!KM53)</f>
        <v>0</v>
      </c>
      <c r="KB53" s="2" t="str">
        <f>IF('Data Checking'!KN53="","",'Data Checking'!KN53)</f>
        <v>0</v>
      </c>
      <c r="KC53" s="2" t="str">
        <f>IF('Data Checking'!KO53="","",'Data Checking'!KO53)</f>
        <v>0</v>
      </c>
      <c r="KD53" s="2" t="str">
        <f>IF('Data Checking'!KP53="","",'Data Checking'!KP53)</f>
        <v/>
      </c>
      <c r="KE53" s="2" t="str">
        <f>IF('Data Checking'!KQ53="","",'Data Checking'!KQ53)</f>
        <v/>
      </c>
      <c r="KF53" s="2" t="str">
        <f>IF('Data Checking'!KR53="","",'Data Checking'!KR53)</f>
        <v>oui</v>
      </c>
      <c r="KG53" s="2" t="str">
        <f>IF('Data Checking'!KS53="","",'Data Checking'!KS53)</f>
        <v>Aucun</v>
      </c>
      <c r="KH53" s="2" t="str">
        <f>IF('Data Checking'!KT53="","",'Data Checking'!KT53)</f>
        <v>0</v>
      </c>
      <c r="KI53" s="2" t="str">
        <f>IF('Data Checking'!KU53="","",'Data Checking'!KU53)</f>
        <v>0</v>
      </c>
      <c r="KJ53" s="2" t="str">
        <f>IF('Data Checking'!KV53="","",'Data Checking'!KV53)</f>
        <v>0</v>
      </c>
      <c r="KK53" s="2" t="str">
        <f>IF('Data Checking'!KW53="","",'Data Checking'!KW53)</f>
        <v>0</v>
      </c>
      <c r="KL53" s="2" t="str">
        <f>IF('Data Checking'!KX53="","",'Data Checking'!KX53)</f>
        <v>0</v>
      </c>
      <c r="KM53" s="2" t="str">
        <f>IF('Data Checking'!KY53="","",'Data Checking'!KY53)</f>
        <v>0</v>
      </c>
      <c r="KN53" s="2" t="str">
        <f>IF('Data Checking'!KZ53="","",'Data Checking'!KZ53)</f>
        <v>0</v>
      </c>
      <c r="KO53" s="2" t="str">
        <f>IF('Data Checking'!LA53="","",'Data Checking'!LA53)</f>
        <v>0</v>
      </c>
      <c r="KP53" s="2" t="str">
        <f>IF('Data Checking'!LB53="","",'Data Checking'!LB53)</f>
        <v>0</v>
      </c>
      <c r="KQ53" s="2" t="str">
        <f>IF('Data Checking'!LC53="","",'Data Checking'!LC53)</f>
        <v>1</v>
      </c>
      <c r="KR53" s="2" t="str">
        <f>IF('Data Checking'!LD53="","",'Data Checking'!LD53)</f>
        <v>0</v>
      </c>
      <c r="KS53" s="2" t="str">
        <f>IF('Data Checking'!LE53="","",'Data Checking'!LE53)</f>
        <v/>
      </c>
      <c r="KT53" s="2" t="str">
        <f>IF('Data Checking'!LF53="","",'Data Checking'!LF53)</f>
        <v/>
      </c>
      <c r="KU53" s="2" t="str">
        <f>IF('Data Checking'!LG53="","",'Data Checking'!LG53)</f>
        <v/>
      </c>
      <c r="KV53" s="2" t="str">
        <f>IF('Data Checking'!LH53="","",'Data Checking'!LH53)</f>
        <v/>
      </c>
      <c r="KW53" s="2" t="str">
        <f>IF('Data Checking'!LI53="","",'Data Checking'!LI53)</f>
        <v/>
      </c>
      <c r="KX53" s="2" t="str">
        <f>IF('Data Checking'!LJ53="","",'Data Checking'!LJ53)</f>
        <v/>
      </c>
      <c r="KY53" s="2" t="str">
        <f>IF('Data Checking'!LK53="","",'Data Checking'!LK53)</f>
        <v/>
      </c>
      <c r="KZ53" s="2" t="str">
        <f>IF('Data Checking'!LL53="","",'Data Checking'!LL53)</f>
        <v/>
      </c>
      <c r="LA53" s="2" t="str">
        <f>IF('Data Checking'!LM53="","",'Data Checking'!LM53)</f>
        <v/>
      </c>
      <c r="LB53" s="2" t="str">
        <f>IF('Data Checking'!LN53="","",'Data Checking'!LN53)</f>
        <v>non</v>
      </c>
      <c r="LC53" s="2" t="str">
        <f>IF('Data Checking'!LO53="","",'Data Checking'!LO53)</f>
        <v/>
      </c>
      <c r="LD53" s="2" t="str">
        <f>IF('Data Checking'!LP53="","",'Data Checking'!LP53)</f>
        <v/>
      </c>
      <c r="LE53" s="2" t="str">
        <f>IF('Data Checking'!LQ53="","",'Data Checking'!LQ53)</f>
        <v/>
      </c>
      <c r="LF53" s="2" t="str">
        <f>IF('Data Checking'!LR53="","",'Data Checking'!LR53)</f>
        <v/>
      </c>
      <c r="LG53" s="2" t="str">
        <f>IF('Data Checking'!LS53="","",'Data Checking'!LS53)</f>
        <v/>
      </c>
      <c r="LH53" s="2" t="str">
        <f>IF('Data Checking'!LT53="","",'Data Checking'!LT53)</f>
        <v/>
      </c>
      <c r="LI53" s="2" t="str">
        <f>IF('Data Checking'!LU53="","",'Data Checking'!LU53)</f>
        <v/>
      </c>
      <c r="LJ53" s="2" t="str">
        <f>IF('Data Checking'!LV53="","",'Data Checking'!LV53)</f>
        <v/>
      </c>
      <c r="LK53" s="2" t="str">
        <f>IF('Data Checking'!LW53="","",'Data Checking'!LW53)</f>
        <v/>
      </c>
      <c r="LL53" s="2" t="str">
        <f>IF('Data Checking'!LX53="","",'Data Checking'!LX53)</f>
        <v/>
      </c>
      <c r="LM53" s="2" t="str">
        <f>IF('Data Checking'!LY53="","",'Data Checking'!LY53)</f>
        <v/>
      </c>
      <c r="LN53" s="2" t="str">
        <f>IF('Data Checking'!LZ53="","",'Data Checking'!LZ53)</f>
        <v/>
      </c>
      <c r="LO53" s="2" t="str">
        <f>IF('Data Checking'!MA53="","",'Data Checking'!MA53)</f>
        <v/>
      </c>
      <c r="LP53" s="2" t="str">
        <f>IF('Data Checking'!MB53="","",'Data Checking'!MB53)</f>
        <v>oui</v>
      </c>
      <c r="LQ53" s="2" t="str">
        <f>IF('Data Checking'!MC53="","",'Data Checking'!MC53)</f>
        <v/>
      </c>
      <c r="LR53" s="2" t="str">
        <f>IF('Data Checking'!MD53="","",'Data Checking'!MD53)</f>
        <v/>
      </c>
      <c r="LS53" s="2">
        <f>IF('Data Checking'!ME53="","",'Data Checking'!ME53)</f>
        <v>169049312</v>
      </c>
      <c r="LT53" s="2" t="str">
        <f>IF('Data Checking'!MF53="","",'Data Checking'!MF53)</f>
        <v>38fe8d2d-7084-478b-a88e-1ed43400b505</v>
      </c>
      <c r="LU53" s="2" t="str">
        <f>IF('Data Checking'!MG53="","",'Data Checking'!MG53)</f>
        <v>2021-04-01T07:58:02</v>
      </c>
      <c r="LV53" s="2" t="str">
        <f>IF('Data Checking'!MH53="","",'Data Checking'!MH53)</f>
        <v/>
      </c>
      <c r="LW53" s="2" t="str">
        <f>IF('Data Checking'!MI53="","",'Data Checking'!MI53)</f>
        <v>[]</v>
      </c>
      <c r="LX53" s="2" t="str">
        <f>IF('Data Checking'!MJ53="","",'Data Checking'!MJ53)</f>
        <v>submitted_via_web</v>
      </c>
      <c r="LY53" s="2" t="str">
        <f>IF('Data Checking'!MK53="","",'Data Checking'!MK53)</f>
        <v>reach_niger</v>
      </c>
      <c r="LZ53" s="2" t="str">
        <f>IF('Data Checking'!ML53="","",'Data Checking'!ML53)</f>
        <v/>
      </c>
      <c r="MA53" s="2">
        <f>IF('Data Checking'!MM53="","",'Data Checking'!MM53)</f>
        <v>11</v>
      </c>
    </row>
    <row r="54" spans="1:339" x14ac:dyDescent="0.3">
      <c r="A54" s="2" t="str">
        <f>IF('Data Checking'!D54="","",'Data Checking'!D54)</f>
        <v>2021-04-09T10:29:24.045+01:00</v>
      </c>
      <c r="B54" s="2" t="str">
        <f>IF('Data Checking'!E54="","",'Data Checking'!E54)</f>
        <v>2021-04-09T11:37:36.900+01:00</v>
      </c>
      <c r="C54" s="2" t="str">
        <f>IF('Data Checking'!M54="","",'Data Checking'!M54)</f>
        <v>2021-04-09</v>
      </c>
      <c r="D54" s="2" t="str">
        <f>IF('Data Checking'!N54="","",'Data Checking'!N54)</f>
        <v/>
      </c>
      <c r="E54" s="2" t="str">
        <f>IF('Data Checking'!O54="","",'Data Checking'!O54)</f>
        <v/>
      </c>
      <c r="F54" s="2" t="str">
        <f>IF('Data Checking'!R54="","",'Data Checking'!R54)</f>
        <v>Homme</v>
      </c>
      <c r="G54" s="2" t="str">
        <f>IF('Data Checking'!S54="","",'Data Checking'!S54)</f>
        <v>banibangou</v>
      </c>
      <c r="H54" s="2" t="str">
        <f>IF('Data Checking'!T54="","",'Data Checking'!T54)</f>
        <v>banibangou</v>
      </c>
      <c r="I54" s="2" t="str">
        <f>IF('Data Checking'!U54="","",'Data Checking'!U54)</f>
        <v>banibangou</v>
      </c>
      <c r="J54" s="2" t="str">
        <f>IF('Data Checking'!V54="","",'Data Checking'!V54)</f>
        <v/>
      </c>
      <c r="K54" s="2" t="str">
        <f>IF('Data Checking'!W54="","",'Data Checking'!W54)</f>
        <v/>
      </c>
      <c r="L54" s="2" t="str">
        <f>IF('Data Checking'!X54="","",'Data Checking'!X54)</f>
        <v/>
      </c>
      <c r="M54" s="2" t="str">
        <f>IF('Data Checking'!Y54="","",'Data Checking'!Y54)</f>
        <v/>
      </c>
      <c r="N54" s="2" t="str">
        <f>IF('Data Checking'!Z54="","",'Data Checking'!Z54)</f>
        <v/>
      </c>
      <c r="O54" s="2" t="str">
        <f>IF('Data Checking'!AA54="","",'Data Checking'!AA54)</f>
        <v/>
      </c>
      <c r="P54" s="2" t="str">
        <f>IF('Data Checking'!AB54="","",'Data Checking'!AB54)</f>
        <v/>
      </c>
      <c r="Q54" s="2" t="str">
        <f>IF('Data Checking'!AC54="","",'Data Checking'!AC54)</f>
        <v/>
      </c>
      <c r="R54" s="2" t="str">
        <f>IF('Data Checking'!AD54="","",'Data Checking'!AD54)</f>
        <v>Homme</v>
      </c>
      <c r="S54" s="2" t="str">
        <f>IF('Data Checking'!AE54="","",'Data Checking'!AE54)</f>
        <v>37</v>
      </c>
      <c r="T54" s="2" t="str">
        <f>IF('Data Checking'!AF54="","",'Data Checking'!AF54)</f>
        <v>Hote</v>
      </c>
      <c r="U54" s="2" t="str">
        <f>IF('Data Checking'!AG54="","",'Data Checking'!AG54)</f>
        <v/>
      </c>
      <c r="V54" s="2" t="str">
        <f>IF('Data Checking'!AH54="","",'Data Checking'!AH54)</f>
        <v/>
      </c>
      <c r="W54" s="2" t="str">
        <f>IF('Data Checking'!AI54="","",'Data Checking'!AI54)</f>
        <v>Travailleur humanitaire</v>
      </c>
      <c r="X54" s="2" t="str">
        <f>IF('Data Checking'!AJ54="","",'Data Checking'!AJ54)</f>
        <v>activite_identique_role</v>
      </c>
      <c r="Y54" s="2" t="str">
        <f>IF('Data Checking'!AK54="","",'Data Checking'!AK54)</f>
        <v/>
      </c>
      <c r="Z54" s="2" t="str">
        <f>IF('Data Checking'!AL54="","",'Data Checking'!AL54)</f>
        <v/>
      </c>
      <c r="AA54" s="2" t="str">
        <f>IF('Data Checking'!AM54="","",'Data Checking'!AM54)</f>
        <v/>
      </c>
      <c r="AB54" s="2" t="str">
        <f>IF('Data Checking'!AN54="","",'Data Checking'!AN54)</f>
        <v/>
      </c>
      <c r="AC54" s="2" t="str">
        <f>IF('Data Checking'!AO54="","",'Data Checking'!AO54)</f>
        <v/>
      </c>
      <c r="AD54" s="2" t="str">
        <f>IF('Data Checking'!AP54="","",'Data Checking'!AP54)</f>
        <v/>
      </c>
      <c r="AE54" s="2" t="str">
        <f>IF('Data Checking'!AQ54="","",'Data Checking'!AQ54)</f>
        <v/>
      </c>
      <c r="AF54" s="2" t="str">
        <f>IF('Data Checking'!AR54="","",'Data Checking'!AR54)</f>
        <v/>
      </c>
      <c r="AG54" s="2" t="str">
        <f>IF('Data Checking'!AS54="","",'Data Checking'!AS54)</f>
        <v>non</v>
      </c>
      <c r="AH54" s="2" t="str">
        <f>IF('Data Checking'!AT54="","",'Data Checking'!AT54)</f>
        <v/>
      </c>
      <c r="AI54" s="2" t="str">
        <f>IF('Data Checking'!AU54="","",'Data Checking'!AU54)</f>
        <v/>
      </c>
      <c r="AJ54" s="2" t="str">
        <f>IF('Data Checking'!AV54="","",'Data Checking'!AV54)</f>
        <v/>
      </c>
      <c r="AK54" s="2" t="str">
        <f>IF('Data Checking'!AW54="","",'Data Checking'!AW54)</f>
        <v/>
      </c>
      <c r="AL54" s="2" t="str">
        <f>IF('Data Checking'!AX54="","",'Data Checking'!AX54)</f>
        <v/>
      </c>
      <c r="AM54" s="2" t="str">
        <f>IF('Data Checking'!AY54="","",'Data Checking'!AY54)</f>
        <v/>
      </c>
      <c r="AN54" s="2" t="str">
        <f>IF('Data Checking'!AZ54="","",'Data Checking'!AZ54)</f>
        <v/>
      </c>
      <c r="AO54" s="2" t="str">
        <f>IF('Data Checking'!BA54="","",'Data Checking'!BA54)</f>
        <v/>
      </c>
      <c r="AP54" s="2" t="str">
        <f>IF('Data Checking'!BB54="","",'Data Checking'!BB54)</f>
        <v/>
      </c>
      <c r="AQ54" s="2" t="str">
        <f>IF('Data Checking'!BC54="","",'Data Checking'!BC54)</f>
        <v/>
      </c>
      <c r="AR54" s="2" t="str">
        <f>IF('Data Checking'!BD54="","",'Data Checking'!BD54)</f>
        <v/>
      </c>
      <c r="AS54" s="2" t="str">
        <f>IF('Data Checking'!BE54="","",'Data Checking'!BE54)</f>
        <v/>
      </c>
      <c r="AT54" s="2" t="str">
        <f>IF('Data Checking'!BF54="","",'Data Checking'!BF54)</f>
        <v/>
      </c>
      <c r="AU54" s="2" t="str">
        <f>IF('Data Checking'!BG54="","",'Data Checking'!BG54)</f>
        <v/>
      </c>
      <c r="AV54" s="2" t="str">
        <f>IF('Data Checking'!BH54="","",'Data Checking'!BH54)</f>
        <v/>
      </c>
      <c r="AW54" s="2" t="str">
        <f>IF('Data Checking'!BI54="","",'Data Checking'!BI54)</f>
        <v/>
      </c>
      <c r="AX54" s="2" t="str">
        <f>IF('Data Checking'!BJ54="","",'Data Checking'!BJ54)</f>
        <v/>
      </c>
      <c r="AY54" s="2" t="str">
        <f>IF('Data Checking'!BK54="","",'Data Checking'!BK54)</f>
        <v/>
      </c>
      <c r="AZ54" s="2" t="str">
        <f>IF('Data Checking'!BL54="","",'Data Checking'!BL54)</f>
        <v/>
      </c>
      <c r="BA54" s="2" t="str">
        <f>IF('Data Checking'!BM54="","",'Data Checking'!BM54)</f>
        <v/>
      </c>
      <c r="BB54" s="2" t="str">
        <f>IF('Data Checking'!BN54="","",'Data Checking'!BN54)</f>
        <v/>
      </c>
      <c r="BC54" s="2" t="str">
        <f>IF('Data Checking'!BO54="","",'Data Checking'!BO54)</f>
        <v/>
      </c>
      <c r="BD54" s="2" t="str">
        <f>IF('Data Checking'!BP54="","",'Data Checking'!BP54)</f>
        <v/>
      </c>
      <c r="BE54" s="2" t="str">
        <f>IF('Data Checking'!BQ54="","",'Data Checking'!BQ54)</f>
        <v/>
      </c>
      <c r="BF54" s="2" t="str">
        <f>IF('Data Checking'!BR54="","",'Data Checking'!BR54)</f>
        <v/>
      </c>
      <c r="BG54" s="2" t="str">
        <f>IF('Data Checking'!BS54="","",'Data Checking'!BS54)</f>
        <v/>
      </c>
      <c r="BH54" s="2" t="str">
        <f>IF('Data Checking'!BT54="","",'Data Checking'!BT54)</f>
        <v/>
      </c>
      <c r="BI54" s="2" t="str">
        <f>IF('Data Checking'!BU54="","",'Data Checking'!BU54)</f>
        <v/>
      </c>
      <c r="BJ54" s="2" t="str">
        <f>IF('Data Checking'!BV54="","",'Data Checking'!BV54)</f>
        <v/>
      </c>
      <c r="BK54" s="2" t="str">
        <f>IF('Data Checking'!BW54="","",'Data Checking'!BW54)</f>
        <v/>
      </c>
      <c r="BL54" s="2" t="str">
        <f>IF('Data Checking'!BX54="","",'Data Checking'!BX54)</f>
        <v/>
      </c>
      <c r="BM54" s="2" t="str">
        <f>IF('Data Checking'!BY54="","",'Data Checking'!BY54)</f>
        <v/>
      </c>
      <c r="BN54" s="2" t="str">
        <f>IF('Data Checking'!BZ54="","",'Data Checking'!BZ54)</f>
        <v/>
      </c>
      <c r="BO54" s="2" t="str">
        <f>IF('Data Checking'!CA54="","",'Data Checking'!CA54)</f>
        <v/>
      </c>
      <c r="BP54" s="2" t="str">
        <f>IF('Data Checking'!CB54="","",'Data Checking'!CB54)</f>
        <v/>
      </c>
      <c r="BQ54" s="2" t="str">
        <f>IF('Data Checking'!CC54="","",'Data Checking'!CC54)</f>
        <v>non</v>
      </c>
      <c r="BR54" s="2" t="str">
        <f>IF('Data Checking'!CD54="","",'Data Checking'!CD54)</f>
        <v/>
      </c>
      <c r="BS54" s="2" t="str">
        <f>IF('Data Checking'!CE54="","",'Data Checking'!CE54)</f>
        <v/>
      </c>
      <c r="BT54" s="2" t="str">
        <f>IF('Data Checking'!CF54="","",'Data Checking'!CF54)</f>
        <v/>
      </c>
      <c r="BU54" s="2" t="str">
        <f>IF('Data Checking'!CG54="","",'Data Checking'!CG54)</f>
        <v/>
      </c>
      <c r="BV54" s="2" t="str">
        <f>IF('Data Checking'!CH54="","",'Data Checking'!CH54)</f>
        <v/>
      </c>
      <c r="BW54" s="2" t="str">
        <f>IF('Data Checking'!CI54="","",'Data Checking'!CI54)</f>
        <v/>
      </c>
      <c r="BX54" s="2" t="str">
        <f>IF('Data Checking'!CJ54="","",'Data Checking'!CJ54)</f>
        <v/>
      </c>
      <c r="BY54" s="2" t="str">
        <f>IF('Data Checking'!CK54="","",'Data Checking'!CK54)</f>
        <v/>
      </c>
      <c r="BZ54" s="2" t="str">
        <f>IF('Data Checking'!CL54="","",'Data Checking'!CL54)</f>
        <v/>
      </c>
      <c r="CA54" s="2" t="str">
        <f>IF('Data Checking'!CM54="","",'Data Checking'!CM54)</f>
        <v/>
      </c>
      <c r="CB54" s="2" t="str">
        <f>IF('Data Checking'!CN54="","",'Data Checking'!CN54)</f>
        <v/>
      </c>
      <c r="CC54" s="2" t="str">
        <f>IF('Data Checking'!CO54="","",'Data Checking'!CO54)</f>
        <v/>
      </c>
      <c r="CD54" s="2" t="str">
        <f>IF('Data Checking'!CP54="","",'Data Checking'!CP54)</f>
        <v/>
      </c>
      <c r="CE54" s="2" t="str">
        <f>IF('Data Checking'!CQ54="","",'Data Checking'!CQ54)</f>
        <v/>
      </c>
      <c r="CF54" s="2" t="str">
        <f>IF('Data Checking'!CR54="","",'Data Checking'!CR54)</f>
        <v/>
      </c>
      <c r="CG54" s="2" t="str">
        <f>IF('Data Checking'!CS54="","",'Data Checking'!CS54)</f>
        <v/>
      </c>
      <c r="CH54" s="2" t="str">
        <f>IF('Data Checking'!CT54="","",'Data Checking'!CT54)</f>
        <v/>
      </c>
      <c r="CI54" s="2" t="str">
        <f>IF('Data Checking'!CU54="","",'Data Checking'!CU54)</f>
        <v/>
      </c>
      <c r="CJ54" s="2" t="str">
        <f>IF('Data Checking'!CV54="","",'Data Checking'!CV54)</f>
        <v/>
      </c>
      <c r="CK54" s="2" t="str">
        <f>IF('Data Checking'!CW54="","",'Data Checking'!CW54)</f>
        <v/>
      </c>
      <c r="CL54" s="2" t="str">
        <f>IF('Data Checking'!CX54="","",'Data Checking'!CX54)</f>
        <v/>
      </c>
      <c r="CM54" s="2" t="str">
        <f>IF('Data Checking'!CY54="","",'Data Checking'!CY54)</f>
        <v/>
      </c>
      <c r="CN54" s="2" t="str">
        <f>IF('Data Checking'!CZ54="","",'Data Checking'!CZ54)</f>
        <v/>
      </c>
      <c r="CO54" s="2" t="str">
        <f>IF('Data Checking'!DA54="","",'Data Checking'!DA54)</f>
        <v/>
      </c>
      <c r="CP54" s="2" t="str">
        <f>IF('Data Checking'!DB54="","",'Data Checking'!DB54)</f>
        <v/>
      </c>
      <c r="CQ54" s="2" t="str">
        <f>IF('Data Checking'!DC54="","",'Data Checking'!DC54)</f>
        <v/>
      </c>
      <c r="CR54" s="2" t="str">
        <f>IF('Data Checking'!DD54="","",'Data Checking'!DD54)</f>
        <v/>
      </c>
      <c r="CS54" s="2" t="str">
        <f>IF('Data Checking'!DE54="","",'Data Checking'!DE54)</f>
        <v/>
      </c>
      <c r="CT54" s="2" t="str">
        <f>IF('Data Checking'!DF54="","",'Data Checking'!DF54)</f>
        <v/>
      </c>
      <c r="CU54" s="2" t="str">
        <f>IF('Data Checking'!DG54="","",'Data Checking'!DG54)</f>
        <v/>
      </c>
      <c r="CV54" s="2" t="str">
        <f>IF('Data Checking'!DH54="","",'Data Checking'!DH54)</f>
        <v/>
      </c>
      <c r="CW54" s="2" t="str">
        <f>IF('Data Checking'!DI54="","",'Data Checking'!DI54)</f>
        <v/>
      </c>
      <c r="CX54" s="2" t="str">
        <f>IF('Data Checking'!DJ54="","",'Data Checking'!DJ54)</f>
        <v/>
      </c>
      <c r="CY54" s="2" t="str">
        <f>IF('Data Checking'!DK54="","",'Data Checking'!DK54)</f>
        <v/>
      </c>
      <c r="CZ54" s="2" t="str">
        <f>IF('Data Checking'!DL54="","",'Data Checking'!DL54)</f>
        <v/>
      </c>
      <c r="DA54" s="2" t="str">
        <f>IF('Data Checking'!DM54="","",'Data Checking'!DM54)</f>
        <v/>
      </c>
      <c r="DB54" s="2" t="str">
        <f>IF('Data Checking'!DN54="","",'Data Checking'!DN54)</f>
        <v/>
      </c>
      <c r="DC54" s="2" t="str">
        <f>IF('Data Checking'!DO54="","",'Data Checking'!DO54)</f>
        <v/>
      </c>
      <c r="DD54" s="2" t="str">
        <f>IF('Data Checking'!DP54="","",'Data Checking'!DP54)</f>
        <v/>
      </c>
      <c r="DE54" s="2" t="str">
        <f>IF('Data Checking'!DQ54="","",'Data Checking'!DQ54)</f>
        <v/>
      </c>
      <c r="DF54" s="2" t="str">
        <f>IF('Data Checking'!DR54="","",'Data Checking'!DR54)</f>
        <v/>
      </c>
      <c r="DG54" s="2" t="str">
        <f>IF('Data Checking'!DS54="","",'Data Checking'!DS54)</f>
        <v/>
      </c>
      <c r="DH54" s="2" t="str">
        <f>IF('Data Checking'!DT54="","",'Data Checking'!DT54)</f>
        <v/>
      </c>
      <c r="DI54" s="2" t="str">
        <f>IF('Data Checking'!DU54="","",'Data Checking'!DU54)</f>
        <v/>
      </c>
      <c r="DJ54" s="2" t="str">
        <f>IF('Data Checking'!DV54="","",'Data Checking'!DV54)</f>
        <v/>
      </c>
      <c r="DK54" s="2" t="str">
        <f>IF('Data Checking'!DW54="","",'Data Checking'!DW54)</f>
        <v/>
      </c>
      <c r="DL54" s="2" t="str">
        <f>IF('Data Checking'!DX54="","",'Data Checking'!DX54)</f>
        <v/>
      </c>
      <c r="DM54" s="2" t="str">
        <f>IF('Data Checking'!DY54="","",'Data Checking'!DY54)</f>
        <v/>
      </c>
      <c r="DN54" s="2" t="str">
        <f>IF('Data Checking'!DZ54="","",'Data Checking'!DZ54)</f>
        <v/>
      </c>
      <c r="DO54" s="2" t="str">
        <f>IF('Data Checking'!EA54="","",'Data Checking'!EA54)</f>
        <v/>
      </c>
      <c r="DP54" s="2" t="str">
        <f>IF('Data Checking'!EB54="","",'Data Checking'!EB54)</f>
        <v/>
      </c>
      <c r="DQ54" s="2" t="str">
        <f>IF('Data Checking'!EC54="","",'Data Checking'!EC54)</f>
        <v/>
      </c>
      <c r="DR54" s="2" t="str">
        <f>IF('Data Checking'!ED54="","",'Data Checking'!ED54)</f>
        <v/>
      </c>
      <c r="DS54" s="2" t="str">
        <f>IF('Data Checking'!EE54="","",'Data Checking'!EE54)</f>
        <v/>
      </c>
      <c r="DT54" s="2" t="str">
        <f>IF('Data Checking'!EF54="","",'Data Checking'!EF54)</f>
        <v/>
      </c>
      <c r="DU54" s="2" t="str">
        <f>IF('Data Checking'!EG54="","",'Data Checking'!EG54)</f>
        <v/>
      </c>
      <c r="DV54" s="2" t="str">
        <f>IF('Data Checking'!EH54="","",'Data Checking'!EH54)</f>
        <v/>
      </c>
      <c r="DW54" s="2" t="str">
        <f>IF('Data Checking'!EI54="","",'Data Checking'!EI54)</f>
        <v/>
      </c>
      <c r="DX54" s="2" t="str">
        <f>IF('Data Checking'!EJ54="","",'Data Checking'!EJ54)</f>
        <v/>
      </c>
      <c r="DY54" s="2" t="str">
        <f>IF('Data Checking'!EK54="","",'Data Checking'!EK54)</f>
        <v/>
      </c>
      <c r="DZ54" s="2" t="str">
        <f>IF('Data Checking'!EL54="","",'Data Checking'!EL54)</f>
        <v>Integration_com_hote dplct_abords_com</v>
      </c>
      <c r="EA54" s="2" t="str">
        <f>IF('Data Checking'!EM54="","",'Data Checking'!EM54)</f>
        <v>1</v>
      </c>
      <c r="EB54" s="2" t="str">
        <f>IF('Data Checking'!EN54="","",'Data Checking'!EN54)</f>
        <v>1</v>
      </c>
      <c r="EC54" s="2" t="str">
        <f>IF('Data Checking'!EO54="","",'Data Checking'!EO54)</f>
        <v>0</v>
      </c>
      <c r="ED54" s="2" t="str">
        <f>IF('Data Checking'!EP54="","",'Data Checking'!EP54)</f>
        <v>0</v>
      </c>
      <c r="EE54" s="2" t="str">
        <f>IF('Data Checking'!EQ54="","",'Data Checking'!EQ54)</f>
        <v>0</v>
      </c>
      <c r="EF54" s="2" t="str">
        <f>IF('Data Checking'!ER54="","",'Data Checking'!ER54)</f>
        <v>0</v>
      </c>
      <c r="EG54" s="2" t="str">
        <f>IF('Data Checking'!ES54="","",'Data Checking'!ES54)</f>
        <v>0</v>
      </c>
      <c r="EH54" s="2" t="str">
        <f>IF('Data Checking'!ET54="","",'Data Checking'!ET54)</f>
        <v>0</v>
      </c>
      <c r="EI54" s="2" t="str">
        <f>IF('Data Checking'!EU54="","",'Data Checking'!EU54)</f>
        <v>0</v>
      </c>
      <c r="EJ54" s="2" t="str">
        <f>IF('Data Checking'!EV54="","",'Data Checking'!EV54)</f>
        <v/>
      </c>
      <c r="EK54" s="2" t="str">
        <f>IF('Data Checking'!EW54="","",'Data Checking'!EW54)</f>
        <v/>
      </c>
      <c r="EL54" s="2" t="str">
        <f>IF('Data Checking'!EX54="","",'Data Checking'!EX54)</f>
        <v>Ne_sait_pas</v>
      </c>
      <c r="EM54" s="2" t="str">
        <f>IF('Data Checking'!EY54="","",'Data Checking'!EY54)</f>
        <v>0</v>
      </c>
      <c r="EN54" s="2" t="str">
        <f>IF('Data Checking'!EZ54="","",'Data Checking'!EZ54)</f>
        <v>0</v>
      </c>
      <c r="EO54" s="2" t="str">
        <f>IF('Data Checking'!FA54="","",'Data Checking'!FA54)</f>
        <v>0</v>
      </c>
      <c r="EP54" s="2" t="str">
        <f>IF('Data Checking'!FB54="","",'Data Checking'!FB54)</f>
        <v>0</v>
      </c>
      <c r="EQ54" s="2" t="str">
        <f>IF('Data Checking'!FC54="","",'Data Checking'!FC54)</f>
        <v>0</v>
      </c>
      <c r="ER54" s="2" t="str">
        <f>IF('Data Checking'!FD54="","",'Data Checking'!FD54)</f>
        <v>0</v>
      </c>
      <c r="ES54" s="2" t="str">
        <f>IF('Data Checking'!FE54="","",'Data Checking'!FE54)</f>
        <v>0</v>
      </c>
      <c r="ET54" s="2" t="str">
        <f>IF('Data Checking'!FF54="","",'Data Checking'!FF54)</f>
        <v>0</v>
      </c>
      <c r="EU54" s="2" t="str">
        <f>IF('Data Checking'!FG54="","",'Data Checking'!FG54)</f>
        <v>1</v>
      </c>
      <c r="EV54" s="2" t="str">
        <f>IF('Data Checking'!FH54="","",'Data Checking'!FH54)</f>
        <v>0</v>
      </c>
      <c r="EW54" s="2" t="str">
        <f>IF('Data Checking'!FI54="","",'Data Checking'!FI54)</f>
        <v/>
      </c>
      <c r="EX54" s="2" t="str">
        <f>IF('Data Checking'!FJ54="","",'Data Checking'!FJ54)</f>
        <v>oui</v>
      </c>
      <c r="EY54" s="2" t="str">
        <f>IF('Data Checking'!FK54="","",'Data Checking'!FK54)</f>
        <v>famille_amis manif_sociales</v>
      </c>
      <c r="EZ54" s="2" t="str">
        <f>IF('Data Checking'!FL54="","",'Data Checking'!FL54)</f>
        <v>0</v>
      </c>
      <c r="FA54" s="2" t="str">
        <f>IF('Data Checking'!FM54="","",'Data Checking'!FM54)</f>
        <v>0</v>
      </c>
      <c r="FB54" s="2" t="str">
        <f>IF('Data Checking'!FN54="","",'Data Checking'!FN54)</f>
        <v>0</v>
      </c>
      <c r="FC54" s="2" t="str">
        <f>IF('Data Checking'!FO54="","",'Data Checking'!FO54)</f>
        <v>1</v>
      </c>
      <c r="FD54" s="2" t="str">
        <f>IF('Data Checking'!FP54="","",'Data Checking'!FP54)</f>
        <v>0</v>
      </c>
      <c r="FE54" s="2" t="str">
        <f>IF('Data Checking'!FQ54="","",'Data Checking'!FQ54)</f>
        <v>1</v>
      </c>
      <c r="FF54" s="2" t="str">
        <f>IF('Data Checking'!FR54="","",'Data Checking'!FR54)</f>
        <v>0</v>
      </c>
      <c r="FG54" s="2" t="str">
        <f>IF('Data Checking'!FS54="","",'Data Checking'!FS54)</f>
        <v>0</v>
      </c>
      <c r="FH54" s="2" t="str">
        <f>IF('Data Checking'!FT54="","",'Data Checking'!FT54)</f>
        <v>0</v>
      </c>
      <c r="FI54" s="2" t="str">
        <f>IF('Data Checking'!FU54="","",'Data Checking'!FU54)</f>
        <v>0</v>
      </c>
      <c r="FJ54" s="2" t="str">
        <f>IF('Data Checking'!FV54="","",'Data Checking'!FV54)</f>
        <v>0</v>
      </c>
      <c r="FK54" s="2" t="str">
        <f>IF('Data Checking'!FW54="","",'Data Checking'!FW54)</f>
        <v>0</v>
      </c>
      <c r="FL54" s="2" t="str">
        <f>IF('Data Checking'!FX54="","",'Data Checking'!FX54)</f>
        <v>0</v>
      </c>
      <c r="FM54" s="2" t="str">
        <f>IF('Data Checking'!FY54="","",'Data Checking'!FY54)</f>
        <v>0</v>
      </c>
      <c r="FN54" s="2" t="str">
        <f>IF('Data Checking'!FZ54="","",'Data Checking'!FZ54)</f>
        <v/>
      </c>
      <c r="FO54" s="2" t="str">
        <f>IF('Data Checking'!GA54="","",'Data Checking'!GA54)</f>
        <v>oui_moitie</v>
      </c>
      <c r="FP54" s="2" t="str">
        <f>IF('Data Checking'!GB54="","",'Data Checking'!GB54)</f>
        <v>oui_ensemble</v>
      </c>
      <c r="FQ54" s="2" t="str">
        <f>IF('Data Checking'!GC54="","",'Data Checking'!GC54)</f>
        <v/>
      </c>
      <c r="FR54" s="2" t="str">
        <f>IF('Data Checking'!GD54="","",'Data Checking'!GD54)</f>
        <v/>
      </c>
      <c r="FS54" s="2" t="str">
        <f>IF('Data Checking'!GE54="","",'Data Checking'!GE54)</f>
        <v/>
      </c>
      <c r="FT54" s="2" t="str">
        <f>IF('Data Checking'!GF54="","",'Data Checking'!GF54)</f>
        <v/>
      </c>
      <c r="FU54" s="2" t="str">
        <f>IF('Data Checking'!GG54="","",'Data Checking'!GG54)</f>
        <v/>
      </c>
      <c r="FV54" s="2" t="str">
        <f>IF('Data Checking'!GH54="","",'Data Checking'!GH54)</f>
        <v/>
      </c>
      <c r="FW54" s="2" t="str">
        <f>IF('Data Checking'!GI54="","",'Data Checking'!GI54)</f>
        <v/>
      </c>
      <c r="FX54" s="2" t="str">
        <f>IF('Data Checking'!GJ54="","",'Data Checking'!GJ54)</f>
        <v/>
      </c>
      <c r="FY54" s="2" t="str">
        <f>IF('Data Checking'!GK54="","",'Data Checking'!GK54)</f>
        <v/>
      </c>
      <c r="FZ54" s="2" t="str">
        <f>IF('Data Checking'!GL54="","",'Data Checking'!GL54)</f>
        <v/>
      </c>
      <c r="GA54" s="2" t="str">
        <f>IF('Data Checking'!GM54="","",'Data Checking'!GM54)</f>
        <v>majorite</v>
      </c>
      <c r="GB54" s="2" t="str">
        <f>IF('Data Checking'!GN54="","",'Data Checking'!GN54)</f>
        <v>ensemble</v>
      </c>
      <c r="GC54" s="2" t="str">
        <f>IF('Data Checking'!GO54="","",'Data Checking'!GO54)</f>
        <v>Appui_psychosocial Services_de_sante</v>
      </c>
      <c r="GD54" s="2" t="str">
        <f>IF('Data Checking'!GP54="","",'Data Checking'!GP54)</f>
        <v>1</v>
      </c>
      <c r="GE54" s="2" t="str">
        <f>IF('Data Checking'!GQ54="","",'Data Checking'!GQ54)</f>
        <v>0</v>
      </c>
      <c r="GF54" s="2" t="str">
        <f>IF('Data Checking'!GR54="","",'Data Checking'!GR54)</f>
        <v>0</v>
      </c>
      <c r="GG54" s="2" t="str">
        <f>IF('Data Checking'!GS54="","",'Data Checking'!GS54)</f>
        <v>1</v>
      </c>
      <c r="GH54" s="2" t="str">
        <f>IF('Data Checking'!GT54="","",'Data Checking'!GT54)</f>
        <v>0</v>
      </c>
      <c r="GI54" s="2" t="str">
        <f>IF('Data Checking'!GU54="","",'Data Checking'!GU54)</f>
        <v>0</v>
      </c>
      <c r="GJ54" s="2" t="str">
        <f>IF('Data Checking'!GV54="","",'Data Checking'!GV54)</f>
        <v>0</v>
      </c>
      <c r="GK54" s="2" t="str">
        <f>IF('Data Checking'!GW54="","",'Data Checking'!GW54)</f>
        <v>0</v>
      </c>
      <c r="GL54" s="2" t="str">
        <f>IF('Data Checking'!GX54="","",'Data Checking'!GX54)</f>
        <v>0</v>
      </c>
      <c r="GM54" s="2" t="str">
        <f>IF('Data Checking'!GY54="","",'Data Checking'!GY54)</f>
        <v/>
      </c>
      <c r="GN54" s="2" t="str">
        <f>IF('Data Checking'!GZ54="","",'Data Checking'!GZ54)</f>
        <v>oui_ensemble</v>
      </c>
      <c r="GO54" s="2" t="str">
        <f>IF('Data Checking'!HA54="","",'Data Checking'!HA54)</f>
        <v>oui_ensemble</v>
      </c>
      <c r="GP54" s="2" t="str">
        <f>IF('Data Checking'!HB54="","",'Data Checking'!HB54)</f>
        <v>amelioration_futur repond_besoins_pop</v>
      </c>
      <c r="GQ54" s="2" t="str">
        <f>IF('Data Checking'!HC54="","",'Data Checking'!HC54)</f>
        <v>1</v>
      </c>
      <c r="GR54" s="2" t="str">
        <f>IF('Data Checking'!HD54="","",'Data Checking'!HD54)</f>
        <v>1</v>
      </c>
      <c r="GS54" s="2" t="str">
        <f>IF('Data Checking'!HE54="","",'Data Checking'!HE54)</f>
        <v>0</v>
      </c>
      <c r="GT54" s="2" t="str">
        <f>IF('Data Checking'!HF54="","",'Data Checking'!HF54)</f>
        <v>0</v>
      </c>
      <c r="GU54" s="2" t="str">
        <f>IF('Data Checking'!HG54="","",'Data Checking'!HG54)</f>
        <v>0</v>
      </c>
      <c r="GV54" s="2" t="str">
        <f>IF('Data Checking'!HH54="","",'Data Checking'!HH54)</f>
        <v>0</v>
      </c>
      <c r="GW54" s="2" t="str">
        <f>IF('Data Checking'!HI54="","",'Data Checking'!HI54)</f>
        <v>0</v>
      </c>
      <c r="GX54" s="2" t="str">
        <f>IF('Data Checking'!HJ54="","",'Data Checking'!HJ54)</f>
        <v>0</v>
      </c>
      <c r="GY54" s="2" t="str">
        <f>IF('Data Checking'!HK54="","",'Data Checking'!HK54)</f>
        <v/>
      </c>
      <c r="GZ54" s="2" t="str">
        <f>IF('Data Checking'!HL54="","",'Data Checking'!HL54)</f>
        <v/>
      </c>
      <c r="HA54" s="2" t="str">
        <f>IF('Data Checking'!HM54="","",'Data Checking'!HM54)</f>
        <v/>
      </c>
      <c r="HB54" s="2" t="str">
        <f>IF('Data Checking'!HN54="","",'Data Checking'!HN54)</f>
        <v/>
      </c>
      <c r="HC54" s="2" t="str">
        <f>IF('Data Checking'!HO54="","",'Data Checking'!HO54)</f>
        <v/>
      </c>
      <c r="HD54" s="2" t="str">
        <f>IF('Data Checking'!HP54="","",'Data Checking'!HP54)</f>
        <v/>
      </c>
      <c r="HE54" s="2" t="str">
        <f>IF('Data Checking'!HQ54="","",'Data Checking'!HQ54)</f>
        <v/>
      </c>
      <c r="HF54" s="2" t="str">
        <f>IF('Data Checking'!HR54="","",'Data Checking'!HR54)</f>
        <v/>
      </c>
      <c r="HG54" s="2" t="str">
        <f>IF('Data Checking'!HS54="","",'Data Checking'!HS54)</f>
        <v/>
      </c>
      <c r="HH54" s="2" t="str">
        <f>IF('Data Checking'!HT54="","",'Data Checking'!HT54)</f>
        <v/>
      </c>
      <c r="HI54" s="2" t="str">
        <f>IF('Data Checking'!HU54="","",'Data Checking'!HU54)</f>
        <v>non</v>
      </c>
      <c r="HJ54" s="2" t="str">
        <f>IF('Data Checking'!HV54="","",'Data Checking'!HV54)</f>
        <v/>
      </c>
      <c r="HK54" s="2" t="str">
        <f>IF('Data Checking'!HW54="","",'Data Checking'!HW54)</f>
        <v/>
      </c>
      <c r="HL54" s="2" t="str">
        <f>IF('Data Checking'!HX54="","",'Data Checking'!HX54)</f>
        <v/>
      </c>
      <c r="HM54" s="2" t="str">
        <f>IF('Data Checking'!HY54="","",'Data Checking'!HY54)</f>
        <v/>
      </c>
      <c r="HN54" s="2" t="str">
        <f>IF('Data Checking'!HZ54="","",'Data Checking'!HZ54)</f>
        <v/>
      </c>
      <c r="HO54" s="2" t="str">
        <f>IF('Data Checking'!IA54="","",'Data Checking'!IA54)</f>
        <v/>
      </c>
      <c r="HP54" s="2" t="str">
        <f>IF('Data Checking'!IB54="","",'Data Checking'!IB54)</f>
        <v/>
      </c>
      <c r="HQ54" s="2" t="str">
        <f>IF('Data Checking'!IC54="","",'Data Checking'!IC54)</f>
        <v/>
      </c>
      <c r="HR54" s="2" t="str">
        <f>IF('Data Checking'!ID54="","",'Data Checking'!ID54)</f>
        <v/>
      </c>
      <c r="HS54" s="2" t="str">
        <f>IF('Data Checking'!IE54="","",'Data Checking'!IE54)</f>
        <v/>
      </c>
      <c r="HT54" s="2" t="str">
        <f>IF('Data Checking'!IF54="","",'Data Checking'!IF54)</f>
        <v/>
      </c>
      <c r="HU54" s="2" t="str">
        <f>IF('Data Checking'!IG54="","",'Data Checking'!IG54)</f>
        <v/>
      </c>
      <c r="HV54" s="2" t="str">
        <f>IF('Data Checking'!IH54="","",'Data Checking'!IH54)</f>
        <v>oui</v>
      </c>
      <c r="HW54" s="2" t="str">
        <f>IF('Data Checking'!II54="","",'Data Checking'!II54)</f>
        <v/>
      </c>
      <c r="HX54" s="2" t="str">
        <f>IF('Data Checking'!IJ54="","",'Data Checking'!IJ54)</f>
        <v/>
      </c>
      <c r="HY54" s="2" t="str">
        <f>IF('Data Checking'!IK54="","",'Data Checking'!IK54)</f>
        <v/>
      </c>
      <c r="HZ54" s="2" t="str">
        <f>IF('Data Checking'!IL54="","",'Data Checking'!IL54)</f>
        <v/>
      </c>
      <c r="IA54" s="2" t="str">
        <f>IF('Data Checking'!IM54="","",'Data Checking'!IM54)</f>
        <v/>
      </c>
      <c r="IB54" s="2" t="str">
        <f>IF('Data Checking'!IN54="","",'Data Checking'!IN54)</f>
        <v/>
      </c>
      <c r="IC54" s="2" t="str">
        <f>IF('Data Checking'!IO54="","",'Data Checking'!IO54)</f>
        <v/>
      </c>
      <c r="ID54" s="2" t="str">
        <f>IF('Data Checking'!IP54="","",'Data Checking'!IP54)</f>
        <v/>
      </c>
      <c r="IE54" s="2" t="str">
        <f>IF('Data Checking'!IQ54="","",'Data Checking'!IQ54)</f>
        <v/>
      </c>
      <c r="IF54" s="2" t="str">
        <f>IF('Data Checking'!IR54="","",'Data Checking'!IR54)</f>
        <v/>
      </c>
      <c r="IG54" s="2" t="str">
        <f>IF('Data Checking'!IS54="","",'Data Checking'!IS54)</f>
        <v/>
      </c>
      <c r="IH54" s="2" t="str">
        <f>IF('Data Checking'!IT54="","",'Data Checking'!IT54)</f>
        <v/>
      </c>
      <c r="II54" s="2" t="str">
        <f>IF('Data Checking'!IU54="","",'Data Checking'!IU54)</f>
        <v/>
      </c>
      <c r="IJ54" s="2" t="str">
        <f>IF('Data Checking'!IV54="","",'Data Checking'!IV54)</f>
        <v/>
      </c>
      <c r="IK54" s="2" t="str">
        <f>IF('Data Checking'!IW54="","",'Data Checking'!IW54)</f>
        <v/>
      </c>
      <c r="IL54" s="2" t="str">
        <f>IF('Data Checking'!IX54="","",'Data Checking'!IX54)</f>
        <v/>
      </c>
      <c r="IM54" s="2" t="str">
        <f>IF('Data Checking'!IY54="","",'Data Checking'!IY54)</f>
        <v/>
      </c>
      <c r="IN54" s="2" t="str">
        <f>IF('Data Checking'!IZ54="","",'Data Checking'!IZ54)</f>
        <v>40</v>
      </c>
      <c r="IO54" s="2" t="str">
        <f>IF('Data Checking'!JA54="","",'Data Checking'!JA54)</f>
        <v>Appui_psychosocial Services_medicaux</v>
      </c>
      <c r="IP54" s="2" t="str">
        <f>IF('Data Checking'!JB54="","",'Data Checking'!JB54)</f>
        <v>1</v>
      </c>
      <c r="IQ54" s="2" t="str">
        <f>IF('Data Checking'!JC54="","",'Data Checking'!JC54)</f>
        <v>1</v>
      </c>
      <c r="IR54" s="2" t="str">
        <f>IF('Data Checking'!JD54="","",'Data Checking'!JD54)</f>
        <v>0</v>
      </c>
      <c r="IS54" s="2" t="str">
        <f>IF('Data Checking'!JE54="","",'Data Checking'!JE54)</f>
        <v>0</v>
      </c>
      <c r="IT54" s="2" t="str">
        <f>IF('Data Checking'!JF54="","",'Data Checking'!JF54)</f>
        <v>0</v>
      </c>
      <c r="IU54" s="2" t="str">
        <f>IF('Data Checking'!JG54="","",'Data Checking'!JG54)</f>
        <v>0</v>
      </c>
      <c r="IV54" s="2" t="str">
        <f>IF('Data Checking'!JH54="","",'Data Checking'!JH54)</f>
        <v>0</v>
      </c>
      <c r="IW54" s="2" t="str">
        <f>IF('Data Checking'!JI54="","",'Data Checking'!JI54)</f>
        <v>0</v>
      </c>
      <c r="IX54" s="2" t="str">
        <f>IF('Data Checking'!JJ54="","",'Data Checking'!JJ54)</f>
        <v>0</v>
      </c>
      <c r="IY54" s="2" t="str">
        <f>IF('Data Checking'!JK54="","",'Data Checking'!JK54)</f>
        <v>0</v>
      </c>
      <c r="IZ54" s="2" t="str">
        <f>IF('Data Checking'!JL54="","",'Data Checking'!JL54)</f>
        <v/>
      </c>
      <c r="JA54" s="2" t="str">
        <f>IF('Data Checking'!JM54="","",'Data Checking'!JM54)</f>
        <v>prise_enchage reorientation</v>
      </c>
      <c r="JB54" s="2" t="str">
        <f>IF('Data Checking'!JN54="","",'Data Checking'!JN54)</f>
        <v>1</v>
      </c>
      <c r="JC54" s="2" t="str">
        <f>IF('Data Checking'!JO54="","",'Data Checking'!JO54)</f>
        <v>1</v>
      </c>
      <c r="JD54" s="2" t="str">
        <f>IF('Data Checking'!JP54="","",'Data Checking'!JP54)</f>
        <v>0</v>
      </c>
      <c r="JE54" s="2" t="str">
        <f>IF('Data Checking'!JQ54="","",'Data Checking'!JQ54)</f>
        <v>0</v>
      </c>
      <c r="JF54" s="2" t="str">
        <f>IF('Data Checking'!JR54="","",'Data Checking'!JR54)</f>
        <v>0</v>
      </c>
      <c r="JG54" s="2" t="str">
        <f>IF('Data Checking'!JS54="","",'Data Checking'!JS54)</f>
        <v>0</v>
      </c>
      <c r="JH54" s="2" t="str">
        <f>IF('Data Checking'!JT54="","",'Data Checking'!JT54)</f>
        <v/>
      </c>
      <c r="JI54" s="2" t="str">
        <f>IF('Data Checking'!JU54="","",'Data Checking'!JU54)</f>
        <v>medical Psychosocia</v>
      </c>
      <c r="JJ54" s="2" t="str">
        <f>IF('Data Checking'!JV54="","",'Data Checking'!JV54)</f>
        <v>1</v>
      </c>
      <c r="JK54" s="2" t="str">
        <f>IF('Data Checking'!JW54="","",'Data Checking'!JW54)</f>
        <v>1</v>
      </c>
      <c r="JL54" s="2" t="str">
        <f>IF('Data Checking'!JX54="","",'Data Checking'!JX54)</f>
        <v>0</v>
      </c>
      <c r="JM54" s="2" t="str">
        <f>IF('Data Checking'!JY54="","",'Data Checking'!JY54)</f>
        <v>0</v>
      </c>
      <c r="JN54" s="2" t="str">
        <f>IF('Data Checking'!JZ54="","",'Data Checking'!JZ54)</f>
        <v>0</v>
      </c>
      <c r="JO54" s="2" t="str">
        <f>IF('Data Checking'!KA54="","",'Data Checking'!KA54)</f>
        <v>0</v>
      </c>
      <c r="JP54" s="2" t="str">
        <f>IF('Data Checking'!KB54="","",'Data Checking'!KB54)</f>
        <v>0</v>
      </c>
      <c r="JQ54" s="2" t="str">
        <f>IF('Data Checking'!KC54="","",'Data Checking'!KC54)</f>
        <v>0</v>
      </c>
      <c r="JR54" s="2" t="str">
        <f>IF('Data Checking'!KD54="","",'Data Checking'!KD54)</f>
        <v>0</v>
      </c>
      <c r="JS54" s="2" t="str">
        <f>IF('Data Checking'!KE54="","",'Data Checking'!KE54)</f>
        <v/>
      </c>
      <c r="JT54" s="2" t="str">
        <f>IF('Data Checking'!KF54="","",'Data Checking'!KF54)</f>
        <v>Psychosocia medical</v>
      </c>
      <c r="JU54" s="2" t="str">
        <f>IF('Data Checking'!KG54="","",'Data Checking'!KG54)</f>
        <v>1</v>
      </c>
      <c r="JV54" s="2" t="str">
        <f>IF('Data Checking'!KH54="","",'Data Checking'!KH54)</f>
        <v>1</v>
      </c>
      <c r="JW54" s="2" t="str">
        <f>IF('Data Checking'!KI54="","",'Data Checking'!KI54)</f>
        <v>0</v>
      </c>
      <c r="JX54" s="2" t="str">
        <f>IF('Data Checking'!KJ54="","",'Data Checking'!KJ54)</f>
        <v>0</v>
      </c>
      <c r="JY54" s="2" t="str">
        <f>IF('Data Checking'!KK54="","",'Data Checking'!KK54)</f>
        <v>0</v>
      </c>
      <c r="JZ54" s="2" t="str">
        <f>IF('Data Checking'!KL54="","",'Data Checking'!KL54)</f>
        <v>0</v>
      </c>
      <c r="KA54" s="2" t="str">
        <f>IF('Data Checking'!KM54="","",'Data Checking'!KM54)</f>
        <v>0</v>
      </c>
      <c r="KB54" s="2" t="str">
        <f>IF('Data Checking'!KN54="","",'Data Checking'!KN54)</f>
        <v>0</v>
      </c>
      <c r="KC54" s="2" t="str">
        <f>IF('Data Checking'!KO54="","",'Data Checking'!KO54)</f>
        <v>0</v>
      </c>
      <c r="KD54" s="2" t="str">
        <f>IF('Data Checking'!KP54="","",'Data Checking'!KP54)</f>
        <v/>
      </c>
      <c r="KE54" s="2" t="str">
        <f>IF('Data Checking'!KQ54="","",'Data Checking'!KQ54)</f>
        <v/>
      </c>
      <c r="KF54" s="2" t="str">
        <f>IF('Data Checking'!KR54="","",'Data Checking'!KR54)</f>
        <v>ne_sait_pas</v>
      </c>
      <c r="KG54" s="2" t="str">
        <f>IF('Data Checking'!KS54="","",'Data Checking'!KS54)</f>
        <v/>
      </c>
      <c r="KH54" s="2" t="str">
        <f>IF('Data Checking'!KT54="","",'Data Checking'!KT54)</f>
        <v/>
      </c>
      <c r="KI54" s="2" t="str">
        <f>IF('Data Checking'!KU54="","",'Data Checking'!KU54)</f>
        <v/>
      </c>
      <c r="KJ54" s="2" t="str">
        <f>IF('Data Checking'!KV54="","",'Data Checking'!KV54)</f>
        <v/>
      </c>
      <c r="KK54" s="2" t="str">
        <f>IF('Data Checking'!KW54="","",'Data Checking'!KW54)</f>
        <v/>
      </c>
      <c r="KL54" s="2" t="str">
        <f>IF('Data Checking'!KX54="","",'Data Checking'!KX54)</f>
        <v/>
      </c>
      <c r="KM54" s="2" t="str">
        <f>IF('Data Checking'!KY54="","",'Data Checking'!KY54)</f>
        <v/>
      </c>
      <c r="KN54" s="2" t="str">
        <f>IF('Data Checking'!KZ54="","",'Data Checking'!KZ54)</f>
        <v/>
      </c>
      <c r="KO54" s="2" t="str">
        <f>IF('Data Checking'!LA54="","",'Data Checking'!LA54)</f>
        <v/>
      </c>
      <c r="KP54" s="2" t="str">
        <f>IF('Data Checking'!LB54="","",'Data Checking'!LB54)</f>
        <v/>
      </c>
      <c r="KQ54" s="2" t="str">
        <f>IF('Data Checking'!LC54="","",'Data Checking'!LC54)</f>
        <v/>
      </c>
      <c r="KR54" s="2" t="str">
        <f>IF('Data Checking'!LD54="","",'Data Checking'!LD54)</f>
        <v/>
      </c>
      <c r="KS54" s="2" t="str">
        <f>IF('Data Checking'!LE54="","",'Data Checking'!LE54)</f>
        <v/>
      </c>
      <c r="KT54" s="2" t="str">
        <f>IF('Data Checking'!LF54="","",'Data Checking'!LF54)</f>
        <v/>
      </c>
      <c r="KU54" s="2" t="str">
        <f>IF('Data Checking'!LG54="","",'Data Checking'!LG54)</f>
        <v/>
      </c>
      <c r="KV54" s="2" t="str">
        <f>IF('Data Checking'!LH54="","",'Data Checking'!LH54)</f>
        <v/>
      </c>
      <c r="KW54" s="2" t="str">
        <f>IF('Data Checking'!LI54="","",'Data Checking'!LI54)</f>
        <v/>
      </c>
      <c r="KX54" s="2" t="str">
        <f>IF('Data Checking'!LJ54="","",'Data Checking'!LJ54)</f>
        <v/>
      </c>
      <c r="KY54" s="2" t="str">
        <f>IF('Data Checking'!LK54="","",'Data Checking'!LK54)</f>
        <v/>
      </c>
      <c r="KZ54" s="2" t="str">
        <f>IF('Data Checking'!LL54="","",'Data Checking'!LL54)</f>
        <v/>
      </c>
      <c r="LA54" s="2" t="str">
        <f>IF('Data Checking'!LM54="","",'Data Checking'!LM54)</f>
        <v/>
      </c>
      <c r="LB54" s="2" t="str">
        <f>IF('Data Checking'!LN54="","",'Data Checking'!LN54)</f>
        <v>non</v>
      </c>
      <c r="LC54" s="2" t="str">
        <f>IF('Data Checking'!LO54="","",'Data Checking'!LO54)</f>
        <v/>
      </c>
      <c r="LD54" s="2" t="str">
        <f>IF('Data Checking'!LP54="","",'Data Checking'!LP54)</f>
        <v/>
      </c>
      <c r="LE54" s="2" t="str">
        <f>IF('Data Checking'!LQ54="","",'Data Checking'!LQ54)</f>
        <v/>
      </c>
      <c r="LF54" s="2" t="str">
        <f>IF('Data Checking'!LR54="","",'Data Checking'!LR54)</f>
        <v/>
      </c>
      <c r="LG54" s="2" t="str">
        <f>IF('Data Checking'!LS54="","",'Data Checking'!LS54)</f>
        <v/>
      </c>
      <c r="LH54" s="2" t="str">
        <f>IF('Data Checking'!LT54="","",'Data Checking'!LT54)</f>
        <v/>
      </c>
      <c r="LI54" s="2" t="str">
        <f>IF('Data Checking'!LU54="","",'Data Checking'!LU54)</f>
        <v/>
      </c>
      <c r="LJ54" s="2" t="str">
        <f>IF('Data Checking'!LV54="","",'Data Checking'!LV54)</f>
        <v/>
      </c>
      <c r="LK54" s="2" t="str">
        <f>IF('Data Checking'!LW54="","",'Data Checking'!LW54)</f>
        <v/>
      </c>
      <c r="LL54" s="2" t="str">
        <f>IF('Data Checking'!LX54="","",'Data Checking'!LX54)</f>
        <v/>
      </c>
      <c r="LM54" s="2" t="str">
        <f>IF('Data Checking'!LY54="","",'Data Checking'!LY54)</f>
        <v/>
      </c>
      <c r="LN54" s="2" t="str">
        <f>IF('Data Checking'!LZ54="","",'Data Checking'!LZ54)</f>
        <v/>
      </c>
      <c r="LO54" s="2" t="str">
        <f>IF('Data Checking'!MA54="","",'Data Checking'!MA54)</f>
        <v/>
      </c>
      <c r="LP54" s="2" t="str">
        <f>IF('Data Checking'!MB54="","",'Data Checking'!MB54)</f>
        <v>oui</v>
      </c>
      <c r="LQ54" s="2" t="str">
        <f>IF('Data Checking'!MC54="","",'Data Checking'!MC54)</f>
        <v/>
      </c>
      <c r="LR54" s="2" t="str">
        <f>IF('Data Checking'!MD54="","",'Data Checking'!MD54)</f>
        <v/>
      </c>
      <c r="LS54" s="2">
        <f>IF('Data Checking'!ME54="","",'Data Checking'!ME54)</f>
        <v>170684041</v>
      </c>
      <c r="LT54" s="2" t="str">
        <f>IF('Data Checking'!MF54="","",'Data Checking'!MF54)</f>
        <v>22d851ed-0410-42cb-b671-52cd662a2d61</v>
      </c>
      <c r="LU54" s="2" t="str">
        <f>IF('Data Checking'!MG54="","",'Data Checking'!MG54)</f>
        <v>2021-04-09T17:50:05</v>
      </c>
      <c r="LV54" s="2" t="str">
        <f>IF('Data Checking'!MH54="","",'Data Checking'!MH54)</f>
        <v/>
      </c>
      <c r="LW54" s="2" t="str">
        <f>IF('Data Checking'!MI54="","",'Data Checking'!MI54)</f>
        <v>[]</v>
      </c>
      <c r="LX54" s="2" t="str">
        <f>IF('Data Checking'!MJ54="","",'Data Checking'!MJ54)</f>
        <v>submitted_via_web</v>
      </c>
      <c r="LY54" s="2" t="str">
        <f>IF('Data Checking'!MK54="","",'Data Checking'!MK54)</f>
        <v>reach_niger</v>
      </c>
      <c r="LZ54" s="2" t="str">
        <f>IF('Data Checking'!ML54="","",'Data Checking'!ML54)</f>
        <v/>
      </c>
      <c r="MA54" s="2">
        <f>IF('Data Checking'!MM54="","",'Data Checking'!MM54)</f>
        <v>63</v>
      </c>
    </row>
    <row r="55" spans="1:339" x14ac:dyDescent="0.3">
      <c r="A55" s="2" t="str">
        <f>IF('Data Checking'!D55="","",'Data Checking'!D55)</f>
        <v>2021-04-01T12:52:08.294+01:00</v>
      </c>
      <c r="B55" s="2" t="str">
        <f>IF('Data Checking'!E55="","",'Data Checking'!E55)</f>
        <v>2021-04-01T18:13:43.474+01:00</v>
      </c>
      <c r="C55" s="2" t="str">
        <f>IF('Data Checking'!M55="","",'Data Checking'!M55)</f>
        <v>2021-04-01</v>
      </c>
      <c r="D55" s="2" t="str">
        <f>IF('Data Checking'!N55="","",'Data Checking'!N55)</f>
        <v/>
      </c>
      <c r="E55" s="2" t="str">
        <f>IF('Data Checking'!O55="","",'Data Checking'!O55)</f>
        <v/>
      </c>
      <c r="F55" s="2" t="str">
        <f>IF('Data Checking'!R55="","",'Data Checking'!R55)</f>
        <v>Homme</v>
      </c>
      <c r="G55" s="2" t="str">
        <f>IF('Data Checking'!S55="","",'Data Checking'!S55)</f>
        <v>torodi</v>
      </c>
      <c r="H55" s="2" t="str">
        <f>IF('Data Checking'!T55="","",'Data Checking'!T55)</f>
        <v>makalondi</v>
      </c>
      <c r="I55" s="2" t="str">
        <f>IF('Data Checking'!U55="","",'Data Checking'!U55)</f>
        <v>autre</v>
      </c>
      <c r="J55" s="2" t="str">
        <f>IF('Data Checking'!V55="","",'Data Checking'!V55)</f>
        <v>Tous les sites PDI de la zone de compétence de l'IC</v>
      </c>
      <c r="K55" s="2" t="str">
        <f>IF('Data Checking'!W55="","",'Data Checking'!W55)</f>
        <v/>
      </c>
      <c r="L55" s="2" t="str">
        <f>IF('Data Checking'!X55="","",'Data Checking'!X55)</f>
        <v/>
      </c>
      <c r="M55" s="2" t="str">
        <f>IF('Data Checking'!Y55="","",'Data Checking'!Y55)</f>
        <v/>
      </c>
      <c r="N55" s="2" t="str">
        <f>IF('Data Checking'!Z55="","",'Data Checking'!Z55)</f>
        <v/>
      </c>
      <c r="O55" s="2" t="str">
        <f>IF('Data Checking'!AA55="","",'Data Checking'!AA55)</f>
        <v/>
      </c>
      <c r="P55" s="2" t="str">
        <f>IF('Data Checking'!AB55="","",'Data Checking'!AB55)</f>
        <v/>
      </c>
      <c r="Q55" s="2" t="str">
        <f>IF('Data Checking'!AC55="","",'Data Checking'!AC55)</f>
        <v/>
      </c>
      <c r="R55" s="2" t="str">
        <f>IF('Data Checking'!AD55="","",'Data Checking'!AD55)</f>
        <v>Femme</v>
      </c>
      <c r="S55" s="2" t="str">
        <f>IF('Data Checking'!AE55="","",'Data Checking'!AE55)</f>
        <v>30</v>
      </c>
      <c r="T55" s="2" t="str">
        <f>IF('Data Checking'!AF55="","",'Data Checking'!AF55)</f>
        <v>Hote</v>
      </c>
      <c r="U55" s="2" t="str">
        <f>IF('Data Checking'!AG55="","",'Data Checking'!AG55)</f>
        <v/>
      </c>
      <c r="V55" s="2" t="str">
        <f>IF('Data Checking'!AH55="","",'Data Checking'!AH55)</f>
        <v/>
      </c>
      <c r="W55" s="2" t="str">
        <f>IF('Data Checking'!AI55="","",'Data Checking'!AI55)</f>
        <v/>
      </c>
      <c r="X55" s="2" t="str">
        <f>IF('Data Checking'!AJ55="","",'Data Checking'!AJ55)</f>
        <v/>
      </c>
      <c r="Y55" s="2" t="str">
        <f>IF('Data Checking'!AK55="","",'Data Checking'!AK55)</f>
        <v/>
      </c>
      <c r="Z55" s="2" t="str">
        <f>IF('Data Checking'!AL55="","",'Data Checking'!AL55)</f>
        <v/>
      </c>
      <c r="AA55" s="2" t="str">
        <f>IF('Data Checking'!AM55="","",'Data Checking'!AM55)</f>
        <v/>
      </c>
      <c r="AB55" s="2" t="str">
        <f>IF('Data Checking'!AN55="","",'Data Checking'!AN55)</f>
        <v/>
      </c>
      <c r="AC55" s="2" t="str">
        <f>IF('Data Checking'!AO55="","",'Data Checking'!AO55)</f>
        <v/>
      </c>
      <c r="AD55" s="2" t="str">
        <f>IF('Data Checking'!AP55="","",'Data Checking'!AP55)</f>
        <v/>
      </c>
      <c r="AE55" s="2" t="str">
        <f>IF('Data Checking'!AQ55="","",'Data Checking'!AQ55)</f>
        <v/>
      </c>
      <c r="AF55" s="2" t="str">
        <f>IF('Data Checking'!AR55="","",'Data Checking'!AR55)</f>
        <v/>
      </c>
      <c r="AG55" s="2" t="str">
        <f>IF('Data Checking'!AS55="","",'Data Checking'!AS55)</f>
        <v>non</v>
      </c>
      <c r="AH55" s="2" t="str">
        <f>IF('Data Checking'!AT55="","",'Data Checking'!AT55)</f>
        <v/>
      </c>
      <c r="AI55" s="2" t="str">
        <f>IF('Data Checking'!AU55="","",'Data Checking'!AU55)</f>
        <v/>
      </c>
      <c r="AJ55" s="2" t="str">
        <f>IF('Data Checking'!AV55="","",'Data Checking'!AV55)</f>
        <v/>
      </c>
      <c r="AK55" s="2" t="str">
        <f>IF('Data Checking'!AW55="","",'Data Checking'!AW55)</f>
        <v/>
      </c>
      <c r="AL55" s="2" t="str">
        <f>IF('Data Checking'!AX55="","",'Data Checking'!AX55)</f>
        <v/>
      </c>
      <c r="AM55" s="2" t="str">
        <f>IF('Data Checking'!AY55="","",'Data Checking'!AY55)</f>
        <v/>
      </c>
      <c r="AN55" s="2" t="str">
        <f>IF('Data Checking'!AZ55="","",'Data Checking'!AZ55)</f>
        <v/>
      </c>
      <c r="AO55" s="2" t="str">
        <f>IF('Data Checking'!BA55="","",'Data Checking'!BA55)</f>
        <v/>
      </c>
      <c r="AP55" s="2" t="str">
        <f>IF('Data Checking'!BB55="","",'Data Checking'!BB55)</f>
        <v/>
      </c>
      <c r="AQ55" s="2" t="str">
        <f>IF('Data Checking'!BC55="","",'Data Checking'!BC55)</f>
        <v/>
      </c>
      <c r="AR55" s="2" t="str">
        <f>IF('Data Checking'!BD55="","",'Data Checking'!BD55)</f>
        <v/>
      </c>
      <c r="AS55" s="2" t="str">
        <f>IF('Data Checking'!BE55="","",'Data Checking'!BE55)</f>
        <v/>
      </c>
      <c r="AT55" s="2" t="str">
        <f>IF('Data Checking'!BF55="","",'Data Checking'!BF55)</f>
        <v/>
      </c>
      <c r="AU55" s="2" t="str">
        <f>IF('Data Checking'!BG55="","",'Data Checking'!BG55)</f>
        <v/>
      </c>
      <c r="AV55" s="2" t="str">
        <f>IF('Data Checking'!BH55="","",'Data Checking'!BH55)</f>
        <v/>
      </c>
      <c r="AW55" s="2" t="str">
        <f>IF('Data Checking'!BI55="","",'Data Checking'!BI55)</f>
        <v/>
      </c>
      <c r="AX55" s="2" t="str">
        <f>IF('Data Checking'!BJ55="","",'Data Checking'!BJ55)</f>
        <v/>
      </c>
      <c r="AY55" s="2" t="str">
        <f>IF('Data Checking'!BK55="","",'Data Checking'!BK55)</f>
        <v/>
      </c>
      <c r="AZ55" s="2" t="str">
        <f>IF('Data Checking'!BL55="","",'Data Checking'!BL55)</f>
        <v/>
      </c>
      <c r="BA55" s="2" t="str">
        <f>IF('Data Checking'!BM55="","",'Data Checking'!BM55)</f>
        <v/>
      </c>
      <c r="BB55" s="2" t="str">
        <f>IF('Data Checking'!BN55="","",'Data Checking'!BN55)</f>
        <v/>
      </c>
      <c r="BC55" s="2" t="str">
        <f>IF('Data Checking'!BO55="","",'Data Checking'!BO55)</f>
        <v/>
      </c>
      <c r="BD55" s="2" t="str">
        <f>IF('Data Checking'!BP55="","",'Data Checking'!BP55)</f>
        <v/>
      </c>
      <c r="BE55" s="2" t="str">
        <f>IF('Data Checking'!BQ55="","",'Data Checking'!BQ55)</f>
        <v/>
      </c>
      <c r="BF55" s="2" t="str">
        <f>IF('Data Checking'!BR55="","",'Data Checking'!BR55)</f>
        <v/>
      </c>
      <c r="BG55" s="2" t="str">
        <f>IF('Data Checking'!BS55="","",'Data Checking'!BS55)</f>
        <v/>
      </c>
      <c r="BH55" s="2" t="str">
        <f>IF('Data Checking'!BT55="","",'Data Checking'!BT55)</f>
        <v/>
      </c>
      <c r="BI55" s="2" t="str">
        <f>IF('Data Checking'!BU55="","",'Data Checking'!BU55)</f>
        <v/>
      </c>
      <c r="BJ55" s="2" t="str">
        <f>IF('Data Checking'!BV55="","",'Data Checking'!BV55)</f>
        <v/>
      </c>
      <c r="BK55" s="2" t="str">
        <f>IF('Data Checking'!BW55="","",'Data Checking'!BW55)</f>
        <v/>
      </c>
      <c r="BL55" s="2" t="str">
        <f>IF('Data Checking'!BX55="","",'Data Checking'!BX55)</f>
        <v/>
      </c>
      <c r="BM55" s="2" t="str">
        <f>IF('Data Checking'!BY55="","",'Data Checking'!BY55)</f>
        <v/>
      </c>
      <c r="BN55" s="2" t="str">
        <f>IF('Data Checking'!BZ55="","",'Data Checking'!BZ55)</f>
        <v/>
      </c>
      <c r="BO55" s="2" t="str">
        <f>IF('Data Checking'!CA55="","",'Data Checking'!CA55)</f>
        <v/>
      </c>
      <c r="BP55" s="2" t="str">
        <f>IF('Data Checking'!CB55="","",'Data Checking'!CB55)</f>
        <v/>
      </c>
      <c r="BQ55" s="2" t="str">
        <f>IF('Data Checking'!CC55="","",'Data Checking'!CC55)</f>
        <v>oui</v>
      </c>
      <c r="BR55" s="2" t="str">
        <f>IF('Data Checking'!CD55="","",'Data Checking'!CD55)</f>
        <v>mariage_force viol agression_psychologique agression_physique</v>
      </c>
      <c r="BS55" s="2" t="str">
        <f>IF('Data Checking'!CE55="","",'Data Checking'!CE55)</f>
        <v>1</v>
      </c>
      <c r="BT55" s="2" t="str">
        <f>IF('Data Checking'!CF55="","",'Data Checking'!CF55)</f>
        <v>0</v>
      </c>
      <c r="BU55" s="2" t="str">
        <f>IF('Data Checking'!CG55="","",'Data Checking'!CG55)</f>
        <v>1</v>
      </c>
      <c r="BV55" s="2" t="str">
        <f>IF('Data Checking'!CH55="","",'Data Checking'!CH55)</f>
        <v>0</v>
      </c>
      <c r="BW55" s="2" t="str">
        <f>IF('Data Checking'!CI55="","",'Data Checking'!CI55)</f>
        <v>1</v>
      </c>
      <c r="BX55" s="2" t="str">
        <f>IF('Data Checking'!CJ55="","",'Data Checking'!CJ55)</f>
        <v>1</v>
      </c>
      <c r="BY55" s="2" t="str">
        <f>IF('Data Checking'!CK55="","",'Data Checking'!CK55)</f>
        <v>0</v>
      </c>
      <c r="BZ55" s="2" t="str">
        <f>IF('Data Checking'!CL55="","",'Data Checking'!CL55)</f>
        <v>0</v>
      </c>
      <c r="CA55" s="2" t="str">
        <f>IF('Data Checking'!CM55="","",'Data Checking'!CM55)</f>
        <v>0</v>
      </c>
      <c r="CB55" s="2" t="str">
        <f>IF('Data Checking'!CN55="","",'Data Checking'!CN55)</f>
        <v>0</v>
      </c>
      <c r="CC55" s="2" t="str">
        <f>IF('Data Checking'!CO55="","",'Data Checking'!CO55)</f>
        <v>0</v>
      </c>
      <c r="CD55" s="2" t="str">
        <f>IF('Data Checking'!CP55="","",'Data Checking'!CP55)</f>
        <v>0</v>
      </c>
      <c r="CE55" s="2" t="str">
        <f>IF('Data Checking'!CQ55="","",'Data Checking'!CQ55)</f>
        <v>0</v>
      </c>
      <c r="CF55" s="2" t="str">
        <f>IF('Data Checking'!CR55="","",'Data Checking'!CR55)</f>
        <v>0</v>
      </c>
      <c r="CG55" s="2" t="str">
        <f>IF('Data Checking'!CS55="","",'Data Checking'!CS55)</f>
        <v>0</v>
      </c>
      <c r="CH55" s="2" t="str">
        <f>IF('Data Checking'!CT55="","",'Data Checking'!CT55)</f>
        <v/>
      </c>
      <c r="CI55" s="2" t="str">
        <f>IF('Data Checking'!CU55="","",'Data Checking'!CU55)</f>
        <v>Garçons Femmes</v>
      </c>
      <c r="CJ55" s="2" t="str">
        <f>IF('Data Checking'!CV55="","",'Data Checking'!CV55)</f>
        <v>0</v>
      </c>
      <c r="CK55" s="2" t="str">
        <f>IF('Data Checking'!CW55="","",'Data Checking'!CW55)</f>
        <v>0</v>
      </c>
      <c r="CL55" s="2" t="str">
        <f>IF('Data Checking'!CX55="","",'Data Checking'!CX55)</f>
        <v>0</v>
      </c>
      <c r="CM55" s="2" t="str">
        <f>IF('Data Checking'!CY55="","",'Data Checking'!CY55)</f>
        <v>1</v>
      </c>
      <c r="CN55" s="2" t="str">
        <f>IF('Data Checking'!CZ55="","",'Data Checking'!CZ55)</f>
        <v>1</v>
      </c>
      <c r="CO55" s="2" t="str">
        <f>IF('Data Checking'!DA55="","",'Data Checking'!DA55)</f>
        <v>0</v>
      </c>
      <c r="CP55" s="2" t="str">
        <f>IF('Data Checking'!DB55="","",'Data Checking'!DB55)</f>
        <v>0</v>
      </c>
      <c r="CQ55" s="2" t="str">
        <f>IF('Data Checking'!DC55="","",'Data Checking'!DC55)</f>
        <v>0</v>
      </c>
      <c r="CR55" s="2" t="str">
        <f>IF('Data Checking'!DD55="","",'Data Checking'!DD55)</f>
        <v>0</v>
      </c>
      <c r="CS55" s="2" t="str">
        <f>IF('Data Checking'!DE55="","",'Data Checking'!DE55)</f>
        <v>0</v>
      </c>
      <c r="CT55" s="2" t="str">
        <f>IF('Data Checking'!DF55="","",'Data Checking'!DF55)</f>
        <v>0</v>
      </c>
      <c r="CU55" s="2" t="str">
        <f>IF('Data Checking'!DG55="","",'Data Checking'!DG55)</f>
        <v>0</v>
      </c>
      <c r="CV55" s="2" t="str">
        <f>IF('Data Checking'!DH55="","",'Data Checking'!DH55)</f>
        <v>0</v>
      </c>
      <c r="CW55" s="2" t="str">
        <f>IF('Data Checking'!DI55="","",'Data Checking'!DI55)</f>
        <v>0</v>
      </c>
      <c r="CX55" s="2" t="str">
        <f>IF('Data Checking'!DJ55="","",'Data Checking'!DJ55)</f>
        <v/>
      </c>
      <c r="CY55" s="2" t="str">
        <f>IF('Data Checking'!DK55="","",'Data Checking'!DK55)</f>
        <v>1</v>
      </c>
      <c r="CZ55" s="2" t="str">
        <f>IF('Data Checking'!DL55="","",'Data Checking'!DL55)</f>
        <v>stable</v>
      </c>
      <c r="DA55" s="2" t="str">
        <f>IF('Data Checking'!DM55="","",'Data Checking'!DM55)</f>
        <v/>
      </c>
      <c r="DB55" s="2" t="str">
        <f>IF('Data Checking'!DN55="","",'Data Checking'!DN55)</f>
        <v/>
      </c>
      <c r="DC55" s="2" t="str">
        <f>IF('Data Checking'!DO55="","",'Data Checking'!DO55)</f>
        <v/>
      </c>
      <c r="DD55" s="2" t="str">
        <f>IF('Data Checking'!DP55="","",'Data Checking'!DP55)</f>
        <v/>
      </c>
      <c r="DE55" s="2" t="str">
        <f>IF('Data Checking'!DQ55="","",'Data Checking'!DQ55)</f>
        <v/>
      </c>
      <c r="DF55" s="2" t="str">
        <f>IF('Data Checking'!DR55="","",'Data Checking'!DR55)</f>
        <v/>
      </c>
      <c r="DG55" s="2" t="str">
        <f>IF('Data Checking'!DS55="","",'Data Checking'!DS55)</f>
        <v/>
      </c>
      <c r="DH55" s="2" t="str">
        <f>IF('Data Checking'!DT55="","",'Data Checking'!DT55)</f>
        <v/>
      </c>
      <c r="DI55" s="2" t="str">
        <f>IF('Data Checking'!DU55="","",'Data Checking'!DU55)</f>
        <v/>
      </c>
      <c r="DJ55" s="2" t="str">
        <f>IF('Data Checking'!DV55="","",'Data Checking'!DV55)</f>
        <v/>
      </c>
      <c r="DK55" s="2" t="str">
        <f>IF('Data Checking'!DW55="","",'Data Checking'!DW55)</f>
        <v/>
      </c>
      <c r="DL55" s="2" t="str">
        <f>IF('Data Checking'!DX55="","",'Data Checking'!DX55)</f>
        <v/>
      </c>
      <c r="DM55" s="2" t="str">
        <f>IF('Data Checking'!DY55="","",'Data Checking'!DY55)</f>
        <v/>
      </c>
      <c r="DN55" s="2" t="str">
        <f>IF('Data Checking'!DZ55="","",'Data Checking'!DZ55)</f>
        <v/>
      </c>
      <c r="DO55" s="2" t="str">
        <f>IF('Data Checking'!EA55="","",'Data Checking'!EA55)</f>
        <v/>
      </c>
      <c r="DP55" s="2" t="str">
        <f>IF('Data Checking'!EB55="","",'Data Checking'!EB55)</f>
        <v/>
      </c>
      <c r="DQ55" s="2" t="str">
        <f>IF('Data Checking'!EC55="","",'Data Checking'!EC55)</f>
        <v/>
      </c>
      <c r="DR55" s="2" t="str">
        <f>IF('Data Checking'!ED55="","",'Data Checking'!ED55)</f>
        <v/>
      </c>
      <c r="DS55" s="2" t="str">
        <f>IF('Data Checking'!EE55="","",'Data Checking'!EE55)</f>
        <v/>
      </c>
      <c r="DT55" s="2" t="str">
        <f>IF('Data Checking'!EF55="","",'Data Checking'!EF55)</f>
        <v/>
      </c>
      <c r="DU55" s="2" t="str">
        <f>IF('Data Checking'!EG55="","",'Data Checking'!EG55)</f>
        <v/>
      </c>
      <c r="DV55" s="2" t="str">
        <f>IF('Data Checking'!EH55="","",'Data Checking'!EH55)</f>
        <v/>
      </c>
      <c r="DW55" s="2" t="str">
        <f>IF('Data Checking'!EI55="","",'Data Checking'!EI55)</f>
        <v/>
      </c>
      <c r="DX55" s="2" t="str">
        <f>IF('Data Checking'!EJ55="","",'Data Checking'!EJ55)</f>
        <v/>
      </c>
      <c r="DY55" s="2" t="str">
        <f>IF('Data Checking'!EK55="","",'Data Checking'!EK55)</f>
        <v/>
      </c>
      <c r="DZ55" s="2" t="str">
        <f>IF('Data Checking'!EL55="","",'Data Checking'!EL55)</f>
        <v>dplct_abords_com Soutien_psychosocial</v>
      </c>
      <c r="EA55" s="2" t="str">
        <f>IF('Data Checking'!EM55="","",'Data Checking'!EM55)</f>
        <v>1</v>
      </c>
      <c r="EB55" s="2" t="str">
        <f>IF('Data Checking'!EN55="","",'Data Checking'!EN55)</f>
        <v>0</v>
      </c>
      <c r="EC55" s="2" t="str">
        <f>IF('Data Checking'!EO55="","",'Data Checking'!EO55)</f>
        <v>0</v>
      </c>
      <c r="ED55" s="2" t="str">
        <f>IF('Data Checking'!EP55="","",'Data Checking'!EP55)</f>
        <v>0</v>
      </c>
      <c r="EE55" s="2" t="str">
        <f>IF('Data Checking'!EQ55="","",'Data Checking'!EQ55)</f>
        <v>1</v>
      </c>
      <c r="EF55" s="2" t="str">
        <f>IF('Data Checking'!ER55="","",'Data Checking'!ER55)</f>
        <v>0</v>
      </c>
      <c r="EG55" s="2" t="str">
        <f>IF('Data Checking'!ES55="","",'Data Checking'!ES55)</f>
        <v>0</v>
      </c>
      <c r="EH55" s="2" t="str">
        <f>IF('Data Checking'!ET55="","",'Data Checking'!ET55)</f>
        <v>0</v>
      </c>
      <c r="EI55" s="2" t="str">
        <f>IF('Data Checking'!EU55="","",'Data Checking'!EU55)</f>
        <v>0</v>
      </c>
      <c r="EJ55" s="2" t="str">
        <f>IF('Data Checking'!EV55="","",'Data Checking'!EV55)</f>
        <v/>
      </c>
      <c r="EK55" s="2" t="str">
        <f>IF('Data Checking'!EW55="","",'Data Checking'!EW55)</f>
        <v/>
      </c>
      <c r="EL55" s="2" t="str">
        <f>IF('Data Checking'!EX55="","",'Data Checking'!EX55)</f>
        <v>comite_protection comite_alerte comite_gestion_conflits</v>
      </c>
      <c r="EM55" s="2" t="str">
        <f>IF('Data Checking'!EY55="","",'Data Checking'!EY55)</f>
        <v>0</v>
      </c>
      <c r="EN55" s="2" t="str">
        <f>IF('Data Checking'!EZ55="","",'Data Checking'!EZ55)</f>
        <v>1</v>
      </c>
      <c r="EO55" s="2" t="str">
        <f>IF('Data Checking'!FA55="","",'Data Checking'!FA55)</f>
        <v>0</v>
      </c>
      <c r="EP55" s="2" t="str">
        <f>IF('Data Checking'!FB55="","",'Data Checking'!FB55)</f>
        <v>1</v>
      </c>
      <c r="EQ55" s="2" t="str">
        <f>IF('Data Checking'!FC55="","",'Data Checking'!FC55)</f>
        <v>0</v>
      </c>
      <c r="ER55" s="2" t="str">
        <f>IF('Data Checking'!FD55="","",'Data Checking'!FD55)</f>
        <v>1</v>
      </c>
      <c r="ES55" s="2" t="str">
        <f>IF('Data Checking'!FE55="","",'Data Checking'!FE55)</f>
        <v>0</v>
      </c>
      <c r="ET55" s="2" t="str">
        <f>IF('Data Checking'!FF55="","",'Data Checking'!FF55)</f>
        <v>0</v>
      </c>
      <c r="EU55" s="2" t="str">
        <f>IF('Data Checking'!FG55="","",'Data Checking'!FG55)</f>
        <v>0</v>
      </c>
      <c r="EV55" s="2" t="str">
        <f>IF('Data Checking'!FH55="","",'Data Checking'!FH55)</f>
        <v>0</v>
      </c>
      <c r="EW55" s="2" t="str">
        <f>IF('Data Checking'!FI55="","",'Data Checking'!FI55)</f>
        <v/>
      </c>
      <c r="EX55" s="2" t="str">
        <f>IF('Data Checking'!FJ55="","",'Data Checking'!FJ55)</f>
        <v>oui</v>
      </c>
      <c r="EY55" s="2" t="str">
        <f>IF('Data Checking'!FK55="","",'Data Checking'!FK55)</f>
        <v>Travailleurs_sociaux/hum manif_sociales</v>
      </c>
      <c r="EZ55" s="2" t="str">
        <f>IF('Data Checking'!FL55="","",'Data Checking'!FL55)</f>
        <v>0</v>
      </c>
      <c r="FA55" s="2" t="str">
        <f>IF('Data Checking'!FM55="","",'Data Checking'!FM55)</f>
        <v>0</v>
      </c>
      <c r="FB55" s="2" t="str">
        <f>IF('Data Checking'!FN55="","",'Data Checking'!FN55)</f>
        <v>0</v>
      </c>
      <c r="FC55" s="2" t="str">
        <f>IF('Data Checking'!FO55="","",'Data Checking'!FO55)</f>
        <v>1</v>
      </c>
      <c r="FD55" s="2" t="str">
        <f>IF('Data Checking'!FP55="","",'Data Checking'!FP55)</f>
        <v>0</v>
      </c>
      <c r="FE55" s="2" t="str">
        <f>IF('Data Checking'!FQ55="","",'Data Checking'!FQ55)</f>
        <v>0</v>
      </c>
      <c r="FF55" s="2" t="str">
        <f>IF('Data Checking'!FR55="","",'Data Checking'!FR55)</f>
        <v>0</v>
      </c>
      <c r="FG55" s="2" t="str">
        <f>IF('Data Checking'!FS55="","",'Data Checking'!FS55)</f>
        <v>0</v>
      </c>
      <c r="FH55" s="2" t="str">
        <f>IF('Data Checking'!FT55="","",'Data Checking'!FT55)</f>
        <v>0</v>
      </c>
      <c r="FI55" s="2" t="str">
        <f>IF('Data Checking'!FU55="","",'Data Checking'!FU55)</f>
        <v>0</v>
      </c>
      <c r="FJ55" s="2" t="str">
        <f>IF('Data Checking'!FV55="","",'Data Checking'!FV55)</f>
        <v>1</v>
      </c>
      <c r="FK55" s="2" t="str">
        <f>IF('Data Checking'!FW55="","",'Data Checking'!FW55)</f>
        <v>0</v>
      </c>
      <c r="FL55" s="2" t="str">
        <f>IF('Data Checking'!FX55="","",'Data Checking'!FX55)</f>
        <v>0</v>
      </c>
      <c r="FM55" s="2" t="str">
        <f>IF('Data Checking'!FY55="","",'Data Checking'!FY55)</f>
        <v>0</v>
      </c>
      <c r="FN55" s="2" t="str">
        <f>IF('Data Checking'!FZ55="","",'Data Checking'!FZ55)</f>
        <v/>
      </c>
      <c r="FO55" s="2" t="str">
        <f>IF('Data Checking'!GA55="","",'Data Checking'!GA55)</f>
        <v>oui_ensemble</v>
      </c>
      <c r="FP55" s="2" t="str">
        <f>IF('Data Checking'!GB55="","",'Data Checking'!GB55)</f>
        <v>oui_ensemble</v>
      </c>
      <c r="FQ55" s="2" t="str">
        <f>IF('Data Checking'!GC55="","",'Data Checking'!GC55)</f>
        <v/>
      </c>
      <c r="FR55" s="2" t="str">
        <f>IF('Data Checking'!GD55="","",'Data Checking'!GD55)</f>
        <v/>
      </c>
      <c r="FS55" s="2" t="str">
        <f>IF('Data Checking'!GE55="","",'Data Checking'!GE55)</f>
        <v/>
      </c>
      <c r="FT55" s="2" t="str">
        <f>IF('Data Checking'!GF55="","",'Data Checking'!GF55)</f>
        <v/>
      </c>
      <c r="FU55" s="2" t="str">
        <f>IF('Data Checking'!GG55="","",'Data Checking'!GG55)</f>
        <v/>
      </c>
      <c r="FV55" s="2" t="str">
        <f>IF('Data Checking'!GH55="","",'Data Checking'!GH55)</f>
        <v/>
      </c>
      <c r="FW55" s="2" t="str">
        <f>IF('Data Checking'!GI55="","",'Data Checking'!GI55)</f>
        <v/>
      </c>
      <c r="FX55" s="2" t="str">
        <f>IF('Data Checking'!GJ55="","",'Data Checking'!GJ55)</f>
        <v/>
      </c>
      <c r="FY55" s="2" t="str">
        <f>IF('Data Checking'!GK55="","",'Data Checking'!GK55)</f>
        <v/>
      </c>
      <c r="FZ55" s="2" t="str">
        <f>IF('Data Checking'!GL55="","",'Data Checking'!GL55)</f>
        <v/>
      </c>
      <c r="GA55" s="2" t="str">
        <f>IF('Data Checking'!GM55="","",'Data Checking'!GM55)</f>
        <v>ensemble</v>
      </c>
      <c r="GB55" s="2" t="str">
        <f>IF('Data Checking'!GN55="","",'Data Checking'!GN55)</f>
        <v>ensemble</v>
      </c>
      <c r="GC55" s="2" t="str">
        <f>IF('Data Checking'!GO55="","",'Data Checking'!GO55)</f>
        <v>Services_de_sante Service_de_counseling Appui_psychosocial</v>
      </c>
      <c r="GD55" s="2" t="str">
        <f>IF('Data Checking'!GP55="","",'Data Checking'!GP55)</f>
        <v>1</v>
      </c>
      <c r="GE55" s="2" t="str">
        <f>IF('Data Checking'!GQ55="","",'Data Checking'!GQ55)</f>
        <v>0</v>
      </c>
      <c r="GF55" s="2" t="str">
        <f>IF('Data Checking'!GR55="","",'Data Checking'!GR55)</f>
        <v>1</v>
      </c>
      <c r="GG55" s="2" t="str">
        <f>IF('Data Checking'!GS55="","",'Data Checking'!GS55)</f>
        <v>1</v>
      </c>
      <c r="GH55" s="2" t="str">
        <f>IF('Data Checking'!GT55="","",'Data Checking'!GT55)</f>
        <v>0</v>
      </c>
      <c r="GI55" s="2" t="str">
        <f>IF('Data Checking'!GU55="","",'Data Checking'!GU55)</f>
        <v>0</v>
      </c>
      <c r="GJ55" s="2" t="str">
        <f>IF('Data Checking'!GV55="","",'Data Checking'!GV55)</f>
        <v>0</v>
      </c>
      <c r="GK55" s="2" t="str">
        <f>IF('Data Checking'!GW55="","",'Data Checking'!GW55)</f>
        <v>0</v>
      </c>
      <c r="GL55" s="2" t="str">
        <f>IF('Data Checking'!GX55="","",'Data Checking'!GX55)</f>
        <v>0</v>
      </c>
      <c r="GM55" s="2" t="str">
        <f>IF('Data Checking'!GY55="","",'Data Checking'!GY55)</f>
        <v/>
      </c>
      <c r="GN55" s="2" t="str">
        <f>IF('Data Checking'!GZ55="","",'Data Checking'!GZ55)</f>
        <v>oui_ensemble</v>
      </c>
      <c r="GO55" s="2" t="str">
        <f>IF('Data Checking'!HA55="","",'Data Checking'!HA55)</f>
        <v>oui_ensemble</v>
      </c>
      <c r="GP55" s="2" t="str">
        <f>IF('Data Checking'!HB55="","",'Data Checking'!HB55)</f>
        <v>repond_besoins_pop permet_obtenir_conseils permet_eviter_conflits</v>
      </c>
      <c r="GQ55" s="2" t="str">
        <f>IF('Data Checking'!HC55="","",'Data Checking'!HC55)</f>
        <v>0</v>
      </c>
      <c r="GR55" s="2" t="str">
        <f>IF('Data Checking'!HD55="","",'Data Checking'!HD55)</f>
        <v>1</v>
      </c>
      <c r="GS55" s="2" t="str">
        <f>IF('Data Checking'!HE55="","",'Data Checking'!HE55)</f>
        <v>1</v>
      </c>
      <c r="GT55" s="2" t="str">
        <f>IF('Data Checking'!HF55="","",'Data Checking'!HF55)</f>
        <v>1</v>
      </c>
      <c r="GU55" s="2" t="str">
        <f>IF('Data Checking'!HG55="","",'Data Checking'!HG55)</f>
        <v>0</v>
      </c>
      <c r="GV55" s="2" t="str">
        <f>IF('Data Checking'!HH55="","",'Data Checking'!HH55)</f>
        <v>0</v>
      </c>
      <c r="GW55" s="2" t="str">
        <f>IF('Data Checking'!HI55="","",'Data Checking'!HI55)</f>
        <v>0</v>
      </c>
      <c r="GX55" s="2" t="str">
        <f>IF('Data Checking'!HJ55="","",'Data Checking'!HJ55)</f>
        <v>0</v>
      </c>
      <c r="GY55" s="2" t="str">
        <f>IF('Data Checking'!HK55="","",'Data Checking'!HK55)</f>
        <v/>
      </c>
      <c r="GZ55" s="2" t="str">
        <f>IF('Data Checking'!HL55="","",'Data Checking'!HL55)</f>
        <v/>
      </c>
      <c r="HA55" s="2" t="str">
        <f>IF('Data Checking'!HM55="","",'Data Checking'!HM55)</f>
        <v/>
      </c>
      <c r="HB55" s="2" t="str">
        <f>IF('Data Checking'!HN55="","",'Data Checking'!HN55)</f>
        <v/>
      </c>
      <c r="HC55" s="2" t="str">
        <f>IF('Data Checking'!HO55="","",'Data Checking'!HO55)</f>
        <v/>
      </c>
      <c r="HD55" s="2" t="str">
        <f>IF('Data Checking'!HP55="","",'Data Checking'!HP55)</f>
        <v/>
      </c>
      <c r="HE55" s="2" t="str">
        <f>IF('Data Checking'!HQ55="","",'Data Checking'!HQ55)</f>
        <v/>
      </c>
      <c r="HF55" s="2" t="str">
        <f>IF('Data Checking'!HR55="","",'Data Checking'!HR55)</f>
        <v/>
      </c>
      <c r="HG55" s="2" t="str">
        <f>IF('Data Checking'!HS55="","",'Data Checking'!HS55)</f>
        <v/>
      </c>
      <c r="HH55" s="2" t="str">
        <f>IF('Data Checking'!HT55="","",'Data Checking'!HT55)</f>
        <v/>
      </c>
      <c r="HI55" s="2" t="str">
        <f>IF('Data Checking'!HU55="","",'Data Checking'!HU55)</f>
        <v>Ne_sait_pas</v>
      </c>
      <c r="HJ55" s="2" t="str">
        <f>IF('Data Checking'!HV55="","",'Data Checking'!HV55)</f>
        <v/>
      </c>
      <c r="HK55" s="2" t="str">
        <f>IF('Data Checking'!HW55="","",'Data Checking'!HW55)</f>
        <v/>
      </c>
      <c r="HL55" s="2" t="str">
        <f>IF('Data Checking'!HX55="","",'Data Checking'!HX55)</f>
        <v/>
      </c>
      <c r="HM55" s="2" t="str">
        <f>IF('Data Checking'!HY55="","",'Data Checking'!HY55)</f>
        <v/>
      </c>
      <c r="HN55" s="2" t="str">
        <f>IF('Data Checking'!HZ55="","",'Data Checking'!HZ55)</f>
        <v/>
      </c>
      <c r="HO55" s="2" t="str">
        <f>IF('Data Checking'!IA55="","",'Data Checking'!IA55)</f>
        <v/>
      </c>
      <c r="HP55" s="2" t="str">
        <f>IF('Data Checking'!IB55="","",'Data Checking'!IB55)</f>
        <v/>
      </c>
      <c r="HQ55" s="2" t="str">
        <f>IF('Data Checking'!IC55="","",'Data Checking'!IC55)</f>
        <v/>
      </c>
      <c r="HR55" s="2" t="str">
        <f>IF('Data Checking'!ID55="","",'Data Checking'!ID55)</f>
        <v/>
      </c>
      <c r="HS55" s="2" t="str">
        <f>IF('Data Checking'!IE55="","",'Data Checking'!IE55)</f>
        <v/>
      </c>
      <c r="HT55" s="2" t="str">
        <f>IF('Data Checking'!IF55="","",'Data Checking'!IF55)</f>
        <v/>
      </c>
      <c r="HU55" s="2" t="str">
        <f>IF('Data Checking'!IG55="","",'Data Checking'!IG55)</f>
        <v/>
      </c>
      <c r="HV55" s="2" t="str">
        <f>IF('Data Checking'!IH55="","",'Data Checking'!IH55)</f>
        <v>oui</v>
      </c>
      <c r="HW55" s="2" t="str">
        <f>IF('Data Checking'!II55="","",'Data Checking'!II55)</f>
        <v/>
      </c>
      <c r="HX55" s="2" t="str">
        <f>IF('Data Checking'!IJ55="","",'Data Checking'!IJ55)</f>
        <v>Filles Femmes</v>
      </c>
      <c r="HY55" s="2" t="str">
        <f>IF('Data Checking'!IK55="","",'Data Checking'!IK55)</f>
        <v>0</v>
      </c>
      <c r="HZ55" s="2" t="str">
        <f>IF('Data Checking'!IL55="","",'Data Checking'!IL55)</f>
        <v>0</v>
      </c>
      <c r="IA55" s="2" t="str">
        <f>IF('Data Checking'!IM55="","",'Data Checking'!IM55)</f>
        <v>1</v>
      </c>
      <c r="IB55" s="2" t="str">
        <f>IF('Data Checking'!IN55="","",'Data Checking'!IN55)</f>
        <v>0</v>
      </c>
      <c r="IC55" s="2" t="str">
        <f>IF('Data Checking'!IO55="","",'Data Checking'!IO55)</f>
        <v>1</v>
      </c>
      <c r="ID55" s="2" t="str">
        <f>IF('Data Checking'!IP55="","",'Data Checking'!IP55)</f>
        <v>0</v>
      </c>
      <c r="IE55" s="2" t="str">
        <f>IF('Data Checking'!IQ55="","",'Data Checking'!IQ55)</f>
        <v>0</v>
      </c>
      <c r="IF55" s="2" t="str">
        <f>IF('Data Checking'!IR55="","",'Data Checking'!IR55)</f>
        <v>0</v>
      </c>
      <c r="IG55" s="2" t="str">
        <f>IF('Data Checking'!IS55="","",'Data Checking'!IS55)</f>
        <v>0</v>
      </c>
      <c r="IH55" s="2" t="str">
        <f>IF('Data Checking'!IT55="","",'Data Checking'!IT55)</f>
        <v>0</v>
      </c>
      <c r="II55" s="2" t="str">
        <f>IF('Data Checking'!IU55="","",'Data Checking'!IU55)</f>
        <v>0</v>
      </c>
      <c r="IJ55" s="2" t="str">
        <f>IF('Data Checking'!IV55="","",'Data Checking'!IV55)</f>
        <v>0</v>
      </c>
      <c r="IK55" s="2" t="str">
        <f>IF('Data Checking'!IW55="","",'Data Checking'!IW55)</f>
        <v>0</v>
      </c>
      <c r="IL55" s="2" t="str">
        <f>IF('Data Checking'!IX55="","",'Data Checking'!IX55)</f>
        <v>0</v>
      </c>
      <c r="IM55" s="2" t="str">
        <f>IF('Data Checking'!IY55="","",'Data Checking'!IY55)</f>
        <v/>
      </c>
      <c r="IN55" s="2" t="str">
        <f>IF('Data Checking'!IZ55="","",'Data Checking'!IZ55)</f>
        <v>15</v>
      </c>
      <c r="IO55" s="2" t="str">
        <f>IF('Data Checking'!JA55="","",'Data Checking'!JA55)</f>
        <v>Appui_psychosocial Services_medicaux Services_conseil service_judiciaire reinsertion points_ecoute</v>
      </c>
      <c r="IP55" s="2" t="str">
        <f>IF('Data Checking'!JB55="","",'Data Checking'!JB55)</f>
        <v>1</v>
      </c>
      <c r="IQ55" s="2" t="str">
        <f>IF('Data Checking'!JC55="","",'Data Checking'!JC55)</f>
        <v>1</v>
      </c>
      <c r="IR55" s="2" t="str">
        <f>IF('Data Checking'!JD55="","",'Data Checking'!JD55)</f>
        <v>0</v>
      </c>
      <c r="IS55" s="2" t="str">
        <f>IF('Data Checking'!JE55="","",'Data Checking'!JE55)</f>
        <v>1</v>
      </c>
      <c r="IT55" s="2" t="str">
        <f>IF('Data Checking'!JF55="","",'Data Checking'!JF55)</f>
        <v>0</v>
      </c>
      <c r="IU55" s="2" t="str">
        <f>IF('Data Checking'!JG55="","",'Data Checking'!JG55)</f>
        <v>1</v>
      </c>
      <c r="IV55" s="2" t="str">
        <f>IF('Data Checking'!JH55="","",'Data Checking'!JH55)</f>
        <v>0</v>
      </c>
      <c r="IW55" s="2" t="str">
        <f>IF('Data Checking'!JI55="","",'Data Checking'!JI55)</f>
        <v>1</v>
      </c>
      <c r="IX55" s="2" t="str">
        <f>IF('Data Checking'!JJ55="","",'Data Checking'!JJ55)</f>
        <v>1</v>
      </c>
      <c r="IY55" s="2" t="str">
        <f>IF('Data Checking'!JK55="","",'Data Checking'!JK55)</f>
        <v>0</v>
      </c>
      <c r="IZ55" s="2" t="str">
        <f>IF('Data Checking'!JL55="","",'Data Checking'!JL55)</f>
        <v/>
      </c>
      <c r="JA55" s="2" t="str">
        <f>IF('Data Checking'!JM55="","",'Data Checking'!JM55)</f>
        <v>prise_enchage signalement reorientation</v>
      </c>
      <c r="JB55" s="2" t="str">
        <f>IF('Data Checking'!JN55="","",'Data Checking'!JN55)</f>
        <v>1</v>
      </c>
      <c r="JC55" s="2" t="str">
        <f>IF('Data Checking'!JO55="","",'Data Checking'!JO55)</f>
        <v>1</v>
      </c>
      <c r="JD55" s="2" t="str">
        <f>IF('Data Checking'!JP55="","",'Data Checking'!JP55)</f>
        <v>1</v>
      </c>
      <c r="JE55" s="2" t="str">
        <f>IF('Data Checking'!JQ55="","",'Data Checking'!JQ55)</f>
        <v>0</v>
      </c>
      <c r="JF55" s="2" t="str">
        <f>IF('Data Checking'!JR55="","",'Data Checking'!JR55)</f>
        <v>0</v>
      </c>
      <c r="JG55" s="2" t="str">
        <f>IF('Data Checking'!JS55="","",'Data Checking'!JS55)</f>
        <v>0</v>
      </c>
      <c r="JH55" s="2" t="str">
        <f>IF('Data Checking'!JT55="","",'Data Checking'!JT55)</f>
        <v/>
      </c>
      <c r="JI55" s="2" t="str">
        <f>IF('Data Checking'!JU55="","",'Data Checking'!JU55)</f>
        <v>medical Psychosocia reinsertion</v>
      </c>
      <c r="JJ55" s="2" t="str">
        <f>IF('Data Checking'!JV55="","",'Data Checking'!JV55)</f>
        <v>1</v>
      </c>
      <c r="JK55" s="2" t="str">
        <f>IF('Data Checking'!JW55="","",'Data Checking'!JW55)</f>
        <v>1</v>
      </c>
      <c r="JL55" s="2" t="str">
        <f>IF('Data Checking'!JX55="","",'Data Checking'!JX55)</f>
        <v>0</v>
      </c>
      <c r="JM55" s="2" t="str">
        <f>IF('Data Checking'!JY55="","",'Data Checking'!JY55)</f>
        <v>0</v>
      </c>
      <c r="JN55" s="2" t="str">
        <f>IF('Data Checking'!JZ55="","",'Data Checking'!JZ55)</f>
        <v>0</v>
      </c>
      <c r="JO55" s="2" t="str">
        <f>IF('Data Checking'!KA55="","",'Data Checking'!KA55)</f>
        <v>1</v>
      </c>
      <c r="JP55" s="2" t="str">
        <f>IF('Data Checking'!KB55="","",'Data Checking'!KB55)</f>
        <v>0</v>
      </c>
      <c r="JQ55" s="2" t="str">
        <f>IF('Data Checking'!KC55="","",'Data Checking'!KC55)</f>
        <v>0</v>
      </c>
      <c r="JR55" s="2" t="str">
        <f>IF('Data Checking'!KD55="","",'Data Checking'!KD55)</f>
        <v>0</v>
      </c>
      <c r="JS55" s="2" t="str">
        <f>IF('Data Checking'!KE55="","",'Data Checking'!KE55)</f>
        <v/>
      </c>
      <c r="JT55" s="2" t="str">
        <f>IF('Data Checking'!KF55="","",'Data Checking'!KF55)</f>
        <v>medical Psychosocia</v>
      </c>
      <c r="JU55" s="2" t="str">
        <f>IF('Data Checking'!KG55="","",'Data Checking'!KG55)</f>
        <v>1</v>
      </c>
      <c r="JV55" s="2" t="str">
        <f>IF('Data Checking'!KH55="","",'Data Checking'!KH55)</f>
        <v>1</v>
      </c>
      <c r="JW55" s="2" t="str">
        <f>IF('Data Checking'!KI55="","",'Data Checking'!KI55)</f>
        <v>0</v>
      </c>
      <c r="JX55" s="2" t="str">
        <f>IF('Data Checking'!KJ55="","",'Data Checking'!KJ55)</f>
        <v>0</v>
      </c>
      <c r="JY55" s="2" t="str">
        <f>IF('Data Checking'!KK55="","",'Data Checking'!KK55)</f>
        <v>0</v>
      </c>
      <c r="JZ55" s="2" t="str">
        <f>IF('Data Checking'!KL55="","",'Data Checking'!KL55)</f>
        <v>0</v>
      </c>
      <c r="KA55" s="2" t="str">
        <f>IF('Data Checking'!KM55="","",'Data Checking'!KM55)</f>
        <v>0</v>
      </c>
      <c r="KB55" s="2" t="str">
        <f>IF('Data Checking'!KN55="","",'Data Checking'!KN55)</f>
        <v>0</v>
      </c>
      <c r="KC55" s="2" t="str">
        <f>IF('Data Checking'!KO55="","",'Data Checking'!KO55)</f>
        <v>0</v>
      </c>
      <c r="KD55" s="2" t="str">
        <f>IF('Data Checking'!KP55="","",'Data Checking'!KP55)</f>
        <v/>
      </c>
      <c r="KE55" s="2" t="str">
        <f>IF('Data Checking'!KQ55="","",'Data Checking'!KQ55)</f>
        <v/>
      </c>
      <c r="KF55" s="2" t="str">
        <f>IF('Data Checking'!KR55="","",'Data Checking'!KR55)</f>
        <v>non</v>
      </c>
      <c r="KG55" s="2" t="str">
        <f>IF('Data Checking'!KS55="","",'Data Checking'!KS55)</f>
        <v/>
      </c>
      <c r="KH55" s="2" t="str">
        <f>IF('Data Checking'!KT55="","",'Data Checking'!KT55)</f>
        <v/>
      </c>
      <c r="KI55" s="2" t="str">
        <f>IF('Data Checking'!KU55="","",'Data Checking'!KU55)</f>
        <v/>
      </c>
      <c r="KJ55" s="2" t="str">
        <f>IF('Data Checking'!KV55="","",'Data Checking'!KV55)</f>
        <v/>
      </c>
      <c r="KK55" s="2" t="str">
        <f>IF('Data Checking'!KW55="","",'Data Checking'!KW55)</f>
        <v/>
      </c>
      <c r="KL55" s="2" t="str">
        <f>IF('Data Checking'!KX55="","",'Data Checking'!KX55)</f>
        <v/>
      </c>
      <c r="KM55" s="2" t="str">
        <f>IF('Data Checking'!KY55="","",'Data Checking'!KY55)</f>
        <v/>
      </c>
      <c r="KN55" s="2" t="str">
        <f>IF('Data Checking'!KZ55="","",'Data Checking'!KZ55)</f>
        <v/>
      </c>
      <c r="KO55" s="2" t="str">
        <f>IF('Data Checking'!LA55="","",'Data Checking'!LA55)</f>
        <v/>
      </c>
      <c r="KP55" s="2" t="str">
        <f>IF('Data Checking'!LB55="","",'Data Checking'!LB55)</f>
        <v/>
      </c>
      <c r="KQ55" s="2" t="str">
        <f>IF('Data Checking'!LC55="","",'Data Checking'!LC55)</f>
        <v/>
      </c>
      <c r="KR55" s="2" t="str">
        <f>IF('Data Checking'!LD55="","",'Data Checking'!LD55)</f>
        <v/>
      </c>
      <c r="KS55" s="2" t="str">
        <f>IF('Data Checking'!LE55="","",'Data Checking'!LE55)</f>
        <v/>
      </c>
      <c r="KT55" s="2" t="str">
        <f>IF('Data Checking'!LF55="","",'Data Checking'!LF55)</f>
        <v/>
      </c>
      <c r="KU55" s="2" t="str">
        <f>IF('Data Checking'!LG55="","",'Data Checking'!LG55)</f>
        <v/>
      </c>
      <c r="KV55" s="2" t="str">
        <f>IF('Data Checking'!LH55="","",'Data Checking'!LH55)</f>
        <v/>
      </c>
      <c r="KW55" s="2" t="str">
        <f>IF('Data Checking'!LI55="","",'Data Checking'!LI55)</f>
        <v/>
      </c>
      <c r="KX55" s="2" t="str">
        <f>IF('Data Checking'!LJ55="","",'Data Checking'!LJ55)</f>
        <v/>
      </c>
      <c r="KY55" s="2" t="str">
        <f>IF('Data Checking'!LK55="","",'Data Checking'!LK55)</f>
        <v/>
      </c>
      <c r="KZ55" s="2" t="str">
        <f>IF('Data Checking'!LL55="","",'Data Checking'!LL55)</f>
        <v/>
      </c>
      <c r="LA55" s="2" t="str">
        <f>IF('Data Checking'!LM55="","",'Data Checking'!LM55)</f>
        <v/>
      </c>
      <c r="LB55" s="2" t="str">
        <f>IF('Data Checking'!LN55="","",'Data Checking'!LN55)</f>
        <v>non</v>
      </c>
      <c r="LC55" s="2" t="str">
        <f>IF('Data Checking'!LO55="","",'Data Checking'!LO55)</f>
        <v/>
      </c>
      <c r="LD55" s="2" t="str">
        <f>IF('Data Checking'!LP55="","",'Data Checking'!LP55)</f>
        <v/>
      </c>
      <c r="LE55" s="2" t="str">
        <f>IF('Data Checking'!LQ55="","",'Data Checking'!LQ55)</f>
        <v/>
      </c>
      <c r="LF55" s="2" t="str">
        <f>IF('Data Checking'!LR55="","",'Data Checking'!LR55)</f>
        <v/>
      </c>
      <c r="LG55" s="2" t="str">
        <f>IF('Data Checking'!LS55="","",'Data Checking'!LS55)</f>
        <v/>
      </c>
      <c r="LH55" s="2" t="str">
        <f>IF('Data Checking'!LT55="","",'Data Checking'!LT55)</f>
        <v/>
      </c>
      <c r="LI55" s="2" t="str">
        <f>IF('Data Checking'!LU55="","",'Data Checking'!LU55)</f>
        <v/>
      </c>
      <c r="LJ55" s="2" t="str">
        <f>IF('Data Checking'!LV55="","",'Data Checking'!LV55)</f>
        <v/>
      </c>
      <c r="LK55" s="2" t="str">
        <f>IF('Data Checking'!LW55="","",'Data Checking'!LW55)</f>
        <v/>
      </c>
      <c r="LL55" s="2" t="str">
        <f>IF('Data Checking'!LX55="","",'Data Checking'!LX55)</f>
        <v/>
      </c>
      <c r="LM55" s="2" t="str">
        <f>IF('Data Checking'!LY55="","",'Data Checking'!LY55)</f>
        <v/>
      </c>
      <c r="LN55" s="2" t="str">
        <f>IF('Data Checking'!LZ55="","",'Data Checking'!LZ55)</f>
        <v/>
      </c>
      <c r="LO55" s="2" t="str">
        <f>IF('Data Checking'!MA55="","",'Data Checking'!MA55)</f>
        <v/>
      </c>
      <c r="LP55" s="2" t="str">
        <f>IF('Data Checking'!MB55="","",'Data Checking'!MB55)</f>
        <v>oui</v>
      </c>
      <c r="LQ55" s="2" t="str">
        <f>IF('Data Checking'!MC55="","",'Data Checking'!MC55)</f>
        <v/>
      </c>
      <c r="LR55" s="2" t="str">
        <f>IF('Data Checking'!MD55="","",'Data Checking'!MD55)</f>
        <v/>
      </c>
      <c r="LS55" s="2">
        <f>IF('Data Checking'!ME55="","",'Data Checking'!ME55)</f>
        <v>169203695</v>
      </c>
      <c r="LT55" s="2" t="str">
        <f>IF('Data Checking'!MF55="","",'Data Checking'!MF55)</f>
        <v>d761ba78-5ffc-4392-af03-d352d3fd4a72</v>
      </c>
      <c r="LU55" s="2" t="str">
        <f>IF('Data Checking'!MG55="","",'Data Checking'!MG55)</f>
        <v>2021-04-01T17:40:37</v>
      </c>
      <c r="LV55" s="2" t="str">
        <f>IF('Data Checking'!MH55="","",'Data Checking'!MH55)</f>
        <v/>
      </c>
      <c r="LW55" s="2" t="str">
        <f>IF('Data Checking'!MI55="","",'Data Checking'!MI55)</f>
        <v>[]</v>
      </c>
      <c r="LX55" s="2" t="str">
        <f>IF('Data Checking'!MJ55="","",'Data Checking'!MJ55)</f>
        <v>submitted_via_web</v>
      </c>
      <c r="LY55" s="2" t="str">
        <f>IF('Data Checking'!MK55="","",'Data Checking'!MK55)</f>
        <v>reach_niger</v>
      </c>
      <c r="LZ55" s="2" t="str">
        <f>IF('Data Checking'!ML55="","",'Data Checking'!ML55)</f>
        <v/>
      </c>
      <c r="MA55" s="2">
        <f>IF('Data Checking'!MM55="","",'Data Checking'!MM55)</f>
        <v>14</v>
      </c>
    </row>
    <row r="56" spans="1:339" x14ac:dyDescent="0.3">
      <c r="A56" s="2" t="str">
        <f>IF('Data Checking'!D56="","",'Data Checking'!D56)</f>
        <v>2021-04-01T11:18:13.375+01:00</v>
      </c>
      <c r="B56" s="2" t="str">
        <f>IF('Data Checking'!E56="","",'Data Checking'!E56)</f>
        <v>2021-04-01T11:56:38.352+01:00</v>
      </c>
      <c r="C56" s="2" t="str">
        <f>IF('Data Checking'!M56="","",'Data Checking'!M56)</f>
        <v>2021-04-01</v>
      </c>
      <c r="D56" s="2" t="str">
        <f>IF('Data Checking'!N56="","",'Data Checking'!N56)</f>
        <v/>
      </c>
      <c r="E56" s="2" t="str">
        <f>IF('Data Checking'!O56="","",'Data Checking'!O56)</f>
        <v/>
      </c>
      <c r="F56" s="2" t="str">
        <f>IF('Data Checking'!R56="","",'Data Checking'!R56)</f>
        <v>Homme</v>
      </c>
      <c r="G56" s="2" t="str">
        <f>IF('Data Checking'!S56="","",'Data Checking'!S56)</f>
        <v>tera</v>
      </c>
      <c r="H56" s="2" t="str">
        <f>IF('Data Checking'!T56="","",'Data Checking'!T56)</f>
        <v>diagourou</v>
      </c>
      <c r="I56" s="2" t="str">
        <f>IF('Data Checking'!U56="","",'Data Checking'!U56)</f>
        <v>lilingou</v>
      </c>
      <c r="J56" s="2" t="str">
        <f>IF('Data Checking'!V56="","",'Data Checking'!V56)</f>
        <v/>
      </c>
      <c r="K56" s="2" t="str">
        <f>IF('Data Checking'!W56="","",'Data Checking'!W56)</f>
        <v/>
      </c>
      <c r="L56" s="2" t="str">
        <f>IF('Data Checking'!X56="","",'Data Checking'!X56)</f>
        <v/>
      </c>
      <c r="M56" s="2" t="str">
        <f>IF('Data Checking'!Y56="","",'Data Checking'!Y56)</f>
        <v/>
      </c>
      <c r="N56" s="2" t="str">
        <f>IF('Data Checking'!Z56="","",'Data Checking'!Z56)</f>
        <v/>
      </c>
      <c r="O56" s="2" t="str">
        <f>IF('Data Checking'!AA56="","",'Data Checking'!AA56)</f>
        <v/>
      </c>
      <c r="P56" s="2" t="str">
        <f>IF('Data Checking'!AB56="","",'Data Checking'!AB56)</f>
        <v/>
      </c>
      <c r="Q56" s="2" t="str">
        <f>IF('Data Checking'!AC56="","",'Data Checking'!AC56)</f>
        <v/>
      </c>
      <c r="R56" s="2" t="str">
        <f>IF('Data Checking'!AD56="","",'Data Checking'!AD56)</f>
        <v>Homme</v>
      </c>
      <c r="S56" s="2" t="str">
        <f>IF('Data Checking'!AE56="","",'Data Checking'!AE56)</f>
        <v>32</v>
      </c>
      <c r="T56" s="2" t="str">
        <f>IF('Data Checking'!AF56="","",'Data Checking'!AF56)</f>
        <v>deplace_interne</v>
      </c>
      <c r="U56" s="2" t="str">
        <f>IF('Data Checking'!AG56="","",'Data Checking'!AG56)</f>
        <v/>
      </c>
      <c r="V56" s="2" t="str">
        <f>IF('Data Checking'!AH56="","",'Data Checking'!AH56)</f>
        <v/>
      </c>
      <c r="W56" s="2" t="str">
        <f>IF('Data Checking'!AI56="","",'Data Checking'!AI56)</f>
        <v/>
      </c>
      <c r="X56" s="2" t="str">
        <f>IF('Data Checking'!AJ56="","",'Data Checking'!AJ56)</f>
        <v/>
      </c>
      <c r="Y56" s="2" t="str">
        <f>IF('Data Checking'!AK56="","",'Data Checking'!AK56)</f>
        <v/>
      </c>
      <c r="Z56" s="2" t="str">
        <f>IF('Data Checking'!AL56="","",'Data Checking'!AL56)</f>
        <v>niger</v>
      </c>
      <c r="AA56" s="2" t="str">
        <f>IF('Data Checking'!AM56="","",'Data Checking'!AM56)</f>
        <v>tillaberi</v>
      </c>
      <c r="AB56" s="2" t="str">
        <f>IF('Data Checking'!AN56="","",'Data Checking'!AN56)</f>
        <v>tera</v>
      </c>
      <c r="AC56" s="2" t="str">
        <f>IF('Data Checking'!AO56="","",'Data Checking'!AO56)</f>
        <v/>
      </c>
      <c r="AD56" s="2" t="str">
        <f>IF('Data Checking'!AP56="","",'Data Checking'!AP56)</f>
        <v/>
      </c>
      <c r="AE56" s="2" t="str">
        <f>IF('Data Checking'!AQ56="","",'Data Checking'!AQ56)</f>
        <v/>
      </c>
      <c r="AF56" s="2" t="str">
        <f>IF('Data Checking'!AR56="","",'Data Checking'!AR56)</f>
        <v/>
      </c>
      <c r="AG56" s="2" t="str">
        <f>IF('Data Checking'!AS56="","",'Data Checking'!AS56)</f>
        <v>non</v>
      </c>
      <c r="AH56" s="2" t="str">
        <f>IF('Data Checking'!AT56="","",'Data Checking'!AT56)</f>
        <v/>
      </c>
      <c r="AI56" s="2" t="str">
        <f>IF('Data Checking'!AU56="","",'Data Checking'!AU56)</f>
        <v/>
      </c>
      <c r="AJ56" s="2" t="str">
        <f>IF('Data Checking'!AV56="","",'Data Checking'!AV56)</f>
        <v/>
      </c>
      <c r="AK56" s="2" t="str">
        <f>IF('Data Checking'!AW56="","",'Data Checking'!AW56)</f>
        <v/>
      </c>
      <c r="AL56" s="2" t="str">
        <f>IF('Data Checking'!AX56="","",'Data Checking'!AX56)</f>
        <v/>
      </c>
      <c r="AM56" s="2" t="str">
        <f>IF('Data Checking'!AY56="","",'Data Checking'!AY56)</f>
        <v/>
      </c>
      <c r="AN56" s="2" t="str">
        <f>IF('Data Checking'!AZ56="","",'Data Checking'!AZ56)</f>
        <v/>
      </c>
      <c r="AO56" s="2" t="str">
        <f>IF('Data Checking'!BA56="","",'Data Checking'!BA56)</f>
        <v/>
      </c>
      <c r="AP56" s="2" t="str">
        <f>IF('Data Checking'!BB56="","",'Data Checking'!BB56)</f>
        <v/>
      </c>
      <c r="AQ56" s="2" t="str">
        <f>IF('Data Checking'!BC56="","",'Data Checking'!BC56)</f>
        <v/>
      </c>
      <c r="AR56" s="2" t="str">
        <f>IF('Data Checking'!BD56="","",'Data Checking'!BD56)</f>
        <v/>
      </c>
      <c r="AS56" s="2" t="str">
        <f>IF('Data Checking'!BE56="","",'Data Checking'!BE56)</f>
        <v/>
      </c>
      <c r="AT56" s="2" t="str">
        <f>IF('Data Checking'!BF56="","",'Data Checking'!BF56)</f>
        <v/>
      </c>
      <c r="AU56" s="2" t="str">
        <f>IF('Data Checking'!BG56="","",'Data Checking'!BG56)</f>
        <v/>
      </c>
      <c r="AV56" s="2" t="str">
        <f>IF('Data Checking'!BH56="","",'Data Checking'!BH56)</f>
        <v/>
      </c>
      <c r="AW56" s="2" t="str">
        <f>IF('Data Checking'!BI56="","",'Data Checking'!BI56)</f>
        <v/>
      </c>
      <c r="AX56" s="2" t="str">
        <f>IF('Data Checking'!BJ56="","",'Data Checking'!BJ56)</f>
        <v/>
      </c>
      <c r="AY56" s="2" t="str">
        <f>IF('Data Checking'!BK56="","",'Data Checking'!BK56)</f>
        <v/>
      </c>
      <c r="AZ56" s="2" t="str">
        <f>IF('Data Checking'!BL56="","",'Data Checking'!BL56)</f>
        <v/>
      </c>
      <c r="BA56" s="2" t="str">
        <f>IF('Data Checking'!BM56="","",'Data Checking'!BM56)</f>
        <v/>
      </c>
      <c r="BB56" s="2" t="str">
        <f>IF('Data Checking'!BN56="","",'Data Checking'!BN56)</f>
        <v/>
      </c>
      <c r="BC56" s="2" t="str">
        <f>IF('Data Checking'!BO56="","",'Data Checking'!BO56)</f>
        <v/>
      </c>
      <c r="BD56" s="2" t="str">
        <f>IF('Data Checking'!BP56="","",'Data Checking'!BP56)</f>
        <v/>
      </c>
      <c r="BE56" s="2" t="str">
        <f>IF('Data Checking'!BQ56="","",'Data Checking'!BQ56)</f>
        <v/>
      </c>
      <c r="BF56" s="2" t="str">
        <f>IF('Data Checking'!BR56="","",'Data Checking'!BR56)</f>
        <v/>
      </c>
      <c r="BG56" s="2" t="str">
        <f>IF('Data Checking'!BS56="","",'Data Checking'!BS56)</f>
        <v/>
      </c>
      <c r="BH56" s="2" t="str">
        <f>IF('Data Checking'!BT56="","",'Data Checking'!BT56)</f>
        <v/>
      </c>
      <c r="BI56" s="2" t="str">
        <f>IF('Data Checking'!BU56="","",'Data Checking'!BU56)</f>
        <v/>
      </c>
      <c r="BJ56" s="2" t="str">
        <f>IF('Data Checking'!BV56="","",'Data Checking'!BV56)</f>
        <v/>
      </c>
      <c r="BK56" s="2" t="str">
        <f>IF('Data Checking'!BW56="","",'Data Checking'!BW56)</f>
        <v/>
      </c>
      <c r="BL56" s="2" t="str">
        <f>IF('Data Checking'!BX56="","",'Data Checking'!BX56)</f>
        <v/>
      </c>
      <c r="BM56" s="2" t="str">
        <f>IF('Data Checking'!BY56="","",'Data Checking'!BY56)</f>
        <v/>
      </c>
      <c r="BN56" s="2" t="str">
        <f>IF('Data Checking'!BZ56="","",'Data Checking'!BZ56)</f>
        <v/>
      </c>
      <c r="BO56" s="2" t="str">
        <f>IF('Data Checking'!CA56="","",'Data Checking'!CA56)</f>
        <v/>
      </c>
      <c r="BP56" s="2" t="str">
        <f>IF('Data Checking'!CB56="","",'Data Checking'!CB56)</f>
        <v/>
      </c>
      <c r="BQ56" s="2" t="str">
        <f>IF('Data Checking'!CC56="","",'Data Checking'!CC56)</f>
        <v>non</v>
      </c>
      <c r="BR56" s="2" t="str">
        <f>IF('Data Checking'!CD56="","",'Data Checking'!CD56)</f>
        <v/>
      </c>
      <c r="BS56" s="2" t="str">
        <f>IF('Data Checking'!CE56="","",'Data Checking'!CE56)</f>
        <v/>
      </c>
      <c r="BT56" s="2" t="str">
        <f>IF('Data Checking'!CF56="","",'Data Checking'!CF56)</f>
        <v/>
      </c>
      <c r="BU56" s="2" t="str">
        <f>IF('Data Checking'!CG56="","",'Data Checking'!CG56)</f>
        <v/>
      </c>
      <c r="BV56" s="2" t="str">
        <f>IF('Data Checking'!CH56="","",'Data Checking'!CH56)</f>
        <v/>
      </c>
      <c r="BW56" s="2" t="str">
        <f>IF('Data Checking'!CI56="","",'Data Checking'!CI56)</f>
        <v/>
      </c>
      <c r="BX56" s="2" t="str">
        <f>IF('Data Checking'!CJ56="","",'Data Checking'!CJ56)</f>
        <v/>
      </c>
      <c r="BY56" s="2" t="str">
        <f>IF('Data Checking'!CK56="","",'Data Checking'!CK56)</f>
        <v/>
      </c>
      <c r="BZ56" s="2" t="str">
        <f>IF('Data Checking'!CL56="","",'Data Checking'!CL56)</f>
        <v/>
      </c>
      <c r="CA56" s="2" t="str">
        <f>IF('Data Checking'!CM56="","",'Data Checking'!CM56)</f>
        <v/>
      </c>
      <c r="CB56" s="2" t="str">
        <f>IF('Data Checking'!CN56="","",'Data Checking'!CN56)</f>
        <v/>
      </c>
      <c r="CC56" s="2" t="str">
        <f>IF('Data Checking'!CO56="","",'Data Checking'!CO56)</f>
        <v/>
      </c>
      <c r="CD56" s="2" t="str">
        <f>IF('Data Checking'!CP56="","",'Data Checking'!CP56)</f>
        <v/>
      </c>
      <c r="CE56" s="2" t="str">
        <f>IF('Data Checking'!CQ56="","",'Data Checking'!CQ56)</f>
        <v/>
      </c>
      <c r="CF56" s="2" t="str">
        <f>IF('Data Checking'!CR56="","",'Data Checking'!CR56)</f>
        <v/>
      </c>
      <c r="CG56" s="2" t="str">
        <f>IF('Data Checking'!CS56="","",'Data Checking'!CS56)</f>
        <v/>
      </c>
      <c r="CH56" s="2" t="str">
        <f>IF('Data Checking'!CT56="","",'Data Checking'!CT56)</f>
        <v/>
      </c>
      <c r="CI56" s="2" t="str">
        <f>IF('Data Checking'!CU56="","",'Data Checking'!CU56)</f>
        <v/>
      </c>
      <c r="CJ56" s="2" t="str">
        <f>IF('Data Checking'!CV56="","",'Data Checking'!CV56)</f>
        <v/>
      </c>
      <c r="CK56" s="2" t="str">
        <f>IF('Data Checking'!CW56="","",'Data Checking'!CW56)</f>
        <v/>
      </c>
      <c r="CL56" s="2" t="str">
        <f>IF('Data Checking'!CX56="","",'Data Checking'!CX56)</f>
        <v/>
      </c>
      <c r="CM56" s="2" t="str">
        <f>IF('Data Checking'!CY56="","",'Data Checking'!CY56)</f>
        <v/>
      </c>
      <c r="CN56" s="2" t="str">
        <f>IF('Data Checking'!CZ56="","",'Data Checking'!CZ56)</f>
        <v/>
      </c>
      <c r="CO56" s="2" t="str">
        <f>IF('Data Checking'!DA56="","",'Data Checking'!DA56)</f>
        <v/>
      </c>
      <c r="CP56" s="2" t="str">
        <f>IF('Data Checking'!DB56="","",'Data Checking'!DB56)</f>
        <v/>
      </c>
      <c r="CQ56" s="2" t="str">
        <f>IF('Data Checking'!DC56="","",'Data Checking'!DC56)</f>
        <v/>
      </c>
      <c r="CR56" s="2" t="str">
        <f>IF('Data Checking'!DD56="","",'Data Checking'!DD56)</f>
        <v/>
      </c>
      <c r="CS56" s="2" t="str">
        <f>IF('Data Checking'!DE56="","",'Data Checking'!DE56)</f>
        <v/>
      </c>
      <c r="CT56" s="2" t="str">
        <f>IF('Data Checking'!DF56="","",'Data Checking'!DF56)</f>
        <v/>
      </c>
      <c r="CU56" s="2" t="str">
        <f>IF('Data Checking'!DG56="","",'Data Checking'!DG56)</f>
        <v/>
      </c>
      <c r="CV56" s="2" t="str">
        <f>IF('Data Checking'!DH56="","",'Data Checking'!DH56)</f>
        <v/>
      </c>
      <c r="CW56" s="2" t="str">
        <f>IF('Data Checking'!DI56="","",'Data Checking'!DI56)</f>
        <v/>
      </c>
      <c r="CX56" s="2" t="str">
        <f>IF('Data Checking'!DJ56="","",'Data Checking'!DJ56)</f>
        <v/>
      </c>
      <c r="CY56" s="2" t="str">
        <f>IF('Data Checking'!DK56="","",'Data Checking'!DK56)</f>
        <v/>
      </c>
      <c r="CZ56" s="2" t="str">
        <f>IF('Data Checking'!DL56="","",'Data Checking'!DL56)</f>
        <v/>
      </c>
      <c r="DA56" s="2" t="str">
        <f>IF('Data Checking'!DM56="","",'Data Checking'!DM56)</f>
        <v/>
      </c>
      <c r="DB56" s="2" t="str">
        <f>IF('Data Checking'!DN56="","",'Data Checking'!DN56)</f>
        <v/>
      </c>
      <c r="DC56" s="2" t="str">
        <f>IF('Data Checking'!DO56="","",'Data Checking'!DO56)</f>
        <v/>
      </c>
      <c r="DD56" s="2" t="str">
        <f>IF('Data Checking'!DP56="","",'Data Checking'!DP56)</f>
        <v/>
      </c>
      <c r="DE56" s="2" t="str">
        <f>IF('Data Checking'!DQ56="","",'Data Checking'!DQ56)</f>
        <v/>
      </c>
      <c r="DF56" s="2" t="str">
        <f>IF('Data Checking'!DR56="","",'Data Checking'!DR56)</f>
        <v/>
      </c>
      <c r="DG56" s="2" t="str">
        <f>IF('Data Checking'!DS56="","",'Data Checking'!DS56)</f>
        <v/>
      </c>
      <c r="DH56" s="2" t="str">
        <f>IF('Data Checking'!DT56="","",'Data Checking'!DT56)</f>
        <v/>
      </c>
      <c r="DI56" s="2" t="str">
        <f>IF('Data Checking'!DU56="","",'Data Checking'!DU56)</f>
        <v/>
      </c>
      <c r="DJ56" s="2" t="str">
        <f>IF('Data Checking'!DV56="","",'Data Checking'!DV56)</f>
        <v/>
      </c>
      <c r="DK56" s="2" t="str">
        <f>IF('Data Checking'!DW56="","",'Data Checking'!DW56)</f>
        <v/>
      </c>
      <c r="DL56" s="2" t="str">
        <f>IF('Data Checking'!DX56="","",'Data Checking'!DX56)</f>
        <v/>
      </c>
      <c r="DM56" s="2" t="str">
        <f>IF('Data Checking'!DY56="","",'Data Checking'!DY56)</f>
        <v/>
      </c>
      <c r="DN56" s="2" t="str">
        <f>IF('Data Checking'!DZ56="","",'Data Checking'!DZ56)</f>
        <v/>
      </c>
      <c r="DO56" s="2" t="str">
        <f>IF('Data Checking'!EA56="","",'Data Checking'!EA56)</f>
        <v/>
      </c>
      <c r="DP56" s="2" t="str">
        <f>IF('Data Checking'!EB56="","",'Data Checking'!EB56)</f>
        <v/>
      </c>
      <c r="DQ56" s="2" t="str">
        <f>IF('Data Checking'!EC56="","",'Data Checking'!EC56)</f>
        <v/>
      </c>
      <c r="DR56" s="2" t="str">
        <f>IF('Data Checking'!ED56="","",'Data Checking'!ED56)</f>
        <v/>
      </c>
      <c r="DS56" s="2" t="str">
        <f>IF('Data Checking'!EE56="","",'Data Checking'!EE56)</f>
        <v/>
      </c>
      <c r="DT56" s="2" t="str">
        <f>IF('Data Checking'!EF56="","",'Data Checking'!EF56)</f>
        <v/>
      </c>
      <c r="DU56" s="2" t="str">
        <f>IF('Data Checking'!EG56="","",'Data Checking'!EG56)</f>
        <v/>
      </c>
      <c r="DV56" s="2" t="str">
        <f>IF('Data Checking'!EH56="","",'Data Checking'!EH56)</f>
        <v/>
      </c>
      <c r="DW56" s="2" t="str">
        <f>IF('Data Checking'!EI56="","",'Data Checking'!EI56)</f>
        <v/>
      </c>
      <c r="DX56" s="2" t="str">
        <f>IF('Data Checking'!EJ56="","",'Data Checking'!EJ56)</f>
        <v/>
      </c>
      <c r="DY56" s="2" t="str">
        <f>IF('Data Checking'!EK56="","",'Data Checking'!EK56)</f>
        <v/>
      </c>
      <c r="DZ56" s="2" t="str">
        <f>IF('Data Checking'!EL56="","",'Data Checking'!EL56)</f>
        <v>Integration_com_hote</v>
      </c>
      <c r="EA56" s="2" t="str">
        <f>IF('Data Checking'!EM56="","",'Data Checking'!EM56)</f>
        <v>0</v>
      </c>
      <c r="EB56" s="2" t="str">
        <f>IF('Data Checking'!EN56="","",'Data Checking'!EN56)</f>
        <v>1</v>
      </c>
      <c r="EC56" s="2" t="str">
        <f>IF('Data Checking'!EO56="","",'Data Checking'!EO56)</f>
        <v>0</v>
      </c>
      <c r="ED56" s="2" t="str">
        <f>IF('Data Checking'!EP56="","",'Data Checking'!EP56)</f>
        <v>0</v>
      </c>
      <c r="EE56" s="2" t="str">
        <f>IF('Data Checking'!EQ56="","",'Data Checking'!EQ56)</f>
        <v>0</v>
      </c>
      <c r="EF56" s="2" t="str">
        <f>IF('Data Checking'!ER56="","",'Data Checking'!ER56)</f>
        <v>0</v>
      </c>
      <c r="EG56" s="2" t="str">
        <f>IF('Data Checking'!ES56="","",'Data Checking'!ES56)</f>
        <v>0</v>
      </c>
      <c r="EH56" s="2" t="str">
        <f>IF('Data Checking'!ET56="","",'Data Checking'!ET56)</f>
        <v>0</v>
      </c>
      <c r="EI56" s="2" t="str">
        <f>IF('Data Checking'!EU56="","",'Data Checking'!EU56)</f>
        <v>0</v>
      </c>
      <c r="EJ56" s="2" t="str">
        <f>IF('Data Checking'!EV56="","",'Data Checking'!EV56)</f>
        <v/>
      </c>
      <c r="EK56" s="2" t="str">
        <f>IF('Data Checking'!EW56="","",'Data Checking'!EW56)</f>
        <v/>
      </c>
      <c r="EL56" s="2" t="str">
        <f>IF('Data Checking'!EX56="","",'Data Checking'!EX56)</f>
        <v>famille_accueil</v>
      </c>
      <c r="EM56" s="2" t="str">
        <f>IF('Data Checking'!EY56="","",'Data Checking'!EY56)</f>
        <v>0</v>
      </c>
      <c r="EN56" s="2" t="str">
        <f>IF('Data Checking'!EZ56="","",'Data Checking'!EZ56)</f>
        <v>0</v>
      </c>
      <c r="EO56" s="2" t="str">
        <f>IF('Data Checking'!FA56="","",'Data Checking'!FA56)</f>
        <v>1</v>
      </c>
      <c r="EP56" s="2" t="str">
        <f>IF('Data Checking'!FB56="","",'Data Checking'!FB56)</f>
        <v>0</v>
      </c>
      <c r="EQ56" s="2" t="str">
        <f>IF('Data Checking'!FC56="","",'Data Checking'!FC56)</f>
        <v>0</v>
      </c>
      <c r="ER56" s="2" t="str">
        <f>IF('Data Checking'!FD56="","",'Data Checking'!FD56)</f>
        <v>0</v>
      </c>
      <c r="ES56" s="2" t="str">
        <f>IF('Data Checking'!FE56="","",'Data Checking'!FE56)</f>
        <v>0</v>
      </c>
      <c r="ET56" s="2" t="str">
        <f>IF('Data Checking'!FF56="","",'Data Checking'!FF56)</f>
        <v>0</v>
      </c>
      <c r="EU56" s="2" t="str">
        <f>IF('Data Checking'!FG56="","",'Data Checking'!FG56)</f>
        <v>0</v>
      </c>
      <c r="EV56" s="2" t="str">
        <f>IF('Data Checking'!FH56="","",'Data Checking'!FH56)</f>
        <v>0</v>
      </c>
      <c r="EW56" s="2" t="str">
        <f>IF('Data Checking'!FI56="","",'Data Checking'!FI56)</f>
        <v/>
      </c>
      <c r="EX56" s="2" t="str">
        <f>IF('Data Checking'!FJ56="","",'Data Checking'!FJ56)</f>
        <v>oui</v>
      </c>
      <c r="EY56" s="2" t="str">
        <f>IF('Data Checking'!FK56="","",'Data Checking'!FK56)</f>
        <v>Radio_television Chef_village famille_amis</v>
      </c>
      <c r="EZ56" s="2" t="str">
        <f>IF('Data Checking'!FL56="","",'Data Checking'!FL56)</f>
        <v>1</v>
      </c>
      <c r="FA56" s="2" t="str">
        <f>IF('Data Checking'!FM56="","",'Data Checking'!FM56)</f>
        <v>0</v>
      </c>
      <c r="FB56" s="2" t="str">
        <f>IF('Data Checking'!FN56="","",'Data Checking'!FN56)</f>
        <v>0</v>
      </c>
      <c r="FC56" s="2" t="str">
        <f>IF('Data Checking'!FO56="","",'Data Checking'!FO56)</f>
        <v>0</v>
      </c>
      <c r="FD56" s="2" t="str">
        <f>IF('Data Checking'!FP56="","",'Data Checking'!FP56)</f>
        <v>1</v>
      </c>
      <c r="FE56" s="2" t="str">
        <f>IF('Data Checking'!FQ56="","",'Data Checking'!FQ56)</f>
        <v>1</v>
      </c>
      <c r="FF56" s="2" t="str">
        <f>IF('Data Checking'!FR56="","",'Data Checking'!FR56)</f>
        <v>0</v>
      </c>
      <c r="FG56" s="2" t="str">
        <f>IF('Data Checking'!FS56="","",'Data Checking'!FS56)</f>
        <v>0</v>
      </c>
      <c r="FH56" s="2" t="str">
        <f>IF('Data Checking'!FT56="","",'Data Checking'!FT56)</f>
        <v>0</v>
      </c>
      <c r="FI56" s="2" t="str">
        <f>IF('Data Checking'!FU56="","",'Data Checking'!FU56)</f>
        <v>0</v>
      </c>
      <c r="FJ56" s="2" t="str">
        <f>IF('Data Checking'!FV56="","",'Data Checking'!FV56)</f>
        <v>0</v>
      </c>
      <c r="FK56" s="2" t="str">
        <f>IF('Data Checking'!FW56="","",'Data Checking'!FW56)</f>
        <v>0</v>
      </c>
      <c r="FL56" s="2" t="str">
        <f>IF('Data Checking'!FX56="","",'Data Checking'!FX56)</f>
        <v>0</v>
      </c>
      <c r="FM56" s="2" t="str">
        <f>IF('Data Checking'!FY56="","",'Data Checking'!FY56)</f>
        <v>0</v>
      </c>
      <c r="FN56" s="2" t="str">
        <f>IF('Data Checking'!FZ56="","",'Data Checking'!FZ56)</f>
        <v/>
      </c>
      <c r="FO56" s="2" t="str">
        <f>IF('Data Checking'!GA56="","",'Data Checking'!GA56)</f>
        <v>oui_majorite</v>
      </c>
      <c r="FP56" s="2" t="str">
        <f>IF('Data Checking'!GB56="","",'Data Checking'!GB56)</f>
        <v>oui_majorite</v>
      </c>
      <c r="FQ56" s="2" t="str">
        <f>IF('Data Checking'!GC56="","",'Data Checking'!GC56)</f>
        <v>manque_info</v>
      </c>
      <c r="FR56" s="2" t="str">
        <f>IF('Data Checking'!GD56="","",'Data Checking'!GD56)</f>
        <v>0</v>
      </c>
      <c r="FS56" s="2" t="str">
        <f>IF('Data Checking'!GE56="","",'Data Checking'!GE56)</f>
        <v>1</v>
      </c>
      <c r="FT56" s="2" t="str">
        <f>IF('Data Checking'!GF56="","",'Data Checking'!GF56)</f>
        <v>0</v>
      </c>
      <c r="FU56" s="2" t="str">
        <f>IF('Data Checking'!GG56="","",'Data Checking'!GG56)</f>
        <v>0</v>
      </c>
      <c r="FV56" s="2" t="str">
        <f>IF('Data Checking'!GH56="","",'Data Checking'!GH56)</f>
        <v>0</v>
      </c>
      <c r="FW56" s="2" t="str">
        <f>IF('Data Checking'!GI56="","",'Data Checking'!GI56)</f>
        <v>0</v>
      </c>
      <c r="FX56" s="2" t="str">
        <f>IF('Data Checking'!GJ56="","",'Data Checking'!GJ56)</f>
        <v>0</v>
      </c>
      <c r="FY56" s="2" t="str">
        <f>IF('Data Checking'!GK56="","",'Data Checking'!GK56)</f>
        <v>0</v>
      </c>
      <c r="FZ56" s="2" t="str">
        <f>IF('Data Checking'!GL56="","",'Data Checking'!GL56)</f>
        <v/>
      </c>
      <c r="GA56" s="2" t="str">
        <f>IF('Data Checking'!GM56="","",'Data Checking'!GM56)</f>
        <v>majorite</v>
      </c>
      <c r="GB56" s="2" t="str">
        <f>IF('Data Checking'!GN56="","",'Data Checking'!GN56)</f>
        <v>majorite</v>
      </c>
      <c r="GC56" s="2" t="str">
        <f>IF('Data Checking'!GO56="","",'Data Checking'!GO56)</f>
        <v>Service_de_counseling Services_de_sante Appui_psychosocial Suivi_judiciaire</v>
      </c>
      <c r="GD56" s="2" t="str">
        <f>IF('Data Checking'!GP56="","",'Data Checking'!GP56)</f>
        <v>1</v>
      </c>
      <c r="GE56" s="2" t="str">
        <f>IF('Data Checking'!GQ56="","",'Data Checking'!GQ56)</f>
        <v>0</v>
      </c>
      <c r="GF56" s="2" t="str">
        <f>IF('Data Checking'!GR56="","",'Data Checking'!GR56)</f>
        <v>1</v>
      </c>
      <c r="GG56" s="2" t="str">
        <f>IF('Data Checking'!GS56="","",'Data Checking'!GS56)</f>
        <v>1</v>
      </c>
      <c r="GH56" s="2" t="str">
        <f>IF('Data Checking'!GT56="","",'Data Checking'!GT56)</f>
        <v>0</v>
      </c>
      <c r="GI56" s="2" t="str">
        <f>IF('Data Checking'!GU56="","",'Data Checking'!GU56)</f>
        <v>1</v>
      </c>
      <c r="GJ56" s="2" t="str">
        <f>IF('Data Checking'!GV56="","",'Data Checking'!GV56)</f>
        <v>0</v>
      </c>
      <c r="GK56" s="2" t="str">
        <f>IF('Data Checking'!GW56="","",'Data Checking'!GW56)</f>
        <v>0</v>
      </c>
      <c r="GL56" s="2" t="str">
        <f>IF('Data Checking'!GX56="","",'Data Checking'!GX56)</f>
        <v>0</v>
      </c>
      <c r="GM56" s="2" t="str">
        <f>IF('Data Checking'!GY56="","",'Data Checking'!GY56)</f>
        <v/>
      </c>
      <c r="GN56" s="2" t="str">
        <f>IF('Data Checking'!GZ56="","",'Data Checking'!GZ56)</f>
        <v>oui_majorite</v>
      </c>
      <c r="GO56" s="2" t="str">
        <f>IF('Data Checking'!HA56="","",'Data Checking'!HA56)</f>
        <v>oui_majorite</v>
      </c>
      <c r="GP56" s="2" t="str">
        <f>IF('Data Checking'!HB56="","",'Data Checking'!HB56)</f>
        <v>amelioration_futur permet_obtenir_conseils permet_eviter_conflits</v>
      </c>
      <c r="GQ56" s="2" t="str">
        <f>IF('Data Checking'!HC56="","",'Data Checking'!HC56)</f>
        <v>1</v>
      </c>
      <c r="GR56" s="2" t="str">
        <f>IF('Data Checking'!HD56="","",'Data Checking'!HD56)</f>
        <v>0</v>
      </c>
      <c r="GS56" s="2" t="str">
        <f>IF('Data Checking'!HE56="","",'Data Checking'!HE56)</f>
        <v>1</v>
      </c>
      <c r="GT56" s="2" t="str">
        <f>IF('Data Checking'!HF56="","",'Data Checking'!HF56)</f>
        <v>1</v>
      </c>
      <c r="GU56" s="2" t="str">
        <f>IF('Data Checking'!HG56="","",'Data Checking'!HG56)</f>
        <v>0</v>
      </c>
      <c r="GV56" s="2" t="str">
        <f>IF('Data Checking'!HH56="","",'Data Checking'!HH56)</f>
        <v>0</v>
      </c>
      <c r="GW56" s="2" t="str">
        <f>IF('Data Checking'!HI56="","",'Data Checking'!HI56)</f>
        <v>0</v>
      </c>
      <c r="GX56" s="2" t="str">
        <f>IF('Data Checking'!HJ56="","",'Data Checking'!HJ56)</f>
        <v>0</v>
      </c>
      <c r="GY56" s="2" t="str">
        <f>IF('Data Checking'!HK56="","",'Data Checking'!HK56)</f>
        <v/>
      </c>
      <c r="GZ56" s="2" t="str">
        <f>IF('Data Checking'!HL56="","",'Data Checking'!HL56)</f>
        <v>ne_repond_pas ne_contribue_pas</v>
      </c>
      <c r="HA56" s="2" t="str">
        <f>IF('Data Checking'!HM56="","",'Data Checking'!HM56)</f>
        <v>1</v>
      </c>
      <c r="HB56" s="2" t="str">
        <f>IF('Data Checking'!HN56="","",'Data Checking'!HN56)</f>
        <v>1</v>
      </c>
      <c r="HC56" s="2" t="str">
        <f>IF('Data Checking'!HO56="","",'Data Checking'!HO56)</f>
        <v>0</v>
      </c>
      <c r="HD56" s="2" t="str">
        <f>IF('Data Checking'!HP56="","",'Data Checking'!HP56)</f>
        <v>0</v>
      </c>
      <c r="HE56" s="2" t="str">
        <f>IF('Data Checking'!HQ56="","",'Data Checking'!HQ56)</f>
        <v>0</v>
      </c>
      <c r="HF56" s="2" t="str">
        <f>IF('Data Checking'!HR56="","",'Data Checking'!HR56)</f>
        <v>0</v>
      </c>
      <c r="HG56" s="2" t="str">
        <f>IF('Data Checking'!HS56="","",'Data Checking'!HS56)</f>
        <v/>
      </c>
      <c r="HH56" s="2" t="str">
        <f>IF('Data Checking'!HT56="","",'Data Checking'!HT56)</f>
        <v/>
      </c>
      <c r="HI56" s="2" t="str">
        <f>IF('Data Checking'!HU56="","",'Data Checking'!HU56)</f>
        <v>oui_moitie</v>
      </c>
      <c r="HJ56" s="2" t="str">
        <f>IF('Data Checking'!HV56="","",'Data Checking'!HV56)</f>
        <v>famille_amis</v>
      </c>
      <c r="HK56" s="2" t="str">
        <f>IF('Data Checking'!HW56="","",'Data Checking'!HW56)</f>
        <v>0</v>
      </c>
      <c r="HL56" s="2" t="str">
        <f>IF('Data Checking'!HX56="","",'Data Checking'!HX56)</f>
        <v>0</v>
      </c>
      <c r="HM56" s="2" t="str">
        <f>IF('Data Checking'!HY56="","",'Data Checking'!HY56)</f>
        <v>0</v>
      </c>
      <c r="HN56" s="2" t="str">
        <f>IF('Data Checking'!HZ56="","",'Data Checking'!HZ56)</f>
        <v>0</v>
      </c>
      <c r="HO56" s="2" t="str">
        <f>IF('Data Checking'!IA56="","",'Data Checking'!IA56)</f>
        <v>0</v>
      </c>
      <c r="HP56" s="2" t="str">
        <f>IF('Data Checking'!IB56="","",'Data Checking'!IB56)</f>
        <v>0</v>
      </c>
      <c r="HQ56" s="2" t="str">
        <f>IF('Data Checking'!IC56="","",'Data Checking'!IC56)</f>
        <v>1</v>
      </c>
      <c r="HR56" s="2" t="str">
        <f>IF('Data Checking'!ID56="","",'Data Checking'!ID56)</f>
        <v>0</v>
      </c>
      <c r="HS56" s="2" t="str">
        <f>IF('Data Checking'!IE56="","",'Data Checking'!IE56)</f>
        <v>0</v>
      </c>
      <c r="HT56" s="2" t="str">
        <f>IF('Data Checking'!IF56="","",'Data Checking'!IF56)</f>
        <v>0</v>
      </c>
      <c r="HU56" s="2" t="str">
        <f>IF('Data Checking'!IG56="","",'Data Checking'!IG56)</f>
        <v/>
      </c>
      <c r="HV56" s="2" t="str">
        <f>IF('Data Checking'!IH56="","",'Data Checking'!IH56)</f>
        <v>oui</v>
      </c>
      <c r="HW56" s="2" t="str">
        <f>IF('Data Checking'!II56="","",'Data Checking'!II56)</f>
        <v/>
      </c>
      <c r="HX56" s="2" t="str">
        <f>IF('Data Checking'!IJ56="","",'Data Checking'!IJ56)</f>
        <v/>
      </c>
      <c r="HY56" s="2" t="str">
        <f>IF('Data Checking'!IK56="","",'Data Checking'!IK56)</f>
        <v/>
      </c>
      <c r="HZ56" s="2" t="str">
        <f>IF('Data Checking'!IL56="","",'Data Checking'!IL56)</f>
        <v/>
      </c>
      <c r="IA56" s="2" t="str">
        <f>IF('Data Checking'!IM56="","",'Data Checking'!IM56)</f>
        <v/>
      </c>
      <c r="IB56" s="2" t="str">
        <f>IF('Data Checking'!IN56="","",'Data Checking'!IN56)</f>
        <v/>
      </c>
      <c r="IC56" s="2" t="str">
        <f>IF('Data Checking'!IO56="","",'Data Checking'!IO56)</f>
        <v/>
      </c>
      <c r="ID56" s="2" t="str">
        <f>IF('Data Checking'!IP56="","",'Data Checking'!IP56)</f>
        <v/>
      </c>
      <c r="IE56" s="2" t="str">
        <f>IF('Data Checking'!IQ56="","",'Data Checking'!IQ56)</f>
        <v/>
      </c>
      <c r="IF56" s="2" t="str">
        <f>IF('Data Checking'!IR56="","",'Data Checking'!IR56)</f>
        <v/>
      </c>
      <c r="IG56" s="2" t="str">
        <f>IF('Data Checking'!IS56="","",'Data Checking'!IS56)</f>
        <v/>
      </c>
      <c r="IH56" s="2" t="str">
        <f>IF('Data Checking'!IT56="","",'Data Checking'!IT56)</f>
        <v/>
      </c>
      <c r="II56" s="2" t="str">
        <f>IF('Data Checking'!IU56="","",'Data Checking'!IU56)</f>
        <v/>
      </c>
      <c r="IJ56" s="2" t="str">
        <f>IF('Data Checking'!IV56="","",'Data Checking'!IV56)</f>
        <v/>
      </c>
      <c r="IK56" s="2" t="str">
        <f>IF('Data Checking'!IW56="","",'Data Checking'!IW56)</f>
        <v/>
      </c>
      <c r="IL56" s="2" t="str">
        <f>IF('Data Checking'!IX56="","",'Data Checking'!IX56)</f>
        <v/>
      </c>
      <c r="IM56" s="2" t="str">
        <f>IF('Data Checking'!IY56="","",'Data Checking'!IY56)</f>
        <v/>
      </c>
      <c r="IN56" s="2" t="str">
        <f>IF('Data Checking'!IZ56="","",'Data Checking'!IZ56)</f>
        <v/>
      </c>
      <c r="IO56" s="2" t="str">
        <f>IF('Data Checking'!JA56="","",'Data Checking'!JA56)</f>
        <v/>
      </c>
      <c r="IP56" s="2" t="str">
        <f>IF('Data Checking'!JB56="","",'Data Checking'!JB56)</f>
        <v/>
      </c>
      <c r="IQ56" s="2" t="str">
        <f>IF('Data Checking'!JC56="","",'Data Checking'!JC56)</f>
        <v/>
      </c>
      <c r="IR56" s="2" t="str">
        <f>IF('Data Checking'!JD56="","",'Data Checking'!JD56)</f>
        <v/>
      </c>
      <c r="IS56" s="2" t="str">
        <f>IF('Data Checking'!JE56="","",'Data Checking'!JE56)</f>
        <v/>
      </c>
      <c r="IT56" s="2" t="str">
        <f>IF('Data Checking'!JF56="","",'Data Checking'!JF56)</f>
        <v/>
      </c>
      <c r="IU56" s="2" t="str">
        <f>IF('Data Checking'!JG56="","",'Data Checking'!JG56)</f>
        <v/>
      </c>
      <c r="IV56" s="2" t="str">
        <f>IF('Data Checking'!JH56="","",'Data Checking'!JH56)</f>
        <v/>
      </c>
      <c r="IW56" s="2" t="str">
        <f>IF('Data Checking'!JI56="","",'Data Checking'!JI56)</f>
        <v/>
      </c>
      <c r="IX56" s="2" t="str">
        <f>IF('Data Checking'!JJ56="","",'Data Checking'!JJ56)</f>
        <v/>
      </c>
      <c r="IY56" s="2" t="str">
        <f>IF('Data Checking'!JK56="","",'Data Checking'!JK56)</f>
        <v/>
      </c>
      <c r="IZ56" s="2" t="str">
        <f>IF('Data Checking'!JL56="","",'Data Checking'!JL56)</f>
        <v/>
      </c>
      <c r="JA56" s="2" t="str">
        <f>IF('Data Checking'!JM56="","",'Data Checking'!JM56)</f>
        <v/>
      </c>
      <c r="JB56" s="2" t="str">
        <f>IF('Data Checking'!JN56="","",'Data Checking'!JN56)</f>
        <v/>
      </c>
      <c r="JC56" s="2" t="str">
        <f>IF('Data Checking'!JO56="","",'Data Checking'!JO56)</f>
        <v/>
      </c>
      <c r="JD56" s="2" t="str">
        <f>IF('Data Checking'!JP56="","",'Data Checking'!JP56)</f>
        <v/>
      </c>
      <c r="JE56" s="2" t="str">
        <f>IF('Data Checking'!JQ56="","",'Data Checking'!JQ56)</f>
        <v/>
      </c>
      <c r="JF56" s="2" t="str">
        <f>IF('Data Checking'!JR56="","",'Data Checking'!JR56)</f>
        <v/>
      </c>
      <c r="JG56" s="2" t="str">
        <f>IF('Data Checking'!JS56="","",'Data Checking'!JS56)</f>
        <v/>
      </c>
      <c r="JH56" s="2" t="str">
        <f>IF('Data Checking'!JT56="","",'Data Checking'!JT56)</f>
        <v/>
      </c>
      <c r="JI56" s="2" t="str">
        <f>IF('Data Checking'!JU56="","",'Data Checking'!JU56)</f>
        <v/>
      </c>
      <c r="JJ56" s="2" t="str">
        <f>IF('Data Checking'!JV56="","",'Data Checking'!JV56)</f>
        <v/>
      </c>
      <c r="JK56" s="2" t="str">
        <f>IF('Data Checking'!JW56="","",'Data Checking'!JW56)</f>
        <v/>
      </c>
      <c r="JL56" s="2" t="str">
        <f>IF('Data Checking'!JX56="","",'Data Checking'!JX56)</f>
        <v/>
      </c>
      <c r="JM56" s="2" t="str">
        <f>IF('Data Checking'!JY56="","",'Data Checking'!JY56)</f>
        <v/>
      </c>
      <c r="JN56" s="2" t="str">
        <f>IF('Data Checking'!JZ56="","",'Data Checking'!JZ56)</f>
        <v/>
      </c>
      <c r="JO56" s="2" t="str">
        <f>IF('Data Checking'!KA56="","",'Data Checking'!KA56)</f>
        <v/>
      </c>
      <c r="JP56" s="2" t="str">
        <f>IF('Data Checking'!KB56="","",'Data Checking'!KB56)</f>
        <v/>
      </c>
      <c r="JQ56" s="2" t="str">
        <f>IF('Data Checking'!KC56="","",'Data Checking'!KC56)</f>
        <v/>
      </c>
      <c r="JR56" s="2" t="str">
        <f>IF('Data Checking'!KD56="","",'Data Checking'!KD56)</f>
        <v/>
      </c>
      <c r="JS56" s="2" t="str">
        <f>IF('Data Checking'!KE56="","",'Data Checking'!KE56)</f>
        <v/>
      </c>
      <c r="JT56" s="2" t="str">
        <f>IF('Data Checking'!KF56="","",'Data Checking'!KF56)</f>
        <v/>
      </c>
      <c r="JU56" s="2" t="str">
        <f>IF('Data Checking'!KG56="","",'Data Checking'!KG56)</f>
        <v/>
      </c>
      <c r="JV56" s="2" t="str">
        <f>IF('Data Checking'!KH56="","",'Data Checking'!KH56)</f>
        <v/>
      </c>
      <c r="JW56" s="2" t="str">
        <f>IF('Data Checking'!KI56="","",'Data Checking'!KI56)</f>
        <v/>
      </c>
      <c r="JX56" s="2" t="str">
        <f>IF('Data Checking'!KJ56="","",'Data Checking'!KJ56)</f>
        <v/>
      </c>
      <c r="JY56" s="2" t="str">
        <f>IF('Data Checking'!KK56="","",'Data Checking'!KK56)</f>
        <v/>
      </c>
      <c r="JZ56" s="2" t="str">
        <f>IF('Data Checking'!KL56="","",'Data Checking'!KL56)</f>
        <v/>
      </c>
      <c r="KA56" s="2" t="str">
        <f>IF('Data Checking'!KM56="","",'Data Checking'!KM56)</f>
        <v/>
      </c>
      <c r="KB56" s="2" t="str">
        <f>IF('Data Checking'!KN56="","",'Data Checking'!KN56)</f>
        <v/>
      </c>
      <c r="KC56" s="2" t="str">
        <f>IF('Data Checking'!KO56="","",'Data Checking'!KO56)</f>
        <v/>
      </c>
      <c r="KD56" s="2" t="str">
        <f>IF('Data Checking'!KP56="","",'Data Checking'!KP56)</f>
        <v/>
      </c>
      <c r="KE56" s="2" t="str">
        <f>IF('Data Checking'!KQ56="","",'Data Checking'!KQ56)</f>
        <v/>
      </c>
      <c r="KF56" s="2" t="str">
        <f>IF('Data Checking'!KR56="","",'Data Checking'!KR56)</f>
        <v/>
      </c>
      <c r="KG56" s="2" t="str">
        <f>IF('Data Checking'!KS56="","",'Data Checking'!KS56)</f>
        <v/>
      </c>
      <c r="KH56" s="2" t="str">
        <f>IF('Data Checking'!KT56="","",'Data Checking'!KT56)</f>
        <v/>
      </c>
      <c r="KI56" s="2" t="str">
        <f>IF('Data Checking'!KU56="","",'Data Checking'!KU56)</f>
        <v/>
      </c>
      <c r="KJ56" s="2" t="str">
        <f>IF('Data Checking'!KV56="","",'Data Checking'!KV56)</f>
        <v/>
      </c>
      <c r="KK56" s="2" t="str">
        <f>IF('Data Checking'!KW56="","",'Data Checking'!KW56)</f>
        <v/>
      </c>
      <c r="KL56" s="2" t="str">
        <f>IF('Data Checking'!KX56="","",'Data Checking'!KX56)</f>
        <v/>
      </c>
      <c r="KM56" s="2" t="str">
        <f>IF('Data Checking'!KY56="","",'Data Checking'!KY56)</f>
        <v/>
      </c>
      <c r="KN56" s="2" t="str">
        <f>IF('Data Checking'!KZ56="","",'Data Checking'!KZ56)</f>
        <v/>
      </c>
      <c r="KO56" s="2" t="str">
        <f>IF('Data Checking'!LA56="","",'Data Checking'!LA56)</f>
        <v/>
      </c>
      <c r="KP56" s="2" t="str">
        <f>IF('Data Checking'!LB56="","",'Data Checking'!LB56)</f>
        <v/>
      </c>
      <c r="KQ56" s="2" t="str">
        <f>IF('Data Checking'!LC56="","",'Data Checking'!LC56)</f>
        <v/>
      </c>
      <c r="KR56" s="2" t="str">
        <f>IF('Data Checking'!LD56="","",'Data Checking'!LD56)</f>
        <v/>
      </c>
      <c r="KS56" s="2" t="str">
        <f>IF('Data Checking'!LE56="","",'Data Checking'!LE56)</f>
        <v/>
      </c>
      <c r="KT56" s="2" t="str">
        <f>IF('Data Checking'!LF56="","",'Data Checking'!LF56)</f>
        <v/>
      </c>
      <c r="KU56" s="2" t="str">
        <f>IF('Data Checking'!LG56="","",'Data Checking'!LG56)</f>
        <v/>
      </c>
      <c r="KV56" s="2" t="str">
        <f>IF('Data Checking'!LH56="","",'Data Checking'!LH56)</f>
        <v/>
      </c>
      <c r="KW56" s="2" t="str">
        <f>IF('Data Checking'!LI56="","",'Data Checking'!LI56)</f>
        <v/>
      </c>
      <c r="KX56" s="2" t="str">
        <f>IF('Data Checking'!LJ56="","",'Data Checking'!LJ56)</f>
        <v/>
      </c>
      <c r="KY56" s="2" t="str">
        <f>IF('Data Checking'!LK56="","",'Data Checking'!LK56)</f>
        <v/>
      </c>
      <c r="KZ56" s="2" t="str">
        <f>IF('Data Checking'!LL56="","",'Data Checking'!LL56)</f>
        <v/>
      </c>
      <c r="LA56" s="2" t="str">
        <f>IF('Data Checking'!LM56="","",'Data Checking'!LM56)</f>
        <v/>
      </c>
      <c r="LB56" s="2" t="str">
        <f>IF('Data Checking'!LN56="","",'Data Checking'!LN56)</f>
        <v/>
      </c>
      <c r="LC56" s="2" t="str">
        <f>IF('Data Checking'!LO56="","",'Data Checking'!LO56)</f>
        <v/>
      </c>
      <c r="LD56" s="2" t="str">
        <f>IF('Data Checking'!LP56="","",'Data Checking'!LP56)</f>
        <v/>
      </c>
      <c r="LE56" s="2" t="str">
        <f>IF('Data Checking'!LQ56="","",'Data Checking'!LQ56)</f>
        <v/>
      </c>
      <c r="LF56" s="2" t="str">
        <f>IF('Data Checking'!LR56="","",'Data Checking'!LR56)</f>
        <v/>
      </c>
      <c r="LG56" s="2" t="str">
        <f>IF('Data Checking'!LS56="","",'Data Checking'!LS56)</f>
        <v/>
      </c>
      <c r="LH56" s="2" t="str">
        <f>IF('Data Checking'!LT56="","",'Data Checking'!LT56)</f>
        <v/>
      </c>
      <c r="LI56" s="2" t="str">
        <f>IF('Data Checking'!LU56="","",'Data Checking'!LU56)</f>
        <v/>
      </c>
      <c r="LJ56" s="2" t="str">
        <f>IF('Data Checking'!LV56="","",'Data Checking'!LV56)</f>
        <v/>
      </c>
      <c r="LK56" s="2" t="str">
        <f>IF('Data Checking'!LW56="","",'Data Checking'!LW56)</f>
        <v/>
      </c>
      <c r="LL56" s="2" t="str">
        <f>IF('Data Checking'!LX56="","",'Data Checking'!LX56)</f>
        <v/>
      </c>
      <c r="LM56" s="2" t="str">
        <f>IF('Data Checking'!LY56="","",'Data Checking'!LY56)</f>
        <v/>
      </c>
      <c r="LN56" s="2" t="str">
        <f>IF('Data Checking'!LZ56="","",'Data Checking'!LZ56)</f>
        <v/>
      </c>
      <c r="LO56" s="2" t="str">
        <f>IF('Data Checking'!MA56="","",'Data Checking'!MA56)</f>
        <v/>
      </c>
      <c r="LP56" s="2" t="str">
        <f>IF('Data Checking'!MB56="","",'Data Checking'!MB56)</f>
        <v>oui</v>
      </c>
      <c r="LQ56" s="2" t="str">
        <f>IF('Data Checking'!MC56="","",'Data Checking'!MC56)</f>
        <v/>
      </c>
      <c r="LR56" s="2" t="str">
        <f>IF('Data Checking'!MD56="","",'Data Checking'!MD56)</f>
        <v/>
      </c>
      <c r="LS56" s="2">
        <f>IF('Data Checking'!ME56="","",'Data Checking'!ME56)</f>
        <v>169351708</v>
      </c>
      <c r="LT56" s="2" t="str">
        <f>IF('Data Checking'!MF56="","",'Data Checking'!MF56)</f>
        <v>c9e09860-e7e5-4fd6-a468-e1e6b02442f6</v>
      </c>
      <c r="LU56" s="2" t="str">
        <f>IF('Data Checking'!MG56="","",'Data Checking'!MG56)</f>
        <v>2021-04-02T19:02:44</v>
      </c>
      <c r="LV56" s="2" t="str">
        <f>IF('Data Checking'!MH56="","",'Data Checking'!MH56)</f>
        <v/>
      </c>
      <c r="LW56" s="2" t="str">
        <f>IF('Data Checking'!MI56="","",'Data Checking'!MI56)</f>
        <v>[]</v>
      </c>
      <c r="LX56" s="2" t="str">
        <f>IF('Data Checking'!MJ56="","",'Data Checking'!MJ56)</f>
        <v>submitted_via_web</v>
      </c>
      <c r="LY56" s="2" t="str">
        <f>IF('Data Checking'!MK56="","",'Data Checking'!MK56)</f>
        <v>reach_niger</v>
      </c>
      <c r="LZ56" s="2" t="str">
        <f>IF('Data Checking'!ML56="","",'Data Checking'!ML56)</f>
        <v/>
      </c>
      <c r="MA56" s="2">
        <f>IF('Data Checking'!MM56="","",'Data Checking'!MM56)</f>
        <v>32</v>
      </c>
    </row>
    <row r="57" spans="1:339" x14ac:dyDescent="0.3">
      <c r="A57" s="2" t="str">
        <f>IF('Data Checking'!D57="","",'Data Checking'!D57)</f>
        <v>2021-04-03T12:54:26.131+01:00</v>
      </c>
      <c r="B57" s="2" t="str">
        <f>IF('Data Checking'!E57="","",'Data Checking'!E57)</f>
        <v>2021-04-03T13:48:10.398+01:00</v>
      </c>
      <c r="C57" s="2" t="str">
        <f>IF('Data Checking'!M57="","",'Data Checking'!M57)</f>
        <v>2021-04-03</v>
      </c>
      <c r="D57" s="2" t="str">
        <f>IF('Data Checking'!N57="","",'Data Checking'!N57)</f>
        <v/>
      </c>
      <c r="E57" s="2" t="str">
        <f>IF('Data Checking'!O57="","",'Data Checking'!O57)</f>
        <v/>
      </c>
      <c r="F57" s="2" t="str">
        <f>IF('Data Checking'!R57="","",'Data Checking'!R57)</f>
        <v>Homme</v>
      </c>
      <c r="G57" s="2" t="str">
        <f>IF('Data Checking'!S57="","",'Data Checking'!S57)</f>
        <v>tera</v>
      </c>
      <c r="H57" s="2" t="str">
        <f>IF('Data Checking'!T57="","",'Data Checking'!T57)</f>
        <v>tera</v>
      </c>
      <c r="I57" s="2" t="str">
        <f>IF('Data Checking'!U57="","",'Data Checking'!U57)</f>
        <v>tera</v>
      </c>
      <c r="J57" s="2" t="str">
        <f>IF('Data Checking'!V57="","",'Data Checking'!V57)</f>
        <v/>
      </c>
      <c r="K57" s="2" t="str">
        <f>IF('Data Checking'!W57="","",'Data Checking'!W57)</f>
        <v/>
      </c>
      <c r="L57" s="2" t="str">
        <f>IF('Data Checking'!X57="","",'Data Checking'!X57)</f>
        <v/>
      </c>
      <c r="M57" s="2" t="str">
        <f>IF('Data Checking'!Y57="","",'Data Checking'!Y57)</f>
        <v/>
      </c>
      <c r="N57" s="2" t="str">
        <f>IF('Data Checking'!Z57="","",'Data Checking'!Z57)</f>
        <v/>
      </c>
      <c r="O57" s="2" t="str">
        <f>IF('Data Checking'!AA57="","",'Data Checking'!AA57)</f>
        <v/>
      </c>
      <c r="P57" s="2" t="str">
        <f>IF('Data Checking'!AB57="","",'Data Checking'!AB57)</f>
        <v/>
      </c>
      <c r="Q57" s="2" t="str">
        <f>IF('Data Checking'!AC57="","",'Data Checking'!AC57)</f>
        <v/>
      </c>
      <c r="R57" s="2" t="str">
        <f>IF('Data Checking'!AD57="","",'Data Checking'!AD57)</f>
        <v>Homme</v>
      </c>
      <c r="S57" s="2" t="str">
        <f>IF('Data Checking'!AE57="","",'Data Checking'!AE57)</f>
        <v>49</v>
      </c>
      <c r="T57" s="2" t="str">
        <f>IF('Data Checking'!AF57="","",'Data Checking'!AF57)</f>
        <v>deplace_interne</v>
      </c>
      <c r="U57" s="2" t="str">
        <f>IF('Data Checking'!AG57="","",'Data Checking'!AG57)</f>
        <v/>
      </c>
      <c r="V57" s="2" t="str">
        <f>IF('Data Checking'!AH57="","",'Data Checking'!AH57)</f>
        <v/>
      </c>
      <c r="W57" s="2" t="str">
        <f>IF('Data Checking'!AI57="","",'Data Checking'!AI57)</f>
        <v/>
      </c>
      <c r="X57" s="2" t="str">
        <f>IF('Data Checking'!AJ57="","",'Data Checking'!AJ57)</f>
        <v/>
      </c>
      <c r="Y57" s="2" t="str">
        <f>IF('Data Checking'!AK57="","",'Data Checking'!AK57)</f>
        <v/>
      </c>
      <c r="Z57" s="2" t="str">
        <f>IF('Data Checking'!AL57="","",'Data Checking'!AL57)</f>
        <v>niger</v>
      </c>
      <c r="AA57" s="2" t="str">
        <f>IF('Data Checking'!AM57="","",'Data Checking'!AM57)</f>
        <v>tillaberi</v>
      </c>
      <c r="AB57" s="2" t="str">
        <f>IF('Data Checking'!AN57="","",'Data Checking'!AN57)</f>
        <v>tera</v>
      </c>
      <c r="AC57" s="2" t="str">
        <f>IF('Data Checking'!AO57="","",'Data Checking'!AO57)</f>
        <v/>
      </c>
      <c r="AD57" s="2" t="str">
        <f>IF('Data Checking'!AP57="","",'Data Checking'!AP57)</f>
        <v/>
      </c>
      <c r="AE57" s="2" t="str">
        <f>IF('Data Checking'!AQ57="","",'Data Checking'!AQ57)</f>
        <v/>
      </c>
      <c r="AF57" s="2" t="str">
        <f>IF('Data Checking'!AR57="","",'Data Checking'!AR57)</f>
        <v/>
      </c>
      <c r="AG57" s="2" t="str">
        <f>IF('Data Checking'!AS57="","",'Data Checking'!AS57)</f>
        <v>non</v>
      </c>
      <c r="AH57" s="2" t="str">
        <f>IF('Data Checking'!AT57="","",'Data Checking'!AT57)</f>
        <v/>
      </c>
      <c r="AI57" s="2" t="str">
        <f>IF('Data Checking'!AU57="","",'Data Checking'!AU57)</f>
        <v/>
      </c>
      <c r="AJ57" s="2" t="str">
        <f>IF('Data Checking'!AV57="","",'Data Checking'!AV57)</f>
        <v/>
      </c>
      <c r="AK57" s="2" t="str">
        <f>IF('Data Checking'!AW57="","",'Data Checking'!AW57)</f>
        <v/>
      </c>
      <c r="AL57" s="2" t="str">
        <f>IF('Data Checking'!AX57="","",'Data Checking'!AX57)</f>
        <v/>
      </c>
      <c r="AM57" s="2" t="str">
        <f>IF('Data Checking'!AY57="","",'Data Checking'!AY57)</f>
        <v/>
      </c>
      <c r="AN57" s="2" t="str">
        <f>IF('Data Checking'!AZ57="","",'Data Checking'!AZ57)</f>
        <v/>
      </c>
      <c r="AO57" s="2" t="str">
        <f>IF('Data Checking'!BA57="","",'Data Checking'!BA57)</f>
        <v/>
      </c>
      <c r="AP57" s="2" t="str">
        <f>IF('Data Checking'!BB57="","",'Data Checking'!BB57)</f>
        <v/>
      </c>
      <c r="AQ57" s="2" t="str">
        <f>IF('Data Checking'!BC57="","",'Data Checking'!BC57)</f>
        <v/>
      </c>
      <c r="AR57" s="2" t="str">
        <f>IF('Data Checking'!BD57="","",'Data Checking'!BD57)</f>
        <v/>
      </c>
      <c r="AS57" s="2" t="str">
        <f>IF('Data Checking'!BE57="","",'Data Checking'!BE57)</f>
        <v/>
      </c>
      <c r="AT57" s="2" t="str">
        <f>IF('Data Checking'!BF57="","",'Data Checking'!BF57)</f>
        <v/>
      </c>
      <c r="AU57" s="2" t="str">
        <f>IF('Data Checking'!BG57="","",'Data Checking'!BG57)</f>
        <v/>
      </c>
      <c r="AV57" s="2" t="str">
        <f>IF('Data Checking'!BH57="","",'Data Checking'!BH57)</f>
        <v/>
      </c>
      <c r="AW57" s="2" t="str">
        <f>IF('Data Checking'!BI57="","",'Data Checking'!BI57)</f>
        <v/>
      </c>
      <c r="AX57" s="2" t="str">
        <f>IF('Data Checking'!BJ57="","",'Data Checking'!BJ57)</f>
        <v/>
      </c>
      <c r="AY57" s="2" t="str">
        <f>IF('Data Checking'!BK57="","",'Data Checking'!BK57)</f>
        <v/>
      </c>
      <c r="AZ57" s="2" t="str">
        <f>IF('Data Checking'!BL57="","",'Data Checking'!BL57)</f>
        <v/>
      </c>
      <c r="BA57" s="2" t="str">
        <f>IF('Data Checking'!BM57="","",'Data Checking'!BM57)</f>
        <v/>
      </c>
      <c r="BB57" s="2" t="str">
        <f>IF('Data Checking'!BN57="","",'Data Checking'!BN57)</f>
        <v/>
      </c>
      <c r="BC57" s="2" t="str">
        <f>IF('Data Checking'!BO57="","",'Data Checking'!BO57)</f>
        <v/>
      </c>
      <c r="BD57" s="2" t="str">
        <f>IF('Data Checking'!BP57="","",'Data Checking'!BP57)</f>
        <v/>
      </c>
      <c r="BE57" s="2" t="str">
        <f>IF('Data Checking'!BQ57="","",'Data Checking'!BQ57)</f>
        <v/>
      </c>
      <c r="BF57" s="2" t="str">
        <f>IF('Data Checking'!BR57="","",'Data Checking'!BR57)</f>
        <v/>
      </c>
      <c r="BG57" s="2" t="str">
        <f>IF('Data Checking'!BS57="","",'Data Checking'!BS57)</f>
        <v/>
      </c>
      <c r="BH57" s="2" t="str">
        <f>IF('Data Checking'!BT57="","",'Data Checking'!BT57)</f>
        <v/>
      </c>
      <c r="BI57" s="2" t="str">
        <f>IF('Data Checking'!BU57="","",'Data Checking'!BU57)</f>
        <v/>
      </c>
      <c r="BJ57" s="2" t="str">
        <f>IF('Data Checking'!BV57="","",'Data Checking'!BV57)</f>
        <v/>
      </c>
      <c r="BK57" s="2" t="str">
        <f>IF('Data Checking'!BW57="","",'Data Checking'!BW57)</f>
        <v/>
      </c>
      <c r="BL57" s="2" t="str">
        <f>IF('Data Checking'!BX57="","",'Data Checking'!BX57)</f>
        <v/>
      </c>
      <c r="BM57" s="2" t="str">
        <f>IF('Data Checking'!BY57="","",'Data Checking'!BY57)</f>
        <v/>
      </c>
      <c r="BN57" s="2" t="str">
        <f>IF('Data Checking'!BZ57="","",'Data Checking'!BZ57)</f>
        <v/>
      </c>
      <c r="BO57" s="2" t="str">
        <f>IF('Data Checking'!CA57="","",'Data Checking'!CA57)</f>
        <v/>
      </c>
      <c r="BP57" s="2" t="str">
        <f>IF('Data Checking'!CB57="","",'Data Checking'!CB57)</f>
        <v/>
      </c>
      <c r="BQ57" s="2" t="str">
        <f>IF('Data Checking'!CC57="","",'Data Checking'!CC57)</f>
        <v>non</v>
      </c>
      <c r="BR57" s="2" t="str">
        <f>IF('Data Checking'!CD57="","",'Data Checking'!CD57)</f>
        <v/>
      </c>
      <c r="BS57" s="2" t="str">
        <f>IF('Data Checking'!CE57="","",'Data Checking'!CE57)</f>
        <v/>
      </c>
      <c r="BT57" s="2" t="str">
        <f>IF('Data Checking'!CF57="","",'Data Checking'!CF57)</f>
        <v/>
      </c>
      <c r="BU57" s="2" t="str">
        <f>IF('Data Checking'!CG57="","",'Data Checking'!CG57)</f>
        <v/>
      </c>
      <c r="BV57" s="2" t="str">
        <f>IF('Data Checking'!CH57="","",'Data Checking'!CH57)</f>
        <v/>
      </c>
      <c r="BW57" s="2" t="str">
        <f>IF('Data Checking'!CI57="","",'Data Checking'!CI57)</f>
        <v/>
      </c>
      <c r="BX57" s="2" t="str">
        <f>IF('Data Checking'!CJ57="","",'Data Checking'!CJ57)</f>
        <v/>
      </c>
      <c r="BY57" s="2" t="str">
        <f>IF('Data Checking'!CK57="","",'Data Checking'!CK57)</f>
        <v/>
      </c>
      <c r="BZ57" s="2" t="str">
        <f>IF('Data Checking'!CL57="","",'Data Checking'!CL57)</f>
        <v/>
      </c>
      <c r="CA57" s="2" t="str">
        <f>IF('Data Checking'!CM57="","",'Data Checking'!CM57)</f>
        <v/>
      </c>
      <c r="CB57" s="2" t="str">
        <f>IF('Data Checking'!CN57="","",'Data Checking'!CN57)</f>
        <v/>
      </c>
      <c r="CC57" s="2" t="str">
        <f>IF('Data Checking'!CO57="","",'Data Checking'!CO57)</f>
        <v/>
      </c>
      <c r="CD57" s="2" t="str">
        <f>IF('Data Checking'!CP57="","",'Data Checking'!CP57)</f>
        <v/>
      </c>
      <c r="CE57" s="2" t="str">
        <f>IF('Data Checking'!CQ57="","",'Data Checking'!CQ57)</f>
        <v/>
      </c>
      <c r="CF57" s="2" t="str">
        <f>IF('Data Checking'!CR57="","",'Data Checking'!CR57)</f>
        <v/>
      </c>
      <c r="CG57" s="2" t="str">
        <f>IF('Data Checking'!CS57="","",'Data Checking'!CS57)</f>
        <v/>
      </c>
      <c r="CH57" s="2" t="str">
        <f>IF('Data Checking'!CT57="","",'Data Checking'!CT57)</f>
        <v/>
      </c>
      <c r="CI57" s="2" t="str">
        <f>IF('Data Checking'!CU57="","",'Data Checking'!CU57)</f>
        <v/>
      </c>
      <c r="CJ57" s="2" t="str">
        <f>IF('Data Checking'!CV57="","",'Data Checking'!CV57)</f>
        <v/>
      </c>
      <c r="CK57" s="2" t="str">
        <f>IF('Data Checking'!CW57="","",'Data Checking'!CW57)</f>
        <v/>
      </c>
      <c r="CL57" s="2" t="str">
        <f>IF('Data Checking'!CX57="","",'Data Checking'!CX57)</f>
        <v/>
      </c>
      <c r="CM57" s="2" t="str">
        <f>IF('Data Checking'!CY57="","",'Data Checking'!CY57)</f>
        <v/>
      </c>
      <c r="CN57" s="2" t="str">
        <f>IF('Data Checking'!CZ57="","",'Data Checking'!CZ57)</f>
        <v/>
      </c>
      <c r="CO57" s="2" t="str">
        <f>IF('Data Checking'!DA57="","",'Data Checking'!DA57)</f>
        <v/>
      </c>
      <c r="CP57" s="2" t="str">
        <f>IF('Data Checking'!DB57="","",'Data Checking'!DB57)</f>
        <v/>
      </c>
      <c r="CQ57" s="2" t="str">
        <f>IF('Data Checking'!DC57="","",'Data Checking'!DC57)</f>
        <v/>
      </c>
      <c r="CR57" s="2" t="str">
        <f>IF('Data Checking'!DD57="","",'Data Checking'!DD57)</f>
        <v/>
      </c>
      <c r="CS57" s="2" t="str">
        <f>IF('Data Checking'!DE57="","",'Data Checking'!DE57)</f>
        <v/>
      </c>
      <c r="CT57" s="2" t="str">
        <f>IF('Data Checking'!DF57="","",'Data Checking'!DF57)</f>
        <v/>
      </c>
      <c r="CU57" s="2" t="str">
        <f>IF('Data Checking'!DG57="","",'Data Checking'!DG57)</f>
        <v/>
      </c>
      <c r="CV57" s="2" t="str">
        <f>IF('Data Checking'!DH57="","",'Data Checking'!DH57)</f>
        <v/>
      </c>
      <c r="CW57" s="2" t="str">
        <f>IF('Data Checking'!DI57="","",'Data Checking'!DI57)</f>
        <v/>
      </c>
      <c r="CX57" s="2" t="str">
        <f>IF('Data Checking'!DJ57="","",'Data Checking'!DJ57)</f>
        <v/>
      </c>
      <c r="CY57" s="2" t="str">
        <f>IF('Data Checking'!DK57="","",'Data Checking'!DK57)</f>
        <v/>
      </c>
      <c r="CZ57" s="2" t="str">
        <f>IF('Data Checking'!DL57="","",'Data Checking'!DL57)</f>
        <v/>
      </c>
      <c r="DA57" s="2" t="str">
        <f>IF('Data Checking'!DM57="","",'Data Checking'!DM57)</f>
        <v/>
      </c>
      <c r="DB57" s="2" t="str">
        <f>IF('Data Checking'!DN57="","",'Data Checking'!DN57)</f>
        <v/>
      </c>
      <c r="DC57" s="2" t="str">
        <f>IF('Data Checking'!DO57="","",'Data Checking'!DO57)</f>
        <v/>
      </c>
      <c r="DD57" s="2" t="str">
        <f>IF('Data Checking'!DP57="","",'Data Checking'!DP57)</f>
        <v/>
      </c>
      <c r="DE57" s="2" t="str">
        <f>IF('Data Checking'!DQ57="","",'Data Checking'!DQ57)</f>
        <v/>
      </c>
      <c r="DF57" s="2" t="str">
        <f>IF('Data Checking'!DR57="","",'Data Checking'!DR57)</f>
        <v/>
      </c>
      <c r="DG57" s="2" t="str">
        <f>IF('Data Checking'!DS57="","",'Data Checking'!DS57)</f>
        <v/>
      </c>
      <c r="DH57" s="2" t="str">
        <f>IF('Data Checking'!DT57="","",'Data Checking'!DT57)</f>
        <v/>
      </c>
      <c r="DI57" s="2" t="str">
        <f>IF('Data Checking'!DU57="","",'Data Checking'!DU57)</f>
        <v/>
      </c>
      <c r="DJ57" s="2" t="str">
        <f>IF('Data Checking'!DV57="","",'Data Checking'!DV57)</f>
        <v/>
      </c>
      <c r="DK57" s="2" t="str">
        <f>IF('Data Checking'!DW57="","",'Data Checking'!DW57)</f>
        <v/>
      </c>
      <c r="DL57" s="2" t="str">
        <f>IF('Data Checking'!DX57="","",'Data Checking'!DX57)</f>
        <v/>
      </c>
      <c r="DM57" s="2" t="str">
        <f>IF('Data Checking'!DY57="","",'Data Checking'!DY57)</f>
        <v/>
      </c>
      <c r="DN57" s="2" t="str">
        <f>IF('Data Checking'!DZ57="","",'Data Checking'!DZ57)</f>
        <v/>
      </c>
      <c r="DO57" s="2" t="str">
        <f>IF('Data Checking'!EA57="","",'Data Checking'!EA57)</f>
        <v/>
      </c>
      <c r="DP57" s="2" t="str">
        <f>IF('Data Checking'!EB57="","",'Data Checking'!EB57)</f>
        <v/>
      </c>
      <c r="DQ57" s="2" t="str">
        <f>IF('Data Checking'!EC57="","",'Data Checking'!EC57)</f>
        <v/>
      </c>
      <c r="DR57" s="2" t="str">
        <f>IF('Data Checking'!ED57="","",'Data Checking'!ED57)</f>
        <v/>
      </c>
      <c r="DS57" s="2" t="str">
        <f>IF('Data Checking'!EE57="","",'Data Checking'!EE57)</f>
        <v/>
      </c>
      <c r="DT57" s="2" t="str">
        <f>IF('Data Checking'!EF57="","",'Data Checking'!EF57)</f>
        <v/>
      </c>
      <c r="DU57" s="2" t="str">
        <f>IF('Data Checking'!EG57="","",'Data Checking'!EG57)</f>
        <v/>
      </c>
      <c r="DV57" s="2" t="str">
        <f>IF('Data Checking'!EH57="","",'Data Checking'!EH57)</f>
        <v/>
      </c>
      <c r="DW57" s="2" t="str">
        <f>IF('Data Checking'!EI57="","",'Data Checking'!EI57)</f>
        <v/>
      </c>
      <c r="DX57" s="2" t="str">
        <f>IF('Data Checking'!EJ57="","",'Data Checking'!EJ57)</f>
        <v/>
      </c>
      <c r="DY57" s="2" t="str">
        <f>IF('Data Checking'!EK57="","",'Data Checking'!EK57)</f>
        <v/>
      </c>
      <c r="DZ57" s="2" t="str">
        <f>IF('Data Checking'!EL57="","",'Data Checking'!EL57)</f>
        <v>Integration_com_hote</v>
      </c>
      <c r="EA57" s="2" t="str">
        <f>IF('Data Checking'!EM57="","",'Data Checking'!EM57)</f>
        <v>0</v>
      </c>
      <c r="EB57" s="2" t="str">
        <f>IF('Data Checking'!EN57="","",'Data Checking'!EN57)</f>
        <v>1</v>
      </c>
      <c r="EC57" s="2" t="str">
        <f>IF('Data Checking'!EO57="","",'Data Checking'!EO57)</f>
        <v>0</v>
      </c>
      <c r="ED57" s="2" t="str">
        <f>IF('Data Checking'!EP57="","",'Data Checking'!EP57)</f>
        <v>0</v>
      </c>
      <c r="EE57" s="2" t="str">
        <f>IF('Data Checking'!EQ57="","",'Data Checking'!EQ57)</f>
        <v>0</v>
      </c>
      <c r="EF57" s="2" t="str">
        <f>IF('Data Checking'!ER57="","",'Data Checking'!ER57)</f>
        <v>0</v>
      </c>
      <c r="EG57" s="2" t="str">
        <f>IF('Data Checking'!ES57="","",'Data Checking'!ES57)</f>
        <v>0</v>
      </c>
      <c r="EH57" s="2" t="str">
        <f>IF('Data Checking'!ET57="","",'Data Checking'!ET57)</f>
        <v>0</v>
      </c>
      <c r="EI57" s="2" t="str">
        <f>IF('Data Checking'!EU57="","",'Data Checking'!EU57)</f>
        <v>0</v>
      </c>
      <c r="EJ57" s="2" t="str">
        <f>IF('Data Checking'!EV57="","",'Data Checking'!EV57)</f>
        <v/>
      </c>
      <c r="EK57" s="2" t="str">
        <f>IF('Data Checking'!EW57="","",'Data Checking'!EW57)</f>
        <v/>
      </c>
      <c r="EL57" s="2" t="str">
        <f>IF('Data Checking'!EX57="","",'Data Checking'!EX57)</f>
        <v>comite_protection</v>
      </c>
      <c r="EM57" s="2" t="str">
        <f>IF('Data Checking'!EY57="","",'Data Checking'!EY57)</f>
        <v>0</v>
      </c>
      <c r="EN57" s="2" t="str">
        <f>IF('Data Checking'!EZ57="","",'Data Checking'!EZ57)</f>
        <v>1</v>
      </c>
      <c r="EO57" s="2" t="str">
        <f>IF('Data Checking'!FA57="","",'Data Checking'!FA57)</f>
        <v>0</v>
      </c>
      <c r="EP57" s="2" t="str">
        <f>IF('Data Checking'!FB57="","",'Data Checking'!FB57)</f>
        <v>0</v>
      </c>
      <c r="EQ57" s="2" t="str">
        <f>IF('Data Checking'!FC57="","",'Data Checking'!FC57)</f>
        <v>0</v>
      </c>
      <c r="ER57" s="2" t="str">
        <f>IF('Data Checking'!FD57="","",'Data Checking'!FD57)</f>
        <v>0</v>
      </c>
      <c r="ES57" s="2" t="str">
        <f>IF('Data Checking'!FE57="","",'Data Checking'!FE57)</f>
        <v>0</v>
      </c>
      <c r="ET57" s="2" t="str">
        <f>IF('Data Checking'!FF57="","",'Data Checking'!FF57)</f>
        <v>0</v>
      </c>
      <c r="EU57" s="2" t="str">
        <f>IF('Data Checking'!FG57="","",'Data Checking'!FG57)</f>
        <v>0</v>
      </c>
      <c r="EV57" s="2" t="str">
        <f>IF('Data Checking'!FH57="","",'Data Checking'!FH57)</f>
        <v>0</v>
      </c>
      <c r="EW57" s="2" t="str">
        <f>IF('Data Checking'!FI57="","",'Data Checking'!FI57)</f>
        <v/>
      </c>
      <c r="EX57" s="2" t="str">
        <f>IF('Data Checking'!FJ57="","",'Data Checking'!FJ57)</f>
        <v>oui</v>
      </c>
      <c r="EY57" s="2" t="str">
        <f>IF('Data Checking'!FK57="","",'Data Checking'!FK57)</f>
        <v>Radio_television manif_sociales famille_amis</v>
      </c>
      <c r="EZ57" s="2" t="str">
        <f>IF('Data Checking'!FL57="","",'Data Checking'!FL57)</f>
        <v>1</v>
      </c>
      <c r="FA57" s="2" t="str">
        <f>IF('Data Checking'!FM57="","",'Data Checking'!FM57)</f>
        <v>0</v>
      </c>
      <c r="FB57" s="2" t="str">
        <f>IF('Data Checking'!FN57="","",'Data Checking'!FN57)</f>
        <v>0</v>
      </c>
      <c r="FC57" s="2" t="str">
        <f>IF('Data Checking'!FO57="","",'Data Checking'!FO57)</f>
        <v>1</v>
      </c>
      <c r="FD57" s="2" t="str">
        <f>IF('Data Checking'!FP57="","",'Data Checking'!FP57)</f>
        <v>0</v>
      </c>
      <c r="FE57" s="2" t="str">
        <f>IF('Data Checking'!FQ57="","",'Data Checking'!FQ57)</f>
        <v>1</v>
      </c>
      <c r="FF57" s="2" t="str">
        <f>IF('Data Checking'!FR57="","",'Data Checking'!FR57)</f>
        <v>0</v>
      </c>
      <c r="FG57" s="2" t="str">
        <f>IF('Data Checking'!FS57="","",'Data Checking'!FS57)</f>
        <v>0</v>
      </c>
      <c r="FH57" s="2" t="str">
        <f>IF('Data Checking'!FT57="","",'Data Checking'!FT57)</f>
        <v>0</v>
      </c>
      <c r="FI57" s="2" t="str">
        <f>IF('Data Checking'!FU57="","",'Data Checking'!FU57)</f>
        <v>0</v>
      </c>
      <c r="FJ57" s="2" t="str">
        <f>IF('Data Checking'!FV57="","",'Data Checking'!FV57)</f>
        <v>0</v>
      </c>
      <c r="FK57" s="2" t="str">
        <f>IF('Data Checking'!FW57="","",'Data Checking'!FW57)</f>
        <v>0</v>
      </c>
      <c r="FL57" s="2" t="str">
        <f>IF('Data Checking'!FX57="","",'Data Checking'!FX57)</f>
        <v>0</v>
      </c>
      <c r="FM57" s="2" t="str">
        <f>IF('Data Checking'!FY57="","",'Data Checking'!FY57)</f>
        <v>0</v>
      </c>
      <c r="FN57" s="2" t="str">
        <f>IF('Data Checking'!FZ57="","",'Data Checking'!FZ57)</f>
        <v/>
      </c>
      <c r="FO57" s="2" t="str">
        <f>IF('Data Checking'!GA57="","",'Data Checking'!GA57)</f>
        <v>oui_ensemble</v>
      </c>
      <c r="FP57" s="2" t="str">
        <f>IF('Data Checking'!GB57="","",'Data Checking'!GB57)</f>
        <v>oui_ensemble</v>
      </c>
      <c r="FQ57" s="2" t="str">
        <f>IF('Data Checking'!GC57="","",'Data Checking'!GC57)</f>
        <v/>
      </c>
      <c r="FR57" s="2" t="str">
        <f>IF('Data Checking'!GD57="","",'Data Checking'!GD57)</f>
        <v/>
      </c>
      <c r="FS57" s="2" t="str">
        <f>IF('Data Checking'!GE57="","",'Data Checking'!GE57)</f>
        <v/>
      </c>
      <c r="FT57" s="2" t="str">
        <f>IF('Data Checking'!GF57="","",'Data Checking'!GF57)</f>
        <v/>
      </c>
      <c r="FU57" s="2" t="str">
        <f>IF('Data Checking'!GG57="","",'Data Checking'!GG57)</f>
        <v/>
      </c>
      <c r="FV57" s="2" t="str">
        <f>IF('Data Checking'!GH57="","",'Data Checking'!GH57)</f>
        <v/>
      </c>
      <c r="FW57" s="2" t="str">
        <f>IF('Data Checking'!GI57="","",'Data Checking'!GI57)</f>
        <v/>
      </c>
      <c r="FX57" s="2" t="str">
        <f>IF('Data Checking'!GJ57="","",'Data Checking'!GJ57)</f>
        <v/>
      </c>
      <c r="FY57" s="2" t="str">
        <f>IF('Data Checking'!GK57="","",'Data Checking'!GK57)</f>
        <v/>
      </c>
      <c r="FZ57" s="2" t="str">
        <f>IF('Data Checking'!GL57="","",'Data Checking'!GL57)</f>
        <v/>
      </c>
      <c r="GA57" s="2" t="str">
        <f>IF('Data Checking'!GM57="","",'Data Checking'!GM57)</f>
        <v>ensemble</v>
      </c>
      <c r="GB57" s="2" t="str">
        <f>IF('Data Checking'!GN57="","",'Data Checking'!GN57)</f>
        <v>majorite</v>
      </c>
      <c r="GC57" s="2" t="str">
        <f>IF('Data Checking'!GO57="","",'Data Checking'!GO57)</f>
        <v>Services_de_sante Acces_aux_doc Suivi_judiciaire</v>
      </c>
      <c r="GD57" s="2" t="str">
        <f>IF('Data Checking'!GP57="","",'Data Checking'!GP57)</f>
        <v>0</v>
      </c>
      <c r="GE57" s="2" t="str">
        <f>IF('Data Checking'!GQ57="","",'Data Checking'!GQ57)</f>
        <v>0</v>
      </c>
      <c r="GF57" s="2" t="str">
        <f>IF('Data Checking'!GR57="","",'Data Checking'!GR57)</f>
        <v>0</v>
      </c>
      <c r="GG57" s="2" t="str">
        <f>IF('Data Checking'!GS57="","",'Data Checking'!GS57)</f>
        <v>1</v>
      </c>
      <c r="GH57" s="2" t="str">
        <f>IF('Data Checking'!GT57="","",'Data Checking'!GT57)</f>
        <v>1</v>
      </c>
      <c r="GI57" s="2" t="str">
        <f>IF('Data Checking'!GU57="","",'Data Checking'!GU57)</f>
        <v>1</v>
      </c>
      <c r="GJ57" s="2" t="str">
        <f>IF('Data Checking'!GV57="","",'Data Checking'!GV57)</f>
        <v>0</v>
      </c>
      <c r="GK57" s="2" t="str">
        <f>IF('Data Checking'!GW57="","",'Data Checking'!GW57)</f>
        <v>0</v>
      </c>
      <c r="GL57" s="2" t="str">
        <f>IF('Data Checking'!GX57="","",'Data Checking'!GX57)</f>
        <v>0</v>
      </c>
      <c r="GM57" s="2" t="str">
        <f>IF('Data Checking'!GY57="","",'Data Checking'!GY57)</f>
        <v/>
      </c>
      <c r="GN57" s="2" t="str">
        <f>IF('Data Checking'!GZ57="","",'Data Checking'!GZ57)</f>
        <v>oui_majorite</v>
      </c>
      <c r="GO57" s="2" t="str">
        <f>IF('Data Checking'!HA57="","",'Data Checking'!HA57)</f>
        <v>oui_majorite</v>
      </c>
      <c r="GP57" s="2" t="str">
        <f>IF('Data Checking'!HB57="","",'Data Checking'!HB57)</f>
        <v>amelioration_futur repond_besoins_pop permet_obtenir_conseils</v>
      </c>
      <c r="GQ57" s="2" t="str">
        <f>IF('Data Checking'!HC57="","",'Data Checking'!HC57)</f>
        <v>1</v>
      </c>
      <c r="GR57" s="2" t="str">
        <f>IF('Data Checking'!HD57="","",'Data Checking'!HD57)</f>
        <v>1</v>
      </c>
      <c r="GS57" s="2" t="str">
        <f>IF('Data Checking'!HE57="","",'Data Checking'!HE57)</f>
        <v>1</v>
      </c>
      <c r="GT57" s="2" t="str">
        <f>IF('Data Checking'!HF57="","",'Data Checking'!HF57)</f>
        <v>0</v>
      </c>
      <c r="GU57" s="2" t="str">
        <f>IF('Data Checking'!HG57="","",'Data Checking'!HG57)</f>
        <v>0</v>
      </c>
      <c r="GV57" s="2" t="str">
        <f>IF('Data Checking'!HH57="","",'Data Checking'!HH57)</f>
        <v>0</v>
      </c>
      <c r="GW57" s="2" t="str">
        <f>IF('Data Checking'!HI57="","",'Data Checking'!HI57)</f>
        <v>0</v>
      </c>
      <c r="GX57" s="2" t="str">
        <f>IF('Data Checking'!HJ57="","",'Data Checking'!HJ57)</f>
        <v>0</v>
      </c>
      <c r="GY57" s="2" t="str">
        <f>IF('Data Checking'!HK57="","",'Data Checking'!HK57)</f>
        <v/>
      </c>
      <c r="GZ57" s="2" t="str">
        <f>IF('Data Checking'!HL57="","",'Data Checking'!HL57)</f>
        <v>ne_contribue_pas ne_repond_pas</v>
      </c>
      <c r="HA57" s="2" t="str">
        <f>IF('Data Checking'!HM57="","",'Data Checking'!HM57)</f>
        <v>1</v>
      </c>
      <c r="HB57" s="2" t="str">
        <f>IF('Data Checking'!HN57="","",'Data Checking'!HN57)</f>
        <v>1</v>
      </c>
      <c r="HC57" s="2" t="str">
        <f>IF('Data Checking'!HO57="","",'Data Checking'!HO57)</f>
        <v>0</v>
      </c>
      <c r="HD57" s="2" t="str">
        <f>IF('Data Checking'!HP57="","",'Data Checking'!HP57)</f>
        <v>0</v>
      </c>
      <c r="HE57" s="2" t="str">
        <f>IF('Data Checking'!HQ57="","",'Data Checking'!HQ57)</f>
        <v>0</v>
      </c>
      <c r="HF57" s="2" t="str">
        <f>IF('Data Checking'!HR57="","",'Data Checking'!HR57)</f>
        <v>0</v>
      </c>
      <c r="HG57" s="2" t="str">
        <f>IF('Data Checking'!HS57="","",'Data Checking'!HS57)</f>
        <v/>
      </c>
      <c r="HH57" s="2" t="str">
        <f>IF('Data Checking'!HT57="","",'Data Checking'!HT57)</f>
        <v/>
      </c>
      <c r="HI57" s="2" t="str">
        <f>IF('Data Checking'!HU57="","",'Data Checking'!HU57)</f>
        <v>oui_ensemble</v>
      </c>
      <c r="HJ57" s="2" t="str">
        <f>IF('Data Checking'!HV57="","",'Data Checking'!HV57)</f>
        <v>autorite_locale_leaders ong_locale</v>
      </c>
      <c r="HK57" s="2" t="str">
        <f>IF('Data Checking'!HW57="","",'Data Checking'!HW57)</f>
        <v>0</v>
      </c>
      <c r="HL57" s="2" t="str">
        <f>IF('Data Checking'!HX57="","",'Data Checking'!HX57)</f>
        <v>0</v>
      </c>
      <c r="HM57" s="2" t="str">
        <f>IF('Data Checking'!HY57="","",'Data Checking'!HY57)</f>
        <v>1</v>
      </c>
      <c r="HN57" s="2" t="str">
        <f>IF('Data Checking'!HZ57="","",'Data Checking'!HZ57)</f>
        <v>0</v>
      </c>
      <c r="HO57" s="2" t="str">
        <f>IF('Data Checking'!IA57="","",'Data Checking'!IA57)</f>
        <v>0</v>
      </c>
      <c r="HP57" s="2" t="str">
        <f>IF('Data Checking'!IB57="","",'Data Checking'!IB57)</f>
        <v>1</v>
      </c>
      <c r="HQ57" s="2" t="str">
        <f>IF('Data Checking'!IC57="","",'Data Checking'!IC57)</f>
        <v>0</v>
      </c>
      <c r="HR57" s="2" t="str">
        <f>IF('Data Checking'!ID57="","",'Data Checking'!ID57)</f>
        <v>0</v>
      </c>
      <c r="HS57" s="2" t="str">
        <f>IF('Data Checking'!IE57="","",'Data Checking'!IE57)</f>
        <v>0</v>
      </c>
      <c r="HT57" s="2" t="str">
        <f>IF('Data Checking'!IF57="","",'Data Checking'!IF57)</f>
        <v>0</v>
      </c>
      <c r="HU57" s="2" t="str">
        <f>IF('Data Checking'!IG57="","",'Data Checking'!IG57)</f>
        <v/>
      </c>
      <c r="HV57" s="2" t="str">
        <f>IF('Data Checking'!IH57="","",'Data Checking'!IH57)</f>
        <v/>
      </c>
      <c r="HW57" s="2" t="str">
        <f>IF('Data Checking'!II57="","",'Data Checking'!II57)</f>
        <v/>
      </c>
      <c r="HX57" s="2" t="str">
        <f>IF('Data Checking'!IJ57="","",'Data Checking'!IJ57)</f>
        <v/>
      </c>
      <c r="HY57" s="2" t="str">
        <f>IF('Data Checking'!IK57="","",'Data Checking'!IK57)</f>
        <v/>
      </c>
      <c r="HZ57" s="2" t="str">
        <f>IF('Data Checking'!IL57="","",'Data Checking'!IL57)</f>
        <v/>
      </c>
      <c r="IA57" s="2" t="str">
        <f>IF('Data Checking'!IM57="","",'Data Checking'!IM57)</f>
        <v/>
      </c>
      <c r="IB57" s="2" t="str">
        <f>IF('Data Checking'!IN57="","",'Data Checking'!IN57)</f>
        <v/>
      </c>
      <c r="IC57" s="2" t="str">
        <f>IF('Data Checking'!IO57="","",'Data Checking'!IO57)</f>
        <v/>
      </c>
      <c r="ID57" s="2" t="str">
        <f>IF('Data Checking'!IP57="","",'Data Checking'!IP57)</f>
        <v/>
      </c>
      <c r="IE57" s="2" t="str">
        <f>IF('Data Checking'!IQ57="","",'Data Checking'!IQ57)</f>
        <v/>
      </c>
      <c r="IF57" s="2" t="str">
        <f>IF('Data Checking'!IR57="","",'Data Checking'!IR57)</f>
        <v/>
      </c>
      <c r="IG57" s="2" t="str">
        <f>IF('Data Checking'!IS57="","",'Data Checking'!IS57)</f>
        <v/>
      </c>
      <c r="IH57" s="2" t="str">
        <f>IF('Data Checking'!IT57="","",'Data Checking'!IT57)</f>
        <v/>
      </c>
      <c r="II57" s="2" t="str">
        <f>IF('Data Checking'!IU57="","",'Data Checking'!IU57)</f>
        <v/>
      </c>
      <c r="IJ57" s="2" t="str">
        <f>IF('Data Checking'!IV57="","",'Data Checking'!IV57)</f>
        <v/>
      </c>
      <c r="IK57" s="2" t="str">
        <f>IF('Data Checking'!IW57="","",'Data Checking'!IW57)</f>
        <v/>
      </c>
      <c r="IL57" s="2" t="str">
        <f>IF('Data Checking'!IX57="","",'Data Checking'!IX57)</f>
        <v/>
      </c>
      <c r="IM57" s="2" t="str">
        <f>IF('Data Checking'!IY57="","",'Data Checking'!IY57)</f>
        <v/>
      </c>
      <c r="IN57" s="2" t="str">
        <f>IF('Data Checking'!IZ57="","",'Data Checking'!IZ57)</f>
        <v>3</v>
      </c>
      <c r="IO57" s="2" t="str">
        <f>IF('Data Checking'!JA57="","",'Data Checking'!JA57)</f>
        <v>Services_medicaux acces_docs service_judiciaire</v>
      </c>
      <c r="IP57" s="2" t="str">
        <f>IF('Data Checking'!JB57="","",'Data Checking'!JB57)</f>
        <v>0</v>
      </c>
      <c r="IQ57" s="2" t="str">
        <f>IF('Data Checking'!JC57="","",'Data Checking'!JC57)</f>
        <v>1</v>
      </c>
      <c r="IR57" s="2" t="str">
        <f>IF('Data Checking'!JD57="","",'Data Checking'!JD57)</f>
        <v>0</v>
      </c>
      <c r="IS57" s="2" t="str">
        <f>IF('Data Checking'!JE57="","",'Data Checking'!JE57)</f>
        <v>0</v>
      </c>
      <c r="IT57" s="2" t="str">
        <f>IF('Data Checking'!JF57="","",'Data Checking'!JF57)</f>
        <v>1</v>
      </c>
      <c r="IU57" s="2" t="str">
        <f>IF('Data Checking'!JG57="","",'Data Checking'!JG57)</f>
        <v>1</v>
      </c>
      <c r="IV57" s="2" t="str">
        <f>IF('Data Checking'!JH57="","",'Data Checking'!JH57)</f>
        <v>0</v>
      </c>
      <c r="IW57" s="2" t="str">
        <f>IF('Data Checking'!JI57="","",'Data Checking'!JI57)</f>
        <v>0</v>
      </c>
      <c r="IX57" s="2" t="str">
        <f>IF('Data Checking'!JJ57="","",'Data Checking'!JJ57)</f>
        <v>0</v>
      </c>
      <c r="IY57" s="2" t="str">
        <f>IF('Data Checking'!JK57="","",'Data Checking'!JK57)</f>
        <v>0</v>
      </c>
      <c r="IZ57" s="2" t="str">
        <f>IF('Data Checking'!JL57="","",'Data Checking'!JL57)</f>
        <v/>
      </c>
      <c r="JA57" s="2" t="str">
        <f>IF('Data Checking'!JM57="","",'Data Checking'!JM57)</f>
        <v>reorientation signalement</v>
      </c>
      <c r="JB57" s="2" t="str">
        <f>IF('Data Checking'!JN57="","",'Data Checking'!JN57)</f>
        <v>0</v>
      </c>
      <c r="JC57" s="2" t="str">
        <f>IF('Data Checking'!JO57="","",'Data Checking'!JO57)</f>
        <v>1</v>
      </c>
      <c r="JD57" s="2" t="str">
        <f>IF('Data Checking'!JP57="","",'Data Checking'!JP57)</f>
        <v>1</v>
      </c>
      <c r="JE57" s="2" t="str">
        <f>IF('Data Checking'!JQ57="","",'Data Checking'!JQ57)</f>
        <v>0</v>
      </c>
      <c r="JF57" s="2" t="str">
        <f>IF('Data Checking'!JR57="","",'Data Checking'!JR57)</f>
        <v>0</v>
      </c>
      <c r="JG57" s="2" t="str">
        <f>IF('Data Checking'!JS57="","",'Data Checking'!JS57)</f>
        <v>0</v>
      </c>
      <c r="JH57" s="2" t="str">
        <f>IF('Data Checking'!JT57="","",'Data Checking'!JT57)</f>
        <v/>
      </c>
      <c r="JI57" s="2" t="str">
        <f>IF('Data Checking'!JU57="","",'Data Checking'!JU57)</f>
        <v/>
      </c>
      <c r="JJ57" s="2" t="str">
        <f>IF('Data Checking'!JV57="","",'Data Checking'!JV57)</f>
        <v/>
      </c>
      <c r="JK57" s="2" t="str">
        <f>IF('Data Checking'!JW57="","",'Data Checking'!JW57)</f>
        <v/>
      </c>
      <c r="JL57" s="2" t="str">
        <f>IF('Data Checking'!JX57="","",'Data Checking'!JX57)</f>
        <v/>
      </c>
      <c r="JM57" s="2" t="str">
        <f>IF('Data Checking'!JY57="","",'Data Checking'!JY57)</f>
        <v/>
      </c>
      <c r="JN57" s="2" t="str">
        <f>IF('Data Checking'!JZ57="","",'Data Checking'!JZ57)</f>
        <v/>
      </c>
      <c r="JO57" s="2" t="str">
        <f>IF('Data Checking'!KA57="","",'Data Checking'!KA57)</f>
        <v/>
      </c>
      <c r="JP57" s="2" t="str">
        <f>IF('Data Checking'!KB57="","",'Data Checking'!KB57)</f>
        <v/>
      </c>
      <c r="JQ57" s="2" t="str">
        <f>IF('Data Checking'!KC57="","",'Data Checking'!KC57)</f>
        <v/>
      </c>
      <c r="JR57" s="2" t="str">
        <f>IF('Data Checking'!KD57="","",'Data Checking'!KD57)</f>
        <v/>
      </c>
      <c r="JS57" s="2" t="str">
        <f>IF('Data Checking'!KE57="","",'Data Checking'!KE57)</f>
        <v/>
      </c>
      <c r="JT57" s="2" t="str">
        <f>IF('Data Checking'!KF57="","",'Data Checking'!KF57)</f>
        <v>medical point_ecoute juridique</v>
      </c>
      <c r="JU57" s="2" t="str">
        <f>IF('Data Checking'!KG57="","",'Data Checking'!KG57)</f>
        <v>1</v>
      </c>
      <c r="JV57" s="2" t="str">
        <f>IF('Data Checking'!KH57="","",'Data Checking'!KH57)</f>
        <v>0</v>
      </c>
      <c r="JW57" s="2" t="str">
        <f>IF('Data Checking'!KI57="","",'Data Checking'!KI57)</f>
        <v>1</v>
      </c>
      <c r="JX57" s="2" t="str">
        <f>IF('Data Checking'!KJ57="","",'Data Checking'!KJ57)</f>
        <v>1</v>
      </c>
      <c r="JY57" s="2" t="str">
        <f>IF('Data Checking'!KK57="","",'Data Checking'!KK57)</f>
        <v>0</v>
      </c>
      <c r="JZ57" s="2" t="str">
        <f>IF('Data Checking'!KL57="","",'Data Checking'!KL57)</f>
        <v>0</v>
      </c>
      <c r="KA57" s="2" t="str">
        <f>IF('Data Checking'!KM57="","",'Data Checking'!KM57)</f>
        <v>0</v>
      </c>
      <c r="KB57" s="2" t="str">
        <f>IF('Data Checking'!KN57="","",'Data Checking'!KN57)</f>
        <v>0</v>
      </c>
      <c r="KC57" s="2" t="str">
        <f>IF('Data Checking'!KO57="","",'Data Checking'!KO57)</f>
        <v>0</v>
      </c>
      <c r="KD57" s="2" t="str">
        <f>IF('Data Checking'!KP57="","",'Data Checking'!KP57)</f>
        <v/>
      </c>
      <c r="KE57" s="2" t="str">
        <f>IF('Data Checking'!KQ57="","",'Data Checking'!KQ57)</f>
        <v/>
      </c>
      <c r="KF57" s="2" t="str">
        <f>IF('Data Checking'!KR57="","",'Data Checking'!KR57)</f>
        <v>oui</v>
      </c>
      <c r="KG57" s="2" t="str">
        <f>IF('Data Checking'!KS57="","",'Data Checking'!KS57)</f>
        <v>manque_moyens</v>
      </c>
      <c r="KH57" s="2" t="str">
        <f>IF('Data Checking'!KT57="","",'Data Checking'!KT57)</f>
        <v>1</v>
      </c>
      <c r="KI57" s="2" t="str">
        <f>IF('Data Checking'!KU57="","",'Data Checking'!KU57)</f>
        <v>0</v>
      </c>
      <c r="KJ57" s="2" t="str">
        <f>IF('Data Checking'!KV57="","",'Data Checking'!KV57)</f>
        <v>0</v>
      </c>
      <c r="KK57" s="2" t="str">
        <f>IF('Data Checking'!KW57="","",'Data Checking'!KW57)</f>
        <v>0</v>
      </c>
      <c r="KL57" s="2" t="str">
        <f>IF('Data Checking'!KX57="","",'Data Checking'!KX57)</f>
        <v>0</v>
      </c>
      <c r="KM57" s="2" t="str">
        <f>IF('Data Checking'!KY57="","",'Data Checking'!KY57)</f>
        <v>0</v>
      </c>
      <c r="KN57" s="2" t="str">
        <f>IF('Data Checking'!KZ57="","",'Data Checking'!KZ57)</f>
        <v>0</v>
      </c>
      <c r="KO57" s="2" t="str">
        <f>IF('Data Checking'!LA57="","",'Data Checking'!LA57)</f>
        <v>0</v>
      </c>
      <c r="KP57" s="2" t="str">
        <f>IF('Data Checking'!LB57="","",'Data Checking'!LB57)</f>
        <v>0</v>
      </c>
      <c r="KQ57" s="2" t="str">
        <f>IF('Data Checking'!LC57="","",'Data Checking'!LC57)</f>
        <v>0</v>
      </c>
      <c r="KR57" s="2" t="str">
        <f>IF('Data Checking'!LD57="","",'Data Checking'!LD57)</f>
        <v>0</v>
      </c>
      <c r="KS57" s="2" t="str">
        <f>IF('Data Checking'!LE57="","",'Data Checking'!LE57)</f>
        <v/>
      </c>
      <c r="KT57" s="2" t="str">
        <f>IF('Data Checking'!LF57="","",'Data Checking'!LF57)</f>
        <v/>
      </c>
      <c r="KU57" s="2" t="str">
        <f>IF('Data Checking'!LG57="","",'Data Checking'!LG57)</f>
        <v/>
      </c>
      <c r="KV57" s="2" t="str">
        <f>IF('Data Checking'!LH57="","",'Data Checking'!LH57)</f>
        <v/>
      </c>
      <c r="KW57" s="2" t="str">
        <f>IF('Data Checking'!LI57="","",'Data Checking'!LI57)</f>
        <v/>
      </c>
      <c r="KX57" s="2" t="str">
        <f>IF('Data Checking'!LJ57="","",'Data Checking'!LJ57)</f>
        <v/>
      </c>
      <c r="KY57" s="2" t="str">
        <f>IF('Data Checking'!LK57="","",'Data Checking'!LK57)</f>
        <v/>
      </c>
      <c r="KZ57" s="2" t="str">
        <f>IF('Data Checking'!LL57="","",'Data Checking'!LL57)</f>
        <v/>
      </c>
      <c r="LA57" s="2" t="str">
        <f>IF('Data Checking'!LM57="","",'Data Checking'!LM57)</f>
        <v/>
      </c>
      <c r="LB57" s="2" t="str">
        <f>IF('Data Checking'!LN57="","",'Data Checking'!LN57)</f>
        <v>non</v>
      </c>
      <c r="LC57" s="2" t="str">
        <f>IF('Data Checking'!LO57="","",'Data Checking'!LO57)</f>
        <v/>
      </c>
      <c r="LD57" s="2" t="str">
        <f>IF('Data Checking'!LP57="","",'Data Checking'!LP57)</f>
        <v/>
      </c>
      <c r="LE57" s="2" t="str">
        <f>IF('Data Checking'!LQ57="","",'Data Checking'!LQ57)</f>
        <v/>
      </c>
      <c r="LF57" s="2" t="str">
        <f>IF('Data Checking'!LR57="","",'Data Checking'!LR57)</f>
        <v/>
      </c>
      <c r="LG57" s="2" t="str">
        <f>IF('Data Checking'!LS57="","",'Data Checking'!LS57)</f>
        <v/>
      </c>
      <c r="LH57" s="2" t="str">
        <f>IF('Data Checking'!LT57="","",'Data Checking'!LT57)</f>
        <v/>
      </c>
      <c r="LI57" s="2" t="str">
        <f>IF('Data Checking'!LU57="","",'Data Checking'!LU57)</f>
        <v/>
      </c>
      <c r="LJ57" s="2" t="str">
        <f>IF('Data Checking'!LV57="","",'Data Checking'!LV57)</f>
        <v/>
      </c>
      <c r="LK57" s="2" t="str">
        <f>IF('Data Checking'!LW57="","",'Data Checking'!LW57)</f>
        <v/>
      </c>
      <c r="LL57" s="2" t="str">
        <f>IF('Data Checking'!LX57="","",'Data Checking'!LX57)</f>
        <v/>
      </c>
      <c r="LM57" s="2" t="str">
        <f>IF('Data Checking'!LY57="","",'Data Checking'!LY57)</f>
        <v/>
      </c>
      <c r="LN57" s="2" t="str">
        <f>IF('Data Checking'!LZ57="","",'Data Checking'!LZ57)</f>
        <v/>
      </c>
      <c r="LO57" s="2" t="str">
        <f>IF('Data Checking'!MA57="","",'Data Checking'!MA57)</f>
        <v/>
      </c>
      <c r="LP57" s="2" t="str">
        <f>IF('Data Checking'!MB57="","",'Data Checking'!MB57)</f>
        <v>oui</v>
      </c>
      <c r="LQ57" s="2" t="str">
        <f>IF('Data Checking'!MC57="","",'Data Checking'!MC57)</f>
        <v/>
      </c>
      <c r="LR57" s="2" t="str">
        <f>IF('Data Checking'!MD57="","",'Data Checking'!MD57)</f>
        <v/>
      </c>
      <c r="LS57" s="2">
        <f>IF('Data Checking'!ME57="","",'Data Checking'!ME57)</f>
        <v>169457767</v>
      </c>
      <c r="LT57" s="2" t="str">
        <f>IF('Data Checking'!MF57="","",'Data Checking'!MF57)</f>
        <v>b93e9e4f-6440-43a3-b03f-7c660be9549a</v>
      </c>
      <c r="LU57" s="2" t="str">
        <f>IF('Data Checking'!MG57="","",'Data Checking'!MG57)</f>
        <v>2021-04-03T14:04:01</v>
      </c>
      <c r="LV57" s="2" t="str">
        <f>IF('Data Checking'!MH57="","",'Data Checking'!MH57)</f>
        <v/>
      </c>
      <c r="LW57" s="2" t="str">
        <f>IF('Data Checking'!MI57="","",'Data Checking'!MI57)</f>
        <v>[]</v>
      </c>
      <c r="LX57" s="2" t="str">
        <f>IF('Data Checking'!MJ57="","",'Data Checking'!MJ57)</f>
        <v>submitted_via_web</v>
      </c>
      <c r="LY57" s="2" t="str">
        <f>IF('Data Checking'!MK57="","",'Data Checking'!MK57)</f>
        <v>reach_niger</v>
      </c>
      <c r="LZ57" s="2" t="str">
        <f>IF('Data Checking'!ML57="","",'Data Checking'!ML57)</f>
        <v/>
      </c>
      <c r="MA57" s="2">
        <f>IF('Data Checking'!MM57="","",'Data Checking'!MM57)</f>
        <v>38</v>
      </c>
    </row>
    <row r="58" spans="1:339" x14ac:dyDescent="0.3">
      <c r="A58" s="2" t="str">
        <f>IF('Data Checking'!D58="","",'Data Checking'!D58)</f>
        <v>2021-04-01T09:27:46.077+01:00</v>
      </c>
      <c r="B58" s="2" t="str">
        <f>IF('Data Checking'!E58="","",'Data Checking'!E58)</f>
        <v>2021-04-01T10:08:27.449+01:00</v>
      </c>
      <c r="C58" s="2" t="str">
        <f>IF('Data Checking'!M58="","",'Data Checking'!M58)</f>
        <v>2021-04-01</v>
      </c>
      <c r="D58" s="2" t="str">
        <f>IF('Data Checking'!N58="","",'Data Checking'!N58)</f>
        <v/>
      </c>
      <c r="E58" s="2" t="str">
        <f>IF('Data Checking'!O58="","",'Data Checking'!O58)</f>
        <v/>
      </c>
      <c r="F58" s="2" t="str">
        <f>IF('Data Checking'!R58="","",'Data Checking'!R58)</f>
        <v>Homme</v>
      </c>
      <c r="G58" s="2" t="str">
        <f>IF('Data Checking'!S58="","",'Data Checking'!S58)</f>
        <v>tera</v>
      </c>
      <c r="H58" s="2" t="str">
        <f>IF('Data Checking'!T58="","",'Data Checking'!T58)</f>
        <v>tera</v>
      </c>
      <c r="I58" s="2" t="str">
        <f>IF('Data Checking'!U58="","",'Data Checking'!U58)</f>
        <v>tera</v>
      </c>
      <c r="J58" s="2" t="str">
        <f>IF('Data Checking'!V58="","",'Data Checking'!V58)</f>
        <v/>
      </c>
      <c r="K58" s="2" t="str">
        <f>IF('Data Checking'!W58="","",'Data Checking'!W58)</f>
        <v/>
      </c>
      <c r="L58" s="2" t="str">
        <f>IF('Data Checking'!X58="","",'Data Checking'!X58)</f>
        <v/>
      </c>
      <c r="M58" s="2" t="str">
        <f>IF('Data Checking'!Y58="","",'Data Checking'!Y58)</f>
        <v/>
      </c>
      <c r="N58" s="2" t="str">
        <f>IF('Data Checking'!Z58="","",'Data Checking'!Z58)</f>
        <v/>
      </c>
      <c r="O58" s="2" t="str">
        <f>IF('Data Checking'!AA58="","",'Data Checking'!AA58)</f>
        <v/>
      </c>
      <c r="P58" s="2" t="str">
        <f>IF('Data Checking'!AB58="","",'Data Checking'!AB58)</f>
        <v/>
      </c>
      <c r="Q58" s="2" t="str">
        <f>IF('Data Checking'!AC58="","",'Data Checking'!AC58)</f>
        <v/>
      </c>
      <c r="R58" s="2" t="str">
        <f>IF('Data Checking'!AD58="","",'Data Checking'!AD58)</f>
        <v>Homme</v>
      </c>
      <c r="S58" s="2" t="str">
        <f>IF('Data Checking'!AE58="","",'Data Checking'!AE58)</f>
        <v>29</v>
      </c>
      <c r="T58" s="2" t="str">
        <f>IF('Data Checking'!AF58="","",'Data Checking'!AF58)</f>
        <v>Hote</v>
      </c>
      <c r="U58" s="2" t="str">
        <f>IF('Data Checking'!AG58="","",'Data Checking'!AG58)</f>
        <v/>
      </c>
      <c r="V58" s="2" t="str">
        <f>IF('Data Checking'!AH58="","",'Data Checking'!AH58)</f>
        <v/>
      </c>
      <c r="W58" s="2" t="str">
        <f>IF('Data Checking'!AI58="","",'Data Checking'!AI58)</f>
        <v/>
      </c>
      <c r="X58" s="2" t="str">
        <f>IF('Data Checking'!AJ58="","",'Data Checking'!AJ58)</f>
        <v/>
      </c>
      <c r="Y58" s="2" t="str">
        <f>IF('Data Checking'!AK58="","",'Data Checking'!AK58)</f>
        <v/>
      </c>
      <c r="Z58" s="2" t="str">
        <f>IF('Data Checking'!AL58="","",'Data Checking'!AL58)</f>
        <v/>
      </c>
      <c r="AA58" s="2" t="str">
        <f>IF('Data Checking'!AM58="","",'Data Checking'!AM58)</f>
        <v/>
      </c>
      <c r="AB58" s="2" t="str">
        <f>IF('Data Checking'!AN58="","",'Data Checking'!AN58)</f>
        <v/>
      </c>
      <c r="AC58" s="2" t="str">
        <f>IF('Data Checking'!AO58="","",'Data Checking'!AO58)</f>
        <v/>
      </c>
      <c r="AD58" s="2" t="str">
        <f>IF('Data Checking'!AP58="","",'Data Checking'!AP58)</f>
        <v/>
      </c>
      <c r="AE58" s="2" t="str">
        <f>IF('Data Checking'!AQ58="","",'Data Checking'!AQ58)</f>
        <v/>
      </c>
      <c r="AF58" s="2" t="str">
        <f>IF('Data Checking'!AR58="","",'Data Checking'!AR58)</f>
        <v/>
      </c>
      <c r="AG58" s="2" t="str">
        <f>IF('Data Checking'!AS58="","",'Data Checking'!AS58)</f>
        <v>non</v>
      </c>
      <c r="AH58" s="2" t="str">
        <f>IF('Data Checking'!AT58="","",'Data Checking'!AT58)</f>
        <v/>
      </c>
      <c r="AI58" s="2" t="str">
        <f>IF('Data Checking'!AU58="","",'Data Checking'!AU58)</f>
        <v/>
      </c>
      <c r="AJ58" s="2" t="str">
        <f>IF('Data Checking'!AV58="","",'Data Checking'!AV58)</f>
        <v/>
      </c>
      <c r="AK58" s="2" t="str">
        <f>IF('Data Checking'!AW58="","",'Data Checking'!AW58)</f>
        <v/>
      </c>
      <c r="AL58" s="2" t="str">
        <f>IF('Data Checking'!AX58="","",'Data Checking'!AX58)</f>
        <v/>
      </c>
      <c r="AM58" s="2" t="str">
        <f>IF('Data Checking'!AY58="","",'Data Checking'!AY58)</f>
        <v/>
      </c>
      <c r="AN58" s="2" t="str">
        <f>IF('Data Checking'!AZ58="","",'Data Checking'!AZ58)</f>
        <v/>
      </c>
      <c r="AO58" s="2" t="str">
        <f>IF('Data Checking'!BA58="","",'Data Checking'!BA58)</f>
        <v/>
      </c>
      <c r="AP58" s="2" t="str">
        <f>IF('Data Checking'!BB58="","",'Data Checking'!BB58)</f>
        <v/>
      </c>
      <c r="AQ58" s="2" t="str">
        <f>IF('Data Checking'!BC58="","",'Data Checking'!BC58)</f>
        <v/>
      </c>
      <c r="AR58" s="2" t="str">
        <f>IF('Data Checking'!BD58="","",'Data Checking'!BD58)</f>
        <v/>
      </c>
      <c r="AS58" s="2" t="str">
        <f>IF('Data Checking'!BE58="","",'Data Checking'!BE58)</f>
        <v/>
      </c>
      <c r="AT58" s="2" t="str">
        <f>IF('Data Checking'!BF58="","",'Data Checking'!BF58)</f>
        <v/>
      </c>
      <c r="AU58" s="2" t="str">
        <f>IF('Data Checking'!BG58="","",'Data Checking'!BG58)</f>
        <v/>
      </c>
      <c r="AV58" s="2" t="str">
        <f>IF('Data Checking'!BH58="","",'Data Checking'!BH58)</f>
        <v/>
      </c>
      <c r="AW58" s="2" t="str">
        <f>IF('Data Checking'!BI58="","",'Data Checking'!BI58)</f>
        <v/>
      </c>
      <c r="AX58" s="2" t="str">
        <f>IF('Data Checking'!BJ58="","",'Data Checking'!BJ58)</f>
        <v/>
      </c>
      <c r="AY58" s="2" t="str">
        <f>IF('Data Checking'!BK58="","",'Data Checking'!BK58)</f>
        <v/>
      </c>
      <c r="AZ58" s="2" t="str">
        <f>IF('Data Checking'!BL58="","",'Data Checking'!BL58)</f>
        <v/>
      </c>
      <c r="BA58" s="2" t="str">
        <f>IF('Data Checking'!BM58="","",'Data Checking'!BM58)</f>
        <v/>
      </c>
      <c r="BB58" s="2" t="str">
        <f>IF('Data Checking'!BN58="","",'Data Checking'!BN58)</f>
        <v/>
      </c>
      <c r="BC58" s="2" t="str">
        <f>IF('Data Checking'!BO58="","",'Data Checking'!BO58)</f>
        <v/>
      </c>
      <c r="BD58" s="2" t="str">
        <f>IF('Data Checking'!BP58="","",'Data Checking'!BP58)</f>
        <v/>
      </c>
      <c r="BE58" s="2" t="str">
        <f>IF('Data Checking'!BQ58="","",'Data Checking'!BQ58)</f>
        <v/>
      </c>
      <c r="BF58" s="2" t="str">
        <f>IF('Data Checking'!BR58="","",'Data Checking'!BR58)</f>
        <v/>
      </c>
      <c r="BG58" s="2" t="str">
        <f>IF('Data Checking'!BS58="","",'Data Checking'!BS58)</f>
        <v/>
      </c>
      <c r="BH58" s="2" t="str">
        <f>IF('Data Checking'!BT58="","",'Data Checking'!BT58)</f>
        <v/>
      </c>
      <c r="BI58" s="2" t="str">
        <f>IF('Data Checking'!BU58="","",'Data Checking'!BU58)</f>
        <v/>
      </c>
      <c r="BJ58" s="2" t="str">
        <f>IF('Data Checking'!BV58="","",'Data Checking'!BV58)</f>
        <v/>
      </c>
      <c r="BK58" s="2" t="str">
        <f>IF('Data Checking'!BW58="","",'Data Checking'!BW58)</f>
        <v/>
      </c>
      <c r="BL58" s="2" t="str">
        <f>IF('Data Checking'!BX58="","",'Data Checking'!BX58)</f>
        <v/>
      </c>
      <c r="BM58" s="2" t="str">
        <f>IF('Data Checking'!BY58="","",'Data Checking'!BY58)</f>
        <v/>
      </c>
      <c r="BN58" s="2" t="str">
        <f>IF('Data Checking'!BZ58="","",'Data Checking'!BZ58)</f>
        <v/>
      </c>
      <c r="BO58" s="2" t="str">
        <f>IF('Data Checking'!CA58="","",'Data Checking'!CA58)</f>
        <v/>
      </c>
      <c r="BP58" s="2" t="str">
        <f>IF('Data Checking'!CB58="","",'Data Checking'!CB58)</f>
        <v/>
      </c>
      <c r="BQ58" s="2" t="str">
        <f>IF('Data Checking'!CC58="","",'Data Checking'!CC58)</f>
        <v>non</v>
      </c>
      <c r="BR58" s="2" t="str">
        <f>IF('Data Checking'!CD58="","",'Data Checking'!CD58)</f>
        <v/>
      </c>
      <c r="BS58" s="2" t="str">
        <f>IF('Data Checking'!CE58="","",'Data Checking'!CE58)</f>
        <v/>
      </c>
      <c r="BT58" s="2" t="str">
        <f>IF('Data Checking'!CF58="","",'Data Checking'!CF58)</f>
        <v/>
      </c>
      <c r="BU58" s="2" t="str">
        <f>IF('Data Checking'!CG58="","",'Data Checking'!CG58)</f>
        <v/>
      </c>
      <c r="BV58" s="2" t="str">
        <f>IF('Data Checking'!CH58="","",'Data Checking'!CH58)</f>
        <v/>
      </c>
      <c r="BW58" s="2" t="str">
        <f>IF('Data Checking'!CI58="","",'Data Checking'!CI58)</f>
        <v/>
      </c>
      <c r="BX58" s="2" t="str">
        <f>IF('Data Checking'!CJ58="","",'Data Checking'!CJ58)</f>
        <v/>
      </c>
      <c r="BY58" s="2" t="str">
        <f>IF('Data Checking'!CK58="","",'Data Checking'!CK58)</f>
        <v/>
      </c>
      <c r="BZ58" s="2" t="str">
        <f>IF('Data Checking'!CL58="","",'Data Checking'!CL58)</f>
        <v/>
      </c>
      <c r="CA58" s="2" t="str">
        <f>IF('Data Checking'!CM58="","",'Data Checking'!CM58)</f>
        <v/>
      </c>
      <c r="CB58" s="2" t="str">
        <f>IF('Data Checking'!CN58="","",'Data Checking'!CN58)</f>
        <v/>
      </c>
      <c r="CC58" s="2" t="str">
        <f>IF('Data Checking'!CO58="","",'Data Checking'!CO58)</f>
        <v/>
      </c>
      <c r="CD58" s="2" t="str">
        <f>IF('Data Checking'!CP58="","",'Data Checking'!CP58)</f>
        <v/>
      </c>
      <c r="CE58" s="2" t="str">
        <f>IF('Data Checking'!CQ58="","",'Data Checking'!CQ58)</f>
        <v/>
      </c>
      <c r="CF58" s="2" t="str">
        <f>IF('Data Checking'!CR58="","",'Data Checking'!CR58)</f>
        <v/>
      </c>
      <c r="CG58" s="2" t="str">
        <f>IF('Data Checking'!CS58="","",'Data Checking'!CS58)</f>
        <v/>
      </c>
      <c r="CH58" s="2" t="str">
        <f>IF('Data Checking'!CT58="","",'Data Checking'!CT58)</f>
        <v/>
      </c>
      <c r="CI58" s="2" t="str">
        <f>IF('Data Checking'!CU58="","",'Data Checking'!CU58)</f>
        <v/>
      </c>
      <c r="CJ58" s="2" t="str">
        <f>IF('Data Checking'!CV58="","",'Data Checking'!CV58)</f>
        <v/>
      </c>
      <c r="CK58" s="2" t="str">
        <f>IF('Data Checking'!CW58="","",'Data Checking'!CW58)</f>
        <v/>
      </c>
      <c r="CL58" s="2" t="str">
        <f>IF('Data Checking'!CX58="","",'Data Checking'!CX58)</f>
        <v/>
      </c>
      <c r="CM58" s="2" t="str">
        <f>IF('Data Checking'!CY58="","",'Data Checking'!CY58)</f>
        <v/>
      </c>
      <c r="CN58" s="2" t="str">
        <f>IF('Data Checking'!CZ58="","",'Data Checking'!CZ58)</f>
        <v/>
      </c>
      <c r="CO58" s="2" t="str">
        <f>IF('Data Checking'!DA58="","",'Data Checking'!DA58)</f>
        <v/>
      </c>
      <c r="CP58" s="2" t="str">
        <f>IF('Data Checking'!DB58="","",'Data Checking'!DB58)</f>
        <v/>
      </c>
      <c r="CQ58" s="2" t="str">
        <f>IF('Data Checking'!DC58="","",'Data Checking'!DC58)</f>
        <v/>
      </c>
      <c r="CR58" s="2" t="str">
        <f>IF('Data Checking'!DD58="","",'Data Checking'!DD58)</f>
        <v/>
      </c>
      <c r="CS58" s="2" t="str">
        <f>IF('Data Checking'!DE58="","",'Data Checking'!DE58)</f>
        <v/>
      </c>
      <c r="CT58" s="2" t="str">
        <f>IF('Data Checking'!DF58="","",'Data Checking'!DF58)</f>
        <v/>
      </c>
      <c r="CU58" s="2" t="str">
        <f>IF('Data Checking'!DG58="","",'Data Checking'!DG58)</f>
        <v/>
      </c>
      <c r="CV58" s="2" t="str">
        <f>IF('Data Checking'!DH58="","",'Data Checking'!DH58)</f>
        <v/>
      </c>
      <c r="CW58" s="2" t="str">
        <f>IF('Data Checking'!DI58="","",'Data Checking'!DI58)</f>
        <v/>
      </c>
      <c r="CX58" s="2" t="str">
        <f>IF('Data Checking'!DJ58="","",'Data Checking'!DJ58)</f>
        <v/>
      </c>
      <c r="CY58" s="2" t="str">
        <f>IF('Data Checking'!DK58="","",'Data Checking'!DK58)</f>
        <v/>
      </c>
      <c r="CZ58" s="2" t="str">
        <f>IF('Data Checking'!DL58="","",'Data Checking'!DL58)</f>
        <v/>
      </c>
      <c r="DA58" s="2" t="str">
        <f>IF('Data Checking'!DM58="","",'Data Checking'!DM58)</f>
        <v/>
      </c>
      <c r="DB58" s="2" t="str">
        <f>IF('Data Checking'!DN58="","",'Data Checking'!DN58)</f>
        <v/>
      </c>
      <c r="DC58" s="2" t="str">
        <f>IF('Data Checking'!DO58="","",'Data Checking'!DO58)</f>
        <v/>
      </c>
      <c r="DD58" s="2" t="str">
        <f>IF('Data Checking'!DP58="","",'Data Checking'!DP58)</f>
        <v/>
      </c>
      <c r="DE58" s="2" t="str">
        <f>IF('Data Checking'!DQ58="","",'Data Checking'!DQ58)</f>
        <v/>
      </c>
      <c r="DF58" s="2" t="str">
        <f>IF('Data Checking'!DR58="","",'Data Checking'!DR58)</f>
        <v/>
      </c>
      <c r="DG58" s="2" t="str">
        <f>IF('Data Checking'!DS58="","",'Data Checking'!DS58)</f>
        <v/>
      </c>
      <c r="DH58" s="2" t="str">
        <f>IF('Data Checking'!DT58="","",'Data Checking'!DT58)</f>
        <v/>
      </c>
      <c r="DI58" s="2" t="str">
        <f>IF('Data Checking'!DU58="","",'Data Checking'!DU58)</f>
        <v/>
      </c>
      <c r="DJ58" s="2" t="str">
        <f>IF('Data Checking'!DV58="","",'Data Checking'!DV58)</f>
        <v/>
      </c>
      <c r="DK58" s="2" t="str">
        <f>IF('Data Checking'!DW58="","",'Data Checking'!DW58)</f>
        <v/>
      </c>
      <c r="DL58" s="2" t="str">
        <f>IF('Data Checking'!DX58="","",'Data Checking'!DX58)</f>
        <v/>
      </c>
      <c r="DM58" s="2" t="str">
        <f>IF('Data Checking'!DY58="","",'Data Checking'!DY58)</f>
        <v/>
      </c>
      <c r="DN58" s="2" t="str">
        <f>IF('Data Checking'!DZ58="","",'Data Checking'!DZ58)</f>
        <v/>
      </c>
      <c r="DO58" s="2" t="str">
        <f>IF('Data Checking'!EA58="","",'Data Checking'!EA58)</f>
        <v/>
      </c>
      <c r="DP58" s="2" t="str">
        <f>IF('Data Checking'!EB58="","",'Data Checking'!EB58)</f>
        <v/>
      </c>
      <c r="DQ58" s="2" t="str">
        <f>IF('Data Checking'!EC58="","",'Data Checking'!EC58)</f>
        <v/>
      </c>
      <c r="DR58" s="2" t="str">
        <f>IF('Data Checking'!ED58="","",'Data Checking'!ED58)</f>
        <v/>
      </c>
      <c r="DS58" s="2" t="str">
        <f>IF('Data Checking'!EE58="","",'Data Checking'!EE58)</f>
        <v/>
      </c>
      <c r="DT58" s="2" t="str">
        <f>IF('Data Checking'!EF58="","",'Data Checking'!EF58)</f>
        <v/>
      </c>
      <c r="DU58" s="2" t="str">
        <f>IF('Data Checking'!EG58="","",'Data Checking'!EG58)</f>
        <v/>
      </c>
      <c r="DV58" s="2" t="str">
        <f>IF('Data Checking'!EH58="","",'Data Checking'!EH58)</f>
        <v/>
      </c>
      <c r="DW58" s="2" t="str">
        <f>IF('Data Checking'!EI58="","",'Data Checking'!EI58)</f>
        <v/>
      </c>
      <c r="DX58" s="2" t="str">
        <f>IF('Data Checking'!EJ58="","",'Data Checking'!EJ58)</f>
        <v/>
      </c>
      <c r="DY58" s="2" t="str">
        <f>IF('Data Checking'!EK58="","",'Data Checking'!EK58)</f>
        <v/>
      </c>
      <c r="DZ58" s="2" t="str">
        <f>IF('Data Checking'!EL58="","",'Data Checking'!EL58)</f>
        <v>Soutien_psychosocial Integration_com_hote</v>
      </c>
      <c r="EA58" s="2" t="str">
        <f>IF('Data Checking'!EM58="","",'Data Checking'!EM58)</f>
        <v>0</v>
      </c>
      <c r="EB58" s="2" t="str">
        <f>IF('Data Checking'!EN58="","",'Data Checking'!EN58)</f>
        <v>1</v>
      </c>
      <c r="EC58" s="2" t="str">
        <f>IF('Data Checking'!EO58="","",'Data Checking'!EO58)</f>
        <v>0</v>
      </c>
      <c r="ED58" s="2" t="str">
        <f>IF('Data Checking'!EP58="","",'Data Checking'!EP58)</f>
        <v>0</v>
      </c>
      <c r="EE58" s="2" t="str">
        <f>IF('Data Checking'!EQ58="","",'Data Checking'!EQ58)</f>
        <v>1</v>
      </c>
      <c r="EF58" s="2" t="str">
        <f>IF('Data Checking'!ER58="","",'Data Checking'!ER58)</f>
        <v>0</v>
      </c>
      <c r="EG58" s="2" t="str">
        <f>IF('Data Checking'!ES58="","",'Data Checking'!ES58)</f>
        <v>0</v>
      </c>
      <c r="EH58" s="2" t="str">
        <f>IF('Data Checking'!ET58="","",'Data Checking'!ET58)</f>
        <v>0</v>
      </c>
      <c r="EI58" s="2" t="str">
        <f>IF('Data Checking'!EU58="","",'Data Checking'!EU58)</f>
        <v>0</v>
      </c>
      <c r="EJ58" s="2" t="str">
        <f>IF('Data Checking'!EV58="","",'Data Checking'!EV58)</f>
        <v/>
      </c>
      <c r="EK58" s="2" t="str">
        <f>IF('Data Checking'!EW58="","",'Data Checking'!EW58)</f>
        <v/>
      </c>
      <c r="EL58" s="2" t="str">
        <f>IF('Data Checking'!EX58="","",'Data Checking'!EX58)</f>
        <v>famille_accueil comite_protection comite_gestion_conflits</v>
      </c>
      <c r="EM58" s="2" t="str">
        <f>IF('Data Checking'!EY58="","",'Data Checking'!EY58)</f>
        <v>0</v>
      </c>
      <c r="EN58" s="2" t="str">
        <f>IF('Data Checking'!EZ58="","",'Data Checking'!EZ58)</f>
        <v>1</v>
      </c>
      <c r="EO58" s="2" t="str">
        <f>IF('Data Checking'!FA58="","",'Data Checking'!FA58)</f>
        <v>1</v>
      </c>
      <c r="EP58" s="2" t="str">
        <f>IF('Data Checking'!FB58="","",'Data Checking'!FB58)</f>
        <v>0</v>
      </c>
      <c r="EQ58" s="2" t="str">
        <f>IF('Data Checking'!FC58="","",'Data Checking'!FC58)</f>
        <v>0</v>
      </c>
      <c r="ER58" s="2" t="str">
        <f>IF('Data Checking'!FD58="","",'Data Checking'!FD58)</f>
        <v>1</v>
      </c>
      <c r="ES58" s="2" t="str">
        <f>IF('Data Checking'!FE58="","",'Data Checking'!FE58)</f>
        <v>0</v>
      </c>
      <c r="ET58" s="2" t="str">
        <f>IF('Data Checking'!FF58="","",'Data Checking'!FF58)</f>
        <v>0</v>
      </c>
      <c r="EU58" s="2" t="str">
        <f>IF('Data Checking'!FG58="","",'Data Checking'!FG58)</f>
        <v>0</v>
      </c>
      <c r="EV58" s="2" t="str">
        <f>IF('Data Checking'!FH58="","",'Data Checking'!FH58)</f>
        <v>0</v>
      </c>
      <c r="EW58" s="2" t="str">
        <f>IF('Data Checking'!FI58="","",'Data Checking'!FI58)</f>
        <v/>
      </c>
      <c r="EX58" s="2" t="str">
        <f>IF('Data Checking'!FJ58="","",'Data Checking'!FJ58)</f>
        <v>oui</v>
      </c>
      <c r="EY58" s="2" t="str">
        <f>IF('Data Checking'!FK58="","",'Data Checking'!FK58)</f>
        <v>Radio_television Differents_comites_villageois Internet</v>
      </c>
      <c r="EZ58" s="2" t="str">
        <f>IF('Data Checking'!FL58="","",'Data Checking'!FL58)</f>
        <v>1</v>
      </c>
      <c r="FA58" s="2" t="str">
        <f>IF('Data Checking'!FM58="","",'Data Checking'!FM58)</f>
        <v>0</v>
      </c>
      <c r="FB58" s="2" t="str">
        <f>IF('Data Checking'!FN58="","",'Data Checking'!FN58)</f>
        <v>1</v>
      </c>
      <c r="FC58" s="2" t="str">
        <f>IF('Data Checking'!FO58="","",'Data Checking'!FO58)</f>
        <v>0</v>
      </c>
      <c r="FD58" s="2" t="str">
        <f>IF('Data Checking'!FP58="","",'Data Checking'!FP58)</f>
        <v>0</v>
      </c>
      <c r="FE58" s="2" t="str">
        <f>IF('Data Checking'!FQ58="","",'Data Checking'!FQ58)</f>
        <v>0</v>
      </c>
      <c r="FF58" s="2" t="str">
        <f>IF('Data Checking'!FR58="","",'Data Checking'!FR58)</f>
        <v>0</v>
      </c>
      <c r="FG58" s="2" t="str">
        <f>IF('Data Checking'!FS58="","",'Data Checking'!FS58)</f>
        <v>0</v>
      </c>
      <c r="FH58" s="2" t="str">
        <f>IF('Data Checking'!FT58="","",'Data Checking'!FT58)</f>
        <v>1</v>
      </c>
      <c r="FI58" s="2" t="str">
        <f>IF('Data Checking'!FU58="","",'Data Checking'!FU58)</f>
        <v>0</v>
      </c>
      <c r="FJ58" s="2" t="str">
        <f>IF('Data Checking'!FV58="","",'Data Checking'!FV58)</f>
        <v>0</v>
      </c>
      <c r="FK58" s="2" t="str">
        <f>IF('Data Checking'!FW58="","",'Data Checking'!FW58)</f>
        <v>0</v>
      </c>
      <c r="FL58" s="2" t="str">
        <f>IF('Data Checking'!FX58="","",'Data Checking'!FX58)</f>
        <v>0</v>
      </c>
      <c r="FM58" s="2" t="str">
        <f>IF('Data Checking'!FY58="","",'Data Checking'!FY58)</f>
        <v>0</v>
      </c>
      <c r="FN58" s="2" t="str">
        <f>IF('Data Checking'!FZ58="","",'Data Checking'!FZ58)</f>
        <v/>
      </c>
      <c r="FO58" s="2" t="str">
        <f>IF('Data Checking'!GA58="","",'Data Checking'!GA58)</f>
        <v>oui_majorite</v>
      </c>
      <c r="FP58" s="2" t="str">
        <f>IF('Data Checking'!GB58="","",'Data Checking'!GB58)</f>
        <v>oui_ensemble</v>
      </c>
      <c r="FQ58" s="2" t="str">
        <f>IF('Data Checking'!GC58="","",'Data Checking'!GC58)</f>
        <v/>
      </c>
      <c r="FR58" s="2" t="str">
        <f>IF('Data Checking'!GD58="","",'Data Checking'!GD58)</f>
        <v/>
      </c>
      <c r="FS58" s="2" t="str">
        <f>IF('Data Checking'!GE58="","",'Data Checking'!GE58)</f>
        <v/>
      </c>
      <c r="FT58" s="2" t="str">
        <f>IF('Data Checking'!GF58="","",'Data Checking'!GF58)</f>
        <v/>
      </c>
      <c r="FU58" s="2" t="str">
        <f>IF('Data Checking'!GG58="","",'Data Checking'!GG58)</f>
        <v/>
      </c>
      <c r="FV58" s="2" t="str">
        <f>IF('Data Checking'!GH58="","",'Data Checking'!GH58)</f>
        <v/>
      </c>
      <c r="FW58" s="2" t="str">
        <f>IF('Data Checking'!GI58="","",'Data Checking'!GI58)</f>
        <v/>
      </c>
      <c r="FX58" s="2" t="str">
        <f>IF('Data Checking'!GJ58="","",'Data Checking'!GJ58)</f>
        <v/>
      </c>
      <c r="FY58" s="2" t="str">
        <f>IF('Data Checking'!GK58="","",'Data Checking'!GK58)</f>
        <v/>
      </c>
      <c r="FZ58" s="2" t="str">
        <f>IF('Data Checking'!GL58="","",'Data Checking'!GL58)</f>
        <v/>
      </c>
      <c r="GA58" s="2" t="str">
        <f>IF('Data Checking'!GM58="","",'Data Checking'!GM58)</f>
        <v>majorite</v>
      </c>
      <c r="GB58" s="2" t="str">
        <f>IF('Data Checking'!GN58="","",'Data Checking'!GN58)</f>
        <v>majorite</v>
      </c>
      <c r="GC58" s="2" t="str">
        <f>IF('Data Checking'!GO58="","",'Data Checking'!GO58)</f>
        <v>Appui_psychosocial Service_de_counseling Services_de_sante Acces_aux_doc Suivi_judiciaire</v>
      </c>
      <c r="GD58" s="2" t="str">
        <f>IF('Data Checking'!GP58="","",'Data Checking'!GP58)</f>
        <v>1</v>
      </c>
      <c r="GE58" s="2" t="str">
        <f>IF('Data Checking'!GQ58="","",'Data Checking'!GQ58)</f>
        <v>0</v>
      </c>
      <c r="GF58" s="2" t="str">
        <f>IF('Data Checking'!GR58="","",'Data Checking'!GR58)</f>
        <v>1</v>
      </c>
      <c r="GG58" s="2" t="str">
        <f>IF('Data Checking'!GS58="","",'Data Checking'!GS58)</f>
        <v>1</v>
      </c>
      <c r="GH58" s="2" t="str">
        <f>IF('Data Checking'!GT58="","",'Data Checking'!GT58)</f>
        <v>1</v>
      </c>
      <c r="GI58" s="2" t="str">
        <f>IF('Data Checking'!GU58="","",'Data Checking'!GU58)</f>
        <v>1</v>
      </c>
      <c r="GJ58" s="2" t="str">
        <f>IF('Data Checking'!GV58="","",'Data Checking'!GV58)</f>
        <v>0</v>
      </c>
      <c r="GK58" s="2" t="str">
        <f>IF('Data Checking'!GW58="","",'Data Checking'!GW58)</f>
        <v>0</v>
      </c>
      <c r="GL58" s="2" t="str">
        <f>IF('Data Checking'!GX58="","",'Data Checking'!GX58)</f>
        <v>0</v>
      </c>
      <c r="GM58" s="2" t="str">
        <f>IF('Data Checking'!GY58="","",'Data Checking'!GY58)</f>
        <v/>
      </c>
      <c r="GN58" s="2" t="str">
        <f>IF('Data Checking'!GZ58="","",'Data Checking'!GZ58)</f>
        <v>oui_majorite</v>
      </c>
      <c r="GO58" s="2" t="str">
        <f>IF('Data Checking'!HA58="","",'Data Checking'!HA58)</f>
        <v>oui_majorite</v>
      </c>
      <c r="GP58" s="2" t="str">
        <f>IF('Data Checking'!HB58="","",'Data Checking'!HB58)</f>
        <v>amelioration_futur repond_besoins_pop permet_obtenir_conseils</v>
      </c>
      <c r="GQ58" s="2" t="str">
        <f>IF('Data Checking'!HC58="","",'Data Checking'!HC58)</f>
        <v>1</v>
      </c>
      <c r="GR58" s="2" t="str">
        <f>IF('Data Checking'!HD58="","",'Data Checking'!HD58)</f>
        <v>1</v>
      </c>
      <c r="GS58" s="2" t="str">
        <f>IF('Data Checking'!HE58="","",'Data Checking'!HE58)</f>
        <v>1</v>
      </c>
      <c r="GT58" s="2" t="str">
        <f>IF('Data Checking'!HF58="","",'Data Checking'!HF58)</f>
        <v>0</v>
      </c>
      <c r="GU58" s="2" t="str">
        <f>IF('Data Checking'!HG58="","",'Data Checking'!HG58)</f>
        <v>0</v>
      </c>
      <c r="GV58" s="2" t="str">
        <f>IF('Data Checking'!HH58="","",'Data Checking'!HH58)</f>
        <v>0</v>
      </c>
      <c r="GW58" s="2" t="str">
        <f>IF('Data Checking'!HI58="","",'Data Checking'!HI58)</f>
        <v>0</v>
      </c>
      <c r="GX58" s="2" t="str">
        <f>IF('Data Checking'!HJ58="","",'Data Checking'!HJ58)</f>
        <v>0</v>
      </c>
      <c r="GY58" s="2" t="str">
        <f>IF('Data Checking'!HK58="","",'Data Checking'!HK58)</f>
        <v/>
      </c>
      <c r="GZ58" s="2" t="str">
        <f>IF('Data Checking'!HL58="","",'Data Checking'!HL58)</f>
        <v>Autre</v>
      </c>
      <c r="HA58" s="2" t="str">
        <f>IF('Data Checking'!HM58="","",'Data Checking'!HM58)</f>
        <v>0</v>
      </c>
      <c r="HB58" s="2" t="str">
        <f>IF('Data Checking'!HN58="","",'Data Checking'!HN58)</f>
        <v>0</v>
      </c>
      <c r="HC58" s="2" t="str">
        <f>IF('Data Checking'!HO58="","",'Data Checking'!HO58)</f>
        <v>0</v>
      </c>
      <c r="HD58" s="2" t="str">
        <f>IF('Data Checking'!HP58="","",'Data Checking'!HP58)</f>
        <v>0</v>
      </c>
      <c r="HE58" s="2" t="str">
        <f>IF('Data Checking'!HQ58="","",'Data Checking'!HQ58)</f>
        <v>1</v>
      </c>
      <c r="HF58" s="2" t="str">
        <f>IF('Data Checking'!HR58="","",'Data Checking'!HR58)</f>
        <v>0</v>
      </c>
      <c r="HG58" s="2" t="str">
        <f>IF('Data Checking'!HS58="","",'Data Checking'!HS58)</f>
        <v>Difficulté d'accès aux services pour manque d'informations</v>
      </c>
      <c r="HH58" s="2" t="str">
        <f>IF('Data Checking'!HT58="","",'Data Checking'!HT58)</f>
        <v/>
      </c>
      <c r="HI58" s="2" t="str">
        <f>IF('Data Checking'!HU58="","",'Data Checking'!HU58)</f>
        <v>oui_majorite</v>
      </c>
      <c r="HJ58" s="2" t="str">
        <f>IF('Data Checking'!HV58="","",'Data Checking'!HV58)</f>
        <v>autorite_locale_leaders famille_amis</v>
      </c>
      <c r="HK58" s="2" t="str">
        <f>IF('Data Checking'!HW58="","",'Data Checking'!HW58)</f>
        <v>0</v>
      </c>
      <c r="HL58" s="2" t="str">
        <f>IF('Data Checking'!HX58="","",'Data Checking'!HX58)</f>
        <v>0</v>
      </c>
      <c r="HM58" s="2" t="str">
        <f>IF('Data Checking'!HY58="","",'Data Checking'!HY58)</f>
        <v>1</v>
      </c>
      <c r="HN58" s="2" t="str">
        <f>IF('Data Checking'!HZ58="","",'Data Checking'!HZ58)</f>
        <v>0</v>
      </c>
      <c r="HO58" s="2" t="str">
        <f>IF('Data Checking'!IA58="","",'Data Checking'!IA58)</f>
        <v>0</v>
      </c>
      <c r="HP58" s="2" t="str">
        <f>IF('Data Checking'!IB58="","",'Data Checking'!IB58)</f>
        <v>0</v>
      </c>
      <c r="HQ58" s="2" t="str">
        <f>IF('Data Checking'!IC58="","",'Data Checking'!IC58)</f>
        <v>1</v>
      </c>
      <c r="HR58" s="2" t="str">
        <f>IF('Data Checking'!ID58="","",'Data Checking'!ID58)</f>
        <v>0</v>
      </c>
      <c r="HS58" s="2" t="str">
        <f>IF('Data Checking'!IE58="","",'Data Checking'!IE58)</f>
        <v>0</v>
      </c>
      <c r="HT58" s="2" t="str">
        <f>IF('Data Checking'!IF58="","",'Data Checking'!IF58)</f>
        <v>0</v>
      </c>
      <c r="HU58" s="2" t="str">
        <f>IF('Data Checking'!IG58="","",'Data Checking'!IG58)</f>
        <v/>
      </c>
      <c r="HV58" s="2" t="str">
        <f>IF('Data Checking'!IH58="","",'Data Checking'!IH58)</f>
        <v>oui</v>
      </c>
      <c r="HW58" s="2" t="str">
        <f>IF('Data Checking'!II58="","",'Data Checking'!II58)</f>
        <v/>
      </c>
      <c r="HX58" s="2" t="str">
        <f>IF('Data Checking'!IJ58="","",'Data Checking'!IJ58)</f>
        <v/>
      </c>
      <c r="HY58" s="2" t="str">
        <f>IF('Data Checking'!IK58="","",'Data Checking'!IK58)</f>
        <v/>
      </c>
      <c r="HZ58" s="2" t="str">
        <f>IF('Data Checking'!IL58="","",'Data Checking'!IL58)</f>
        <v/>
      </c>
      <c r="IA58" s="2" t="str">
        <f>IF('Data Checking'!IM58="","",'Data Checking'!IM58)</f>
        <v/>
      </c>
      <c r="IB58" s="2" t="str">
        <f>IF('Data Checking'!IN58="","",'Data Checking'!IN58)</f>
        <v/>
      </c>
      <c r="IC58" s="2" t="str">
        <f>IF('Data Checking'!IO58="","",'Data Checking'!IO58)</f>
        <v/>
      </c>
      <c r="ID58" s="2" t="str">
        <f>IF('Data Checking'!IP58="","",'Data Checking'!IP58)</f>
        <v/>
      </c>
      <c r="IE58" s="2" t="str">
        <f>IF('Data Checking'!IQ58="","",'Data Checking'!IQ58)</f>
        <v/>
      </c>
      <c r="IF58" s="2" t="str">
        <f>IF('Data Checking'!IR58="","",'Data Checking'!IR58)</f>
        <v/>
      </c>
      <c r="IG58" s="2" t="str">
        <f>IF('Data Checking'!IS58="","",'Data Checking'!IS58)</f>
        <v/>
      </c>
      <c r="IH58" s="2" t="str">
        <f>IF('Data Checking'!IT58="","",'Data Checking'!IT58)</f>
        <v/>
      </c>
      <c r="II58" s="2" t="str">
        <f>IF('Data Checking'!IU58="","",'Data Checking'!IU58)</f>
        <v/>
      </c>
      <c r="IJ58" s="2" t="str">
        <f>IF('Data Checking'!IV58="","",'Data Checking'!IV58)</f>
        <v/>
      </c>
      <c r="IK58" s="2" t="str">
        <f>IF('Data Checking'!IW58="","",'Data Checking'!IW58)</f>
        <v/>
      </c>
      <c r="IL58" s="2" t="str">
        <f>IF('Data Checking'!IX58="","",'Data Checking'!IX58)</f>
        <v/>
      </c>
      <c r="IM58" s="2" t="str">
        <f>IF('Data Checking'!IY58="","",'Data Checking'!IY58)</f>
        <v/>
      </c>
      <c r="IN58" s="2" t="str">
        <f>IF('Data Checking'!IZ58="","",'Data Checking'!IZ58)</f>
        <v>2</v>
      </c>
      <c r="IO58" s="2" t="str">
        <f>IF('Data Checking'!JA58="","",'Data Checking'!JA58)</f>
        <v>Appui_psychosocial Services_medicaux Services_conseil service_judiciaire</v>
      </c>
      <c r="IP58" s="2" t="str">
        <f>IF('Data Checking'!JB58="","",'Data Checking'!JB58)</f>
        <v>1</v>
      </c>
      <c r="IQ58" s="2" t="str">
        <f>IF('Data Checking'!JC58="","",'Data Checking'!JC58)</f>
        <v>1</v>
      </c>
      <c r="IR58" s="2" t="str">
        <f>IF('Data Checking'!JD58="","",'Data Checking'!JD58)</f>
        <v>0</v>
      </c>
      <c r="IS58" s="2" t="str">
        <f>IF('Data Checking'!JE58="","",'Data Checking'!JE58)</f>
        <v>1</v>
      </c>
      <c r="IT58" s="2" t="str">
        <f>IF('Data Checking'!JF58="","",'Data Checking'!JF58)</f>
        <v>0</v>
      </c>
      <c r="IU58" s="2" t="str">
        <f>IF('Data Checking'!JG58="","",'Data Checking'!JG58)</f>
        <v>1</v>
      </c>
      <c r="IV58" s="2" t="str">
        <f>IF('Data Checking'!JH58="","",'Data Checking'!JH58)</f>
        <v>0</v>
      </c>
      <c r="IW58" s="2" t="str">
        <f>IF('Data Checking'!JI58="","",'Data Checking'!JI58)</f>
        <v>0</v>
      </c>
      <c r="IX58" s="2" t="str">
        <f>IF('Data Checking'!JJ58="","",'Data Checking'!JJ58)</f>
        <v>0</v>
      </c>
      <c r="IY58" s="2" t="str">
        <f>IF('Data Checking'!JK58="","",'Data Checking'!JK58)</f>
        <v>0</v>
      </c>
      <c r="IZ58" s="2" t="str">
        <f>IF('Data Checking'!JL58="","",'Data Checking'!JL58)</f>
        <v/>
      </c>
      <c r="JA58" s="2" t="str">
        <f>IF('Data Checking'!JM58="","",'Data Checking'!JM58)</f>
        <v>prise_enchage reorientation signalement</v>
      </c>
      <c r="JB58" s="2" t="str">
        <f>IF('Data Checking'!JN58="","",'Data Checking'!JN58)</f>
        <v>1</v>
      </c>
      <c r="JC58" s="2" t="str">
        <f>IF('Data Checking'!JO58="","",'Data Checking'!JO58)</f>
        <v>1</v>
      </c>
      <c r="JD58" s="2" t="str">
        <f>IF('Data Checking'!JP58="","",'Data Checking'!JP58)</f>
        <v>1</v>
      </c>
      <c r="JE58" s="2" t="str">
        <f>IF('Data Checking'!JQ58="","",'Data Checking'!JQ58)</f>
        <v>0</v>
      </c>
      <c r="JF58" s="2" t="str">
        <f>IF('Data Checking'!JR58="","",'Data Checking'!JR58)</f>
        <v>0</v>
      </c>
      <c r="JG58" s="2" t="str">
        <f>IF('Data Checking'!JS58="","",'Data Checking'!JS58)</f>
        <v>0</v>
      </c>
      <c r="JH58" s="2" t="str">
        <f>IF('Data Checking'!JT58="","",'Data Checking'!JT58)</f>
        <v/>
      </c>
      <c r="JI58" s="2" t="str">
        <f>IF('Data Checking'!JU58="","",'Data Checking'!JU58)</f>
        <v>medical Psychosocia juridique</v>
      </c>
      <c r="JJ58" s="2" t="str">
        <f>IF('Data Checking'!JV58="","",'Data Checking'!JV58)</f>
        <v>1</v>
      </c>
      <c r="JK58" s="2" t="str">
        <f>IF('Data Checking'!JW58="","",'Data Checking'!JW58)</f>
        <v>1</v>
      </c>
      <c r="JL58" s="2" t="str">
        <f>IF('Data Checking'!JX58="","",'Data Checking'!JX58)</f>
        <v>0</v>
      </c>
      <c r="JM58" s="2" t="str">
        <f>IF('Data Checking'!JY58="","",'Data Checking'!JY58)</f>
        <v>1</v>
      </c>
      <c r="JN58" s="2" t="str">
        <f>IF('Data Checking'!JZ58="","",'Data Checking'!JZ58)</f>
        <v>0</v>
      </c>
      <c r="JO58" s="2" t="str">
        <f>IF('Data Checking'!KA58="","",'Data Checking'!KA58)</f>
        <v>0</v>
      </c>
      <c r="JP58" s="2" t="str">
        <f>IF('Data Checking'!KB58="","",'Data Checking'!KB58)</f>
        <v>0</v>
      </c>
      <c r="JQ58" s="2" t="str">
        <f>IF('Data Checking'!KC58="","",'Data Checking'!KC58)</f>
        <v>0</v>
      </c>
      <c r="JR58" s="2" t="str">
        <f>IF('Data Checking'!KD58="","",'Data Checking'!KD58)</f>
        <v>0</v>
      </c>
      <c r="JS58" s="2" t="str">
        <f>IF('Data Checking'!KE58="","",'Data Checking'!KE58)</f>
        <v/>
      </c>
      <c r="JT58" s="2" t="str">
        <f>IF('Data Checking'!KF58="","",'Data Checking'!KF58)</f>
        <v>medical Psychosocia juridique</v>
      </c>
      <c r="JU58" s="2" t="str">
        <f>IF('Data Checking'!KG58="","",'Data Checking'!KG58)</f>
        <v>1</v>
      </c>
      <c r="JV58" s="2" t="str">
        <f>IF('Data Checking'!KH58="","",'Data Checking'!KH58)</f>
        <v>1</v>
      </c>
      <c r="JW58" s="2" t="str">
        <f>IF('Data Checking'!KI58="","",'Data Checking'!KI58)</f>
        <v>0</v>
      </c>
      <c r="JX58" s="2" t="str">
        <f>IF('Data Checking'!KJ58="","",'Data Checking'!KJ58)</f>
        <v>1</v>
      </c>
      <c r="JY58" s="2" t="str">
        <f>IF('Data Checking'!KK58="","",'Data Checking'!KK58)</f>
        <v>0</v>
      </c>
      <c r="JZ58" s="2" t="str">
        <f>IF('Data Checking'!KL58="","",'Data Checking'!KL58)</f>
        <v>0</v>
      </c>
      <c r="KA58" s="2" t="str">
        <f>IF('Data Checking'!KM58="","",'Data Checking'!KM58)</f>
        <v>0</v>
      </c>
      <c r="KB58" s="2" t="str">
        <f>IF('Data Checking'!KN58="","",'Data Checking'!KN58)</f>
        <v>0</v>
      </c>
      <c r="KC58" s="2" t="str">
        <f>IF('Data Checking'!KO58="","",'Data Checking'!KO58)</f>
        <v>0</v>
      </c>
      <c r="KD58" s="2" t="str">
        <f>IF('Data Checking'!KP58="","",'Data Checking'!KP58)</f>
        <v/>
      </c>
      <c r="KE58" s="2" t="str">
        <f>IF('Data Checking'!KQ58="","",'Data Checking'!KQ58)</f>
        <v/>
      </c>
      <c r="KF58" s="2" t="str">
        <f>IF('Data Checking'!KR58="","",'Data Checking'!KR58)</f>
        <v>non</v>
      </c>
      <c r="KG58" s="2" t="str">
        <f>IF('Data Checking'!KS58="","",'Data Checking'!KS58)</f>
        <v/>
      </c>
      <c r="KH58" s="2" t="str">
        <f>IF('Data Checking'!KT58="","",'Data Checking'!KT58)</f>
        <v/>
      </c>
      <c r="KI58" s="2" t="str">
        <f>IF('Data Checking'!KU58="","",'Data Checking'!KU58)</f>
        <v/>
      </c>
      <c r="KJ58" s="2" t="str">
        <f>IF('Data Checking'!KV58="","",'Data Checking'!KV58)</f>
        <v/>
      </c>
      <c r="KK58" s="2" t="str">
        <f>IF('Data Checking'!KW58="","",'Data Checking'!KW58)</f>
        <v/>
      </c>
      <c r="KL58" s="2" t="str">
        <f>IF('Data Checking'!KX58="","",'Data Checking'!KX58)</f>
        <v/>
      </c>
      <c r="KM58" s="2" t="str">
        <f>IF('Data Checking'!KY58="","",'Data Checking'!KY58)</f>
        <v/>
      </c>
      <c r="KN58" s="2" t="str">
        <f>IF('Data Checking'!KZ58="","",'Data Checking'!KZ58)</f>
        <v/>
      </c>
      <c r="KO58" s="2" t="str">
        <f>IF('Data Checking'!LA58="","",'Data Checking'!LA58)</f>
        <v/>
      </c>
      <c r="KP58" s="2" t="str">
        <f>IF('Data Checking'!LB58="","",'Data Checking'!LB58)</f>
        <v/>
      </c>
      <c r="KQ58" s="2" t="str">
        <f>IF('Data Checking'!LC58="","",'Data Checking'!LC58)</f>
        <v/>
      </c>
      <c r="KR58" s="2" t="str">
        <f>IF('Data Checking'!LD58="","",'Data Checking'!LD58)</f>
        <v/>
      </c>
      <c r="KS58" s="2" t="str">
        <f>IF('Data Checking'!LE58="","",'Data Checking'!LE58)</f>
        <v/>
      </c>
      <c r="KT58" s="2" t="str">
        <f>IF('Data Checking'!LF58="","",'Data Checking'!LF58)</f>
        <v/>
      </c>
      <c r="KU58" s="2" t="str">
        <f>IF('Data Checking'!LG58="","",'Data Checking'!LG58)</f>
        <v/>
      </c>
      <c r="KV58" s="2" t="str">
        <f>IF('Data Checking'!LH58="","",'Data Checking'!LH58)</f>
        <v/>
      </c>
      <c r="KW58" s="2" t="str">
        <f>IF('Data Checking'!LI58="","",'Data Checking'!LI58)</f>
        <v/>
      </c>
      <c r="KX58" s="2" t="str">
        <f>IF('Data Checking'!LJ58="","",'Data Checking'!LJ58)</f>
        <v/>
      </c>
      <c r="KY58" s="2" t="str">
        <f>IF('Data Checking'!LK58="","",'Data Checking'!LK58)</f>
        <v/>
      </c>
      <c r="KZ58" s="2" t="str">
        <f>IF('Data Checking'!LL58="","",'Data Checking'!LL58)</f>
        <v/>
      </c>
      <c r="LA58" s="2" t="str">
        <f>IF('Data Checking'!LM58="","",'Data Checking'!LM58)</f>
        <v/>
      </c>
      <c r="LB58" s="2" t="str">
        <f>IF('Data Checking'!LN58="","",'Data Checking'!LN58)</f>
        <v>non</v>
      </c>
      <c r="LC58" s="2" t="str">
        <f>IF('Data Checking'!LO58="","",'Data Checking'!LO58)</f>
        <v/>
      </c>
      <c r="LD58" s="2" t="str">
        <f>IF('Data Checking'!LP58="","",'Data Checking'!LP58)</f>
        <v/>
      </c>
      <c r="LE58" s="2" t="str">
        <f>IF('Data Checking'!LQ58="","",'Data Checking'!LQ58)</f>
        <v/>
      </c>
      <c r="LF58" s="2" t="str">
        <f>IF('Data Checking'!LR58="","",'Data Checking'!LR58)</f>
        <v/>
      </c>
      <c r="LG58" s="2" t="str">
        <f>IF('Data Checking'!LS58="","",'Data Checking'!LS58)</f>
        <v/>
      </c>
      <c r="LH58" s="2" t="str">
        <f>IF('Data Checking'!LT58="","",'Data Checking'!LT58)</f>
        <v/>
      </c>
      <c r="LI58" s="2" t="str">
        <f>IF('Data Checking'!LU58="","",'Data Checking'!LU58)</f>
        <v/>
      </c>
      <c r="LJ58" s="2" t="str">
        <f>IF('Data Checking'!LV58="","",'Data Checking'!LV58)</f>
        <v/>
      </c>
      <c r="LK58" s="2" t="str">
        <f>IF('Data Checking'!LW58="","",'Data Checking'!LW58)</f>
        <v/>
      </c>
      <c r="LL58" s="2" t="str">
        <f>IF('Data Checking'!LX58="","",'Data Checking'!LX58)</f>
        <v/>
      </c>
      <c r="LM58" s="2" t="str">
        <f>IF('Data Checking'!LY58="","",'Data Checking'!LY58)</f>
        <v/>
      </c>
      <c r="LN58" s="2" t="str">
        <f>IF('Data Checking'!LZ58="","",'Data Checking'!LZ58)</f>
        <v/>
      </c>
      <c r="LO58" s="2" t="str">
        <f>IF('Data Checking'!MA58="","",'Data Checking'!MA58)</f>
        <v/>
      </c>
      <c r="LP58" s="2" t="str">
        <f>IF('Data Checking'!MB58="","",'Data Checking'!MB58)</f>
        <v>oui</v>
      </c>
      <c r="LQ58" s="2" t="str">
        <f>IF('Data Checking'!MC58="","",'Data Checking'!MC58)</f>
        <v/>
      </c>
      <c r="LR58" s="2" t="str">
        <f>IF('Data Checking'!MD58="","",'Data Checking'!MD58)</f>
        <v/>
      </c>
      <c r="LS58" s="2">
        <f>IF('Data Checking'!ME58="","",'Data Checking'!ME58)</f>
        <v>169351706</v>
      </c>
      <c r="LT58" s="2" t="str">
        <f>IF('Data Checking'!MF58="","",'Data Checking'!MF58)</f>
        <v>542d43a4-5e9b-4525-bfc7-6147f6b16cee</v>
      </c>
      <c r="LU58" s="2" t="str">
        <f>IF('Data Checking'!MG58="","",'Data Checking'!MG58)</f>
        <v>2021-04-02T19:02:43</v>
      </c>
      <c r="LV58" s="2" t="str">
        <f>IF('Data Checking'!MH58="","",'Data Checking'!MH58)</f>
        <v/>
      </c>
      <c r="LW58" s="2" t="str">
        <f>IF('Data Checking'!MI58="","",'Data Checking'!MI58)</f>
        <v>[]</v>
      </c>
      <c r="LX58" s="2" t="str">
        <f>IF('Data Checking'!MJ58="","",'Data Checking'!MJ58)</f>
        <v>submitted_via_web</v>
      </c>
      <c r="LY58" s="2" t="str">
        <f>IF('Data Checking'!MK58="","",'Data Checking'!MK58)</f>
        <v>reach_niger</v>
      </c>
      <c r="LZ58" s="2" t="str">
        <f>IF('Data Checking'!ML58="","",'Data Checking'!ML58)</f>
        <v/>
      </c>
      <c r="MA58" s="2">
        <f>IF('Data Checking'!MM58="","",'Data Checking'!MM58)</f>
        <v>31</v>
      </c>
    </row>
    <row r="59" spans="1:339" x14ac:dyDescent="0.3">
      <c r="A59" s="2" t="str">
        <f>IF('Data Checking'!D59="","",'Data Checking'!D59)</f>
        <v>2021-03-30T11:17:51.425+01:00</v>
      </c>
      <c r="B59" s="2" t="str">
        <f>IF('Data Checking'!E59="","",'Data Checking'!E59)</f>
        <v>2021-03-31T12:22:35.794+01:00</v>
      </c>
      <c r="C59" s="2" t="str">
        <f>IF('Data Checking'!M59="","",'Data Checking'!M59)</f>
        <v>2021-03-30</v>
      </c>
      <c r="D59" s="2" t="str">
        <f>IF('Data Checking'!N59="","",'Data Checking'!N59)</f>
        <v/>
      </c>
      <c r="E59" s="2" t="str">
        <f>IF('Data Checking'!O59="","",'Data Checking'!O59)</f>
        <v/>
      </c>
      <c r="F59" s="2" t="str">
        <f>IF('Data Checking'!R59="","",'Data Checking'!R59)</f>
        <v>Homme</v>
      </c>
      <c r="G59" s="2" t="str">
        <f>IF('Data Checking'!S59="","",'Data Checking'!S59)</f>
        <v>tera</v>
      </c>
      <c r="H59" s="2" t="str">
        <f>IF('Data Checking'!T59="","",'Data Checking'!T59)</f>
        <v>tera</v>
      </c>
      <c r="I59" s="2" t="str">
        <f>IF('Data Checking'!U59="","",'Data Checking'!U59)</f>
        <v>Base</v>
      </c>
      <c r="J59" s="2" t="str">
        <f>IF('Data Checking'!V59="","",'Data Checking'!V59)</f>
        <v>Base</v>
      </c>
      <c r="K59" s="2" t="str">
        <f>IF('Data Checking'!W59="","",'Data Checking'!W59)</f>
        <v/>
      </c>
      <c r="L59" s="2" t="str">
        <f>IF('Data Checking'!X59="","",'Data Checking'!X59)</f>
        <v/>
      </c>
      <c r="M59" s="2" t="str">
        <f>IF('Data Checking'!Y59="","",'Data Checking'!Y59)</f>
        <v/>
      </c>
      <c r="N59" s="2" t="str">
        <f>IF('Data Checking'!Z59="","",'Data Checking'!Z59)</f>
        <v/>
      </c>
      <c r="O59" s="2" t="str">
        <f>IF('Data Checking'!AA59="","",'Data Checking'!AA59)</f>
        <v/>
      </c>
      <c r="P59" s="2" t="str">
        <f>IF('Data Checking'!AB59="","",'Data Checking'!AB59)</f>
        <v/>
      </c>
      <c r="Q59" s="2" t="str">
        <f>IF('Data Checking'!AC59="","",'Data Checking'!AC59)</f>
        <v/>
      </c>
      <c r="R59" s="2" t="str">
        <f>IF('Data Checking'!AD59="","",'Data Checking'!AD59)</f>
        <v>Femme</v>
      </c>
      <c r="S59" s="2" t="str">
        <f>IF('Data Checking'!AE59="","",'Data Checking'!AE59)</f>
        <v>40</v>
      </c>
      <c r="T59" s="2" t="str">
        <f>IF('Data Checking'!AF59="","",'Data Checking'!AF59)</f>
        <v>deplace_interne</v>
      </c>
      <c r="U59" s="2" t="str">
        <f>IF('Data Checking'!AG59="","",'Data Checking'!AG59)</f>
        <v/>
      </c>
      <c r="V59" s="2" t="str">
        <f>IF('Data Checking'!AH59="","",'Data Checking'!AH59)</f>
        <v/>
      </c>
      <c r="W59" s="2" t="str">
        <f>IF('Data Checking'!AI59="","",'Data Checking'!AI59)</f>
        <v/>
      </c>
      <c r="X59" s="2" t="str">
        <f>IF('Data Checking'!AJ59="","",'Data Checking'!AJ59)</f>
        <v/>
      </c>
      <c r="Y59" s="2" t="str">
        <f>IF('Data Checking'!AK59="","",'Data Checking'!AK59)</f>
        <v/>
      </c>
      <c r="Z59" s="2" t="str">
        <f>IF('Data Checking'!AL59="","",'Data Checking'!AL59)</f>
        <v>niger</v>
      </c>
      <c r="AA59" s="2" t="str">
        <f>IF('Data Checking'!AM59="","",'Data Checking'!AM59)</f>
        <v>tillaberi</v>
      </c>
      <c r="AB59" s="2" t="str">
        <f>IF('Data Checking'!AN59="","",'Data Checking'!AN59)</f>
        <v>tera</v>
      </c>
      <c r="AC59" s="2" t="str">
        <f>IF('Data Checking'!AO59="","",'Data Checking'!AO59)</f>
        <v/>
      </c>
      <c r="AD59" s="2" t="str">
        <f>IF('Data Checking'!AP59="","",'Data Checking'!AP59)</f>
        <v/>
      </c>
      <c r="AE59" s="2" t="str">
        <f>IF('Data Checking'!AQ59="","",'Data Checking'!AQ59)</f>
        <v/>
      </c>
      <c r="AF59" s="2" t="str">
        <f>IF('Data Checking'!AR59="","",'Data Checking'!AR59)</f>
        <v/>
      </c>
      <c r="AG59" s="2" t="str">
        <f>IF('Data Checking'!AS59="","",'Data Checking'!AS59)</f>
        <v>oui</v>
      </c>
      <c r="AH59" s="2" t="str">
        <f>IF('Data Checking'!AT59="","",'Data Checking'!AT59)</f>
        <v>Violences_physique_civils</v>
      </c>
      <c r="AI59" s="2" t="str">
        <f>IF('Data Checking'!AU59="","",'Data Checking'!AU59)</f>
        <v>0</v>
      </c>
      <c r="AJ59" s="2" t="str">
        <f>IF('Data Checking'!AV59="","",'Data Checking'!AV59)</f>
        <v>0</v>
      </c>
      <c r="AK59" s="2" t="str">
        <f>IF('Data Checking'!AW59="","",'Data Checking'!AW59)</f>
        <v>0</v>
      </c>
      <c r="AL59" s="2" t="str">
        <f>IF('Data Checking'!AX59="","",'Data Checking'!AX59)</f>
        <v>0</v>
      </c>
      <c r="AM59" s="2" t="str">
        <f>IF('Data Checking'!AY59="","",'Data Checking'!AY59)</f>
        <v>1</v>
      </c>
      <c r="AN59" s="2" t="str">
        <f>IF('Data Checking'!AZ59="","",'Data Checking'!AZ59)</f>
        <v>0</v>
      </c>
      <c r="AO59" s="2" t="str">
        <f>IF('Data Checking'!BA59="","",'Data Checking'!BA59)</f>
        <v>0</v>
      </c>
      <c r="AP59" s="2" t="str">
        <f>IF('Data Checking'!BB59="","",'Data Checking'!BB59)</f>
        <v>0</v>
      </c>
      <c r="AQ59" s="2" t="str">
        <f>IF('Data Checking'!BC59="","",'Data Checking'!BC59)</f>
        <v>0</v>
      </c>
      <c r="AR59" s="2" t="str">
        <f>IF('Data Checking'!BD59="","",'Data Checking'!BD59)</f>
        <v>0</v>
      </c>
      <c r="AS59" s="2" t="str">
        <f>IF('Data Checking'!BE59="","",'Data Checking'!BE59)</f>
        <v>0</v>
      </c>
      <c r="AT59" s="2" t="str">
        <f>IF('Data Checking'!BF59="","",'Data Checking'!BF59)</f>
        <v>0</v>
      </c>
      <c r="AU59" s="2" t="str">
        <f>IF('Data Checking'!BG59="","",'Data Checking'!BG59)</f>
        <v>0</v>
      </c>
      <c r="AV59" s="2" t="str">
        <f>IF('Data Checking'!BH59="","",'Data Checking'!BH59)</f>
        <v>0</v>
      </c>
      <c r="AW59" s="2" t="str">
        <f>IF('Data Checking'!BI59="","",'Data Checking'!BI59)</f>
        <v/>
      </c>
      <c r="AX59" s="2" t="str">
        <f>IF('Data Checking'!BJ59="","",'Data Checking'!BJ59)</f>
        <v>Femmes</v>
      </c>
      <c r="AY59" s="2" t="str">
        <f>IF('Data Checking'!BK59="","",'Data Checking'!BK59)</f>
        <v>0</v>
      </c>
      <c r="AZ59" s="2" t="str">
        <f>IF('Data Checking'!BL59="","",'Data Checking'!BL59)</f>
        <v>0</v>
      </c>
      <c r="BA59" s="2" t="str">
        <f>IF('Data Checking'!BM59="","",'Data Checking'!BM59)</f>
        <v>0</v>
      </c>
      <c r="BB59" s="2" t="str">
        <f>IF('Data Checking'!BN59="","",'Data Checking'!BN59)</f>
        <v>0</v>
      </c>
      <c r="BC59" s="2" t="str">
        <f>IF('Data Checking'!BO59="","",'Data Checking'!BO59)</f>
        <v>1</v>
      </c>
      <c r="BD59" s="2" t="str">
        <f>IF('Data Checking'!BP59="","",'Data Checking'!BP59)</f>
        <v>0</v>
      </c>
      <c r="BE59" s="2" t="str">
        <f>IF('Data Checking'!BQ59="","",'Data Checking'!BQ59)</f>
        <v>0</v>
      </c>
      <c r="BF59" s="2" t="str">
        <f>IF('Data Checking'!BR59="","",'Data Checking'!BR59)</f>
        <v>0</v>
      </c>
      <c r="BG59" s="2" t="str">
        <f>IF('Data Checking'!BS59="","",'Data Checking'!BS59)</f>
        <v>0</v>
      </c>
      <c r="BH59" s="2" t="str">
        <f>IF('Data Checking'!BT59="","",'Data Checking'!BT59)</f>
        <v>0</v>
      </c>
      <c r="BI59" s="2" t="str">
        <f>IF('Data Checking'!BU59="","",'Data Checking'!BU59)</f>
        <v>0</v>
      </c>
      <c r="BJ59" s="2" t="str">
        <f>IF('Data Checking'!BV59="","",'Data Checking'!BV59)</f>
        <v>0</v>
      </c>
      <c r="BK59" s="2" t="str">
        <f>IF('Data Checking'!BW59="","",'Data Checking'!BW59)</f>
        <v>0</v>
      </c>
      <c r="BL59" s="2" t="str">
        <f>IF('Data Checking'!BX59="","",'Data Checking'!BX59)</f>
        <v>0</v>
      </c>
      <c r="BM59" s="2" t="str">
        <f>IF('Data Checking'!BY59="","",'Data Checking'!BY59)</f>
        <v/>
      </c>
      <c r="BN59" s="2" t="str">
        <f>IF('Data Checking'!BZ59="","",'Data Checking'!BZ59)</f>
        <v>3</v>
      </c>
      <c r="BO59" s="2" t="str">
        <f>IF('Data Checking'!CA59="","",'Data Checking'!CA59)</f>
        <v>stable</v>
      </c>
      <c r="BP59" s="2" t="str">
        <f>IF('Data Checking'!CB59="","",'Data Checking'!CB59)</f>
        <v/>
      </c>
      <c r="BQ59" s="2" t="str">
        <f>IF('Data Checking'!CC59="","",'Data Checking'!CC59)</f>
        <v>oui</v>
      </c>
      <c r="BR59" s="2" t="str">
        <f>IF('Data Checking'!CD59="","",'Data Checking'!CD59)</f>
        <v>menace agression_physique</v>
      </c>
      <c r="BS59" s="2" t="str">
        <f>IF('Data Checking'!CE59="","",'Data Checking'!CE59)</f>
        <v>0</v>
      </c>
      <c r="BT59" s="2" t="str">
        <f>IF('Data Checking'!CF59="","",'Data Checking'!CF59)</f>
        <v>0</v>
      </c>
      <c r="BU59" s="2" t="str">
        <f>IF('Data Checking'!CG59="","",'Data Checking'!CG59)</f>
        <v>1</v>
      </c>
      <c r="BV59" s="2" t="str">
        <f>IF('Data Checking'!CH59="","",'Data Checking'!CH59)</f>
        <v>0</v>
      </c>
      <c r="BW59" s="2" t="str">
        <f>IF('Data Checking'!CI59="","",'Data Checking'!CI59)</f>
        <v>0</v>
      </c>
      <c r="BX59" s="2" t="str">
        <f>IF('Data Checking'!CJ59="","",'Data Checking'!CJ59)</f>
        <v>0</v>
      </c>
      <c r="BY59" s="2" t="str">
        <f>IF('Data Checking'!CK59="","",'Data Checking'!CK59)</f>
        <v>0</v>
      </c>
      <c r="BZ59" s="2" t="str">
        <f>IF('Data Checking'!CL59="","",'Data Checking'!CL59)</f>
        <v>0</v>
      </c>
      <c r="CA59" s="2" t="str">
        <f>IF('Data Checking'!CM59="","",'Data Checking'!CM59)</f>
        <v>0</v>
      </c>
      <c r="CB59" s="2" t="str">
        <f>IF('Data Checking'!CN59="","",'Data Checking'!CN59)</f>
        <v>0</v>
      </c>
      <c r="CC59" s="2" t="str">
        <f>IF('Data Checking'!CO59="","",'Data Checking'!CO59)</f>
        <v>1</v>
      </c>
      <c r="CD59" s="2" t="str">
        <f>IF('Data Checking'!CP59="","",'Data Checking'!CP59)</f>
        <v>0</v>
      </c>
      <c r="CE59" s="2" t="str">
        <f>IF('Data Checking'!CQ59="","",'Data Checking'!CQ59)</f>
        <v>0</v>
      </c>
      <c r="CF59" s="2" t="str">
        <f>IF('Data Checking'!CR59="","",'Data Checking'!CR59)</f>
        <v>0</v>
      </c>
      <c r="CG59" s="2" t="str">
        <f>IF('Data Checking'!CS59="","",'Data Checking'!CS59)</f>
        <v>0</v>
      </c>
      <c r="CH59" s="2" t="str">
        <f>IF('Data Checking'!CT59="","",'Data Checking'!CT59)</f>
        <v/>
      </c>
      <c r="CI59" s="2" t="str">
        <f>IF('Data Checking'!CU59="","",'Data Checking'!CU59)</f>
        <v>Femmes Filles</v>
      </c>
      <c r="CJ59" s="2" t="str">
        <f>IF('Data Checking'!CV59="","",'Data Checking'!CV59)</f>
        <v>0</v>
      </c>
      <c r="CK59" s="2" t="str">
        <f>IF('Data Checking'!CW59="","",'Data Checking'!CW59)</f>
        <v>0</v>
      </c>
      <c r="CL59" s="2" t="str">
        <f>IF('Data Checking'!CX59="","",'Data Checking'!CX59)</f>
        <v>1</v>
      </c>
      <c r="CM59" s="2" t="str">
        <f>IF('Data Checking'!CY59="","",'Data Checking'!CY59)</f>
        <v>0</v>
      </c>
      <c r="CN59" s="2" t="str">
        <f>IF('Data Checking'!CZ59="","",'Data Checking'!CZ59)</f>
        <v>1</v>
      </c>
      <c r="CO59" s="2" t="str">
        <f>IF('Data Checking'!DA59="","",'Data Checking'!DA59)</f>
        <v>0</v>
      </c>
      <c r="CP59" s="2" t="str">
        <f>IF('Data Checking'!DB59="","",'Data Checking'!DB59)</f>
        <v>0</v>
      </c>
      <c r="CQ59" s="2" t="str">
        <f>IF('Data Checking'!DC59="","",'Data Checking'!DC59)</f>
        <v>0</v>
      </c>
      <c r="CR59" s="2" t="str">
        <f>IF('Data Checking'!DD59="","",'Data Checking'!DD59)</f>
        <v>0</v>
      </c>
      <c r="CS59" s="2" t="str">
        <f>IF('Data Checking'!DE59="","",'Data Checking'!DE59)</f>
        <v>0</v>
      </c>
      <c r="CT59" s="2" t="str">
        <f>IF('Data Checking'!DF59="","",'Data Checking'!DF59)</f>
        <v>0</v>
      </c>
      <c r="CU59" s="2" t="str">
        <f>IF('Data Checking'!DG59="","",'Data Checking'!DG59)</f>
        <v>0</v>
      </c>
      <c r="CV59" s="2" t="str">
        <f>IF('Data Checking'!DH59="","",'Data Checking'!DH59)</f>
        <v>0</v>
      </c>
      <c r="CW59" s="2" t="str">
        <f>IF('Data Checking'!DI59="","",'Data Checking'!DI59)</f>
        <v>0</v>
      </c>
      <c r="CX59" s="2" t="str">
        <f>IF('Data Checking'!DJ59="","",'Data Checking'!DJ59)</f>
        <v/>
      </c>
      <c r="CY59" s="2" t="str">
        <f>IF('Data Checking'!DK59="","",'Data Checking'!DK59)</f>
        <v>3</v>
      </c>
      <c r="CZ59" s="2" t="str">
        <f>IF('Data Checking'!DL59="","",'Data Checking'!DL59)</f>
        <v>stable</v>
      </c>
      <c r="DA59" s="2" t="str">
        <f>IF('Data Checking'!DM59="","",'Data Checking'!DM59)</f>
        <v/>
      </c>
      <c r="DB59" s="2" t="str">
        <f>IF('Data Checking'!DN59="","",'Data Checking'!DN59)</f>
        <v/>
      </c>
      <c r="DC59" s="2" t="str">
        <f>IF('Data Checking'!DO59="","",'Data Checking'!DO59)</f>
        <v/>
      </c>
      <c r="DD59" s="2" t="str">
        <f>IF('Data Checking'!DP59="","",'Data Checking'!DP59)</f>
        <v/>
      </c>
      <c r="DE59" s="2" t="str">
        <f>IF('Data Checking'!DQ59="","",'Data Checking'!DQ59)</f>
        <v/>
      </c>
      <c r="DF59" s="2" t="str">
        <f>IF('Data Checking'!DR59="","",'Data Checking'!DR59)</f>
        <v/>
      </c>
      <c r="DG59" s="2" t="str">
        <f>IF('Data Checking'!DS59="","",'Data Checking'!DS59)</f>
        <v/>
      </c>
      <c r="DH59" s="2" t="str">
        <f>IF('Data Checking'!DT59="","",'Data Checking'!DT59)</f>
        <v/>
      </c>
      <c r="DI59" s="2" t="str">
        <f>IF('Data Checking'!DU59="","",'Data Checking'!DU59)</f>
        <v/>
      </c>
      <c r="DJ59" s="2" t="str">
        <f>IF('Data Checking'!DV59="","",'Data Checking'!DV59)</f>
        <v/>
      </c>
      <c r="DK59" s="2" t="str">
        <f>IF('Data Checking'!DW59="","",'Data Checking'!DW59)</f>
        <v/>
      </c>
      <c r="DL59" s="2" t="str">
        <f>IF('Data Checking'!DX59="","",'Data Checking'!DX59)</f>
        <v/>
      </c>
      <c r="DM59" s="2" t="str">
        <f>IF('Data Checking'!DY59="","",'Data Checking'!DY59)</f>
        <v/>
      </c>
      <c r="DN59" s="2" t="str">
        <f>IF('Data Checking'!DZ59="","",'Data Checking'!DZ59)</f>
        <v/>
      </c>
      <c r="DO59" s="2" t="str">
        <f>IF('Data Checking'!EA59="","",'Data Checking'!EA59)</f>
        <v/>
      </c>
      <c r="DP59" s="2" t="str">
        <f>IF('Data Checking'!EB59="","",'Data Checking'!EB59)</f>
        <v/>
      </c>
      <c r="DQ59" s="2" t="str">
        <f>IF('Data Checking'!EC59="","",'Data Checking'!EC59)</f>
        <v/>
      </c>
      <c r="DR59" s="2" t="str">
        <f>IF('Data Checking'!ED59="","",'Data Checking'!ED59)</f>
        <v/>
      </c>
      <c r="DS59" s="2" t="str">
        <f>IF('Data Checking'!EE59="","",'Data Checking'!EE59)</f>
        <v/>
      </c>
      <c r="DT59" s="2" t="str">
        <f>IF('Data Checking'!EF59="","",'Data Checking'!EF59)</f>
        <v/>
      </c>
      <c r="DU59" s="2" t="str">
        <f>IF('Data Checking'!EG59="","",'Data Checking'!EG59)</f>
        <v/>
      </c>
      <c r="DV59" s="2" t="str">
        <f>IF('Data Checking'!EH59="","",'Data Checking'!EH59)</f>
        <v/>
      </c>
      <c r="DW59" s="2" t="str">
        <f>IF('Data Checking'!EI59="","",'Data Checking'!EI59)</f>
        <v/>
      </c>
      <c r="DX59" s="2" t="str">
        <f>IF('Data Checking'!EJ59="","",'Data Checking'!EJ59)</f>
        <v/>
      </c>
      <c r="DY59" s="2" t="str">
        <f>IF('Data Checking'!EK59="","",'Data Checking'!EK59)</f>
        <v/>
      </c>
      <c r="DZ59" s="2" t="str">
        <f>IF('Data Checking'!EL59="","",'Data Checking'!EL59)</f>
        <v>dplct_abords_com Soutien_famille_amis</v>
      </c>
      <c r="EA59" s="2" t="str">
        <f>IF('Data Checking'!EM59="","",'Data Checking'!EM59)</f>
        <v>1</v>
      </c>
      <c r="EB59" s="2" t="str">
        <f>IF('Data Checking'!EN59="","",'Data Checking'!EN59)</f>
        <v>0</v>
      </c>
      <c r="EC59" s="2" t="str">
        <f>IF('Data Checking'!EO59="","",'Data Checking'!EO59)</f>
        <v>1</v>
      </c>
      <c r="ED59" s="2" t="str">
        <f>IF('Data Checking'!EP59="","",'Data Checking'!EP59)</f>
        <v>0</v>
      </c>
      <c r="EE59" s="2" t="str">
        <f>IF('Data Checking'!EQ59="","",'Data Checking'!EQ59)</f>
        <v>0</v>
      </c>
      <c r="EF59" s="2" t="str">
        <f>IF('Data Checking'!ER59="","",'Data Checking'!ER59)</f>
        <v>0</v>
      </c>
      <c r="EG59" s="2" t="str">
        <f>IF('Data Checking'!ES59="","",'Data Checking'!ES59)</f>
        <v>0</v>
      </c>
      <c r="EH59" s="2" t="str">
        <f>IF('Data Checking'!ET59="","",'Data Checking'!ET59)</f>
        <v>0</v>
      </c>
      <c r="EI59" s="2" t="str">
        <f>IF('Data Checking'!EU59="","",'Data Checking'!EU59)</f>
        <v>0</v>
      </c>
      <c r="EJ59" s="2" t="str">
        <f>IF('Data Checking'!EV59="","",'Data Checking'!EV59)</f>
        <v/>
      </c>
      <c r="EK59" s="2" t="str">
        <f>IF('Data Checking'!EW59="","",'Data Checking'!EW59)</f>
        <v/>
      </c>
      <c r="EL59" s="2" t="str">
        <f>IF('Data Checking'!EX59="","",'Data Checking'!EX59)</f>
        <v>femmes_elite comite_redevabilite</v>
      </c>
      <c r="EM59" s="2" t="str">
        <f>IF('Data Checking'!EY59="","",'Data Checking'!EY59)</f>
        <v>1</v>
      </c>
      <c r="EN59" s="2" t="str">
        <f>IF('Data Checking'!EZ59="","",'Data Checking'!EZ59)</f>
        <v>0</v>
      </c>
      <c r="EO59" s="2" t="str">
        <f>IF('Data Checking'!FA59="","",'Data Checking'!FA59)</f>
        <v>0</v>
      </c>
      <c r="EP59" s="2" t="str">
        <f>IF('Data Checking'!FB59="","",'Data Checking'!FB59)</f>
        <v>0</v>
      </c>
      <c r="EQ59" s="2" t="str">
        <f>IF('Data Checking'!FC59="","",'Data Checking'!FC59)</f>
        <v>1</v>
      </c>
      <c r="ER59" s="2" t="str">
        <f>IF('Data Checking'!FD59="","",'Data Checking'!FD59)</f>
        <v>0</v>
      </c>
      <c r="ES59" s="2" t="str">
        <f>IF('Data Checking'!FE59="","",'Data Checking'!FE59)</f>
        <v>0</v>
      </c>
      <c r="ET59" s="2" t="str">
        <f>IF('Data Checking'!FF59="","",'Data Checking'!FF59)</f>
        <v>0</v>
      </c>
      <c r="EU59" s="2" t="str">
        <f>IF('Data Checking'!FG59="","",'Data Checking'!FG59)</f>
        <v>0</v>
      </c>
      <c r="EV59" s="2" t="str">
        <f>IF('Data Checking'!FH59="","",'Data Checking'!FH59)</f>
        <v>0</v>
      </c>
      <c r="EW59" s="2" t="str">
        <f>IF('Data Checking'!FI59="","",'Data Checking'!FI59)</f>
        <v/>
      </c>
      <c r="EX59" s="2" t="str">
        <f>IF('Data Checking'!FJ59="","",'Data Checking'!FJ59)</f>
        <v>oui</v>
      </c>
      <c r="EY59" s="2" t="str">
        <f>IF('Data Checking'!FK59="","",'Data Checking'!FK59)</f>
        <v>Radio_television Internet</v>
      </c>
      <c r="EZ59" s="2" t="str">
        <f>IF('Data Checking'!FL59="","",'Data Checking'!FL59)</f>
        <v>1</v>
      </c>
      <c r="FA59" s="2" t="str">
        <f>IF('Data Checking'!FM59="","",'Data Checking'!FM59)</f>
        <v>0</v>
      </c>
      <c r="FB59" s="2" t="str">
        <f>IF('Data Checking'!FN59="","",'Data Checking'!FN59)</f>
        <v>1</v>
      </c>
      <c r="FC59" s="2" t="str">
        <f>IF('Data Checking'!FO59="","",'Data Checking'!FO59)</f>
        <v>0</v>
      </c>
      <c r="FD59" s="2" t="str">
        <f>IF('Data Checking'!FP59="","",'Data Checking'!FP59)</f>
        <v>0</v>
      </c>
      <c r="FE59" s="2" t="str">
        <f>IF('Data Checking'!FQ59="","",'Data Checking'!FQ59)</f>
        <v>0</v>
      </c>
      <c r="FF59" s="2" t="str">
        <f>IF('Data Checking'!FR59="","",'Data Checking'!FR59)</f>
        <v>0</v>
      </c>
      <c r="FG59" s="2" t="str">
        <f>IF('Data Checking'!FS59="","",'Data Checking'!FS59)</f>
        <v>0</v>
      </c>
      <c r="FH59" s="2" t="str">
        <f>IF('Data Checking'!FT59="","",'Data Checking'!FT59)</f>
        <v>0</v>
      </c>
      <c r="FI59" s="2" t="str">
        <f>IF('Data Checking'!FU59="","",'Data Checking'!FU59)</f>
        <v>0</v>
      </c>
      <c r="FJ59" s="2" t="str">
        <f>IF('Data Checking'!FV59="","",'Data Checking'!FV59)</f>
        <v>0</v>
      </c>
      <c r="FK59" s="2" t="str">
        <f>IF('Data Checking'!FW59="","",'Data Checking'!FW59)</f>
        <v>0</v>
      </c>
      <c r="FL59" s="2" t="str">
        <f>IF('Data Checking'!FX59="","",'Data Checking'!FX59)</f>
        <v>0</v>
      </c>
      <c r="FM59" s="2" t="str">
        <f>IF('Data Checking'!FY59="","",'Data Checking'!FY59)</f>
        <v>0</v>
      </c>
      <c r="FN59" s="2" t="str">
        <f>IF('Data Checking'!FZ59="","",'Data Checking'!FZ59)</f>
        <v/>
      </c>
      <c r="FO59" s="2" t="str">
        <f>IF('Data Checking'!GA59="","",'Data Checking'!GA59)</f>
        <v>oui_majorite</v>
      </c>
      <c r="FP59" s="2" t="str">
        <f>IF('Data Checking'!GB59="","",'Data Checking'!GB59)</f>
        <v>oui_majorite</v>
      </c>
      <c r="FQ59" s="2" t="str">
        <f>IF('Data Checking'!GC59="","",'Data Checking'!GC59)</f>
        <v>manque_info non_fonctionnelle</v>
      </c>
      <c r="FR59" s="2" t="str">
        <f>IF('Data Checking'!GD59="","",'Data Checking'!GD59)</f>
        <v>1</v>
      </c>
      <c r="FS59" s="2" t="str">
        <f>IF('Data Checking'!GE59="","",'Data Checking'!GE59)</f>
        <v>1</v>
      </c>
      <c r="FT59" s="2" t="str">
        <f>IF('Data Checking'!GF59="","",'Data Checking'!GF59)</f>
        <v>0</v>
      </c>
      <c r="FU59" s="2" t="str">
        <f>IF('Data Checking'!GG59="","",'Data Checking'!GG59)</f>
        <v>0</v>
      </c>
      <c r="FV59" s="2" t="str">
        <f>IF('Data Checking'!GH59="","",'Data Checking'!GH59)</f>
        <v>0</v>
      </c>
      <c r="FW59" s="2" t="str">
        <f>IF('Data Checking'!GI59="","",'Data Checking'!GI59)</f>
        <v>0</v>
      </c>
      <c r="FX59" s="2" t="str">
        <f>IF('Data Checking'!GJ59="","",'Data Checking'!GJ59)</f>
        <v>0</v>
      </c>
      <c r="FY59" s="2" t="str">
        <f>IF('Data Checking'!GK59="","",'Data Checking'!GK59)</f>
        <v>0</v>
      </c>
      <c r="FZ59" s="2" t="str">
        <f>IF('Data Checking'!GL59="","",'Data Checking'!GL59)</f>
        <v/>
      </c>
      <c r="GA59" s="2" t="str">
        <f>IF('Data Checking'!GM59="","",'Data Checking'!GM59)</f>
        <v>majorite</v>
      </c>
      <c r="GB59" s="2" t="str">
        <f>IF('Data Checking'!GN59="","",'Data Checking'!GN59)</f>
        <v>majorite</v>
      </c>
      <c r="GC59" s="2" t="str">
        <f>IF('Data Checking'!GO59="","",'Data Checking'!GO59)</f>
        <v>Service_de_counseling Services_de_sante Acces_aux_doc</v>
      </c>
      <c r="GD59" s="2" t="str">
        <f>IF('Data Checking'!GP59="","",'Data Checking'!GP59)</f>
        <v>0</v>
      </c>
      <c r="GE59" s="2" t="str">
        <f>IF('Data Checking'!GQ59="","",'Data Checking'!GQ59)</f>
        <v>0</v>
      </c>
      <c r="GF59" s="2" t="str">
        <f>IF('Data Checking'!GR59="","",'Data Checking'!GR59)</f>
        <v>1</v>
      </c>
      <c r="GG59" s="2" t="str">
        <f>IF('Data Checking'!GS59="","",'Data Checking'!GS59)</f>
        <v>1</v>
      </c>
      <c r="GH59" s="2" t="str">
        <f>IF('Data Checking'!GT59="","",'Data Checking'!GT59)</f>
        <v>1</v>
      </c>
      <c r="GI59" s="2" t="str">
        <f>IF('Data Checking'!GU59="","",'Data Checking'!GU59)</f>
        <v>0</v>
      </c>
      <c r="GJ59" s="2" t="str">
        <f>IF('Data Checking'!GV59="","",'Data Checking'!GV59)</f>
        <v>0</v>
      </c>
      <c r="GK59" s="2" t="str">
        <f>IF('Data Checking'!GW59="","",'Data Checking'!GW59)</f>
        <v>0</v>
      </c>
      <c r="GL59" s="2" t="str">
        <f>IF('Data Checking'!GX59="","",'Data Checking'!GX59)</f>
        <v>0</v>
      </c>
      <c r="GM59" s="2" t="str">
        <f>IF('Data Checking'!GY59="","",'Data Checking'!GY59)</f>
        <v/>
      </c>
      <c r="GN59" s="2" t="str">
        <f>IF('Data Checking'!GZ59="","",'Data Checking'!GZ59)</f>
        <v>oui_majorite</v>
      </c>
      <c r="GO59" s="2" t="str">
        <f>IF('Data Checking'!HA59="","",'Data Checking'!HA59)</f>
        <v>oui_majorite</v>
      </c>
      <c r="GP59" s="2" t="str">
        <f>IF('Data Checking'!HB59="","",'Data Checking'!HB59)</f>
        <v>repond_besoins_pop amelioration_futur permet_obtenir_conseils</v>
      </c>
      <c r="GQ59" s="2" t="str">
        <f>IF('Data Checking'!HC59="","",'Data Checking'!HC59)</f>
        <v>1</v>
      </c>
      <c r="GR59" s="2" t="str">
        <f>IF('Data Checking'!HD59="","",'Data Checking'!HD59)</f>
        <v>1</v>
      </c>
      <c r="GS59" s="2" t="str">
        <f>IF('Data Checking'!HE59="","",'Data Checking'!HE59)</f>
        <v>1</v>
      </c>
      <c r="GT59" s="2" t="str">
        <f>IF('Data Checking'!HF59="","",'Data Checking'!HF59)</f>
        <v>0</v>
      </c>
      <c r="GU59" s="2" t="str">
        <f>IF('Data Checking'!HG59="","",'Data Checking'!HG59)</f>
        <v>0</v>
      </c>
      <c r="GV59" s="2" t="str">
        <f>IF('Data Checking'!HH59="","",'Data Checking'!HH59)</f>
        <v>0</v>
      </c>
      <c r="GW59" s="2" t="str">
        <f>IF('Data Checking'!HI59="","",'Data Checking'!HI59)</f>
        <v>0</v>
      </c>
      <c r="GX59" s="2" t="str">
        <f>IF('Data Checking'!HJ59="","",'Data Checking'!HJ59)</f>
        <v>0</v>
      </c>
      <c r="GY59" s="2" t="str">
        <f>IF('Data Checking'!HK59="","",'Data Checking'!HK59)</f>
        <v/>
      </c>
      <c r="GZ59" s="2" t="str">
        <f>IF('Data Checking'!HL59="","",'Data Checking'!HL59)</f>
        <v>ne_contribue_pas ne_repond_pas</v>
      </c>
      <c r="HA59" s="2" t="str">
        <f>IF('Data Checking'!HM59="","",'Data Checking'!HM59)</f>
        <v>1</v>
      </c>
      <c r="HB59" s="2" t="str">
        <f>IF('Data Checking'!HN59="","",'Data Checking'!HN59)</f>
        <v>1</v>
      </c>
      <c r="HC59" s="2" t="str">
        <f>IF('Data Checking'!HO59="","",'Data Checking'!HO59)</f>
        <v>0</v>
      </c>
      <c r="HD59" s="2" t="str">
        <f>IF('Data Checking'!HP59="","",'Data Checking'!HP59)</f>
        <v>0</v>
      </c>
      <c r="HE59" s="2" t="str">
        <f>IF('Data Checking'!HQ59="","",'Data Checking'!HQ59)</f>
        <v>0</v>
      </c>
      <c r="HF59" s="2" t="str">
        <f>IF('Data Checking'!HR59="","",'Data Checking'!HR59)</f>
        <v>0</v>
      </c>
      <c r="HG59" s="2" t="str">
        <f>IF('Data Checking'!HS59="","",'Data Checking'!HS59)</f>
        <v/>
      </c>
      <c r="HH59" s="2" t="str">
        <f>IF('Data Checking'!HT59="","",'Data Checking'!HT59)</f>
        <v/>
      </c>
      <c r="HI59" s="2" t="str">
        <f>IF('Data Checking'!HU59="","",'Data Checking'!HU59)</f>
        <v>oui_majorite</v>
      </c>
      <c r="HJ59" s="2" t="str">
        <f>IF('Data Checking'!HV59="","",'Data Checking'!HV59)</f>
        <v>autorite_locale_leaders famille_amis</v>
      </c>
      <c r="HK59" s="2" t="str">
        <f>IF('Data Checking'!HW59="","",'Data Checking'!HW59)</f>
        <v>0</v>
      </c>
      <c r="HL59" s="2" t="str">
        <f>IF('Data Checking'!HX59="","",'Data Checking'!HX59)</f>
        <v>0</v>
      </c>
      <c r="HM59" s="2" t="str">
        <f>IF('Data Checking'!HY59="","",'Data Checking'!HY59)</f>
        <v>1</v>
      </c>
      <c r="HN59" s="2" t="str">
        <f>IF('Data Checking'!HZ59="","",'Data Checking'!HZ59)</f>
        <v>0</v>
      </c>
      <c r="HO59" s="2" t="str">
        <f>IF('Data Checking'!IA59="","",'Data Checking'!IA59)</f>
        <v>0</v>
      </c>
      <c r="HP59" s="2" t="str">
        <f>IF('Data Checking'!IB59="","",'Data Checking'!IB59)</f>
        <v>0</v>
      </c>
      <c r="HQ59" s="2" t="str">
        <f>IF('Data Checking'!IC59="","",'Data Checking'!IC59)</f>
        <v>1</v>
      </c>
      <c r="HR59" s="2" t="str">
        <f>IF('Data Checking'!ID59="","",'Data Checking'!ID59)</f>
        <v>0</v>
      </c>
      <c r="HS59" s="2" t="str">
        <f>IF('Data Checking'!IE59="","",'Data Checking'!IE59)</f>
        <v>0</v>
      </c>
      <c r="HT59" s="2" t="str">
        <f>IF('Data Checking'!IF59="","",'Data Checking'!IF59)</f>
        <v>0</v>
      </c>
      <c r="HU59" s="2" t="str">
        <f>IF('Data Checking'!IG59="","",'Data Checking'!IG59)</f>
        <v/>
      </c>
      <c r="HV59" s="2" t="str">
        <f>IF('Data Checking'!IH59="","",'Data Checking'!IH59)</f>
        <v>oui</v>
      </c>
      <c r="HW59" s="2" t="str">
        <f>IF('Data Checking'!II59="","",'Data Checking'!II59)</f>
        <v/>
      </c>
      <c r="HX59" s="2" t="str">
        <f>IF('Data Checking'!IJ59="","",'Data Checking'!IJ59)</f>
        <v>Femmes Femmes_agees Filles Garçons Toute_population</v>
      </c>
      <c r="HY59" s="2" t="str">
        <f>IF('Data Checking'!IK59="","",'Data Checking'!IK59)</f>
        <v>0</v>
      </c>
      <c r="HZ59" s="2" t="str">
        <f>IF('Data Checking'!IL59="","",'Data Checking'!IL59)</f>
        <v>0</v>
      </c>
      <c r="IA59" s="2" t="str">
        <f>IF('Data Checking'!IM59="","",'Data Checking'!IM59)</f>
        <v>1</v>
      </c>
      <c r="IB59" s="2" t="str">
        <f>IF('Data Checking'!IN59="","",'Data Checking'!IN59)</f>
        <v>1</v>
      </c>
      <c r="IC59" s="2" t="str">
        <f>IF('Data Checking'!IO59="","",'Data Checking'!IO59)</f>
        <v>1</v>
      </c>
      <c r="ID59" s="2" t="str">
        <f>IF('Data Checking'!IP59="","",'Data Checking'!IP59)</f>
        <v>0</v>
      </c>
      <c r="IE59" s="2" t="str">
        <f>IF('Data Checking'!IQ59="","",'Data Checking'!IQ59)</f>
        <v>1</v>
      </c>
      <c r="IF59" s="2" t="str">
        <f>IF('Data Checking'!IR59="","",'Data Checking'!IR59)</f>
        <v>0</v>
      </c>
      <c r="IG59" s="2" t="str">
        <f>IF('Data Checking'!IS59="","",'Data Checking'!IS59)</f>
        <v>0</v>
      </c>
      <c r="IH59" s="2" t="str">
        <f>IF('Data Checking'!IT59="","",'Data Checking'!IT59)</f>
        <v>0</v>
      </c>
      <c r="II59" s="2" t="str">
        <f>IF('Data Checking'!IU59="","",'Data Checking'!IU59)</f>
        <v>1</v>
      </c>
      <c r="IJ59" s="2" t="str">
        <f>IF('Data Checking'!IV59="","",'Data Checking'!IV59)</f>
        <v>0</v>
      </c>
      <c r="IK59" s="2" t="str">
        <f>IF('Data Checking'!IW59="","",'Data Checking'!IW59)</f>
        <v>0</v>
      </c>
      <c r="IL59" s="2" t="str">
        <f>IF('Data Checking'!IX59="","",'Data Checking'!IX59)</f>
        <v>0</v>
      </c>
      <c r="IM59" s="2" t="str">
        <f>IF('Data Checking'!IY59="","",'Data Checking'!IY59)</f>
        <v/>
      </c>
      <c r="IN59" s="2" t="str">
        <f>IF('Data Checking'!IZ59="","",'Data Checking'!IZ59)</f>
        <v>3</v>
      </c>
      <c r="IO59" s="2" t="str">
        <f>IF('Data Checking'!JA59="","",'Data Checking'!JA59)</f>
        <v>Appui_psychosocial Services_conseil</v>
      </c>
      <c r="IP59" s="2" t="str">
        <f>IF('Data Checking'!JB59="","",'Data Checking'!JB59)</f>
        <v>1</v>
      </c>
      <c r="IQ59" s="2" t="str">
        <f>IF('Data Checking'!JC59="","",'Data Checking'!JC59)</f>
        <v>0</v>
      </c>
      <c r="IR59" s="2" t="str">
        <f>IF('Data Checking'!JD59="","",'Data Checking'!JD59)</f>
        <v>0</v>
      </c>
      <c r="IS59" s="2" t="str">
        <f>IF('Data Checking'!JE59="","",'Data Checking'!JE59)</f>
        <v>1</v>
      </c>
      <c r="IT59" s="2" t="str">
        <f>IF('Data Checking'!JF59="","",'Data Checking'!JF59)</f>
        <v>0</v>
      </c>
      <c r="IU59" s="2" t="str">
        <f>IF('Data Checking'!JG59="","",'Data Checking'!JG59)</f>
        <v>0</v>
      </c>
      <c r="IV59" s="2" t="str">
        <f>IF('Data Checking'!JH59="","",'Data Checking'!JH59)</f>
        <v>0</v>
      </c>
      <c r="IW59" s="2" t="str">
        <f>IF('Data Checking'!JI59="","",'Data Checking'!JI59)</f>
        <v>0</v>
      </c>
      <c r="IX59" s="2" t="str">
        <f>IF('Data Checking'!JJ59="","",'Data Checking'!JJ59)</f>
        <v>0</v>
      </c>
      <c r="IY59" s="2" t="str">
        <f>IF('Data Checking'!JK59="","",'Data Checking'!JK59)</f>
        <v>0</v>
      </c>
      <c r="IZ59" s="2" t="str">
        <f>IF('Data Checking'!JL59="","",'Data Checking'!JL59)</f>
        <v/>
      </c>
      <c r="JA59" s="2" t="str">
        <f>IF('Data Checking'!JM59="","",'Data Checking'!JM59)</f>
        <v>reorientation</v>
      </c>
      <c r="JB59" s="2" t="str">
        <f>IF('Data Checking'!JN59="","",'Data Checking'!JN59)</f>
        <v>0</v>
      </c>
      <c r="JC59" s="2" t="str">
        <f>IF('Data Checking'!JO59="","",'Data Checking'!JO59)</f>
        <v>1</v>
      </c>
      <c r="JD59" s="2" t="str">
        <f>IF('Data Checking'!JP59="","",'Data Checking'!JP59)</f>
        <v>0</v>
      </c>
      <c r="JE59" s="2" t="str">
        <f>IF('Data Checking'!JQ59="","",'Data Checking'!JQ59)</f>
        <v>0</v>
      </c>
      <c r="JF59" s="2" t="str">
        <f>IF('Data Checking'!JR59="","",'Data Checking'!JR59)</f>
        <v>0</v>
      </c>
      <c r="JG59" s="2" t="str">
        <f>IF('Data Checking'!JS59="","",'Data Checking'!JS59)</f>
        <v>0</v>
      </c>
      <c r="JH59" s="2" t="str">
        <f>IF('Data Checking'!JT59="","",'Data Checking'!JT59)</f>
        <v/>
      </c>
      <c r="JI59" s="2" t="str">
        <f>IF('Data Checking'!JU59="","",'Data Checking'!JU59)</f>
        <v/>
      </c>
      <c r="JJ59" s="2" t="str">
        <f>IF('Data Checking'!JV59="","",'Data Checking'!JV59)</f>
        <v/>
      </c>
      <c r="JK59" s="2" t="str">
        <f>IF('Data Checking'!JW59="","",'Data Checking'!JW59)</f>
        <v/>
      </c>
      <c r="JL59" s="2" t="str">
        <f>IF('Data Checking'!JX59="","",'Data Checking'!JX59)</f>
        <v/>
      </c>
      <c r="JM59" s="2" t="str">
        <f>IF('Data Checking'!JY59="","",'Data Checking'!JY59)</f>
        <v/>
      </c>
      <c r="JN59" s="2" t="str">
        <f>IF('Data Checking'!JZ59="","",'Data Checking'!JZ59)</f>
        <v/>
      </c>
      <c r="JO59" s="2" t="str">
        <f>IF('Data Checking'!KA59="","",'Data Checking'!KA59)</f>
        <v/>
      </c>
      <c r="JP59" s="2" t="str">
        <f>IF('Data Checking'!KB59="","",'Data Checking'!KB59)</f>
        <v/>
      </c>
      <c r="JQ59" s="2" t="str">
        <f>IF('Data Checking'!KC59="","",'Data Checking'!KC59)</f>
        <v/>
      </c>
      <c r="JR59" s="2" t="str">
        <f>IF('Data Checking'!KD59="","",'Data Checking'!KD59)</f>
        <v/>
      </c>
      <c r="JS59" s="2" t="str">
        <f>IF('Data Checking'!KE59="","",'Data Checking'!KE59)</f>
        <v/>
      </c>
      <c r="JT59" s="2" t="str">
        <f>IF('Data Checking'!KF59="","",'Data Checking'!KF59)</f>
        <v>juridique medical</v>
      </c>
      <c r="JU59" s="2" t="str">
        <f>IF('Data Checking'!KG59="","",'Data Checking'!KG59)</f>
        <v>1</v>
      </c>
      <c r="JV59" s="2" t="str">
        <f>IF('Data Checking'!KH59="","",'Data Checking'!KH59)</f>
        <v>0</v>
      </c>
      <c r="JW59" s="2" t="str">
        <f>IF('Data Checking'!KI59="","",'Data Checking'!KI59)</f>
        <v>0</v>
      </c>
      <c r="JX59" s="2" t="str">
        <f>IF('Data Checking'!KJ59="","",'Data Checking'!KJ59)</f>
        <v>1</v>
      </c>
      <c r="JY59" s="2" t="str">
        <f>IF('Data Checking'!KK59="","",'Data Checking'!KK59)</f>
        <v>0</v>
      </c>
      <c r="JZ59" s="2" t="str">
        <f>IF('Data Checking'!KL59="","",'Data Checking'!KL59)</f>
        <v>0</v>
      </c>
      <c r="KA59" s="2" t="str">
        <f>IF('Data Checking'!KM59="","",'Data Checking'!KM59)</f>
        <v>0</v>
      </c>
      <c r="KB59" s="2" t="str">
        <f>IF('Data Checking'!KN59="","",'Data Checking'!KN59)</f>
        <v>0</v>
      </c>
      <c r="KC59" s="2" t="str">
        <f>IF('Data Checking'!KO59="","",'Data Checking'!KO59)</f>
        <v>0</v>
      </c>
      <c r="KD59" s="2" t="str">
        <f>IF('Data Checking'!KP59="","",'Data Checking'!KP59)</f>
        <v/>
      </c>
      <c r="KE59" s="2" t="str">
        <f>IF('Data Checking'!KQ59="","",'Data Checking'!KQ59)</f>
        <v/>
      </c>
      <c r="KF59" s="2" t="str">
        <f>IF('Data Checking'!KR59="","",'Data Checking'!KR59)</f>
        <v>oui</v>
      </c>
      <c r="KG59" s="2" t="str">
        <f>IF('Data Checking'!KS59="","",'Data Checking'!KS59)</f>
        <v>manque_moyens probleme_orientation</v>
      </c>
      <c r="KH59" s="2" t="str">
        <f>IF('Data Checking'!KT59="","",'Data Checking'!KT59)</f>
        <v>1</v>
      </c>
      <c r="KI59" s="2" t="str">
        <f>IF('Data Checking'!KU59="","",'Data Checking'!KU59)</f>
        <v>0</v>
      </c>
      <c r="KJ59" s="2" t="str">
        <f>IF('Data Checking'!KV59="","",'Data Checking'!KV59)</f>
        <v>0</v>
      </c>
      <c r="KK59" s="2" t="str">
        <f>IF('Data Checking'!KW59="","",'Data Checking'!KW59)</f>
        <v>1</v>
      </c>
      <c r="KL59" s="2" t="str">
        <f>IF('Data Checking'!KX59="","",'Data Checking'!KX59)</f>
        <v>0</v>
      </c>
      <c r="KM59" s="2" t="str">
        <f>IF('Data Checking'!KY59="","",'Data Checking'!KY59)</f>
        <v>0</v>
      </c>
      <c r="KN59" s="2" t="str">
        <f>IF('Data Checking'!KZ59="","",'Data Checking'!KZ59)</f>
        <v>0</v>
      </c>
      <c r="KO59" s="2" t="str">
        <f>IF('Data Checking'!LA59="","",'Data Checking'!LA59)</f>
        <v>0</v>
      </c>
      <c r="KP59" s="2" t="str">
        <f>IF('Data Checking'!LB59="","",'Data Checking'!LB59)</f>
        <v>0</v>
      </c>
      <c r="KQ59" s="2" t="str">
        <f>IF('Data Checking'!LC59="","",'Data Checking'!LC59)</f>
        <v>0</v>
      </c>
      <c r="KR59" s="2" t="str">
        <f>IF('Data Checking'!LD59="","",'Data Checking'!LD59)</f>
        <v>0</v>
      </c>
      <c r="KS59" s="2" t="str">
        <f>IF('Data Checking'!LE59="","",'Data Checking'!LE59)</f>
        <v/>
      </c>
      <c r="KT59" s="2" t="str">
        <f>IF('Data Checking'!LF59="","",'Data Checking'!LF59)</f>
        <v>pb_logistiques pb_secu</v>
      </c>
      <c r="KU59" s="2" t="str">
        <f>IF('Data Checking'!LG59="","",'Data Checking'!LG59)</f>
        <v>0</v>
      </c>
      <c r="KV59" s="2" t="str">
        <f>IF('Data Checking'!LH59="","",'Data Checking'!LH59)</f>
        <v>1</v>
      </c>
      <c r="KW59" s="2" t="str">
        <f>IF('Data Checking'!LI59="","",'Data Checking'!LI59)</f>
        <v>1</v>
      </c>
      <c r="KX59" s="2" t="str">
        <f>IF('Data Checking'!LJ59="","",'Data Checking'!LJ59)</f>
        <v>0</v>
      </c>
      <c r="KY59" s="2" t="str">
        <f>IF('Data Checking'!LK59="","",'Data Checking'!LK59)</f>
        <v>0</v>
      </c>
      <c r="KZ59" s="2" t="str">
        <f>IF('Data Checking'!LL59="","",'Data Checking'!LL59)</f>
        <v>0</v>
      </c>
      <c r="LA59" s="2" t="str">
        <f>IF('Data Checking'!LM59="","",'Data Checking'!LM59)</f>
        <v/>
      </c>
      <c r="LB59" s="2" t="str">
        <f>IF('Data Checking'!LN59="","",'Data Checking'!LN59)</f>
        <v>non</v>
      </c>
      <c r="LC59" s="2" t="str">
        <f>IF('Data Checking'!LO59="","",'Data Checking'!LO59)</f>
        <v/>
      </c>
      <c r="LD59" s="2" t="str">
        <f>IF('Data Checking'!LP59="","",'Data Checking'!LP59)</f>
        <v/>
      </c>
      <c r="LE59" s="2" t="str">
        <f>IF('Data Checking'!LQ59="","",'Data Checking'!LQ59)</f>
        <v/>
      </c>
      <c r="LF59" s="2" t="str">
        <f>IF('Data Checking'!LR59="","",'Data Checking'!LR59)</f>
        <v/>
      </c>
      <c r="LG59" s="2" t="str">
        <f>IF('Data Checking'!LS59="","",'Data Checking'!LS59)</f>
        <v/>
      </c>
      <c r="LH59" s="2" t="str">
        <f>IF('Data Checking'!LT59="","",'Data Checking'!LT59)</f>
        <v/>
      </c>
      <c r="LI59" s="2" t="str">
        <f>IF('Data Checking'!LU59="","",'Data Checking'!LU59)</f>
        <v/>
      </c>
      <c r="LJ59" s="2" t="str">
        <f>IF('Data Checking'!LV59="","",'Data Checking'!LV59)</f>
        <v/>
      </c>
      <c r="LK59" s="2" t="str">
        <f>IF('Data Checking'!LW59="","",'Data Checking'!LW59)</f>
        <v/>
      </c>
      <c r="LL59" s="2" t="str">
        <f>IF('Data Checking'!LX59="","",'Data Checking'!LX59)</f>
        <v/>
      </c>
      <c r="LM59" s="2" t="str">
        <f>IF('Data Checking'!LY59="","",'Data Checking'!LY59)</f>
        <v/>
      </c>
      <c r="LN59" s="2" t="str">
        <f>IF('Data Checking'!LZ59="","",'Data Checking'!LZ59)</f>
        <v/>
      </c>
      <c r="LO59" s="2" t="str">
        <f>IF('Data Checking'!MA59="","",'Data Checking'!MA59)</f>
        <v/>
      </c>
      <c r="LP59" s="2" t="str">
        <f>IF('Data Checking'!MB59="","",'Data Checking'!MB59)</f>
        <v>oui</v>
      </c>
      <c r="LQ59" s="2" t="str">
        <f>IF('Data Checking'!MC59="","",'Data Checking'!MC59)</f>
        <v/>
      </c>
      <c r="LR59" s="2" t="str">
        <f>IF('Data Checking'!MD59="","",'Data Checking'!MD59)</f>
        <v/>
      </c>
      <c r="LS59" s="2">
        <f>IF('Data Checking'!ME59="","",'Data Checking'!ME59)</f>
        <v>168989897</v>
      </c>
      <c r="LT59" s="2" t="str">
        <f>IF('Data Checking'!MF59="","",'Data Checking'!MF59)</f>
        <v>54087329-f893-4f35-abab-9fd6e219334b</v>
      </c>
      <c r="LU59" s="2" t="str">
        <f>IF('Data Checking'!MG59="","",'Data Checking'!MG59)</f>
        <v>2021-03-31T22:12:33</v>
      </c>
      <c r="LV59" s="2" t="str">
        <f>IF('Data Checking'!MH59="","",'Data Checking'!MH59)</f>
        <v/>
      </c>
      <c r="LW59" s="2" t="str">
        <f>IF('Data Checking'!MI59="","",'Data Checking'!MI59)</f>
        <v>[]</v>
      </c>
      <c r="LX59" s="2" t="str">
        <f>IF('Data Checking'!MJ59="","",'Data Checking'!MJ59)</f>
        <v>submitted_via_web</v>
      </c>
      <c r="LY59" s="2" t="str">
        <f>IF('Data Checking'!MK59="","",'Data Checking'!MK59)</f>
        <v>reach_niger</v>
      </c>
      <c r="LZ59" s="2" t="str">
        <f>IF('Data Checking'!ML59="","",'Data Checking'!ML59)</f>
        <v/>
      </c>
      <c r="MA59" s="2">
        <f>IF('Data Checking'!MM59="","",'Data Checking'!MM59)</f>
        <v>8</v>
      </c>
    </row>
    <row r="60" spans="1:339" x14ac:dyDescent="0.3">
      <c r="A60" s="2" t="str">
        <f>IF('Data Checking'!D60="","",'Data Checking'!D60)</f>
        <v>2021-04-16T09:20:01.666+01:00</v>
      </c>
      <c r="B60" s="2" t="str">
        <f>IF('Data Checking'!E60="","",'Data Checking'!E60)</f>
        <v>2021-04-16T09:57:13.300+01:00</v>
      </c>
      <c r="C60" s="2" t="str">
        <f>IF('Data Checking'!M60="","",'Data Checking'!M60)</f>
        <v>2021-04-16</v>
      </c>
      <c r="D60" s="2" t="str">
        <f>IF('Data Checking'!N60="","",'Data Checking'!N60)</f>
        <v/>
      </c>
      <c r="E60" s="2" t="str">
        <f>IF('Data Checking'!O60="","",'Data Checking'!O60)</f>
        <v/>
      </c>
      <c r="F60" s="2" t="str">
        <f>IF('Data Checking'!R60="","",'Data Checking'!R60)</f>
        <v>Homme</v>
      </c>
      <c r="G60" s="2" t="str">
        <f>IF('Data Checking'!S60="","",'Data Checking'!S60)</f>
        <v>bankilare</v>
      </c>
      <c r="H60" s="2" t="str">
        <f>IF('Data Checking'!T60="","",'Data Checking'!T60)</f>
        <v>bankilare</v>
      </c>
      <c r="I60" s="2" t="str">
        <f>IF('Data Checking'!U60="","",'Data Checking'!U60)</f>
        <v>Fala</v>
      </c>
      <c r="J60" s="2" t="str">
        <f>IF('Data Checking'!V60="","",'Data Checking'!V60)</f>
        <v>Fala</v>
      </c>
      <c r="K60" s="2" t="str">
        <f>IF('Data Checking'!W60="","",'Data Checking'!W60)</f>
        <v/>
      </c>
      <c r="L60" s="2" t="str">
        <f>IF('Data Checking'!X60="","",'Data Checking'!X60)</f>
        <v/>
      </c>
      <c r="M60" s="2" t="str">
        <f>IF('Data Checking'!Y60="","",'Data Checking'!Y60)</f>
        <v/>
      </c>
      <c r="N60" s="2" t="str">
        <f>IF('Data Checking'!Z60="","",'Data Checking'!Z60)</f>
        <v/>
      </c>
      <c r="O60" s="2" t="str">
        <f>IF('Data Checking'!AA60="","",'Data Checking'!AA60)</f>
        <v/>
      </c>
      <c r="P60" s="2" t="str">
        <f>IF('Data Checking'!AB60="","",'Data Checking'!AB60)</f>
        <v/>
      </c>
      <c r="Q60" s="2" t="str">
        <f>IF('Data Checking'!AC60="","",'Data Checking'!AC60)</f>
        <v/>
      </c>
      <c r="R60" s="2" t="str">
        <f>IF('Data Checking'!AD60="","",'Data Checking'!AD60)</f>
        <v>Homme</v>
      </c>
      <c r="S60" s="2" t="str">
        <f>IF('Data Checking'!AE60="","",'Data Checking'!AE60)</f>
        <v>55</v>
      </c>
      <c r="T60" s="2" t="str">
        <f>IF('Data Checking'!AF60="","",'Data Checking'!AF60)</f>
        <v>deplace_interne</v>
      </c>
      <c r="U60" s="2" t="str">
        <f>IF('Data Checking'!AG60="","",'Data Checking'!AG60)</f>
        <v/>
      </c>
      <c r="V60" s="2" t="str">
        <f>IF('Data Checking'!AH60="","",'Data Checking'!AH60)</f>
        <v/>
      </c>
      <c r="W60" s="2" t="str">
        <f>IF('Data Checking'!AI60="","",'Data Checking'!AI60)</f>
        <v/>
      </c>
      <c r="X60" s="2" t="str">
        <f>IF('Data Checking'!AJ60="","",'Data Checking'!AJ60)</f>
        <v/>
      </c>
      <c r="Y60" s="2" t="str">
        <f>IF('Data Checking'!AK60="","",'Data Checking'!AK60)</f>
        <v/>
      </c>
      <c r="Z60" s="2" t="str">
        <f>IF('Data Checking'!AL60="","",'Data Checking'!AL60)</f>
        <v>niger</v>
      </c>
      <c r="AA60" s="2" t="str">
        <f>IF('Data Checking'!AM60="","",'Data Checking'!AM60)</f>
        <v>tillaberi</v>
      </c>
      <c r="AB60" s="2" t="str">
        <f>IF('Data Checking'!AN60="","",'Data Checking'!AN60)</f>
        <v>bankilare</v>
      </c>
      <c r="AC60" s="2" t="str">
        <f>IF('Data Checking'!AO60="","",'Data Checking'!AO60)</f>
        <v/>
      </c>
      <c r="AD60" s="2" t="str">
        <f>IF('Data Checking'!AP60="","",'Data Checking'!AP60)</f>
        <v/>
      </c>
      <c r="AE60" s="2" t="str">
        <f>IF('Data Checking'!AQ60="","",'Data Checking'!AQ60)</f>
        <v/>
      </c>
      <c r="AF60" s="2" t="str">
        <f>IF('Data Checking'!AR60="","",'Data Checking'!AR60)</f>
        <v/>
      </c>
      <c r="AG60" s="2" t="str">
        <f>IF('Data Checking'!AS60="","",'Data Checking'!AS60)</f>
        <v>non</v>
      </c>
      <c r="AH60" s="2" t="str">
        <f>IF('Data Checking'!AT60="","",'Data Checking'!AT60)</f>
        <v/>
      </c>
      <c r="AI60" s="2" t="str">
        <f>IF('Data Checking'!AU60="","",'Data Checking'!AU60)</f>
        <v/>
      </c>
      <c r="AJ60" s="2" t="str">
        <f>IF('Data Checking'!AV60="","",'Data Checking'!AV60)</f>
        <v/>
      </c>
      <c r="AK60" s="2" t="str">
        <f>IF('Data Checking'!AW60="","",'Data Checking'!AW60)</f>
        <v/>
      </c>
      <c r="AL60" s="2" t="str">
        <f>IF('Data Checking'!AX60="","",'Data Checking'!AX60)</f>
        <v/>
      </c>
      <c r="AM60" s="2" t="str">
        <f>IF('Data Checking'!AY60="","",'Data Checking'!AY60)</f>
        <v/>
      </c>
      <c r="AN60" s="2" t="str">
        <f>IF('Data Checking'!AZ60="","",'Data Checking'!AZ60)</f>
        <v/>
      </c>
      <c r="AO60" s="2" t="str">
        <f>IF('Data Checking'!BA60="","",'Data Checking'!BA60)</f>
        <v/>
      </c>
      <c r="AP60" s="2" t="str">
        <f>IF('Data Checking'!BB60="","",'Data Checking'!BB60)</f>
        <v/>
      </c>
      <c r="AQ60" s="2" t="str">
        <f>IF('Data Checking'!BC60="","",'Data Checking'!BC60)</f>
        <v/>
      </c>
      <c r="AR60" s="2" t="str">
        <f>IF('Data Checking'!BD60="","",'Data Checking'!BD60)</f>
        <v/>
      </c>
      <c r="AS60" s="2" t="str">
        <f>IF('Data Checking'!BE60="","",'Data Checking'!BE60)</f>
        <v/>
      </c>
      <c r="AT60" s="2" t="str">
        <f>IF('Data Checking'!BF60="","",'Data Checking'!BF60)</f>
        <v/>
      </c>
      <c r="AU60" s="2" t="str">
        <f>IF('Data Checking'!BG60="","",'Data Checking'!BG60)</f>
        <v/>
      </c>
      <c r="AV60" s="2" t="str">
        <f>IF('Data Checking'!BH60="","",'Data Checking'!BH60)</f>
        <v/>
      </c>
      <c r="AW60" s="2" t="str">
        <f>IF('Data Checking'!BI60="","",'Data Checking'!BI60)</f>
        <v/>
      </c>
      <c r="AX60" s="2" t="str">
        <f>IF('Data Checking'!BJ60="","",'Data Checking'!BJ60)</f>
        <v/>
      </c>
      <c r="AY60" s="2" t="str">
        <f>IF('Data Checking'!BK60="","",'Data Checking'!BK60)</f>
        <v/>
      </c>
      <c r="AZ60" s="2" t="str">
        <f>IF('Data Checking'!BL60="","",'Data Checking'!BL60)</f>
        <v/>
      </c>
      <c r="BA60" s="2" t="str">
        <f>IF('Data Checking'!BM60="","",'Data Checking'!BM60)</f>
        <v/>
      </c>
      <c r="BB60" s="2" t="str">
        <f>IF('Data Checking'!BN60="","",'Data Checking'!BN60)</f>
        <v/>
      </c>
      <c r="BC60" s="2" t="str">
        <f>IF('Data Checking'!BO60="","",'Data Checking'!BO60)</f>
        <v/>
      </c>
      <c r="BD60" s="2" t="str">
        <f>IF('Data Checking'!BP60="","",'Data Checking'!BP60)</f>
        <v/>
      </c>
      <c r="BE60" s="2" t="str">
        <f>IF('Data Checking'!BQ60="","",'Data Checking'!BQ60)</f>
        <v/>
      </c>
      <c r="BF60" s="2" t="str">
        <f>IF('Data Checking'!BR60="","",'Data Checking'!BR60)</f>
        <v/>
      </c>
      <c r="BG60" s="2" t="str">
        <f>IF('Data Checking'!BS60="","",'Data Checking'!BS60)</f>
        <v/>
      </c>
      <c r="BH60" s="2" t="str">
        <f>IF('Data Checking'!BT60="","",'Data Checking'!BT60)</f>
        <v/>
      </c>
      <c r="BI60" s="2" t="str">
        <f>IF('Data Checking'!BU60="","",'Data Checking'!BU60)</f>
        <v/>
      </c>
      <c r="BJ60" s="2" t="str">
        <f>IF('Data Checking'!BV60="","",'Data Checking'!BV60)</f>
        <v/>
      </c>
      <c r="BK60" s="2" t="str">
        <f>IF('Data Checking'!BW60="","",'Data Checking'!BW60)</f>
        <v/>
      </c>
      <c r="BL60" s="2" t="str">
        <f>IF('Data Checking'!BX60="","",'Data Checking'!BX60)</f>
        <v/>
      </c>
      <c r="BM60" s="2" t="str">
        <f>IF('Data Checking'!BY60="","",'Data Checking'!BY60)</f>
        <v/>
      </c>
      <c r="BN60" s="2" t="str">
        <f>IF('Data Checking'!BZ60="","",'Data Checking'!BZ60)</f>
        <v/>
      </c>
      <c r="BO60" s="2" t="str">
        <f>IF('Data Checking'!CA60="","",'Data Checking'!CA60)</f>
        <v/>
      </c>
      <c r="BP60" s="2" t="str">
        <f>IF('Data Checking'!CB60="","",'Data Checking'!CB60)</f>
        <v/>
      </c>
      <c r="BQ60" s="2" t="str">
        <f>IF('Data Checking'!CC60="","",'Data Checking'!CC60)</f>
        <v>non</v>
      </c>
      <c r="BR60" s="2" t="str">
        <f>IF('Data Checking'!CD60="","",'Data Checking'!CD60)</f>
        <v/>
      </c>
      <c r="BS60" s="2" t="str">
        <f>IF('Data Checking'!CE60="","",'Data Checking'!CE60)</f>
        <v/>
      </c>
      <c r="BT60" s="2" t="str">
        <f>IF('Data Checking'!CF60="","",'Data Checking'!CF60)</f>
        <v/>
      </c>
      <c r="BU60" s="2" t="str">
        <f>IF('Data Checking'!CG60="","",'Data Checking'!CG60)</f>
        <v/>
      </c>
      <c r="BV60" s="2" t="str">
        <f>IF('Data Checking'!CH60="","",'Data Checking'!CH60)</f>
        <v/>
      </c>
      <c r="BW60" s="2" t="str">
        <f>IF('Data Checking'!CI60="","",'Data Checking'!CI60)</f>
        <v/>
      </c>
      <c r="BX60" s="2" t="str">
        <f>IF('Data Checking'!CJ60="","",'Data Checking'!CJ60)</f>
        <v/>
      </c>
      <c r="BY60" s="2" t="str">
        <f>IF('Data Checking'!CK60="","",'Data Checking'!CK60)</f>
        <v/>
      </c>
      <c r="BZ60" s="2" t="str">
        <f>IF('Data Checking'!CL60="","",'Data Checking'!CL60)</f>
        <v/>
      </c>
      <c r="CA60" s="2" t="str">
        <f>IF('Data Checking'!CM60="","",'Data Checking'!CM60)</f>
        <v/>
      </c>
      <c r="CB60" s="2" t="str">
        <f>IF('Data Checking'!CN60="","",'Data Checking'!CN60)</f>
        <v/>
      </c>
      <c r="CC60" s="2" t="str">
        <f>IF('Data Checking'!CO60="","",'Data Checking'!CO60)</f>
        <v/>
      </c>
      <c r="CD60" s="2" t="str">
        <f>IF('Data Checking'!CP60="","",'Data Checking'!CP60)</f>
        <v/>
      </c>
      <c r="CE60" s="2" t="str">
        <f>IF('Data Checking'!CQ60="","",'Data Checking'!CQ60)</f>
        <v/>
      </c>
      <c r="CF60" s="2" t="str">
        <f>IF('Data Checking'!CR60="","",'Data Checking'!CR60)</f>
        <v/>
      </c>
      <c r="CG60" s="2" t="str">
        <f>IF('Data Checking'!CS60="","",'Data Checking'!CS60)</f>
        <v/>
      </c>
      <c r="CH60" s="2" t="str">
        <f>IF('Data Checking'!CT60="","",'Data Checking'!CT60)</f>
        <v/>
      </c>
      <c r="CI60" s="2" t="str">
        <f>IF('Data Checking'!CU60="","",'Data Checking'!CU60)</f>
        <v/>
      </c>
      <c r="CJ60" s="2" t="str">
        <f>IF('Data Checking'!CV60="","",'Data Checking'!CV60)</f>
        <v/>
      </c>
      <c r="CK60" s="2" t="str">
        <f>IF('Data Checking'!CW60="","",'Data Checking'!CW60)</f>
        <v/>
      </c>
      <c r="CL60" s="2" t="str">
        <f>IF('Data Checking'!CX60="","",'Data Checking'!CX60)</f>
        <v/>
      </c>
      <c r="CM60" s="2" t="str">
        <f>IF('Data Checking'!CY60="","",'Data Checking'!CY60)</f>
        <v/>
      </c>
      <c r="CN60" s="2" t="str">
        <f>IF('Data Checking'!CZ60="","",'Data Checking'!CZ60)</f>
        <v/>
      </c>
      <c r="CO60" s="2" t="str">
        <f>IF('Data Checking'!DA60="","",'Data Checking'!DA60)</f>
        <v/>
      </c>
      <c r="CP60" s="2" t="str">
        <f>IF('Data Checking'!DB60="","",'Data Checking'!DB60)</f>
        <v/>
      </c>
      <c r="CQ60" s="2" t="str">
        <f>IF('Data Checking'!DC60="","",'Data Checking'!DC60)</f>
        <v/>
      </c>
      <c r="CR60" s="2" t="str">
        <f>IF('Data Checking'!DD60="","",'Data Checking'!DD60)</f>
        <v/>
      </c>
      <c r="CS60" s="2" t="str">
        <f>IF('Data Checking'!DE60="","",'Data Checking'!DE60)</f>
        <v/>
      </c>
      <c r="CT60" s="2" t="str">
        <f>IF('Data Checking'!DF60="","",'Data Checking'!DF60)</f>
        <v/>
      </c>
      <c r="CU60" s="2" t="str">
        <f>IF('Data Checking'!DG60="","",'Data Checking'!DG60)</f>
        <v/>
      </c>
      <c r="CV60" s="2" t="str">
        <f>IF('Data Checking'!DH60="","",'Data Checking'!DH60)</f>
        <v/>
      </c>
      <c r="CW60" s="2" t="str">
        <f>IF('Data Checking'!DI60="","",'Data Checking'!DI60)</f>
        <v/>
      </c>
      <c r="CX60" s="2" t="str">
        <f>IF('Data Checking'!DJ60="","",'Data Checking'!DJ60)</f>
        <v/>
      </c>
      <c r="CY60" s="2" t="str">
        <f>IF('Data Checking'!DK60="","",'Data Checking'!DK60)</f>
        <v/>
      </c>
      <c r="CZ60" s="2" t="str">
        <f>IF('Data Checking'!DL60="","",'Data Checking'!DL60)</f>
        <v/>
      </c>
      <c r="DA60" s="2" t="str">
        <f>IF('Data Checking'!DM60="","",'Data Checking'!DM60)</f>
        <v/>
      </c>
      <c r="DB60" s="2" t="str">
        <f>IF('Data Checking'!DN60="","",'Data Checking'!DN60)</f>
        <v/>
      </c>
      <c r="DC60" s="2" t="str">
        <f>IF('Data Checking'!DO60="","",'Data Checking'!DO60)</f>
        <v/>
      </c>
      <c r="DD60" s="2" t="str">
        <f>IF('Data Checking'!DP60="","",'Data Checking'!DP60)</f>
        <v/>
      </c>
      <c r="DE60" s="2" t="str">
        <f>IF('Data Checking'!DQ60="","",'Data Checking'!DQ60)</f>
        <v/>
      </c>
      <c r="DF60" s="2" t="str">
        <f>IF('Data Checking'!DR60="","",'Data Checking'!DR60)</f>
        <v/>
      </c>
      <c r="DG60" s="2" t="str">
        <f>IF('Data Checking'!DS60="","",'Data Checking'!DS60)</f>
        <v/>
      </c>
      <c r="DH60" s="2" t="str">
        <f>IF('Data Checking'!DT60="","",'Data Checking'!DT60)</f>
        <v/>
      </c>
      <c r="DI60" s="2" t="str">
        <f>IF('Data Checking'!DU60="","",'Data Checking'!DU60)</f>
        <v/>
      </c>
      <c r="DJ60" s="2" t="str">
        <f>IF('Data Checking'!DV60="","",'Data Checking'!DV60)</f>
        <v/>
      </c>
      <c r="DK60" s="2" t="str">
        <f>IF('Data Checking'!DW60="","",'Data Checking'!DW60)</f>
        <v/>
      </c>
      <c r="DL60" s="2" t="str">
        <f>IF('Data Checking'!DX60="","",'Data Checking'!DX60)</f>
        <v/>
      </c>
      <c r="DM60" s="2" t="str">
        <f>IF('Data Checking'!DY60="","",'Data Checking'!DY60)</f>
        <v/>
      </c>
      <c r="DN60" s="2" t="str">
        <f>IF('Data Checking'!DZ60="","",'Data Checking'!DZ60)</f>
        <v/>
      </c>
      <c r="DO60" s="2" t="str">
        <f>IF('Data Checking'!EA60="","",'Data Checking'!EA60)</f>
        <v/>
      </c>
      <c r="DP60" s="2" t="str">
        <f>IF('Data Checking'!EB60="","",'Data Checking'!EB60)</f>
        <v/>
      </c>
      <c r="DQ60" s="2" t="str">
        <f>IF('Data Checking'!EC60="","",'Data Checking'!EC60)</f>
        <v/>
      </c>
      <c r="DR60" s="2" t="str">
        <f>IF('Data Checking'!ED60="","",'Data Checking'!ED60)</f>
        <v/>
      </c>
      <c r="DS60" s="2" t="str">
        <f>IF('Data Checking'!EE60="","",'Data Checking'!EE60)</f>
        <v/>
      </c>
      <c r="DT60" s="2" t="str">
        <f>IF('Data Checking'!EF60="","",'Data Checking'!EF60)</f>
        <v/>
      </c>
      <c r="DU60" s="2" t="str">
        <f>IF('Data Checking'!EG60="","",'Data Checking'!EG60)</f>
        <v/>
      </c>
      <c r="DV60" s="2" t="str">
        <f>IF('Data Checking'!EH60="","",'Data Checking'!EH60)</f>
        <v/>
      </c>
      <c r="DW60" s="2" t="str">
        <f>IF('Data Checking'!EI60="","",'Data Checking'!EI60)</f>
        <v/>
      </c>
      <c r="DX60" s="2" t="str">
        <f>IF('Data Checking'!EJ60="","",'Data Checking'!EJ60)</f>
        <v/>
      </c>
      <c r="DY60" s="2" t="str">
        <f>IF('Data Checking'!EK60="","",'Data Checking'!EK60)</f>
        <v/>
      </c>
      <c r="DZ60" s="2" t="str">
        <f>IF('Data Checking'!EL60="","",'Data Checking'!EL60)</f>
        <v>Soutien_famille_amis Soutien_chef_village</v>
      </c>
      <c r="EA60" s="2" t="str">
        <f>IF('Data Checking'!EM60="","",'Data Checking'!EM60)</f>
        <v>0</v>
      </c>
      <c r="EB60" s="2" t="str">
        <f>IF('Data Checking'!EN60="","",'Data Checking'!EN60)</f>
        <v>0</v>
      </c>
      <c r="EC60" s="2" t="str">
        <f>IF('Data Checking'!EO60="","",'Data Checking'!EO60)</f>
        <v>1</v>
      </c>
      <c r="ED60" s="2" t="str">
        <f>IF('Data Checking'!EP60="","",'Data Checking'!EP60)</f>
        <v>1</v>
      </c>
      <c r="EE60" s="2" t="str">
        <f>IF('Data Checking'!EQ60="","",'Data Checking'!EQ60)</f>
        <v>0</v>
      </c>
      <c r="EF60" s="2" t="str">
        <f>IF('Data Checking'!ER60="","",'Data Checking'!ER60)</f>
        <v>0</v>
      </c>
      <c r="EG60" s="2" t="str">
        <f>IF('Data Checking'!ES60="","",'Data Checking'!ES60)</f>
        <v>0</v>
      </c>
      <c r="EH60" s="2" t="str">
        <f>IF('Data Checking'!ET60="","",'Data Checking'!ET60)</f>
        <v>0</v>
      </c>
      <c r="EI60" s="2" t="str">
        <f>IF('Data Checking'!EU60="","",'Data Checking'!EU60)</f>
        <v>0</v>
      </c>
      <c r="EJ60" s="2" t="str">
        <f>IF('Data Checking'!EV60="","",'Data Checking'!EV60)</f>
        <v/>
      </c>
      <c r="EK60" s="2" t="str">
        <f>IF('Data Checking'!EW60="","",'Data Checking'!EW60)</f>
        <v/>
      </c>
      <c r="EL60" s="2" t="str">
        <f>IF('Data Checking'!EX60="","",'Data Checking'!EX60)</f>
        <v>famille_accueil comite_protection</v>
      </c>
      <c r="EM60" s="2" t="str">
        <f>IF('Data Checking'!EY60="","",'Data Checking'!EY60)</f>
        <v>0</v>
      </c>
      <c r="EN60" s="2" t="str">
        <f>IF('Data Checking'!EZ60="","",'Data Checking'!EZ60)</f>
        <v>1</v>
      </c>
      <c r="EO60" s="2" t="str">
        <f>IF('Data Checking'!FA60="","",'Data Checking'!FA60)</f>
        <v>1</v>
      </c>
      <c r="EP60" s="2" t="str">
        <f>IF('Data Checking'!FB60="","",'Data Checking'!FB60)</f>
        <v>0</v>
      </c>
      <c r="EQ60" s="2" t="str">
        <f>IF('Data Checking'!FC60="","",'Data Checking'!FC60)</f>
        <v>0</v>
      </c>
      <c r="ER60" s="2" t="str">
        <f>IF('Data Checking'!FD60="","",'Data Checking'!FD60)</f>
        <v>0</v>
      </c>
      <c r="ES60" s="2" t="str">
        <f>IF('Data Checking'!FE60="","",'Data Checking'!FE60)</f>
        <v>0</v>
      </c>
      <c r="ET60" s="2" t="str">
        <f>IF('Data Checking'!FF60="","",'Data Checking'!FF60)</f>
        <v>0</v>
      </c>
      <c r="EU60" s="2" t="str">
        <f>IF('Data Checking'!FG60="","",'Data Checking'!FG60)</f>
        <v>0</v>
      </c>
      <c r="EV60" s="2" t="str">
        <f>IF('Data Checking'!FH60="","",'Data Checking'!FH60)</f>
        <v>0</v>
      </c>
      <c r="EW60" s="2" t="str">
        <f>IF('Data Checking'!FI60="","",'Data Checking'!FI60)</f>
        <v/>
      </c>
      <c r="EX60" s="2" t="str">
        <f>IF('Data Checking'!FJ60="","",'Data Checking'!FJ60)</f>
        <v>oui</v>
      </c>
      <c r="EY60" s="2" t="str">
        <f>IF('Data Checking'!FK60="","",'Data Checking'!FK60)</f>
        <v>Chef_village Leaders_religieux Differents_comites_villageois</v>
      </c>
      <c r="EZ60" s="2" t="str">
        <f>IF('Data Checking'!FL60="","",'Data Checking'!FL60)</f>
        <v>0</v>
      </c>
      <c r="FA60" s="2" t="str">
        <f>IF('Data Checking'!FM60="","",'Data Checking'!FM60)</f>
        <v>0</v>
      </c>
      <c r="FB60" s="2" t="str">
        <f>IF('Data Checking'!FN60="","",'Data Checking'!FN60)</f>
        <v>0</v>
      </c>
      <c r="FC60" s="2" t="str">
        <f>IF('Data Checking'!FO60="","",'Data Checking'!FO60)</f>
        <v>0</v>
      </c>
      <c r="FD60" s="2" t="str">
        <f>IF('Data Checking'!FP60="","",'Data Checking'!FP60)</f>
        <v>1</v>
      </c>
      <c r="FE60" s="2" t="str">
        <f>IF('Data Checking'!FQ60="","",'Data Checking'!FQ60)</f>
        <v>0</v>
      </c>
      <c r="FF60" s="2" t="str">
        <f>IF('Data Checking'!FR60="","",'Data Checking'!FR60)</f>
        <v>1</v>
      </c>
      <c r="FG60" s="2" t="str">
        <f>IF('Data Checking'!FS60="","",'Data Checking'!FS60)</f>
        <v>0</v>
      </c>
      <c r="FH60" s="2" t="str">
        <f>IF('Data Checking'!FT60="","",'Data Checking'!FT60)</f>
        <v>1</v>
      </c>
      <c r="FI60" s="2" t="str">
        <f>IF('Data Checking'!FU60="","",'Data Checking'!FU60)</f>
        <v>0</v>
      </c>
      <c r="FJ60" s="2" t="str">
        <f>IF('Data Checking'!FV60="","",'Data Checking'!FV60)</f>
        <v>0</v>
      </c>
      <c r="FK60" s="2" t="str">
        <f>IF('Data Checking'!FW60="","",'Data Checking'!FW60)</f>
        <v>0</v>
      </c>
      <c r="FL60" s="2" t="str">
        <f>IF('Data Checking'!FX60="","",'Data Checking'!FX60)</f>
        <v>0</v>
      </c>
      <c r="FM60" s="2" t="str">
        <f>IF('Data Checking'!FY60="","",'Data Checking'!FY60)</f>
        <v>0</v>
      </c>
      <c r="FN60" s="2" t="str">
        <f>IF('Data Checking'!FZ60="","",'Data Checking'!FZ60)</f>
        <v/>
      </c>
      <c r="FO60" s="2" t="str">
        <f>IF('Data Checking'!GA60="","",'Data Checking'!GA60)</f>
        <v>oui_ensemble</v>
      </c>
      <c r="FP60" s="2" t="str">
        <f>IF('Data Checking'!GB60="","",'Data Checking'!GB60)</f>
        <v>oui_ensemble</v>
      </c>
      <c r="FQ60" s="2" t="str">
        <f>IF('Data Checking'!GC60="","",'Data Checking'!GC60)</f>
        <v/>
      </c>
      <c r="FR60" s="2" t="str">
        <f>IF('Data Checking'!GD60="","",'Data Checking'!GD60)</f>
        <v/>
      </c>
      <c r="FS60" s="2" t="str">
        <f>IF('Data Checking'!GE60="","",'Data Checking'!GE60)</f>
        <v/>
      </c>
      <c r="FT60" s="2" t="str">
        <f>IF('Data Checking'!GF60="","",'Data Checking'!GF60)</f>
        <v/>
      </c>
      <c r="FU60" s="2" t="str">
        <f>IF('Data Checking'!GG60="","",'Data Checking'!GG60)</f>
        <v/>
      </c>
      <c r="FV60" s="2" t="str">
        <f>IF('Data Checking'!GH60="","",'Data Checking'!GH60)</f>
        <v/>
      </c>
      <c r="FW60" s="2" t="str">
        <f>IF('Data Checking'!GI60="","",'Data Checking'!GI60)</f>
        <v/>
      </c>
      <c r="FX60" s="2" t="str">
        <f>IF('Data Checking'!GJ60="","",'Data Checking'!GJ60)</f>
        <v/>
      </c>
      <c r="FY60" s="2" t="str">
        <f>IF('Data Checking'!GK60="","",'Data Checking'!GK60)</f>
        <v/>
      </c>
      <c r="FZ60" s="2" t="str">
        <f>IF('Data Checking'!GL60="","",'Data Checking'!GL60)</f>
        <v/>
      </c>
      <c r="GA60" s="2" t="str">
        <f>IF('Data Checking'!GM60="","",'Data Checking'!GM60)</f>
        <v>ensemble</v>
      </c>
      <c r="GB60" s="2" t="str">
        <f>IF('Data Checking'!GN60="","",'Data Checking'!GN60)</f>
        <v>ensemble</v>
      </c>
      <c r="GC60" s="2" t="str">
        <f>IF('Data Checking'!GO60="","",'Data Checking'!GO60)</f>
        <v>Education Services_de_sante Appui_psychosocial</v>
      </c>
      <c r="GD60" s="2" t="str">
        <f>IF('Data Checking'!GP60="","",'Data Checking'!GP60)</f>
        <v>1</v>
      </c>
      <c r="GE60" s="2" t="str">
        <f>IF('Data Checking'!GQ60="","",'Data Checking'!GQ60)</f>
        <v>1</v>
      </c>
      <c r="GF60" s="2" t="str">
        <f>IF('Data Checking'!GR60="","",'Data Checking'!GR60)</f>
        <v>0</v>
      </c>
      <c r="GG60" s="2" t="str">
        <f>IF('Data Checking'!GS60="","",'Data Checking'!GS60)</f>
        <v>1</v>
      </c>
      <c r="GH60" s="2" t="str">
        <f>IF('Data Checking'!GT60="","",'Data Checking'!GT60)</f>
        <v>0</v>
      </c>
      <c r="GI60" s="2" t="str">
        <f>IF('Data Checking'!GU60="","",'Data Checking'!GU60)</f>
        <v>0</v>
      </c>
      <c r="GJ60" s="2" t="str">
        <f>IF('Data Checking'!GV60="","",'Data Checking'!GV60)</f>
        <v>0</v>
      </c>
      <c r="GK60" s="2" t="str">
        <f>IF('Data Checking'!GW60="","",'Data Checking'!GW60)</f>
        <v>0</v>
      </c>
      <c r="GL60" s="2" t="str">
        <f>IF('Data Checking'!GX60="","",'Data Checking'!GX60)</f>
        <v>0</v>
      </c>
      <c r="GM60" s="2" t="str">
        <f>IF('Data Checking'!GY60="","",'Data Checking'!GY60)</f>
        <v/>
      </c>
      <c r="GN60" s="2" t="str">
        <f>IF('Data Checking'!GZ60="","",'Data Checking'!GZ60)</f>
        <v>oui_majorite</v>
      </c>
      <c r="GO60" s="2" t="str">
        <f>IF('Data Checking'!HA60="","",'Data Checking'!HA60)</f>
        <v>oui_majorite</v>
      </c>
      <c r="GP60" s="2" t="str">
        <f>IF('Data Checking'!HB60="","",'Data Checking'!HB60)</f>
        <v>amelioration_futur repond_besoins_pop permet_obtenir_conseils</v>
      </c>
      <c r="GQ60" s="2" t="str">
        <f>IF('Data Checking'!HC60="","",'Data Checking'!HC60)</f>
        <v>1</v>
      </c>
      <c r="GR60" s="2" t="str">
        <f>IF('Data Checking'!HD60="","",'Data Checking'!HD60)</f>
        <v>1</v>
      </c>
      <c r="GS60" s="2" t="str">
        <f>IF('Data Checking'!HE60="","",'Data Checking'!HE60)</f>
        <v>1</v>
      </c>
      <c r="GT60" s="2" t="str">
        <f>IF('Data Checking'!HF60="","",'Data Checking'!HF60)</f>
        <v>0</v>
      </c>
      <c r="GU60" s="2" t="str">
        <f>IF('Data Checking'!HG60="","",'Data Checking'!HG60)</f>
        <v>0</v>
      </c>
      <c r="GV60" s="2" t="str">
        <f>IF('Data Checking'!HH60="","",'Data Checking'!HH60)</f>
        <v>0</v>
      </c>
      <c r="GW60" s="2" t="str">
        <f>IF('Data Checking'!HI60="","",'Data Checking'!HI60)</f>
        <v>0</v>
      </c>
      <c r="GX60" s="2" t="str">
        <f>IF('Data Checking'!HJ60="","",'Data Checking'!HJ60)</f>
        <v>0</v>
      </c>
      <c r="GY60" s="2" t="str">
        <f>IF('Data Checking'!HK60="","",'Data Checking'!HK60)</f>
        <v/>
      </c>
      <c r="GZ60" s="2" t="str">
        <f>IF('Data Checking'!HL60="","",'Data Checking'!HL60)</f>
        <v>non_diminition_tension</v>
      </c>
      <c r="HA60" s="2" t="str">
        <f>IF('Data Checking'!HM60="","",'Data Checking'!HM60)</f>
        <v>0</v>
      </c>
      <c r="HB60" s="2" t="str">
        <f>IF('Data Checking'!HN60="","",'Data Checking'!HN60)</f>
        <v>0</v>
      </c>
      <c r="HC60" s="2" t="str">
        <f>IF('Data Checking'!HO60="","",'Data Checking'!HO60)</f>
        <v>0</v>
      </c>
      <c r="HD60" s="2" t="str">
        <f>IF('Data Checking'!HP60="","",'Data Checking'!HP60)</f>
        <v>1</v>
      </c>
      <c r="HE60" s="2" t="str">
        <f>IF('Data Checking'!HQ60="","",'Data Checking'!HQ60)</f>
        <v>0</v>
      </c>
      <c r="HF60" s="2" t="str">
        <f>IF('Data Checking'!HR60="","",'Data Checking'!HR60)</f>
        <v>0</v>
      </c>
      <c r="HG60" s="2" t="str">
        <f>IF('Data Checking'!HS60="","",'Data Checking'!HS60)</f>
        <v/>
      </c>
      <c r="HH60" s="2" t="str">
        <f>IF('Data Checking'!HT60="","",'Data Checking'!HT60)</f>
        <v/>
      </c>
      <c r="HI60" s="2" t="str">
        <f>IF('Data Checking'!HU60="","",'Data Checking'!HU60)</f>
        <v>non</v>
      </c>
      <c r="HJ60" s="2" t="str">
        <f>IF('Data Checking'!HV60="","",'Data Checking'!HV60)</f>
        <v/>
      </c>
      <c r="HK60" s="2" t="str">
        <f>IF('Data Checking'!HW60="","",'Data Checking'!HW60)</f>
        <v/>
      </c>
      <c r="HL60" s="2" t="str">
        <f>IF('Data Checking'!HX60="","",'Data Checking'!HX60)</f>
        <v/>
      </c>
      <c r="HM60" s="2" t="str">
        <f>IF('Data Checking'!HY60="","",'Data Checking'!HY60)</f>
        <v/>
      </c>
      <c r="HN60" s="2" t="str">
        <f>IF('Data Checking'!HZ60="","",'Data Checking'!HZ60)</f>
        <v/>
      </c>
      <c r="HO60" s="2" t="str">
        <f>IF('Data Checking'!IA60="","",'Data Checking'!IA60)</f>
        <v/>
      </c>
      <c r="HP60" s="2" t="str">
        <f>IF('Data Checking'!IB60="","",'Data Checking'!IB60)</f>
        <v/>
      </c>
      <c r="HQ60" s="2" t="str">
        <f>IF('Data Checking'!IC60="","",'Data Checking'!IC60)</f>
        <v/>
      </c>
      <c r="HR60" s="2" t="str">
        <f>IF('Data Checking'!ID60="","",'Data Checking'!ID60)</f>
        <v/>
      </c>
      <c r="HS60" s="2" t="str">
        <f>IF('Data Checking'!IE60="","",'Data Checking'!IE60)</f>
        <v/>
      </c>
      <c r="HT60" s="2" t="str">
        <f>IF('Data Checking'!IF60="","",'Data Checking'!IF60)</f>
        <v/>
      </c>
      <c r="HU60" s="2" t="str">
        <f>IF('Data Checking'!IG60="","",'Data Checking'!IG60)</f>
        <v/>
      </c>
      <c r="HV60" s="2" t="str">
        <f>IF('Data Checking'!IH60="","",'Data Checking'!IH60)</f>
        <v>oui</v>
      </c>
      <c r="HW60" s="2" t="str">
        <f>IF('Data Checking'!II60="","",'Data Checking'!II60)</f>
        <v/>
      </c>
      <c r="HX60" s="2" t="str">
        <f>IF('Data Checking'!IJ60="","",'Data Checking'!IJ60)</f>
        <v/>
      </c>
      <c r="HY60" s="2" t="str">
        <f>IF('Data Checking'!IK60="","",'Data Checking'!IK60)</f>
        <v/>
      </c>
      <c r="HZ60" s="2" t="str">
        <f>IF('Data Checking'!IL60="","",'Data Checking'!IL60)</f>
        <v/>
      </c>
      <c r="IA60" s="2" t="str">
        <f>IF('Data Checking'!IM60="","",'Data Checking'!IM60)</f>
        <v/>
      </c>
      <c r="IB60" s="2" t="str">
        <f>IF('Data Checking'!IN60="","",'Data Checking'!IN60)</f>
        <v/>
      </c>
      <c r="IC60" s="2" t="str">
        <f>IF('Data Checking'!IO60="","",'Data Checking'!IO60)</f>
        <v/>
      </c>
      <c r="ID60" s="2" t="str">
        <f>IF('Data Checking'!IP60="","",'Data Checking'!IP60)</f>
        <v/>
      </c>
      <c r="IE60" s="2" t="str">
        <f>IF('Data Checking'!IQ60="","",'Data Checking'!IQ60)</f>
        <v/>
      </c>
      <c r="IF60" s="2" t="str">
        <f>IF('Data Checking'!IR60="","",'Data Checking'!IR60)</f>
        <v/>
      </c>
      <c r="IG60" s="2" t="str">
        <f>IF('Data Checking'!IS60="","",'Data Checking'!IS60)</f>
        <v/>
      </c>
      <c r="IH60" s="2" t="str">
        <f>IF('Data Checking'!IT60="","",'Data Checking'!IT60)</f>
        <v/>
      </c>
      <c r="II60" s="2" t="str">
        <f>IF('Data Checking'!IU60="","",'Data Checking'!IU60)</f>
        <v/>
      </c>
      <c r="IJ60" s="2" t="str">
        <f>IF('Data Checking'!IV60="","",'Data Checking'!IV60)</f>
        <v/>
      </c>
      <c r="IK60" s="2" t="str">
        <f>IF('Data Checking'!IW60="","",'Data Checking'!IW60)</f>
        <v/>
      </c>
      <c r="IL60" s="2" t="str">
        <f>IF('Data Checking'!IX60="","",'Data Checking'!IX60)</f>
        <v/>
      </c>
      <c r="IM60" s="2" t="str">
        <f>IF('Data Checking'!IY60="","",'Data Checking'!IY60)</f>
        <v/>
      </c>
      <c r="IN60" s="2" t="str">
        <f>IF('Data Checking'!IZ60="","",'Data Checking'!IZ60)</f>
        <v>85</v>
      </c>
      <c r="IO60" s="2" t="str">
        <f>IF('Data Checking'!JA60="","",'Data Checking'!JA60)</f>
        <v>Services_medicaux Services_educatifs acces_docs Appui_psychosocial</v>
      </c>
      <c r="IP60" s="2" t="str">
        <f>IF('Data Checking'!JB60="","",'Data Checking'!JB60)</f>
        <v>1</v>
      </c>
      <c r="IQ60" s="2" t="str">
        <f>IF('Data Checking'!JC60="","",'Data Checking'!JC60)</f>
        <v>1</v>
      </c>
      <c r="IR60" s="2" t="str">
        <f>IF('Data Checking'!JD60="","",'Data Checking'!JD60)</f>
        <v>1</v>
      </c>
      <c r="IS60" s="2" t="str">
        <f>IF('Data Checking'!JE60="","",'Data Checking'!JE60)</f>
        <v>0</v>
      </c>
      <c r="IT60" s="2" t="str">
        <f>IF('Data Checking'!JF60="","",'Data Checking'!JF60)</f>
        <v>1</v>
      </c>
      <c r="IU60" s="2" t="str">
        <f>IF('Data Checking'!JG60="","",'Data Checking'!JG60)</f>
        <v>0</v>
      </c>
      <c r="IV60" s="2" t="str">
        <f>IF('Data Checking'!JH60="","",'Data Checking'!JH60)</f>
        <v>0</v>
      </c>
      <c r="IW60" s="2" t="str">
        <f>IF('Data Checking'!JI60="","",'Data Checking'!JI60)</f>
        <v>0</v>
      </c>
      <c r="IX60" s="2" t="str">
        <f>IF('Data Checking'!JJ60="","",'Data Checking'!JJ60)</f>
        <v>0</v>
      </c>
      <c r="IY60" s="2" t="str">
        <f>IF('Data Checking'!JK60="","",'Data Checking'!JK60)</f>
        <v>0</v>
      </c>
      <c r="IZ60" s="2" t="str">
        <f>IF('Data Checking'!JL60="","",'Data Checking'!JL60)</f>
        <v/>
      </c>
      <c r="JA60" s="2" t="str">
        <f>IF('Data Checking'!JM60="","",'Data Checking'!JM60)</f>
        <v>reorientation signalement</v>
      </c>
      <c r="JB60" s="2" t="str">
        <f>IF('Data Checking'!JN60="","",'Data Checking'!JN60)</f>
        <v>0</v>
      </c>
      <c r="JC60" s="2" t="str">
        <f>IF('Data Checking'!JO60="","",'Data Checking'!JO60)</f>
        <v>1</v>
      </c>
      <c r="JD60" s="2" t="str">
        <f>IF('Data Checking'!JP60="","",'Data Checking'!JP60)</f>
        <v>1</v>
      </c>
      <c r="JE60" s="2" t="str">
        <f>IF('Data Checking'!JQ60="","",'Data Checking'!JQ60)</f>
        <v>0</v>
      </c>
      <c r="JF60" s="2" t="str">
        <f>IF('Data Checking'!JR60="","",'Data Checking'!JR60)</f>
        <v>0</v>
      </c>
      <c r="JG60" s="2" t="str">
        <f>IF('Data Checking'!JS60="","",'Data Checking'!JS60)</f>
        <v>0</v>
      </c>
      <c r="JH60" s="2" t="str">
        <f>IF('Data Checking'!JT60="","",'Data Checking'!JT60)</f>
        <v/>
      </c>
      <c r="JI60" s="2" t="str">
        <f>IF('Data Checking'!JU60="","",'Data Checking'!JU60)</f>
        <v/>
      </c>
      <c r="JJ60" s="2" t="str">
        <f>IF('Data Checking'!JV60="","",'Data Checking'!JV60)</f>
        <v/>
      </c>
      <c r="JK60" s="2" t="str">
        <f>IF('Data Checking'!JW60="","",'Data Checking'!JW60)</f>
        <v/>
      </c>
      <c r="JL60" s="2" t="str">
        <f>IF('Data Checking'!JX60="","",'Data Checking'!JX60)</f>
        <v/>
      </c>
      <c r="JM60" s="2" t="str">
        <f>IF('Data Checking'!JY60="","",'Data Checking'!JY60)</f>
        <v/>
      </c>
      <c r="JN60" s="2" t="str">
        <f>IF('Data Checking'!JZ60="","",'Data Checking'!JZ60)</f>
        <v/>
      </c>
      <c r="JO60" s="2" t="str">
        <f>IF('Data Checking'!KA60="","",'Data Checking'!KA60)</f>
        <v/>
      </c>
      <c r="JP60" s="2" t="str">
        <f>IF('Data Checking'!KB60="","",'Data Checking'!KB60)</f>
        <v/>
      </c>
      <c r="JQ60" s="2" t="str">
        <f>IF('Data Checking'!KC60="","",'Data Checking'!KC60)</f>
        <v/>
      </c>
      <c r="JR60" s="2" t="str">
        <f>IF('Data Checking'!KD60="","",'Data Checking'!KD60)</f>
        <v/>
      </c>
      <c r="JS60" s="2" t="str">
        <f>IF('Data Checking'!KE60="","",'Data Checking'!KE60)</f>
        <v/>
      </c>
      <c r="JT60" s="2" t="str">
        <f>IF('Data Checking'!KF60="","",'Data Checking'!KF60)</f>
        <v>medical juridique reinsertion surete Psychosocia</v>
      </c>
      <c r="JU60" s="2" t="str">
        <f>IF('Data Checking'!KG60="","",'Data Checking'!KG60)</f>
        <v>1</v>
      </c>
      <c r="JV60" s="2" t="str">
        <f>IF('Data Checking'!KH60="","",'Data Checking'!KH60)</f>
        <v>1</v>
      </c>
      <c r="JW60" s="2" t="str">
        <f>IF('Data Checking'!KI60="","",'Data Checking'!KI60)</f>
        <v>0</v>
      </c>
      <c r="JX60" s="2" t="str">
        <f>IF('Data Checking'!KJ60="","",'Data Checking'!KJ60)</f>
        <v>1</v>
      </c>
      <c r="JY60" s="2" t="str">
        <f>IF('Data Checking'!KK60="","",'Data Checking'!KK60)</f>
        <v>1</v>
      </c>
      <c r="JZ60" s="2" t="str">
        <f>IF('Data Checking'!KL60="","",'Data Checking'!KL60)</f>
        <v>1</v>
      </c>
      <c r="KA60" s="2" t="str">
        <f>IF('Data Checking'!KM60="","",'Data Checking'!KM60)</f>
        <v>0</v>
      </c>
      <c r="KB60" s="2" t="str">
        <f>IF('Data Checking'!KN60="","",'Data Checking'!KN60)</f>
        <v>0</v>
      </c>
      <c r="KC60" s="2" t="str">
        <f>IF('Data Checking'!KO60="","",'Data Checking'!KO60)</f>
        <v>0</v>
      </c>
      <c r="KD60" s="2" t="str">
        <f>IF('Data Checking'!KP60="","",'Data Checking'!KP60)</f>
        <v/>
      </c>
      <c r="KE60" s="2" t="str">
        <f>IF('Data Checking'!KQ60="","",'Data Checking'!KQ60)</f>
        <v/>
      </c>
      <c r="KF60" s="2" t="str">
        <f>IF('Data Checking'!KR60="","",'Data Checking'!KR60)</f>
        <v>non</v>
      </c>
      <c r="KG60" s="2" t="str">
        <f>IF('Data Checking'!KS60="","",'Data Checking'!KS60)</f>
        <v/>
      </c>
      <c r="KH60" s="2" t="str">
        <f>IF('Data Checking'!KT60="","",'Data Checking'!KT60)</f>
        <v/>
      </c>
      <c r="KI60" s="2" t="str">
        <f>IF('Data Checking'!KU60="","",'Data Checking'!KU60)</f>
        <v/>
      </c>
      <c r="KJ60" s="2" t="str">
        <f>IF('Data Checking'!KV60="","",'Data Checking'!KV60)</f>
        <v/>
      </c>
      <c r="KK60" s="2" t="str">
        <f>IF('Data Checking'!KW60="","",'Data Checking'!KW60)</f>
        <v/>
      </c>
      <c r="KL60" s="2" t="str">
        <f>IF('Data Checking'!KX60="","",'Data Checking'!KX60)</f>
        <v/>
      </c>
      <c r="KM60" s="2" t="str">
        <f>IF('Data Checking'!KY60="","",'Data Checking'!KY60)</f>
        <v/>
      </c>
      <c r="KN60" s="2" t="str">
        <f>IF('Data Checking'!KZ60="","",'Data Checking'!KZ60)</f>
        <v/>
      </c>
      <c r="KO60" s="2" t="str">
        <f>IF('Data Checking'!LA60="","",'Data Checking'!LA60)</f>
        <v/>
      </c>
      <c r="KP60" s="2" t="str">
        <f>IF('Data Checking'!LB60="","",'Data Checking'!LB60)</f>
        <v/>
      </c>
      <c r="KQ60" s="2" t="str">
        <f>IF('Data Checking'!LC60="","",'Data Checking'!LC60)</f>
        <v/>
      </c>
      <c r="KR60" s="2" t="str">
        <f>IF('Data Checking'!LD60="","",'Data Checking'!LD60)</f>
        <v/>
      </c>
      <c r="KS60" s="2" t="str">
        <f>IF('Data Checking'!LE60="","",'Data Checking'!LE60)</f>
        <v/>
      </c>
      <c r="KT60" s="2" t="str">
        <f>IF('Data Checking'!LF60="","",'Data Checking'!LF60)</f>
        <v/>
      </c>
      <c r="KU60" s="2" t="str">
        <f>IF('Data Checking'!LG60="","",'Data Checking'!LG60)</f>
        <v/>
      </c>
      <c r="KV60" s="2" t="str">
        <f>IF('Data Checking'!LH60="","",'Data Checking'!LH60)</f>
        <v/>
      </c>
      <c r="KW60" s="2" t="str">
        <f>IF('Data Checking'!LI60="","",'Data Checking'!LI60)</f>
        <v/>
      </c>
      <c r="KX60" s="2" t="str">
        <f>IF('Data Checking'!LJ60="","",'Data Checking'!LJ60)</f>
        <v/>
      </c>
      <c r="KY60" s="2" t="str">
        <f>IF('Data Checking'!LK60="","",'Data Checking'!LK60)</f>
        <v/>
      </c>
      <c r="KZ60" s="2" t="str">
        <f>IF('Data Checking'!LL60="","",'Data Checking'!LL60)</f>
        <v/>
      </c>
      <c r="LA60" s="2" t="str">
        <f>IF('Data Checking'!LM60="","",'Data Checking'!LM60)</f>
        <v/>
      </c>
      <c r="LB60" s="2" t="str">
        <f>IF('Data Checking'!LN60="","",'Data Checking'!LN60)</f>
        <v>non</v>
      </c>
      <c r="LC60" s="2" t="str">
        <f>IF('Data Checking'!LO60="","",'Data Checking'!LO60)</f>
        <v/>
      </c>
      <c r="LD60" s="2" t="str">
        <f>IF('Data Checking'!LP60="","",'Data Checking'!LP60)</f>
        <v/>
      </c>
      <c r="LE60" s="2" t="str">
        <f>IF('Data Checking'!LQ60="","",'Data Checking'!LQ60)</f>
        <v/>
      </c>
      <c r="LF60" s="2" t="str">
        <f>IF('Data Checking'!LR60="","",'Data Checking'!LR60)</f>
        <v/>
      </c>
      <c r="LG60" s="2" t="str">
        <f>IF('Data Checking'!LS60="","",'Data Checking'!LS60)</f>
        <v/>
      </c>
      <c r="LH60" s="2" t="str">
        <f>IF('Data Checking'!LT60="","",'Data Checking'!LT60)</f>
        <v/>
      </c>
      <c r="LI60" s="2" t="str">
        <f>IF('Data Checking'!LU60="","",'Data Checking'!LU60)</f>
        <v/>
      </c>
      <c r="LJ60" s="2" t="str">
        <f>IF('Data Checking'!LV60="","",'Data Checking'!LV60)</f>
        <v/>
      </c>
      <c r="LK60" s="2" t="str">
        <f>IF('Data Checking'!LW60="","",'Data Checking'!LW60)</f>
        <v/>
      </c>
      <c r="LL60" s="2" t="str">
        <f>IF('Data Checking'!LX60="","",'Data Checking'!LX60)</f>
        <v/>
      </c>
      <c r="LM60" s="2" t="str">
        <f>IF('Data Checking'!LY60="","",'Data Checking'!LY60)</f>
        <v/>
      </c>
      <c r="LN60" s="2" t="str">
        <f>IF('Data Checking'!LZ60="","",'Data Checking'!LZ60)</f>
        <v/>
      </c>
      <c r="LO60" s="2" t="str">
        <f>IF('Data Checking'!MA60="","",'Data Checking'!MA60)</f>
        <v/>
      </c>
      <c r="LP60" s="2" t="str">
        <f>IF('Data Checking'!MB60="","",'Data Checking'!MB60)</f>
        <v>oui</v>
      </c>
      <c r="LQ60" s="2" t="str">
        <f>IF('Data Checking'!MC60="","",'Data Checking'!MC60)</f>
        <v/>
      </c>
      <c r="LR60" s="2" t="str">
        <f>IF('Data Checking'!MD60="","",'Data Checking'!MD60)</f>
        <v/>
      </c>
      <c r="LS60" s="2">
        <f>IF('Data Checking'!ME60="","",'Data Checking'!ME60)</f>
        <v>172010451</v>
      </c>
      <c r="LT60" s="2" t="str">
        <f>IF('Data Checking'!MF60="","",'Data Checking'!MF60)</f>
        <v>60625aaf-f58c-4940-86f6-874af488d0d6</v>
      </c>
      <c r="LU60" s="2" t="str">
        <f>IF('Data Checking'!MG60="","",'Data Checking'!MG60)</f>
        <v>2021-04-16T16:05:48</v>
      </c>
      <c r="LV60" s="2" t="str">
        <f>IF('Data Checking'!MH60="","",'Data Checking'!MH60)</f>
        <v/>
      </c>
      <c r="LW60" s="2" t="str">
        <f>IF('Data Checking'!MI60="","",'Data Checking'!MI60)</f>
        <v>[]</v>
      </c>
      <c r="LX60" s="2" t="str">
        <f>IF('Data Checking'!MJ60="","",'Data Checking'!MJ60)</f>
        <v>submitted_via_web</v>
      </c>
      <c r="LY60" s="2" t="str">
        <f>IF('Data Checking'!MK60="","",'Data Checking'!MK60)</f>
        <v>reach_niger</v>
      </c>
      <c r="LZ60" s="2" t="str">
        <f>IF('Data Checking'!ML60="","",'Data Checking'!ML60)</f>
        <v/>
      </c>
      <c r="MA60" s="2">
        <f>IF('Data Checking'!MM60="","",'Data Checking'!MM60)</f>
        <v>70</v>
      </c>
    </row>
    <row r="61" spans="1:339" x14ac:dyDescent="0.3">
      <c r="A61" s="2" t="str">
        <f>IF('Data Checking'!D61="","",'Data Checking'!D61)</f>
        <v>2021-04-15T14:36:25.820+01:00</v>
      </c>
      <c r="B61" s="2" t="str">
        <f>IF('Data Checking'!E61="","",'Data Checking'!E61)</f>
        <v>2021-04-15T15:13:39.718+01:00</v>
      </c>
      <c r="C61" s="2" t="str">
        <f>IF('Data Checking'!M61="","",'Data Checking'!M61)</f>
        <v>2021-04-15</v>
      </c>
      <c r="D61" s="2" t="str">
        <f>IF('Data Checking'!N61="","",'Data Checking'!N61)</f>
        <v/>
      </c>
      <c r="E61" s="2" t="str">
        <f>IF('Data Checking'!O61="","",'Data Checking'!O61)</f>
        <v/>
      </c>
      <c r="F61" s="2" t="str">
        <f>IF('Data Checking'!R61="","",'Data Checking'!R61)</f>
        <v>Homme</v>
      </c>
      <c r="G61" s="2" t="str">
        <f>IF('Data Checking'!S61="","",'Data Checking'!S61)</f>
        <v>torodi</v>
      </c>
      <c r="H61" s="2" t="str">
        <f>IF('Data Checking'!T61="","",'Data Checking'!T61)</f>
        <v>torodi</v>
      </c>
      <c r="I61" s="2" t="str">
        <f>IF('Data Checking'!U61="","",'Data Checking'!U61)</f>
        <v>Kobadjé</v>
      </c>
      <c r="J61" s="2" t="str">
        <f>IF('Data Checking'!V61="","",'Data Checking'!V61)</f>
        <v>Kobadjé</v>
      </c>
      <c r="K61" s="2" t="str">
        <f>IF('Data Checking'!W61="","",'Data Checking'!W61)</f>
        <v/>
      </c>
      <c r="L61" s="2" t="str">
        <f>IF('Data Checking'!X61="","",'Data Checking'!X61)</f>
        <v/>
      </c>
      <c r="M61" s="2" t="str">
        <f>IF('Data Checking'!Y61="","",'Data Checking'!Y61)</f>
        <v/>
      </c>
      <c r="N61" s="2" t="str">
        <f>IF('Data Checking'!Z61="","",'Data Checking'!Z61)</f>
        <v/>
      </c>
      <c r="O61" s="2" t="str">
        <f>IF('Data Checking'!AA61="","",'Data Checking'!AA61)</f>
        <v/>
      </c>
      <c r="P61" s="2" t="str">
        <f>IF('Data Checking'!AB61="","",'Data Checking'!AB61)</f>
        <v/>
      </c>
      <c r="Q61" s="2" t="str">
        <f>IF('Data Checking'!AC61="","",'Data Checking'!AC61)</f>
        <v/>
      </c>
      <c r="R61" s="2" t="str">
        <f>IF('Data Checking'!AD61="","",'Data Checking'!AD61)</f>
        <v>Femme</v>
      </c>
      <c r="S61" s="2" t="str">
        <f>IF('Data Checking'!AE61="","",'Data Checking'!AE61)</f>
        <v>51</v>
      </c>
      <c r="T61" s="2" t="str">
        <f>IF('Data Checking'!AF61="","",'Data Checking'!AF61)</f>
        <v>deplace_interne</v>
      </c>
      <c r="U61" s="2" t="str">
        <f>IF('Data Checking'!AG61="","",'Data Checking'!AG61)</f>
        <v/>
      </c>
      <c r="V61" s="2" t="str">
        <f>IF('Data Checking'!AH61="","",'Data Checking'!AH61)</f>
        <v/>
      </c>
      <c r="W61" s="2" t="str">
        <f>IF('Data Checking'!AI61="","",'Data Checking'!AI61)</f>
        <v/>
      </c>
      <c r="X61" s="2" t="str">
        <f>IF('Data Checking'!AJ61="","",'Data Checking'!AJ61)</f>
        <v/>
      </c>
      <c r="Y61" s="2" t="str">
        <f>IF('Data Checking'!AK61="","",'Data Checking'!AK61)</f>
        <v/>
      </c>
      <c r="Z61" s="2" t="str">
        <f>IF('Data Checking'!AL61="","",'Data Checking'!AL61)</f>
        <v>niger</v>
      </c>
      <c r="AA61" s="2" t="str">
        <f>IF('Data Checking'!AM61="","",'Data Checking'!AM61)</f>
        <v>tillaberi</v>
      </c>
      <c r="AB61" s="2" t="str">
        <f>IF('Data Checking'!AN61="","",'Data Checking'!AN61)</f>
        <v>torodi</v>
      </c>
      <c r="AC61" s="2" t="str">
        <f>IF('Data Checking'!AO61="","",'Data Checking'!AO61)</f>
        <v/>
      </c>
      <c r="AD61" s="2" t="str">
        <f>IF('Data Checking'!AP61="","",'Data Checking'!AP61)</f>
        <v/>
      </c>
      <c r="AE61" s="2" t="str">
        <f>IF('Data Checking'!AQ61="","",'Data Checking'!AQ61)</f>
        <v/>
      </c>
      <c r="AF61" s="2" t="str">
        <f>IF('Data Checking'!AR61="","",'Data Checking'!AR61)</f>
        <v/>
      </c>
      <c r="AG61" s="2" t="str">
        <f>IF('Data Checking'!AS61="","",'Data Checking'!AS61)</f>
        <v>non</v>
      </c>
      <c r="AH61" s="2" t="str">
        <f>IF('Data Checking'!AT61="","",'Data Checking'!AT61)</f>
        <v/>
      </c>
      <c r="AI61" s="2" t="str">
        <f>IF('Data Checking'!AU61="","",'Data Checking'!AU61)</f>
        <v/>
      </c>
      <c r="AJ61" s="2" t="str">
        <f>IF('Data Checking'!AV61="","",'Data Checking'!AV61)</f>
        <v/>
      </c>
      <c r="AK61" s="2" t="str">
        <f>IF('Data Checking'!AW61="","",'Data Checking'!AW61)</f>
        <v/>
      </c>
      <c r="AL61" s="2" t="str">
        <f>IF('Data Checking'!AX61="","",'Data Checking'!AX61)</f>
        <v/>
      </c>
      <c r="AM61" s="2" t="str">
        <f>IF('Data Checking'!AY61="","",'Data Checking'!AY61)</f>
        <v/>
      </c>
      <c r="AN61" s="2" t="str">
        <f>IF('Data Checking'!AZ61="","",'Data Checking'!AZ61)</f>
        <v/>
      </c>
      <c r="AO61" s="2" t="str">
        <f>IF('Data Checking'!BA61="","",'Data Checking'!BA61)</f>
        <v/>
      </c>
      <c r="AP61" s="2" t="str">
        <f>IF('Data Checking'!BB61="","",'Data Checking'!BB61)</f>
        <v/>
      </c>
      <c r="AQ61" s="2" t="str">
        <f>IF('Data Checking'!BC61="","",'Data Checking'!BC61)</f>
        <v/>
      </c>
      <c r="AR61" s="2" t="str">
        <f>IF('Data Checking'!BD61="","",'Data Checking'!BD61)</f>
        <v/>
      </c>
      <c r="AS61" s="2" t="str">
        <f>IF('Data Checking'!BE61="","",'Data Checking'!BE61)</f>
        <v/>
      </c>
      <c r="AT61" s="2" t="str">
        <f>IF('Data Checking'!BF61="","",'Data Checking'!BF61)</f>
        <v/>
      </c>
      <c r="AU61" s="2" t="str">
        <f>IF('Data Checking'!BG61="","",'Data Checking'!BG61)</f>
        <v/>
      </c>
      <c r="AV61" s="2" t="str">
        <f>IF('Data Checking'!BH61="","",'Data Checking'!BH61)</f>
        <v/>
      </c>
      <c r="AW61" s="2" t="str">
        <f>IF('Data Checking'!BI61="","",'Data Checking'!BI61)</f>
        <v/>
      </c>
      <c r="AX61" s="2" t="str">
        <f>IF('Data Checking'!BJ61="","",'Data Checking'!BJ61)</f>
        <v/>
      </c>
      <c r="AY61" s="2" t="str">
        <f>IF('Data Checking'!BK61="","",'Data Checking'!BK61)</f>
        <v/>
      </c>
      <c r="AZ61" s="2" t="str">
        <f>IF('Data Checking'!BL61="","",'Data Checking'!BL61)</f>
        <v/>
      </c>
      <c r="BA61" s="2" t="str">
        <f>IF('Data Checking'!BM61="","",'Data Checking'!BM61)</f>
        <v/>
      </c>
      <c r="BB61" s="2" t="str">
        <f>IF('Data Checking'!BN61="","",'Data Checking'!BN61)</f>
        <v/>
      </c>
      <c r="BC61" s="2" t="str">
        <f>IF('Data Checking'!BO61="","",'Data Checking'!BO61)</f>
        <v/>
      </c>
      <c r="BD61" s="2" t="str">
        <f>IF('Data Checking'!BP61="","",'Data Checking'!BP61)</f>
        <v/>
      </c>
      <c r="BE61" s="2" t="str">
        <f>IF('Data Checking'!BQ61="","",'Data Checking'!BQ61)</f>
        <v/>
      </c>
      <c r="BF61" s="2" t="str">
        <f>IF('Data Checking'!BR61="","",'Data Checking'!BR61)</f>
        <v/>
      </c>
      <c r="BG61" s="2" t="str">
        <f>IF('Data Checking'!BS61="","",'Data Checking'!BS61)</f>
        <v/>
      </c>
      <c r="BH61" s="2" t="str">
        <f>IF('Data Checking'!BT61="","",'Data Checking'!BT61)</f>
        <v/>
      </c>
      <c r="BI61" s="2" t="str">
        <f>IF('Data Checking'!BU61="","",'Data Checking'!BU61)</f>
        <v/>
      </c>
      <c r="BJ61" s="2" t="str">
        <f>IF('Data Checking'!BV61="","",'Data Checking'!BV61)</f>
        <v/>
      </c>
      <c r="BK61" s="2" t="str">
        <f>IF('Data Checking'!BW61="","",'Data Checking'!BW61)</f>
        <v/>
      </c>
      <c r="BL61" s="2" t="str">
        <f>IF('Data Checking'!BX61="","",'Data Checking'!BX61)</f>
        <v/>
      </c>
      <c r="BM61" s="2" t="str">
        <f>IF('Data Checking'!BY61="","",'Data Checking'!BY61)</f>
        <v/>
      </c>
      <c r="BN61" s="2" t="str">
        <f>IF('Data Checking'!BZ61="","",'Data Checking'!BZ61)</f>
        <v/>
      </c>
      <c r="BO61" s="2" t="str">
        <f>IF('Data Checking'!CA61="","",'Data Checking'!CA61)</f>
        <v/>
      </c>
      <c r="BP61" s="2" t="str">
        <f>IF('Data Checking'!CB61="","",'Data Checking'!CB61)</f>
        <v/>
      </c>
      <c r="BQ61" s="2" t="str">
        <f>IF('Data Checking'!CC61="","",'Data Checking'!CC61)</f>
        <v>non</v>
      </c>
      <c r="BR61" s="2" t="str">
        <f>IF('Data Checking'!CD61="","",'Data Checking'!CD61)</f>
        <v/>
      </c>
      <c r="BS61" s="2" t="str">
        <f>IF('Data Checking'!CE61="","",'Data Checking'!CE61)</f>
        <v/>
      </c>
      <c r="BT61" s="2" t="str">
        <f>IF('Data Checking'!CF61="","",'Data Checking'!CF61)</f>
        <v/>
      </c>
      <c r="BU61" s="2" t="str">
        <f>IF('Data Checking'!CG61="","",'Data Checking'!CG61)</f>
        <v/>
      </c>
      <c r="BV61" s="2" t="str">
        <f>IF('Data Checking'!CH61="","",'Data Checking'!CH61)</f>
        <v/>
      </c>
      <c r="BW61" s="2" t="str">
        <f>IF('Data Checking'!CI61="","",'Data Checking'!CI61)</f>
        <v/>
      </c>
      <c r="BX61" s="2" t="str">
        <f>IF('Data Checking'!CJ61="","",'Data Checking'!CJ61)</f>
        <v/>
      </c>
      <c r="BY61" s="2" t="str">
        <f>IF('Data Checking'!CK61="","",'Data Checking'!CK61)</f>
        <v/>
      </c>
      <c r="BZ61" s="2" t="str">
        <f>IF('Data Checking'!CL61="","",'Data Checking'!CL61)</f>
        <v/>
      </c>
      <c r="CA61" s="2" t="str">
        <f>IF('Data Checking'!CM61="","",'Data Checking'!CM61)</f>
        <v/>
      </c>
      <c r="CB61" s="2" t="str">
        <f>IF('Data Checking'!CN61="","",'Data Checking'!CN61)</f>
        <v/>
      </c>
      <c r="CC61" s="2" t="str">
        <f>IF('Data Checking'!CO61="","",'Data Checking'!CO61)</f>
        <v/>
      </c>
      <c r="CD61" s="2" t="str">
        <f>IF('Data Checking'!CP61="","",'Data Checking'!CP61)</f>
        <v/>
      </c>
      <c r="CE61" s="2" t="str">
        <f>IF('Data Checking'!CQ61="","",'Data Checking'!CQ61)</f>
        <v/>
      </c>
      <c r="CF61" s="2" t="str">
        <f>IF('Data Checking'!CR61="","",'Data Checking'!CR61)</f>
        <v/>
      </c>
      <c r="CG61" s="2" t="str">
        <f>IF('Data Checking'!CS61="","",'Data Checking'!CS61)</f>
        <v/>
      </c>
      <c r="CH61" s="2" t="str">
        <f>IF('Data Checking'!CT61="","",'Data Checking'!CT61)</f>
        <v/>
      </c>
      <c r="CI61" s="2" t="str">
        <f>IF('Data Checking'!CU61="","",'Data Checking'!CU61)</f>
        <v/>
      </c>
      <c r="CJ61" s="2" t="str">
        <f>IF('Data Checking'!CV61="","",'Data Checking'!CV61)</f>
        <v/>
      </c>
      <c r="CK61" s="2" t="str">
        <f>IF('Data Checking'!CW61="","",'Data Checking'!CW61)</f>
        <v/>
      </c>
      <c r="CL61" s="2" t="str">
        <f>IF('Data Checking'!CX61="","",'Data Checking'!CX61)</f>
        <v/>
      </c>
      <c r="CM61" s="2" t="str">
        <f>IF('Data Checking'!CY61="","",'Data Checking'!CY61)</f>
        <v/>
      </c>
      <c r="CN61" s="2" t="str">
        <f>IF('Data Checking'!CZ61="","",'Data Checking'!CZ61)</f>
        <v/>
      </c>
      <c r="CO61" s="2" t="str">
        <f>IF('Data Checking'!DA61="","",'Data Checking'!DA61)</f>
        <v/>
      </c>
      <c r="CP61" s="2" t="str">
        <f>IF('Data Checking'!DB61="","",'Data Checking'!DB61)</f>
        <v/>
      </c>
      <c r="CQ61" s="2" t="str">
        <f>IF('Data Checking'!DC61="","",'Data Checking'!DC61)</f>
        <v/>
      </c>
      <c r="CR61" s="2" t="str">
        <f>IF('Data Checking'!DD61="","",'Data Checking'!DD61)</f>
        <v/>
      </c>
      <c r="CS61" s="2" t="str">
        <f>IF('Data Checking'!DE61="","",'Data Checking'!DE61)</f>
        <v/>
      </c>
      <c r="CT61" s="2" t="str">
        <f>IF('Data Checking'!DF61="","",'Data Checking'!DF61)</f>
        <v/>
      </c>
      <c r="CU61" s="2" t="str">
        <f>IF('Data Checking'!DG61="","",'Data Checking'!DG61)</f>
        <v/>
      </c>
      <c r="CV61" s="2" t="str">
        <f>IF('Data Checking'!DH61="","",'Data Checking'!DH61)</f>
        <v/>
      </c>
      <c r="CW61" s="2" t="str">
        <f>IF('Data Checking'!DI61="","",'Data Checking'!DI61)</f>
        <v/>
      </c>
      <c r="CX61" s="2" t="str">
        <f>IF('Data Checking'!DJ61="","",'Data Checking'!DJ61)</f>
        <v/>
      </c>
      <c r="CY61" s="2" t="str">
        <f>IF('Data Checking'!DK61="","",'Data Checking'!DK61)</f>
        <v/>
      </c>
      <c r="CZ61" s="2" t="str">
        <f>IF('Data Checking'!DL61="","",'Data Checking'!DL61)</f>
        <v/>
      </c>
      <c r="DA61" s="2" t="str">
        <f>IF('Data Checking'!DM61="","",'Data Checking'!DM61)</f>
        <v/>
      </c>
      <c r="DB61" s="2" t="str">
        <f>IF('Data Checking'!DN61="","",'Data Checking'!DN61)</f>
        <v/>
      </c>
      <c r="DC61" s="2" t="str">
        <f>IF('Data Checking'!DO61="","",'Data Checking'!DO61)</f>
        <v/>
      </c>
      <c r="DD61" s="2" t="str">
        <f>IF('Data Checking'!DP61="","",'Data Checking'!DP61)</f>
        <v/>
      </c>
      <c r="DE61" s="2" t="str">
        <f>IF('Data Checking'!DQ61="","",'Data Checking'!DQ61)</f>
        <v/>
      </c>
      <c r="DF61" s="2" t="str">
        <f>IF('Data Checking'!DR61="","",'Data Checking'!DR61)</f>
        <v/>
      </c>
      <c r="DG61" s="2" t="str">
        <f>IF('Data Checking'!DS61="","",'Data Checking'!DS61)</f>
        <v/>
      </c>
      <c r="DH61" s="2" t="str">
        <f>IF('Data Checking'!DT61="","",'Data Checking'!DT61)</f>
        <v/>
      </c>
      <c r="DI61" s="2" t="str">
        <f>IF('Data Checking'!DU61="","",'Data Checking'!DU61)</f>
        <v/>
      </c>
      <c r="DJ61" s="2" t="str">
        <f>IF('Data Checking'!DV61="","",'Data Checking'!DV61)</f>
        <v/>
      </c>
      <c r="DK61" s="2" t="str">
        <f>IF('Data Checking'!DW61="","",'Data Checking'!DW61)</f>
        <v/>
      </c>
      <c r="DL61" s="2" t="str">
        <f>IF('Data Checking'!DX61="","",'Data Checking'!DX61)</f>
        <v/>
      </c>
      <c r="DM61" s="2" t="str">
        <f>IF('Data Checking'!DY61="","",'Data Checking'!DY61)</f>
        <v/>
      </c>
      <c r="DN61" s="2" t="str">
        <f>IF('Data Checking'!DZ61="","",'Data Checking'!DZ61)</f>
        <v/>
      </c>
      <c r="DO61" s="2" t="str">
        <f>IF('Data Checking'!EA61="","",'Data Checking'!EA61)</f>
        <v/>
      </c>
      <c r="DP61" s="2" t="str">
        <f>IF('Data Checking'!EB61="","",'Data Checking'!EB61)</f>
        <v/>
      </c>
      <c r="DQ61" s="2" t="str">
        <f>IF('Data Checking'!EC61="","",'Data Checking'!EC61)</f>
        <v/>
      </c>
      <c r="DR61" s="2" t="str">
        <f>IF('Data Checking'!ED61="","",'Data Checking'!ED61)</f>
        <v/>
      </c>
      <c r="DS61" s="2" t="str">
        <f>IF('Data Checking'!EE61="","",'Data Checking'!EE61)</f>
        <v/>
      </c>
      <c r="DT61" s="2" t="str">
        <f>IF('Data Checking'!EF61="","",'Data Checking'!EF61)</f>
        <v/>
      </c>
      <c r="DU61" s="2" t="str">
        <f>IF('Data Checking'!EG61="","",'Data Checking'!EG61)</f>
        <v/>
      </c>
      <c r="DV61" s="2" t="str">
        <f>IF('Data Checking'!EH61="","",'Data Checking'!EH61)</f>
        <v/>
      </c>
      <c r="DW61" s="2" t="str">
        <f>IF('Data Checking'!EI61="","",'Data Checking'!EI61)</f>
        <v/>
      </c>
      <c r="DX61" s="2" t="str">
        <f>IF('Data Checking'!EJ61="","",'Data Checking'!EJ61)</f>
        <v/>
      </c>
      <c r="DY61" s="2" t="str">
        <f>IF('Data Checking'!EK61="","",'Data Checking'!EK61)</f>
        <v/>
      </c>
      <c r="DZ61" s="2" t="str">
        <f>IF('Data Checking'!EL61="","",'Data Checking'!EL61)</f>
        <v>dplct_abords_com Integration_com_hote Soutien_en_AGR</v>
      </c>
      <c r="EA61" s="2" t="str">
        <f>IF('Data Checking'!EM61="","",'Data Checking'!EM61)</f>
        <v>1</v>
      </c>
      <c r="EB61" s="2" t="str">
        <f>IF('Data Checking'!EN61="","",'Data Checking'!EN61)</f>
        <v>1</v>
      </c>
      <c r="EC61" s="2" t="str">
        <f>IF('Data Checking'!EO61="","",'Data Checking'!EO61)</f>
        <v>0</v>
      </c>
      <c r="ED61" s="2" t="str">
        <f>IF('Data Checking'!EP61="","",'Data Checking'!EP61)</f>
        <v>0</v>
      </c>
      <c r="EE61" s="2" t="str">
        <f>IF('Data Checking'!EQ61="","",'Data Checking'!EQ61)</f>
        <v>0</v>
      </c>
      <c r="EF61" s="2" t="str">
        <f>IF('Data Checking'!ER61="","",'Data Checking'!ER61)</f>
        <v>1</v>
      </c>
      <c r="EG61" s="2" t="str">
        <f>IF('Data Checking'!ES61="","",'Data Checking'!ES61)</f>
        <v>0</v>
      </c>
      <c r="EH61" s="2" t="str">
        <f>IF('Data Checking'!ET61="","",'Data Checking'!ET61)</f>
        <v>0</v>
      </c>
      <c r="EI61" s="2" t="str">
        <f>IF('Data Checking'!EU61="","",'Data Checking'!EU61)</f>
        <v>0</v>
      </c>
      <c r="EJ61" s="2" t="str">
        <f>IF('Data Checking'!EV61="","",'Data Checking'!EV61)</f>
        <v/>
      </c>
      <c r="EK61" s="2" t="str">
        <f>IF('Data Checking'!EW61="","",'Data Checking'!EW61)</f>
        <v/>
      </c>
      <c r="EL61" s="2" t="str">
        <f>IF('Data Checking'!EX61="","",'Data Checking'!EX61)</f>
        <v>famille_accueil comite_protection</v>
      </c>
      <c r="EM61" s="2" t="str">
        <f>IF('Data Checking'!EY61="","",'Data Checking'!EY61)</f>
        <v>0</v>
      </c>
      <c r="EN61" s="2" t="str">
        <f>IF('Data Checking'!EZ61="","",'Data Checking'!EZ61)</f>
        <v>1</v>
      </c>
      <c r="EO61" s="2" t="str">
        <f>IF('Data Checking'!FA61="","",'Data Checking'!FA61)</f>
        <v>1</v>
      </c>
      <c r="EP61" s="2" t="str">
        <f>IF('Data Checking'!FB61="","",'Data Checking'!FB61)</f>
        <v>0</v>
      </c>
      <c r="EQ61" s="2" t="str">
        <f>IF('Data Checking'!FC61="","",'Data Checking'!FC61)</f>
        <v>0</v>
      </c>
      <c r="ER61" s="2" t="str">
        <f>IF('Data Checking'!FD61="","",'Data Checking'!FD61)</f>
        <v>0</v>
      </c>
      <c r="ES61" s="2" t="str">
        <f>IF('Data Checking'!FE61="","",'Data Checking'!FE61)</f>
        <v>0</v>
      </c>
      <c r="ET61" s="2" t="str">
        <f>IF('Data Checking'!FF61="","",'Data Checking'!FF61)</f>
        <v>0</v>
      </c>
      <c r="EU61" s="2" t="str">
        <f>IF('Data Checking'!FG61="","",'Data Checking'!FG61)</f>
        <v>0</v>
      </c>
      <c r="EV61" s="2" t="str">
        <f>IF('Data Checking'!FH61="","",'Data Checking'!FH61)</f>
        <v>0</v>
      </c>
      <c r="EW61" s="2" t="str">
        <f>IF('Data Checking'!FI61="","",'Data Checking'!FI61)</f>
        <v/>
      </c>
      <c r="EX61" s="2" t="str">
        <f>IF('Data Checking'!FJ61="","",'Data Checking'!FJ61)</f>
        <v>oui</v>
      </c>
      <c r="EY61" s="2" t="str">
        <f>IF('Data Checking'!FK61="","",'Data Checking'!FK61)</f>
        <v>Radio_television famille_amis Groupement_femmes</v>
      </c>
      <c r="EZ61" s="2" t="str">
        <f>IF('Data Checking'!FL61="","",'Data Checking'!FL61)</f>
        <v>1</v>
      </c>
      <c r="FA61" s="2" t="str">
        <f>IF('Data Checking'!FM61="","",'Data Checking'!FM61)</f>
        <v>0</v>
      </c>
      <c r="FB61" s="2" t="str">
        <f>IF('Data Checking'!FN61="","",'Data Checking'!FN61)</f>
        <v>0</v>
      </c>
      <c r="FC61" s="2" t="str">
        <f>IF('Data Checking'!FO61="","",'Data Checking'!FO61)</f>
        <v>0</v>
      </c>
      <c r="FD61" s="2" t="str">
        <f>IF('Data Checking'!FP61="","",'Data Checking'!FP61)</f>
        <v>0</v>
      </c>
      <c r="FE61" s="2" t="str">
        <f>IF('Data Checking'!FQ61="","",'Data Checking'!FQ61)</f>
        <v>1</v>
      </c>
      <c r="FF61" s="2" t="str">
        <f>IF('Data Checking'!FR61="","",'Data Checking'!FR61)</f>
        <v>0</v>
      </c>
      <c r="FG61" s="2" t="str">
        <f>IF('Data Checking'!FS61="","",'Data Checking'!FS61)</f>
        <v>1</v>
      </c>
      <c r="FH61" s="2" t="str">
        <f>IF('Data Checking'!FT61="","",'Data Checking'!FT61)</f>
        <v>0</v>
      </c>
      <c r="FI61" s="2" t="str">
        <f>IF('Data Checking'!FU61="","",'Data Checking'!FU61)</f>
        <v>0</v>
      </c>
      <c r="FJ61" s="2" t="str">
        <f>IF('Data Checking'!FV61="","",'Data Checking'!FV61)</f>
        <v>0</v>
      </c>
      <c r="FK61" s="2" t="str">
        <f>IF('Data Checking'!FW61="","",'Data Checking'!FW61)</f>
        <v>0</v>
      </c>
      <c r="FL61" s="2" t="str">
        <f>IF('Data Checking'!FX61="","",'Data Checking'!FX61)</f>
        <v>0</v>
      </c>
      <c r="FM61" s="2" t="str">
        <f>IF('Data Checking'!FY61="","",'Data Checking'!FY61)</f>
        <v>0</v>
      </c>
      <c r="FN61" s="2" t="str">
        <f>IF('Data Checking'!FZ61="","",'Data Checking'!FZ61)</f>
        <v/>
      </c>
      <c r="FO61" s="2" t="str">
        <f>IF('Data Checking'!GA61="","",'Data Checking'!GA61)</f>
        <v>oui_ensemble</v>
      </c>
      <c r="FP61" s="2" t="str">
        <f>IF('Data Checking'!GB61="","",'Data Checking'!GB61)</f>
        <v>oui_ensemble</v>
      </c>
      <c r="FQ61" s="2" t="str">
        <f>IF('Data Checking'!GC61="","",'Data Checking'!GC61)</f>
        <v/>
      </c>
      <c r="FR61" s="2" t="str">
        <f>IF('Data Checking'!GD61="","",'Data Checking'!GD61)</f>
        <v/>
      </c>
      <c r="FS61" s="2" t="str">
        <f>IF('Data Checking'!GE61="","",'Data Checking'!GE61)</f>
        <v/>
      </c>
      <c r="FT61" s="2" t="str">
        <f>IF('Data Checking'!GF61="","",'Data Checking'!GF61)</f>
        <v/>
      </c>
      <c r="FU61" s="2" t="str">
        <f>IF('Data Checking'!GG61="","",'Data Checking'!GG61)</f>
        <v/>
      </c>
      <c r="FV61" s="2" t="str">
        <f>IF('Data Checking'!GH61="","",'Data Checking'!GH61)</f>
        <v/>
      </c>
      <c r="FW61" s="2" t="str">
        <f>IF('Data Checking'!GI61="","",'Data Checking'!GI61)</f>
        <v/>
      </c>
      <c r="FX61" s="2" t="str">
        <f>IF('Data Checking'!GJ61="","",'Data Checking'!GJ61)</f>
        <v/>
      </c>
      <c r="FY61" s="2" t="str">
        <f>IF('Data Checking'!GK61="","",'Data Checking'!GK61)</f>
        <v/>
      </c>
      <c r="FZ61" s="2" t="str">
        <f>IF('Data Checking'!GL61="","",'Data Checking'!GL61)</f>
        <v/>
      </c>
      <c r="GA61" s="2" t="str">
        <f>IF('Data Checking'!GM61="","",'Data Checking'!GM61)</f>
        <v>ensemble</v>
      </c>
      <c r="GB61" s="2" t="str">
        <f>IF('Data Checking'!GN61="","",'Data Checking'!GN61)</f>
        <v>majorite</v>
      </c>
      <c r="GC61" s="2" t="str">
        <f>IF('Data Checking'!GO61="","",'Data Checking'!GO61)</f>
        <v>Appui_psychosocial Education Services_de_sante Acces_aux_doc</v>
      </c>
      <c r="GD61" s="2" t="str">
        <f>IF('Data Checking'!GP61="","",'Data Checking'!GP61)</f>
        <v>1</v>
      </c>
      <c r="GE61" s="2" t="str">
        <f>IF('Data Checking'!GQ61="","",'Data Checking'!GQ61)</f>
        <v>1</v>
      </c>
      <c r="GF61" s="2" t="str">
        <f>IF('Data Checking'!GR61="","",'Data Checking'!GR61)</f>
        <v>0</v>
      </c>
      <c r="GG61" s="2" t="str">
        <f>IF('Data Checking'!GS61="","",'Data Checking'!GS61)</f>
        <v>1</v>
      </c>
      <c r="GH61" s="2" t="str">
        <f>IF('Data Checking'!GT61="","",'Data Checking'!GT61)</f>
        <v>1</v>
      </c>
      <c r="GI61" s="2" t="str">
        <f>IF('Data Checking'!GU61="","",'Data Checking'!GU61)</f>
        <v>0</v>
      </c>
      <c r="GJ61" s="2" t="str">
        <f>IF('Data Checking'!GV61="","",'Data Checking'!GV61)</f>
        <v>0</v>
      </c>
      <c r="GK61" s="2" t="str">
        <f>IF('Data Checking'!GW61="","",'Data Checking'!GW61)</f>
        <v>0</v>
      </c>
      <c r="GL61" s="2" t="str">
        <f>IF('Data Checking'!GX61="","",'Data Checking'!GX61)</f>
        <v>0</v>
      </c>
      <c r="GM61" s="2" t="str">
        <f>IF('Data Checking'!GY61="","",'Data Checking'!GY61)</f>
        <v/>
      </c>
      <c r="GN61" s="2" t="str">
        <f>IF('Data Checking'!GZ61="","",'Data Checking'!GZ61)</f>
        <v>oui_majorite</v>
      </c>
      <c r="GO61" s="2" t="str">
        <f>IF('Data Checking'!HA61="","",'Data Checking'!HA61)</f>
        <v>oui_majorite</v>
      </c>
      <c r="GP61" s="2" t="str">
        <f>IF('Data Checking'!HB61="","",'Data Checking'!HB61)</f>
        <v>amelioration_futur repond_besoins_pop permet_obtenir_conseils</v>
      </c>
      <c r="GQ61" s="2" t="str">
        <f>IF('Data Checking'!HC61="","",'Data Checking'!HC61)</f>
        <v>1</v>
      </c>
      <c r="GR61" s="2" t="str">
        <f>IF('Data Checking'!HD61="","",'Data Checking'!HD61)</f>
        <v>1</v>
      </c>
      <c r="GS61" s="2" t="str">
        <f>IF('Data Checking'!HE61="","",'Data Checking'!HE61)</f>
        <v>1</v>
      </c>
      <c r="GT61" s="2" t="str">
        <f>IF('Data Checking'!HF61="","",'Data Checking'!HF61)</f>
        <v>0</v>
      </c>
      <c r="GU61" s="2" t="str">
        <f>IF('Data Checking'!HG61="","",'Data Checking'!HG61)</f>
        <v>0</v>
      </c>
      <c r="GV61" s="2" t="str">
        <f>IF('Data Checking'!HH61="","",'Data Checking'!HH61)</f>
        <v>0</v>
      </c>
      <c r="GW61" s="2" t="str">
        <f>IF('Data Checking'!HI61="","",'Data Checking'!HI61)</f>
        <v>0</v>
      </c>
      <c r="GX61" s="2" t="str">
        <f>IF('Data Checking'!HJ61="","",'Data Checking'!HJ61)</f>
        <v>0</v>
      </c>
      <c r="GY61" s="2" t="str">
        <f>IF('Data Checking'!HK61="","",'Data Checking'!HK61)</f>
        <v/>
      </c>
      <c r="GZ61" s="2" t="str">
        <f>IF('Data Checking'!HL61="","",'Data Checking'!HL61)</f>
        <v>Ne_sait_pas</v>
      </c>
      <c r="HA61" s="2" t="str">
        <f>IF('Data Checking'!HM61="","",'Data Checking'!HM61)</f>
        <v>0</v>
      </c>
      <c r="HB61" s="2" t="str">
        <f>IF('Data Checking'!HN61="","",'Data Checking'!HN61)</f>
        <v>0</v>
      </c>
      <c r="HC61" s="2" t="str">
        <f>IF('Data Checking'!HO61="","",'Data Checking'!HO61)</f>
        <v>0</v>
      </c>
      <c r="HD61" s="2" t="str">
        <f>IF('Data Checking'!HP61="","",'Data Checking'!HP61)</f>
        <v>0</v>
      </c>
      <c r="HE61" s="2" t="str">
        <f>IF('Data Checking'!HQ61="","",'Data Checking'!HQ61)</f>
        <v>0</v>
      </c>
      <c r="HF61" s="2" t="str">
        <f>IF('Data Checking'!HR61="","",'Data Checking'!HR61)</f>
        <v>1</v>
      </c>
      <c r="HG61" s="2" t="str">
        <f>IF('Data Checking'!HS61="","",'Data Checking'!HS61)</f>
        <v/>
      </c>
      <c r="HH61" s="2" t="str">
        <f>IF('Data Checking'!HT61="","",'Data Checking'!HT61)</f>
        <v/>
      </c>
      <c r="HI61" s="2" t="str">
        <f>IF('Data Checking'!HU61="","",'Data Checking'!HU61)</f>
        <v>oui_majorite</v>
      </c>
      <c r="HJ61" s="2" t="str">
        <f>IF('Data Checking'!HV61="","",'Data Checking'!HV61)</f>
        <v>ne_sait_pas</v>
      </c>
      <c r="HK61" s="2" t="str">
        <f>IF('Data Checking'!HW61="","",'Data Checking'!HW61)</f>
        <v>0</v>
      </c>
      <c r="HL61" s="2" t="str">
        <f>IF('Data Checking'!HX61="","",'Data Checking'!HX61)</f>
        <v>0</v>
      </c>
      <c r="HM61" s="2" t="str">
        <f>IF('Data Checking'!HY61="","",'Data Checking'!HY61)</f>
        <v>0</v>
      </c>
      <c r="HN61" s="2" t="str">
        <f>IF('Data Checking'!HZ61="","",'Data Checking'!HZ61)</f>
        <v>0</v>
      </c>
      <c r="HO61" s="2" t="str">
        <f>IF('Data Checking'!IA61="","",'Data Checking'!IA61)</f>
        <v>0</v>
      </c>
      <c r="HP61" s="2" t="str">
        <f>IF('Data Checking'!IB61="","",'Data Checking'!IB61)</f>
        <v>0</v>
      </c>
      <c r="HQ61" s="2" t="str">
        <f>IF('Data Checking'!IC61="","",'Data Checking'!IC61)</f>
        <v>0</v>
      </c>
      <c r="HR61" s="2" t="str">
        <f>IF('Data Checking'!ID61="","",'Data Checking'!ID61)</f>
        <v>1</v>
      </c>
      <c r="HS61" s="2" t="str">
        <f>IF('Data Checking'!IE61="","",'Data Checking'!IE61)</f>
        <v>0</v>
      </c>
      <c r="HT61" s="2" t="str">
        <f>IF('Data Checking'!IF61="","",'Data Checking'!IF61)</f>
        <v>0</v>
      </c>
      <c r="HU61" s="2" t="str">
        <f>IF('Data Checking'!IG61="","",'Data Checking'!IG61)</f>
        <v/>
      </c>
      <c r="HV61" s="2" t="str">
        <f>IF('Data Checking'!IH61="","",'Data Checking'!IH61)</f>
        <v>oui</v>
      </c>
      <c r="HW61" s="2" t="str">
        <f>IF('Data Checking'!II61="","",'Data Checking'!II61)</f>
        <v/>
      </c>
      <c r="HX61" s="2" t="str">
        <f>IF('Data Checking'!IJ61="","",'Data Checking'!IJ61)</f>
        <v/>
      </c>
      <c r="HY61" s="2" t="str">
        <f>IF('Data Checking'!IK61="","",'Data Checking'!IK61)</f>
        <v/>
      </c>
      <c r="HZ61" s="2" t="str">
        <f>IF('Data Checking'!IL61="","",'Data Checking'!IL61)</f>
        <v/>
      </c>
      <c r="IA61" s="2" t="str">
        <f>IF('Data Checking'!IM61="","",'Data Checking'!IM61)</f>
        <v/>
      </c>
      <c r="IB61" s="2" t="str">
        <f>IF('Data Checking'!IN61="","",'Data Checking'!IN61)</f>
        <v/>
      </c>
      <c r="IC61" s="2" t="str">
        <f>IF('Data Checking'!IO61="","",'Data Checking'!IO61)</f>
        <v/>
      </c>
      <c r="ID61" s="2" t="str">
        <f>IF('Data Checking'!IP61="","",'Data Checking'!IP61)</f>
        <v/>
      </c>
      <c r="IE61" s="2" t="str">
        <f>IF('Data Checking'!IQ61="","",'Data Checking'!IQ61)</f>
        <v/>
      </c>
      <c r="IF61" s="2" t="str">
        <f>IF('Data Checking'!IR61="","",'Data Checking'!IR61)</f>
        <v/>
      </c>
      <c r="IG61" s="2" t="str">
        <f>IF('Data Checking'!IS61="","",'Data Checking'!IS61)</f>
        <v/>
      </c>
      <c r="IH61" s="2" t="str">
        <f>IF('Data Checking'!IT61="","",'Data Checking'!IT61)</f>
        <v/>
      </c>
      <c r="II61" s="2" t="str">
        <f>IF('Data Checking'!IU61="","",'Data Checking'!IU61)</f>
        <v/>
      </c>
      <c r="IJ61" s="2" t="str">
        <f>IF('Data Checking'!IV61="","",'Data Checking'!IV61)</f>
        <v/>
      </c>
      <c r="IK61" s="2" t="str">
        <f>IF('Data Checking'!IW61="","",'Data Checking'!IW61)</f>
        <v/>
      </c>
      <c r="IL61" s="2" t="str">
        <f>IF('Data Checking'!IX61="","",'Data Checking'!IX61)</f>
        <v/>
      </c>
      <c r="IM61" s="2" t="str">
        <f>IF('Data Checking'!IY61="","",'Data Checking'!IY61)</f>
        <v/>
      </c>
      <c r="IN61" s="2" t="str">
        <f>IF('Data Checking'!IZ61="","",'Data Checking'!IZ61)</f>
        <v/>
      </c>
      <c r="IO61" s="2" t="str">
        <f>IF('Data Checking'!JA61="","",'Data Checking'!JA61)</f>
        <v/>
      </c>
      <c r="IP61" s="2" t="str">
        <f>IF('Data Checking'!JB61="","",'Data Checking'!JB61)</f>
        <v/>
      </c>
      <c r="IQ61" s="2" t="str">
        <f>IF('Data Checking'!JC61="","",'Data Checking'!JC61)</f>
        <v/>
      </c>
      <c r="IR61" s="2" t="str">
        <f>IF('Data Checking'!JD61="","",'Data Checking'!JD61)</f>
        <v/>
      </c>
      <c r="IS61" s="2" t="str">
        <f>IF('Data Checking'!JE61="","",'Data Checking'!JE61)</f>
        <v/>
      </c>
      <c r="IT61" s="2" t="str">
        <f>IF('Data Checking'!JF61="","",'Data Checking'!JF61)</f>
        <v/>
      </c>
      <c r="IU61" s="2" t="str">
        <f>IF('Data Checking'!JG61="","",'Data Checking'!JG61)</f>
        <v/>
      </c>
      <c r="IV61" s="2" t="str">
        <f>IF('Data Checking'!JH61="","",'Data Checking'!JH61)</f>
        <v/>
      </c>
      <c r="IW61" s="2" t="str">
        <f>IF('Data Checking'!JI61="","",'Data Checking'!JI61)</f>
        <v/>
      </c>
      <c r="IX61" s="2" t="str">
        <f>IF('Data Checking'!JJ61="","",'Data Checking'!JJ61)</f>
        <v/>
      </c>
      <c r="IY61" s="2" t="str">
        <f>IF('Data Checking'!JK61="","",'Data Checking'!JK61)</f>
        <v/>
      </c>
      <c r="IZ61" s="2" t="str">
        <f>IF('Data Checking'!JL61="","",'Data Checking'!JL61)</f>
        <v/>
      </c>
      <c r="JA61" s="2" t="str">
        <f>IF('Data Checking'!JM61="","",'Data Checking'!JM61)</f>
        <v/>
      </c>
      <c r="JB61" s="2" t="str">
        <f>IF('Data Checking'!JN61="","",'Data Checking'!JN61)</f>
        <v/>
      </c>
      <c r="JC61" s="2" t="str">
        <f>IF('Data Checking'!JO61="","",'Data Checking'!JO61)</f>
        <v/>
      </c>
      <c r="JD61" s="2" t="str">
        <f>IF('Data Checking'!JP61="","",'Data Checking'!JP61)</f>
        <v/>
      </c>
      <c r="JE61" s="2" t="str">
        <f>IF('Data Checking'!JQ61="","",'Data Checking'!JQ61)</f>
        <v/>
      </c>
      <c r="JF61" s="2" t="str">
        <f>IF('Data Checking'!JR61="","",'Data Checking'!JR61)</f>
        <v/>
      </c>
      <c r="JG61" s="2" t="str">
        <f>IF('Data Checking'!JS61="","",'Data Checking'!JS61)</f>
        <v/>
      </c>
      <c r="JH61" s="2" t="str">
        <f>IF('Data Checking'!JT61="","",'Data Checking'!JT61)</f>
        <v/>
      </c>
      <c r="JI61" s="2" t="str">
        <f>IF('Data Checking'!JU61="","",'Data Checking'!JU61)</f>
        <v/>
      </c>
      <c r="JJ61" s="2" t="str">
        <f>IF('Data Checking'!JV61="","",'Data Checking'!JV61)</f>
        <v/>
      </c>
      <c r="JK61" s="2" t="str">
        <f>IF('Data Checking'!JW61="","",'Data Checking'!JW61)</f>
        <v/>
      </c>
      <c r="JL61" s="2" t="str">
        <f>IF('Data Checking'!JX61="","",'Data Checking'!JX61)</f>
        <v/>
      </c>
      <c r="JM61" s="2" t="str">
        <f>IF('Data Checking'!JY61="","",'Data Checking'!JY61)</f>
        <v/>
      </c>
      <c r="JN61" s="2" t="str">
        <f>IF('Data Checking'!JZ61="","",'Data Checking'!JZ61)</f>
        <v/>
      </c>
      <c r="JO61" s="2" t="str">
        <f>IF('Data Checking'!KA61="","",'Data Checking'!KA61)</f>
        <v/>
      </c>
      <c r="JP61" s="2" t="str">
        <f>IF('Data Checking'!KB61="","",'Data Checking'!KB61)</f>
        <v/>
      </c>
      <c r="JQ61" s="2" t="str">
        <f>IF('Data Checking'!KC61="","",'Data Checking'!KC61)</f>
        <v/>
      </c>
      <c r="JR61" s="2" t="str">
        <f>IF('Data Checking'!KD61="","",'Data Checking'!KD61)</f>
        <v/>
      </c>
      <c r="JS61" s="2" t="str">
        <f>IF('Data Checking'!KE61="","",'Data Checking'!KE61)</f>
        <v/>
      </c>
      <c r="JT61" s="2" t="str">
        <f>IF('Data Checking'!KF61="","",'Data Checking'!KF61)</f>
        <v/>
      </c>
      <c r="JU61" s="2" t="str">
        <f>IF('Data Checking'!KG61="","",'Data Checking'!KG61)</f>
        <v/>
      </c>
      <c r="JV61" s="2" t="str">
        <f>IF('Data Checking'!KH61="","",'Data Checking'!KH61)</f>
        <v/>
      </c>
      <c r="JW61" s="2" t="str">
        <f>IF('Data Checking'!KI61="","",'Data Checking'!KI61)</f>
        <v/>
      </c>
      <c r="JX61" s="2" t="str">
        <f>IF('Data Checking'!KJ61="","",'Data Checking'!KJ61)</f>
        <v/>
      </c>
      <c r="JY61" s="2" t="str">
        <f>IF('Data Checking'!KK61="","",'Data Checking'!KK61)</f>
        <v/>
      </c>
      <c r="JZ61" s="2" t="str">
        <f>IF('Data Checking'!KL61="","",'Data Checking'!KL61)</f>
        <v/>
      </c>
      <c r="KA61" s="2" t="str">
        <f>IF('Data Checking'!KM61="","",'Data Checking'!KM61)</f>
        <v/>
      </c>
      <c r="KB61" s="2" t="str">
        <f>IF('Data Checking'!KN61="","",'Data Checking'!KN61)</f>
        <v/>
      </c>
      <c r="KC61" s="2" t="str">
        <f>IF('Data Checking'!KO61="","",'Data Checking'!KO61)</f>
        <v/>
      </c>
      <c r="KD61" s="2" t="str">
        <f>IF('Data Checking'!KP61="","",'Data Checking'!KP61)</f>
        <v/>
      </c>
      <c r="KE61" s="2" t="str">
        <f>IF('Data Checking'!KQ61="","",'Data Checking'!KQ61)</f>
        <v/>
      </c>
      <c r="KF61" s="2" t="str">
        <f>IF('Data Checking'!KR61="","",'Data Checking'!KR61)</f>
        <v/>
      </c>
      <c r="KG61" s="2" t="str">
        <f>IF('Data Checking'!KS61="","",'Data Checking'!KS61)</f>
        <v/>
      </c>
      <c r="KH61" s="2" t="str">
        <f>IF('Data Checking'!KT61="","",'Data Checking'!KT61)</f>
        <v/>
      </c>
      <c r="KI61" s="2" t="str">
        <f>IF('Data Checking'!KU61="","",'Data Checking'!KU61)</f>
        <v/>
      </c>
      <c r="KJ61" s="2" t="str">
        <f>IF('Data Checking'!KV61="","",'Data Checking'!KV61)</f>
        <v/>
      </c>
      <c r="KK61" s="2" t="str">
        <f>IF('Data Checking'!KW61="","",'Data Checking'!KW61)</f>
        <v/>
      </c>
      <c r="KL61" s="2" t="str">
        <f>IF('Data Checking'!KX61="","",'Data Checking'!KX61)</f>
        <v/>
      </c>
      <c r="KM61" s="2" t="str">
        <f>IF('Data Checking'!KY61="","",'Data Checking'!KY61)</f>
        <v/>
      </c>
      <c r="KN61" s="2" t="str">
        <f>IF('Data Checking'!KZ61="","",'Data Checking'!KZ61)</f>
        <v/>
      </c>
      <c r="KO61" s="2" t="str">
        <f>IF('Data Checking'!LA61="","",'Data Checking'!LA61)</f>
        <v/>
      </c>
      <c r="KP61" s="2" t="str">
        <f>IF('Data Checking'!LB61="","",'Data Checking'!LB61)</f>
        <v/>
      </c>
      <c r="KQ61" s="2" t="str">
        <f>IF('Data Checking'!LC61="","",'Data Checking'!LC61)</f>
        <v/>
      </c>
      <c r="KR61" s="2" t="str">
        <f>IF('Data Checking'!LD61="","",'Data Checking'!LD61)</f>
        <v/>
      </c>
      <c r="KS61" s="2" t="str">
        <f>IF('Data Checking'!LE61="","",'Data Checking'!LE61)</f>
        <v/>
      </c>
      <c r="KT61" s="2" t="str">
        <f>IF('Data Checking'!LF61="","",'Data Checking'!LF61)</f>
        <v/>
      </c>
      <c r="KU61" s="2" t="str">
        <f>IF('Data Checking'!LG61="","",'Data Checking'!LG61)</f>
        <v/>
      </c>
      <c r="KV61" s="2" t="str">
        <f>IF('Data Checking'!LH61="","",'Data Checking'!LH61)</f>
        <v/>
      </c>
      <c r="KW61" s="2" t="str">
        <f>IF('Data Checking'!LI61="","",'Data Checking'!LI61)</f>
        <v/>
      </c>
      <c r="KX61" s="2" t="str">
        <f>IF('Data Checking'!LJ61="","",'Data Checking'!LJ61)</f>
        <v/>
      </c>
      <c r="KY61" s="2" t="str">
        <f>IF('Data Checking'!LK61="","",'Data Checking'!LK61)</f>
        <v/>
      </c>
      <c r="KZ61" s="2" t="str">
        <f>IF('Data Checking'!LL61="","",'Data Checking'!LL61)</f>
        <v/>
      </c>
      <c r="LA61" s="2" t="str">
        <f>IF('Data Checking'!LM61="","",'Data Checking'!LM61)</f>
        <v/>
      </c>
      <c r="LB61" s="2" t="str">
        <f>IF('Data Checking'!LN61="","",'Data Checking'!LN61)</f>
        <v/>
      </c>
      <c r="LC61" s="2" t="str">
        <f>IF('Data Checking'!LO61="","",'Data Checking'!LO61)</f>
        <v/>
      </c>
      <c r="LD61" s="2" t="str">
        <f>IF('Data Checking'!LP61="","",'Data Checking'!LP61)</f>
        <v/>
      </c>
      <c r="LE61" s="2" t="str">
        <f>IF('Data Checking'!LQ61="","",'Data Checking'!LQ61)</f>
        <v/>
      </c>
      <c r="LF61" s="2" t="str">
        <f>IF('Data Checking'!LR61="","",'Data Checking'!LR61)</f>
        <v/>
      </c>
      <c r="LG61" s="2" t="str">
        <f>IF('Data Checking'!LS61="","",'Data Checking'!LS61)</f>
        <v/>
      </c>
      <c r="LH61" s="2" t="str">
        <f>IF('Data Checking'!LT61="","",'Data Checking'!LT61)</f>
        <v/>
      </c>
      <c r="LI61" s="2" t="str">
        <f>IF('Data Checking'!LU61="","",'Data Checking'!LU61)</f>
        <v/>
      </c>
      <c r="LJ61" s="2" t="str">
        <f>IF('Data Checking'!LV61="","",'Data Checking'!LV61)</f>
        <v/>
      </c>
      <c r="LK61" s="2" t="str">
        <f>IF('Data Checking'!LW61="","",'Data Checking'!LW61)</f>
        <v/>
      </c>
      <c r="LL61" s="2" t="str">
        <f>IF('Data Checking'!LX61="","",'Data Checking'!LX61)</f>
        <v/>
      </c>
      <c r="LM61" s="2" t="str">
        <f>IF('Data Checking'!LY61="","",'Data Checking'!LY61)</f>
        <v/>
      </c>
      <c r="LN61" s="2" t="str">
        <f>IF('Data Checking'!LZ61="","",'Data Checking'!LZ61)</f>
        <v/>
      </c>
      <c r="LO61" s="2" t="str">
        <f>IF('Data Checking'!MA61="","",'Data Checking'!MA61)</f>
        <v/>
      </c>
      <c r="LP61" s="2" t="str">
        <f>IF('Data Checking'!MB61="","",'Data Checking'!MB61)</f>
        <v>non</v>
      </c>
      <c r="LQ61" s="2" t="str">
        <f>IF('Data Checking'!MC61="","",'Data Checking'!MC61)</f>
        <v/>
      </c>
      <c r="LR61" s="2" t="str">
        <f>IF('Data Checking'!MD61="","",'Data Checking'!MD61)</f>
        <v/>
      </c>
      <c r="LS61" s="2">
        <f>IF('Data Checking'!ME61="","",'Data Checking'!ME61)</f>
        <v>171852744</v>
      </c>
      <c r="LT61" s="2" t="str">
        <f>IF('Data Checking'!MF61="","",'Data Checking'!MF61)</f>
        <v>0d68c4d2-8eb9-4e1a-90c2-5b734954eb98</v>
      </c>
      <c r="LU61" s="2" t="str">
        <f>IF('Data Checking'!MG61="","",'Data Checking'!MG61)</f>
        <v>2021-04-15T18:50:11</v>
      </c>
      <c r="LV61" s="2" t="str">
        <f>IF('Data Checking'!MH61="","",'Data Checking'!MH61)</f>
        <v/>
      </c>
      <c r="LW61" s="2" t="str">
        <f>IF('Data Checking'!MI61="","",'Data Checking'!MI61)</f>
        <v>[]</v>
      </c>
      <c r="LX61" s="2" t="str">
        <f>IF('Data Checking'!MJ61="","",'Data Checking'!MJ61)</f>
        <v>submitted_via_web</v>
      </c>
      <c r="LY61" s="2" t="str">
        <f>IF('Data Checking'!MK61="","",'Data Checking'!MK61)</f>
        <v>reach_niger</v>
      </c>
      <c r="LZ61" s="2" t="str">
        <f>IF('Data Checking'!ML61="","",'Data Checking'!ML61)</f>
        <v/>
      </c>
      <c r="MA61" s="2">
        <f>IF('Data Checking'!MM61="","",'Data Checking'!MM61)</f>
        <v>67</v>
      </c>
    </row>
    <row r="62" spans="1:339" x14ac:dyDescent="0.3">
      <c r="A62" s="2" t="str">
        <f>IF('Data Checking'!D62="","",'Data Checking'!D62)</f>
        <v>2021-04-16T11:25:21.284+01:00</v>
      </c>
      <c r="B62" s="2" t="str">
        <f>IF('Data Checking'!E62="","",'Data Checking'!E62)</f>
        <v>2021-04-16T12:02:13.666+01:00</v>
      </c>
      <c r="C62" s="2" t="str">
        <f>IF('Data Checking'!M62="","",'Data Checking'!M62)</f>
        <v>2021-04-16</v>
      </c>
      <c r="D62" s="2" t="str">
        <f>IF('Data Checking'!N62="","",'Data Checking'!N62)</f>
        <v/>
      </c>
      <c r="E62" s="2" t="str">
        <f>IF('Data Checking'!O62="","",'Data Checking'!O62)</f>
        <v/>
      </c>
      <c r="F62" s="2" t="str">
        <f>IF('Data Checking'!R62="","",'Data Checking'!R62)</f>
        <v>Homme</v>
      </c>
      <c r="G62" s="2" t="str">
        <f>IF('Data Checking'!S62="","",'Data Checking'!S62)</f>
        <v>torodi</v>
      </c>
      <c r="H62" s="2" t="str">
        <f>IF('Data Checking'!T62="","",'Data Checking'!T62)</f>
        <v>torodi</v>
      </c>
      <c r="I62" s="2" t="str">
        <f>IF('Data Checking'!U62="","",'Data Checking'!U62)</f>
        <v>torodi</v>
      </c>
      <c r="J62" s="2" t="str">
        <f>IF('Data Checking'!V62="","",'Data Checking'!V62)</f>
        <v/>
      </c>
      <c r="K62" s="2" t="str">
        <f>IF('Data Checking'!W62="","",'Data Checking'!W62)</f>
        <v/>
      </c>
      <c r="L62" s="2" t="str">
        <f>IF('Data Checking'!X62="","",'Data Checking'!X62)</f>
        <v/>
      </c>
      <c r="M62" s="2" t="str">
        <f>IF('Data Checking'!Y62="","",'Data Checking'!Y62)</f>
        <v/>
      </c>
      <c r="N62" s="2" t="str">
        <f>IF('Data Checking'!Z62="","",'Data Checking'!Z62)</f>
        <v/>
      </c>
      <c r="O62" s="2" t="str">
        <f>IF('Data Checking'!AA62="","",'Data Checking'!AA62)</f>
        <v/>
      </c>
      <c r="P62" s="2" t="str">
        <f>IF('Data Checking'!AB62="","",'Data Checking'!AB62)</f>
        <v/>
      </c>
      <c r="Q62" s="2" t="str">
        <f>IF('Data Checking'!AC62="","",'Data Checking'!AC62)</f>
        <v/>
      </c>
      <c r="R62" s="2" t="str">
        <f>IF('Data Checking'!AD62="","",'Data Checking'!AD62)</f>
        <v>Homme</v>
      </c>
      <c r="S62" s="2" t="str">
        <f>IF('Data Checking'!AE62="","",'Data Checking'!AE62)</f>
        <v>54</v>
      </c>
      <c r="T62" s="2" t="str">
        <f>IF('Data Checking'!AF62="","",'Data Checking'!AF62)</f>
        <v>deplace_interne</v>
      </c>
      <c r="U62" s="2" t="str">
        <f>IF('Data Checking'!AG62="","",'Data Checking'!AG62)</f>
        <v/>
      </c>
      <c r="V62" s="2" t="str">
        <f>IF('Data Checking'!AH62="","",'Data Checking'!AH62)</f>
        <v/>
      </c>
      <c r="W62" s="2" t="str">
        <f>IF('Data Checking'!AI62="","",'Data Checking'!AI62)</f>
        <v/>
      </c>
      <c r="X62" s="2" t="str">
        <f>IF('Data Checking'!AJ62="","",'Data Checking'!AJ62)</f>
        <v/>
      </c>
      <c r="Y62" s="2" t="str">
        <f>IF('Data Checking'!AK62="","",'Data Checking'!AK62)</f>
        <v/>
      </c>
      <c r="Z62" s="2" t="str">
        <f>IF('Data Checking'!AL62="","",'Data Checking'!AL62)</f>
        <v>niger</v>
      </c>
      <c r="AA62" s="2" t="str">
        <f>IF('Data Checking'!AM62="","",'Data Checking'!AM62)</f>
        <v>tillaberi</v>
      </c>
      <c r="AB62" s="2" t="str">
        <f>IF('Data Checking'!AN62="","",'Data Checking'!AN62)</f>
        <v>tillaberi</v>
      </c>
      <c r="AC62" s="2" t="str">
        <f>IF('Data Checking'!AO62="","",'Data Checking'!AO62)</f>
        <v/>
      </c>
      <c r="AD62" s="2" t="str">
        <f>IF('Data Checking'!AP62="","",'Data Checking'!AP62)</f>
        <v/>
      </c>
      <c r="AE62" s="2" t="str">
        <f>IF('Data Checking'!AQ62="","",'Data Checking'!AQ62)</f>
        <v/>
      </c>
      <c r="AF62" s="2" t="str">
        <f>IF('Data Checking'!AR62="","",'Data Checking'!AR62)</f>
        <v/>
      </c>
      <c r="AG62" s="2" t="str">
        <f>IF('Data Checking'!AS62="","",'Data Checking'!AS62)</f>
        <v>oui</v>
      </c>
      <c r="AH62" s="2" t="str">
        <f>IF('Data Checking'!AT62="","",'Data Checking'!AT62)</f>
        <v>Vols_braquages Violences_physique_civils Attaques_ecoles_sante</v>
      </c>
      <c r="AI62" s="2" t="str">
        <f>IF('Data Checking'!AU62="","",'Data Checking'!AU62)</f>
        <v>0</v>
      </c>
      <c r="AJ62" s="2" t="str">
        <f>IF('Data Checking'!AV62="","",'Data Checking'!AV62)</f>
        <v>0</v>
      </c>
      <c r="AK62" s="2" t="str">
        <f>IF('Data Checking'!AW62="","",'Data Checking'!AW62)</f>
        <v>1</v>
      </c>
      <c r="AL62" s="2" t="str">
        <f>IF('Data Checking'!AX62="","",'Data Checking'!AX62)</f>
        <v>0</v>
      </c>
      <c r="AM62" s="2" t="str">
        <f>IF('Data Checking'!AY62="","",'Data Checking'!AY62)</f>
        <v>1</v>
      </c>
      <c r="AN62" s="2" t="str">
        <f>IF('Data Checking'!AZ62="","",'Data Checking'!AZ62)</f>
        <v>0</v>
      </c>
      <c r="AO62" s="2" t="str">
        <f>IF('Data Checking'!BA62="","",'Data Checking'!BA62)</f>
        <v>0</v>
      </c>
      <c r="AP62" s="2" t="str">
        <f>IF('Data Checking'!BB62="","",'Data Checking'!BB62)</f>
        <v>1</v>
      </c>
      <c r="AQ62" s="2" t="str">
        <f>IF('Data Checking'!BC62="","",'Data Checking'!BC62)</f>
        <v>0</v>
      </c>
      <c r="AR62" s="2" t="str">
        <f>IF('Data Checking'!BD62="","",'Data Checking'!BD62)</f>
        <v>0</v>
      </c>
      <c r="AS62" s="2" t="str">
        <f>IF('Data Checking'!BE62="","",'Data Checking'!BE62)</f>
        <v>0</v>
      </c>
      <c r="AT62" s="2" t="str">
        <f>IF('Data Checking'!BF62="","",'Data Checking'!BF62)</f>
        <v>0</v>
      </c>
      <c r="AU62" s="2" t="str">
        <f>IF('Data Checking'!BG62="","",'Data Checking'!BG62)</f>
        <v>0</v>
      </c>
      <c r="AV62" s="2" t="str">
        <f>IF('Data Checking'!BH62="","",'Data Checking'!BH62)</f>
        <v>0</v>
      </c>
      <c r="AW62" s="2" t="str">
        <f>IF('Data Checking'!BI62="","",'Data Checking'!BI62)</f>
        <v/>
      </c>
      <c r="AX62" s="2" t="str">
        <f>IF('Data Checking'!BJ62="","",'Data Checking'!BJ62)</f>
        <v>Femmes_agees Hommes Femmes Garçons Hommes_ages</v>
      </c>
      <c r="AY62" s="2" t="str">
        <f>IF('Data Checking'!BK62="","",'Data Checking'!BK62)</f>
        <v>0</v>
      </c>
      <c r="AZ62" s="2" t="str">
        <f>IF('Data Checking'!BL62="","",'Data Checking'!BL62)</f>
        <v>0</v>
      </c>
      <c r="BA62" s="2" t="str">
        <f>IF('Data Checking'!BM62="","",'Data Checking'!BM62)</f>
        <v>0</v>
      </c>
      <c r="BB62" s="2" t="str">
        <f>IF('Data Checking'!BN62="","",'Data Checking'!BN62)</f>
        <v>1</v>
      </c>
      <c r="BC62" s="2" t="str">
        <f>IF('Data Checking'!BO62="","",'Data Checking'!BO62)</f>
        <v>1</v>
      </c>
      <c r="BD62" s="2" t="str">
        <f>IF('Data Checking'!BP62="","",'Data Checking'!BP62)</f>
        <v>1</v>
      </c>
      <c r="BE62" s="2" t="str">
        <f>IF('Data Checking'!BQ62="","",'Data Checking'!BQ62)</f>
        <v>1</v>
      </c>
      <c r="BF62" s="2" t="str">
        <f>IF('Data Checking'!BR62="","",'Data Checking'!BR62)</f>
        <v>1</v>
      </c>
      <c r="BG62" s="2" t="str">
        <f>IF('Data Checking'!BS62="","",'Data Checking'!BS62)</f>
        <v>0</v>
      </c>
      <c r="BH62" s="2" t="str">
        <f>IF('Data Checking'!BT62="","",'Data Checking'!BT62)</f>
        <v>0</v>
      </c>
      <c r="BI62" s="2" t="str">
        <f>IF('Data Checking'!BU62="","",'Data Checking'!BU62)</f>
        <v>0</v>
      </c>
      <c r="BJ62" s="2" t="str">
        <f>IF('Data Checking'!BV62="","",'Data Checking'!BV62)</f>
        <v>0</v>
      </c>
      <c r="BK62" s="2" t="str">
        <f>IF('Data Checking'!BW62="","",'Data Checking'!BW62)</f>
        <v>0</v>
      </c>
      <c r="BL62" s="2" t="str">
        <f>IF('Data Checking'!BX62="","",'Data Checking'!BX62)</f>
        <v>0</v>
      </c>
      <c r="BM62" s="2" t="str">
        <f>IF('Data Checking'!BY62="","",'Data Checking'!BY62)</f>
        <v/>
      </c>
      <c r="BN62" s="2" t="str">
        <f>IF('Data Checking'!BZ62="","",'Data Checking'!BZ62)</f>
        <v>4</v>
      </c>
      <c r="BO62" s="2" t="str">
        <f>IF('Data Checking'!CA62="","",'Data Checking'!CA62)</f>
        <v>augmente</v>
      </c>
      <c r="BP62" s="2" t="str">
        <f>IF('Data Checking'!CB62="","",'Data Checking'!CB62)</f>
        <v/>
      </c>
      <c r="BQ62" s="2" t="str">
        <f>IF('Data Checking'!CC62="","",'Data Checking'!CC62)</f>
        <v>non</v>
      </c>
      <c r="BR62" s="2" t="str">
        <f>IF('Data Checking'!CD62="","",'Data Checking'!CD62)</f>
        <v/>
      </c>
      <c r="BS62" s="2" t="str">
        <f>IF('Data Checking'!CE62="","",'Data Checking'!CE62)</f>
        <v/>
      </c>
      <c r="BT62" s="2" t="str">
        <f>IF('Data Checking'!CF62="","",'Data Checking'!CF62)</f>
        <v/>
      </c>
      <c r="BU62" s="2" t="str">
        <f>IF('Data Checking'!CG62="","",'Data Checking'!CG62)</f>
        <v/>
      </c>
      <c r="BV62" s="2" t="str">
        <f>IF('Data Checking'!CH62="","",'Data Checking'!CH62)</f>
        <v/>
      </c>
      <c r="BW62" s="2" t="str">
        <f>IF('Data Checking'!CI62="","",'Data Checking'!CI62)</f>
        <v/>
      </c>
      <c r="BX62" s="2" t="str">
        <f>IF('Data Checking'!CJ62="","",'Data Checking'!CJ62)</f>
        <v/>
      </c>
      <c r="BY62" s="2" t="str">
        <f>IF('Data Checking'!CK62="","",'Data Checking'!CK62)</f>
        <v/>
      </c>
      <c r="BZ62" s="2" t="str">
        <f>IF('Data Checking'!CL62="","",'Data Checking'!CL62)</f>
        <v/>
      </c>
      <c r="CA62" s="2" t="str">
        <f>IF('Data Checking'!CM62="","",'Data Checking'!CM62)</f>
        <v/>
      </c>
      <c r="CB62" s="2" t="str">
        <f>IF('Data Checking'!CN62="","",'Data Checking'!CN62)</f>
        <v/>
      </c>
      <c r="CC62" s="2" t="str">
        <f>IF('Data Checking'!CO62="","",'Data Checking'!CO62)</f>
        <v/>
      </c>
      <c r="CD62" s="2" t="str">
        <f>IF('Data Checking'!CP62="","",'Data Checking'!CP62)</f>
        <v/>
      </c>
      <c r="CE62" s="2" t="str">
        <f>IF('Data Checking'!CQ62="","",'Data Checking'!CQ62)</f>
        <v/>
      </c>
      <c r="CF62" s="2" t="str">
        <f>IF('Data Checking'!CR62="","",'Data Checking'!CR62)</f>
        <v/>
      </c>
      <c r="CG62" s="2" t="str">
        <f>IF('Data Checking'!CS62="","",'Data Checking'!CS62)</f>
        <v/>
      </c>
      <c r="CH62" s="2" t="str">
        <f>IF('Data Checking'!CT62="","",'Data Checking'!CT62)</f>
        <v/>
      </c>
      <c r="CI62" s="2" t="str">
        <f>IF('Data Checking'!CU62="","",'Data Checking'!CU62)</f>
        <v/>
      </c>
      <c r="CJ62" s="2" t="str">
        <f>IF('Data Checking'!CV62="","",'Data Checking'!CV62)</f>
        <v/>
      </c>
      <c r="CK62" s="2" t="str">
        <f>IF('Data Checking'!CW62="","",'Data Checking'!CW62)</f>
        <v/>
      </c>
      <c r="CL62" s="2" t="str">
        <f>IF('Data Checking'!CX62="","",'Data Checking'!CX62)</f>
        <v/>
      </c>
      <c r="CM62" s="2" t="str">
        <f>IF('Data Checking'!CY62="","",'Data Checking'!CY62)</f>
        <v/>
      </c>
      <c r="CN62" s="2" t="str">
        <f>IF('Data Checking'!CZ62="","",'Data Checking'!CZ62)</f>
        <v/>
      </c>
      <c r="CO62" s="2" t="str">
        <f>IF('Data Checking'!DA62="","",'Data Checking'!DA62)</f>
        <v/>
      </c>
      <c r="CP62" s="2" t="str">
        <f>IF('Data Checking'!DB62="","",'Data Checking'!DB62)</f>
        <v/>
      </c>
      <c r="CQ62" s="2" t="str">
        <f>IF('Data Checking'!DC62="","",'Data Checking'!DC62)</f>
        <v/>
      </c>
      <c r="CR62" s="2" t="str">
        <f>IF('Data Checking'!DD62="","",'Data Checking'!DD62)</f>
        <v/>
      </c>
      <c r="CS62" s="2" t="str">
        <f>IF('Data Checking'!DE62="","",'Data Checking'!DE62)</f>
        <v/>
      </c>
      <c r="CT62" s="2" t="str">
        <f>IF('Data Checking'!DF62="","",'Data Checking'!DF62)</f>
        <v/>
      </c>
      <c r="CU62" s="2" t="str">
        <f>IF('Data Checking'!DG62="","",'Data Checking'!DG62)</f>
        <v/>
      </c>
      <c r="CV62" s="2" t="str">
        <f>IF('Data Checking'!DH62="","",'Data Checking'!DH62)</f>
        <v/>
      </c>
      <c r="CW62" s="2" t="str">
        <f>IF('Data Checking'!DI62="","",'Data Checking'!DI62)</f>
        <v/>
      </c>
      <c r="CX62" s="2" t="str">
        <f>IF('Data Checking'!DJ62="","",'Data Checking'!DJ62)</f>
        <v/>
      </c>
      <c r="CY62" s="2" t="str">
        <f>IF('Data Checking'!DK62="","",'Data Checking'!DK62)</f>
        <v/>
      </c>
      <c r="CZ62" s="2" t="str">
        <f>IF('Data Checking'!DL62="","",'Data Checking'!DL62)</f>
        <v/>
      </c>
      <c r="DA62" s="2" t="str">
        <f>IF('Data Checking'!DM62="","",'Data Checking'!DM62)</f>
        <v/>
      </c>
      <c r="DB62" s="2" t="str">
        <f>IF('Data Checking'!DN62="","",'Data Checking'!DN62)</f>
        <v>deterioration_acces_service_base diminution_moyens_existence hausse_nbr_groupes_armees</v>
      </c>
      <c r="DC62" s="2" t="str">
        <f>IF('Data Checking'!DO62="","",'Data Checking'!DO62)</f>
        <v>1</v>
      </c>
      <c r="DD62" s="2" t="str">
        <f>IF('Data Checking'!DP62="","",'Data Checking'!DP62)</f>
        <v>0</v>
      </c>
      <c r="DE62" s="2" t="str">
        <f>IF('Data Checking'!DQ62="","",'Data Checking'!DQ62)</f>
        <v>1</v>
      </c>
      <c r="DF62" s="2" t="str">
        <f>IF('Data Checking'!DR62="","",'Data Checking'!DR62)</f>
        <v>0</v>
      </c>
      <c r="DG62" s="2" t="str">
        <f>IF('Data Checking'!DS62="","",'Data Checking'!DS62)</f>
        <v>1</v>
      </c>
      <c r="DH62" s="2" t="str">
        <f>IF('Data Checking'!DT62="","",'Data Checking'!DT62)</f>
        <v>0</v>
      </c>
      <c r="DI62" s="2" t="str">
        <f>IF('Data Checking'!DU62="","",'Data Checking'!DU62)</f>
        <v>0</v>
      </c>
      <c r="DJ62" s="2" t="str">
        <f>IF('Data Checking'!DV62="","",'Data Checking'!DV62)</f>
        <v>0</v>
      </c>
      <c r="DK62" s="2" t="str">
        <f>IF('Data Checking'!DW62="","",'Data Checking'!DW62)</f>
        <v>0</v>
      </c>
      <c r="DL62" s="2" t="str">
        <f>IF('Data Checking'!DX62="","",'Data Checking'!DX62)</f>
        <v>0</v>
      </c>
      <c r="DM62" s="2" t="str">
        <f>IF('Data Checking'!DY62="","",'Data Checking'!DY62)</f>
        <v/>
      </c>
      <c r="DN62" s="2" t="str">
        <f>IF('Data Checking'!DZ62="","",'Data Checking'!DZ62)</f>
        <v/>
      </c>
      <c r="DO62" s="2" t="str">
        <f>IF('Data Checking'!EA62="","",'Data Checking'!EA62)</f>
        <v/>
      </c>
      <c r="DP62" s="2" t="str">
        <f>IF('Data Checking'!EB62="","",'Data Checking'!EB62)</f>
        <v/>
      </c>
      <c r="DQ62" s="2" t="str">
        <f>IF('Data Checking'!EC62="","",'Data Checking'!EC62)</f>
        <v/>
      </c>
      <c r="DR62" s="2" t="str">
        <f>IF('Data Checking'!ED62="","",'Data Checking'!ED62)</f>
        <v/>
      </c>
      <c r="DS62" s="2" t="str">
        <f>IF('Data Checking'!EE62="","",'Data Checking'!EE62)</f>
        <v/>
      </c>
      <c r="DT62" s="2" t="str">
        <f>IF('Data Checking'!EF62="","",'Data Checking'!EF62)</f>
        <v/>
      </c>
      <c r="DU62" s="2" t="str">
        <f>IF('Data Checking'!EG62="","",'Data Checking'!EG62)</f>
        <v/>
      </c>
      <c r="DV62" s="2" t="str">
        <f>IF('Data Checking'!EH62="","",'Data Checking'!EH62)</f>
        <v/>
      </c>
      <c r="DW62" s="2" t="str">
        <f>IF('Data Checking'!EI62="","",'Data Checking'!EI62)</f>
        <v/>
      </c>
      <c r="DX62" s="2" t="str">
        <f>IF('Data Checking'!EJ62="","",'Data Checking'!EJ62)</f>
        <v/>
      </c>
      <c r="DY62" s="2" t="str">
        <f>IF('Data Checking'!EK62="","",'Data Checking'!EK62)</f>
        <v/>
      </c>
      <c r="DZ62" s="2" t="str">
        <f>IF('Data Checking'!EL62="","",'Data Checking'!EL62)</f>
        <v>Soutien_famille_amis Soutien_chef_village Integration_com_hote</v>
      </c>
      <c r="EA62" s="2" t="str">
        <f>IF('Data Checking'!EM62="","",'Data Checking'!EM62)</f>
        <v>0</v>
      </c>
      <c r="EB62" s="2" t="str">
        <f>IF('Data Checking'!EN62="","",'Data Checking'!EN62)</f>
        <v>1</v>
      </c>
      <c r="EC62" s="2" t="str">
        <f>IF('Data Checking'!EO62="","",'Data Checking'!EO62)</f>
        <v>1</v>
      </c>
      <c r="ED62" s="2" t="str">
        <f>IF('Data Checking'!EP62="","",'Data Checking'!EP62)</f>
        <v>1</v>
      </c>
      <c r="EE62" s="2" t="str">
        <f>IF('Data Checking'!EQ62="","",'Data Checking'!EQ62)</f>
        <v>0</v>
      </c>
      <c r="EF62" s="2" t="str">
        <f>IF('Data Checking'!ER62="","",'Data Checking'!ER62)</f>
        <v>0</v>
      </c>
      <c r="EG62" s="2" t="str">
        <f>IF('Data Checking'!ES62="","",'Data Checking'!ES62)</f>
        <v>0</v>
      </c>
      <c r="EH62" s="2" t="str">
        <f>IF('Data Checking'!ET62="","",'Data Checking'!ET62)</f>
        <v>0</v>
      </c>
      <c r="EI62" s="2" t="str">
        <f>IF('Data Checking'!EU62="","",'Data Checking'!EU62)</f>
        <v>0</v>
      </c>
      <c r="EJ62" s="2" t="str">
        <f>IF('Data Checking'!EV62="","",'Data Checking'!EV62)</f>
        <v/>
      </c>
      <c r="EK62" s="2" t="str">
        <f>IF('Data Checking'!EW62="","",'Data Checking'!EW62)</f>
        <v/>
      </c>
      <c r="EL62" s="2" t="str">
        <f>IF('Data Checking'!EX62="","",'Data Checking'!EX62)</f>
        <v>comite_protection</v>
      </c>
      <c r="EM62" s="2" t="str">
        <f>IF('Data Checking'!EY62="","",'Data Checking'!EY62)</f>
        <v>0</v>
      </c>
      <c r="EN62" s="2" t="str">
        <f>IF('Data Checking'!EZ62="","",'Data Checking'!EZ62)</f>
        <v>1</v>
      </c>
      <c r="EO62" s="2" t="str">
        <f>IF('Data Checking'!FA62="","",'Data Checking'!FA62)</f>
        <v>0</v>
      </c>
      <c r="EP62" s="2" t="str">
        <f>IF('Data Checking'!FB62="","",'Data Checking'!FB62)</f>
        <v>0</v>
      </c>
      <c r="EQ62" s="2" t="str">
        <f>IF('Data Checking'!FC62="","",'Data Checking'!FC62)</f>
        <v>0</v>
      </c>
      <c r="ER62" s="2" t="str">
        <f>IF('Data Checking'!FD62="","",'Data Checking'!FD62)</f>
        <v>0</v>
      </c>
      <c r="ES62" s="2" t="str">
        <f>IF('Data Checking'!FE62="","",'Data Checking'!FE62)</f>
        <v>0</v>
      </c>
      <c r="ET62" s="2" t="str">
        <f>IF('Data Checking'!FF62="","",'Data Checking'!FF62)</f>
        <v>0</v>
      </c>
      <c r="EU62" s="2" t="str">
        <f>IF('Data Checking'!FG62="","",'Data Checking'!FG62)</f>
        <v>0</v>
      </c>
      <c r="EV62" s="2" t="str">
        <f>IF('Data Checking'!FH62="","",'Data Checking'!FH62)</f>
        <v>0</v>
      </c>
      <c r="EW62" s="2" t="str">
        <f>IF('Data Checking'!FI62="","",'Data Checking'!FI62)</f>
        <v/>
      </c>
      <c r="EX62" s="2" t="str">
        <f>IF('Data Checking'!FJ62="","",'Data Checking'!FJ62)</f>
        <v>oui</v>
      </c>
      <c r="EY62" s="2" t="str">
        <f>IF('Data Checking'!FK62="","",'Data Checking'!FK62)</f>
        <v>Radio_television Chef_village Leaders_religieux famille_amis</v>
      </c>
      <c r="EZ62" s="2" t="str">
        <f>IF('Data Checking'!FL62="","",'Data Checking'!FL62)</f>
        <v>1</v>
      </c>
      <c r="FA62" s="2" t="str">
        <f>IF('Data Checking'!FM62="","",'Data Checking'!FM62)</f>
        <v>0</v>
      </c>
      <c r="FB62" s="2" t="str">
        <f>IF('Data Checking'!FN62="","",'Data Checking'!FN62)</f>
        <v>0</v>
      </c>
      <c r="FC62" s="2" t="str">
        <f>IF('Data Checking'!FO62="","",'Data Checking'!FO62)</f>
        <v>0</v>
      </c>
      <c r="FD62" s="2" t="str">
        <f>IF('Data Checking'!FP62="","",'Data Checking'!FP62)</f>
        <v>1</v>
      </c>
      <c r="FE62" s="2" t="str">
        <f>IF('Data Checking'!FQ62="","",'Data Checking'!FQ62)</f>
        <v>1</v>
      </c>
      <c r="FF62" s="2" t="str">
        <f>IF('Data Checking'!FR62="","",'Data Checking'!FR62)</f>
        <v>1</v>
      </c>
      <c r="FG62" s="2" t="str">
        <f>IF('Data Checking'!FS62="","",'Data Checking'!FS62)</f>
        <v>0</v>
      </c>
      <c r="FH62" s="2" t="str">
        <f>IF('Data Checking'!FT62="","",'Data Checking'!FT62)</f>
        <v>0</v>
      </c>
      <c r="FI62" s="2" t="str">
        <f>IF('Data Checking'!FU62="","",'Data Checking'!FU62)</f>
        <v>0</v>
      </c>
      <c r="FJ62" s="2" t="str">
        <f>IF('Data Checking'!FV62="","",'Data Checking'!FV62)</f>
        <v>0</v>
      </c>
      <c r="FK62" s="2" t="str">
        <f>IF('Data Checking'!FW62="","",'Data Checking'!FW62)</f>
        <v>0</v>
      </c>
      <c r="FL62" s="2" t="str">
        <f>IF('Data Checking'!FX62="","",'Data Checking'!FX62)</f>
        <v>0</v>
      </c>
      <c r="FM62" s="2" t="str">
        <f>IF('Data Checking'!FY62="","",'Data Checking'!FY62)</f>
        <v>0</v>
      </c>
      <c r="FN62" s="2" t="str">
        <f>IF('Data Checking'!FZ62="","",'Data Checking'!FZ62)</f>
        <v/>
      </c>
      <c r="FO62" s="2" t="str">
        <f>IF('Data Checking'!GA62="","",'Data Checking'!GA62)</f>
        <v>oui_majorite</v>
      </c>
      <c r="FP62" s="2" t="str">
        <f>IF('Data Checking'!GB62="","",'Data Checking'!GB62)</f>
        <v>oui_ensemble</v>
      </c>
      <c r="FQ62" s="2" t="str">
        <f>IF('Data Checking'!GC62="","",'Data Checking'!GC62)</f>
        <v/>
      </c>
      <c r="FR62" s="2" t="str">
        <f>IF('Data Checking'!GD62="","",'Data Checking'!GD62)</f>
        <v/>
      </c>
      <c r="FS62" s="2" t="str">
        <f>IF('Data Checking'!GE62="","",'Data Checking'!GE62)</f>
        <v/>
      </c>
      <c r="FT62" s="2" t="str">
        <f>IF('Data Checking'!GF62="","",'Data Checking'!GF62)</f>
        <v/>
      </c>
      <c r="FU62" s="2" t="str">
        <f>IF('Data Checking'!GG62="","",'Data Checking'!GG62)</f>
        <v/>
      </c>
      <c r="FV62" s="2" t="str">
        <f>IF('Data Checking'!GH62="","",'Data Checking'!GH62)</f>
        <v/>
      </c>
      <c r="FW62" s="2" t="str">
        <f>IF('Data Checking'!GI62="","",'Data Checking'!GI62)</f>
        <v/>
      </c>
      <c r="FX62" s="2" t="str">
        <f>IF('Data Checking'!GJ62="","",'Data Checking'!GJ62)</f>
        <v/>
      </c>
      <c r="FY62" s="2" t="str">
        <f>IF('Data Checking'!GK62="","",'Data Checking'!GK62)</f>
        <v/>
      </c>
      <c r="FZ62" s="2" t="str">
        <f>IF('Data Checking'!GL62="","",'Data Checking'!GL62)</f>
        <v/>
      </c>
      <c r="GA62" s="2" t="str">
        <f>IF('Data Checking'!GM62="","",'Data Checking'!GM62)</f>
        <v>ensemble</v>
      </c>
      <c r="GB62" s="2" t="str">
        <f>IF('Data Checking'!GN62="","",'Data Checking'!GN62)</f>
        <v>ensemble</v>
      </c>
      <c r="GC62" s="2" t="str">
        <f>IF('Data Checking'!GO62="","",'Data Checking'!GO62)</f>
        <v>Education Services_de_sante Acces_aux_doc</v>
      </c>
      <c r="GD62" s="2" t="str">
        <f>IF('Data Checking'!GP62="","",'Data Checking'!GP62)</f>
        <v>0</v>
      </c>
      <c r="GE62" s="2" t="str">
        <f>IF('Data Checking'!GQ62="","",'Data Checking'!GQ62)</f>
        <v>1</v>
      </c>
      <c r="GF62" s="2" t="str">
        <f>IF('Data Checking'!GR62="","",'Data Checking'!GR62)</f>
        <v>0</v>
      </c>
      <c r="GG62" s="2" t="str">
        <f>IF('Data Checking'!GS62="","",'Data Checking'!GS62)</f>
        <v>1</v>
      </c>
      <c r="GH62" s="2" t="str">
        <f>IF('Data Checking'!GT62="","",'Data Checking'!GT62)</f>
        <v>1</v>
      </c>
      <c r="GI62" s="2" t="str">
        <f>IF('Data Checking'!GU62="","",'Data Checking'!GU62)</f>
        <v>0</v>
      </c>
      <c r="GJ62" s="2" t="str">
        <f>IF('Data Checking'!GV62="","",'Data Checking'!GV62)</f>
        <v>0</v>
      </c>
      <c r="GK62" s="2" t="str">
        <f>IF('Data Checking'!GW62="","",'Data Checking'!GW62)</f>
        <v>0</v>
      </c>
      <c r="GL62" s="2" t="str">
        <f>IF('Data Checking'!GX62="","",'Data Checking'!GX62)</f>
        <v>0</v>
      </c>
      <c r="GM62" s="2" t="str">
        <f>IF('Data Checking'!GY62="","",'Data Checking'!GY62)</f>
        <v/>
      </c>
      <c r="GN62" s="2" t="str">
        <f>IF('Data Checking'!GZ62="","",'Data Checking'!GZ62)</f>
        <v>oui_majorite</v>
      </c>
      <c r="GO62" s="2" t="str">
        <f>IF('Data Checking'!HA62="","",'Data Checking'!HA62)</f>
        <v>oui_ensemble</v>
      </c>
      <c r="GP62" s="2" t="str">
        <f>IF('Data Checking'!HB62="","",'Data Checking'!HB62)</f>
        <v>repond_besoins_pop permet_obtenir_conseils</v>
      </c>
      <c r="GQ62" s="2" t="str">
        <f>IF('Data Checking'!HC62="","",'Data Checking'!HC62)</f>
        <v>0</v>
      </c>
      <c r="GR62" s="2" t="str">
        <f>IF('Data Checking'!HD62="","",'Data Checking'!HD62)</f>
        <v>1</v>
      </c>
      <c r="GS62" s="2" t="str">
        <f>IF('Data Checking'!HE62="","",'Data Checking'!HE62)</f>
        <v>1</v>
      </c>
      <c r="GT62" s="2" t="str">
        <f>IF('Data Checking'!HF62="","",'Data Checking'!HF62)</f>
        <v>0</v>
      </c>
      <c r="GU62" s="2" t="str">
        <f>IF('Data Checking'!HG62="","",'Data Checking'!HG62)</f>
        <v>0</v>
      </c>
      <c r="GV62" s="2" t="str">
        <f>IF('Data Checking'!HH62="","",'Data Checking'!HH62)</f>
        <v>0</v>
      </c>
      <c r="GW62" s="2" t="str">
        <f>IF('Data Checking'!HI62="","",'Data Checking'!HI62)</f>
        <v>0</v>
      </c>
      <c r="GX62" s="2" t="str">
        <f>IF('Data Checking'!HJ62="","",'Data Checking'!HJ62)</f>
        <v>0</v>
      </c>
      <c r="GY62" s="2" t="str">
        <f>IF('Data Checking'!HK62="","",'Data Checking'!HK62)</f>
        <v/>
      </c>
      <c r="GZ62" s="2" t="str">
        <f>IF('Data Checking'!HL62="","",'Data Checking'!HL62)</f>
        <v>ne_contribue_pas</v>
      </c>
      <c r="HA62" s="2" t="str">
        <f>IF('Data Checking'!HM62="","",'Data Checking'!HM62)</f>
        <v>1</v>
      </c>
      <c r="HB62" s="2" t="str">
        <f>IF('Data Checking'!HN62="","",'Data Checking'!HN62)</f>
        <v>0</v>
      </c>
      <c r="HC62" s="2" t="str">
        <f>IF('Data Checking'!HO62="","",'Data Checking'!HO62)</f>
        <v>0</v>
      </c>
      <c r="HD62" s="2" t="str">
        <f>IF('Data Checking'!HP62="","",'Data Checking'!HP62)</f>
        <v>0</v>
      </c>
      <c r="HE62" s="2" t="str">
        <f>IF('Data Checking'!HQ62="","",'Data Checking'!HQ62)</f>
        <v>0</v>
      </c>
      <c r="HF62" s="2" t="str">
        <f>IF('Data Checking'!HR62="","",'Data Checking'!HR62)</f>
        <v>0</v>
      </c>
      <c r="HG62" s="2" t="str">
        <f>IF('Data Checking'!HS62="","",'Data Checking'!HS62)</f>
        <v/>
      </c>
      <c r="HH62" s="2" t="str">
        <f>IF('Data Checking'!HT62="","",'Data Checking'!HT62)</f>
        <v/>
      </c>
      <c r="HI62" s="2" t="str">
        <f>IF('Data Checking'!HU62="","",'Data Checking'!HU62)</f>
        <v>oui_ensemble</v>
      </c>
      <c r="HJ62" s="2" t="str">
        <f>IF('Data Checking'!HV62="","",'Data Checking'!HV62)</f>
        <v>ingo fds_arme gvt</v>
      </c>
      <c r="HK62" s="2" t="str">
        <f>IF('Data Checking'!HW62="","",'Data Checking'!HW62)</f>
        <v>1</v>
      </c>
      <c r="HL62" s="2" t="str">
        <f>IF('Data Checking'!HX62="","",'Data Checking'!HX62)</f>
        <v>1</v>
      </c>
      <c r="HM62" s="2" t="str">
        <f>IF('Data Checking'!HY62="","",'Data Checking'!HY62)</f>
        <v>0</v>
      </c>
      <c r="HN62" s="2" t="str">
        <f>IF('Data Checking'!HZ62="","",'Data Checking'!HZ62)</f>
        <v>0</v>
      </c>
      <c r="HO62" s="2" t="str">
        <f>IF('Data Checking'!IA62="","",'Data Checking'!IA62)</f>
        <v>1</v>
      </c>
      <c r="HP62" s="2" t="str">
        <f>IF('Data Checking'!IB62="","",'Data Checking'!IB62)</f>
        <v>0</v>
      </c>
      <c r="HQ62" s="2" t="str">
        <f>IF('Data Checking'!IC62="","",'Data Checking'!IC62)</f>
        <v>0</v>
      </c>
      <c r="HR62" s="2" t="str">
        <f>IF('Data Checking'!ID62="","",'Data Checking'!ID62)</f>
        <v>0</v>
      </c>
      <c r="HS62" s="2" t="str">
        <f>IF('Data Checking'!IE62="","",'Data Checking'!IE62)</f>
        <v>0</v>
      </c>
      <c r="HT62" s="2" t="str">
        <f>IF('Data Checking'!IF62="","",'Data Checking'!IF62)</f>
        <v>0</v>
      </c>
      <c r="HU62" s="2" t="str">
        <f>IF('Data Checking'!IG62="","",'Data Checking'!IG62)</f>
        <v/>
      </c>
      <c r="HV62" s="2" t="str">
        <f>IF('Data Checking'!IH62="","",'Data Checking'!IH62)</f>
        <v/>
      </c>
      <c r="HW62" s="2" t="str">
        <f>IF('Data Checking'!II62="","",'Data Checking'!II62)</f>
        <v/>
      </c>
      <c r="HX62" s="2" t="str">
        <f>IF('Data Checking'!IJ62="","",'Data Checking'!IJ62)</f>
        <v>Filles Garçons Femmes Femmes_agees handicap_physique</v>
      </c>
      <c r="HY62" s="2" t="str">
        <f>IF('Data Checking'!IK62="","",'Data Checking'!IK62)</f>
        <v>0</v>
      </c>
      <c r="HZ62" s="2" t="str">
        <f>IF('Data Checking'!IL62="","",'Data Checking'!IL62)</f>
        <v>0</v>
      </c>
      <c r="IA62" s="2" t="str">
        <f>IF('Data Checking'!IM62="","",'Data Checking'!IM62)</f>
        <v>1</v>
      </c>
      <c r="IB62" s="2" t="str">
        <f>IF('Data Checking'!IN62="","",'Data Checking'!IN62)</f>
        <v>1</v>
      </c>
      <c r="IC62" s="2" t="str">
        <f>IF('Data Checking'!IO62="","",'Data Checking'!IO62)</f>
        <v>1</v>
      </c>
      <c r="ID62" s="2" t="str">
        <f>IF('Data Checking'!IP62="","",'Data Checking'!IP62)</f>
        <v>0</v>
      </c>
      <c r="IE62" s="2" t="str">
        <f>IF('Data Checking'!IQ62="","",'Data Checking'!IQ62)</f>
        <v>1</v>
      </c>
      <c r="IF62" s="2" t="str">
        <f>IF('Data Checking'!IR62="","",'Data Checking'!IR62)</f>
        <v>0</v>
      </c>
      <c r="IG62" s="2" t="str">
        <f>IF('Data Checking'!IS62="","",'Data Checking'!IS62)</f>
        <v>1</v>
      </c>
      <c r="IH62" s="2" t="str">
        <f>IF('Data Checking'!IT62="","",'Data Checking'!IT62)</f>
        <v>0</v>
      </c>
      <c r="II62" s="2" t="str">
        <f>IF('Data Checking'!IU62="","",'Data Checking'!IU62)</f>
        <v>0</v>
      </c>
      <c r="IJ62" s="2" t="str">
        <f>IF('Data Checking'!IV62="","",'Data Checking'!IV62)</f>
        <v>0</v>
      </c>
      <c r="IK62" s="2" t="str">
        <f>IF('Data Checking'!IW62="","",'Data Checking'!IW62)</f>
        <v>0</v>
      </c>
      <c r="IL62" s="2" t="str">
        <f>IF('Data Checking'!IX62="","",'Data Checking'!IX62)</f>
        <v>0</v>
      </c>
      <c r="IM62" s="2" t="str">
        <f>IF('Data Checking'!IY62="","",'Data Checking'!IY62)</f>
        <v/>
      </c>
      <c r="IN62" s="2" t="str">
        <f>IF('Data Checking'!IZ62="","",'Data Checking'!IZ62)</f>
        <v>100</v>
      </c>
      <c r="IO62" s="2" t="str">
        <f>IF('Data Checking'!JA62="","",'Data Checking'!JA62)</f>
        <v>Appui_psychosocial Services_medicaux Services_conseil acces_docs</v>
      </c>
      <c r="IP62" s="2" t="str">
        <f>IF('Data Checking'!JB62="","",'Data Checking'!JB62)</f>
        <v>1</v>
      </c>
      <c r="IQ62" s="2" t="str">
        <f>IF('Data Checking'!JC62="","",'Data Checking'!JC62)</f>
        <v>1</v>
      </c>
      <c r="IR62" s="2" t="str">
        <f>IF('Data Checking'!JD62="","",'Data Checking'!JD62)</f>
        <v>0</v>
      </c>
      <c r="IS62" s="2" t="str">
        <f>IF('Data Checking'!JE62="","",'Data Checking'!JE62)</f>
        <v>1</v>
      </c>
      <c r="IT62" s="2" t="str">
        <f>IF('Data Checking'!JF62="","",'Data Checking'!JF62)</f>
        <v>1</v>
      </c>
      <c r="IU62" s="2" t="str">
        <f>IF('Data Checking'!JG62="","",'Data Checking'!JG62)</f>
        <v>0</v>
      </c>
      <c r="IV62" s="2" t="str">
        <f>IF('Data Checking'!JH62="","",'Data Checking'!JH62)</f>
        <v>0</v>
      </c>
      <c r="IW62" s="2" t="str">
        <f>IF('Data Checking'!JI62="","",'Data Checking'!JI62)</f>
        <v>0</v>
      </c>
      <c r="IX62" s="2" t="str">
        <f>IF('Data Checking'!JJ62="","",'Data Checking'!JJ62)</f>
        <v>0</v>
      </c>
      <c r="IY62" s="2" t="str">
        <f>IF('Data Checking'!JK62="","",'Data Checking'!JK62)</f>
        <v>0</v>
      </c>
      <c r="IZ62" s="2" t="str">
        <f>IF('Data Checking'!JL62="","",'Data Checking'!JL62)</f>
        <v/>
      </c>
      <c r="JA62" s="2" t="str">
        <f>IF('Data Checking'!JM62="","",'Data Checking'!JM62)</f>
        <v>reorientation signalement</v>
      </c>
      <c r="JB62" s="2" t="str">
        <f>IF('Data Checking'!JN62="","",'Data Checking'!JN62)</f>
        <v>0</v>
      </c>
      <c r="JC62" s="2" t="str">
        <f>IF('Data Checking'!JO62="","",'Data Checking'!JO62)</f>
        <v>1</v>
      </c>
      <c r="JD62" s="2" t="str">
        <f>IF('Data Checking'!JP62="","",'Data Checking'!JP62)</f>
        <v>1</v>
      </c>
      <c r="JE62" s="2" t="str">
        <f>IF('Data Checking'!JQ62="","",'Data Checking'!JQ62)</f>
        <v>0</v>
      </c>
      <c r="JF62" s="2" t="str">
        <f>IF('Data Checking'!JR62="","",'Data Checking'!JR62)</f>
        <v>0</v>
      </c>
      <c r="JG62" s="2" t="str">
        <f>IF('Data Checking'!JS62="","",'Data Checking'!JS62)</f>
        <v>0</v>
      </c>
      <c r="JH62" s="2" t="str">
        <f>IF('Data Checking'!JT62="","",'Data Checking'!JT62)</f>
        <v/>
      </c>
      <c r="JI62" s="2" t="str">
        <f>IF('Data Checking'!JU62="","",'Data Checking'!JU62)</f>
        <v/>
      </c>
      <c r="JJ62" s="2" t="str">
        <f>IF('Data Checking'!JV62="","",'Data Checking'!JV62)</f>
        <v/>
      </c>
      <c r="JK62" s="2" t="str">
        <f>IF('Data Checking'!JW62="","",'Data Checking'!JW62)</f>
        <v/>
      </c>
      <c r="JL62" s="2" t="str">
        <f>IF('Data Checking'!JX62="","",'Data Checking'!JX62)</f>
        <v/>
      </c>
      <c r="JM62" s="2" t="str">
        <f>IF('Data Checking'!JY62="","",'Data Checking'!JY62)</f>
        <v/>
      </c>
      <c r="JN62" s="2" t="str">
        <f>IF('Data Checking'!JZ62="","",'Data Checking'!JZ62)</f>
        <v/>
      </c>
      <c r="JO62" s="2" t="str">
        <f>IF('Data Checking'!KA62="","",'Data Checking'!KA62)</f>
        <v/>
      </c>
      <c r="JP62" s="2" t="str">
        <f>IF('Data Checking'!KB62="","",'Data Checking'!KB62)</f>
        <v/>
      </c>
      <c r="JQ62" s="2" t="str">
        <f>IF('Data Checking'!KC62="","",'Data Checking'!KC62)</f>
        <v/>
      </c>
      <c r="JR62" s="2" t="str">
        <f>IF('Data Checking'!KD62="","",'Data Checking'!KD62)</f>
        <v/>
      </c>
      <c r="JS62" s="2" t="str">
        <f>IF('Data Checking'!KE62="","",'Data Checking'!KE62)</f>
        <v/>
      </c>
      <c r="JT62" s="2" t="str">
        <f>IF('Data Checking'!KF62="","",'Data Checking'!KF62)</f>
        <v>medical surete Psychosocia</v>
      </c>
      <c r="JU62" s="2" t="str">
        <f>IF('Data Checking'!KG62="","",'Data Checking'!KG62)</f>
        <v>1</v>
      </c>
      <c r="JV62" s="2" t="str">
        <f>IF('Data Checking'!KH62="","",'Data Checking'!KH62)</f>
        <v>1</v>
      </c>
      <c r="JW62" s="2" t="str">
        <f>IF('Data Checking'!KI62="","",'Data Checking'!KI62)</f>
        <v>0</v>
      </c>
      <c r="JX62" s="2" t="str">
        <f>IF('Data Checking'!KJ62="","",'Data Checking'!KJ62)</f>
        <v>0</v>
      </c>
      <c r="JY62" s="2" t="str">
        <f>IF('Data Checking'!KK62="","",'Data Checking'!KK62)</f>
        <v>1</v>
      </c>
      <c r="JZ62" s="2" t="str">
        <f>IF('Data Checking'!KL62="","",'Data Checking'!KL62)</f>
        <v>0</v>
      </c>
      <c r="KA62" s="2" t="str">
        <f>IF('Data Checking'!KM62="","",'Data Checking'!KM62)</f>
        <v>0</v>
      </c>
      <c r="KB62" s="2" t="str">
        <f>IF('Data Checking'!KN62="","",'Data Checking'!KN62)</f>
        <v>0</v>
      </c>
      <c r="KC62" s="2" t="str">
        <f>IF('Data Checking'!KO62="","",'Data Checking'!KO62)</f>
        <v>0</v>
      </c>
      <c r="KD62" s="2" t="str">
        <f>IF('Data Checking'!KP62="","",'Data Checking'!KP62)</f>
        <v/>
      </c>
      <c r="KE62" s="2" t="str">
        <f>IF('Data Checking'!KQ62="","",'Data Checking'!KQ62)</f>
        <v/>
      </c>
      <c r="KF62" s="2" t="str">
        <f>IF('Data Checking'!KR62="","",'Data Checking'!KR62)</f>
        <v>non</v>
      </c>
      <c r="KG62" s="2" t="str">
        <f>IF('Data Checking'!KS62="","",'Data Checking'!KS62)</f>
        <v/>
      </c>
      <c r="KH62" s="2" t="str">
        <f>IF('Data Checking'!KT62="","",'Data Checking'!KT62)</f>
        <v/>
      </c>
      <c r="KI62" s="2" t="str">
        <f>IF('Data Checking'!KU62="","",'Data Checking'!KU62)</f>
        <v/>
      </c>
      <c r="KJ62" s="2" t="str">
        <f>IF('Data Checking'!KV62="","",'Data Checking'!KV62)</f>
        <v/>
      </c>
      <c r="KK62" s="2" t="str">
        <f>IF('Data Checking'!KW62="","",'Data Checking'!KW62)</f>
        <v/>
      </c>
      <c r="KL62" s="2" t="str">
        <f>IF('Data Checking'!KX62="","",'Data Checking'!KX62)</f>
        <v/>
      </c>
      <c r="KM62" s="2" t="str">
        <f>IF('Data Checking'!KY62="","",'Data Checking'!KY62)</f>
        <v/>
      </c>
      <c r="KN62" s="2" t="str">
        <f>IF('Data Checking'!KZ62="","",'Data Checking'!KZ62)</f>
        <v/>
      </c>
      <c r="KO62" s="2" t="str">
        <f>IF('Data Checking'!LA62="","",'Data Checking'!LA62)</f>
        <v/>
      </c>
      <c r="KP62" s="2" t="str">
        <f>IF('Data Checking'!LB62="","",'Data Checking'!LB62)</f>
        <v/>
      </c>
      <c r="KQ62" s="2" t="str">
        <f>IF('Data Checking'!LC62="","",'Data Checking'!LC62)</f>
        <v/>
      </c>
      <c r="KR62" s="2" t="str">
        <f>IF('Data Checking'!LD62="","",'Data Checking'!LD62)</f>
        <v/>
      </c>
      <c r="KS62" s="2" t="str">
        <f>IF('Data Checking'!LE62="","",'Data Checking'!LE62)</f>
        <v/>
      </c>
      <c r="KT62" s="2" t="str">
        <f>IF('Data Checking'!LF62="","",'Data Checking'!LF62)</f>
        <v/>
      </c>
      <c r="KU62" s="2" t="str">
        <f>IF('Data Checking'!LG62="","",'Data Checking'!LG62)</f>
        <v/>
      </c>
      <c r="KV62" s="2" t="str">
        <f>IF('Data Checking'!LH62="","",'Data Checking'!LH62)</f>
        <v/>
      </c>
      <c r="KW62" s="2" t="str">
        <f>IF('Data Checking'!LI62="","",'Data Checking'!LI62)</f>
        <v/>
      </c>
      <c r="KX62" s="2" t="str">
        <f>IF('Data Checking'!LJ62="","",'Data Checking'!LJ62)</f>
        <v/>
      </c>
      <c r="KY62" s="2" t="str">
        <f>IF('Data Checking'!LK62="","",'Data Checking'!LK62)</f>
        <v/>
      </c>
      <c r="KZ62" s="2" t="str">
        <f>IF('Data Checking'!LL62="","",'Data Checking'!LL62)</f>
        <v/>
      </c>
      <c r="LA62" s="2" t="str">
        <f>IF('Data Checking'!LM62="","",'Data Checking'!LM62)</f>
        <v/>
      </c>
      <c r="LB62" s="2" t="str">
        <f>IF('Data Checking'!LN62="","",'Data Checking'!LN62)</f>
        <v>non</v>
      </c>
      <c r="LC62" s="2" t="str">
        <f>IF('Data Checking'!LO62="","",'Data Checking'!LO62)</f>
        <v/>
      </c>
      <c r="LD62" s="2" t="str">
        <f>IF('Data Checking'!LP62="","",'Data Checking'!LP62)</f>
        <v/>
      </c>
      <c r="LE62" s="2" t="str">
        <f>IF('Data Checking'!LQ62="","",'Data Checking'!LQ62)</f>
        <v/>
      </c>
      <c r="LF62" s="2" t="str">
        <f>IF('Data Checking'!LR62="","",'Data Checking'!LR62)</f>
        <v/>
      </c>
      <c r="LG62" s="2" t="str">
        <f>IF('Data Checking'!LS62="","",'Data Checking'!LS62)</f>
        <v/>
      </c>
      <c r="LH62" s="2" t="str">
        <f>IF('Data Checking'!LT62="","",'Data Checking'!LT62)</f>
        <v/>
      </c>
      <c r="LI62" s="2" t="str">
        <f>IF('Data Checking'!LU62="","",'Data Checking'!LU62)</f>
        <v/>
      </c>
      <c r="LJ62" s="2" t="str">
        <f>IF('Data Checking'!LV62="","",'Data Checking'!LV62)</f>
        <v/>
      </c>
      <c r="LK62" s="2" t="str">
        <f>IF('Data Checking'!LW62="","",'Data Checking'!LW62)</f>
        <v/>
      </c>
      <c r="LL62" s="2" t="str">
        <f>IF('Data Checking'!LX62="","",'Data Checking'!LX62)</f>
        <v/>
      </c>
      <c r="LM62" s="2" t="str">
        <f>IF('Data Checking'!LY62="","",'Data Checking'!LY62)</f>
        <v/>
      </c>
      <c r="LN62" s="2" t="str">
        <f>IF('Data Checking'!LZ62="","",'Data Checking'!LZ62)</f>
        <v/>
      </c>
      <c r="LO62" s="2" t="str">
        <f>IF('Data Checking'!MA62="","",'Data Checking'!MA62)</f>
        <v/>
      </c>
      <c r="LP62" s="2" t="str">
        <f>IF('Data Checking'!MB62="","",'Data Checking'!MB62)</f>
        <v>oui</v>
      </c>
      <c r="LQ62" s="2" t="str">
        <f>IF('Data Checking'!MC62="","",'Data Checking'!MC62)</f>
        <v/>
      </c>
      <c r="LR62" s="2" t="str">
        <f>IF('Data Checking'!MD62="","",'Data Checking'!MD62)</f>
        <v/>
      </c>
      <c r="LS62" s="2">
        <f>IF('Data Checking'!ME62="","",'Data Checking'!ME62)</f>
        <v>172010456</v>
      </c>
      <c r="LT62" s="2" t="str">
        <f>IF('Data Checking'!MF62="","",'Data Checking'!MF62)</f>
        <v>36016775-8b32-4563-b0aa-31f0c9e19495</v>
      </c>
      <c r="LU62" s="2" t="str">
        <f>IF('Data Checking'!MG62="","",'Data Checking'!MG62)</f>
        <v>2021-04-16T16:05:52</v>
      </c>
      <c r="LV62" s="2" t="str">
        <f>IF('Data Checking'!MH62="","",'Data Checking'!MH62)</f>
        <v/>
      </c>
      <c r="LW62" s="2" t="str">
        <f>IF('Data Checking'!MI62="","",'Data Checking'!MI62)</f>
        <v>[]</v>
      </c>
      <c r="LX62" s="2" t="str">
        <f>IF('Data Checking'!MJ62="","",'Data Checking'!MJ62)</f>
        <v>submitted_via_web</v>
      </c>
      <c r="LY62" s="2" t="str">
        <f>IF('Data Checking'!MK62="","",'Data Checking'!MK62)</f>
        <v>reach_niger</v>
      </c>
      <c r="LZ62" s="2" t="str">
        <f>IF('Data Checking'!ML62="","",'Data Checking'!ML62)</f>
        <v/>
      </c>
      <c r="MA62" s="2">
        <f>IF('Data Checking'!MM62="","",'Data Checking'!MM62)</f>
        <v>71</v>
      </c>
    </row>
    <row r="63" spans="1:339" x14ac:dyDescent="0.3">
      <c r="A63" s="2" t="str">
        <f>IF('Data Checking'!D63="","",'Data Checking'!D63)</f>
        <v>2021-04-09T10:31:29.990+01:00</v>
      </c>
      <c r="B63" s="2" t="str">
        <f>IF('Data Checking'!E63="","",'Data Checking'!E63)</f>
        <v>2021-04-09T11:55:51.514+01:00</v>
      </c>
      <c r="C63" s="2" t="str">
        <f>IF('Data Checking'!M63="","",'Data Checking'!M63)</f>
        <v>2021-04-09</v>
      </c>
      <c r="D63" s="2" t="str">
        <f>IF('Data Checking'!N63="","",'Data Checking'!N63)</f>
        <v/>
      </c>
      <c r="E63" s="2" t="str">
        <f>IF('Data Checking'!O63="","",'Data Checking'!O63)</f>
        <v/>
      </c>
      <c r="F63" s="2" t="str">
        <f>IF('Data Checking'!R63="","",'Data Checking'!R63)</f>
        <v>Homme</v>
      </c>
      <c r="G63" s="2" t="str">
        <f>IF('Data Checking'!S63="","",'Data Checking'!S63)</f>
        <v>banibangou</v>
      </c>
      <c r="H63" s="2" t="str">
        <f>IF('Data Checking'!T63="","",'Data Checking'!T63)</f>
        <v>banibangou</v>
      </c>
      <c r="I63" s="2" t="str">
        <f>IF('Data Checking'!U63="","",'Data Checking'!U63)</f>
        <v>autre</v>
      </c>
      <c r="J63" s="2" t="str">
        <f>IF('Data Checking'!V63="","",'Data Checking'!V63)</f>
        <v>Tous les sites PDI de la zone de compétence de l'IC</v>
      </c>
      <c r="K63" s="2" t="str">
        <f>IF('Data Checking'!W63="","",'Data Checking'!W63)</f>
        <v/>
      </c>
      <c r="L63" s="2" t="str">
        <f>IF('Data Checking'!X63="","",'Data Checking'!X63)</f>
        <v/>
      </c>
      <c r="M63" s="2" t="str">
        <f>IF('Data Checking'!Y63="","",'Data Checking'!Y63)</f>
        <v/>
      </c>
      <c r="N63" s="2" t="str">
        <f>IF('Data Checking'!Z63="","",'Data Checking'!Z63)</f>
        <v/>
      </c>
      <c r="O63" s="2" t="str">
        <f>IF('Data Checking'!AA63="","",'Data Checking'!AA63)</f>
        <v/>
      </c>
      <c r="P63" s="2" t="str">
        <f>IF('Data Checking'!AB63="","",'Data Checking'!AB63)</f>
        <v/>
      </c>
      <c r="Q63" s="2" t="str">
        <f>IF('Data Checking'!AC63="","",'Data Checking'!AC63)</f>
        <v/>
      </c>
      <c r="R63" s="2" t="str">
        <f>IF('Data Checking'!AD63="","",'Data Checking'!AD63)</f>
        <v>Homme</v>
      </c>
      <c r="S63" s="2" t="str">
        <f>IF('Data Checking'!AE63="","",'Data Checking'!AE63)</f>
        <v>55</v>
      </c>
      <c r="T63" s="2" t="str">
        <f>IF('Data Checking'!AF63="","",'Data Checking'!AF63)</f>
        <v>Hote</v>
      </c>
      <c r="U63" s="2" t="str">
        <f>IF('Data Checking'!AG63="","",'Data Checking'!AG63)</f>
        <v/>
      </c>
      <c r="V63" s="2" t="str">
        <f>IF('Data Checking'!AH63="","",'Data Checking'!AH63)</f>
        <v/>
      </c>
      <c r="W63" s="2" t="str">
        <f>IF('Data Checking'!AI63="","",'Data Checking'!AI63)</f>
        <v/>
      </c>
      <c r="X63" s="2" t="str">
        <f>IF('Data Checking'!AJ63="","",'Data Checking'!AJ63)</f>
        <v/>
      </c>
      <c r="Y63" s="2" t="str">
        <f>IF('Data Checking'!AK63="","",'Data Checking'!AK63)</f>
        <v/>
      </c>
      <c r="Z63" s="2" t="str">
        <f>IF('Data Checking'!AL63="","",'Data Checking'!AL63)</f>
        <v/>
      </c>
      <c r="AA63" s="2" t="str">
        <f>IF('Data Checking'!AM63="","",'Data Checking'!AM63)</f>
        <v/>
      </c>
      <c r="AB63" s="2" t="str">
        <f>IF('Data Checking'!AN63="","",'Data Checking'!AN63)</f>
        <v/>
      </c>
      <c r="AC63" s="2" t="str">
        <f>IF('Data Checking'!AO63="","",'Data Checking'!AO63)</f>
        <v/>
      </c>
      <c r="AD63" s="2" t="str">
        <f>IF('Data Checking'!AP63="","",'Data Checking'!AP63)</f>
        <v/>
      </c>
      <c r="AE63" s="2" t="str">
        <f>IF('Data Checking'!AQ63="","",'Data Checking'!AQ63)</f>
        <v/>
      </c>
      <c r="AF63" s="2" t="str">
        <f>IF('Data Checking'!AR63="","",'Data Checking'!AR63)</f>
        <v/>
      </c>
      <c r="AG63" s="2" t="str">
        <f>IF('Data Checking'!AS63="","",'Data Checking'!AS63)</f>
        <v>non</v>
      </c>
      <c r="AH63" s="2" t="str">
        <f>IF('Data Checking'!AT63="","",'Data Checking'!AT63)</f>
        <v/>
      </c>
      <c r="AI63" s="2" t="str">
        <f>IF('Data Checking'!AU63="","",'Data Checking'!AU63)</f>
        <v/>
      </c>
      <c r="AJ63" s="2" t="str">
        <f>IF('Data Checking'!AV63="","",'Data Checking'!AV63)</f>
        <v/>
      </c>
      <c r="AK63" s="2" t="str">
        <f>IF('Data Checking'!AW63="","",'Data Checking'!AW63)</f>
        <v/>
      </c>
      <c r="AL63" s="2" t="str">
        <f>IF('Data Checking'!AX63="","",'Data Checking'!AX63)</f>
        <v/>
      </c>
      <c r="AM63" s="2" t="str">
        <f>IF('Data Checking'!AY63="","",'Data Checking'!AY63)</f>
        <v/>
      </c>
      <c r="AN63" s="2" t="str">
        <f>IF('Data Checking'!AZ63="","",'Data Checking'!AZ63)</f>
        <v/>
      </c>
      <c r="AO63" s="2" t="str">
        <f>IF('Data Checking'!BA63="","",'Data Checking'!BA63)</f>
        <v/>
      </c>
      <c r="AP63" s="2" t="str">
        <f>IF('Data Checking'!BB63="","",'Data Checking'!BB63)</f>
        <v/>
      </c>
      <c r="AQ63" s="2" t="str">
        <f>IF('Data Checking'!BC63="","",'Data Checking'!BC63)</f>
        <v/>
      </c>
      <c r="AR63" s="2" t="str">
        <f>IF('Data Checking'!BD63="","",'Data Checking'!BD63)</f>
        <v/>
      </c>
      <c r="AS63" s="2" t="str">
        <f>IF('Data Checking'!BE63="","",'Data Checking'!BE63)</f>
        <v/>
      </c>
      <c r="AT63" s="2" t="str">
        <f>IF('Data Checking'!BF63="","",'Data Checking'!BF63)</f>
        <v/>
      </c>
      <c r="AU63" s="2" t="str">
        <f>IF('Data Checking'!BG63="","",'Data Checking'!BG63)</f>
        <v/>
      </c>
      <c r="AV63" s="2" t="str">
        <f>IF('Data Checking'!BH63="","",'Data Checking'!BH63)</f>
        <v/>
      </c>
      <c r="AW63" s="2" t="str">
        <f>IF('Data Checking'!BI63="","",'Data Checking'!BI63)</f>
        <v/>
      </c>
      <c r="AX63" s="2" t="str">
        <f>IF('Data Checking'!BJ63="","",'Data Checking'!BJ63)</f>
        <v/>
      </c>
      <c r="AY63" s="2" t="str">
        <f>IF('Data Checking'!BK63="","",'Data Checking'!BK63)</f>
        <v/>
      </c>
      <c r="AZ63" s="2" t="str">
        <f>IF('Data Checking'!BL63="","",'Data Checking'!BL63)</f>
        <v/>
      </c>
      <c r="BA63" s="2" t="str">
        <f>IF('Data Checking'!BM63="","",'Data Checking'!BM63)</f>
        <v/>
      </c>
      <c r="BB63" s="2" t="str">
        <f>IF('Data Checking'!BN63="","",'Data Checking'!BN63)</f>
        <v/>
      </c>
      <c r="BC63" s="2" t="str">
        <f>IF('Data Checking'!BO63="","",'Data Checking'!BO63)</f>
        <v/>
      </c>
      <c r="BD63" s="2" t="str">
        <f>IF('Data Checking'!BP63="","",'Data Checking'!BP63)</f>
        <v/>
      </c>
      <c r="BE63" s="2" t="str">
        <f>IF('Data Checking'!BQ63="","",'Data Checking'!BQ63)</f>
        <v/>
      </c>
      <c r="BF63" s="2" t="str">
        <f>IF('Data Checking'!BR63="","",'Data Checking'!BR63)</f>
        <v/>
      </c>
      <c r="BG63" s="2" t="str">
        <f>IF('Data Checking'!BS63="","",'Data Checking'!BS63)</f>
        <v/>
      </c>
      <c r="BH63" s="2" t="str">
        <f>IF('Data Checking'!BT63="","",'Data Checking'!BT63)</f>
        <v/>
      </c>
      <c r="BI63" s="2" t="str">
        <f>IF('Data Checking'!BU63="","",'Data Checking'!BU63)</f>
        <v/>
      </c>
      <c r="BJ63" s="2" t="str">
        <f>IF('Data Checking'!BV63="","",'Data Checking'!BV63)</f>
        <v/>
      </c>
      <c r="BK63" s="2" t="str">
        <f>IF('Data Checking'!BW63="","",'Data Checking'!BW63)</f>
        <v/>
      </c>
      <c r="BL63" s="2" t="str">
        <f>IF('Data Checking'!BX63="","",'Data Checking'!BX63)</f>
        <v/>
      </c>
      <c r="BM63" s="2" t="str">
        <f>IF('Data Checking'!BY63="","",'Data Checking'!BY63)</f>
        <v/>
      </c>
      <c r="BN63" s="2" t="str">
        <f>IF('Data Checking'!BZ63="","",'Data Checking'!BZ63)</f>
        <v/>
      </c>
      <c r="BO63" s="2" t="str">
        <f>IF('Data Checking'!CA63="","",'Data Checking'!CA63)</f>
        <v/>
      </c>
      <c r="BP63" s="2" t="str">
        <f>IF('Data Checking'!CB63="","",'Data Checking'!CB63)</f>
        <v/>
      </c>
      <c r="BQ63" s="2" t="str">
        <f>IF('Data Checking'!CC63="","",'Data Checking'!CC63)</f>
        <v>non</v>
      </c>
      <c r="BR63" s="2" t="str">
        <f>IF('Data Checking'!CD63="","",'Data Checking'!CD63)</f>
        <v/>
      </c>
      <c r="BS63" s="2" t="str">
        <f>IF('Data Checking'!CE63="","",'Data Checking'!CE63)</f>
        <v/>
      </c>
      <c r="BT63" s="2" t="str">
        <f>IF('Data Checking'!CF63="","",'Data Checking'!CF63)</f>
        <v/>
      </c>
      <c r="BU63" s="2" t="str">
        <f>IF('Data Checking'!CG63="","",'Data Checking'!CG63)</f>
        <v/>
      </c>
      <c r="BV63" s="2" t="str">
        <f>IF('Data Checking'!CH63="","",'Data Checking'!CH63)</f>
        <v/>
      </c>
      <c r="BW63" s="2" t="str">
        <f>IF('Data Checking'!CI63="","",'Data Checking'!CI63)</f>
        <v/>
      </c>
      <c r="BX63" s="2" t="str">
        <f>IF('Data Checking'!CJ63="","",'Data Checking'!CJ63)</f>
        <v/>
      </c>
      <c r="BY63" s="2" t="str">
        <f>IF('Data Checking'!CK63="","",'Data Checking'!CK63)</f>
        <v/>
      </c>
      <c r="BZ63" s="2" t="str">
        <f>IF('Data Checking'!CL63="","",'Data Checking'!CL63)</f>
        <v/>
      </c>
      <c r="CA63" s="2" t="str">
        <f>IF('Data Checking'!CM63="","",'Data Checking'!CM63)</f>
        <v/>
      </c>
      <c r="CB63" s="2" t="str">
        <f>IF('Data Checking'!CN63="","",'Data Checking'!CN63)</f>
        <v/>
      </c>
      <c r="CC63" s="2" t="str">
        <f>IF('Data Checking'!CO63="","",'Data Checking'!CO63)</f>
        <v/>
      </c>
      <c r="CD63" s="2" t="str">
        <f>IF('Data Checking'!CP63="","",'Data Checking'!CP63)</f>
        <v/>
      </c>
      <c r="CE63" s="2" t="str">
        <f>IF('Data Checking'!CQ63="","",'Data Checking'!CQ63)</f>
        <v/>
      </c>
      <c r="CF63" s="2" t="str">
        <f>IF('Data Checking'!CR63="","",'Data Checking'!CR63)</f>
        <v/>
      </c>
      <c r="CG63" s="2" t="str">
        <f>IF('Data Checking'!CS63="","",'Data Checking'!CS63)</f>
        <v/>
      </c>
      <c r="CH63" s="2" t="str">
        <f>IF('Data Checking'!CT63="","",'Data Checking'!CT63)</f>
        <v/>
      </c>
      <c r="CI63" s="2" t="str">
        <f>IF('Data Checking'!CU63="","",'Data Checking'!CU63)</f>
        <v/>
      </c>
      <c r="CJ63" s="2" t="str">
        <f>IF('Data Checking'!CV63="","",'Data Checking'!CV63)</f>
        <v/>
      </c>
      <c r="CK63" s="2" t="str">
        <f>IF('Data Checking'!CW63="","",'Data Checking'!CW63)</f>
        <v/>
      </c>
      <c r="CL63" s="2" t="str">
        <f>IF('Data Checking'!CX63="","",'Data Checking'!CX63)</f>
        <v/>
      </c>
      <c r="CM63" s="2" t="str">
        <f>IF('Data Checking'!CY63="","",'Data Checking'!CY63)</f>
        <v/>
      </c>
      <c r="CN63" s="2" t="str">
        <f>IF('Data Checking'!CZ63="","",'Data Checking'!CZ63)</f>
        <v/>
      </c>
      <c r="CO63" s="2" t="str">
        <f>IF('Data Checking'!DA63="","",'Data Checking'!DA63)</f>
        <v/>
      </c>
      <c r="CP63" s="2" t="str">
        <f>IF('Data Checking'!DB63="","",'Data Checking'!DB63)</f>
        <v/>
      </c>
      <c r="CQ63" s="2" t="str">
        <f>IF('Data Checking'!DC63="","",'Data Checking'!DC63)</f>
        <v/>
      </c>
      <c r="CR63" s="2" t="str">
        <f>IF('Data Checking'!DD63="","",'Data Checking'!DD63)</f>
        <v/>
      </c>
      <c r="CS63" s="2" t="str">
        <f>IF('Data Checking'!DE63="","",'Data Checking'!DE63)</f>
        <v/>
      </c>
      <c r="CT63" s="2" t="str">
        <f>IF('Data Checking'!DF63="","",'Data Checking'!DF63)</f>
        <v/>
      </c>
      <c r="CU63" s="2" t="str">
        <f>IF('Data Checking'!DG63="","",'Data Checking'!DG63)</f>
        <v/>
      </c>
      <c r="CV63" s="2" t="str">
        <f>IF('Data Checking'!DH63="","",'Data Checking'!DH63)</f>
        <v/>
      </c>
      <c r="CW63" s="2" t="str">
        <f>IF('Data Checking'!DI63="","",'Data Checking'!DI63)</f>
        <v/>
      </c>
      <c r="CX63" s="2" t="str">
        <f>IF('Data Checking'!DJ63="","",'Data Checking'!DJ63)</f>
        <v/>
      </c>
      <c r="CY63" s="2" t="str">
        <f>IF('Data Checking'!DK63="","",'Data Checking'!DK63)</f>
        <v/>
      </c>
      <c r="CZ63" s="2" t="str">
        <f>IF('Data Checking'!DL63="","",'Data Checking'!DL63)</f>
        <v/>
      </c>
      <c r="DA63" s="2" t="str">
        <f>IF('Data Checking'!DM63="","",'Data Checking'!DM63)</f>
        <v/>
      </c>
      <c r="DB63" s="2" t="str">
        <f>IF('Data Checking'!DN63="","",'Data Checking'!DN63)</f>
        <v/>
      </c>
      <c r="DC63" s="2" t="str">
        <f>IF('Data Checking'!DO63="","",'Data Checking'!DO63)</f>
        <v/>
      </c>
      <c r="DD63" s="2" t="str">
        <f>IF('Data Checking'!DP63="","",'Data Checking'!DP63)</f>
        <v/>
      </c>
      <c r="DE63" s="2" t="str">
        <f>IF('Data Checking'!DQ63="","",'Data Checking'!DQ63)</f>
        <v/>
      </c>
      <c r="DF63" s="2" t="str">
        <f>IF('Data Checking'!DR63="","",'Data Checking'!DR63)</f>
        <v/>
      </c>
      <c r="DG63" s="2" t="str">
        <f>IF('Data Checking'!DS63="","",'Data Checking'!DS63)</f>
        <v/>
      </c>
      <c r="DH63" s="2" t="str">
        <f>IF('Data Checking'!DT63="","",'Data Checking'!DT63)</f>
        <v/>
      </c>
      <c r="DI63" s="2" t="str">
        <f>IF('Data Checking'!DU63="","",'Data Checking'!DU63)</f>
        <v/>
      </c>
      <c r="DJ63" s="2" t="str">
        <f>IF('Data Checking'!DV63="","",'Data Checking'!DV63)</f>
        <v/>
      </c>
      <c r="DK63" s="2" t="str">
        <f>IF('Data Checking'!DW63="","",'Data Checking'!DW63)</f>
        <v/>
      </c>
      <c r="DL63" s="2" t="str">
        <f>IF('Data Checking'!DX63="","",'Data Checking'!DX63)</f>
        <v/>
      </c>
      <c r="DM63" s="2" t="str">
        <f>IF('Data Checking'!DY63="","",'Data Checking'!DY63)</f>
        <v/>
      </c>
      <c r="DN63" s="2" t="str">
        <f>IF('Data Checking'!DZ63="","",'Data Checking'!DZ63)</f>
        <v/>
      </c>
      <c r="DO63" s="2" t="str">
        <f>IF('Data Checking'!EA63="","",'Data Checking'!EA63)</f>
        <v/>
      </c>
      <c r="DP63" s="2" t="str">
        <f>IF('Data Checking'!EB63="","",'Data Checking'!EB63)</f>
        <v/>
      </c>
      <c r="DQ63" s="2" t="str">
        <f>IF('Data Checking'!EC63="","",'Data Checking'!EC63)</f>
        <v/>
      </c>
      <c r="DR63" s="2" t="str">
        <f>IF('Data Checking'!ED63="","",'Data Checking'!ED63)</f>
        <v/>
      </c>
      <c r="DS63" s="2" t="str">
        <f>IF('Data Checking'!EE63="","",'Data Checking'!EE63)</f>
        <v/>
      </c>
      <c r="DT63" s="2" t="str">
        <f>IF('Data Checking'!EF63="","",'Data Checking'!EF63)</f>
        <v/>
      </c>
      <c r="DU63" s="2" t="str">
        <f>IF('Data Checking'!EG63="","",'Data Checking'!EG63)</f>
        <v/>
      </c>
      <c r="DV63" s="2" t="str">
        <f>IF('Data Checking'!EH63="","",'Data Checking'!EH63)</f>
        <v/>
      </c>
      <c r="DW63" s="2" t="str">
        <f>IF('Data Checking'!EI63="","",'Data Checking'!EI63)</f>
        <v/>
      </c>
      <c r="DX63" s="2" t="str">
        <f>IF('Data Checking'!EJ63="","",'Data Checking'!EJ63)</f>
        <v/>
      </c>
      <c r="DY63" s="2" t="str">
        <f>IF('Data Checking'!EK63="","",'Data Checking'!EK63)</f>
        <v/>
      </c>
      <c r="DZ63" s="2" t="str">
        <f>IF('Data Checking'!EL63="","",'Data Checking'!EL63)</f>
        <v>dplct_abords_com Integration_com_hote Soutien_famille_amis</v>
      </c>
      <c r="EA63" s="2" t="str">
        <f>IF('Data Checking'!EM63="","",'Data Checking'!EM63)</f>
        <v>1</v>
      </c>
      <c r="EB63" s="2" t="str">
        <f>IF('Data Checking'!EN63="","",'Data Checking'!EN63)</f>
        <v>1</v>
      </c>
      <c r="EC63" s="2" t="str">
        <f>IF('Data Checking'!EO63="","",'Data Checking'!EO63)</f>
        <v>1</v>
      </c>
      <c r="ED63" s="2" t="str">
        <f>IF('Data Checking'!EP63="","",'Data Checking'!EP63)</f>
        <v>0</v>
      </c>
      <c r="EE63" s="2" t="str">
        <f>IF('Data Checking'!EQ63="","",'Data Checking'!EQ63)</f>
        <v>0</v>
      </c>
      <c r="EF63" s="2" t="str">
        <f>IF('Data Checking'!ER63="","",'Data Checking'!ER63)</f>
        <v>0</v>
      </c>
      <c r="EG63" s="2" t="str">
        <f>IF('Data Checking'!ES63="","",'Data Checking'!ES63)</f>
        <v>0</v>
      </c>
      <c r="EH63" s="2" t="str">
        <f>IF('Data Checking'!ET63="","",'Data Checking'!ET63)</f>
        <v>0</v>
      </c>
      <c r="EI63" s="2" t="str">
        <f>IF('Data Checking'!EU63="","",'Data Checking'!EU63)</f>
        <v>0</v>
      </c>
      <c r="EJ63" s="2" t="str">
        <f>IF('Data Checking'!EV63="","",'Data Checking'!EV63)</f>
        <v/>
      </c>
      <c r="EK63" s="2" t="str">
        <f>IF('Data Checking'!EW63="","",'Data Checking'!EW63)</f>
        <v/>
      </c>
      <c r="EL63" s="2" t="str">
        <f>IF('Data Checking'!EX63="","",'Data Checking'!EX63)</f>
        <v>famille_accueil comite_redevabilite comite_gestion_conflits comite_protection</v>
      </c>
      <c r="EM63" s="2" t="str">
        <f>IF('Data Checking'!EY63="","",'Data Checking'!EY63)</f>
        <v>0</v>
      </c>
      <c r="EN63" s="2" t="str">
        <f>IF('Data Checking'!EZ63="","",'Data Checking'!EZ63)</f>
        <v>1</v>
      </c>
      <c r="EO63" s="2" t="str">
        <f>IF('Data Checking'!FA63="","",'Data Checking'!FA63)</f>
        <v>1</v>
      </c>
      <c r="EP63" s="2" t="str">
        <f>IF('Data Checking'!FB63="","",'Data Checking'!FB63)</f>
        <v>0</v>
      </c>
      <c r="EQ63" s="2" t="str">
        <f>IF('Data Checking'!FC63="","",'Data Checking'!FC63)</f>
        <v>1</v>
      </c>
      <c r="ER63" s="2" t="str">
        <f>IF('Data Checking'!FD63="","",'Data Checking'!FD63)</f>
        <v>1</v>
      </c>
      <c r="ES63" s="2" t="str">
        <f>IF('Data Checking'!FE63="","",'Data Checking'!FE63)</f>
        <v>0</v>
      </c>
      <c r="ET63" s="2" t="str">
        <f>IF('Data Checking'!FF63="","",'Data Checking'!FF63)</f>
        <v>0</v>
      </c>
      <c r="EU63" s="2" t="str">
        <f>IF('Data Checking'!FG63="","",'Data Checking'!FG63)</f>
        <v>0</v>
      </c>
      <c r="EV63" s="2" t="str">
        <f>IF('Data Checking'!FH63="","",'Data Checking'!FH63)</f>
        <v>0</v>
      </c>
      <c r="EW63" s="2" t="str">
        <f>IF('Data Checking'!FI63="","",'Data Checking'!FI63)</f>
        <v/>
      </c>
      <c r="EX63" s="2" t="str">
        <f>IF('Data Checking'!FJ63="","",'Data Checking'!FJ63)</f>
        <v>oui</v>
      </c>
      <c r="EY63" s="2" t="str">
        <f>IF('Data Checking'!FK63="","",'Data Checking'!FK63)</f>
        <v>Autre</v>
      </c>
      <c r="EZ63" s="2" t="str">
        <f>IF('Data Checking'!FL63="","",'Data Checking'!FL63)</f>
        <v>0</v>
      </c>
      <c r="FA63" s="2" t="str">
        <f>IF('Data Checking'!FM63="","",'Data Checking'!FM63)</f>
        <v>0</v>
      </c>
      <c r="FB63" s="2" t="str">
        <f>IF('Data Checking'!FN63="","",'Data Checking'!FN63)</f>
        <v>0</v>
      </c>
      <c r="FC63" s="2" t="str">
        <f>IF('Data Checking'!FO63="","",'Data Checking'!FO63)</f>
        <v>0</v>
      </c>
      <c r="FD63" s="2" t="str">
        <f>IF('Data Checking'!FP63="","",'Data Checking'!FP63)</f>
        <v>0</v>
      </c>
      <c r="FE63" s="2">
        <f>IF('Data Checking'!FQ63="","",'Data Checking'!FQ63)</f>
        <v>1</v>
      </c>
      <c r="FF63" s="2" t="str">
        <f>IF('Data Checking'!FR63="","",'Data Checking'!FR63)</f>
        <v>0</v>
      </c>
      <c r="FG63" s="2" t="str">
        <f>IF('Data Checking'!FS63="","",'Data Checking'!FS63)</f>
        <v>0</v>
      </c>
      <c r="FH63" s="2" t="str">
        <f>IF('Data Checking'!FT63="","",'Data Checking'!FT63)</f>
        <v>0</v>
      </c>
      <c r="FI63" s="2" t="str">
        <f>IF('Data Checking'!FU63="","",'Data Checking'!FU63)</f>
        <v>0</v>
      </c>
      <c r="FJ63" s="2" t="str">
        <f>IF('Data Checking'!FV63="","",'Data Checking'!FV63)</f>
        <v>0</v>
      </c>
      <c r="FK63" s="2" t="str">
        <f>IF('Data Checking'!FW63="","",'Data Checking'!FW63)</f>
        <v>0</v>
      </c>
      <c r="FL63" s="2">
        <f>IF('Data Checking'!FX63="","",'Data Checking'!FX63)</f>
        <v>0</v>
      </c>
      <c r="FM63" s="2" t="str">
        <f>IF('Data Checking'!FY63="","",'Data Checking'!FY63)</f>
        <v>0</v>
      </c>
      <c r="FN63" s="2" t="str">
        <f>IF('Data Checking'!FZ63="","",'Data Checking'!FZ63)</f>
        <v/>
      </c>
      <c r="FO63" s="2" t="str">
        <f>IF('Data Checking'!GA63="","",'Data Checking'!GA63)</f>
        <v>oui_moitie</v>
      </c>
      <c r="FP63" s="2" t="str">
        <f>IF('Data Checking'!GB63="","",'Data Checking'!GB63)</f>
        <v>oui_ensemble</v>
      </c>
      <c r="FQ63" s="2" t="str">
        <f>IF('Data Checking'!GC63="","",'Data Checking'!GC63)</f>
        <v/>
      </c>
      <c r="FR63" s="2" t="str">
        <f>IF('Data Checking'!GD63="","",'Data Checking'!GD63)</f>
        <v/>
      </c>
      <c r="FS63" s="2" t="str">
        <f>IF('Data Checking'!GE63="","",'Data Checking'!GE63)</f>
        <v/>
      </c>
      <c r="FT63" s="2" t="str">
        <f>IF('Data Checking'!GF63="","",'Data Checking'!GF63)</f>
        <v/>
      </c>
      <c r="FU63" s="2" t="str">
        <f>IF('Data Checking'!GG63="","",'Data Checking'!GG63)</f>
        <v/>
      </c>
      <c r="FV63" s="2" t="str">
        <f>IF('Data Checking'!GH63="","",'Data Checking'!GH63)</f>
        <v/>
      </c>
      <c r="FW63" s="2" t="str">
        <f>IF('Data Checking'!GI63="","",'Data Checking'!GI63)</f>
        <v/>
      </c>
      <c r="FX63" s="2" t="str">
        <f>IF('Data Checking'!GJ63="","",'Data Checking'!GJ63)</f>
        <v/>
      </c>
      <c r="FY63" s="2" t="str">
        <f>IF('Data Checking'!GK63="","",'Data Checking'!GK63)</f>
        <v/>
      </c>
      <c r="FZ63" s="2" t="str">
        <f>IF('Data Checking'!GL63="","",'Data Checking'!GL63)</f>
        <v/>
      </c>
      <c r="GA63" s="2" t="str">
        <f>IF('Data Checking'!GM63="","",'Data Checking'!GM63)</f>
        <v>majorite</v>
      </c>
      <c r="GB63" s="2" t="str">
        <f>IF('Data Checking'!GN63="","",'Data Checking'!GN63)</f>
        <v>moitie</v>
      </c>
      <c r="GC63" s="2" t="str">
        <f>IF('Data Checking'!GO63="","",'Data Checking'!GO63)</f>
        <v>Appui_psychosocial Education Services_de_sante Acces_aux_doc</v>
      </c>
      <c r="GD63" s="2" t="str">
        <f>IF('Data Checking'!GP63="","",'Data Checking'!GP63)</f>
        <v>1</v>
      </c>
      <c r="GE63" s="2" t="str">
        <f>IF('Data Checking'!GQ63="","",'Data Checking'!GQ63)</f>
        <v>1</v>
      </c>
      <c r="GF63" s="2" t="str">
        <f>IF('Data Checking'!GR63="","",'Data Checking'!GR63)</f>
        <v>0</v>
      </c>
      <c r="GG63" s="2" t="str">
        <f>IF('Data Checking'!GS63="","",'Data Checking'!GS63)</f>
        <v>1</v>
      </c>
      <c r="GH63" s="2" t="str">
        <f>IF('Data Checking'!GT63="","",'Data Checking'!GT63)</f>
        <v>1</v>
      </c>
      <c r="GI63" s="2" t="str">
        <f>IF('Data Checking'!GU63="","",'Data Checking'!GU63)</f>
        <v>0</v>
      </c>
      <c r="GJ63" s="2" t="str">
        <f>IF('Data Checking'!GV63="","",'Data Checking'!GV63)</f>
        <v>0</v>
      </c>
      <c r="GK63" s="2" t="str">
        <f>IF('Data Checking'!GW63="","",'Data Checking'!GW63)</f>
        <v>0</v>
      </c>
      <c r="GL63" s="2" t="str">
        <f>IF('Data Checking'!GX63="","",'Data Checking'!GX63)</f>
        <v>0</v>
      </c>
      <c r="GM63" s="2" t="str">
        <f>IF('Data Checking'!GY63="","",'Data Checking'!GY63)</f>
        <v/>
      </c>
      <c r="GN63" s="2" t="str">
        <f>IF('Data Checking'!GZ63="","",'Data Checking'!GZ63)</f>
        <v>oui_ensemble</v>
      </c>
      <c r="GO63" s="2" t="str">
        <f>IF('Data Checking'!HA63="","",'Data Checking'!HA63)</f>
        <v>oui_ensemble</v>
      </c>
      <c r="GP63" s="2" t="str">
        <f>IF('Data Checking'!HB63="","",'Data Checking'!HB63)</f>
        <v>repond_besoins_pop permet_eviter_conflits diminution_tensions</v>
      </c>
      <c r="GQ63" s="2" t="str">
        <f>IF('Data Checking'!HC63="","",'Data Checking'!HC63)</f>
        <v>0</v>
      </c>
      <c r="GR63" s="2" t="str">
        <f>IF('Data Checking'!HD63="","",'Data Checking'!HD63)</f>
        <v>1</v>
      </c>
      <c r="GS63" s="2" t="str">
        <f>IF('Data Checking'!HE63="","",'Data Checking'!HE63)</f>
        <v>0</v>
      </c>
      <c r="GT63" s="2" t="str">
        <f>IF('Data Checking'!HF63="","",'Data Checking'!HF63)</f>
        <v>1</v>
      </c>
      <c r="GU63" s="2" t="str">
        <f>IF('Data Checking'!HG63="","",'Data Checking'!HG63)</f>
        <v>0</v>
      </c>
      <c r="GV63" s="2" t="str">
        <f>IF('Data Checking'!HH63="","",'Data Checking'!HH63)</f>
        <v>1</v>
      </c>
      <c r="GW63" s="2" t="str">
        <f>IF('Data Checking'!HI63="","",'Data Checking'!HI63)</f>
        <v>0</v>
      </c>
      <c r="GX63" s="2" t="str">
        <f>IF('Data Checking'!HJ63="","",'Data Checking'!HJ63)</f>
        <v>0</v>
      </c>
      <c r="GY63" s="2" t="str">
        <f>IF('Data Checking'!HK63="","",'Data Checking'!HK63)</f>
        <v/>
      </c>
      <c r="GZ63" s="2" t="str">
        <f>IF('Data Checking'!HL63="","",'Data Checking'!HL63)</f>
        <v/>
      </c>
      <c r="HA63" s="2" t="str">
        <f>IF('Data Checking'!HM63="","",'Data Checking'!HM63)</f>
        <v/>
      </c>
      <c r="HB63" s="2" t="str">
        <f>IF('Data Checking'!HN63="","",'Data Checking'!HN63)</f>
        <v/>
      </c>
      <c r="HC63" s="2" t="str">
        <f>IF('Data Checking'!HO63="","",'Data Checking'!HO63)</f>
        <v/>
      </c>
      <c r="HD63" s="2" t="str">
        <f>IF('Data Checking'!HP63="","",'Data Checking'!HP63)</f>
        <v/>
      </c>
      <c r="HE63" s="2" t="str">
        <f>IF('Data Checking'!HQ63="","",'Data Checking'!HQ63)</f>
        <v/>
      </c>
      <c r="HF63" s="2" t="str">
        <f>IF('Data Checking'!HR63="","",'Data Checking'!HR63)</f>
        <v/>
      </c>
      <c r="HG63" s="2" t="str">
        <f>IF('Data Checking'!HS63="","",'Data Checking'!HS63)</f>
        <v/>
      </c>
      <c r="HH63" s="2" t="str">
        <f>IF('Data Checking'!HT63="","",'Data Checking'!HT63)</f>
        <v/>
      </c>
      <c r="HI63" s="2" t="str">
        <f>IF('Data Checking'!HU63="","",'Data Checking'!HU63)</f>
        <v>oui_ensemble</v>
      </c>
      <c r="HJ63" s="2" t="str">
        <f>IF('Data Checking'!HV63="","",'Data Checking'!HV63)</f>
        <v>gvt fds_arme autorite_locale_leaders</v>
      </c>
      <c r="HK63" s="2" t="str">
        <f>IF('Data Checking'!HW63="","",'Data Checking'!HW63)</f>
        <v>1</v>
      </c>
      <c r="HL63" s="2" t="str">
        <f>IF('Data Checking'!HX63="","",'Data Checking'!HX63)</f>
        <v>1</v>
      </c>
      <c r="HM63" s="2" t="str">
        <f>IF('Data Checking'!HY63="","",'Data Checking'!HY63)</f>
        <v>1</v>
      </c>
      <c r="HN63" s="2" t="str">
        <f>IF('Data Checking'!HZ63="","",'Data Checking'!HZ63)</f>
        <v>0</v>
      </c>
      <c r="HO63" s="2" t="str">
        <f>IF('Data Checking'!IA63="","",'Data Checking'!IA63)</f>
        <v>0</v>
      </c>
      <c r="HP63" s="2" t="str">
        <f>IF('Data Checking'!IB63="","",'Data Checking'!IB63)</f>
        <v>0</v>
      </c>
      <c r="HQ63" s="2" t="str">
        <f>IF('Data Checking'!IC63="","",'Data Checking'!IC63)</f>
        <v>0</v>
      </c>
      <c r="HR63" s="2" t="str">
        <f>IF('Data Checking'!ID63="","",'Data Checking'!ID63)</f>
        <v>0</v>
      </c>
      <c r="HS63" s="2" t="str">
        <f>IF('Data Checking'!IE63="","",'Data Checking'!IE63)</f>
        <v>0</v>
      </c>
      <c r="HT63" s="2" t="str">
        <f>IF('Data Checking'!IF63="","",'Data Checking'!IF63)</f>
        <v>0</v>
      </c>
      <c r="HU63" s="2" t="str">
        <f>IF('Data Checking'!IG63="","",'Data Checking'!IG63)</f>
        <v/>
      </c>
      <c r="HV63" s="2" t="str">
        <f>IF('Data Checking'!IH63="","",'Data Checking'!IH63)</f>
        <v/>
      </c>
      <c r="HW63" s="2" t="str">
        <f>IF('Data Checking'!II63="","",'Data Checking'!II63)</f>
        <v/>
      </c>
      <c r="HX63" s="2" t="str">
        <f>IF('Data Checking'!IJ63="","",'Data Checking'!IJ63)</f>
        <v/>
      </c>
      <c r="HY63" s="2" t="str">
        <f>IF('Data Checking'!IK63="","",'Data Checking'!IK63)</f>
        <v/>
      </c>
      <c r="HZ63" s="2" t="str">
        <f>IF('Data Checking'!IL63="","",'Data Checking'!IL63)</f>
        <v/>
      </c>
      <c r="IA63" s="2" t="str">
        <f>IF('Data Checking'!IM63="","",'Data Checking'!IM63)</f>
        <v/>
      </c>
      <c r="IB63" s="2" t="str">
        <f>IF('Data Checking'!IN63="","",'Data Checking'!IN63)</f>
        <v/>
      </c>
      <c r="IC63" s="2" t="str">
        <f>IF('Data Checking'!IO63="","",'Data Checking'!IO63)</f>
        <v/>
      </c>
      <c r="ID63" s="2" t="str">
        <f>IF('Data Checking'!IP63="","",'Data Checking'!IP63)</f>
        <v/>
      </c>
      <c r="IE63" s="2" t="str">
        <f>IF('Data Checking'!IQ63="","",'Data Checking'!IQ63)</f>
        <v/>
      </c>
      <c r="IF63" s="2" t="str">
        <f>IF('Data Checking'!IR63="","",'Data Checking'!IR63)</f>
        <v/>
      </c>
      <c r="IG63" s="2" t="str">
        <f>IF('Data Checking'!IS63="","",'Data Checking'!IS63)</f>
        <v/>
      </c>
      <c r="IH63" s="2" t="str">
        <f>IF('Data Checking'!IT63="","",'Data Checking'!IT63)</f>
        <v/>
      </c>
      <c r="II63" s="2" t="str">
        <f>IF('Data Checking'!IU63="","",'Data Checking'!IU63)</f>
        <v/>
      </c>
      <c r="IJ63" s="2" t="str">
        <f>IF('Data Checking'!IV63="","",'Data Checking'!IV63)</f>
        <v/>
      </c>
      <c r="IK63" s="2" t="str">
        <f>IF('Data Checking'!IW63="","",'Data Checking'!IW63)</f>
        <v/>
      </c>
      <c r="IL63" s="2" t="str">
        <f>IF('Data Checking'!IX63="","",'Data Checking'!IX63)</f>
        <v/>
      </c>
      <c r="IM63" s="2" t="str">
        <f>IF('Data Checking'!IY63="","",'Data Checking'!IY63)</f>
        <v/>
      </c>
      <c r="IN63" s="2" t="str">
        <f>IF('Data Checking'!IZ63="","",'Data Checking'!IZ63)</f>
        <v>5</v>
      </c>
      <c r="IO63" s="2" t="str">
        <f>IF('Data Checking'!JA63="","",'Data Checking'!JA63)</f>
        <v>Appui_psychosocial Services_medicaux Services_conseil</v>
      </c>
      <c r="IP63" s="2" t="str">
        <f>IF('Data Checking'!JB63="","",'Data Checking'!JB63)</f>
        <v>1</v>
      </c>
      <c r="IQ63" s="2" t="str">
        <f>IF('Data Checking'!JC63="","",'Data Checking'!JC63)</f>
        <v>1</v>
      </c>
      <c r="IR63" s="2" t="str">
        <f>IF('Data Checking'!JD63="","",'Data Checking'!JD63)</f>
        <v>0</v>
      </c>
      <c r="IS63" s="2" t="str">
        <f>IF('Data Checking'!JE63="","",'Data Checking'!JE63)</f>
        <v>1</v>
      </c>
      <c r="IT63" s="2" t="str">
        <f>IF('Data Checking'!JF63="","",'Data Checking'!JF63)</f>
        <v>0</v>
      </c>
      <c r="IU63" s="2" t="str">
        <f>IF('Data Checking'!JG63="","",'Data Checking'!JG63)</f>
        <v>0</v>
      </c>
      <c r="IV63" s="2" t="str">
        <f>IF('Data Checking'!JH63="","",'Data Checking'!JH63)</f>
        <v>0</v>
      </c>
      <c r="IW63" s="2" t="str">
        <f>IF('Data Checking'!JI63="","",'Data Checking'!JI63)</f>
        <v>0</v>
      </c>
      <c r="IX63" s="2" t="str">
        <f>IF('Data Checking'!JJ63="","",'Data Checking'!JJ63)</f>
        <v>0</v>
      </c>
      <c r="IY63" s="2" t="str">
        <f>IF('Data Checking'!JK63="","",'Data Checking'!JK63)</f>
        <v>0</v>
      </c>
      <c r="IZ63" s="2" t="str">
        <f>IF('Data Checking'!JL63="","",'Data Checking'!JL63)</f>
        <v/>
      </c>
      <c r="JA63" s="2" t="str">
        <f>IF('Data Checking'!JM63="","",'Data Checking'!JM63)</f>
        <v>signalement reorientation</v>
      </c>
      <c r="JB63" s="2" t="str">
        <f>IF('Data Checking'!JN63="","",'Data Checking'!JN63)</f>
        <v>0</v>
      </c>
      <c r="JC63" s="2" t="str">
        <f>IF('Data Checking'!JO63="","",'Data Checking'!JO63)</f>
        <v>1</v>
      </c>
      <c r="JD63" s="2" t="str">
        <f>IF('Data Checking'!JP63="","",'Data Checking'!JP63)</f>
        <v>1</v>
      </c>
      <c r="JE63" s="2" t="str">
        <f>IF('Data Checking'!JQ63="","",'Data Checking'!JQ63)</f>
        <v>0</v>
      </c>
      <c r="JF63" s="2" t="str">
        <f>IF('Data Checking'!JR63="","",'Data Checking'!JR63)</f>
        <v>0</v>
      </c>
      <c r="JG63" s="2" t="str">
        <f>IF('Data Checking'!JS63="","",'Data Checking'!JS63)</f>
        <v>0</v>
      </c>
      <c r="JH63" s="2" t="str">
        <f>IF('Data Checking'!JT63="","",'Data Checking'!JT63)</f>
        <v/>
      </c>
      <c r="JI63" s="2" t="str">
        <f>IF('Data Checking'!JU63="","",'Data Checking'!JU63)</f>
        <v/>
      </c>
      <c r="JJ63" s="2" t="str">
        <f>IF('Data Checking'!JV63="","",'Data Checking'!JV63)</f>
        <v/>
      </c>
      <c r="JK63" s="2" t="str">
        <f>IF('Data Checking'!JW63="","",'Data Checking'!JW63)</f>
        <v/>
      </c>
      <c r="JL63" s="2" t="str">
        <f>IF('Data Checking'!JX63="","",'Data Checking'!JX63)</f>
        <v/>
      </c>
      <c r="JM63" s="2" t="str">
        <f>IF('Data Checking'!JY63="","",'Data Checking'!JY63)</f>
        <v/>
      </c>
      <c r="JN63" s="2" t="str">
        <f>IF('Data Checking'!JZ63="","",'Data Checking'!JZ63)</f>
        <v/>
      </c>
      <c r="JO63" s="2" t="str">
        <f>IF('Data Checking'!KA63="","",'Data Checking'!KA63)</f>
        <v/>
      </c>
      <c r="JP63" s="2" t="str">
        <f>IF('Data Checking'!KB63="","",'Data Checking'!KB63)</f>
        <v/>
      </c>
      <c r="JQ63" s="2" t="str">
        <f>IF('Data Checking'!KC63="","",'Data Checking'!KC63)</f>
        <v/>
      </c>
      <c r="JR63" s="2" t="str">
        <f>IF('Data Checking'!KD63="","",'Data Checking'!KD63)</f>
        <v/>
      </c>
      <c r="JS63" s="2" t="str">
        <f>IF('Data Checking'!KE63="","",'Data Checking'!KE63)</f>
        <v/>
      </c>
      <c r="JT63" s="2" t="str">
        <f>IF('Data Checking'!KF63="","",'Data Checking'!KF63)</f>
        <v>medical surete point_ecoute</v>
      </c>
      <c r="JU63" s="2" t="str">
        <f>IF('Data Checking'!KG63="","",'Data Checking'!KG63)</f>
        <v>1</v>
      </c>
      <c r="JV63" s="2" t="str">
        <f>IF('Data Checking'!KH63="","",'Data Checking'!KH63)</f>
        <v>0</v>
      </c>
      <c r="JW63" s="2" t="str">
        <f>IF('Data Checking'!KI63="","",'Data Checking'!KI63)</f>
        <v>1</v>
      </c>
      <c r="JX63" s="2" t="str">
        <f>IF('Data Checking'!KJ63="","",'Data Checking'!KJ63)</f>
        <v>0</v>
      </c>
      <c r="JY63" s="2" t="str">
        <f>IF('Data Checking'!KK63="","",'Data Checking'!KK63)</f>
        <v>1</v>
      </c>
      <c r="JZ63" s="2" t="str">
        <f>IF('Data Checking'!KL63="","",'Data Checking'!KL63)</f>
        <v>0</v>
      </c>
      <c r="KA63" s="2" t="str">
        <f>IF('Data Checking'!KM63="","",'Data Checking'!KM63)</f>
        <v>0</v>
      </c>
      <c r="KB63" s="2" t="str">
        <f>IF('Data Checking'!KN63="","",'Data Checking'!KN63)</f>
        <v>0</v>
      </c>
      <c r="KC63" s="2" t="str">
        <f>IF('Data Checking'!KO63="","",'Data Checking'!KO63)</f>
        <v>0</v>
      </c>
      <c r="KD63" s="2" t="str">
        <f>IF('Data Checking'!KP63="","",'Data Checking'!KP63)</f>
        <v/>
      </c>
      <c r="KE63" s="2" t="str">
        <f>IF('Data Checking'!KQ63="","",'Data Checking'!KQ63)</f>
        <v/>
      </c>
      <c r="KF63" s="2" t="str">
        <f>IF('Data Checking'!KR63="","",'Data Checking'!KR63)</f>
        <v>oui</v>
      </c>
      <c r="KG63" s="2" t="str">
        <f>IF('Data Checking'!KS63="","",'Data Checking'!KS63)</f>
        <v>insecurite_zone manque_moyens probleme_orientation</v>
      </c>
      <c r="KH63" s="2" t="str">
        <f>IF('Data Checking'!KT63="","",'Data Checking'!KT63)</f>
        <v>1</v>
      </c>
      <c r="KI63" s="2" t="str">
        <f>IF('Data Checking'!KU63="","",'Data Checking'!KU63)</f>
        <v>0</v>
      </c>
      <c r="KJ63" s="2" t="str">
        <f>IF('Data Checking'!KV63="","",'Data Checking'!KV63)</f>
        <v>0</v>
      </c>
      <c r="KK63" s="2" t="str">
        <f>IF('Data Checking'!KW63="","",'Data Checking'!KW63)</f>
        <v>1</v>
      </c>
      <c r="KL63" s="2" t="str">
        <f>IF('Data Checking'!KX63="","",'Data Checking'!KX63)</f>
        <v>1</v>
      </c>
      <c r="KM63" s="2" t="str">
        <f>IF('Data Checking'!KY63="","",'Data Checking'!KY63)</f>
        <v>0</v>
      </c>
      <c r="KN63" s="2" t="str">
        <f>IF('Data Checking'!KZ63="","",'Data Checking'!KZ63)</f>
        <v>0</v>
      </c>
      <c r="KO63" s="2" t="str">
        <f>IF('Data Checking'!LA63="","",'Data Checking'!LA63)</f>
        <v>0</v>
      </c>
      <c r="KP63" s="2" t="str">
        <f>IF('Data Checking'!LB63="","",'Data Checking'!LB63)</f>
        <v>0</v>
      </c>
      <c r="KQ63" s="2" t="str">
        <f>IF('Data Checking'!LC63="","",'Data Checking'!LC63)</f>
        <v>0</v>
      </c>
      <c r="KR63" s="2" t="str">
        <f>IF('Data Checking'!LD63="","",'Data Checking'!LD63)</f>
        <v>0</v>
      </c>
      <c r="KS63" s="2" t="str">
        <f>IF('Data Checking'!LE63="","",'Data Checking'!LE63)</f>
        <v/>
      </c>
      <c r="KT63" s="2" t="str">
        <f>IF('Data Checking'!LF63="","",'Data Checking'!LF63)</f>
        <v>pb_logistiques pb_secu pb_coordination</v>
      </c>
      <c r="KU63" s="2" t="str">
        <f>IF('Data Checking'!LG63="","",'Data Checking'!LG63)</f>
        <v>0</v>
      </c>
      <c r="KV63" s="2" t="str">
        <f>IF('Data Checking'!LH63="","",'Data Checking'!LH63)</f>
        <v>1</v>
      </c>
      <c r="KW63" s="2" t="str">
        <f>IF('Data Checking'!LI63="","",'Data Checking'!LI63)</f>
        <v>1</v>
      </c>
      <c r="KX63" s="2" t="str">
        <f>IF('Data Checking'!LJ63="","",'Data Checking'!LJ63)</f>
        <v>1</v>
      </c>
      <c r="KY63" s="2" t="str">
        <f>IF('Data Checking'!LK63="","",'Data Checking'!LK63)</f>
        <v>0</v>
      </c>
      <c r="KZ63" s="2" t="str">
        <f>IF('Data Checking'!LL63="","",'Data Checking'!LL63)</f>
        <v>0</v>
      </c>
      <c r="LA63" s="2" t="str">
        <f>IF('Data Checking'!LM63="","",'Data Checking'!LM63)</f>
        <v/>
      </c>
      <c r="LB63" s="2" t="str">
        <f>IF('Data Checking'!LN63="","",'Data Checking'!LN63)</f>
        <v>non</v>
      </c>
      <c r="LC63" s="2" t="str">
        <f>IF('Data Checking'!LO63="","",'Data Checking'!LO63)</f>
        <v/>
      </c>
      <c r="LD63" s="2" t="str">
        <f>IF('Data Checking'!LP63="","",'Data Checking'!LP63)</f>
        <v/>
      </c>
      <c r="LE63" s="2" t="str">
        <f>IF('Data Checking'!LQ63="","",'Data Checking'!LQ63)</f>
        <v/>
      </c>
      <c r="LF63" s="2" t="str">
        <f>IF('Data Checking'!LR63="","",'Data Checking'!LR63)</f>
        <v/>
      </c>
      <c r="LG63" s="2" t="str">
        <f>IF('Data Checking'!LS63="","",'Data Checking'!LS63)</f>
        <v/>
      </c>
      <c r="LH63" s="2" t="str">
        <f>IF('Data Checking'!LT63="","",'Data Checking'!LT63)</f>
        <v/>
      </c>
      <c r="LI63" s="2" t="str">
        <f>IF('Data Checking'!LU63="","",'Data Checking'!LU63)</f>
        <v/>
      </c>
      <c r="LJ63" s="2" t="str">
        <f>IF('Data Checking'!LV63="","",'Data Checking'!LV63)</f>
        <v/>
      </c>
      <c r="LK63" s="2" t="str">
        <f>IF('Data Checking'!LW63="","",'Data Checking'!LW63)</f>
        <v/>
      </c>
      <c r="LL63" s="2" t="str">
        <f>IF('Data Checking'!LX63="","",'Data Checking'!LX63)</f>
        <v/>
      </c>
      <c r="LM63" s="2" t="str">
        <f>IF('Data Checking'!LY63="","",'Data Checking'!LY63)</f>
        <v/>
      </c>
      <c r="LN63" s="2" t="str">
        <f>IF('Data Checking'!LZ63="","",'Data Checking'!LZ63)</f>
        <v/>
      </c>
      <c r="LO63" s="2" t="str">
        <f>IF('Data Checking'!MA63="","",'Data Checking'!MA63)</f>
        <v/>
      </c>
      <c r="LP63" s="2" t="str">
        <f>IF('Data Checking'!MB63="","",'Data Checking'!MB63)</f>
        <v>oui</v>
      </c>
      <c r="LQ63" s="2" t="str">
        <f>IF('Data Checking'!MC63="","",'Data Checking'!MC63)</f>
        <v/>
      </c>
      <c r="LR63" s="2" t="str">
        <f>IF('Data Checking'!MD63="","",'Data Checking'!MD63)</f>
        <v/>
      </c>
      <c r="LS63" s="2">
        <f>IF('Data Checking'!ME63="","",'Data Checking'!ME63)</f>
        <v>170684174</v>
      </c>
      <c r="LT63" s="2" t="str">
        <f>IF('Data Checking'!MF63="","",'Data Checking'!MF63)</f>
        <v>e4637649-0063-4a76-9787-dc8b6a13cd2f</v>
      </c>
      <c r="LU63" s="2" t="str">
        <f>IF('Data Checking'!MG63="","",'Data Checking'!MG63)</f>
        <v>2021-04-09T17:50:55</v>
      </c>
      <c r="LV63" s="2" t="str">
        <f>IF('Data Checking'!MH63="","",'Data Checking'!MH63)</f>
        <v/>
      </c>
      <c r="LW63" s="2" t="str">
        <f>IF('Data Checking'!MI63="","",'Data Checking'!MI63)</f>
        <v>[]</v>
      </c>
      <c r="LX63" s="2" t="str">
        <f>IF('Data Checking'!MJ63="","",'Data Checking'!MJ63)</f>
        <v>submitted_via_web</v>
      </c>
      <c r="LY63" s="2" t="str">
        <f>IF('Data Checking'!MK63="","",'Data Checking'!MK63)</f>
        <v>reach_niger</v>
      </c>
      <c r="LZ63" s="2" t="str">
        <f>IF('Data Checking'!ML63="","",'Data Checking'!ML63)</f>
        <v/>
      </c>
      <c r="MA63" s="2">
        <f>IF('Data Checking'!MM63="","",'Data Checking'!MM63)</f>
        <v>64</v>
      </c>
    </row>
    <row r="64" spans="1:339" x14ac:dyDescent="0.3">
      <c r="A64" s="2" t="str">
        <f>IF('Data Checking'!D64="","",'Data Checking'!D64)</f>
        <v>2021-04-02T17:47:07.086+01:00</v>
      </c>
      <c r="B64" s="2" t="str">
        <f>IF('Data Checking'!E64="","",'Data Checking'!E64)</f>
        <v>2021-04-02T18:21:43.405+01:00</v>
      </c>
      <c r="C64" s="2" t="str">
        <f>IF('Data Checking'!M64="","",'Data Checking'!M64)</f>
        <v>2021-04-02</v>
      </c>
      <c r="D64" s="2" t="str">
        <f>IF('Data Checking'!N64="","",'Data Checking'!N64)</f>
        <v/>
      </c>
      <c r="E64" s="2" t="str">
        <f>IF('Data Checking'!O64="","",'Data Checking'!O64)</f>
        <v/>
      </c>
      <c r="F64" s="2" t="str">
        <f>IF('Data Checking'!R64="","",'Data Checking'!R64)</f>
        <v>Femme</v>
      </c>
      <c r="G64" s="2" t="str">
        <f>IF('Data Checking'!S64="","",'Data Checking'!S64)</f>
        <v>ayerou</v>
      </c>
      <c r="H64" s="2" t="str">
        <f>IF('Data Checking'!T64="","",'Data Checking'!T64)</f>
        <v>ayerou</v>
      </c>
      <c r="I64" s="2" t="str">
        <f>IF('Data Checking'!U64="","",'Data Checking'!U64)</f>
        <v>ayerou_ref</v>
      </c>
      <c r="J64" s="2" t="str">
        <f>IF('Data Checking'!V64="","",'Data Checking'!V64)</f>
        <v/>
      </c>
      <c r="K64" s="2" t="str">
        <f>IF('Data Checking'!W64="","",'Data Checking'!W64)</f>
        <v/>
      </c>
      <c r="L64" s="2" t="str">
        <f>IF('Data Checking'!X64="","",'Data Checking'!X64)</f>
        <v/>
      </c>
      <c r="M64" s="2" t="str">
        <f>IF('Data Checking'!Y64="","",'Data Checking'!Y64)</f>
        <v/>
      </c>
      <c r="N64" s="2" t="str">
        <f>IF('Data Checking'!Z64="","",'Data Checking'!Z64)</f>
        <v/>
      </c>
      <c r="O64" s="2" t="str">
        <f>IF('Data Checking'!AA64="","",'Data Checking'!AA64)</f>
        <v/>
      </c>
      <c r="P64" s="2" t="str">
        <f>IF('Data Checking'!AB64="","",'Data Checking'!AB64)</f>
        <v/>
      </c>
      <c r="Q64" s="2" t="str">
        <f>IF('Data Checking'!AC64="","",'Data Checking'!AC64)</f>
        <v/>
      </c>
      <c r="R64" s="2" t="str">
        <f>IF('Data Checking'!AD64="","",'Data Checking'!AD64)</f>
        <v>Femme</v>
      </c>
      <c r="S64" s="2" t="str">
        <f>IF('Data Checking'!AE64="","",'Data Checking'!AE64)</f>
        <v>30</v>
      </c>
      <c r="T64" s="2" t="str">
        <f>IF('Data Checking'!AF64="","",'Data Checking'!AF64)</f>
        <v>deplace_interne</v>
      </c>
      <c r="U64" s="2" t="str">
        <f>IF('Data Checking'!AG64="","",'Data Checking'!AG64)</f>
        <v/>
      </c>
      <c r="V64" s="2" t="str">
        <f>IF('Data Checking'!AH64="","",'Data Checking'!AH64)</f>
        <v>Autre</v>
      </c>
      <c r="W64" s="2" t="str">
        <f>IF('Data Checking'!AI64="","",'Data Checking'!AI64)</f>
        <v>Leader des femmes</v>
      </c>
      <c r="X64" s="2" t="str">
        <f>IF('Data Checking'!AJ64="","",'Data Checking'!AJ64)</f>
        <v/>
      </c>
      <c r="Y64" s="2" t="str">
        <f>IF('Data Checking'!AK64="","",'Data Checking'!AK64)</f>
        <v/>
      </c>
      <c r="Z64" s="2" t="str">
        <f>IF('Data Checking'!AL64="","",'Data Checking'!AL64)</f>
        <v>niger</v>
      </c>
      <c r="AA64" s="2" t="str">
        <f>IF('Data Checking'!AM64="","",'Data Checking'!AM64)</f>
        <v>tillaberi</v>
      </c>
      <c r="AB64" s="2" t="str">
        <f>IF('Data Checking'!AN64="","",'Data Checking'!AN64)</f>
        <v>ayerou</v>
      </c>
      <c r="AC64" s="2" t="str">
        <f>IF('Data Checking'!AO64="","",'Data Checking'!AO64)</f>
        <v/>
      </c>
      <c r="AD64" s="2" t="str">
        <f>IF('Data Checking'!AP64="","",'Data Checking'!AP64)</f>
        <v/>
      </c>
      <c r="AE64" s="2" t="str">
        <f>IF('Data Checking'!AQ64="","",'Data Checking'!AQ64)</f>
        <v/>
      </c>
      <c r="AF64" s="2" t="str">
        <f>IF('Data Checking'!AR64="","",'Data Checking'!AR64)</f>
        <v/>
      </c>
      <c r="AG64" s="2" t="str">
        <f>IF('Data Checking'!AS64="","",'Data Checking'!AS64)</f>
        <v>non</v>
      </c>
      <c r="AH64" s="2" t="str">
        <f>IF('Data Checking'!AT64="","",'Data Checking'!AT64)</f>
        <v/>
      </c>
      <c r="AI64" s="2" t="str">
        <f>IF('Data Checking'!AU64="","",'Data Checking'!AU64)</f>
        <v/>
      </c>
      <c r="AJ64" s="2" t="str">
        <f>IF('Data Checking'!AV64="","",'Data Checking'!AV64)</f>
        <v/>
      </c>
      <c r="AK64" s="2" t="str">
        <f>IF('Data Checking'!AW64="","",'Data Checking'!AW64)</f>
        <v/>
      </c>
      <c r="AL64" s="2" t="str">
        <f>IF('Data Checking'!AX64="","",'Data Checking'!AX64)</f>
        <v/>
      </c>
      <c r="AM64" s="2" t="str">
        <f>IF('Data Checking'!AY64="","",'Data Checking'!AY64)</f>
        <v/>
      </c>
      <c r="AN64" s="2" t="str">
        <f>IF('Data Checking'!AZ64="","",'Data Checking'!AZ64)</f>
        <v/>
      </c>
      <c r="AO64" s="2" t="str">
        <f>IF('Data Checking'!BA64="","",'Data Checking'!BA64)</f>
        <v/>
      </c>
      <c r="AP64" s="2" t="str">
        <f>IF('Data Checking'!BB64="","",'Data Checking'!BB64)</f>
        <v/>
      </c>
      <c r="AQ64" s="2" t="str">
        <f>IF('Data Checking'!BC64="","",'Data Checking'!BC64)</f>
        <v/>
      </c>
      <c r="AR64" s="2" t="str">
        <f>IF('Data Checking'!BD64="","",'Data Checking'!BD64)</f>
        <v/>
      </c>
      <c r="AS64" s="2" t="str">
        <f>IF('Data Checking'!BE64="","",'Data Checking'!BE64)</f>
        <v/>
      </c>
      <c r="AT64" s="2" t="str">
        <f>IF('Data Checking'!BF64="","",'Data Checking'!BF64)</f>
        <v/>
      </c>
      <c r="AU64" s="2" t="str">
        <f>IF('Data Checking'!BG64="","",'Data Checking'!BG64)</f>
        <v/>
      </c>
      <c r="AV64" s="2" t="str">
        <f>IF('Data Checking'!BH64="","",'Data Checking'!BH64)</f>
        <v/>
      </c>
      <c r="AW64" s="2" t="str">
        <f>IF('Data Checking'!BI64="","",'Data Checking'!BI64)</f>
        <v/>
      </c>
      <c r="AX64" s="2" t="str">
        <f>IF('Data Checking'!BJ64="","",'Data Checking'!BJ64)</f>
        <v/>
      </c>
      <c r="AY64" s="2" t="str">
        <f>IF('Data Checking'!BK64="","",'Data Checking'!BK64)</f>
        <v/>
      </c>
      <c r="AZ64" s="2" t="str">
        <f>IF('Data Checking'!BL64="","",'Data Checking'!BL64)</f>
        <v/>
      </c>
      <c r="BA64" s="2" t="str">
        <f>IF('Data Checking'!BM64="","",'Data Checking'!BM64)</f>
        <v/>
      </c>
      <c r="BB64" s="2" t="str">
        <f>IF('Data Checking'!BN64="","",'Data Checking'!BN64)</f>
        <v/>
      </c>
      <c r="BC64" s="2" t="str">
        <f>IF('Data Checking'!BO64="","",'Data Checking'!BO64)</f>
        <v/>
      </c>
      <c r="BD64" s="2" t="str">
        <f>IF('Data Checking'!BP64="","",'Data Checking'!BP64)</f>
        <v/>
      </c>
      <c r="BE64" s="2" t="str">
        <f>IF('Data Checking'!BQ64="","",'Data Checking'!BQ64)</f>
        <v/>
      </c>
      <c r="BF64" s="2" t="str">
        <f>IF('Data Checking'!BR64="","",'Data Checking'!BR64)</f>
        <v/>
      </c>
      <c r="BG64" s="2" t="str">
        <f>IF('Data Checking'!BS64="","",'Data Checking'!BS64)</f>
        <v/>
      </c>
      <c r="BH64" s="2" t="str">
        <f>IF('Data Checking'!BT64="","",'Data Checking'!BT64)</f>
        <v/>
      </c>
      <c r="BI64" s="2" t="str">
        <f>IF('Data Checking'!BU64="","",'Data Checking'!BU64)</f>
        <v/>
      </c>
      <c r="BJ64" s="2" t="str">
        <f>IF('Data Checking'!BV64="","",'Data Checking'!BV64)</f>
        <v/>
      </c>
      <c r="BK64" s="2" t="str">
        <f>IF('Data Checking'!BW64="","",'Data Checking'!BW64)</f>
        <v/>
      </c>
      <c r="BL64" s="2" t="str">
        <f>IF('Data Checking'!BX64="","",'Data Checking'!BX64)</f>
        <v/>
      </c>
      <c r="BM64" s="2" t="str">
        <f>IF('Data Checking'!BY64="","",'Data Checking'!BY64)</f>
        <v/>
      </c>
      <c r="BN64" s="2" t="str">
        <f>IF('Data Checking'!BZ64="","",'Data Checking'!BZ64)</f>
        <v/>
      </c>
      <c r="BO64" s="2" t="str">
        <f>IF('Data Checking'!CA64="","",'Data Checking'!CA64)</f>
        <v/>
      </c>
      <c r="BP64" s="2" t="str">
        <f>IF('Data Checking'!CB64="","",'Data Checking'!CB64)</f>
        <v/>
      </c>
      <c r="BQ64" s="2" t="str">
        <f>IF('Data Checking'!CC64="","",'Data Checking'!CC64)</f>
        <v>non</v>
      </c>
      <c r="BR64" s="2" t="str">
        <f>IF('Data Checking'!CD64="","",'Data Checking'!CD64)</f>
        <v/>
      </c>
      <c r="BS64" s="2" t="str">
        <f>IF('Data Checking'!CE64="","",'Data Checking'!CE64)</f>
        <v/>
      </c>
      <c r="BT64" s="2" t="str">
        <f>IF('Data Checking'!CF64="","",'Data Checking'!CF64)</f>
        <v/>
      </c>
      <c r="BU64" s="2" t="str">
        <f>IF('Data Checking'!CG64="","",'Data Checking'!CG64)</f>
        <v/>
      </c>
      <c r="BV64" s="2" t="str">
        <f>IF('Data Checking'!CH64="","",'Data Checking'!CH64)</f>
        <v/>
      </c>
      <c r="BW64" s="2" t="str">
        <f>IF('Data Checking'!CI64="","",'Data Checking'!CI64)</f>
        <v/>
      </c>
      <c r="BX64" s="2" t="str">
        <f>IF('Data Checking'!CJ64="","",'Data Checking'!CJ64)</f>
        <v/>
      </c>
      <c r="BY64" s="2" t="str">
        <f>IF('Data Checking'!CK64="","",'Data Checking'!CK64)</f>
        <v/>
      </c>
      <c r="BZ64" s="2" t="str">
        <f>IF('Data Checking'!CL64="","",'Data Checking'!CL64)</f>
        <v/>
      </c>
      <c r="CA64" s="2" t="str">
        <f>IF('Data Checking'!CM64="","",'Data Checking'!CM64)</f>
        <v/>
      </c>
      <c r="CB64" s="2" t="str">
        <f>IF('Data Checking'!CN64="","",'Data Checking'!CN64)</f>
        <v/>
      </c>
      <c r="CC64" s="2" t="str">
        <f>IF('Data Checking'!CO64="","",'Data Checking'!CO64)</f>
        <v/>
      </c>
      <c r="CD64" s="2" t="str">
        <f>IF('Data Checking'!CP64="","",'Data Checking'!CP64)</f>
        <v/>
      </c>
      <c r="CE64" s="2" t="str">
        <f>IF('Data Checking'!CQ64="","",'Data Checking'!CQ64)</f>
        <v/>
      </c>
      <c r="CF64" s="2" t="str">
        <f>IF('Data Checking'!CR64="","",'Data Checking'!CR64)</f>
        <v/>
      </c>
      <c r="CG64" s="2" t="str">
        <f>IF('Data Checking'!CS64="","",'Data Checking'!CS64)</f>
        <v/>
      </c>
      <c r="CH64" s="2" t="str">
        <f>IF('Data Checking'!CT64="","",'Data Checking'!CT64)</f>
        <v/>
      </c>
      <c r="CI64" s="2" t="str">
        <f>IF('Data Checking'!CU64="","",'Data Checking'!CU64)</f>
        <v/>
      </c>
      <c r="CJ64" s="2" t="str">
        <f>IF('Data Checking'!CV64="","",'Data Checking'!CV64)</f>
        <v/>
      </c>
      <c r="CK64" s="2" t="str">
        <f>IF('Data Checking'!CW64="","",'Data Checking'!CW64)</f>
        <v/>
      </c>
      <c r="CL64" s="2" t="str">
        <f>IF('Data Checking'!CX64="","",'Data Checking'!CX64)</f>
        <v/>
      </c>
      <c r="CM64" s="2" t="str">
        <f>IF('Data Checking'!CY64="","",'Data Checking'!CY64)</f>
        <v/>
      </c>
      <c r="CN64" s="2" t="str">
        <f>IF('Data Checking'!CZ64="","",'Data Checking'!CZ64)</f>
        <v/>
      </c>
      <c r="CO64" s="2" t="str">
        <f>IF('Data Checking'!DA64="","",'Data Checking'!DA64)</f>
        <v/>
      </c>
      <c r="CP64" s="2" t="str">
        <f>IF('Data Checking'!DB64="","",'Data Checking'!DB64)</f>
        <v/>
      </c>
      <c r="CQ64" s="2" t="str">
        <f>IF('Data Checking'!DC64="","",'Data Checking'!DC64)</f>
        <v/>
      </c>
      <c r="CR64" s="2" t="str">
        <f>IF('Data Checking'!DD64="","",'Data Checking'!DD64)</f>
        <v/>
      </c>
      <c r="CS64" s="2" t="str">
        <f>IF('Data Checking'!DE64="","",'Data Checking'!DE64)</f>
        <v/>
      </c>
      <c r="CT64" s="2" t="str">
        <f>IF('Data Checking'!DF64="","",'Data Checking'!DF64)</f>
        <v/>
      </c>
      <c r="CU64" s="2" t="str">
        <f>IF('Data Checking'!DG64="","",'Data Checking'!DG64)</f>
        <v/>
      </c>
      <c r="CV64" s="2" t="str">
        <f>IF('Data Checking'!DH64="","",'Data Checking'!DH64)</f>
        <v/>
      </c>
      <c r="CW64" s="2" t="str">
        <f>IF('Data Checking'!DI64="","",'Data Checking'!DI64)</f>
        <v/>
      </c>
      <c r="CX64" s="2" t="str">
        <f>IF('Data Checking'!DJ64="","",'Data Checking'!DJ64)</f>
        <v/>
      </c>
      <c r="CY64" s="2" t="str">
        <f>IF('Data Checking'!DK64="","",'Data Checking'!DK64)</f>
        <v/>
      </c>
      <c r="CZ64" s="2" t="str">
        <f>IF('Data Checking'!DL64="","",'Data Checking'!DL64)</f>
        <v/>
      </c>
      <c r="DA64" s="2" t="str">
        <f>IF('Data Checking'!DM64="","",'Data Checking'!DM64)</f>
        <v/>
      </c>
      <c r="DB64" s="2" t="str">
        <f>IF('Data Checking'!DN64="","",'Data Checking'!DN64)</f>
        <v/>
      </c>
      <c r="DC64" s="2" t="str">
        <f>IF('Data Checking'!DO64="","",'Data Checking'!DO64)</f>
        <v/>
      </c>
      <c r="DD64" s="2" t="str">
        <f>IF('Data Checking'!DP64="","",'Data Checking'!DP64)</f>
        <v/>
      </c>
      <c r="DE64" s="2" t="str">
        <f>IF('Data Checking'!DQ64="","",'Data Checking'!DQ64)</f>
        <v/>
      </c>
      <c r="DF64" s="2" t="str">
        <f>IF('Data Checking'!DR64="","",'Data Checking'!DR64)</f>
        <v/>
      </c>
      <c r="DG64" s="2" t="str">
        <f>IF('Data Checking'!DS64="","",'Data Checking'!DS64)</f>
        <v/>
      </c>
      <c r="DH64" s="2" t="str">
        <f>IF('Data Checking'!DT64="","",'Data Checking'!DT64)</f>
        <v/>
      </c>
      <c r="DI64" s="2" t="str">
        <f>IF('Data Checking'!DU64="","",'Data Checking'!DU64)</f>
        <v/>
      </c>
      <c r="DJ64" s="2" t="str">
        <f>IF('Data Checking'!DV64="","",'Data Checking'!DV64)</f>
        <v/>
      </c>
      <c r="DK64" s="2" t="str">
        <f>IF('Data Checking'!DW64="","",'Data Checking'!DW64)</f>
        <v/>
      </c>
      <c r="DL64" s="2" t="str">
        <f>IF('Data Checking'!DX64="","",'Data Checking'!DX64)</f>
        <v/>
      </c>
      <c r="DM64" s="2" t="str">
        <f>IF('Data Checking'!DY64="","",'Data Checking'!DY64)</f>
        <v/>
      </c>
      <c r="DN64" s="2" t="str">
        <f>IF('Data Checking'!DZ64="","",'Data Checking'!DZ64)</f>
        <v/>
      </c>
      <c r="DO64" s="2" t="str">
        <f>IF('Data Checking'!EA64="","",'Data Checking'!EA64)</f>
        <v/>
      </c>
      <c r="DP64" s="2" t="str">
        <f>IF('Data Checking'!EB64="","",'Data Checking'!EB64)</f>
        <v/>
      </c>
      <c r="DQ64" s="2" t="str">
        <f>IF('Data Checking'!EC64="","",'Data Checking'!EC64)</f>
        <v/>
      </c>
      <c r="DR64" s="2" t="str">
        <f>IF('Data Checking'!ED64="","",'Data Checking'!ED64)</f>
        <v/>
      </c>
      <c r="DS64" s="2" t="str">
        <f>IF('Data Checking'!EE64="","",'Data Checking'!EE64)</f>
        <v/>
      </c>
      <c r="DT64" s="2" t="str">
        <f>IF('Data Checking'!EF64="","",'Data Checking'!EF64)</f>
        <v/>
      </c>
      <c r="DU64" s="2" t="str">
        <f>IF('Data Checking'!EG64="","",'Data Checking'!EG64)</f>
        <v/>
      </c>
      <c r="DV64" s="2" t="str">
        <f>IF('Data Checking'!EH64="","",'Data Checking'!EH64)</f>
        <v/>
      </c>
      <c r="DW64" s="2" t="str">
        <f>IF('Data Checking'!EI64="","",'Data Checking'!EI64)</f>
        <v/>
      </c>
      <c r="DX64" s="2" t="str">
        <f>IF('Data Checking'!EJ64="","",'Data Checking'!EJ64)</f>
        <v/>
      </c>
      <c r="DY64" s="2" t="str">
        <f>IF('Data Checking'!EK64="","",'Data Checking'!EK64)</f>
        <v/>
      </c>
      <c r="DZ64" s="2" t="str">
        <f>IF('Data Checking'!EL64="","",'Data Checking'!EL64)</f>
        <v>pas_de_mecanismes</v>
      </c>
      <c r="EA64" s="2" t="str">
        <f>IF('Data Checking'!EM64="","",'Data Checking'!EM64)</f>
        <v>0</v>
      </c>
      <c r="EB64" s="2" t="str">
        <f>IF('Data Checking'!EN64="","",'Data Checking'!EN64)</f>
        <v>0</v>
      </c>
      <c r="EC64" s="2" t="str">
        <f>IF('Data Checking'!EO64="","",'Data Checking'!EO64)</f>
        <v>0</v>
      </c>
      <c r="ED64" s="2" t="str">
        <f>IF('Data Checking'!EP64="","",'Data Checking'!EP64)</f>
        <v>0</v>
      </c>
      <c r="EE64" s="2" t="str">
        <f>IF('Data Checking'!EQ64="","",'Data Checking'!EQ64)</f>
        <v>0</v>
      </c>
      <c r="EF64" s="2" t="str">
        <f>IF('Data Checking'!ER64="","",'Data Checking'!ER64)</f>
        <v>0</v>
      </c>
      <c r="EG64" s="2" t="str">
        <f>IF('Data Checking'!ES64="","",'Data Checking'!ES64)</f>
        <v>1</v>
      </c>
      <c r="EH64" s="2" t="str">
        <f>IF('Data Checking'!ET64="","",'Data Checking'!ET64)</f>
        <v>0</v>
      </c>
      <c r="EI64" s="2" t="str">
        <f>IF('Data Checking'!EU64="","",'Data Checking'!EU64)</f>
        <v>0</v>
      </c>
      <c r="EJ64" s="2" t="str">
        <f>IF('Data Checking'!EV64="","",'Data Checking'!EV64)</f>
        <v/>
      </c>
      <c r="EK64" s="2" t="str">
        <f>IF('Data Checking'!EW64="","",'Data Checking'!EW64)</f>
        <v/>
      </c>
      <c r="EL64" s="2" t="str">
        <f>IF('Data Checking'!EX64="","",'Data Checking'!EX64)</f>
        <v>famille_accueil</v>
      </c>
      <c r="EM64" s="2" t="str">
        <f>IF('Data Checking'!EY64="","",'Data Checking'!EY64)</f>
        <v>0</v>
      </c>
      <c r="EN64" s="2" t="str">
        <f>IF('Data Checking'!EZ64="","",'Data Checking'!EZ64)</f>
        <v>0</v>
      </c>
      <c r="EO64" s="2" t="str">
        <f>IF('Data Checking'!FA64="","",'Data Checking'!FA64)</f>
        <v>1</v>
      </c>
      <c r="EP64" s="2" t="str">
        <f>IF('Data Checking'!FB64="","",'Data Checking'!FB64)</f>
        <v>0</v>
      </c>
      <c r="EQ64" s="2" t="str">
        <f>IF('Data Checking'!FC64="","",'Data Checking'!FC64)</f>
        <v>0</v>
      </c>
      <c r="ER64" s="2" t="str">
        <f>IF('Data Checking'!FD64="","",'Data Checking'!FD64)</f>
        <v>0</v>
      </c>
      <c r="ES64" s="2" t="str">
        <f>IF('Data Checking'!FE64="","",'Data Checking'!FE64)</f>
        <v>0</v>
      </c>
      <c r="ET64" s="2" t="str">
        <f>IF('Data Checking'!FF64="","",'Data Checking'!FF64)</f>
        <v>0</v>
      </c>
      <c r="EU64" s="2" t="str">
        <f>IF('Data Checking'!FG64="","",'Data Checking'!FG64)</f>
        <v>0</v>
      </c>
      <c r="EV64" s="2" t="str">
        <f>IF('Data Checking'!FH64="","",'Data Checking'!FH64)</f>
        <v>0</v>
      </c>
      <c r="EW64" s="2" t="str">
        <f>IF('Data Checking'!FI64="","",'Data Checking'!FI64)</f>
        <v/>
      </c>
      <c r="EX64" s="2" t="str">
        <f>IF('Data Checking'!FJ64="","",'Data Checking'!FJ64)</f>
        <v>oui</v>
      </c>
      <c r="EY64" s="2" t="str">
        <f>IF('Data Checking'!FK64="","",'Data Checking'!FK64)</f>
        <v>famille_amis</v>
      </c>
      <c r="EZ64" s="2" t="str">
        <f>IF('Data Checking'!FL64="","",'Data Checking'!FL64)</f>
        <v>0</v>
      </c>
      <c r="FA64" s="2" t="str">
        <f>IF('Data Checking'!FM64="","",'Data Checking'!FM64)</f>
        <v>0</v>
      </c>
      <c r="FB64" s="2" t="str">
        <f>IF('Data Checking'!FN64="","",'Data Checking'!FN64)</f>
        <v>0</v>
      </c>
      <c r="FC64" s="2" t="str">
        <f>IF('Data Checking'!FO64="","",'Data Checking'!FO64)</f>
        <v>0</v>
      </c>
      <c r="FD64" s="2" t="str">
        <f>IF('Data Checking'!FP64="","",'Data Checking'!FP64)</f>
        <v>0</v>
      </c>
      <c r="FE64" s="2" t="str">
        <f>IF('Data Checking'!FQ64="","",'Data Checking'!FQ64)</f>
        <v>1</v>
      </c>
      <c r="FF64" s="2" t="str">
        <f>IF('Data Checking'!FR64="","",'Data Checking'!FR64)</f>
        <v>0</v>
      </c>
      <c r="FG64" s="2" t="str">
        <f>IF('Data Checking'!FS64="","",'Data Checking'!FS64)</f>
        <v>0</v>
      </c>
      <c r="FH64" s="2" t="str">
        <f>IF('Data Checking'!FT64="","",'Data Checking'!FT64)</f>
        <v>0</v>
      </c>
      <c r="FI64" s="2" t="str">
        <f>IF('Data Checking'!FU64="","",'Data Checking'!FU64)</f>
        <v>0</v>
      </c>
      <c r="FJ64" s="2" t="str">
        <f>IF('Data Checking'!FV64="","",'Data Checking'!FV64)</f>
        <v>0</v>
      </c>
      <c r="FK64" s="2" t="str">
        <f>IF('Data Checking'!FW64="","",'Data Checking'!FW64)</f>
        <v>0</v>
      </c>
      <c r="FL64" s="2" t="str">
        <f>IF('Data Checking'!FX64="","",'Data Checking'!FX64)</f>
        <v>0</v>
      </c>
      <c r="FM64" s="2" t="str">
        <f>IF('Data Checking'!FY64="","",'Data Checking'!FY64)</f>
        <v>0</v>
      </c>
      <c r="FN64" s="2" t="str">
        <f>IF('Data Checking'!FZ64="","",'Data Checking'!FZ64)</f>
        <v/>
      </c>
      <c r="FO64" s="2" t="str">
        <f>IF('Data Checking'!GA64="","",'Data Checking'!GA64)</f>
        <v>oui_majorite</v>
      </c>
      <c r="FP64" s="2" t="str">
        <f>IF('Data Checking'!GB64="","",'Data Checking'!GB64)</f>
        <v>oui_ensemble</v>
      </c>
      <c r="FQ64" s="2" t="str">
        <f>IF('Data Checking'!GC64="","",'Data Checking'!GC64)</f>
        <v/>
      </c>
      <c r="FR64" s="2" t="str">
        <f>IF('Data Checking'!GD64="","",'Data Checking'!GD64)</f>
        <v/>
      </c>
      <c r="FS64" s="2" t="str">
        <f>IF('Data Checking'!GE64="","",'Data Checking'!GE64)</f>
        <v/>
      </c>
      <c r="FT64" s="2" t="str">
        <f>IF('Data Checking'!GF64="","",'Data Checking'!GF64)</f>
        <v/>
      </c>
      <c r="FU64" s="2" t="str">
        <f>IF('Data Checking'!GG64="","",'Data Checking'!GG64)</f>
        <v/>
      </c>
      <c r="FV64" s="2" t="str">
        <f>IF('Data Checking'!GH64="","",'Data Checking'!GH64)</f>
        <v/>
      </c>
      <c r="FW64" s="2" t="str">
        <f>IF('Data Checking'!GI64="","",'Data Checking'!GI64)</f>
        <v/>
      </c>
      <c r="FX64" s="2" t="str">
        <f>IF('Data Checking'!GJ64="","",'Data Checking'!GJ64)</f>
        <v/>
      </c>
      <c r="FY64" s="2" t="str">
        <f>IF('Data Checking'!GK64="","",'Data Checking'!GK64)</f>
        <v/>
      </c>
      <c r="FZ64" s="2" t="str">
        <f>IF('Data Checking'!GL64="","",'Data Checking'!GL64)</f>
        <v/>
      </c>
      <c r="GA64" s="2" t="str">
        <f>IF('Data Checking'!GM64="","",'Data Checking'!GM64)</f>
        <v>moitie</v>
      </c>
      <c r="GB64" s="2" t="str">
        <f>IF('Data Checking'!GN64="","",'Data Checking'!GN64)</f>
        <v>ensemble</v>
      </c>
      <c r="GC64" s="2" t="str">
        <f>IF('Data Checking'!GO64="","",'Data Checking'!GO64)</f>
        <v>Education Services_de_sante Acces_aux_doc</v>
      </c>
      <c r="GD64" s="2" t="str">
        <f>IF('Data Checking'!GP64="","",'Data Checking'!GP64)</f>
        <v>0</v>
      </c>
      <c r="GE64" s="2" t="str">
        <f>IF('Data Checking'!GQ64="","",'Data Checking'!GQ64)</f>
        <v>1</v>
      </c>
      <c r="GF64" s="2" t="str">
        <f>IF('Data Checking'!GR64="","",'Data Checking'!GR64)</f>
        <v>0</v>
      </c>
      <c r="GG64" s="2" t="str">
        <f>IF('Data Checking'!GS64="","",'Data Checking'!GS64)</f>
        <v>1</v>
      </c>
      <c r="GH64" s="2" t="str">
        <f>IF('Data Checking'!GT64="","",'Data Checking'!GT64)</f>
        <v>1</v>
      </c>
      <c r="GI64" s="2" t="str">
        <f>IF('Data Checking'!GU64="","",'Data Checking'!GU64)</f>
        <v>0</v>
      </c>
      <c r="GJ64" s="2" t="str">
        <f>IF('Data Checking'!GV64="","",'Data Checking'!GV64)</f>
        <v>0</v>
      </c>
      <c r="GK64" s="2" t="str">
        <f>IF('Data Checking'!GW64="","",'Data Checking'!GW64)</f>
        <v>0</v>
      </c>
      <c r="GL64" s="2" t="str">
        <f>IF('Data Checking'!GX64="","",'Data Checking'!GX64)</f>
        <v>0</v>
      </c>
      <c r="GM64" s="2" t="str">
        <f>IF('Data Checking'!GY64="","",'Data Checking'!GY64)</f>
        <v/>
      </c>
      <c r="GN64" s="2" t="str">
        <f>IF('Data Checking'!GZ64="","",'Data Checking'!GZ64)</f>
        <v>oui_ensemble</v>
      </c>
      <c r="GO64" s="2" t="str">
        <f>IF('Data Checking'!HA64="","",'Data Checking'!HA64)</f>
        <v>oui_ensemble</v>
      </c>
      <c r="GP64" s="2" t="str">
        <f>IF('Data Checking'!HB64="","",'Data Checking'!HB64)</f>
        <v>repond_besoins_pop permet_obtenir_conseils permet_eviter_conflits</v>
      </c>
      <c r="GQ64" s="2" t="str">
        <f>IF('Data Checking'!HC64="","",'Data Checking'!HC64)</f>
        <v>0</v>
      </c>
      <c r="GR64" s="2" t="str">
        <f>IF('Data Checking'!HD64="","",'Data Checking'!HD64)</f>
        <v>1</v>
      </c>
      <c r="GS64" s="2" t="str">
        <f>IF('Data Checking'!HE64="","",'Data Checking'!HE64)</f>
        <v>1</v>
      </c>
      <c r="GT64" s="2" t="str">
        <f>IF('Data Checking'!HF64="","",'Data Checking'!HF64)</f>
        <v>1</v>
      </c>
      <c r="GU64" s="2" t="str">
        <f>IF('Data Checking'!HG64="","",'Data Checking'!HG64)</f>
        <v>0</v>
      </c>
      <c r="GV64" s="2" t="str">
        <f>IF('Data Checking'!HH64="","",'Data Checking'!HH64)</f>
        <v>0</v>
      </c>
      <c r="GW64" s="2" t="str">
        <f>IF('Data Checking'!HI64="","",'Data Checking'!HI64)</f>
        <v>0</v>
      </c>
      <c r="GX64" s="2" t="str">
        <f>IF('Data Checking'!HJ64="","",'Data Checking'!HJ64)</f>
        <v>0</v>
      </c>
      <c r="GY64" s="2" t="str">
        <f>IF('Data Checking'!HK64="","",'Data Checking'!HK64)</f>
        <v/>
      </c>
      <c r="GZ64" s="2" t="str">
        <f>IF('Data Checking'!HL64="","",'Data Checking'!HL64)</f>
        <v/>
      </c>
      <c r="HA64" s="2" t="str">
        <f>IF('Data Checking'!HM64="","",'Data Checking'!HM64)</f>
        <v/>
      </c>
      <c r="HB64" s="2" t="str">
        <f>IF('Data Checking'!HN64="","",'Data Checking'!HN64)</f>
        <v/>
      </c>
      <c r="HC64" s="2" t="str">
        <f>IF('Data Checking'!HO64="","",'Data Checking'!HO64)</f>
        <v/>
      </c>
      <c r="HD64" s="2" t="str">
        <f>IF('Data Checking'!HP64="","",'Data Checking'!HP64)</f>
        <v/>
      </c>
      <c r="HE64" s="2" t="str">
        <f>IF('Data Checking'!HQ64="","",'Data Checking'!HQ64)</f>
        <v/>
      </c>
      <c r="HF64" s="2" t="str">
        <f>IF('Data Checking'!HR64="","",'Data Checking'!HR64)</f>
        <v/>
      </c>
      <c r="HG64" s="2" t="str">
        <f>IF('Data Checking'!HS64="","",'Data Checking'!HS64)</f>
        <v/>
      </c>
      <c r="HH64" s="2" t="str">
        <f>IF('Data Checking'!HT64="","",'Data Checking'!HT64)</f>
        <v/>
      </c>
      <c r="HI64" s="2" t="str">
        <f>IF('Data Checking'!HU64="","",'Data Checking'!HU64)</f>
        <v>oui_ensemble</v>
      </c>
      <c r="HJ64" s="2" t="str">
        <f>IF('Data Checking'!HV64="","",'Data Checking'!HV64)</f>
        <v>ingo</v>
      </c>
      <c r="HK64" s="2" t="str">
        <f>IF('Data Checking'!HW64="","",'Data Checking'!HW64)</f>
        <v>0</v>
      </c>
      <c r="HL64" s="2" t="str">
        <f>IF('Data Checking'!HX64="","",'Data Checking'!HX64)</f>
        <v>0</v>
      </c>
      <c r="HM64" s="2" t="str">
        <f>IF('Data Checking'!HY64="","",'Data Checking'!HY64)</f>
        <v>0</v>
      </c>
      <c r="HN64" s="2" t="str">
        <f>IF('Data Checking'!HZ64="","",'Data Checking'!HZ64)</f>
        <v>0</v>
      </c>
      <c r="HO64" s="2" t="str">
        <f>IF('Data Checking'!IA64="","",'Data Checking'!IA64)</f>
        <v>1</v>
      </c>
      <c r="HP64" s="2" t="str">
        <f>IF('Data Checking'!IB64="","",'Data Checking'!IB64)</f>
        <v>0</v>
      </c>
      <c r="HQ64" s="2" t="str">
        <f>IF('Data Checking'!IC64="","",'Data Checking'!IC64)</f>
        <v>0</v>
      </c>
      <c r="HR64" s="2" t="str">
        <f>IF('Data Checking'!ID64="","",'Data Checking'!ID64)</f>
        <v>0</v>
      </c>
      <c r="HS64" s="2" t="str">
        <f>IF('Data Checking'!IE64="","",'Data Checking'!IE64)</f>
        <v>0</v>
      </c>
      <c r="HT64" s="2" t="str">
        <f>IF('Data Checking'!IF64="","",'Data Checking'!IF64)</f>
        <v>0</v>
      </c>
      <c r="HU64" s="2" t="str">
        <f>IF('Data Checking'!IG64="","",'Data Checking'!IG64)</f>
        <v/>
      </c>
      <c r="HV64" s="2" t="str">
        <f>IF('Data Checking'!IH64="","",'Data Checking'!IH64)</f>
        <v/>
      </c>
      <c r="HW64" s="2" t="str">
        <f>IF('Data Checking'!II64="","",'Data Checking'!II64)</f>
        <v/>
      </c>
      <c r="HX64" s="2" t="str">
        <f>IF('Data Checking'!IJ64="","",'Data Checking'!IJ64)</f>
        <v/>
      </c>
      <c r="HY64" s="2" t="str">
        <f>IF('Data Checking'!IK64="","",'Data Checking'!IK64)</f>
        <v/>
      </c>
      <c r="HZ64" s="2" t="str">
        <f>IF('Data Checking'!IL64="","",'Data Checking'!IL64)</f>
        <v/>
      </c>
      <c r="IA64" s="2" t="str">
        <f>IF('Data Checking'!IM64="","",'Data Checking'!IM64)</f>
        <v/>
      </c>
      <c r="IB64" s="2" t="str">
        <f>IF('Data Checking'!IN64="","",'Data Checking'!IN64)</f>
        <v/>
      </c>
      <c r="IC64" s="2" t="str">
        <f>IF('Data Checking'!IO64="","",'Data Checking'!IO64)</f>
        <v/>
      </c>
      <c r="ID64" s="2" t="str">
        <f>IF('Data Checking'!IP64="","",'Data Checking'!IP64)</f>
        <v/>
      </c>
      <c r="IE64" s="2" t="str">
        <f>IF('Data Checking'!IQ64="","",'Data Checking'!IQ64)</f>
        <v/>
      </c>
      <c r="IF64" s="2" t="str">
        <f>IF('Data Checking'!IR64="","",'Data Checking'!IR64)</f>
        <v/>
      </c>
      <c r="IG64" s="2" t="str">
        <f>IF('Data Checking'!IS64="","",'Data Checking'!IS64)</f>
        <v/>
      </c>
      <c r="IH64" s="2" t="str">
        <f>IF('Data Checking'!IT64="","",'Data Checking'!IT64)</f>
        <v/>
      </c>
      <c r="II64" s="2" t="str">
        <f>IF('Data Checking'!IU64="","",'Data Checking'!IU64)</f>
        <v/>
      </c>
      <c r="IJ64" s="2" t="str">
        <f>IF('Data Checking'!IV64="","",'Data Checking'!IV64)</f>
        <v/>
      </c>
      <c r="IK64" s="2" t="str">
        <f>IF('Data Checking'!IW64="","",'Data Checking'!IW64)</f>
        <v/>
      </c>
      <c r="IL64" s="2" t="str">
        <f>IF('Data Checking'!IX64="","",'Data Checking'!IX64)</f>
        <v/>
      </c>
      <c r="IM64" s="2" t="str">
        <f>IF('Data Checking'!IY64="","",'Data Checking'!IY64)</f>
        <v/>
      </c>
      <c r="IN64" s="2" t="str">
        <f>IF('Data Checking'!IZ64="","",'Data Checking'!IZ64)</f>
        <v>2</v>
      </c>
      <c r="IO64" s="2" t="str">
        <f>IF('Data Checking'!JA64="","",'Data Checking'!JA64)</f>
        <v>Services_medicaux Services_educatifs acces_docs</v>
      </c>
      <c r="IP64" s="2" t="str">
        <f>IF('Data Checking'!JB64="","",'Data Checking'!JB64)</f>
        <v>0</v>
      </c>
      <c r="IQ64" s="2" t="str">
        <f>IF('Data Checking'!JC64="","",'Data Checking'!JC64)</f>
        <v>1</v>
      </c>
      <c r="IR64" s="2" t="str">
        <f>IF('Data Checking'!JD64="","",'Data Checking'!JD64)</f>
        <v>1</v>
      </c>
      <c r="IS64" s="2" t="str">
        <f>IF('Data Checking'!JE64="","",'Data Checking'!JE64)</f>
        <v>0</v>
      </c>
      <c r="IT64" s="2" t="str">
        <f>IF('Data Checking'!JF64="","",'Data Checking'!JF64)</f>
        <v>1</v>
      </c>
      <c r="IU64" s="2" t="str">
        <f>IF('Data Checking'!JG64="","",'Data Checking'!JG64)</f>
        <v>0</v>
      </c>
      <c r="IV64" s="2" t="str">
        <f>IF('Data Checking'!JH64="","",'Data Checking'!JH64)</f>
        <v>0</v>
      </c>
      <c r="IW64" s="2" t="str">
        <f>IF('Data Checking'!JI64="","",'Data Checking'!JI64)</f>
        <v>0</v>
      </c>
      <c r="IX64" s="2" t="str">
        <f>IF('Data Checking'!JJ64="","",'Data Checking'!JJ64)</f>
        <v>0</v>
      </c>
      <c r="IY64" s="2" t="str">
        <f>IF('Data Checking'!JK64="","",'Data Checking'!JK64)</f>
        <v>0</v>
      </c>
      <c r="IZ64" s="2" t="str">
        <f>IF('Data Checking'!JL64="","",'Data Checking'!JL64)</f>
        <v/>
      </c>
      <c r="JA64" s="2" t="str">
        <f>IF('Data Checking'!JM64="","",'Data Checking'!JM64)</f>
        <v>Autre</v>
      </c>
      <c r="JB64" s="2" t="str">
        <f>IF('Data Checking'!JN64="","",'Data Checking'!JN64)</f>
        <v>0</v>
      </c>
      <c r="JC64" s="2" t="str">
        <f>IF('Data Checking'!JO64="","",'Data Checking'!JO64)</f>
        <v>0</v>
      </c>
      <c r="JD64" s="2" t="str">
        <f>IF('Data Checking'!JP64="","",'Data Checking'!JP64)</f>
        <v>0</v>
      </c>
      <c r="JE64" s="2" t="str">
        <f>IF('Data Checking'!JQ64="","",'Data Checking'!JQ64)</f>
        <v>1</v>
      </c>
      <c r="JF64" s="2" t="str">
        <f>IF('Data Checking'!JR64="","",'Data Checking'!JR64)</f>
        <v>0</v>
      </c>
      <c r="JG64" s="2" t="str">
        <f>IF('Data Checking'!JS64="","",'Data Checking'!JS64)</f>
        <v>0</v>
      </c>
      <c r="JH64" s="2" t="str">
        <f>IF('Data Checking'!JT64="","",'Data Checking'!JT64)</f>
        <v/>
      </c>
      <c r="JI64" s="2" t="str">
        <f>IF('Data Checking'!JU64="","",'Data Checking'!JU64)</f>
        <v/>
      </c>
      <c r="JJ64" s="2" t="str">
        <f>IF('Data Checking'!JV64="","",'Data Checking'!JV64)</f>
        <v/>
      </c>
      <c r="JK64" s="2" t="str">
        <f>IF('Data Checking'!JW64="","",'Data Checking'!JW64)</f>
        <v/>
      </c>
      <c r="JL64" s="2" t="str">
        <f>IF('Data Checking'!JX64="","",'Data Checking'!JX64)</f>
        <v/>
      </c>
      <c r="JM64" s="2" t="str">
        <f>IF('Data Checking'!JY64="","",'Data Checking'!JY64)</f>
        <v/>
      </c>
      <c r="JN64" s="2" t="str">
        <f>IF('Data Checking'!JZ64="","",'Data Checking'!JZ64)</f>
        <v/>
      </c>
      <c r="JO64" s="2" t="str">
        <f>IF('Data Checking'!KA64="","",'Data Checking'!KA64)</f>
        <v/>
      </c>
      <c r="JP64" s="2" t="str">
        <f>IF('Data Checking'!KB64="","",'Data Checking'!KB64)</f>
        <v/>
      </c>
      <c r="JQ64" s="2" t="str">
        <f>IF('Data Checking'!KC64="","",'Data Checking'!KC64)</f>
        <v/>
      </c>
      <c r="JR64" s="2" t="str">
        <f>IF('Data Checking'!KD64="","",'Data Checking'!KD64)</f>
        <v/>
      </c>
      <c r="JS64" s="2" t="str">
        <f>IF('Data Checking'!KE64="","",'Data Checking'!KE64)</f>
        <v/>
      </c>
      <c r="JT64" s="2" t="str">
        <f>IF('Data Checking'!KF64="","",'Data Checking'!KF64)</f>
        <v>Psychosocia medical point_ecoute</v>
      </c>
      <c r="JU64" s="2" t="str">
        <f>IF('Data Checking'!KG64="","",'Data Checking'!KG64)</f>
        <v>1</v>
      </c>
      <c r="JV64" s="2" t="str">
        <f>IF('Data Checking'!KH64="","",'Data Checking'!KH64)</f>
        <v>1</v>
      </c>
      <c r="JW64" s="2" t="str">
        <f>IF('Data Checking'!KI64="","",'Data Checking'!KI64)</f>
        <v>1</v>
      </c>
      <c r="JX64" s="2" t="str">
        <f>IF('Data Checking'!KJ64="","",'Data Checking'!KJ64)</f>
        <v>0</v>
      </c>
      <c r="JY64" s="2" t="str">
        <f>IF('Data Checking'!KK64="","",'Data Checking'!KK64)</f>
        <v>0</v>
      </c>
      <c r="JZ64" s="2" t="str">
        <f>IF('Data Checking'!KL64="","",'Data Checking'!KL64)</f>
        <v>0</v>
      </c>
      <c r="KA64" s="2" t="str">
        <f>IF('Data Checking'!KM64="","",'Data Checking'!KM64)</f>
        <v>0</v>
      </c>
      <c r="KB64" s="2" t="str">
        <f>IF('Data Checking'!KN64="","",'Data Checking'!KN64)</f>
        <v>0</v>
      </c>
      <c r="KC64" s="2" t="str">
        <f>IF('Data Checking'!KO64="","",'Data Checking'!KO64)</f>
        <v>0</v>
      </c>
      <c r="KD64" s="2" t="str">
        <f>IF('Data Checking'!KP64="","",'Data Checking'!KP64)</f>
        <v/>
      </c>
      <c r="KE64" s="2" t="str">
        <f>IF('Data Checking'!KQ64="","",'Data Checking'!KQ64)</f>
        <v/>
      </c>
      <c r="KF64" s="2" t="str">
        <f>IF('Data Checking'!KR64="","",'Data Checking'!KR64)</f>
        <v>non</v>
      </c>
      <c r="KG64" s="2" t="str">
        <f>IF('Data Checking'!KS64="","",'Data Checking'!KS64)</f>
        <v/>
      </c>
      <c r="KH64" s="2" t="str">
        <f>IF('Data Checking'!KT64="","",'Data Checking'!KT64)</f>
        <v/>
      </c>
      <c r="KI64" s="2" t="str">
        <f>IF('Data Checking'!KU64="","",'Data Checking'!KU64)</f>
        <v/>
      </c>
      <c r="KJ64" s="2" t="str">
        <f>IF('Data Checking'!KV64="","",'Data Checking'!KV64)</f>
        <v/>
      </c>
      <c r="KK64" s="2" t="str">
        <f>IF('Data Checking'!KW64="","",'Data Checking'!KW64)</f>
        <v/>
      </c>
      <c r="KL64" s="2" t="str">
        <f>IF('Data Checking'!KX64="","",'Data Checking'!KX64)</f>
        <v/>
      </c>
      <c r="KM64" s="2" t="str">
        <f>IF('Data Checking'!KY64="","",'Data Checking'!KY64)</f>
        <v/>
      </c>
      <c r="KN64" s="2" t="str">
        <f>IF('Data Checking'!KZ64="","",'Data Checking'!KZ64)</f>
        <v/>
      </c>
      <c r="KO64" s="2" t="str">
        <f>IF('Data Checking'!LA64="","",'Data Checking'!LA64)</f>
        <v/>
      </c>
      <c r="KP64" s="2" t="str">
        <f>IF('Data Checking'!LB64="","",'Data Checking'!LB64)</f>
        <v/>
      </c>
      <c r="KQ64" s="2" t="str">
        <f>IF('Data Checking'!LC64="","",'Data Checking'!LC64)</f>
        <v/>
      </c>
      <c r="KR64" s="2" t="str">
        <f>IF('Data Checking'!LD64="","",'Data Checking'!LD64)</f>
        <v/>
      </c>
      <c r="KS64" s="2" t="str">
        <f>IF('Data Checking'!LE64="","",'Data Checking'!LE64)</f>
        <v/>
      </c>
      <c r="KT64" s="2" t="str">
        <f>IF('Data Checking'!LF64="","",'Data Checking'!LF64)</f>
        <v/>
      </c>
      <c r="KU64" s="2" t="str">
        <f>IF('Data Checking'!LG64="","",'Data Checking'!LG64)</f>
        <v/>
      </c>
      <c r="KV64" s="2" t="str">
        <f>IF('Data Checking'!LH64="","",'Data Checking'!LH64)</f>
        <v/>
      </c>
      <c r="KW64" s="2" t="str">
        <f>IF('Data Checking'!LI64="","",'Data Checking'!LI64)</f>
        <v/>
      </c>
      <c r="KX64" s="2" t="str">
        <f>IF('Data Checking'!LJ64="","",'Data Checking'!LJ64)</f>
        <v/>
      </c>
      <c r="KY64" s="2" t="str">
        <f>IF('Data Checking'!LK64="","",'Data Checking'!LK64)</f>
        <v/>
      </c>
      <c r="KZ64" s="2" t="str">
        <f>IF('Data Checking'!LL64="","",'Data Checking'!LL64)</f>
        <v/>
      </c>
      <c r="LA64" s="2" t="str">
        <f>IF('Data Checking'!LM64="","",'Data Checking'!LM64)</f>
        <v/>
      </c>
      <c r="LB64" s="2" t="str">
        <f>IF('Data Checking'!LN64="","",'Data Checking'!LN64)</f>
        <v>non</v>
      </c>
      <c r="LC64" s="2" t="str">
        <f>IF('Data Checking'!LO64="","",'Data Checking'!LO64)</f>
        <v/>
      </c>
      <c r="LD64" s="2" t="str">
        <f>IF('Data Checking'!LP64="","",'Data Checking'!LP64)</f>
        <v/>
      </c>
      <c r="LE64" s="2" t="str">
        <f>IF('Data Checking'!LQ64="","",'Data Checking'!LQ64)</f>
        <v/>
      </c>
      <c r="LF64" s="2" t="str">
        <f>IF('Data Checking'!LR64="","",'Data Checking'!LR64)</f>
        <v/>
      </c>
      <c r="LG64" s="2" t="str">
        <f>IF('Data Checking'!LS64="","",'Data Checking'!LS64)</f>
        <v/>
      </c>
      <c r="LH64" s="2" t="str">
        <f>IF('Data Checking'!LT64="","",'Data Checking'!LT64)</f>
        <v/>
      </c>
      <c r="LI64" s="2" t="str">
        <f>IF('Data Checking'!LU64="","",'Data Checking'!LU64)</f>
        <v/>
      </c>
      <c r="LJ64" s="2" t="str">
        <f>IF('Data Checking'!LV64="","",'Data Checking'!LV64)</f>
        <v/>
      </c>
      <c r="LK64" s="2" t="str">
        <f>IF('Data Checking'!LW64="","",'Data Checking'!LW64)</f>
        <v/>
      </c>
      <c r="LL64" s="2" t="str">
        <f>IF('Data Checking'!LX64="","",'Data Checking'!LX64)</f>
        <v/>
      </c>
      <c r="LM64" s="2" t="str">
        <f>IF('Data Checking'!LY64="","",'Data Checking'!LY64)</f>
        <v/>
      </c>
      <c r="LN64" s="2" t="str">
        <f>IF('Data Checking'!LZ64="","",'Data Checking'!LZ64)</f>
        <v/>
      </c>
      <c r="LO64" s="2" t="str">
        <f>IF('Data Checking'!MA64="","",'Data Checking'!MA64)</f>
        <v/>
      </c>
      <c r="LP64" s="2" t="str">
        <f>IF('Data Checking'!MB64="","",'Data Checking'!MB64)</f>
        <v>oui</v>
      </c>
      <c r="LQ64" s="2" t="str">
        <f>IF('Data Checking'!MC64="","",'Data Checking'!MC64)</f>
        <v/>
      </c>
      <c r="LR64" s="2" t="str">
        <f>IF('Data Checking'!MD64="","",'Data Checking'!MD64)</f>
        <v/>
      </c>
      <c r="LS64" s="2">
        <f>IF('Data Checking'!ME64="","",'Data Checking'!ME64)</f>
        <v>169365590</v>
      </c>
      <c r="LT64" s="2" t="str">
        <f>IF('Data Checking'!MF64="","",'Data Checking'!MF64)</f>
        <v>76d87426-db08-4fc3-aaa5-2543b6b57761</v>
      </c>
      <c r="LU64" s="2" t="str">
        <f>IF('Data Checking'!MG64="","",'Data Checking'!MG64)</f>
        <v>2021-04-03T00:04:39</v>
      </c>
      <c r="LV64" s="2" t="str">
        <f>IF('Data Checking'!MH64="","",'Data Checking'!MH64)</f>
        <v/>
      </c>
      <c r="LW64" s="2" t="str">
        <f>IF('Data Checking'!MI64="","",'Data Checking'!MI64)</f>
        <v>[]</v>
      </c>
      <c r="LX64" s="2" t="str">
        <f>IF('Data Checking'!MJ64="","",'Data Checking'!MJ64)</f>
        <v>submitted_via_web</v>
      </c>
      <c r="LY64" s="2" t="str">
        <f>IF('Data Checking'!MK64="","",'Data Checking'!MK64)</f>
        <v>reach_niger</v>
      </c>
      <c r="LZ64" s="2" t="str">
        <f>IF('Data Checking'!ML64="","",'Data Checking'!ML64)</f>
        <v/>
      </c>
      <c r="MA64" s="2">
        <f>IF('Data Checking'!MM64="","",'Data Checking'!MM64)</f>
        <v>35</v>
      </c>
    </row>
    <row r="65" spans="1:339" x14ac:dyDescent="0.3">
      <c r="A65" s="2" t="str">
        <f>IF('Data Checking'!D65="","",'Data Checking'!D65)</f>
        <v>2021-04-08T19:34:32.483+01:00</v>
      </c>
      <c r="B65" s="2" t="str">
        <f>IF('Data Checking'!E65="","",'Data Checking'!E65)</f>
        <v>2021-04-08T19:51:31.225+01:00</v>
      </c>
      <c r="C65" s="2" t="str">
        <f>IF('Data Checking'!M65="","",'Data Checking'!M65)</f>
        <v>2021-04-08</v>
      </c>
      <c r="D65" s="2" t="str">
        <f>IF('Data Checking'!N65="","",'Data Checking'!N65)</f>
        <v/>
      </c>
      <c r="E65" s="2" t="str">
        <f>IF('Data Checking'!O65="","",'Data Checking'!O65)</f>
        <v/>
      </c>
      <c r="F65" s="2" t="str">
        <f>IF('Data Checking'!R65="","",'Data Checking'!R65)</f>
        <v>Homme</v>
      </c>
      <c r="G65" s="2" t="str">
        <f>IF('Data Checking'!S65="","",'Data Checking'!S65)</f>
        <v>banibangou</v>
      </c>
      <c r="H65" s="2" t="str">
        <f>IF('Data Checking'!T65="","",'Data Checking'!T65)</f>
        <v>banibangou</v>
      </c>
      <c r="I65" s="2" t="str">
        <f>IF('Data Checking'!U65="","",'Data Checking'!U65)</f>
        <v>autre</v>
      </c>
      <c r="J65" s="2" t="str">
        <f>IF('Data Checking'!V65="","",'Data Checking'!V65)</f>
        <v>Tous les sites PDI de la zone de compétence de l'IC</v>
      </c>
      <c r="K65" s="2" t="str">
        <f>IF('Data Checking'!W65="","",'Data Checking'!W65)</f>
        <v/>
      </c>
      <c r="L65" s="2" t="str">
        <f>IF('Data Checking'!X65="","",'Data Checking'!X65)</f>
        <v/>
      </c>
      <c r="M65" s="2" t="str">
        <f>IF('Data Checking'!Y65="","",'Data Checking'!Y65)</f>
        <v/>
      </c>
      <c r="N65" s="2" t="str">
        <f>IF('Data Checking'!Z65="","",'Data Checking'!Z65)</f>
        <v/>
      </c>
      <c r="O65" s="2" t="str">
        <f>IF('Data Checking'!AA65="","",'Data Checking'!AA65)</f>
        <v/>
      </c>
      <c r="P65" s="2" t="str">
        <f>IF('Data Checking'!AB65="","",'Data Checking'!AB65)</f>
        <v/>
      </c>
      <c r="Q65" s="2" t="str">
        <f>IF('Data Checking'!AC65="","",'Data Checking'!AC65)</f>
        <v/>
      </c>
      <c r="R65" s="2" t="str">
        <f>IF('Data Checking'!AD65="","",'Data Checking'!AD65)</f>
        <v>Homme</v>
      </c>
      <c r="S65" s="2" t="str">
        <f>IF('Data Checking'!AE65="","",'Data Checking'!AE65)</f>
        <v>49</v>
      </c>
      <c r="T65" s="2" t="str">
        <f>IF('Data Checking'!AF65="","",'Data Checking'!AF65)</f>
        <v>deplace_interne</v>
      </c>
      <c r="U65" s="2" t="str">
        <f>IF('Data Checking'!AG65="","",'Data Checking'!AG65)</f>
        <v/>
      </c>
      <c r="V65" s="2" t="str">
        <f>IF('Data Checking'!AH65="","",'Data Checking'!AH65)</f>
        <v/>
      </c>
      <c r="W65" s="2" t="str">
        <f>IF('Data Checking'!AI65="","",'Data Checking'!AI65)</f>
        <v/>
      </c>
      <c r="X65" s="2" t="str">
        <f>IF('Data Checking'!AJ65="","",'Data Checking'!AJ65)</f>
        <v/>
      </c>
      <c r="Y65" s="2" t="str">
        <f>IF('Data Checking'!AK65="","",'Data Checking'!AK65)</f>
        <v/>
      </c>
      <c r="Z65" s="2" t="str">
        <f>IF('Data Checking'!AL65="","",'Data Checking'!AL65)</f>
        <v>niger</v>
      </c>
      <c r="AA65" s="2" t="str">
        <f>IF('Data Checking'!AM65="","",'Data Checking'!AM65)</f>
        <v>tillaberi</v>
      </c>
      <c r="AB65" s="2" t="str">
        <f>IF('Data Checking'!AN65="","",'Data Checking'!AN65)</f>
        <v>banibangou</v>
      </c>
      <c r="AC65" s="2" t="str">
        <f>IF('Data Checking'!AO65="","",'Data Checking'!AO65)</f>
        <v/>
      </c>
      <c r="AD65" s="2" t="str">
        <f>IF('Data Checking'!AP65="","",'Data Checking'!AP65)</f>
        <v/>
      </c>
      <c r="AE65" s="2" t="str">
        <f>IF('Data Checking'!AQ65="","",'Data Checking'!AQ65)</f>
        <v/>
      </c>
      <c r="AF65" s="2" t="str">
        <f>IF('Data Checking'!AR65="","",'Data Checking'!AR65)</f>
        <v/>
      </c>
      <c r="AG65" s="2" t="str">
        <f>IF('Data Checking'!AS65="","",'Data Checking'!AS65)</f>
        <v>non</v>
      </c>
      <c r="AH65" s="2" t="str">
        <f>IF('Data Checking'!AT65="","",'Data Checking'!AT65)</f>
        <v/>
      </c>
      <c r="AI65" s="2" t="str">
        <f>IF('Data Checking'!AU65="","",'Data Checking'!AU65)</f>
        <v/>
      </c>
      <c r="AJ65" s="2" t="str">
        <f>IF('Data Checking'!AV65="","",'Data Checking'!AV65)</f>
        <v/>
      </c>
      <c r="AK65" s="2" t="str">
        <f>IF('Data Checking'!AW65="","",'Data Checking'!AW65)</f>
        <v/>
      </c>
      <c r="AL65" s="2" t="str">
        <f>IF('Data Checking'!AX65="","",'Data Checking'!AX65)</f>
        <v/>
      </c>
      <c r="AM65" s="2" t="str">
        <f>IF('Data Checking'!AY65="","",'Data Checking'!AY65)</f>
        <v/>
      </c>
      <c r="AN65" s="2" t="str">
        <f>IF('Data Checking'!AZ65="","",'Data Checking'!AZ65)</f>
        <v/>
      </c>
      <c r="AO65" s="2" t="str">
        <f>IF('Data Checking'!BA65="","",'Data Checking'!BA65)</f>
        <v/>
      </c>
      <c r="AP65" s="2" t="str">
        <f>IF('Data Checking'!BB65="","",'Data Checking'!BB65)</f>
        <v/>
      </c>
      <c r="AQ65" s="2" t="str">
        <f>IF('Data Checking'!BC65="","",'Data Checking'!BC65)</f>
        <v/>
      </c>
      <c r="AR65" s="2" t="str">
        <f>IF('Data Checking'!BD65="","",'Data Checking'!BD65)</f>
        <v/>
      </c>
      <c r="AS65" s="2" t="str">
        <f>IF('Data Checking'!BE65="","",'Data Checking'!BE65)</f>
        <v/>
      </c>
      <c r="AT65" s="2" t="str">
        <f>IF('Data Checking'!BF65="","",'Data Checking'!BF65)</f>
        <v/>
      </c>
      <c r="AU65" s="2" t="str">
        <f>IF('Data Checking'!BG65="","",'Data Checking'!BG65)</f>
        <v/>
      </c>
      <c r="AV65" s="2" t="str">
        <f>IF('Data Checking'!BH65="","",'Data Checking'!BH65)</f>
        <v/>
      </c>
      <c r="AW65" s="2" t="str">
        <f>IF('Data Checking'!BI65="","",'Data Checking'!BI65)</f>
        <v/>
      </c>
      <c r="AX65" s="2" t="str">
        <f>IF('Data Checking'!BJ65="","",'Data Checking'!BJ65)</f>
        <v/>
      </c>
      <c r="AY65" s="2" t="str">
        <f>IF('Data Checking'!BK65="","",'Data Checking'!BK65)</f>
        <v/>
      </c>
      <c r="AZ65" s="2" t="str">
        <f>IF('Data Checking'!BL65="","",'Data Checking'!BL65)</f>
        <v/>
      </c>
      <c r="BA65" s="2" t="str">
        <f>IF('Data Checking'!BM65="","",'Data Checking'!BM65)</f>
        <v/>
      </c>
      <c r="BB65" s="2" t="str">
        <f>IF('Data Checking'!BN65="","",'Data Checking'!BN65)</f>
        <v/>
      </c>
      <c r="BC65" s="2" t="str">
        <f>IF('Data Checking'!BO65="","",'Data Checking'!BO65)</f>
        <v/>
      </c>
      <c r="BD65" s="2" t="str">
        <f>IF('Data Checking'!BP65="","",'Data Checking'!BP65)</f>
        <v/>
      </c>
      <c r="BE65" s="2" t="str">
        <f>IF('Data Checking'!BQ65="","",'Data Checking'!BQ65)</f>
        <v/>
      </c>
      <c r="BF65" s="2" t="str">
        <f>IF('Data Checking'!BR65="","",'Data Checking'!BR65)</f>
        <v/>
      </c>
      <c r="BG65" s="2" t="str">
        <f>IF('Data Checking'!BS65="","",'Data Checking'!BS65)</f>
        <v/>
      </c>
      <c r="BH65" s="2" t="str">
        <f>IF('Data Checking'!BT65="","",'Data Checking'!BT65)</f>
        <v/>
      </c>
      <c r="BI65" s="2" t="str">
        <f>IF('Data Checking'!BU65="","",'Data Checking'!BU65)</f>
        <v/>
      </c>
      <c r="BJ65" s="2" t="str">
        <f>IF('Data Checking'!BV65="","",'Data Checking'!BV65)</f>
        <v/>
      </c>
      <c r="BK65" s="2" t="str">
        <f>IF('Data Checking'!BW65="","",'Data Checking'!BW65)</f>
        <v/>
      </c>
      <c r="BL65" s="2" t="str">
        <f>IF('Data Checking'!BX65="","",'Data Checking'!BX65)</f>
        <v/>
      </c>
      <c r="BM65" s="2" t="str">
        <f>IF('Data Checking'!BY65="","",'Data Checking'!BY65)</f>
        <v/>
      </c>
      <c r="BN65" s="2" t="str">
        <f>IF('Data Checking'!BZ65="","",'Data Checking'!BZ65)</f>
        <v/>
      </c>
      <c r="BO65" s="2" t="str">
        <f>IF('Data Checking'!CA65="","",'Data Checking'!CA65)</f>
        <v/>
      </c>
      <c r="BP65" s="2" t="str">
        <f>IF('Data Checking'!CB65="","",'Data Checking'!CB65)</f>
        <v/>
      </c>
      <c r="BQ65" s="2" t="str">
        <f>IF('Data Checking'!CC65="","",'Data Checking'!CC65)</f>
        <v>non</v>
      </c>
      <c r="BR65" s="2" t="str">
        <f>IF('Data Checking'!CD65="","",'Data Checking'!CD65)</f>
        <v/>
      </c>
      <c r="BS65" s="2" t="str">
        <f>IF('Data Checking'!CE65="","",'Data Checking'!CE65)</f>
        <v/>
      </c>
      <c r="BT65" s="2" t="str">
        <f>IF('Data Checking'!CF65="","",'Data Checking'!CF65)</f>
        <v/>
      </c>
      <c r="BU65" s="2" t="str">
        <f>IF('Data Checking'!CG65="","",'Data Checking'!CG65)</f>
        <v/>
      </c>
      <c r="BV65" s="2" t="str">
        <f>IF('Data Checking'!CH65="","",'Data Checking'!CH65)</f>
        <v/>
      </c>
      <c r="BW65" s="2" t="str">
        <f>IF('Data Checking'!CI65="","",'Data Checking'!CI65)</f>
        <v/>
      </c>
      <c r="BX65" s="2" t="str">
        <f>IF('Data Checking'!CJ65="","",'Data Checking'!CJ65)</f>
        <v/>
      </c>
      <c r="BY65" s="2" t="str">
        <f>IF('Data Checking'!CK65="","",'Data Checking'!CK65)</f>
        <v/>
      </c>
      <c r="BZ65" s="2" t="str">
        <f>IF('Data Checking'!CL65="","",'Data Checking'!CL65)</f>
        <v/>
      </c>
      <c r="CA65" s="2" t="str">
        <f>IF('Data Checking'!CM65="","",'Data Checking'!CM65)</f>
        <v/>
      </c>
      <c r="CB65" s="2" t="str">
        <f>IF('Data Checking'!CN65="","",'Data Checking'!CN65)</f>
        <v/>
      </c>
      <c r="CC65" s="2" t="str">
        <f>IF('Data Checking'!CO65="","",'Data Checking'!CO65)</f>
        <v/>
      </c>
      <c r="CD65" s="2" t="str">
        <f>IF('Data Checking'!CP65="","",'Data Checking'!CP65)</f>
        <v/>
      </c>
      <c r="CE65" s="2" t="str">
        <f>IF('Data Checking'!CQ65="","",'Data Checking'!CQ65)</f>
        <v/>
      </c>
      <c r="CF65" s="2" t="str">
        <f>IF('Data Checking'!CR65="","",'Data Checking'!CR65)</f>
        <v/>
      </c>
      <c r="CG65" s="2" t="str">
        <f>IF('Data Checking'!CS65="","",'Data Checking'!CS65)</f>
        <v/>
      </c>
      <c r="CH65" s="2" t="str">
        <f>IF('Data Checking'!CT65="","",'Data Checking'!CT65)</f>
        <v/>
      </c>
      <c r="CI65" s="2" t="str">
        <f>IF('Data Checking'!CU65="","",'Data Checking'!CU65)</f>
        <v/>
      </c>
      <c r="CJ65" s="2" t="str">
        <f>IF('Data Checking'!CV65="","",'Data Checking'!CV65)</f>
        <v/>
      </c>
      <c r="CK65" s="2" t="str">
        <f>IF('Data Checking'!CW65="","",'Data Checking'!CW65)</f>
        <v/>
      </c>
      <c r="CL65" s="2" t="str">
        <f>IF('Data Checking'!CX65="","",'Data Checking'!CX65)</f>
        <v/>
      </c>
      <c r="CM65" s="2" t="str">
        <f>IF('Data Checking'!CY65="","",'Data Checking'!CY65)</f>
        <v/>
      </c>
      <c r="CN65" s="2" t="str">
        <f>IF('Data Checking'!CZ65="","",'Data Checking'!CZ65)</f>
        <v/>
      </c>
      <c r="CO65" s="2" t="str">
        <f>IF('Data Checking'!DA65="","",'Data Checking'!DA65)</f>
        <v/>
      </c>
      <c r="CP65" s="2" t="str">
        <f>IF('Data Checking'!DB65="","",'Data Checking'!DB65)</f>
        <v/>
      </c>
      <c r="CQ65" s="2" t="str">
        <f>IF('Data Checking'!DC65="","",'Data Checking'!DC65)</f>
        <v/>
      </c>
      <c r="CR65" s="2" t="str">
        <f>IF('Data Checking'!DD65="","",'Data Checking'!DD65)</f>
        <v/>
      </c>
      <c r="CS65" s="2" t="str">
        <f>IF('Data Checking'!DE65="","",'Data Checking'!DE65)</f>
        <v/>
      </c>
      <c r="CT65" s="2" t="str">
        <f>IF('Data Checking'!DF65="","",'Data Checking'!DF65)</f>
        <v/>
      </c>
      <c r="CU65" s="2" t="str">
        <f>IF('Data Checking'!DG65="","",'Data Checking'!DG65)</f>
        <v/>
      </c>
      <c r="CV65" s="2" t="str">
        <f>IF('Data Checking'!DH65="","",'Data Checking'!DH65)</f>
        <v/>
      </c>
      <c r="CW65" s="2" t="str">
        <f>IF('Data Checking'!DI65="","",'Data Checking'!DI65)</f>
        <v/>
      </c>
      <c r="CX65" s="2" t="str">
        <f>IF('Data Checking'!DJ65="","",'Data Checking'!DJ65)</f>
        <v/>
      </c>
      <c r="CY65" s="2" t="str">
        <f>IF('Data Checking'!DK65="","",'Data Checking'!DK65)</f>
        <v/>
      </c>
      <c r="CZ65" s="2" t="str">
        <f>IF('Data Checking'!DL65="","",'Data Checking'!DL65)</f>
        <v/>
      </c>
      <c r="DA65" s="2" t="str">
        <f>IF('Data Checking'!DM65="","",'Data Checking'!DM65)</f>
        <v/>
      </c>
      <c r="DB65" s="2" t="str">
        <f>IF('Data Checking'!DN65="","",'Data Checking'!DN65)</f>
        <v/>
      </c>
      <c r="DC65" s="2" t="str">
        <f>IF('Data Checking'!DO65="","",'Data Checking'!DO65)</f>
        <v/>
      </c>
      <c r="DD65" s="2" t="str">
        <f>IF('Data Checking'!DP65="","",'Data Checking'!DP65)</f>
        <v/>
      </c>
      <c r="DE65" s="2" t="str">
        <f>IF('Data Checking'!DQ65="","",'Data Checking'!DQ65)</f>
        <v/>
      </c>
      <c r="DF65" s="2" t="str">
        <f>IF('Data Checking'!DR65="","",'Data Checking'!DR65)</f>
        <v/>
      </c>
      <c r="DG65" s="2" t="str">
        <f>IF('Data Checking'!DS65="","",'Data Checking'!DS65)</f>
        <v/>
      </c>
      <c r="DH65" s="2" t="str">
        <f>IF('Data Checking'!DT65="","",'Data Checking'!DT65)</f>
        <v/>
      </c>
      <c r="DI65" s="2" t="str">
        <f>IF('Data Checking'!DU65="","",'Data Checking'!DU65)</f>
        <v/>
      </c>
      <c r="DJ65" s="2" t="str">
        <f>IF('Data Checking'!DV65="","",'Data Checking'!DV65)</f>
        <v/>
      </c>
      <c r="DK65" s="2" t="str">
        <f>IF('Data Checking'!DW65="","",'Data Checking'!DW65)</f>
        <v/>
      </c>
      <c r="DL65" s="2" t="str">
        <f>IF('Data Checking'!DX65="","",'Data Checking'!DX65)</f>
        <v/>
      </c>
      <c r="DM65" s="2" t="str">
        <f>IF('Data Checking'!DY65="","",'Data Checking'!DY65)</f>
        <v/>
      </c>
      <c r="DN65" s="2" t="str">
        <f>IF('Data Checking'!DZ65="","",'Data Checking'!DZ65)</f>
        <v/>
      </c>
      <c r="DO65" s="2" t="str">
        <f>IF('Data Checking'!EA65="","",'Data Checking'!EA65)</f>
        <v/>
      </c>
      <c r="DP65" s="2" t="str">
        <f>IF('Data Checking'!EB65="","",'Data Checking'!EB65)</f>
        <v/>
      </c>
      <c r="DQ65" s="2" t="str">
        <f>IF('Data Checking'!EC65="","",'Data Checking'!EC65)</f>
        <v/>
      </c>
      <c r="DR65" s="2" t="str">
        <f>IF('Data Checking'!ED65="","",'Data Checking'!ED65)</f>
        <v/>
      </c>
      <c r="DS65" s="2" t="str">
        <f>IF('Data Checking'!EE65="","",'Data Checking'!EE65)</f>
        <v/>
      </c>
      <c r="DT65" s="2" t="str">
        <f>IF('Data Checking'!EF65="","",'Data Checking'!EF65)</f>
        <v/>
      </c>
      <c r="DU65" s="2" t="str">
        <f>IF('Data Checking'!EG65="","",'Data Checking'!EG65)</f>
        <v/>
      </c>
      <c r="DV65" s="2" t="str">
        <f>IF('Data Checking'!EH65="","",'Data Checking'!EH65)</f>
        <v/>
      </c>
      <c r="DW65" s="2" t="str">
        <f>IF('Data Checking'!EI65="","",'Data Checking'!EI65)</f>
        <v/>
      </c>
      <c r="DX65" s="2" t="str">
        <f>IF('Data Checking'!EJ65="","",'Data Checking'!EJ65)</f>
        <v/>
      </c>
      <c r="DY65" s="2" t="str">
        <f>IF('Data Checking'!EK65="","",'Data Checking'!EK65)</f>
        <v/>
      </c>
      <c r="DZ65" s="2" t="str">
        <f>IF('Data Checking'!EL65="","",'Data Checking'!EL65)</f>
        <v>dplct_abords_com Soutien_famille_amis</v>
      </c>
      <c r="EA65" s="2" t="str">
        <f>IF('Data Checking'!EM65="","",'Data Checking'!EM65)</f>
        <v>1</v>
      </c>
      <c r="EB65" s="2" t="str">
        <f>IF('Data Checking'!EN65="","",'Data Checking'!EN65)</f>
        <v>0</v>
      </c>
      <c r="EC65" s="2" t="str">
        <f>IF('Data Checking'!EO65="","",'Data Checking'!EO65)</f>
        <v>1</v>
      </c>
      <c r="ED65" s="2" t="str">
        <f>IF('Data Checking'!EP65="","",'Data Checking'!EP65)</f>
        <v>0</v>
      </c>
      <c r="EE65" s="2" t="str">
        <f>IF('Data Checking'!EQ65="","",'Data Checking'!EQ65)</f>
        <v>0</v>
      </c>
      <c r="EF65" s="2" t="str">
        <f>IF('Data Checking'!ER65="","",'Data Checking'!ER65)</f>
        <v>0</v>
      </c>
      <c r="EG65" s="2" t="str">
        <f>IF('Data Checking'!ES65="","",'Data Checking'!ES65)</f>
        <v>0</v>
      </c>
      <c r="EH65" s="2" t="str">
        <f>IF('Data Checking'!ET65="","",'Data Checking'!ET65)</f>
        <v>0</v>
      </c>
      <c r="EI65" s="2" t="str">
        <f>IF('Data Checking'!EU65="","",'Data Checking'!EU65)</f>
        <v>0</v>
      </c>
      <c r="EJ65" s="2" t="str">
        <f>IF('Data Checking'!EV65="","",'Data Checking'!EV65)</f>
        <v/>
      </c>
      <c r="EK65" s="2" t="str">
        <f>IF('Data Checking'!EW65="","",'Data Checking'!EW65)</f>
        <v/>
      </c>
      <c r="EL65" s="2" t="str">
        <f>IF('Data Checking'!EX65="","",'Data Checking'!EX65)</f>
        <v>comite_protection famille_accueil comite_alerte</v>
      </c>
      <c r="EM65" s="2" t="str">
        <f>IF('Data Checking'!EY65="","",'Data Checking'!EY65)</f>
        <v>0</v>
      </c>
      <c r="EN65" s="2" t="str">
        <f>IF('Data Checking'!EZ65="","",'Data Checking'!EZ65)</f>
        <v>1</v>
      </c>
      <c r="EO65" s="2" t="str">
        <f>IF('Data Checking'!FA65="","",'Data Checking'!FA65)</f>
        <v>1</v>
      </c>
      <c r="EP65" s="2" t="str">
        <f>IF('Data Checking'!FB65="","",'Data Checking'!FB65)</f>
        <v>1</v>
      </c>
      <c r="EQ65" s="2" t="str">
        <f>IF('Data Checking'!FC65="","",'Data Checking'!FC65)</f>
        <v>0</v>
      </c>
      <c r="ER65" s="2" t="str">
        <f>IF('Data Checking'!FD65="","",'Data Checking'!FD65)</f>
        <v>0</v>
      </c>
      <c r="ES65" s="2" t="str">
        <f>IF('Data Checking'!FE65="","",'Data Checking'!FE65)</f>
        <v>0</v>
      </c>
      <c r="ET65" s="2" t="str">
        <f>IF('Data Checking'!FF65="","",'Data Checking'!FF65)</f>
        <v>0</v>
      </c>
      <c r="EU65" s="2" t="str">
        <f>IF('Data Checking'!FG65="","",'Data Checking'!FG65)</f>
        <v>0</v>
      </c>
      <c r="EV65" s="2" t="str">
        <f>IF('Data Checking'!FH65="","",'Data Checking'!FH65)</f>
        <v>0</v>
      </c>
      <c r="EW65" s="2" t="str">
        <f>IF('Data Checking'!FI65="","",'Data Checking'!FI65)</f>
        <v/>
      </c>
      <c r="EX65" s="2" t="str">
        <f>IF('Data Checking'!FJ65="","",'Data Checking'!FJ65)</f>
        <v>oui</v>
      </c>
      <c r="EY65" s="2" t="str">
        <f>IF('Data Checking'!FK65="","",'Data Checking'!FK65)</f>
        <v>famille_amis manif_sociales Travailleurs_sociaux/hum</v>
      </c>
      <c r="EZ65" s="2" t="str">
        <f>IF('Data Checking'!FL65="","",'Data Checking'!FL65)</f>
        <v>0</v>
      </c>
      <c r="FA65" s="2" t="str">
        <f>IF('Data Checking'!FM65="","",'Data Checking'!FM65)</f>
        <v>0</v>
      </c>
      <c r="FB65" s="2" t="str">
        <f>IF('Data Checking'!FN65="","",'Data Checking'!FN65)</f>
        <v>0</v>
      </c>
      <c r="FC65" s="2" t="str">
        <f>IF('Data Checking'!FO65="","",'Data Checking'!FO65)</f>
        <v>1</v>
      </c>
      <c r="FD65" s="2" t="str">
        <f>IF('Data Checking'!FP65="","",'Data Checking'!FP65)</f>
        <v>0</v>
      </c>
      <c r="FE65" s="2" t="str">
        <f>IF('Data Checking'!FQ65="","",'Data Checking'!FQ65)</f>
        <v>1</v>
      </c>
      <c r="FF65" s="2" t="str">
        <f>IF('Data Checking'!FR65="","",'Data Checking'!FR65)</f>
        <v>0</v>
      </c>
      <c r="FG65" s="2" t="str">
        <f>IF('Data Checking'!FS65="","",'Data Checking'!FS65)</f>
        <v>0</v>
      </c>
      <c r="FH65" s="2" t="str">
        <f>IF('Data Checking'!FT65="","",'Data Checking'!FT65)</f>
        <v>0</v>
      </c>
      <c r="FI65" s="2" t="str">
        <f>IF('Data Checking'!FU65="","",'Data Checking'!FU65)</f>
        <v>0</v>
      </c>
      <c r="FJ65" s="2" t="str">
        <f>IF('Data Checking'!FV65="","",'Data Checking'!FV65)</f>
        <v>1</v>
      </c>
      <c r="FK65" s="2" t="str">
        <f>IF('Data Checking'!FW65="","",'Data Checking'!FW65)</f>
        <v>0</v>
      </c>
      <c r="FL65" s="2">
        <f>IF('Data Checking'!FX65="","",'Data Checking'!FX65)</f>
        <v>0</v>
      </c>
      <c r="FM65" s="2" t="str">
        <f>IF('Data Checking'!FY65="","",'Data Checking'!FY65)</f>
        <v>0</v>
      </c>
      <c r="FN65" s="2" t="str">
        <f>IF('Data Checking'!FZ65="","",'Data Checking'!FZ65)</f>
        <v/>
      </c>
      <c r="FO65" s="2" t="str">
        <f>IF('Data Checking'!GA65="","",'Data Checking'!GA65)</f>
        <v>oui_ensemble</v>
      </c>
      <c r="FP65" s="2" t="str">
        <f>IF('Data Checking'!GB65="","",'Data Checking'!GB65)</f>
        <v>oui_ensemble</v>
      </c>
      <c r="FQ65" s="2" t="str">
        <f>IF('Data Checking'!GC65="","",'Data Checking'!GC65)</f>
        <v/>
      </c>
      <c r="FR65" s="2" t="str">
        <f>IF('Data Checking'!GD65="","",'Data Checking'!GD65)</f>
        <v/>
      </c>
      <c r="FS65" s="2" t="str">
        <f>IF('Data Checking'!GE65="","",'Data Checking'!GE65)</f>
        <v/>
      </c>
      <c r="FT65" s="2" t="str">
        <f>IF('Data Checking'!GF65="","",'Data Checking'!GF65)</f>
        <v/>
      </c>
      <c r="FU65" s="2" t="str">
        <f>IF('Data Checking'!GG65="","",'Data Checking'!GG65)</f>
        <v/>
      </c>
      <c r="FV65" s="2" t="str">
        <f>IF('Data Checking'!GH65="","",'Data Checking'!GH65)</f>
        <v/>
      </c>
      <c r="FW65" s="2" t="str">
        <f>IF('Data Checking'!GI65="","",'Data Checking'!GI65)</f>
        <v/>
      </c>
      <c r="FX65" s="2" t="str">
        <f>IF('Data Checking'!GJ65="","",'Data Checking'!GJ65)</f>
        <v/>
      </c>
      <c r="FY65" s="2" t="str">
        <f>IF('Data Checking'!GK65="","",'Data Checking'!GK65)</f>
        <v/>
      </c>
      <c r="FZ65" s="2" t="str">
        <f>IF('Data Checking'!GL65="","",'Data Checking'!GL65)</f>
        <v/>
      </c>
      <c r="GA65" s="2" t="str">
        <f>IF('Data Checking'!GM65="","",'Data Checking'!GM65)</f>
        <v>ensemble</v>
      </c>
      <c r="GB65" s="2" t="str">
        <f>IF('Data Checking'!GN65="","",'Data Checking'!GN65)</f>
        <v>ensemble</v>
      </c>
      <c r="GC65" s="2" t="str">
        <f>IF('Data Checking'!GO65="","",'Data Checking'!GO65)</f>
        <v>Education Services_de_sante Appui_psychosocial</v>
      </c>
      <c r="GD65" s="2" t="str">
        <f>IF('Data Checking'!GP65="","",'Data Checking'!GP65)</f>
        <v>1</v>
      </c>
      <c r="GE65" s="2" t="str">
        <f>IF('Data Checking'!GQ65="","",'Data Checking'!GQ65)</f>
        <v>1</v>
      </c>
      <c r="GF65" s="2" t="str">
        <f>IF('Data Checking'!GR65="","",'Data Checking'!GR65)</f>
        <v>0</v>
      </c>
      <c r="GG65" s="2" t="str">
        <f>IF('Data Checking'!GS65="","",'Data Checking'!GS65)</f>
        <v>1</v>
      </c>
      <c r="GH65" s="2" t="str">
        <f>IF('Data Checking'!GT65="","",'Data Checking'!GT65)</f>
        <v>0</v>
      </c>
      <c r="GI65" s="2" t="str">
        <f>IF('Data Checking'!GU65="","",'Data Checking'!GU65)</f>
        <v>0</v>
      </c>
      <c r="GJ65" s="2" t="str">
        <f>IF('Data Checking'!GV65="","",'Data Checking'!GV65)</f>
        <v>0</v>
      </c>
      <c r="GK65" s="2" t="str">
        <f>IF('Data Checking'!GW65="","",'Data Checking'!GW65)</f>
        <v>0</v>
      </c>
      <c r="GL65" s="2" t="str">
        <f>IF('Data Checking'!GX65="","",'Data Checking'!GX65)</f>
        <v>0</v>
      </c>
      <c r="GM65" s="2" t="str">
        <f>IF('Data Checking'!GY65="","",'Data Checking'!GY65)</f>
        <v/>
      </c>
      <c r="GN65" s="2" t="str">
        <f>IF('Data Checking'!GZ65="","",'Data Checking'!GZ65)</f>
        <v>oui_ensemble</v>
      </c>
      <c r="GO65" s="2" t="str">
        <f>IF('Data Checking'!HA65="","",'Data Checking'!HA65)</f>
        <v>oui_ensemble</v>
      </c>
      <c r="GP65" s="2" t="str">
        <f>IF('Data Checking'!HB65="","",'Data Checking'!HB65)</f>
        <v>repond_besoins_pop amelioration_futur</v>
      </c>
      <c r="GQ65" s="2" t="str">
        <f>IF('Data Checking'!HC65="","",'Data Checking'!HC65)</f>
        <v>1</v>
      </c>
      <c r="GR65" s="2" t="str">
        <f>IF('Data Checking'!HD65="","",'Data Checking'!HD65)</f>
        <v>1</v>
      </c>
      <c r="GS65" s="2" t="str">
        <f>IF('Data Checking'!HE65="","",'Data Checking'!HE65)</f>
        <v>0</v>
      </c>
      <c r="GT65" s="2" t="str">
        <f>IF('Data Checking'!HF65="","",'Data Checking'!HF65)</f>
        <v>0</v>
      </c>
      <c r="GU65" s="2" t="str">
        <f>IF('Data Checking'!HG65="","",'Data Checking'!HG65)</f>
        <v>0</v>
      </c>
      <c r="GV65" s="2" t="str">
        <f>IF('Data Checking'!HH65="","",'Data Checking'!HH65)</f>
        <v>0</v>
      </c>
      <c r="GW65" s="2" t="str">
        <f>IF('Data Checking'!HI65="","",'Data Checking'!HI65)</f>
        <v>0</v>
      </c>
      <c r="GX65" s="2" t="str">
        <f>IF('Data Checking'!HJ65="","",'Data Checking'!HJ65)</f>
        <v>0</v>
      </c>
      <c r="GY65" s="2" t="str">
        <f>IF('Data Checking'!HK65="","",'Data Checking'!HK65)</f>
        <v/>
      </c>
      <c r="GZ65" s="2" t="str">
        <f>IF('Data Checking'!HL65="","",'Data Checking'!HL65)</f>
        <v/>
      </c>
      <c r="HA65" s="2" t="str">
        <f>IF('Data Checking'!HM65="","",'Data Checking'!HM65)</f>
        <v/>
      </c>
      <c r="HB65" s="2" t="str">
        <f>IF('Data Checking'!HN65="","",'Data Checking'!HN65)</f>
        <v/>
      </c>
      <c r="HC65" s="2" t="str">
        <f>IF('Data Checking'!HO65="","",'Data Checking'!HO65)</f>
        <v/>
      </c>
      <c r="HD65" s="2" t="str">
        <f>IF('Data Checking'!HP65="","",'Data Checking'!HP65)</f>
        <v/>
      </c>
      <c r="HE65" s="2" t="str">
        <f>IF('Data Checking'!HQ65="","",'Data Checking'!HQ65)</f>
        <v/>
      </c>
      <c r="HF65" s="2" t="str">
        <f>IF('Data Checking'!HR65="","",'Data Checking'!HR65)</f>
        <v/>
      </c>
      <c r="HG65" s="2" t="str">
        <f>IF('Data Checking'!HS65="","",'Data Checking'!HS65)</f>
        <v/>
      </c>
      <c r="HH65" s="2" t="str">
        <f>IF('Data Checking'!HT65="","",'Data Checking'!HT65)</f>
        <v/>
      </c>
      <c r="HI65" s="2" t="str">
        <f>IF('Data Checking'!HU65="","",'Data Checking'!HU65)</f>
        <v>non</v>
      </c>
      <c r="HJ65" s="2" t="str">
        <f>IF('Data Checking'!HV65="","",'Data Checking'!HV65)</f>
        <v/>
      </c>
      <c r="HK65" s="2" t="str">
        <f>IF('Data Checking'!HW65="","",'Data Checking'!HW65)</f>
        <v/>
      </c>
      <c r="HL65" s="2" t="str">
        <f>IF('Data Checking'!HX65="","",'Data Checking'!HX65)</f>
        <v/>
      </c>
      <c r="HM65" s="2" t="str">
        <f>IF('Data Checking'!HY65="","",'Data Checking'!HY65)</f>
        <v/>
      </c>
      <c r="HN65" s="2" t="str">
        <f>IF('Data Checking'!HZ65="","",'Data Checking'!HZ65)</f>
        <v/>
      </c>
      <c r="HO65" s="2" t="str">
        <f>IF('Data Checking'!IA65="","",'Data Checking'!IA65)</f>
        <v/>
      </c>
      <c r="HP65" s="2" t="str">
        <f>IF('Data Checking'!IB65="","",'Data Checking'!IB65)</f>
        <v/>
      </c>
      <c r="HQ65" s="2" t="str">
        <f>IF('Data Checking'!IC65="","",'Data Checking'!IC65)</f>
        <v/>
      </c>
      <c r="HR65" s="2" t="str">
        <f>IF('Data Checking'!ID65="","",'Data Checking'!ID65)</f>
        <v/>
      </c>
      <c r="HS65" s="2" t="str">
        <f>IF('Data Checking'!IE65="","",'Data Checking'!IE65)</f>
        <v/>
      </c>
      <c r="HT65" s="2" t="str">
        <f>IF('Data Checking'!IF65="","",'Data Checking'!IF65)</f>
        <v/>
      </c>
      <c r="HU65" s="2" t="str">
        <f>IF('Data Checking'!IG65="","",'Data Checking'!IG65)</f>
        <v/>
      </c>
      <c r="HV65" s="2" t="str">
        <f>IF('Data Checking'!IH65="","",'Data Checking'!IH65)</f>
        <v>oui</v>
      </c>
      <c r="HW65" s="2" t="str">
        <f>IF('Data Checking'!II65="","",'Data Checking'!II65)</f>
        <v/>
      </c>
      <c r="HX65" s="2" t="str">
        <f>IF('Data Checking'!IJ65="","",'Data Checking'!IJ65)</f>
        <v/>
      </c>
      <c r="HY65" s="2" t="str">
        <f>IF('Data Checking'!IK65="","",'Data Checking'!IK65)</f>
        <v/>
      </c>
      <c r="HZ65" s="2" t="str">
        <f>IF('Data Checking'!IL65="","",'Data Checking'!IL65)</f>
        <v/>
      </c>
      <c r="IA65" s="2" t="str">
        <f>IF('Data Checking'!IM65="","",'Data Checking'!IM65)</f>
        <v/>
      </c>
      <c r="IB65" s="2" t="str">
        <f>IF('Data Checking'!IN65="","",'Data Checking'!IN65)</f>
        <v/>
      </c>
      <c r="IC65" s="2" t="str">
        <f>IF('Data Checking'!IO65="","",'Data Checking'!IO65)</f>
        <v/>
      </c>
      <c r="ID65" s="2" t="str">
        <f>IF('Data Checking'!IP65="","",'Data Checking'!IP65)</f>
        <v/>
      </c>
      <c r="IE65" s="2" t="str">
        <f>IF('Data Checking'!IQ65="","",'Data Checking'!IQ65)</f>
        <v/>
      </c>
      <c r="IF65" s="2" t="str">
        <f>IF('Data Checking'!IR65="","",'Data Checking'!IR65)</f>
        <v/>
      </c>
      <c r="IG65" s="2" t="str">
        <f>IF('Data Checking'!IS65="","",'Data Checking'!IS65)</f>
        <v/>
      </c>
      <c r="IH65" s="2" t="str">
        <f>IF('Data Checking'!IT65="","",'Data Checking'!IT65)</f>
        <v/>
      </c>
      <c r="II65" s="2" t="str">
        <f>IF('Data Checking'!IU65="","",'Data Checking'!IU65)</f>
        <v/>
      </c>
      <c r="IJ65" s="2" t="str">
        <f>IF('Data Checking'!IV65="","",'Data Checking'!IV65)</f>
        <v/>
      </c>
      <c r="IK65" s="2" t="str">
        <f>IF('Data Checking'!IW65="","",'Data Checking'!IW65)</f>
        <v/>
      </c>
      <c r="IL65" s="2" t="str">
        <f>IF('Data Checking'!IX65="","",'Data Checking'!IX65)</f>
        <v/>
      </c>
      <c r="IM65" s="2" t="str">
        <f>IF('Data Checking'!IY65="","",'Data Checking'!IY65)</f>
        <v/>
      </c>
      <c r="IN65" s="2" t="str">
        <f>IF('Data Checking'!IZ65="","",'Data Checking'!IZ65)</f>
        <v>4</v>
      </c>
      <c r="IO65" s="2" t="str">
        <f>IF('Data Checking'!JA65="","",'Data Checking'!JA65)</f>
        <v>Services_educatifs</v>
      </c>
      <c r="IP65" s="2" t="str">
        <f>IF('Data Checking'!JB65="","",'Data Checking'!JB65)</f>
        <v>0</v>
      </c>
      <c r="IQ65" s="2" t="str">
        <f>IF('Data Checking'!JC65="","",'Data Checking'!JC65)</f>
        <v>0</v>
      </c>
      <c r="IR65" s="2" t="str">
        <f>IF('Data Checking'!JD65="","",'Data Checking'!JD65)</f>
        <v>1</v>
      </c>
      <c r="IS65" s="2" t="str">
        <f>IF('Data Checking'!JE65="","",'Data Checking'!JE65)</f>
        <v>0</v>
      </c>
      <c r="IT65" s="2" t="str">
        <f>IF('Data Checking'!JF65="","",'Data Checking'!JF65)</f>
        <v>0</v>
      </c>
      <c r="IU65" s="2" t="str">
        <f>IF('Data Checking'!JG65="","",'Data Checking'!JG65)</f>
        <v>0</v>
      </c>
      <c r="IV65" s="2" t="str">
        <f>IF('Data Checking'!JH65="","",'Data Checking'!JH65)</f>
        <v>0</v>
      </c>
      <c r="IW65" s="2" t="str">
        <f>IF('Data Checking'!JI65="","",'Data Checking'!JI65)</f>
        <v>0</v>
      </c>
      <c r="IX65" s="2" t="str">
        <f>IF('Data Checking'!JJ65="","",'Data Checking'!JJ65)</f>
        <v>0</v>
      </c>
      <c r="IY65" s="2" t="str">
        <f>IF('Data Checking'!JK65="","",'Data Checking'!JK65)</f>
        <v>0</v>
      </c>
      <c r="IZ65" s="2" t="str">
        <f>IF('Data Checking'!JL65="","",'Data Checking'!JL65)</f>
        <v/>
      </c>
      <c r="JA65" s="2" t="str">
        <f>IF('Data Checking'!JM65="","",'Data Checking'!JM65)</f>
        <v>prise_enchage reorientation</v>
      </c>
      <c r="JB65" s="2" t="str">
        <f>IF('Data Checking'!JN65="","",'Data Checking'!JN65)</f>
        <v>1</v>
      </c>
      <c r="JC65" s="2" t="str">
        <f>IF('Data Checking'!JO65="","",'Data Checking'!JO65)</f>
        <v>1</v>
      </c>
      <c r="JD65" s="2" t="str">
        <f>IF('Data Checking'!JP65="","",'Data Checking'!JP65)</f>
        <v>0</v>
      </c>
      <c r="JE65" s="2" t="str">
        <f>IF('Data Checking'!JQ65="","",'Data Checking'!JQ65)</f>
        <v>0</v>
      </c>
      <c r="JF65" s="2" t="str">
        <f>IF('Data Checking'!JR65="","",'Data Checking'!JR65)</f>
        <v>0</v>
      </c>
      <c r="JG65" s="2" t="str">
        <f>IF('Data Checking'!JS65="","",'Data Checking'!JS65)</f>
        <v>0</v>
      </c>
      <c r="JH65" s="2" t="str">
        <f>IF('Data Checking'!JT65="","",'Data Checking'!JT65)</f>
        <v/>
      </c>
      <c r="JI65" s="2" t="str">
        <f>IF('Data Checking'!JU65="","",'Data Checking'!JU65)</f>
        <v>point_ecoute Autre</v>
      </c>
      <c r="JJ65" s="2" t="str">
        <f>IF('Data Checking'!JV65="","",'Data Checking'!JV65)</f>
        <v>0</v>
      </c>
      <c r="JK65" s="2" t="str">
        <f>IF('Data Checking'!JW65="","",'Data Checking'!JW65)</f>
        <v>0</v>
      </c>
      <c r="JL65" s="2" t="str">
        <f>IF('Data Checking'!JX65="","",'Data Checking'!JX65)</f>
        <v>1</v>
      </c>
      <c r="JM65" s="2" t="str">
        <f>IF('Data Checking'!JY65="","",'Data Checking'!JY65)</f>
        <v>0</v>
      </c>
      <c r="JN65" s="2" t="str">
        <f>IF('Data Checking'!JZ65="","",'Data Checking'!JZ65)</f>
        <v>0</v>
      </c>
      <c r="JO65" s="2" t="str">
        <f>IF('Data Checking'!KA65="","",'Data Checking'!KA65)</f>
        <v>0</v>
      </c>
      <c r="JP65" s="2" t="str">
        <f>IF('Data Checking'!KB65="","",'Data Checking'!KB65)</f>
        <v>0</v>
      </c>
      <c r="JQ65" s="2" t="str">
        <f>IF('Data Checking'!KC65="","",'Data Checking'!KC65)</f>
        <v>1</v>
      </c>
      <c r="JR65" s="2" t="str">
        <f>IF('Data Checking'!KD65="","",'Data Checking'!KD65)</f>
        <v>0</v>
      </c>
      <c r="JS65" s="2" t="str">
        <f>IF('Data Checking'!KE65="","",'Data Checking'!KE65)</f>
        <v xml:space="preserve">Inscription dans une école </v>
      </c>
      <c r="JT65" s="2" t="str">
        <f>IF('Data Checking'!KF65="","",'Data Checking'!KF65)</f>
        <v>medical</v>
      </c>
      <c r="JU65" s="2" t="str">
        <f>IF('Data Checking'!KG65="","",'Data Checking'!KG65)</f>
        <v>1</v>
      </c>
      <c r="JV65" s="2" t="str">
        <f>IF('Data Checking'!KH65="","",'Data Checking'!KH65)</f>
        <v>0</v>
      </c>
      <c r="JW65" s="2" t="str">
        <f>IF('Data Checking'!KI65="","",'Data Checking'!KI65)</f>
        <v>0</v>
      </c>
      <c r="JX65" s="2" t="str">
        <f>IF('Data Checking'!KJ65="","",'Data Checking'!KJ65)</f>
        <v>0</v>
      </c>
      <c r="JY65" s="2" t="str">
        <f>IF('Data Checking'!KK65="","",'Data Checking'!KK65)</f>
        <v>0</v>
      </c>
      <c r="JZ65" s="2" t="str">
        <f>IF('Data Checking'!KL65="","",'Data Checking'!KL65)</f>
        <v>0</v>
      </c>
      <c r="KA65" s="2" t="str">
        <f>IF('Data Checking'!KM65="","",'Data Checking'!KM65)</f>
        <v>0</v>
      </c>
      <c r="KB65" s="2" t="str">
        <f>IF('Data Checking'!KN65="","",'Data Checking'!KN65)</f>
        <v>0</v>
      </c>
      <c r="KC65" s="2" t="str">
        <f>IF('Data Checking'!KO65="","",'Data Checking'!KO65)</f>
        <v>0</v>
      </c>
      <c r="KD65" s="2" t="str">
        <f>IF('Data Checking'!KP65="","",'Data Checking'!KP65)</f>
        <v/>
      </c>
      <c r="KE65" s="2" t="str">
        <f>IF('Data Checking'!KQ65="","",'Data Checking'!KQ65)</f>
        <v/>
      </c>
      <c r="KF65" s="2" t="str">
        <f>IF('Data Checking'!KR65="","",'Data Checking'!KR65)</f>
        <v>non</v>
      </c>
      <c r="KG65" s="2" t="str">
        <f>IF('Data Checking'!KS65="","",'Data Checking'!KS65)</f>
        <v/>
      </c>
      <c r="KH65" s="2" t="str">
        <f>IF('Data Checking'!KT65="","",'Data Checking'!KT65)</f>
        <v/>
      </c>
      <c r="KI65" s="2" t="str">
        <f>IF('Data Checking'!KU65="","",'Data Checking'!KU65)</f>
        <v/>
      </c>
      <c r="KJ65" s="2" t="str">
        <f>IF('Data Checking'!KV65="","",'Data Checking'!KV65)</f>
        <v/>
      </c>
      <c r="KK65" s="2" t="str">
        <f>IF('Data Checking'!KW65="","",'Data Checking'!KW65)</f>
        <v/>
      </c>
      <c r="KL65" s="2" t="str">
        <f>IF('Data Checking'!KX65="","",'Data Checking'!KX65)</f>
        <v/>
      </c>
      <c r="KM65" s="2" t="str">
        <f>IF('Data Checking'!KY65="","",'Data Checking'!KY65)</f>
        <v/>
      </c>
      <c r="KN65" s="2" t="str">
        <f>IF('Data Checking'!KZ65="","",'Data Checking'!KZ65)</f>
        <v/>
      </c>
      <c r="KO65" s="2" t="str">
        <f>IF('Data Checking'!LA65="","",'Data Checking'!LA65)</f>
        <v/>
      </c>
      <c r="KP65" s="2" t="str">
        <f>IF('Data Checking'!LB65="","",'Data Checking'!LB65)</f>
        <v/>
      </c>
      <c r="KQ65" s="2" t="str">
        <f>IF('Data Checking'!LC65="","",'Data Checking'!LC65)</f>
        <v/>
      </c>
      <c r="KR65" s="2" t="str">
        <f>IF('Data Checking'!LD65="","",'Data Checking'!LD65)</f>
        <v/>
      </c>
      <c r="KS65" s="2" t="str">
        <f>IF('Data Checking'!LE65="","",'Data Checking'!LE65)</f>
        <v/>
      </c>
      <c r="KT65" s="2" t="str">
        <f>IF('Data Checking'!LF65="","",'Data Checking'!LF65)</f>
        <v/>
      </c>
      <c r="KU65" s="2" t="str">
        <f>IF('Data Checking'!LG65="","",'Data Checking'!LG65)</f>
        <v/>
      </c>
      <c r="KV65" s="2" t="str">
        <f>IF('Data Checking'!LH65="","",'Data Checking'!LH65)</f>
        <v/>
      </c>
      <c r="KW65" s="2" t="str">
        <f>IF('Data Checking'!LI65="","",'Data Checking'!LI65)</f>
        <v/>
      </c>
      <c r="KX65" s="2" t="str">
        <f>IF('Data Checking'!LJ65="","",'Data Checking'!LJ65)</f>
        <v/>
      </c>
      <c r="KY65" s="2" t="str">
        <f>IF('Data Checking'!LK65="","",'Data Checking'!LK65)</f>
        <v/>
      </c>
      <c r="KZ65" s="2" t="str">
        <f>IF('Data Checking'!LL65="","",'Data Checking'!LL65)</f>
        <v/>
      </c>
      <c r="LA65" s="2" t="str">
        <f>IF('Data Checking'!LM65="","",'Data Checking'!LM65)</f>
        <v/>
      </c>
      <c r="LB65" s="2" t="str">
        <f>IF('Data Checking'!LN65="","",'Data Checking'!LN65)</f>
        <v>non</v>
      </c>
      <c r="LC65" s="2" t="str">
        <f>IF('Data Checking'!LO65="","",'Data Checking'!LO65)</f>
        <v/>
      </c>
      <c r="LD65" s="2" t="str">
        <f>IF('Data Checking'!LP65="","",'Data Checking'!LP65)</f>
        <v/>
      </c>
      <c r="LE65" s="2" t="str">
        <f>IF('Data Checking'!LQ65="","",'Data Checking'!LQ65)</f>
        <v/>
      </c>
      <c r="LF65" s="2" t="str">
        <f>IF('Data Checking'!LR65="","",'Data Checking'!LR65)</f>
        <v/>
      </c>
      <c r="LG65" s="2" t="str">
        <f>IF('Data Checking'!LS65="","",'Data Checking'!LS65)</f>
        <v/>
      </c>
      <c r="LH65" s="2" t="str">
        <f>IF('Data Checking'!LT65="","",'Data Checking'!LT65)</f>
        <v/>
      </c>
      <c r="LI65" s="2" t="str">
        <f>IF('Data Checking'!LU65="","",'Data Checking'!LU65)</f>
        <v/>
      </c>
      <c r="LJ65" s="2" t="str">
        <f>IF('Data Checking'!LV65="","",'Data Checking'!LV65)</f>
        <v/>
      </c>
      <c r="LK65" s="2" t="str">
        <f>IF('Data Checking'!LW65="","",'Data Checking'!LW65)</f>
        <v/>
      </c>
      <c r="LL65" s="2" t="str">
        <f>IF('Data Checking'!LX65="","",'Data Checking'!LX65)</f>
        <v/>
      </c>
      <c r="LM65" s="2" t="str">
        <f>IF('Data Checking'!LY65="","",'Data Checking'!LY65)</f>
        <v/>
      </c>
      <c r="LN65" s="2" t="str">
        <f>IF('Data Checking'!LZ65="","",'Data Checking'!LZ65)</f>
        <v/>
      </c>
      <c r="LO65" s="2" t="str">
        <f>IF('Data Checking'!MA65="","",'Data Checking'!MA65)</f>
        <v/>
      </c>
      <c r="LP65" s="2" t="str">
        <f>IF('Data Checking'!MB65="","",'Data Checking'!MB65)</f>
        <v>oui</v>
      </c>
      <c r="LQ65" s="2" t="str">
        <f>IF('Data Checking'!MC65="","",'Data Checking'!MC65)</f>
        <v/>
      </c>
      <c r="LR65" s="2" t="str">
        <f>IF('Data Checking'!MD65="","",'Data Checking'!MD65)</f>
        <v/>
      </c>
      <c r="LS65" s="2">
        <f>IF('Data Checking'!ME65="","",'Data Checking'!ME65)</f>
        <v>170683435</v>
      </c>
      <c r="LT65" s="2" t="str">
        <f>IF('Data Checking'!MF65="","",'Data Checking'!MF65)</f>
        <v>faceac5d-8ffc-4266-97a1-2f2498fdf6e1</v>
      </c>
      <c r="LU65" s="2" t="str">
        <f>IF('Data Checking'!MG65="","",'Data Checking'!MG65)</f>
        <v>2021-04-09T17:45:15</v>
      </c>
      <c r="LV65" s="2" t="str">
        <f>IF('Data Checking'!MH65="","",'Data Checking'!MH65)</f>
        <v/>
      </c>
      <c r="LW65" s="2" t="str">
        <f>IF('Data Checking'!MI65="","",'Data Checking'!MI65)</f>
        <v>[]</v>
      </c>
      <c r="LX65" s="2" t="str">
        <f>IF('Data Checking'!MJ65="","",'Data Checking'!MJ65)</f>
        <v>submitted_via_web</v>
      </c>
      <c r="LY65" s="2" t="str">
        <f>IF('Data Checking'!MK65="","",'Data Checking'!MK65)</f>
        <v>reach_niger</v>
      </c>
      <c r="LZ65" s="2" t="str">
        <f>IF('Data Checking'!ML65="","",'Data Checking'!ML65)</f>
        <v/>
      </c>
      <c r="MA65" s="2">
        <f>IF('Data Checking'!MM65="","",'Data Checking'!MM65)</f>
        <v>62</v>
      </c>
    </row>
    <row r="66" spans="1:339" x14ac:dyDescent="0.3">
      <c r="A66" s="2" t="str">
        <f>IF('Data Checking'!D66="","",'Data Checking'!D66)</f>
        <v>2021-04-06T13:53:39.692+01:00</v>
      </c>
      <c r="B66" s="2" t="str">
        <f>IF('Data Checking'!E66="","",'Data Checking'!E66)</f>
        <v>2021-04-06T14:15:40.696+01:00</v>
      </c>
      <c r="C66" s="2" t="str">
        <f>IF('Data Checking'!M66="","",'Data Checking'!M66)</f>
        <v>2021-04-06</v>
      </c>
      <c r="D66" s="2" t="str">
        <f>IF('Data Checking'!N66="","",'Data Checking'!N66)</f>
        <v/>
      </c>
      <c r="E66" s="2" t="str">
        <f>IF('Data Checking'!O66="","",'Data Checking'!O66)</f>
        <v/>
      </c>
      <c r="F66" s="2" t="str">
        <f>IF('Data Checking'!R66="","",'Data Checking'!R66)</f>
        <v>Homme</v>
      </c>
      <c r="G66" s="2" t="str">
        <f>IF('Data Checking'!S66="","",'Data Checking'!S66)</f>
        <v>torodi</v>
      </c>
      <c r="H66" s="2" t="str">
        <f>IF('Data Checking'!T66="","",'Data Checking'!T66)</f>
        <v>makalondi</v>
      </c>
      <c r="I66" s="2" t="str">
        <f>IF('Data Checking'!U66="","",'Data Checking'!U66)</f>
        <v>makalondi_ville</v>
      </c>
      <c r="J66" s="2" t="str">
        <f>IF('Data Checking'!V66="","",'Data Checking'!V66)</f>
        <v/>
      </c>
      <c r="K66" s="2" t="str">
        <f>IF('Data Checking'!W66="","",'Data Checking'!W66)</f>
        <v/>
      </c>
      <c r="L66" s="2" t="str">
        <f>IF('Data Checking'!X66="","",'Data Checking'!X66)</f>
        <v/>
      </c>
      <c r="M66" s="2" t="str">
        <f>IF('Data Checking'!Y66="","",'Data Checking'!Y66)</f>
        <v/>
      </c>
      <c r="N66" s="2" t="str">
        <f>IF('Data Checking'!Z66="","",'Data Checking'!Z66)</f>
        <v/>
      </c>
      <c r="O66" s="2" t="str">
        <f>IF('Data Checking'!AA66="","",'Data Checking'!AA66)</f>
        <v/>
      </c>
      <c r="P66" s="2" t="str">
        <f>IF('Data Checking'!AB66="","",'Data Checking'!AB66)</f>
        <v/>
      </c>
      <c r="Q66" s="2" t="str">
        <f>IF('Data Checking'!AC66="","",'Data Checking'!AC66)</f>
        <v/>
      </c>
      <c r="R66" s="2" t="str">
        <f>IF('Data Checking'!AD66="","",'Data Checking'!AD66)</f>
        <v>Homme</v>
      </c>
      <c r="S66" s="2" t="str">
        <f>IF('Data Checking'!AE66="","",'Data Checking'!AE66)</f>
        <v>43</v>
      </c>
      <c r="T66" s="2" t="str">
        <f>IF('Data Checking'!AF66="","",'Data Checking'!AF66)</f>
        <v>deplace_interne</v>
      </c>
      <c r="U66" s="2" t="str">
        <f>IF('Data Checking'!AG66="","",'Data Checking'!AG66)</f>
        <v/>
      </c>
      <c r="V66" s="2" t="str">
        <f>IF('Data Checking'!AH66="","",'Data Checking'!AH66)</f>
        <v/>
      </c>
      <c r="W66" s="2" t="str">
        <f>IF('Data Checking'!AI66="","",'Data Checking'!AI66)</f>
        <v/>
      </c>
      <c r="X66" s="2" t="str">
        <f>IF('Data Checking'!AJ66="","",'Data Checking'!AJ66)</f>
        <v/>
      </c>
      <c r="Y66" s="2" t="str">
        <f>IF('Data Checking'!AK66="","",'Data Checking'!AK66)</f>
        <v/>
      </c>
      <c r="Z66" s="2" t="str">
        <f>IF('Data Checking'!AL66="","",'Data Checking'!AL66)</f>
        <v>niger</v>
      </c>
      <c r="AA66" s="2" t="str">
        <f>IF('Data Checking'!AM66="","",'Data Checking'!AM66)</f>
        <v>tillaberi</v>
      </c>
      <c r="AB66" s="2" t="str">
        <f>IF('Data Checking'!AN66="","",'Data Checking'!AN66)</f>
        <v>torodi</v>
      </c>
      <c r="AC66" s="2" t="str">
        <f>IF('Data Checking'!AO66="","",'Data Checking'!AO66)</f>
        <v/>
      </c>
      <c r="AD66" s="2" t="str">
        <f>IF('Data Checking'!AP66="","",'Data Checking'!AP66)</f>
        <v/>
      </c>
      <c r="AE66" s="2" t="str">
        <f>IF('Data Checking'!AQ66="","",'Data Checking'!AQ66)</f>
        <v/>
      </c>
      <c r="AF66" s="2" t="str">
        <f>IF('Data Checking'!AR66="","",'Data Checking'!AR66)</f>
        <v/>
      </c>
      <c r="AG66" s="2" t="str">
        <f>IF('Data Checking'!AS66="","",'Data Checking'!AS66)</f>
        <v>non</v>
      </c>
      <c r="AH66" s="2" t="str">
        <f>IF('Data Checking'!AT66="","",'Data Checking'!AT66)</f>
        <v/>
      </c>
      <c r="AI66" s="2" t="str">
        <f>IF('Data Checking'!AU66="","",'Data Checking'!AU66)</f>
        <v/>
      </c>
      <c r="AJ66" s="2" t="str">
        <f>IF('Data Checking'!AV66="","",'Data Checking'!AV66)</f>
        <v/>
      </c>
      <c r="AK66" s="2" t="str">
        <f>IF('Data Checking'!AW66="","",'Data Checking'!AW66)</f>
        <v/>
      </c>
      <c r="AL66" s="2" t="str">
        <f>IF('Data Checking'!AX66="","",'Data Checking'!AX66)</f>
        <v/>
      </c>
      <c r="AM66" s="2" t="str">
        <f>IF('Data Checking'!AY66="","",'Data Checking'!AY66)</f>
        <v/>
      </c>
      <c r="AN66" s="2" t="str">
        <f>IF('Data Checking'!AZ66="","",'Data Checking'!AZ66)</f>
        <v/>
      </c>
      <c r="AO66" s="2" t="str">
        <f>IF('Data Checking'!BA66="","",'Data Checking'!BA66)</f>
        <v/>
      </c>
      <c r="AP66" s="2" t="str">
        <f>IF('Data Checking'!BB66="","",'Data Checking'!BB66)</f>
        <v/>
      </c>
      <c r="AQ66" s="2" t="str">
        <f>IF('Data Checking'!BC66="","",'Data Checking'!BC66)</f>
        <v/>
      </c>
      <c r="AR66" s="2" t="str">
        <f>IF('Data Checking'!BD66="","",'Data Checking'!BD66)</f>
        <v/>
      </c>
      <c r="AS66" s="2" t="str">
        <f>IF('Data Checking'!BE66="","",'Data Checking'!BE66)</f>
        <v/>
      </c>
      <c r="AT66" s="2" t="str">
        <f>IF('Data Checking'!BF66="","",'Data Checking'!BF66)</f>
        <v/>
      </c>
      <c r="AU66" s="2" t="str">
        <f>IF('Data Checking'!BG66="","",'Data Checking'!BG66)</f>
        <v/>
      </c>
      <c r="AV66" s="2" t="str">
        <f>IF('Data Checking'!BH66="","",'Data Checking'!BH66)</f>
        <v/>
      </c>
      <c r="AW66" s="2" t="str">
        <f>IF('Data Checking'!BI66="","",'Data Checking'!BI66)</f>
        <v/>
      </c>
      <c r="AX66" s="2" t="str">
        <f>IF('Data Checking'!BJ66="","",'Data Checking'!BJ66)</f>
        <v/>
      </c>
      <c r="AY66" s="2" t="str">
        <f>IF('Data Checking'!BK66="","",'Data Checking'!BK66)</f>
        <v/>
      </c>
      <c r="AZ66" s="2" t="str">
        <f>IF('Data Checking'!BL66="","",'Data Checking'!BL66)</f>
        <v/>
      </c>
      <c r="BA66" s="2" t="str">
        <f>IF('Data Checking'!BM66="","",'Data Checking'!BM66)</f>
        <v/>
      </c>
      <c r="BB66" s="2" t="str">
        <f>IF('Data Checking'!BN66="","",'Data Checking'!BN66)</f>
        <v/>
      </c>
      <c r="BC66" s="2" t="str">
        <f>IF('Data Checking'!BO66="","",'Data Checking'!BO66)</f>
        <v/>
      </c>
      <c r="BD66" s="2" t="str">
        <f>IF('Data Checking'!BP66="","",'Data Checking'!BP66)</f>
        <v/>
      </c>
      <c r="BE66" s="2" t="str">
        <f>IF('Data Checking'!BQ66="","",'Data Checking'!BQ66)</f>
        <v/>
      </c>
      <c r="BF66" s="2" t="str">
        <f>IF('Data Checking'!BR66="","",'Data Checking'!BR66)</f>
        <v/>
      </c>
      <c r="BG66" s="2" t="str">
        <f>IF('Data Checking'!BS66="","",'Data Checking'!BS66)</f>
        <v/>
      </c>
      <c r="BH66" s="2" t="str">
        <f>IF('Data Checking'!BT66="","",'Data Checking'!BT66)</f>
        <v/>
      </c>
      <c r="BI66" s="2" t="str">
        <f>IF('Data Checking'!BU66="","",'Data Checking'!BU66)</f>
        <v/>
      </c>
      <c r="BJ66" s="2" t="str">
        <f>IF('Data Checking'!BV66="","",'Data Checking'!BV66)</f>
        <v/>
      </c>
      <c r="BK66" s="2" t="str">
        <f>IF('Data Checking'!BW66="","",'Data Checking'!BW66)</f>
        <v/>
      </c>
      <c r="BL66" s="2" t="str">
        <f>IF('Data Checking'!BX66="","",'Data Checking'!BX66)</f>
        <v/>
      </c>
      <c r="BM66" s="2" t="str">
        <f>IF('Data Checking'!BY66="","",'Data Checking'!BY66)</f>
        <v/>
      </c>
      <c r="BN66" s="2" t="str">
        <f>IF('Data Checking'!BZ66="","",'Data Checking'!BZ66)</f>
        <v/>
      </c>
      <c r="BO66" s="2" t="str">
        <f>IF('Data Checking'!CA66="","",'Data Checking'!CA66)</f>
        <v/>
      </c>
      <c r="BP66" s="2" t="str">
        <f>IF('Data Checking'!CB66="","",'Data Checking'!CB66)</f>
        <v/>
      </c>
      <c r="BQ66" s="2" t="str">
        <f>IF('Data Checking'!CC66="","",'Data Checking'!CC66)</f>
        <v>non</v>
      </c>
      <c r="BR66" s="2" t="str">
        <f>IF('Data Checking'!CD66="","",'Data Checking'!CD66)</f>
        <v/>
      </c>
      <c r="BS66" s="2" t="str">
        <f>IF('Data Checking'!CE66="","",'Data Checking'!CE66)</f>
        <v/>
      </c>
      <c r="BT66" s="2" t="str">
        <f>IF('Data Checking'!CF66="","",'Data Checking'!CF66)</f>
        <v/>
      </c>
      <c r="BU66" s="2" t="str">
        <f>IF('Data Checking'!CG66="","",'Data Checking'!CG66)</f>
        <v/>
      </c>
      <c r="BV66" s="2" t="str">
        <f>IF('Data Checking'!CH66="","",'Data Checking'!CH66)</f>
        <v/>
      </c>
      <c r="BW66" s="2" t="str">
        <f>IF('Data Checking'!CI66="","",'Data Checking'!CI66)</f>
        <v/>
      </c>
      <c r="BX66" s="2" t="str">
        <f>IF('Data Checking'!CJ66="","",'Data Checking'!CJ66)</f>
        <v/>
      </c>
      <c r="BY66" s="2" t="str">
        <f>IF('Data Checking'!CK66="","",'Data Checking'!CK66)</f>
        <v/>
      </c>
      <c r="BZ66" s="2" t="str">
        <f>IF('Data Checking'!CL66="","",'Data Checking'!CL66)</f>
        <v/>
      </c>
      <c r="CA66" s="2" t="str">
        <f>IF('Data Checking'!CM66="","",'Data Checking'!CM66)</f>
        <v/>
      </c>
      <c r="CB66" s="2" t="str">
        <f>IF('Data Checking'!CN66="","",'Data Checking'!CN66)</f>
        <v/>
      </c>
      <c r="CC66" s="2" t="str">
        <f>IF('Data Checking'!CO66="","",'Data Checking'!CO66)</f>
        <v/>
      </c>
      <c r="CD66" s="2" t="str">
        <f>IF('Data Checking'!CP66="","",'Data Checking'!CP66)</f>
        <v/>
      </c>
      <c r="CE66" s="2" t="str">
        <f>IF('Data Checking'!CQ66="","",'Data Checking'!CQ66)</f>
        <v/>
      </c>
      <c r="CF66" s="2" t="str">
        <f>IF('Data Checking'!CR66="","",'Data Checking'!CR66)</f>
        <v/>
      </c>
      <c r="CG66" s="2" t="str">
        <f>IF('Data Checking'!CS66="","",'Data Checking'!CS66)</f>
        <v/>
      </c>
      <c r="CH66" s="2" t="str">
        <f>IF('Data Checking'!CT66="","",'Data Checking'!CT66)</f>
        <v/>
      </c>
      <c r="CI66" s="2" t="str">
        <f>IF('Data Checking'!CU66="","",'Data Checking'!CU66)</f>
        <v/>
      </c>
      <c r="CJ66" s="2" t="str">
        <f>IF('Data Checking'!CV66="","",'Data Checking'!CV66)</f>
        <v/>
      </c>
      <c r="CK66" s="2" t="str">
        <f>IF('Data Checking'!CW66="","",'Data Checking'!CW66)</f>
        <v/>
      </c>
      <c r="CL66" s="2" t="str">
        <f>IF('Data Checking'!CX66="","",'Data Checking'!CX66)</f>
        <v/>
      </c>
      <c r="CM66" s="2" t="str">
        <f>IF('Data Checking'!CY66="","",'Data Checking'!CY66)</f>
        <v/>
      </c>
      <c r="CN66" s="2" t="str">
        <f>IF('Data Checking'!CZ66="","",'Data Checking'!CZ66)</f>
        <v/>
      </c>
      <c r="CO66" s="2" t="str">
        <f>IF('Data Checking'!DA66="","",'Data Checking'!DA66)</f>
        <v/>
      </c>
      <c r="CP66" s="2" t="str">
        <f>IF('Data Checking'!DB66="","",'Data Checking'!DB66)</f>
        <v/>
      </c>
      <c r="CQ66" s="2" t="str">
        <f>IF('Data Checking'!DC66="","",'Data Checking'!DC66)</f>
        <v/>
      </c>
      <c r="CR66" s="2" t="str">
        <f>IF('Data Checking'!DD66="","",'Data Checking'!DD66)</f>
        <v/>
      </c>
      <c r="CS66" s="2" t="str">
        <f>IF('Data Checking'!DE66="","",'Data Checking'!DE66)</f>
        <v/>
      </c>
      <c r="CT66" s="2" t="str">
        <f>IF('Data Checking'!DF66="","",'Data Checking'!DF66)</f>
        <v/>
      </c>
      <c r="CU66" s="2" t="str">
        <f>IF('Data Checking'!DG66="","",'Data Checking'!DG66)</f>
        <v/>
      </c>
      <c r="CV66" s="2" t="str">
        <f>IF('Data Checking'!DH66="","",'Data Checking'!DH66)</f>
        <v/>
      </c>
      <c r="CW66" s="2" t="str">
        <f>IF('Data Checking'!DI66="","",'Data Checking'!DI66)</f>
        <v/>
      </c>
      <c r="CX66" s="2" t="str">
        <f>IF('Data Checking'!DJ66="","",'Data Checking'!DJ66)</f>
        <v/>
      </c>
      <c r="CY66" s="2" t="str">
        <f>IF('Data Checking'!DK66="","",'Data Checking'!DK66)</f>
        <v/>
      </c>
      <c r="CZ66" s="2" t="str">
        <f>IF('Data Checking'!DL66="","",'Data Checking'!DL66)</f>
        <v/>
      </c>
      <c r="DA66" s="2" t="str">
        <f>IF('Data Checking'!DM66="","",'Data Checking'!DM66)</f>
        <v/>
      </c>
      <c r="DB66" s="2" t="str">
        <f>IF('Data Checking'!DN66="","",'Data Checking'!DN66)</f>
        <v/>
      </c>
      <c r="DC66" s="2" t="str">
        <f>IF('Data Checking'!DO66="","",'Data Checking'!DO66)</f>
        <v/>
      </c>
      <c r="DD66" s="2" t="str">
        <f>IF('Data Checking'!DP66="","",'Data Checking'!DP66)</f>
        <v/>
      </c>
      <c r="DE66" s="2" t="str">
        <f>IF('Data Checking'!DQ66="","",'Data Checking'!DQ66)</f>
        <v/>
      </c>
      <c r="DF66" s="2" t="str">
        <f>IF('Data Checking'!DR66="","",'Data Checking'!DR66)</f>
        <v/>
      </c>
      <c r="DG66" s="2" t="str">
        <f>IF('Data Checking'!DS66="","",'Data Checking'!DS66)</f>
        <v/>
      </c>
      <c r="DH66" s="2" t="str">
        <f>IF('Data Checking'!DT66="","",'Data Checking'!DT66)</f>
        <v/>
      </c>
      <c r="DI66" s="2" t="str">
        <f>IF('Data Checking'!DU66="","",'Data Checking'!DU66)</f>
        <v/>
      </c>
      <c r="DJ66" s="2" t="str">
        <f>IF('Data Checking'!DV66="","",'Data Checking'!DV66)</f>
        <v/>
      </c>
      <c r="DK66" s="2" t="str">
        <f>IF('Data Checking'!DW66="","",'Data Checking'!DW66)</f>
        <v/>
      </c>
      <c r="DL66" s="2" t="str">
        <f>IF('Data Checking'!DX66="","",'Data Checking'!DX66)</f>
        <v/>
      </c>
      <c r="DM66" s="2" t="str">
        <f>IF('Data Checking'!DY66="","",'Data Checking'!DY66)</f>
        <v/>
      </c>
      <c r="DN66" s="2" t="str">
        <f>IF('Data Checking'!DZ66="","",'Data Checking'!DZ66)</f>
        <v/>
      </c>
      <c r="DO66" s="2" t="str">
        <f>IF('Data Checking'!EA66="","",'Data Checking'!EA66)</f>
        <v/>
      </c>
      <c r="DP66" s="2" t="str">
        <f>IF('Data Checking'!EB66="","",'Data Checking'!EB66)</f>
        <v/>
      </c>
      <c r="DQ66" s="2" t="str">
        <f>IF('Data Checking'!EC66="","",'Data Checking'!EC66)</f>
        <v/>
      </c>
      <c r="DR66" s="2" t="str">
        <f>IF('Data Checking'!ED66="","",'Data Checking'!ED66)</f>
        <v/>
      </c>
      <c r="DS66" s="2" t="str">
        <f>IF('Data Checking'!EE66="","",'Data Checking'!EE66)</f>
        <v/>
      </c>
      <c r="DT66" s="2" t="str">
        <f>IF('Data Checking'!EF66="","",'Data Checking'!EF66)</f>
        <v/>
      </c>
      <c r="DU66" s="2" t="str">
        <f>IF('Data Checking'!EG66="","",'Data Checking'!EG66)</f>
        <v/>
      </c>
      <c r="DV66" s="2" t="str">
        <f>IF('Data Checking'!EH66="","",'Data Checking'!EH66)</f>
        <v/>
      </c>
      <c r="DW66" s="2" t="str">
        <f>IF('Data Checking'!EI66="","",'Data Checking'!EI66)</f>
        <v/>
      </c>
      <c r="DX66" s="2" t="str">
        <f>IF('Data Checking'!EJ66="","",'Data Checking'!EJ66)</f>
        <v/>
      </c>
      <c r="DY66" s="2" t="str">
        <f>IF('Data Checking'!EK66="","",'Data Checking'!EK66)</f>
        <v/>
      </c>
      <c r="DZ66" s="2" t="str">
        <f>IF('Data Checking'!EL66="","",'Data Checking'!EL66)</f>
        <v>dplct_abords_com Integration_com_hote Soutien_famille_amis</v>
      </c>
      <c r="EA66" s="2" t="str">
        <f>IF('Data Checking'!EM66="","",'Data Checking'!EM66)</f>
        <v>1</v>
      </c>
      <c r="EB66" s="2" t="str">
        <f>IF('Data Checking'!EN66="","",'Data Checking'!EN66)</f>
        <v>1</v>
      </c>
      <c r="EC66" s="2" t="str">
        <f>IF('Data Checking'!EO66="","",'Data Checking'!EO66)</f>
        <v>1</v>
      </c>
      <c r="ED66" s="2" t="str">
        <f>IF('Data Checking'!EP66="","",'Data Checking'!EP66)</f>
        <v>0</v>
      </c>
      <c r="EE66" s="2" t="str">
        <f>IF('Data Checking'!EQ66="","",'Data Checking'!EQ66)</f>
        <v>0</v>
      </c>
      <c r="EF66" s="2" t="str">
        <f>IF('Data Checking'!ER66="","",'Data Checking'!ER66)</f>
        <v>0</v>
      </c>
      <c r="EG66" s="2" t="str">
        <f>IF('Data Checking'!ES66="","",'Data Checking'!ES66)</f>
        <v>0</v>
      </c>
      <c r="EH66" s="2" t="str">
        <f>IF('Data Checking'!ET66="","",'Data Checking'!ET66)</f>
        <v>0</v>
      </c>
      <c r="EI66" s="2" t="str">
        <f>IF('Data Checking'!EU66="","",'Data Checking'!EU66)</f>
        <v>0</v>
      </c>
      <c r="EJ66" s="2" t="str">
        <f>IF('Data Checking'!EV66="","",'Data Checking'!EV66)</f>
        <v/>
      </c>
      <c r="EK66" s="2" t="str">
        <f>IF('Data Checking'!EW66="","",'Data Checking'!EW66)</f>
        <v/>
      </c>
      <c r="EL66" s="2" t="str">
        <f>IF('Data Checking'!EX66="","",'Data Checking'!EX66)</f>
        <v>comite_alerte famille_accueil comite_protection comite_gestion_conflits</v>
      </c>
      <c r="EM66" s="2" t="str">
        <f>IF('Data Checking'!EY66="","",'Data Checking'!EY66)</f>
        <v>0</v>
      </c>
      <c r="EN66" s="2" t="str">
        <f>IF('Data Checking'!EZ66="","",'Data Checking'!EZ66)</f>
        <v>1</v>
      </c>
      <c r="EO66" s="2" t="str">
        <f>IF('Data Checking'!FA66="","",'Data Checking'!FA66)</f>
        <v>1</v>
      </c>
      <c r="EP66" s="2" t="str">
        <f>IF('Data Checking'!FB66="","",'Data Checking'!FB66)</f>
        <v>1</v>
      </c>
      <c r="EQ66" s="2" t="str">
        <f>IF('Data Checking'!FC66="","",'Data Checking'!FC66)</f>
        <v>0</v>
      </c>
      <c r="ER66" s="2" t="str">
        <f>IF('Data Checking'!FD66="","",'Data Checking'!FD66)</f>
        <v>1</v>
      </c>
      <c r="ES66" s="2" t="str">
        <f>IF('Data Checking'!FE66="","",'Data Checking'!FE66)</f>
        <v>0</v>
      </c>
      <c r="ET66" s="2" t="str">
        <f>IF('Data Checking'!FF66="","",'Data Checking'!FF66)</f>
        <v>0</v>
      </c>
      <c r="EU66" s="2" t="str">
        <f>IF('Data Checking'!FG66="","",'Data Checking'!FG66)</f>
        <v>0</v>
      </c>
      <c r="EV66" s="2" t="str">
        <f>IF('Data Checking'!FH66="","",'Data Checking'!FH66)</f>
        <v>0</v>
      </c>
      <c r="EW66" s="2" t="str">
        <f>IF('Data Checking'!FI66="","",'Data Checking'!FI66)</f>
        <v/>
      </c>
      <c r="EX66" s="2" t="str">
        <f>IF('Data Checking'!FJ66="","",'Data Checking'!FJ66)</f>
        <v>oui</v>
      </c>
      <c r="EY66" s="2" t="str">
        <f>IF('Data Checking'!FK66="","",'Data Checking'!FK66)</f>
        <v>manif_sociales famille_amis Travailleurs_sociaux/hum</v>
      </c>
      <c r="EZ66" s="2" t="str">
        <f>IF('Data Checking'!FL66="","",'Data Checking'!FL66)</f>
        <v>0</v>
      </c>
      <c r="FA66" s="2" t="str">
        <f>IF('Data Checking'!FM66="","",'Data Checking'!FM66)</f>
        <v>0</v>
      </c>
      <c r="FB66" s="2" t="str">
        <f>IF('Data Checking'!FN66="","",'Data Checking'!FN66)</f>
        <v>0</v>
      </c>
      <c r="FC66" s="2" t="str">
        <f>IF('Data Checking'!FO66="","",'Data Checking'!FO66)</f>
        <v>1</v>
      </c>
      <c r="FD66" s="2" t="str">
        <f>IF('Data Checking'!FP66="","",'Data Checking'!FP66)</f>
        <v>0</v>
      </c>
      <c r="FE66" s="2" t="str">
        <f>IF('Data Checking'!FQ66="","",'Data Checking'!FQ66)</f>
        <v>1</v>
      </c>
      <c r="FF66" s="2" t="str">
        <f>IF('Data Checking'!FR66="","",'Data Checking'!FR66)</f>
        <v>0</v>
      </c>
      <c r="FG66" s="2" t="str">
        <f>IF('Data Checking'!FS66="","",'Data Checking'!FS66)</f>
        <v>0</v>
      </c>
      <c r="FH66" s="2" t="str">
        <f>IF('Data Checking'!FT66="","",'Data Checking'!FT66)</f>
        <v>0</v>
      </c>
      <c r="FI66" s="2" t="str">
        <f>IF('Data Checking'!FU66="","",'Data Checking'!FU66)</f>
        <v>0</v>
      </c>
      <c r="FJ66" s="2" t="str">
        <f>IF('Data Checking'!FV66="","",'Data Checking'!FV66)</f>
        <v>1</v>
      </c>
      <c r="FK66" s="2" t="str">
        <f>IF('Data Checking'!FW66="","",'Data Checking'!FW66)</f>
        <v>0</v>
      </c>
      <c r="FL66" s="2">
        <f>IF('Data Checking'!FX66="","",'Data Checking'!FX66)</f>
        <v>0</v>
      </c>
      <c r="FM66" s="2" t="str">
        <f>IF('Data Checking'!FY66="","",'Data Checking'!FY66)</f>
        <v>0</v>
      </c>
      <c r="FN66" s="2" t="str">
        <f>IF('Data Checking'!FZ66="","",'Data Checking'!FZ66)</f>
        <v/>
      </c>
      <c r="FO66" s="2" t="str">
        <f>IF('Data Checking'!GA66="","",'Data Checking'!GA66)</f>
        <v>oui_ensemble</v>
      </c>
      <c r="FP66" s="2" t="str">
        <f>IF('Data Checking'!GB66="","",'Data Checking'!GB66)</f>
        <v>oui_ensemble</v>
      </c>
      <c r="FQ66" s="2" t="str">
        <f>IF('Data Checking'!GC66="","",'Data Checking'!GC66)</f>
        <v/>
      </c>
      <c r="FR66" s="2" t="str">
        <f>IF('Data Checking'!GD66="","",'Data Checking'!GD66)</f>
        <v/>
      </c>
      <c r="FS66" s="2" t="str">
        <f>IF('Data Checking'!GE66="","",'Data Checking'!GE66)</f>
        <v/>
      </c>
      <c r="FT66" s="2" t="str">
        <f>IF('Data Checking'!GF66="","",'Data Checking'!GF66)</f>
        <v/>
      </c>
      <c r="FU66" s="2" t="str">
        <f>IF('Data Checking'!GG66="","",'Data Checking'!GG66)</f>
        <v/>
      </c>
      <c r="FV66" s="2" t="str">
        <f>IF('Data Checking'!GH66="","",'Data Checking'!GH66)</f>
        <v/>
      </c>
      <c r="FW66" s="2" t="str">
        <f>IF('Data Checking'!GI66="","",'Data Checking'!GI66)</f>
        <v/>
      </c>
      <c r="FX66" s="2" t="str">
        <f>IF('Data Checking'!GJ66="","",'Data Checking'!GJ66)</f>
        <v/>
      </c>
      <c r="FY66" s="2" t="str">
        <f>IF('Data Checking'!GK66="","",'Data Checking'!GK66)</f>
        <v/>
      </c>
      <c r="FZ66" s="2" t="str">
        <f>IF('Data Checking'!GL66="","",'Data Checking'!GL66)</f>
        <v/>
      </c>
      <c r="GA66" s="2" t="str">
        <f>IF('Data Checking'!GM66="","",'Data Checking'!GM66)</f>
        <v>majorite</v>
      </c>
      <c r="GB66" s="2" t="str">
        <f>IF('Data Checking'!GN66="","",'Data Checking'!GN66)</f>
        <v>moitie</v>
      </c>
      <c r="GC66" s="2" t="str">
        <f>IF('Data Checking'!GO66="","",'Data Checking'!GO66)</f>
        <v>Services_de_sante Acces_aux_doc Appui_psychosocial</v>
      </c>
      <c r="GD66" s="2" t="str">
        <f>IF('Data Checking'!GP66="","",'Data Checking'!GP66)</f>
        <v>1</v>
      </c>
      <c r="GE66" s="2" t="str">
        <f>IF('Data Checking'!GQ66="","",'Data Checking'!GQ66)</f>
        <v>0</v>
      </c>
      <c r="GF66" s="2" t="str">
        <f>IF('Data Checking'!GR66="","",'Data Checking'!GR66)</f>
        <v>0</v>
      </c>
      <c r="GG66" s="2" t="str">
        <f>IF('Data Checking'!GS66="","",'Data Checking'!GS66)</f>
        <v>1</v>
      </c>
      <c r="GH66" s="2" t="str">
        <f>IF('Data Checking'!GT66="","",'Data Checking'!GT66)</f>
        <v>1</v>
      </c>
      <c r="GI66" s="2" t="str">
        <f>IF('Data Checking'!GU66="","",'Data Checking'!GU66)</f>
        <v>0</v>
      </c>
      <c r="GJ66" s="2" t="str">
        <f>IF('Data Checking'!GV66="","",'Data Checking'!GV66)</f>
        <v>0</v>
      </c>
      <c r="GK66" s="2" t="str">
        <f>IF('Data Checking'!GW66="","",'Data Checking'!GW66)</f>
        <v>0</v>
      </c>
      <c r="GL66" s="2" t="str">
        <f>IF('Data Checking'!GX66="","",'Data Checking'!GX66)</f>
        <v>0</v>
      </c>
      <c r="GM66" s="2" t="str">
        <f>IF('Data Checking'!GY66="","",'Data Checking'!GY66)</f>
        <v/>
      </c>
      <c r="GN66" s="2" t="str">
        <f>IF('Data Checking'!GZ66="","",'Data Checking'!GZ66)</f>
        <v>oui_ensemble</v>
      </c>
      <c r="GO66" s="2" t="str">
        <f>IF('Data Checking'!HA66="","",'Data Checking'!HA66)</f>
        <v>oui_ensemble</v>
      </c>
      <c r="GP66" s="2" t="str">
        <f>IF('Data Checking'!HB66="","",'Data Checking'!HB66)</f>
        <v>repond_besoins_pop amelioration_futur</v>
      </c>
      <c r="GQ66" s="2" t="str">
        <f>IF('Data Checking'!HC66="","",'Data Checking'!HC66)</f>
        <v>1</v>
      </c>
      <c r="GR66" s="2" t="str">
        <f>IF('Data Checking'!HD66="","",'Data Checking'!HD66)</f>
        <v>1</v>
      </c>
      <c r="GS66" s="2" t="str">
        <f>IF('Data Checking'!HE66="","",'Data Checking'!HE66)</f>
        <v>0</v>
      </c>
      <c r="GT66" s="2" t="str">
        <f>IF('Data Checking'!HF66="","",'Data Checking'!HF66)</f>
        <v>0</v>
      </c>
      <c r="GU66" s="2" t="str">
        <f>IF('Data Checking'!HG66="","",'Data Checking'!HG66)</f>
        <v>0</v>
      </c>
      <c r="GV66" s="2" t="str">
        <f>IF('Data Checking'!HH66="","",'Data Checking'!HH66)</f>
        <v>0</v>
      </c>
      <c r="GW66" s="2" t="str">
        <f>IF('Data Checking'!HI66="","",'Data Checking'!HI66)</f>
        <v>0</v>
      </c>
      <c r="GX66" s="2" t="str">
        <f>IF('Data Checking'!HJ66="","",'Data Checking'!HJ66)</f>
        <v>0</v>
      </c>
      <c r="GY66" s="2" t="str">
        <f>IF('Data Checking'!HK66="","",'Data Checking'!HK66)</f>
        <v/>
      </c>
      <c r="GZ66" s="2" t="str">
        <f>IF('Data Checking'!HL66="","",'Data Checking'!HL66)</f>
        <v/>
      </c>
      <c r="HA66" s="2" t="str">
        <f>IF('Data Checking'!HM66="","",'Data Checking'!HM66)</f>
        <v/>
      </c>
      <c r="HB66" s="2" t="str">
        <f>IF('Data Checking'!HN66="","",'Data Checking'!HN66)</f>
        <v/>
      </c>
      <c r="HC66" s="2" t="str">
        <f>IF('Data Checking'!HO66="","",'Data Checking'!HO66)</f>
        <v/>
      </c>
      <c r="HD66" s="2" t="str">
        <f>IF('Data Checking'!HP66="","",'Data Checking'!HP66)</f>
        <v/>
      </c>
      <c r="HE66" s="2" t="str">
        <f>IF('Data Checking'!HQ66="","",'Data Checking'!HQ66)</f>
        <v/>
      </c>
      <c r="HF66" s="2" t="str">
        <f>IF('Data Checking'!HR66="","",'Data Checking'!HR66)</f>
        <v/>
      </c>
      <c r="HG66" s="2" t="str">
        <f>IF('Data Checking'!HS66="","",'Data Checking'!HS66)</f>
        <v/>
      </c>
      <c r="HH66" s="2" t="str">
        <f>IF('Data Checking'!HT66="","",'Data Checking'!HT66)</f>
        <v/>
      </c>
      <c r="HI66" s="2" t="str">
        <f>IF('Data Checking'!HU66="","",'Data Checking'!HU66)</f>
        <v>oui_minorite</v>
      </c>
      <c r="HJ66" s="2" t="str">
        <f>IF('Data Checking'!HV66="","",'Data Checking'!HV66)</f>
        <v>ingo</v>
      </c>
      <c r="HK66" s="2" t="str">
        <f>IF('Data Checking'!HW66="","",'Data Checking'!HW66)</f>
        <v>0</v>
      </c>
      <c r="HL66" s="2" t="str">
        <f>IF('Data Checking'!HX66="","",'Data Checking'!HX66)</f>
        <v>0</v>
      </c>
      <c r="HM66" s="2" t="str">
        <f>IF('Data Checking'!HY66="","",'Data Checking'!HY66)</f>
        <v>0</v>
      </c>
      <c r="HN66" s="2" t="str">
        <f>IF('Data Checking'!HZ66="","",'Data Checking'!HZ66)</f>
        <v>0</v>
      </c>
      <c r="HO66" s="2" t="str">
        <f>IF('Data Checking'!IA66="","",'Data Checking'!IA66)</f>
        <v>1</v>
      </c>
      <c r="HP66" s="2" t="str">
        <f>IF('Data Checking'!IB66="","",'Data Checking'!IB66)</f>
        <v>0</v>
      </c>
      <c r="HQ66" s="2" t="str">
        <f>IF('Data Checking'!IC66="","",'Data Checking'!IC66)</f>
        <v>0</v>
      </c>
      <c r="HR66" s="2" t="str">
        <f>IF('Data Checking'!ID66="","",'Data Checking'!ID66)</f>
        <v>0</v>
      </c>
      <c r="HS66" s="2" t="str">
        <f>IF('Data Checking'!IE66="","",'Data Checking'!IE66)</f>
        <v>0</v>
      </c>
      <c r="HT66" s="2" t="str">
        <f>IF('Data Checking'!IF66="","",'Data Checking'!IF66)</f>
        <v>0</v>
      </c>
      <c r="HU66" s="2" t="str">
        <f>IF('Data Checking'!IG66="","",'Data Checking'!IG66)</f>
        <v/>
      </c>
      <c r="HV66" s="2" t="str">
        <f>IF('Data Checking'!IH66="","",'Data Checking'!IH66)</f>
        <v>oui</v>
      </c>
      <c r="HW66" s="2" t="str">
        <f>IF('Data Checking'!II66="","",'Data Checking'!II66)</f>
        <v/>
      </c>
      <c r="HX66" s="2" t="str">
        <f>IF('Data Checking'!IJ66="","",'Data Checking'!IJ66)</f>
        <v/>
      </c>
      <c r="HY66" s="2" t="str">
        <f>IF('Data Checking'!IK66="","",'Data Checking'!IK66)</f>
        <v/>
      </c>
      <c r="HZ66" s="2" t="str">
        <f>IF('Data Checking'!IL66="","",'Data Checking'!IL66)</f>
        <v/>
      </c>
      <c r="IA66" s="2" t="str">
        <f>IF('Data Checking'!IM66="","",'Data Checking'!IM66)</f>
        <v/>
      </c>
      <c r="IB66" s="2" t="str">
        <f>IF('Data Checking'!IN66="","",'Data Checking'!IN66)</f>
        <v/>
      </c>
      <c r="IC66" s="2" t="str">
        <f>IF('Data Checking'!IO66="","",'Data Checking'!IO66)</f>
        <v/>
      </c>
      <c r="ID66" s="2" t="str">
        <f>IF('Data Checking'!IP66="","",'Data Checking'!IP66)</f>
        <v/>
      </c>
      <c r="IE66" s="2" t="str">
        <f>IF('Data Checking'!IQ66="","",'Data Checking'!IQ66)</f>
        <v/>
      </c>
      <c r="IF66" s="2" t="str">
        <f>IF('Data Checking'!IR66="","",'Data Checking'!IR66)</f>
        <v/>
      </c>
      <c r="IG66" s="2" t="str">
        <f>IF('Data Checking'!IS66="","",'Data Checking'!IS66)</f>
        <v/>
      </c>
      <c r="IH66" s="2" t="str">
        <f>IF('Data Checking'!IT66="","",'Data Checking'!IT66)</f>
        <v/>
      </c>
      <c r="II66" s="2" t="str">
        <f>IF('Data Checking'!IU66="","",'Data Checking'!IU66)</f>
        <v/>
      </c>
      <c r="IJ66" s="2" t="str">
        <f>IF('Data Checking'!IV66="","",'Data Checking'!IV66)</f>
        <v/>
      </c>
      <c r="IK66" s="2" t="str">
        <f>IF('Data Checking'!IW66="","",'Data Checking'!IW66)</f>
        <v/>
      </c>
      <c r="IL66" s="2" t="str">
        <f>IF('Data Checking'!IX66="","",'Data Checking'!IX66)</f>
        <v/>
      </c>
      <c r="IM66" s="2" t="str">
        <f>IF('Data Checking'!IY66="","",'Data Checking'!IY66)</f>
        <v/>
      </c>
      <c r="IN66" s="2" t="str">
        <f>IF('Data Checking'!IZ66="","",'Data Checking'!IZ66)</f>
        <v>70</v>
      </c>
      <c r="IO66" s="2" t="str">
        <f>IF('Data Checking'!JA66="","",'Data Checking'!JA66)</f>
        <v>Services_medicaux</v>
      </c>
      <c r="IP66" s="2" t="str">
        <f>IF('Data Checking'!JB66="","",'Data Checking'!JB66)</f>
        <v>0</v>
      </c>
      <c r="IQ66" s="2" t="str">
        <f>IF('Data Checking'!JC66="","",'Data Checking'!JC66)</f>
        <v>1</v>
      </c>
      <c r="IR66" s="2" t="str">
        <f>IF('Data Checking'!JD66="","",'Data Checking'!JD66)</f>
        <v>0</v>
      </c>
      <c r="IS66" s="2" t="str">
        <f>IF('Data Checking'!JE66="","",'Data Checking'!JE66)</f>
        <v>0</v>
      </c>
      <c r="IT66" s="2" t="str">
        <f>IF('Data Checking'!JF66="","",'Data Checking'!JF66)</f>
        <v>0</v>
      </c>
      <c r="IU66" s="2" t="str">
        <f>IF('Data Checking'!JG66="","",'Data Checking'!JG66)</f>
        <v>0</v>
      </c>
      <c r="IV66" s="2" t="str">
        <f>IF('Data Checking'!JH66="","",'Data Checking'!JH66)</f>
        <v>0</v>
      </c>
      <c r="IW66" s="2" t="str">
        <f>IF('Data Checking'!JI66="","",'Data Checking'!JI66)</f>
        <v>0</v>
      </c>
      <c r="IX66" s="2" t="str">
        <f>IF('Data Checking'!JJ66="","",'Data Checking'!JJ66)</f>
        <v>0</v>
      </c>
      <c r="IY66" s="2" t="str">
        <f>IF('Data Checking'!JK66="","",'Data Checking'!JK66)</f>
        <v>0</v>
      </c>
      <c r="IZ66" s="2" t="str">
        <f>IF('Data Checking'!JL66="","",'Data Checking'!JL66)</f>
        <v/>
      </c>
      <c r="JA66" s="2" t="str">
        <f>IF('Data Checking'!JM66="","",'Data Checking'!JM66)</f>
        <v>signalement reorientation</v>
      </c>
      <c r="JB66" s="2" t="str">
        <f>IF('Data Checking'!JN66="","",'Data Checking'!JN66)</f>
        <v>0</v>
      </c>
      <c r="JC66" s="2" t="str">
        <f>IF('Data Checking'!JO66="","",'Data Checking'!JO66)</f>
        <v>1</v>
      </c>
      <c r="JD66" s="2" t="str">
        <f>IF('Data Checking'!JP66="","",'Data Checking'!JP66)</f>
        <v>1</v>
      </c>
      <c r="JE66" s="2" t="str">
        <f>IF('Data Checking'!JQ66="","",'Data Checking'!JQ66)</f>
        <v>0</v>
      </c>
      <c r="JF66" s="2" t="str">
        <f>IF('Data Checking'!JR66="","",'Data Checking'!JR66)</f>
        <v>0</v>
      </c>
      <c r="JG66" s="2" t="str">
        <f>IF('Data Checking'!JS66="","",'Data Checking'!JS66)</f>
        <v>0</v>
      </c>
      <c r="JH66" s="2" t="str">
        <f>IF('Data Checking'!JT66="","",'Data Checking'!JT66)</f>
        <v/>
      </c>
      <c r="JI66" s="2" t="str">
        <f>IF('Data Checking'!JU66="","",'Data Checking'!JU66)</f>
        <v/>
      </c>
      <c r="JJ66" s="2" t="str">
        <f>IF('Data Checking'!JV66="","",'Data Checking'!JV66)</f>
        <v/>
      </c>
      <c r="JK66" s="2" t="str">
        <f>IF('Data Checking'!JW66="","",'Data Checking'!JW66)</f>
        <v/>
      </c>
      <c r="JL66" s="2" t="str">
        <f>IF('Data Checking'!JX66="","",'Data Checking'!JX66)</f>
        <v/>
      </c>
      <c r="JM66" s="2" t="str">
        <f>IF('Data Checking'!JY66="","",'Data Checking'!JY66)</f>
        <v/>
      </c>
      <c r="JN66" s="2" t="str">
        <f>IF('Data Checking'!JZ66="","",'Data Checking'!JZ66)</f>
        <v/>
      </c>
      <c r="JO66" s="2" t="str">
        <f>IF('Data Checking'!KA66="","",'Data Checking'!KA66)</f>
        <v/>
      </c>
      <c r="JP66" s="2" t="str">
        <f>IF('Data Checking'!KB66="","",'Data Checking'!KB66)</f>
        <v/>
      </c>
      <c r="JQ66" s="2" t="str">
        <f>IF('Data Checking'!KC66="","",'Data Checking'!KC66)</f>
        <v/>
      </c>
      <c r="JR66" s="2" t="str">
        <f>IF('Data Checking'!KD66="","",'Data Checking'!KD66)</f>
        <v/>
      </c>
      <c r="JS66" s="2" t="str">
        <f>IF('Data Checking'!KE66="","",'Data Checking'!KE66)</f>
        <v/>
      </c>
      <c r="JT66" s="2" t="str">
        <f>IF('Data Checking'!KF66="","",'Data Checking'!KF66)</f>
        <v>medical Psychosocia point_ecoute</v>
      </c>
      <c r="JU66" s="2" t="str">
        <f>IF('Data Checking'!KG66="","",'Data Checking'!KG66)</f>
        <v>1</v>
      </c>
      <c r="JV66" s="2" t="str">
        <f>IF('Data Checking'!KH66="","",'Data Checking'!KH66)</f>
        <v>1</v>
      </c>
      <c r="JW66" s="2" t="str">
        <f>IF('Data Checking'!KI66="","",'Data Checking'!KI66)</f>
        <v>1</v>
      </c>
      <c r="JX66" s="2" t="str">
        <f>IF('Data Checking'!KJ66="","",'Data Checking'!KJ66)</f>
        <v>0</v>
      </c>
      <c r="JY66" s="2" t="str">
        <f>IF('Data Checking'!KK66="","",'Data Checking'!KK66)</f>
        <v>0</v>
      </c>
      <c r="JZ66" s="2" t="str">
        <f>IF('Data Checking'!KL66="","",'Data Checking'!KL66)</f>
        <v>0</v>
      </c>
      <c r="KA66" s="2" t="str">
        <f>IF('Data Checking'!KM66="","",'Data Checking'!KM66)</f>
        <v>0</v>
      </c>
      <c r="KB66" s="2" t="str">
        <f>IF('Data Checking'!KN66="","",'Data Checking'!KN66)</f>
        <v>0</v>
      </c>
      <c r="KC66" s="2" t="str">
        <f>IF('Data Checking'!KO66="","",'Data Checking'!KO66)</f>
        <v>0</v>
      </c>
      <c r="KD66" s="2" t="str">
        <f>IF('Data Checking'!KP66="","",'Data Checking'!KP66)</f>
        <v/>
      </c>
      <c r="KE66" s="2" t="str">
        <f>IF('Data Checking'!KQ66="","",'Data Checking'!KQ66)</f>
        <v/>
      </c>
      <c r="KF66" s="2" t="str">
        <f>IF('Data Checking'!KR66="","",'Data Checking'!KR66)</f>
        <v>oui</v>
      </c>
      <c r="KG66" s="2" t="str">
        <f>IF('Data Checking'!KS66="","",'Data Checking'!KS66)</f>
        <v>probleme_orientation manque_cordination</v>
      </c>
      <c r="KH66" s="2" t="str">
        <f>IF('Data Checking'!KT66="","",'Data Checking'!KT66)</f>
        <v>0</v>
      </c>
      <c r="KI66" s="2" t="str">
        <f>IF('Data Checking'!KU66="","",'Data Checking'!KU66)</f>
        <v>0</v>
      </c>
      <c r="KJ66" s="2" t="str">
        <f>IF('Data Checking'!KV66="","",'Data Checking'!KV66)</f>
        <v>0</v>
      </c>
      <c r="KK66" s="2" t="str">
        <f>IF('Data Checking'!KW66="","",'Data Checking'!KW66)</f>
        <v>1</v>
      </c>
      <c r="KL66" s="2" t="str">
        <f>IF('Data Checking'!KX66="","",'Data Checking'!KX66)</f>
        <v>0</v>
      </c>
      <c r="KM66" s="2" t="str">
        <f>IF('Data Checking'!KY66="","",'Data Checking'!KY66)</f>
        <v>0</v>
      </c>
      <c r="KN66" s="2" t="str">
        <f>IF('Data Checking'!KZ66="","",'Data Checking'!KZ66)</f>
        <v>1</v>
      </c>
      <c r="KO66" s="2" t="str">
        <f>IF('Data Checking'!LA66="","",'Data Checking'!LA66)</f>
        <v>0</v>
      </c>
      <c r="KP66" s="2" t="str">
        <f>IF('Data Checking'!LB66="","",'Data Checking'!LB66)</f>
        <v>0</v>
      </c>
      <c r="KQ66" s="2" t="str">
        <f>IF('Data Checking'!LC66="","",'Data Checking'!LC66)</f>
        <v>0</v>
      </c>
      <c r="KR66" s="2" t="str">
        <f>IF('Data Checking'!LD66="","",'Data Checking'!LD66)</f>
        <v>0</v>
      </c>
      <c r="KS66" s="2" t="str">
        <f>IF('Data Checking'!LE66="","",'Data Checking'!LE66)</f>
        <v/>
      </c>
      <c r="KT66" s="2" t="str">
        <f>IF('Data Checking'!LF66="","",'Data Checking'!LF66)</f>
        <v>pb_coordination</v>
      </c>
      <c r="KU66" s="2" t="str">
        <f>IF('Data Checking'!LG66="","",'Data Checking'!LG66)</f>
        <v>0</v>
      </c>
      <c r="KV66" s="2" t="str">
        <f>IF('Data Checking'!LH66="","",'Data Checking'!LH66)</f>
        <v>0</v>
      </c>
      <c r="KW66" s="2" t="str">
        <f>IF('Data Checking'!LI66="","",'Data Checking'!LI66)</f>
        <v>0</v>
      </c>
      <c r="KX66" s="2" t="str">
        <f>IF('Data Checking'!LJ66="","",'Data Checking'!LJ66)</f>
        <v>1</v>
      </c>
      <c r="KY66" s="2" t="str">
        <f>IF('Data Checking'!LK66="","",'Data Checking'!LK66)</f>
        <v>0</v>
      </c>
      <c r="KZ66" s="2" t="str">
        <f>IF('Data Checking'!LL66="","",'Data Checking'!LL66)</f>
        <v>0</v>
      </c>
      <c r="LA66" s="2" t="str">
        <f>IF('Data Checking'!LM66="","",'Data Checking'!LM66)</f>
        <v/>
      </c>
      <c r="LB66" s="2" t="str">
        <f>IF('Data Checking'!LN66="","",'Data Checking'!LN66)</f>
        <v>non</v>
      </c>
      <c r="LC66" s="2" t="str">
        <f>IF('Data Checking'!LO66="","",'Data Checking'!LO66)</f>
        <v/>
      </c>
      <c r="LD66" s="2" t="str">
        <f>IF('Data Checking'!LP66="","",'Data Checking'!LP66)</f>
        <v/>
      </c>
      <c r="LE66" s="2" t="str">
        <f>IF('Data Checking'!LQ66="","",'Data Checking'!LQ66)</f>
        <v/>
      </c>
      <c r="LF66" s="2" t="str">
        <f>IF('Data Checking'!LR66="","",'Data Checking'!LR66)</f>
        <v/>
      </c>
      <c r="LG66" s="2" t="str">
        <f>IF('Data Checking'!LS66="","",'Data Checking'!LS66)</f>
        <v/>
      </c>
      <c r="LH66" s="2" t="str">
        <f>IF('Data Checking'!LT66="","",'Data Checking'!LT66)</f>
        <v/>
      </c>
      <c r="LI66" s="2" t="str">
        <f>IF('Data Checking'!LU66="","",'Data Checking'!LU66)</f>
        <v/>
      </c>
      <c r="LJ66" s="2" t="str">
        <f>IF('Data Checking'!LV66="","",'Data Checking'!LV66)</f>
        <v/>
      </c>
      <c r="LK66" s="2" t="str">
        <f>IF('Data Checking'!LW66="","",'Data Checking'!LW66)</f>
        <v/>
      </c>
      <c r="LL66" s="2" t="str">
        <f>IF('Data Checking'!LX66="","",'Data Checking'!LX66)</f>
        <v/>
      </c>
      <c r="LM66" s="2" t="str">
        <f>IF('Data Checking'!LY66="","",'Data Checking'!LY66)</f>
        <v/>
      </c>
      <c r="LN66" s="2" t="str">
        <f>IF('Data Checking'!LZ66="","",'Data Checking'!LZ66)</f>
        <v/>
      </c>
      <c r="LO66" s="2" t="str">
        <f>IF('Data Checking'!MA66="","",'Data Checking'!MA66)</f>
        <v/>
      </c>
      <c r="LP66" s="2" t="str">
        <f>IF('Data Checking'!MB66="","",'Data Checking'!MB66)</f>
        <v>oui</v>
      </c>
      <c r="LQ66" s="2" t="str">
        <f>IF('Data Checking'!MC66="","",'Data Checking'!MC66)</f>
        <v/>
      </c>
      <c r="LR66" s="2" t="str">
        <f>IF('Data Checking'!MD66="","",'Data Checking'!MD66)</f>
        <v/>
      </c>
      <c r="LS66" s="2">
        <f>IF('Data Checking'!ME66="","",'Data Checking'!ME66)</f>
        <v>170013259</v>
      </c>
      <c r="LT66" s="2" t="str">
        <f>IF('Data Checking'!MF66="","",'Data Checking'!MF66)</f>
        <v>ef27d705-c50b-4f20-be5e-024bee3b2a34</v>
      </c>
      <c r="LU66" s="2" t="str">
        <f>IF('Data Checking'!MG66="","",'Data Checking'!MG66)</f>
        <v>2021-04-06T16:53:21</v>
      </c>
      <c r="LV66" s="2" t="str">
        <f>IF('Data Checking'!MH66="","",'Data Checking'!MH66)</f>
        <v/>
      </c>
      <c r="LW66" s="2" t="str">
        <f>IF('Data Checking'!MI66="","",'Data Checking'!MI66)</f>
        <v>[]</v>
      </c>
      <c r="LX66" s="2" t="str">
        <f>IF('Data Checking'!MJ66="","",'Data Checking'!MJ66)</f>
        <v>submitted_via_web</v>
      </c>
      <c r="LY66" s="2" t="str">
        <f>IF('Data Checking'!MK66="","",'Data Checking'!MK66)</f>
        <v>reach_niger</v>
      </c>
      <c r="LZ66" s="2" t="str">
        <f>IF('Data Checking'!ML66="","",'Data Checking'!ML66)</f>
        <v/>
      </c>
      <c r="MA66" s="2">
        <f>IF('Data Checking'!MM66="","",'Data Checking'!MM66)</f>
        <v>47</v>
      </c>
    </row>
    <row r="67" spans="1:339" x14ac:dyDescent="0.3">
      <c r="A67" s="2" t="str">
        <f>IF('Data Checking'!D67="","",'Data Checking'!D67)</f>
        <v>2021-04-07T14:04:06.950+01:00</v>
      </c>
      <c r="B67" s="2" t="str">
        <f>IF('Data Checking'!E67="","",'Data Checking'!E67)</f>
        <v>2021-04-07T14:26:03.118+01:00</v>
      </c>
      <c r="C67" s="2" t="str">
        <f>IF('Data Checking'!M67="","",'Data Checking'!M67)</f>
        <v>2021-04-07</v>
      </c>
      <c r="D67" s="2" t="str">
        <f>IF('Data Checking'!N67="","",'Data Checking'!N67)</f>
        <v/>
      </c>
      <c r="E67" s="2" t="str">
        <f>IF('Data Checking'!O67="","",'Data Checking'!O67)</f>
        <v/>
      </c>
      <c r="F67" s="2" t="str">
        <f>IF('Data Checking'!R67="","",'Data Checking'!R67)</f>
        <v>Homme</v>
      </c>
      <c r="G67" s="2" t="str">
        <f>IF('Data Checking'!S67="","",'Data Checking'!S67)</f>
        <v>torodi</v>
      </c>
      <c r="H67" s="2" t="str">
        <f>IF('Data Checking'!T67="","",'Data Checking'!T67)</f>
        <v>makalondi</v>
      </c>
      <c r="I67" s="2" t="str">
        <f>IF('Data Checking'!U67="","",'Data Checking'!U67)</f>
        <v>autre</v>
      </c>
      <c r="J67" s="2" t="str">
        <f>IF('Data Checking'!V67="","",'Data Checking'!V67)</f>
        <v>Tous les sites PDI de la zone de compétence de l'IC</v>
      </c>
      <c r="K67" s="2" t="str">
        <f>IF('Data Checking'!W67="","",'Data Checking'!W67)</f>
        <v/>
      </c>
      <c r="L67" s="2" t="str">
        <f>IF('Data Checking'!X67="","",'Data Checking'!X67)</f>
        <v/>
      </c>
      <c r="M67" s="2" t="str">
        <f>IF('Data Checking'!Y67="","",'Data Checking'!Y67)</f>
        <v/>
      </c>
      <c r="N67" s="2" t="str">
        <f>IF('Data Checking'!Z67="","",'Data Checking'!Z67)</f>
        <v/>
      </c>
      <c r="O67" s="2" t="str">
        <f>IF('Data Checking'!AA67="","",'Data Checking'!AA67)</f>
        <v/>
      </c>
      <c r="P67" s="2" t="str">
        <f>IF('Data Checking'!AB67="","",'Data Checking'!AB67)</f>
        <v/>
      </c>
      <c r="Q67" s="2" t="str">
        <f>IF('Data Checking'!AC67="","",'Data Checking'!AC67)</f>
        <v/>
      </c>
      <c r="R67" s="2" t="str">
        <f>IF('Data Checking'!AD67="","",'Data Checking'!AD67)</f>
        <v>Homme</v>
      </c>
      <c r="S67" s="2" t="str">
        <f>IF('Data Checking'!AE67="","",'Data Checking'!AE67)</f>
        <v>42</v>
      </c>
      <c r="T67" s="2" t="str">
        <f>IF('Data Checking'!AF67="","",'Data Checking'!AF67)</f>
        <v>deplace_interne</v>
      </c>
      <c r="U67" s="2" t="str">
        <f>IF('Data Checking'!AG67="","",'Data Checking'!AG67)</f>
        <v/>
      </c>
      <c r="V67" s="2" t="str">
        <f>IF('Data Checking'!AH67="","",'Data Checking'!AH67)</f>
        <v/>
      </c>
      <c r="W67" s="2" t="str">
        <f>IF('Data Checking'!AI67="","",'Data Checking'!AI67)</f>
        <v/>
      </c>
      <c r="X67" s="2" t="str">
        <f>IF('Data Checking'!AJ67="","",'Data Checking'!AJ67)</f>
        <v/>
      </c>
      <c r="Y67" s="2" t="str">
        <f>IF('Data Checking'!AK67="","",'Data Checking'!AK67)</f>
        <v/>
      </c>
      <c r="Z67" s="2" t="str">
        <f>IF('Data Checking'!AL67="","",'Data Checking'!AL67)</f>
        <v>niger</v>
      </c>
      <c r="AA67" s="2" t="str">
        <f>IF('Data Checking'!AM67="","",'Data Checking'!AM67)</f>
        <v>tillaberi</v>
      </c>
      <c r="AB67" s="2" t="str">
        <f>IF('Data Checking'!AN67="","",'Data Checking'!AN67)</f>
        <v>torodi</v>
      </c>
      <c r="AC67" s="2" t="str">
        <f>IF('Data Checking'!AO67="","",'Data Checking'!AO67)</f>
        <v/>
      </c>
      <c r="AD67" s="2" t="str">
        <f>IF('Data Checking'!AP67="","",'Data Checking'!AP67)</f>
        <v/>
      </c>
      <c r="AE67" s="2" t="str">
        <f>IF('Data Checking'!AQ67="","",'Data Checking'!AQ67)</f>
        <v/>
      </c>
      <c r="AF67" s="2" t="str">
        <f>IF('Data Checking'!AR67="","",'Data Checking'!AR67)</f>
        <v/>
      </c>
      <c r="AG67" s="2" t="str">
        <f>IF('Data Checking'!AS67="","",'Data Checking'!AS67)</f>
        <v>non</v>
      </c>
      <c r="AH67" s="2" t="str">
        <f>IF('Data Checking'!AT67="","",'Data Checking'!AT67)</f>
        <v/>
      </c>
      <c r="AI67" s="2" t="str">
        <f>IF('Data Checking'!AU67="","",'Data Checking'!AU67)</f>
        <v/>
      </c>
      <c r="AJ67" s="2" t="str">
        <f>IF('Data Checking'!AV67="","",'Data Checking'!AV67)</f>
        <v/>
      </c>
      <c r="AK67" s="2" t="str">
        <f>IF('Data Checking'!AW67="","",'Data Checking'!AW67)</f>
        <v/>
      </c>
      <c r="AL67" s="2" t="str">
        <f>IF('Data Checking'!AX67="","",'Data Checking'!AX67)</f>
        <v/>
      </c>
      <c r="AM67" s="2" t="str">
        <f>IF('Data Checking'!AY67="","",'Data Checking'!AY67)</f>
        <v/>
      </c>
      <c r="AN67" s="2" t="str">
        <f>IF('Data Checking'!AZ67="","",'Data Checking'!AZ67)</f>
        <v/>
      </c>
      <c r="AO67" s="2" t="str">
        <f>IF('Data Checking'!BA67="","",'Data Checking'!BA67)</f>
        <v/>
      </c>
      <c r="AP67" s="2" t="str">
        <f>IF('Data Checking'!BB67="","",'Data Checking'!BB67)</f>
        <v/>
      </c>
      <c r="AQ67" s="2" t="str">
        <f>IF('Data Checking'!BC67="","",'Data Checking'!BC67)</f>
        <v/>
      </c>
      <c r="AR67" s="2" t="str">
        <f>IF('Data Checking'!BD67="","",'Data Checking'!BD67)</f>
        <v/>
      </c>
      <c r="AS67" s="2" t="str">
        <f>IF('Data Checking'!BE67="","",'Data Checking'!BE67)</f>
        <v/>
      </c>
      <c r="AT67" s="2" t="str">
        <f>IF('Data Checking'!BF67="","",'Data Checking'!BF67)</f>
        <v/>
      </c>
      <c r="AU67" s="2" t="str">
        <f>IF('Data Checking'!BG67="","",'Data Checking'!BG67)</f>
        <v/>
      </c>
      <c r="AV67" s="2" t="str">
        <f>IF('Data Checking'!BH67="","",'Data Checking'!BH67)</f>
        <v/>
      </c>
      <c r="AW67" s="2" t="str">
        <f>IF('Data Checking'!BI67="","",'Data Checking'!BI67)</f>
        <v/>
      </c>
      <c r="AX67" s="2" t="str">
        <f>IF('Data Checking'!BJ67="","",'Data Checking'!BJ67)</f>
        <v/>
      </c>
      <c r="AY67" s="2" t="str">
        <f>IF('Data Checking'!BK67="","",'Data Checking'!BK67)</f>
        <v/>
      </c>
      <c r="AZ67" s="2" t="str">
        <f>IF('Data Checking'!BL67="","",'Data Checking'!BL67)</f>
        <v/>
      </c>
      <c r="BA67" s="2" t="str">
        <f>IF('Data Checking'!BM67="","",'Data Checking'!BM67)</f>
        <v/>
      </c>
      <c r="BB67" s="2" t="str">
        <f>IF('Data Checking'!BN67="","",'Data Checking'!BN67)</f>
        <v/>
      </c>
      <c r="BC67" s="2" t="str">
        <f>IF('Data Checking'!BO67="","",'Data Checking'!BO67)</f>
        <v/>
      </c>
      <c r="BD67" s="2" t="str">
        <f>IF('Data Checking'!BP67="","",'Data Checking'!BP67)</f>
        <v/>
      </c>
      <c r="BE67" s="2" t="str">
        <f>IF('Data Checking'!BQ67="","",'Data Checking'!BQ67)</f>
        <v/>
      </c>
      <c r="BF67" s="2" t="str">
        <f>IF('Data Checking'!BR67="","",'Data Checking'!BR67)</f>
        <v/>
      </c>
      <c r="BG67" s="2" t="str">
        <f>IF('Data Checking'!BS67="","",'Data Checking'!BS67)</f>
        <v/>
      </c>
      <c r="BH67" s="2" t="str">
        <f>IF('Data Checking'!BT67="","",'Data Checking'!BT67)</f>
        <v/>
      </c>
      <c r="BI67" s="2" t="str">
        <f>IF('Data Checking'!BU67="","",'Data Checking'!BU67)</f>
        <v/>
      </c>
      <c r="BJ67" s="2" t="str">
        <f>IF('Data Checking'!BV67="","",'Data Checking'!BV67)</f>
        <v/>
      </c>
      <c r="BK67" s="2" t="str">
        <f>IF('Data Checking'!BW67="","",'Data Checking'!BW67)</f>
        <v/>
      </c>
      <c r="BL67" s="2" t="str">
        <f>IF('Data Checking'!BX67="","",'Data Checking'!BX67)</f>
        <v/>
      </c>
      <c r="BM67" s="2" t="str">
        <f>IF('Data Checking'!BY67="","",'Data Checking'!BY67)</f>
        <v/>
      </c>
      <c r="BN67" s="2" t="str">
        <f>IF('Data Checking'!BZ67="","",'Data Checking'!BZ67)</f>
        <v/>
      </c>
      <c r="BO67" s="2" t="str">
        <f>IF('Data Checking'!CA67="","",'Data Checking'!CA67)</f>
        <v/>
      </c>
      <c r="BP67" s="2" t="str">
        <f>IF('Data Checking'!CB67="","",'Data Checking'!CB67)</f>
        <v/>
      </c>
      <c r="BQ67" s="2" t="str">
        <f>IF('Data Checking'!CC67="","",'Data Checking'!CC67)</f>
        <v>oui</v>
      </c>
      <c r="BR67" s="2" t="str">
        <f>IF('Data Checking'!CD67="","",'Data Checking'!CD67)</f>
        <v>travail_force</v>
      </c>
      <c r="BS67" s="2" t="str">
        <f>IF('Data Checking'!CE67="","",'Data Checking'!CE67)</f>
        <v>0</v>
      </c>
      <c r="BT67" s="2" t="str">
        <f>IF('Data Checking'!CF67="","",'Data Checking'!CF67)</f>
        <v>0</v>
      </c>
      <c r="BU67" s="2" t="str">
        <f>IF('Data Checking'!CG67="","",'Data Checking'!CG67)</f>
        <v>0</v>
      </c>
      <c r="BV67" s="2" t="str">
        <f>IF('Data Checking'!CH67="","",'Data Checking'!CH67)</f>
        <v>0</v>
      </c>
      <c r="BW67" s="2" t="str">
        <f>IF('Data Checking'!CI67="","",'Data Checking'!CI67)</f>
        <v>0</v>
      </c>
      <c r="BX67" s="2" t="str">
        <f>IF('Data Checking'!CJ67="","",'Data Checking'!CJ67)</f>
        <v>0</v>
      </c>
      <c r="BY67" s="2" t="str">
        <f>IF('Data Checking'!CK67="","",'Data Checking'!CK67)</f>
        <v>1</v>
      </c>
      <c r="BZ67" s="2" t="str">
        <f>IF('Data Checking'!CL67="","",'Data Checking'!CL67)</f>
        <v>0</v>
      </c>
      <c r="CA67" s="2" t="str">
        <f>IF('Data Checking'!CM67="","",'Data Checking'!CM67)</f>
        <v>0</v>
      </c>
      <c r="CB67" s="2" t="str">
        <f>IF('Data Checking'!CN67="","",'Data Checking'!CN67)</f>
        <v>0</v>
      </c>
      <c r="CC67" s="2" t="str">
        <f>IF('Data Checking'!CO67="","",'Data Checking'!CO67)</f>
        <v>0</v>
      </c>
      <c r="CD67" s="2" t="str">
        <f>IF('Data Checking'!CP67="","",'Data Checking'!CP67)</f>
        <v>0</v>
      </c>
      <c r="CE67" s="2" t="str">
        <f>IF('Data Checking'!CQ67="","",'Data Checking'!CQ67)</f>
        <v>0</v>
      </c>
      <c r="CF67" s="2" t="str">
        <f>IF('Data Checking'!CR67="","",'Data Checking'!CR67)</f>
        <v>0</v>
      </c>
      <c r="CG67" s="2" t="str">
        <f>IF('Data Checking'!CS67="","",'Data Checking'!CS67)</f>
        <v>0</v>
      </c>
      <c r="CH67" s="2" t="str">
        <f>IF('Data Checking'!CT67="","",'Data Checking'!CT67)</f>
        <v/>
      </c>
      <c r="CI67" s="2" t="str">
        <f>IF('Data Checking'!CU67="","",'Data Checking'!CU67)</f>
        <v>Garçons</v>
      </c>
      <c r="CJ67" s="2" t="str">
        <f>IF('Data Checking'!CV67="","",'Data Checking'!CV67)</f>
        <v>0</v>
      </c>
      <c r="CK67" s="2" t="str">
        <f>IF('Data Checking'!CW67="","",'Data Checking'!CW67)</f>
        <v>0</v>
      </c>
      <c r="CL67" s="2" t="str">
        <f>IF('Data Checking'!CX67="","",'Data Checking'!CX67)</f>
        <v>0</v>
      </c>
      <c r="CM67" s="2" t="str">
        <f>IF('Data Checking'!CY67="","",'Data Checking'!CY67)</f>
        <v>1</v>
      </c>
      <c r="CN67" s="2" t="str">
        <f>IF('Data Checking'!CZ67="","",'Data Checking'!CZ67)</f>
        <v>0</v>
      </c>
      <c r="CO67" s="2" t="str">
        <f>IF('Data Checking'!DA67="","",'Data Checking'!DA67)</f>
        <v>0</v>
      </c>
      <c r="CP67" s="2" t="str">
        <f>IF('Data Checking'!DB67="","",'Data Checking'!DB67)</f>
        <v>0</v>
      </c>
      <c r="CQ67" s="2" t="str">
        <f>IF('Data Checking'!DC67="","",'Data Checking'!DC67)</f>
        <v>0</v>
      </c>
      <c r="CR67" s="2" t="str">
        <f>IF('Data Checking'!DD67="","",'Data Checking'!DD67)</f>
        <v>0</v>
      </c>
      <c r="CS67" s="2" t="str">
        <f>IF('Data Checking'!DE67="","",'Data Checking'!DE67)</f>
        <v>0</v>
      </c>
      <c r="CT67" s="2" t="str">
        <f>IF('Data Checking'!DF67="","",'Data Checking'!DF67)</f>
        <v>0</v>
      </c>
      <c r="CU67" s="2" t="str">
        <f>IF('Data Checking'!DG67="","",'Data Checking'!DG67)</f>
        <v>0</v>
      </c>
      <c r="CV67" s="2" t="str">
        <f>IF('Data Checking'!DH67="","",'Data Checking'!DH67)</f>
        <v>0</v>
      </c>
      <c r="CW67" s="2" t="str">
        <f>IF('Data Checking'!DI67="","",'Data Checking'!DI67)</f>
        <v>0</v>
      </c>
      <c r="CX67" s="2" t="str">
        <f>IF('Data Checking'!DJ67="","",'Data Checking'!DJ67)</f>
        <v/>
      </c>
      <c r="CY67" s="2" t="str">
        <f>IF('Data Checking'!DK67="","",'Data Checking'!DK67)</f>
        <v>1</v>
      </c>
      <c r="CZ67" s="2" t="str">
        <f>IF('Data Checking'!DL67="","",'Data Checking'!DL67)</f>
        <v>augmente</v>
      </c>
      <c r="DA67" s="2" t="str">
        <f>IF('Data Checking'!DM67="","",'Data Checking'!DM67)</f>
        <v/>
      </c>
      <c r="DB67" s="2" t="str">
        <f>IF('Data Checking'!DN67="","",'Data Checking'!DN67)</f>
        <v>diminution_moyens_existence deterioration_acces_service_base</v>
      </c>
      <c r="DC67" s="2" t="str">
        <f>IF('Data Checking'!DO67="","",'Data Checking'!DO67)</f>
        <v>1</v>
      </c>
      <c r="DD67" s="2" t="str">
        <f>IF('Data Checking'!DP67="","",'Data Checking'!DP67)</f>
        <v>0</v>
      </c>
      <c r="DE67" s="2" t="str">
        <f>IF('Data Checking'!DQ67="","",'Data Checking'!DQ67)</f>
        <v>1</v>
      </c>
      <c r="DF67" s="2" t="str">
        <f>IF('Data Checking'!DR67="","",'Data Checking'!DR67)</f>
        <v>0</v>
      </c>
      <c r="DG67" s="2" t="str">
        <f>IF('Data Checking'!DS67="","",'Data Checking'!DS67)</f>
        <v>0</v>
      </c>
      <c r="DH67" s="2" t="str">
        <f>IF('Data Checking'!DT67="","",'Data Checking'!DT67)</f>
        <v>0</v>
      </c>
      <c r="DI67" s="2" t="str">
        <f>IF('Data Checking'!DU67="","",'Data Checking'!DU67)</f>
        <v>0</v>
      </c>
      <c r="DJ67" s="2" t="str">
        <f>IF('Data Checking'!DV67="","",'Data Checking'!DV67)</f>
        <v>0</v>
      </c>
      <c r="DK67" s="2" t="str">
        <f>IF('Data Checking'!DW67="","",'Data Checking'!DW67)</f>
        <v>0</v>
      </c>
      <c r="DL67" s="2" t="str">
        <f>IF('Data Checking'!DX67="","",'Data Checking'!DX67)</f>
        <v>0</v>
      </c>
      <c r="DM67" s="2" t="str">
        <f>IF('Data Checking'!DY67="","",'Data Checking'!DY67)</f>
        <v/>
      </c>
      <c r="DN67" s="2" t="str">
        <f>IF('Data Checking'!DZ67="","",'Data Checking'!DZ67)</f>
        <v/>
      </c>
      <c r="DO67" s="2" t="str">
        <f>IF('Data Checking'!EA67="","",'Data Checking'!EA67)</f>
        <v/>
      </c>
      <c r="DP67" s="2" t="str">
        <f>IF('Data Checking'!EB67="","",'Data Checking'!EB67)</f>
        <v/>
      </c>
      <c r="DQ67" s="2" t="str">
        <f>IF('Data Checking'!EC67="","",'Data Checking'!EC67)</f>
        <v/>
      </c>
      <c r="DR67" s="2" t="str">
        <f>IF('Data Checking'!ED67="","",'Data Checking'!ED67)</f>
        <v/>
      </c>
      <c r="DS67" s="2" t="str">
        <f>IF('Data Checking'!EE67="","",'Data Checking'!EE67)</f>
        <v/>
      </c>
      <c r="DT67" s="2" t="str">
        <f>IF('Data Checking'!EF67="","",'Data Checking'!EF67)</f>
        <v/>
      </c>
      <c r="DU67" s="2" t="str">
        <f>IF('Data Checking'!EG67="","",'Data Checking'!EG67)</f>
        <v/>
      </c>
      <c r="DV67" s="2" t="str">
        <f>IF('Data Checking'!EH67="","",'Data Checking'!EH67)</f>
        <v/>
      </c>
      <c r="DW67" s="2" t="str">
        <f>IF('Data Checking'!EI67="","",'Data Checking'!EI67)</f>
        <v/>
      </c>
      <c r="DX67" s="2" t="str">
        <f>IF('Data Checking'!EJ67="","",'Data Checking'!EJ67)</f>
        <v/>
      </c>
      <c r="DY67" s="2" t="str">
        <f>IF('Data Checking'!EK67="","",'Data Checking'!EK67)</f>
        <v/>
      </c>
      <c r="DZ67" s="2" t="str">
        <f>IF('Data Checking'!EL67="","",'Data Checking'!EL67)</f>
        <v>dplct_abords_com Integration_com_hote</v>
      </c>
      <c r="EA67" s="2" t="str">
        <f>IF('Data Checking'!EM67="","",'Data Checking'!EM67)</f>
        <v>1</v>
      </c>
      <c r="EB67" s="2" t="str">
        <f>IF('Data Checking'!EN67="","",'Data Checking'!EN67)</f>
        <v>1</v>
      </c>
      <c r="EC67" s="2" t="str">
        <f>IF('Data Checking'!EO67="","",'Data Checking'!EO67)</f>
        <v>0</v>
      </c>
      <c r="ED67" s="2" t="str">
        <f>IF('Data Checking'!EP67="","",'Data Checking'!EP67)</f>
        <v>0</v>
      </c>
      <c r="EE67" s="2" t="str">
        <f>IF('Data Checking'!EQ67="","",'Data Checking'!EQ67)</f>
        <v>0</v>
      </c>
      <c r="EF67" s="2" t="str">
        <f>IF('Data Checking'!ER67="","",'Data Checking'!ER67)</f>
        <v>0</v>
      </c>
      <c r="EG67" s="2" t="str">
        <f>IF('Data Checking'!ES67="","",'Data Checking'!ES67)</f>
        <v>0</v>
      </c>
      <c r="EH67" s="2" t="str">
        <f>IF('Data Checking'!ET67="","",'Data Checking'!ET67)</f>
        <v>0</v>
      </c>
      <c r="EI67" s="2" t="str">
        <f>IF('Data Checking'!EU67="","",'Data Checking'!EU67)</f>
        <v>0</v>
      </c>
      <c r="EJ67" s="2" t="str">
        <f>IF('Data Checking'!EV67="","",'Data Checking'!EV67)</f>
        <v/>
      </c>
      <c r="EK67" s="2" t="str">
        <f>IF('Data Checking'!EW67="","",'Data Checking'!EW67)</f>
        <v/>
      </c>
      <c r="EL67" s="2" t="str">
        <f>IF('Data Checking'!EX67="","",'Data Checking'!EX67)</f>
        <v>comite_protection comite_gestion_conflits comite_alerte</v>
      </c>
      <c r="EM67" s="2" t="str">
        <f>IF('Data Checking'!EY67="","",'Data Checking'!EY67)</f>
        <v>0</v>
      </c>
      <c r="EN67" s="2" t="str">
        <f>IF('Data Checking'!EZ67="","",'Data Checking'!EZ67)</f>
        <v>1</v>
      </c>
      <c r="EO67" s="2" t="str">
        <f>IF('Data Checking'!FA67="","",'Data Checking'!FA67)</f>
        <v>0</v>
      </c>
      <c r="EP67" s="2" t="str">
        <f>IF('Data Checking'!FB67="","",'Data Checking'!FB67)</f>
        <v>1</v>
      </c>
      <c r="EQ67" s="2" t="str">
        <f>IF('Data Checking'!FC67="","",'Data Checking'!FC67)</f>
        <v>0</v>
      </c>
      <c r="ER67" s="2" t="str">
        <f>IF('Data Checking'!FD67="","",'Data Checking'!FD67)</f>
        <v>1</v>
      </c>
      <c r="ES67" s="2" t="str">
        <f>IF('Data Checking'!FE67="","",'Data Checking'!FE67)</f>
        <v>0</v>
      </c>
      <c r="ET67" s="2" t="str">
        <f>IF('Data Checking'!FF67="","",'Data Checking'!FF67)</f>
        <v>0</v>
      </c>
      <c r="EU67" s="2" t="str">
        <f>IF('Data Checking'!FG67="","",'Data Checking'!FG67)</f>
        <v>0</v>
      </c>
      <c r="EV67" s="2" t="str">
        <f>IF('Data Checking'!FH67="","",'Data Checking'!FH67)</f>
        <v>0</v>
      </c>
      <c r="EW67" s="2" t="str">
        <f>IF('Data Checking'!FI67="","",'Data Checking'!FI67)</f>
        <v/>
      </c>
      <c r="EX67" s="2" t="str">
        <f>IF('Data Checking'!FJ67="","",'Data Checking'!FJ67)</f>
        <v>oui</v>
      </c>
      <c r="EY67" s="2" t="str">
        <f>IF('Data Checking'!FK67="","",'Data Checking'!FK67)</f>
        <v>Autre Travailleurs_sociaux/hum</v>
      </c>
      <c r="EZ67" s="2" t="str">
        <f>IF('Data Checking'!FL67="","",'Data Checking'!FL67)</f>
        <v>0</v>
      </c>
      <c r="FA67" s="2" t="str">
        <f>IF('Data Checking'!FM67="","",'Data Checking'!FM67)</f>
        <v>0</v>
      </c>
      <c r="FB67" s="2" t="str">
        <f>IF('Data Checking'!FN67="","",'Data Checking'!FN67)</f>
        <v>0</v>
      </c>
      <c r="FC67" s="2" t="str">
        <f>IF('Data Checking'!FO67="","",'Data Checking'!FO67)</f>
        <v>0</v>
      </c>
      <c r="FD67" s="2" t="str">
        <f>IF('Data Checking'!FP67="","",'Data Checking'!FP67)</f>
        <v>0</v>
      </c>
      <c r="FE67" s="2">
        <f>IF('Data Checking'!FQ67="","",'Data Checking'!FQ67)</f>
        <v>1</v>
      </c>
      <c r="FF67" s="2" t="str">
        <f>IF('Data Checking'!FR67="","",'Data Checking'!FR67)</f>
        <v>0</v>
      </c>
      <c r="FG67" s="2" t="str">
        <f>IF('Data Checking'!FS67="","",'Data Checking'!FS67)</f>
        <v>0</v>
      </c>
      <c r="FH67" s="2" t="str">
        <f>IF('Data Checking'!FT67="","",'Data Checking'!FT67)</f>
        <v>0</v>
      </c>
      <c r="FI67" s="2" t="str">
        <f>IF('Data Checking'!FU67="","",'Data Checking'!FU67)</f>
        <v>0</v>
      </c>
      <c r="FJ67" s="2" t="str">
        <f>IF('Data Checking'!FV67="","",'Data Checking'!FV67)</f>
        <v>1</v>
      </c>
      <c r="FK67" s="2" t="str">
        <f>IF('Data Checking'!FW67="","",'Data Checking'!FW67)</f>
        <v>0</v>
      </c>
      <c r="FL67" s="2">
        <f>IF('Data Checking'!FX67="","",'Data Checking'!FX67)</f>
        <v>0</v>
      </c>
      <c r="FM67" s="2" t="str">
        <f>IF('Data Checking'!FY67="","",'Data Checking'!FY67)</f>
        <v>0</v>
      </c>
      <c r="FN67" s="2" t="str">
        <f>IF('Data Checking'!FZ67="","",'Data Checking'!FZ67)</f>
        <v/>
      </c>
      <c r="FO67" s="2" t="str">
        <f>IF('Data Checking'!GA67="","",'Data Checking'!GA67)</f>
        <v>oui_ensemble</v>
      </c>
      <c r="FP67" s="2" t="str">
        <f>IF('Data Checking'!GB67="","",'Data Checking'!GB67)</f>
        <v>oui_ensemble</v>
      </c>
      <c r="FQ67" s="2" t="str">
        <f>IF('Data Checking'!GC67="","",'Data Checking'!GC67)</f>
        <v/>
      </c>
      <c r="FR67" s="2" t="str">
        <f>IF('Data Checking'!GD67="","",'Data Checking'!GD67)</f>
        <v/>
      </c>
      <c r="FS67" s="2" t="str">
        <f>IF('Data Checking'!GE67="","",'Data Checking'!GE67)</f>
        <v/>
      </c>
      <c r="FT67" s="2" t="str">
        <f>IF('Data Checking'!GF67="","",'Data Checking'!GF67)</f>
        <v/>
      </c>
      <c r="FU67" s="2" t="str">
        <f>IF('Data Checking'!GG67="","",'Data Checking'!GG67)</f>
        <v/>
      </c>
      <c r="FV67" s="2" t="str">
        <f>IF('Data Checking'!GH67="","",'Data Checking'!GH67)</f>
        <v/>
      </c>
      <c r="FW67" s="2" t="str">
        <f>IF('Data Checking'!GI67="","",'Data Checking'!GI67)</f>
        <v/>
      </c>
      <c r="FX67" s="2" t="str">
        <f>IF('Data Checking'!GJ67="","",'Data Checking'!GJ67)</f>
        <v/>
      </c>
      <c r="FY67" s="2" t="str">
        <f>IF('Data Checking'!GK67="","",'Data Checking'!GK67)</f>
        <v/>
      </c>
      <c r="FZ67" s="2" t="str">
        <f>IF('Data Checking'!GL67="","",'Data Checking'!GL67)</f>
        <v/>
      </c>
      <c r="GA67" s="2" t="str">
        <f>IF('Data Checking'!GM67="","",'Data Checking'!GM67)</f>
        <v>majorite</v>
      </c>
      <c r="GB67" s="2" t="str">
        <f>IF('Data Checking'!GN67="","",'Data Checking'!GN67)</f>
        <v>aucun</v>
      </c>
      <c r="GC67" s="2" t="str">
        <f>IF('Data Checking'!GO67="","",'Data Checking'!GO67)</f>
        <v>Appui_psychosocial Services_de_sante Education Acces_aux_doc</v>
      </c>
      <c r="GD67" s="2" t="str">
        <f>IF('Data Checking'!GP67="","",'Data Checking'!GP67)</f>
        <v>1</v>
      </c>
      <c r="GE67" s="2" t="str">
        <f>IF('Data Checking'!GQ67="","",'Data Checking'!GQ67)</f>
        <v>1</v>
      </c>
      <c r="GF67" s="2" t="str">
        <f>IF('Data Checking'!GR67="","",'Data Checking'!GR67)</f>
        <v>0</v>
      </c>
      <c r="GG67" s="2" t="str">
        <f>IF('Data Checking'!GS67="","",'Data Checking'!GS67)</f>
        <v>1</v>
      </c>
      <c r="GH67" s="2" t="str">
        <f>IF('Data Checking'!GT67="","",'Data Checking'!GT67)</f>
        <v>1</v>
      </c>
      <c r="GI67" s="2" t="str">
        <f>IF('Data Checking'!GU67="","",'Data Checking'!GU67)</f>
        <v>0</v>
      </c>
      <c r="GJ67" s="2" t="str">
        <f>IF('Data Checking'!GV67="","",'Data Checking'!GV67)</f>
        <v>0</v>
      </c>
      <c r="GK67" s="2" t="str">
        <f>IF('Data Checking'!GW67="","",'Data Checking'!GW67)</f>
        <v>0</v>
      </c>
      <c r="GL67" s="2" t="str">
        <f>IF('Data Checking'!GX67="","",'Data Checking'!GX67)</f>
        <v>0</v>
      </c>
      <c r="GM67" s="2" t="str">
        <f>IF('Data Checking'!GY67="","",'Data Checking'!GY67)</f>
        <v/>
      </c>
      <c r="GN67" s="2" t="str">
        <f>IF('Data Checking'!GZ67="","",'Data Checking'!GZ67)</f>
        <v>oui_majorite</v>
      </c>
      <c r="GO67" s="2" t="str">
        <f>IF('Data Checking'!HA67="","",'Data Checking'!HA67)</f>
        <v>non</v>
      </c>
      <c r="GP67" s="2" t="str">
        <f>IF('Data Checking'!HB67="","",'Data Checking'!HB67)</f>
        <v>repond_besoins_pop permet_obtenir_conseils amelioration_futur</v>
      </c>
      <c r="GQ67" s="2" t="str">
        <f>IF('Data Checking'!HC67="","",'Data Checking'!HC67)</f>
        <v>1</v>
      </c>
      <c r="GR67" s="2" t="str">
        <f>IF('Data Checking'!HD67="","",'Data Checking'!HD67)</f>
        <v>1</v>
      </c>
      <c r="GS67" s="2" t="str">
        <f>IF('Data Checking'!HE67="","",'Data Checking'!HE67)</f>
        <v>1</v>
      </c>
      <c r="GT67" s="2" t="str">
        <f>IF('Data Checking'!HF67="","",'Data Checking'!HF67)</f>
        <v>0</v>
      </c>
      <c r="GU67" s="2" t="str">
        <f>IF('Data Checking'!HG67="","",'Data Checking'!HG67)</f>
        <v>0</v>
      </c>
      <c r="GV67" s="2" t="str">
        <f>IF('Data Checking'!HH67="","",'Data Checking'!HH67)</f>
        <v>0</v>
      </c>
      <c r="GW67" s="2" t="str">
        <f>IF('Data Checking'!HI67="","",'Data Checking'!HI67)</f>
        <v>0</v>
      </c>
      <c r="GX67" s="2" t="str">
        <f>IF('Data Checking'!HJ67="","",'Data Checking'!HJ67)</f>
        <v>0</v>
      </c>
      <c r="GY67" s="2" t="str">
        <f>IF('Data Checking'!HK67="","",'Data Checking'!HK67)</f>
        <v/>
      </c>
      <c r="GZ67" s="2" t="str">
        <f>IF('Data Checking'!HL67="","",'Data Checking'!HL67)</f>
        <v>ne_repond_pas</v>
      </c>
      <c r="HA67" s="2" t="str">
        <f>IF('Data Checking'!HM67="","",'Data Checking'!HM67)</f>
        <v>0</v>
      </c>
      <c r="HB67" s="2" t="str">
        <f>IF('Data Checking'!HN67="","",'Data Checking'!HN67)</f>
        <v>1</v>
      </c>
      <c r="HC67" s="2" t="str">
        <f>IF('Data Checking'!HO67="","",'Data Checking'!HO67)</f>
        <v>0</v>
      </c>
      <c r="HD67" s="2" t="str">
        <f>IF('Data Checking'!HP67="","",'Data Checking'!HP67)</f>
        <v>0</v>
      </c>
      <c r="HE67" s="2" t="str">
        <f>IF('Data Checking'!HQ67="","",'Data Checking'!HQ67)</f>
        <v>0</v>
      </c>
      <c r="HF67" s="2" t="str">
        <f>IF('Data Checking'!HR67="","",'Data Checking'!HR67)</f>
        <v>0</v>
      </c>
      <c r="HG67" s="2" t="str">
        <f>IF('Data Checking'!HS67="","",'Data Checking'!HS67)</f>
        <v/>
      </c>
      <c r="HH67" s="2" t="str">
        <f>IF('Data Checking'!HT67="","",'Data Checking'!HT67)</f>
        <v/>
      </c>
      <c r="HI67" s="2" t="str">
        <f>IF('Data Checking'!HU67="","",'Data Checking'!HU67)</f>
        <v>non</v>
      </c>
      <c r="HJ67" s="2" t="str">
        <f>IF('Data Checking'!HV67="","",'Data Checking'!HV67)</f>
        <v/>
      </c>
      <c r="HK67" s="2" t="str">
        <f>IF('Data Checking'!HW67="","",'Data Checking'!HW67)</f>
        <v/>
      </c>
      <c r="HL67" s="2" t="str">
        <f>IF('Data Checking'!HX67="","",'Data Checking'!HX67)</f>
        <v/>
      </c>
      <c r="HM67" s="2" t="str">
        <f>IF('Data Checking'!HY67="","",'Data Checking'!HY67)</f>
        <v/>
      </c>
      <c r="HN67" s="2" t="str">
        <f>IF('Data Checking'!HZ67="","",'Data Checking'!HZ67)</f>
        <v/>
      </c>
      <c r="HO67" s="2" t="str">
        <f>IF('Data Checking'!IA67="","",'Data Checking'!IA67)</f>
        <v/>
      </c>
      <c r="HP67" s="2" t="str">
        <f>IF('Data Checking'!IB67="","",'Data Checking'!IB67)</f>
        <v/>
      </c>
      <c r="HQ67" s="2" t="str">
        <f>IF('Data Checking'!IC67="","",'Data Checking'!IC67)</f>
        <v/>
      </c>
      <c r="HR67" s="2" t="str">
        <f>IF('Data Checking'!ID67="","",'Data Checking'!ID67)</f>
        <v/>
      </c>
      <c r="HS67" s="2" t="str">
        <f>IF('Data Checking'!IE67="","",'Data Checking'!IE67)</f>
        <v/>
      </c>
      <c r="HT67" s="2" t="str">
        <f>IF('Data Checking'!IF67="","",'Data Checking'!IF67)</f>
        <v/>
      </c>
      <c r="HU67" s="2" t="str">
        <f>IF('Data Checking'!IG67="","",'Data Checking'!IG67)</f>
        <v/>
      </c>
      <c r="HV67" s="2" t="str">
        <f>IF('Data Checking'!IH67="","",'Data Checking'!IH67)</f>
        <v>oui</v>
      </c>
      <c r="HW67" s="2" t="str">
        <f>IF('Data Checking'!II67="","",'Data Checking'!II67)</f>
        <v/>
      </c>
      <c r="HX67" s="2" t="str">
        <f>IF('Data Checking'!IJ67="","",'Data Checking'!IJ67)</f>
        <v>Garçons</v>
      </c>
      <c r="HY67" s="2" t="str">
        <f>IF('Data Checking'!IK67="","",'Data Checking'!IK67)</f>
        <v>0</v>
      </c>
      <c r="HZ67" s="2" t="str">
        <f>IF('Data Checking'!IL67="","",'Data Checking'!IL67)</f>
        <v>0</v>
      </c>
      <c r="IA67" s="2" t="str">
        <f>IF('Data Checking'!IM67="","",'Data Checking'!IM67)</f>
        <v>0</v>
      </c>
      <c r="IB67" s="2" t="str">
        <f>IF('Data Checking'!IN67="","",'Data Checking'!IN67)</f>
        <v>1</v>
      </c>
      <c r="IC67" s="2" t="str">
        <f>IF('Data Checking'!IO67="","",'Data Checking'!IO67)</f>
        <v>0</v>
      </c>
      <c r="ID67" s="2" t="str">
        <f>IF('Data Checking'!IP67="","",'Data Checking'!IP67)</f>
        <v>0</v>
      </c>
      <c r="IE67" s="2" t="str">
        <f>IF('Data Checking'!IQ67="","",'Data Checking'!IQ67)</f>
        <v>0</v>
      </c>
      <c r="IF67" s="2" t="str">
        <f>IF('Data Checking'!IR67="","",'Data Checking'!IR67)</f>
        <v>0</v>
      </c>
      <c r="IG67" s="2" t="str">
        <f>IF('Data Checking'!IS67="","",'Data Checking'!IS67)</f>
        <v>0</v>
      </c>
      <c r="IH67" s="2" t="str">
        <f>IF('Data Checking'!IT67="","",'Data Checking'!IT67)</f>
        <v>0</v>
      </c>
      <c r="II67" s="2" t="str">
        <f>IF('Data Checking'!IU67="","",'Data Checking'!IU67)</f>
        <v>0</v>
      </c>
      <c r="IJ67" s="2" t="str">
        <f>IF('Data Checking'!IV67="","",'Data Checking'!IV67)</f>
        <v>0</v>
      </c>
      <c r="IK67" s="2" t="str">
        <f>IF('Data Checking'!IW67="","",'Data Checking'!IW67)</f>
        <v>0</v>
      </c>
      <c r="IL67" s="2" t="str">
        <f>IF('Data Checking'!IX67="","",'Data Checking'!IX67)</f>
        <v>0</v>
      </c>
      <c r="IM67" s="2" t="str">
        <f>IF('Data Checking'!IY67="","",'Data Checking'!IY67)</f>
        <v/>
      </c>
      <c r="IN67" s="2" t="str">
        <f>IF('Data Checking'!IZ67="","",'Data Checking'!IZ67)</f>
        <v>20</v>
      </c>
      <c r="IO67" s="2" t="str">
        <f>IF('Data Checking'!JA67="","",'Data Checking'!JA67)</f>
        <v>points_ecoute Services_conseil Services_medicaux</v>
      </c>
      <c r="IP67" s="2" t="str">
        <f>IF('Data Checking'!JB67="","",'Data Checking'!JB67)</f>
        <v>0</v>
      </c>
      <c r="IQ67" s="2" t="str">
        <f>IF('Data Checking'!JC67="","",'Data Checking'!JC67)</f>
        <v>1</v>
      </c>
      <c r="IR67" s="2" t="str">
        <f>IF('Data Checking'!JD67="","",'Data Checking'!JD67)</f>
        <v>0</v>
      </c>
      <c r="IS67" s="2" t="str">
        <f>IF('Data Checking'!JE67="","",'Data Checking'!JE67)</f>
        <v>1</v>
      </c>
      <c r="IT67" s="2" t="str">
        <f>IF('Data Checking'!JF67="","",'Data Checking'!JF67)</f>
        <v>0</v>
      </c>
      <c r="IU67" s="2" t="str">
        <f>IF('Data Checking'!JG67="","",'Data Checking'!JG67)</f>
        <v>0</v>
      </c>
      <c r="IV67" s="2" t="str">
        <f>IF('Data Checking'!JH67="","",'Data Checking'!JH67)</f>
        <v>0</v>
      </c>
      <c r="IW67" s="2" t="str">
        <f>IF('Data Checking'!JI67="","",'Data Checking'!JI67)</f>
        <v>1</v>
      </c>
      <c r="IX67" s="2" t="str">
        <f>IF('Data Checking'!JJ67="","",'Data Checking'!JJ67)</f>
        <v>0</v>
      </c>
      <c r="IY67" s="2" t="str">
        <f>IF('Data Checking'!JK67="","",'Data Checking'!JK67)</f>
        <v>0</v>
      </c>
      <c r="IZ67" s="2" t="str">
        <f>IF('Data Checking'!JL67="","",'Data Checking'!JL67)</f>
        <v/>
      </c>
      <c r="JA67" s="2" t="str">
        <f>IF('Data Checking'!JM67="","",'Data Checking'!JM67)</f>
        <v>prise_enchage reorientation signalement</v>
      </c>
      <c r="JB67" s="2" t="str">
        <f>IF('Data Checking'!JN67="","",'Data Checking'!JN67)</f>
        <v>1</v>
      </c>
      <c r="JC67" s="2" t="str">
        <f>IF('Data Checking'!JO67="","",'Data Checking'!JO67)</f>
        <v>1</v>
      </c>
      <c r="JD67" s="2" t="str">
        <f>IF('Data Checking'!JP67="","",'Data Checking'!JP67)</f>
        <v>1</v>
      </c>
      <c r="JE67" s="2" t="str">
        <f>IF('Data Checking'!JQ67="","",'Data Checking'!JQ67)</f>
        <v>0</v>
      </c>
      <c r="JF67" s="2" t="str">
        <f>IF('Data Checking'!JR67="","",'Data Checking'!JR67)</f>
        <v>0</v>
      </c>
      <c r="JG67" s="2" t="str">
        <f>IF('Data Checking'!JS67="","",'Data Checking'!JS67)</f>
        <v>0</v>
      </c>
      <c r="JH67" s="2" t="str">
        <f>IF('Data Checking'!JT67="","",'Data Checking'!JT67)</f>
        <v/>
      </c>
      <c r="JI67" s="2" t="str">
        <f>IF('Data Checking'!JU67="","",'Data Checking'!JU67)</f>
        <v>point_ecoute medical Psychosocia</v>
      </c>
      <c r="JJ67" s="2" t="str">
        <f>IF('Data Checking'!JV67="","",'Data Checking'!JV67)</f>
        <v>1</v>
      </c>
      <c r="JK67" s="2" t="str">
        <f>IF('Data Checking'!JW67="","",'Data Checking'!JW67)</f>
        <v>1</v>
      </c>
      <c r="JL67" s="2" t="str">
        <f>IF('Data Checking'!JX67="","",'Data Checking'!JX67)</f>
        <v>1</v>
      </c>
      <c r="JM67" s="2" t="str">
        <f>IF('Data Checking'!JY67="","",'Data Checking'!JY67)</f>
        <v>0</v>
      </c>
      <c r="JN67" s="2" t="str">
        <f>IF('Data Checking'!JZ67="","",'Data Checking'!JZ67)</f>
        <v>0</v>
      </c>
      <c r="JO67" s="2" t="str">
        <f>IF('Data Checking'!KA67="","",'Data Checking'!KA67)</f>
        <v>0</v>
      </c>
      <c r="JP67" s="2" t="str">
        <f>IF('Data Checking'!KB67="","",'Data Checking'!KB67)</f>
        <v>0</v>
      </c>
      <c r="JQ67" s="2" t="str">
        <f>IF('Data Checking'!KC67="","",'Data Checking'!KC67)</f>
        <v>0</v>
      </c>
      <c r="JR67" s="2" t="str">
        <f>IF('Data Checking'!KD67="","",'Data Checking'!KD67)</f>
        <v>0</v>
      </c>
      <c r="JS67" s="2" t="str">
        <f>IF('Data Checking'!KE67="","",'Data Checking'!KE67)</f>
        <v/>
      </c>
      <c r="JT67" s="2" t="str">
        <f>IF('Data Checking'!KF67="","",'Data Checking'!KF67)</f>
        <v>medical Psychosocia</v>
      </c>
      <c r="JU67" s="2" t="str">
        <f>IF('Data Checking'!KG67="","",'Data Checking'!KG67)</f>
        <v>1</v>
      </c>
      <c r="JV67" s="2" t="str">
        <f>IF('Data Checking'!KH67="","",'Data Checking'!KH67)</f>
        <v>1</v>
      </c>
      <c r="JW67" s="2" t="str">
        <f>IF('Data Checking'!KI67="","",'Data Checking'!KI67)</f>
        <v>0</v>
      </c>
      <c r="JX67" s="2" t="str">
        <f>IF('Data Checking'!KJ67="","",'Data Checking'!KJ67)</f>
        <v>0</v>
      </c>
      <c r="JY67" s="2" t="str">
        <f>IF('Data Checking'!KK67="","",'Data Checking'!KK67)</f>
        <v>0</v>
      </c>
      <c r="JZ67" s="2" t="str">
        <f>IF('Data Checking'!KL67="","",'Data Checking'!KL67)</f>
        <v>0</v>
      </c>
      <c r="KA67" s="2" t="str">
        <f>IF('Data Checking'!KM67="","",'Data Checking'!KM67)</f>
        <v>0</v>
      </c>
      <c r="KB67" s="2" t="str">
        <f>IF('Data Checking'!KN67="","",'Data Checking'!KN67)</f>
        <v>0</v>
      </c>
      <c r="KC67" s="2" t="str">
        <f>IF('Data Checking'!KO67="","",'Data Checking'!KO67)</f>
        <v>0</v>
      </c>
      <c r="KD67" s="2" t="str">
        <f>IF('Data Checking'!KP67="","",'Data Checking'!KP67)</f>
        <v/>
      </c>
      <c r="KE67" s="2" t="str">
        <f>IF('Data Checking'!KQ67="","",'Data Checking'!KQ67)</f>
        <v/>
      </c>
      <c r="KF67" s="2" t="str">
        <f>IF('Data Checking'!KR67="","",'Data Checking'!KR67)</f>
        <v>oui</v>
      </c>
      <c r="KG67" s="2" t="str">
        <f>IF('Data Checking'!KS67="","",'Data Checking'!KS67)</f>
        <v>manque_d'information manque_moyens</v>
      </c>
      <c r="KH67" s="2" t="str">
        <f>IF('Data Checking'!KT67="","",'Data Checking'!KT67)</f>
        <v>1</v>
      </c>
      <c r="KI67" s="2" t="str">
        <f>IF('Data Checking'!KU67="","",'Data Checking'!KU67)</f>
        <v>0</v>
      </c>
      <c r="KJ67" s="2" t="str">
        <f>IF('Data Checking'!KV67="","",'Data Checking'!KV67)</f>
        <v>1</v>
      </c>
      <c r="KK67" s="2" t="str">
        <f>IF('Data Checking'!KW67="","",'Data Checking'!KW67)</f>
        <v>0</v>
      </c>
      <c r="KL67" s="2" t="str">
        <f>IF('Data Checking'!KX67="","",'Data Checking'!KX67)</f>
        <v>0</v>
      </c>
      <c r="KM67" s="2" t="str">
        <f>IF('Data Checking'!KY67="","",'Data Checking'!KY67)</f>
        <v>0</v>
      </c>
      <c r="KN67" s="2" t="str">
        <f>IF('Data Checking'!KZ67="","",'Data Checking'!KZ67)</f>
        <v>0</v>
      </c>
      <c r="KO67" s="2" t="str">
        <f>IF('Data Checking'!LA67="","",'Data Checking'!LA67)</f>
        <v>0</v>
      </c>
      <c r="KP67" s="2" t="str">
        <f>IF('Data Checking'!LB67="","",'Data Checking'!LB67)</f>
        <v>0</v>
      </c>
      <c r="KQ67" s="2" t="str">
        <f>IF('Data Checking'!LC67="","",'Data Checking'!LC67)</f>
        <v>0</v>
      </c>
      <c r="KR67" s="2" t="str">
        <f>IF('Data Checking'!LD67="","",'Data Checking'!LD67)</f>
        <v>0</v>
      </c>
      <c r="KS67" s="2" t="str">
        <f>IF('Data Checking'!LE67="","",'Data Checking'!LE67)</f>
        <v/>
      </c>
      <c r="KT67" s="2" t="str">
        <f>IF('Data Checking'!LF67="","",'Data Checking'!LF67)</f>
        <v/>
      </c>
      <c r="KU67" s="2" t="str">
        <f>IF('Data Checking'!LG67="","",'Data Checking'!LG67)</f>
        <v/>
      </c>
      <c r="KV67" s="2" t="str">
        <f>IF('Data Checking'!LH67="","",'Data Checking'!LH67)</f>
        <v/>
      </c>
      <c r="KW67" s="2" t="str">
        <f>IF('Data Checking'!LI67="","",'Data Checking'!LI67)</f>
        <v/>
      </c>
      <c r="KX67" s="2" t="str">
        <f>IF('Data Checking'!LJ67="","",'Data Checking'!LJ67)</f>
        <v/>
      </c>
      <c r="KY67" s="2" t="str">
        <f>IF('Data Checking'!LK67="","",'Data Checking'!LK67)</f>
        <v/>
      </c>
      <c r="KZ67" s="2" t="str">
        <f>IF('Data Checking'!LL67="","",'Data Checking'!LL67)</f>
        <v/>
      </c>
      <c r="LA67" s="2" t="str">
        <f>IF('Data Checking'!LM67="","",'Data Checking'!LM67)</f>
        <v/>
      </c>
      <c r="LB67" s="2" t="str">
        <f>IF('Data Checking'!LN67="","",'Data Checking'!LN67)</f>
        <v>non</v>
      </c>
      <c r="LC67" s="2" t="str">
        <f>IF('Data Checking'!LO67="","",'Data Checking'!LO67)</f>
        <v/>
      </c>
      <c r="LD67" s="2" t="str">
        <f>IF('Data Checking'!LP67="","",'Data Checking'!LP67)</f>
        <v/>
      </c>
      <c r="LE67" s="2" t="str">
        <f>IF('Data Checking'!LQ67="","",'Data Checking'!LQ67)</f>
        <v/>
      </c>
      <c r="LF67" s="2" t="str">
        <f>IF('Data Checking'!LR67="","",'Data Checking'!LR67)</f>
        <v/>
      </c>
      <c r="LG67" s="2" t="str">
        <f>IF('Data Checking'!LS67="","",'Data Checking'!LS67)</f>
        <v/>
      </c>
      <c r="LH67" s="2" t="str">
        <f>IF('Data Checking'!LT67="","",'Data Checking'!LT67)</f>
        <v/>
      </c>
      <c r="LI67" s="2" t="str">
        <f>IF('Data Checking'!LU67="","",'Data Checking'!LU67)</f>
        <v/>
      </c>
      <c r="LJ67" s="2" t="str">
        <f>IF('Data Checking'!LV67="","",'Data Checking'!LV67)</f>
        <v/>
      </c>
      <c r="LK67" s="2" t="str">
        <f>IF('Data Checking'!LW67="","",'Data Checking'!LW67)</f>
        <v/>
      </c>
      <c r="LL67" s="2" t="str">
        <f>IF('Data Checking'!LX67="","",'Data Checking'!LX67)</f>
        <v/>
      </c>
      <c r="LM67" s="2" t="str">
        <f>IF('Data Checking'!LY67="","",'Data Checking'!LY67)</f>
        <v/>
      </c>
      <c r="LN67" s="2" t="str">
        <f>IF('Data Checking'!LZ67="","",'Data Checking'!LZ67)</f>
        <v/>
      </c>
      <c r="LO67" s="2" t="str">
        <f>IF('Data Checking'!MA67="","",'Data Checking'!MA67)</f>
        <v/>
      </c>
      <c r="LP67" s="2" t="str">
        <f>IF('Data Checking'!MB67="","",'Data Checking'!MB67)</f>
        <v>oui</v>
      </c>
      <c r="LQ67" s="2" t="str">
        <f>IF('Data Checking'!MC67="","",'Data Checking'!MC67)</f>
        <v/>
      </c>
      <c r="LR67" s="2" t="str">
        <f>IF('Data Checking'!MD67="","",'Data Checking'!MD67)</f>
        <v/>
      </c>
      <c r="LS67" s="2">
        <f>IF('Data Checking'!ME67="","",'Data Checking'!ME67)</f>
        <v>170254163</v>
      </c>
      <c r="LT67" s="2" t="str">
        <f>IF('Data Checking'!MF67="","",'Data Checking'!MF67)</f>
        <v>15efca70-22e4-434f-809d-688e31692d1c</v>
      </c>
      <c r="LU67" s="2" t="str">
        <f>IF('Data Checking'!MG67="","",'Data Checking'!MG67)</f>
        <v>2021-04-07T16:30:57</v>
      </c>
      <c r="LV67" s="2" t="str">
        <f>IF('Data Checking'!MH67="","",'Data Checking'!MH67)</f>
        <v/>
      </c>
      <c r="LW67" s="2" t="str">
        <f>IF('Data Checking'!MI67="","",'Data Checking'!MI67)</f>
        <v>[]</v>
      </c>
      <c r="LX67" s="2" t="str">
        <f>IF('Data Checking'!MJ67="","",'Data Checking'!MJ67)</f>
        <v>submitted_via_web</v>
      </c>
      <c r="LY67" s="2" t="str">
        <f>IF('Data Checking'!MK67="","",'Data Checking'!MK67)</f>
        <v>reach_niger</v>
      </c>
      <c r="LZ67" s="2" t="str">
        <f>IF('Data Checking'!ML67="","",'Data Checking'!ML67)</f>
        <v/>
      </c>
      <c r="MA67" s="2">
        <f>IF('Data Checking'!MM67="","",'Data Checking'!MM67)</f>
        <v>51</v>
      </c>
    </row>
    <row r="68" spans="1:339" x14ac:dyDescent="0.3">
      <c r="A68" s="2" t="str">
        <f>IF('Data Checking'!D68="","",'Data Checking'!D68)</f>
        <v>2021-04-01T10:45:13.711+01:00</v>
      </c>
      <c r="B68" s="2" t="str">
        <f>IF('Data Checking'!E68="","",'Data Checking'!E68)</f>
        <v>2021-04-01T17:55:30.277+01:00</v>
      </c>
      <c r="C68" s="2" t="str">
        <f>IF('Data Checking'!M68="","",'Data Checking'!M68)</f>
        <v>2021-04-01</v>
      </c>
      <c r="D68" s="2" t="str">
        <f>IF('Data Checking'!N68="","",'Data Checking'!N68)</f>
        <v/>
      </c>
      <c r="E68" s="2" t="str">
        <f>IF('Data Checking'!O68="","",'Data Checking'!O68)</f>
        <v/>
      </c>
      <c r="F68" s="2" t="str">
        <f>IF('Data Checking'!R68="","",'Data Checking'!R68)</f>
        <v>Homme</v>
      </c>
      <c r="G68" s="2" t="str">
        <f>IF('Data Checking'!S68="","",'Data Checking'!S68)</f>
        <v>torodi</v>
      </c>
      <c r="H68" s="2" t="str">
        <f>IF('Data Checking'!T68="","",'Data Checking'!T68)</f>
        <v>makalondi</v>
      </c>
      <c r="I68" s="2" t="str">
        <f>IF('Data Checking'!U68="","",'Data Checking'!U68)</f>
        <v>autre</v>
      </c>
      <c r="J68" s="2" t="str">
        <f>IF('Data Checking'!V68="","",'Data Checking'!V68)</f>
        <v>Tous les sites PDI de la zone de compétence de l'IC</v>
      </c>
      <c r="K68" s="2" t="str">
        <f>IF('Data Checking'!W68="","",'Data Checking'!W68)</f>
        <v/>
      </c>
      <c r="L68" s="2" t="str">
        <f>IF('Data Checking'!X68="","",'Data Checking'!X68)</f>
        <v/>
      </c>
      <c r="M68" s="2" t="str">
        <f>IF('Data Checking'!Y68="","",'Data Checking'!Y68)</f>
        <v/>
      </c>
      <c r="N68" s="2" t="str">
        <f>IF('Data Checking'!Z68="","",'Data Checking'!Z68)</f>
        <v/>
      </c>
      <c r="O68" s="2" t="str">
        <f>IF('Data Checking'!AA68="","",'Data Checking'!AA68)</f>
        <v/>
      </c>
      <c r="P68" s="2" t="str">
        <f>IF('Data Checking'!AB68="","",'Data Checking'!AB68)</f>
        <v/>
      </c>
      <c r="Q68" s="2" t="str">
        <f>IF('Data Checking'!AC68="","",'Data Checking'!AC68)</f>
        <v/>
      </c>
      <c r="R68" s="2" t="str">
        <f>IF('Data Checking'!AD68="","",'Data Checking'!AD68)</f>
        <v>Homme</v>
      </c>
      <c r="S68" s="2" t="str">
        <f>IF('Data Checking'!AE68="","",'Data Checking'!AE68)</f>
        <v>26</v>
      </c>
      <c r="T68" s="2" t="str">
        <f>IF('Data Checking'!AF68="","",'Data Checking'!AF68)</f>
        <v>Hote</v>
      </c>
      <c r="U68" s="2" t="str">
        <f>IF('Data Checking'!AG68="","",'Data Checking'!AG68)</f>
        <v/>
      </c>
      <c r="V68" s="2" t="str">
        <f>IF('Data Checking'!AH68="","",'Data Checking'!AH68)</f>
        <v/>
      </c>
      <c r="W68" s="2" t="str">
        <f>IF('Data Checking'!AI68="","",'Data Checking'!AI68)</f>
        <v/>
      </c>
      <c r="X68" s="2" t="str">
        <f>IF('Data Checking'!AJ68="","",'Data Checking'!AJ68)</f>
        <v/>
      </c>
      <c r="Y68" s="2" t="str">
        <f>IF('Data Checking'!AK68="","",'Data Checking'!AK68)</f>
        <v/>
      </c>
      <c r="Z68" s="2" t="str">
        <f>IF('Data Checking'!AL68="","",'Data Checking'!AL68)</f>
        <v/>
      </c>
      <c r="AA68" s="2" t="str">
        <f>IF('Data Checking'!AM68="","",'Data Checking'!AM68)</f>
        <v/>
      </c>
      <c r="AB68" s="2" t="str">
        <f>IF('Data Checking'!AN68="","",'Data Checking'!AN68)</f>
        <v/>
      </c>
      <c r="AC68" s="2" t="str">
        <f>IF('Data Checking'!AO68="","",'Data Checking'!AO68)</f>
        <v/>
      </c>
      <c r="AD68" s="2" t="str">
        <f>IF('Data Checking'!AP68="","",'Data Checking'!AP68)</f>
        <v/>
      </c>
      <c r="AE68" s="2" t="str">
        <f>IF('Data Checking'!AQ68="","",'Data Checking'!AQ68)</f>
        <v/>
      </c>
      <c r="AF68" s="2" t="str">
        <f>IF('Data Checking'!AR68="","",'Data Checking'!AR68)</f>
        <v/>
      </c>
      <c r="AG68" s="2" t="str">
        <f>IF('Data Checking'!AS68="","",'Data Checking'!AS68)</f>
        <v>oui</v>
      </c>
      <c r="AH68" s="2" t="str">
        <f>IF('Data Checking'!AT68="","",'Data Checking'!AT68)</f>
        <v>Kidnapping_Disparitions_forcees Violences_physique_civils</v>
      </c>
      <c r="AI68" s="2" t="str">
        <f>IF('Data Checking'!AU68="","",'Data Checking'!AU68)</f>
        <v>0</v>
      </c>
      <c r="AJ68" s="2" t="str">
        <f>IF('Data Checking'!AV68="","",'Data Checking'!AV68)</f>
        <v>0</v>
      </c>
      <c r="AK68" s="2" t="str">
        <f>IF('Data Checking'!AW68="","",'Data Checking'!AW68)</f>
        <v>0</v>
      </c>
      <c r="AL68" s="2" t="str">
        <f>IF('Data Checking'!AX68="","",'Data Checking'!AX68)</f>
        <v>0</v>
      </c>
      <c r="AM68" s="2" t="str">
        <f>IF('Data Checking'!AY68="","",'Data Checking'!AY68)</f>
        <v>1</v>
      </c>
      <c r="AN68" s="2" t="str">
        <f>IF('Data Checking'!AZ68="","",'Data Checking'!AZ68)</f>
        <v>1</v>
      </c>
      <c r="AO68" s="2" t="str">
        <f>IF('Data Checking'!BA68="","",'Data Checking'!BA68)</f>
        <v>0</v>
      </c>
      <c r="AP68" s="2" t="str">
        <f>IF('Data Checking'!BB68="","",'Data Checking'!BB68)</f>
        <v>0</v>
      </c>
      <c r="AQ68" s="2" t="str">
        <f>IF('Data Checking'!BC68="","",'Data Checking'!BC68)</f>
        <v>0</v>
      </c>
      <c r="AR68" s="2" t="str">
        <f>IF('Data Checking'!BD68="","",'Data Checking'!BD68)</f>
        <v>0</v>
      </c>
      <c r="AS68" s="2" t="str">
        <f>IF('Data Checking'!BE68="","",'Data Checking'!BE68)</f>
        <v>0</v>
      </c>
      <c r="AT68" s="2" t="str">
        <f>IF('Data Checking'!BF68="","",'Data Checking'!BF68)</f>
        <v>0</v>
      </c>
      <c r="AU68" s="2" t="str">
        <f>IF('Data Checking'!BG68="","",'Data Checking'!BG68)</f>
        <v>0</v>
      </c>
      <c r="AV68" s="2" t="str">
        <f>IF('Data Checking'!BH68="","",'Data Checking'!BH68)</f>
        <v>0</v>
      </c>
      <c r="AW68" s="2" t="str">
        <f>IF('Data Checking'!BI68="","",'Data Checking'!BI68)</f>
        <v/>
      </c>
      <c r="AX68" s="2" t="str">
        <f>IF('Data Checking'!BJ68="","",'Data Checking'!BJ68)</f>
        <v>Hommes Femmes Hommes_ages</v>
      </c>
      <c r="AY68" s="2" t="str">
        <f>IF('Data Checking'!BK68="","",'Data Checking'!BK68)</f>
        <v>0</v>
      </c>
      <c r="AZ68" s="2" t="str">
        <f>IF('Data Checking'!BL68="","",'Data Checking'!BL68)</f>
        <v>0</v>
      </c>
      <c r="BA68" s="2" t="str">
        <f>IF('Data Checking'!BM68="","",'Data Checking'!BM68)</f>
        <v>0</v>
      </c>
      <c r="BB68" s="2" t="str">
        <f>IF('Data Checking'!BN68="","",'Data Checking'!BN68)</f>
        <v>0</v>
      </c>
      <c r="BC68" s="2" t="str">
        <f>IF('Data Checking'!BO68="","",'Data Checking'!BO68)</f>
        <v>1</v>
      </c>
      <c r="BD68" s="2" t="str">
        <f>IF('Data Checking'!BP68="","",'Data Checking'!BP68)</f>
        <v>1</v>
      </c>
      <c r="BE68" s="2" t="str">
        <f>IF('Data Checking'!BQ68="","",'Data Checking'!BQ68)</f>
        <v>0</v>
      </c>
      <c r="BF68" s="2" t="str">
        <f>IF('Data Checking'!BR68="","",'Data Checking'!BR68)</f>
        <v>1</v>
      </c>
      <c r="BG68" s="2" t="str">
        <f>IF('Data Checking'!BS68="","",'Data Checking'!BS68)</f>
        <v>0</v>
      </c>
      <c r="BH68" s="2" t="str">
        <f>IF('Data Checking'!BT68="","",'Data Checking'!BT68)</f>
        <v>0</v>
      </c>
      <c r="BI68" s="2" t="str">
        <f>IF('Data Checking'!BU68="","",'Data Checking'!BU68)</f>
        <v>0</v>
      </c>
      <c r="BJ68" s="2" t="str">
        <f>IF('Data Checking'!BV68="","",'Data Checking'!BV68)</f>
        <v>0</v>
      </c>
      <c r="BK68" s="2" t="str">
        <f>IF('Data Checking'!BW68="","",'Data Checking'!BW68)</f>
        <v>0</v>
      </c>
      <c r="BL68" s="2" t="str">
        <f>IF('Data Checking'!BX68="","",'Data Checking'!BX68)</f>
        <v>0</v>
      </c>
      <c r="BM68" s="2" t="str">
        <f>IF('Data Checking'!BY68="","",'Data Checking'!BY68)</f>
        <v/>
      </c>
      <c r="BN68" s="2" t="str">
        <f>IF('Data Checking'!BZ68="","",'Data Checking'!BZ68)</f>
        <v>plusde5</v>
      </c>
      <c r="BO68" s="2" t="str">
        <f>IF('Data Checking'!CA68="","",'Data Checking'!CA68)</f>
        <v>diminue</v>
      </c>
      <c r="BP68" s="2" t="str">
        <f>IF('Data Checking'!CB68="","",'Data Checking'!CB68)</f>
        <v/>
      </c>
      <c r="BQ68" s="2" t="str">
        <f>IF('Data Checking'!CC68="","",'Data Checking'!CC68)</f>
        <v>non</v>
      </c>
      <c r="BR68" s="2" t="str">
        <f>IF('Data Checking'!CD68="","",'Data Checking'!CD68)</f>
        <v/>
      </c>
      <c r="BS68" s="2" t="str">
        <f>IF('Data Checking'!CE68="","",'Data Checking'!CE68)</f>
        <v/>
      </c>
      <c r="BT68" s="2" t="str">
        <f>IF('Data Checking'!CF68="","",'Data Checking'!CF68)</f>
        <v/>
      </c>
      <c r="BU68" s="2" t="str">
        <f>IF('Data Checking'!CG68="","",'Data Checking'!CG68)</f>
        <v/>
      </c>
      <c r="BV68" s="2" t="str">
        <f>IF('Data Checking'!CH68="","",'Data Checking'!CH68)</f>
        <v/>
      </c>
      <c r="BW68" s="2" t="str">
        <f>IF('Data Checking'!CI68="","",'Data Checking'!CI68)</f>
        <v/>
      </c>
      <c r="BX68" s="2" t="str">
        <f>IF('Data Checking'!CJ68="","",'Data Checking'!CJ68)</f>
        <v/>
      </c>
      <c r="BY68" s="2" t="str">
        <f>IF('Data Checking'!CK68="","",'Data Checking'!CK68)</f>
        <v/>
      </c>
      <c r="BZ68" s="2" t="str">
        <f>IF('Data Checking'!CL68="","",'Data Checking'!CL68)</f>
        <v/>
      </c>
      <c r="CA68" s="2" t="str">
        <f>IF('Data Checking'!CM68="","",'Data Checking'!CM68)</f>
        <v/>
      </c>
      <c r="CB68" s="2" t="str">
        <f>IF('Data Checking'!CN68="","",'Data Checking'!CN68)</f>
        <v/>
      </c>
      <c r="CC68" s="2" t="str">
        <f>IF('Data Checking'!CO68="","",'Data Checking'!CO68)</f>
        <v/>
      </c>
      <c r="CD68" s="2" t="str">
        <f>IF('Data Checking'!CP68="","",'Data Checking'!CP68)</f>
        <v/>
      </c>
      <c r="CE68" s="2" t="str">
        <f>IF('Data Checking'!CQ68="","",'Data Checking'!CQ68)</f>
        <v/>
      </c>
      <c r="CF68" s="2" t="str">
        <f>IF('Data Checking'!CR68="","",'Data Checking'!CR68)</f>
        <v/>
      </c>
      <c r="CG68" s="2" t="str">
        <f>IF('Data Checking'!CS68="","",'Data Checking'!CS68)</f>
        <v/>
      </c>
      <c r="CH68" s="2" t="str">
        <f>IF('Data Checking'!CT68="","",'Data Checking'!CT68)</f>
        <v/>
      </c>
      <c r="CI68" s="2" t="str">
        <f>IF('Data Checking'!CU68="","",'Data Checking'!CU68)</f>
        <v/>
      </c>
      <c r="CJ68" s="2" t="str">
        <f>IF('Data Checking'!CV68="","",'Data Checking'!CV68)</f>
        <v/>
      </c>
      <c r="CK68" s="2" t="str">
        <f>IF('Data Checking'!CW68="","",'Data Checking'!CW68)</f>
        <v/>
      </c>
      <c r="CL68" s="2" t="str">
        <f>IF('Data Checking'!CX68="","",'Data Checking'!CX68)</f>
        <v/>
      </c>
      <c r="CM68" s="2" t="str">
        <f>IF('Data Checking'!CY68="","",'Data Checking'!CY68)</f>
        <v/>
      </c>
      <c r="CN68" s="2" t="str">
        <f>IF('Data Checking'!CZ68="","",'Data Checking'!CZ68)</f>
        <v/>
      </c>
      <c r="CO68" s="2" t="str">
        <f>IF('Data Checking'!DA68="","",'Data Checking'!DA68)</f>
        <v/>
      </c>
      <c r="CP68" s="2" t="str">
        <f>IF('Data Checking'!DB68="","",'Data Checking'!DB68)</f>
        <v/>
      </c>
      <c r="CQ68" s="2" t="str">
        <f>IF('Data Checking'!DC68="","",'Data Checking'!DC68)</f>
        <v/>
      </c>
      <c r="CR68" s="2" t="str">
        <f>IF('Data Checking'!DD68="","",'Data Checking'!DD68)</f>
        <v/>
      </c>
      <c r="CS68" s="2" t="str">
        <f>IF('Data Checking'!DE68="","",'Data Checking'!DE68)</f>
        <v/>
      </c>
      <c r="CT68" s="2" t="str">
        <f>IF('Data Checking'!DF68="","",'Data Checking'!DF68)</f>
        <v/>
      </c>
      <c r="CU68" s="2" t="str">
        <f>IF('Data Checking'!DG68="","",'Data Checking'!DG68)</f>
        <v/>
      </c>
      <c r="CV68" s="2" t="str">
        <f>IF('Data Checking'!DH68="","",'Data Checking'!DH68)</f>
        <v/>
      </c>
      <c r="CW68" s="2" t="str">
        <f>IF('Data Checking'!DI68="","",'Data Checking'!DI68)</f>
        <v/>
      </c>
      <c r="CX68" s="2" t="str">
        <f>IF('Data Checking'!DJ68="","",'Data Checking'!DJ68)</f>
        <v/>
      </c>
      <c r="CY68" s="2" t="str">
        <f>IF('Data Checking'!DK68="","",'Data Checking'!DK68)</f>
        <v/>
      </c>
      <c r="CZ68" s="2" t="str">
        <f>IF('Data Checking'!DL68="","",'Data Checking'!DL68)</f>
        <v/>
      </c>
      <c r="DA68" s="2" t="str">
        <f>IF('Data Checking'!DM68="","",'Data Checking'!DM68)</f>
        <v/>
      </c>
      <c r="DB68" s="2" t="str">
        <f>IF('Data Checking'!DN68="","",'Data Checking'!DN68)</f>
        <v/>
      </c>
      <c r="DC68" s="2" t="str">
        <f>IF('Data Checking'!DO68="","",'Data Checking'!DO68)</f>
        <v/>
      </c>
      <c r="DD68" s="2" t="str">
        <f>IF('Data Checking'!DP68="","",'Data Checking'!DP68)</f>
        <v/>
      </c>
      <c r="DE68" s="2" t="str">
        <f>IF('Data Checking'!DQ68="","",'Data Checking'!DQ68)</f>
        <v/>
      </c>
      <c r="DF68" s="2" t="str">
        <f>IF('Data Checking'!DR68="","",'Data Checking'!DR68)</f>
        <v/>
      </c>
      <c r="DG68" s="2" t="str">
        <f>IF('Data Checking'!DS68="","",'Data Checking'!DS68)</f>
        <v/>
      </c>
      <c r="DH68" s="2" t="str">
        <f>IF('Data Checking'!DT68="","",'Data Checking'!DT68)</f>
        <v/>
      </c>
      <c r="DI68" s="2" t="str">
        <f>IF('Data Checking'!DU68="","",'Data Checking'!DU68)</f>
        <v/>
      </c>
      <c r="DJ68" s="2" t="str">
        <f>IF('Data Checking'!DV68="","",'Data Checking'!DV68)</f>
        <v/>
      </c>
      <c r="DK68" s="2" t="str">
        <f>IF('Data Checking'!DW68="","",'Data Checking'!DW68)</f>
        <v/>
      </c>
      <c r="DL68" s="2" t="str">
        <f>IF('Data Checking'!DX68="","",'Data Checking'!DX68)</f>
        <v/>
      </c>
      <c r="DM68" s="2" t="str">
        <f>IF('Data Checking'!DY68="","",'Data Checking'!DY68)</f>
        <v/>
      </c>
      <c r="DN68" s="2" t="str">
        <f>IF('Data Checking'!DZ68="","",'Data Checking'!DZ68)</f>
        <v>Ne_sait_pas</v>
      </c>
      <c r="DO68" s="2" t="str">
        <f>IF('Data Checking'!EA68="","",'Data Checking'!EA68)</f>
        <v>0</v>
      </c>
      <c r="DP68" s="2" t="str">
        <f>IF('Data Checking'!EB68="","",'Data Checking'!EB68)</f>
        <v>0</v>
      </c>
      <c r="DQ68" s="2" t="str">
        <f>IF('Data Checking'!EC68="","",'Data Checking'!EC68)</f>
        <v>0</v>
      </c>
      <c r="DR68" s="2" t="str">
        <f>IF('Data Checking'!ED68="","",'Data Checking'!ED68)</f>
        <v>0</v>
      </c>
      <c r="DS68" s="2" t="str">
        <f>IF('Data Checking'!EE68="","",'Data Checking'!EE68)</f>
        <v>0</v>
      </c>
      <c r="DT68" s="2" t="str">
        <f>IF('Data Checking'!EF68="","",'Data Checking'!EF68)</f>
        <v>0</v>
      </c>
      <c r="DU68" s="2" t="str">
        <f>IF('Data Checking'!EG68="","",'Data Checking'!EG68)</f>
        <v>0</v>
      </c>
      <c r="DV68" s="2" t="str">
        <f>IF('Data Checking'!EH68="","",'Data Checking'!EH68)</f>
        <v>1</v>
      </c>
      <c r="DW68" s="2" t="str">
        <f>IF('Data Checking'!EI68="","",'Data Checking'!EI68)</f>
        <v>0</v>
      </c>
      <c r="DX68" s="2" t="str">
        <f>IF('Data Checking'!EJ68="","",'Data Checking'!EJ68)</f>
        <v/>
      </c>
      <c r="DY68" s="2" t="str">
        <f>IF('Data Checking'!EK68="","",'Data Checking'!EK68)</f>
        <v/>
      </c>
      <c r="DZ68" s="2" t="str">
        <f>IF('Data Checking'!EL68="","",'Data Checking'!EL68)</f>
        <v>dplct_abords_com</v>
      </c>
      <c r="EA68" s="2" t="str">
        <f>IF('Data Checking'!EM68="","",'Data Checking'!EM68)</f>
        <v>1</v>
      </c>
      <c r="EB68" s="2" t="str">
        <f>IF('Data Checking'!EN68="","",'Data Checking'!EN68)</f>
        <v>0</v>
      </c>
      <c r="EC68" s="2" t="str">
        <f>IF('Data Checking'!EO68="","",'Data Checking'!EO68)</f>
        <v>0</v>
      </c>
      <c r="ED68" s="2" t="str">
        <f>IF('Data Checking'!EP68="","",'Data Checking'!EP68)</f>
        <v>0</v>
      </c>
      <c r="EE68" s="2" t="str">
        <f>IF('Data Checking'!EQ68="","",'Data Checking'!EQ68)</f>
        <v>0</v>
      </c>
      <c r="EF68" s="2" t="str">
        <f>IF('Data Checking'!ER68="","",'Data Checking'!ER68)</f>
        <v>0</v>
      </c>
      <c r="EG68" s="2" t="str">
        <f>IF('Data Checking'!ES68="","",'Data Checking'!ES68)</f>
        <v>0</v>
      </c>
      <c r="EH68" s="2" t="str">
        <f>IF('Data Checking'!ET68="","",'Data Checking'!ET68)</f>
        <v>0</v>
      </c>
      <c r="EI68" s="2" t="str">
        <f>IF('Data Checking'!EU68="","",'Data Checking'!EU68)</f>
        <v>0</v>
      </c>
      <c r="EJ68" s="2" t="str">
        <f>IF('Data Checking'!EV68="","",'Data Checking'!EV68)</f>
        <v/>
      </c>
      <c r="EK68" s="2" t="str">
        <f>IF('Data Checking'!EW68="","",'Data Checking'!EW68)</f>
        <v/>
      </c>
      <c r="EL68" s="2" t="str">
        <f>IF('Data Checking'!EX68="","",'Data Checking'!EX68)</f>
        <v>famille_accueil comite_protection comite_alerte</v>
      </c>
      <c r="EM68" s="2" t="str">
        <f>IF('Data Checking'!EY68="","",'Data Checking'!EY68)</f>
        <v>0</v>
      </c>
      <c r="EN68" s="2" t="str">
        <f>IF('Data Checking'!EZ68="","",'Data Checking'!EZ68)</f>
        <v>1</v>
      </c>
      <c r="EO68" s="2" t="str">
        <f>IF('Data Checking'!FA68="","",'Data Checking'!FA68)</f>
        <v>1</v>
      </c>
      <c r="EP68" s="2" t="str">
        <f>IF('Data Checking'!FB68="","",'Data Checking'!FB68)</f>
        <v>1</v>
      </c>
      <c r="EQ68" s="2" t="str">
        <f>IF('Data Checking'!FC68="","",'Data Checking'!FC68)</f>
        <v>0</v>
      </c>
      <c r="ER68" s="2" t="str">
        <f>IF('Data Checking'!FD68="","",'Data Checking'!FD68)</f>
        <v>0</v>
      </c>
      <c r="ES68" s="2" t="str">
        <f>IF('Data Checking'!FE68="","",'Data Checking'!FE68)</f>
        <v>0</v>
      </c>
      <c r="ET68" s="2" t="str">
        <f>IF('Data Checking'!FF68="","",'Data Checking'!FF68)</f>
        <v>0</v>
      </c>
      <c r="EU68" s="2" t="str">
        <f>IF('Data Checking'!FG68="","",'Data Checking'!FG68)</f>
        <v>0</v>
      </c>
      <c r="EV68" s="2" t="str">
        <f>IF('Data Checking'!FH68="","",'Data Checking'!FH68)</f>
        <v>0</v>
      </c>
      <c r="EW68" s="2" t="str">
        <f>IF('Data Checking'!FI68="","",'Data Checking'!FI68)</f>
        <v/>
      </c>
      <c r="EX68" s="2" t="str">
        <f>IF('Data Checking'!FJ68="","",'Data Checking'!FJ68)</f>
        <v>oui</v>
      </c>
      <c r="EY68" s="2" t="str">
        <f>IF('Data Checking'!FK68="","",'Data Checking'!FK68)</f>
        <v>Differents_comites_villageois Travailleurs_sociaux/hum</v>
      </c>
      <c r="EZ68" s="2" t="str">
        <f>IF('Data Checking'!FL68="","",'Data Checking'!FL68)</f>
        <v>0</v>
      </c>
      <c r="FA68" s="2" t="str">
        <f>IF('Data Checking'!FM68="","",'Data Checking'!FM68)</f>
        <v>0</v>
      </c>
      <c r="FB68" s="2" t="str">
        <f>IF('Data Checking'!FN68="","",'Data Checking'!FN68)</f>
        <v>0</v>
      </c>
      <c r="FC68" s="2" t="str">
        <f>IF('Data Checking'!FO68="","",'Data Checking'!FO68)</f>
        <v>0</v>
      </c>
      <c r="FD68" s="2" t="str">
        <f>IF('Data Checking'!FP68="","",'Data Checking'!FP68)</f>
        <v>0</v>
      </c>
      <c r="FE68" s="2" t="str">
        <f>IF('Data Checking'!FQ68="","",'Data Checking'!FQ68)</f>
        <v>0</v>
      </c>
      <c r="FF68" s="2" t="str">
        <f>IF('Data Checking'!FR68="","",'Data Checking'!FR68)</f>
        <v>0</v>
      </c>
      <c r="FG68" s="2" t="str">
        <f>IF('Data Checking'!FS68="","",'Data Checking'!FS68)</f>
        <v>0</v>
      </c>
      <c r="FH68" s="2" t="str">
        <f>IF('Data Checking'!FT68="","",'Data Checking'!FT68)</f>
        <v>1</v>
      </c>
      <c r="FI68" s="2" t="str">
        <f>IF('Data Checking'!FU68="","",'Data Checking'!FU68)</f>
        <v>0</v>
      </c>
      <c r="FJ68" s="2" t="str">
        <f>IF('Data Checking'!FV68="","",'Data Checking'!FV68)</f>
        <v>1</v>
      </c>
      <c r="FK68" s="2" t="str">
        <f>IF('Data Checking'!FW68="","",'Data Checking'!FW68)</f>
        <v>0</v>
      </c>
      <c r="FL68" s="2" t="str">
        <f>IF('Data Checking'!FX68="","",'Data Checking'!FX68)</f>
        <v>0</v>
      </c>
      <c r="FM68" s="2" t="str">
        <f>IF('Data Checking'!FY68="","",'Data Checking'!FY68)</f>
        <v>0</v>
      </c>
      <c r="FN68" s="2" t="str">
        <f>IF('Data Checking'!FZ68="","",'Data Checking'!FZ68)</f>
        <v/>
      </c>
      <c r="FO68" s="2" t="str">
        <f>IF('Data Checking'!GA68="","",'Data Checking'!GA68)</f>
        <v>oui_ensemble</v>
      </c>
      <c r="FP68" s="2" t="str">
        <f>IF('Data Checking'!GB68="","",'Data Checking'!GB68)</f>
        <v>oui_ensemble</v>
      </c>
      <c r="FQ68" s="2" t="str">
        <f>IF('Data Checking'!GC68="","",'Data Checking'!GC68)</f>
        <v/>
      </c>
      <c r="FR68" s="2" t="str">
        <f>IF('Data Checking'!GD68="","",'Data Checking'!GD68)</f>
        <v/>
      </c>
      <c r="FS68" s="2" t="str">
        <f>IF('Data Checking'!GE68="","",'Data Checking'!GE68)</f>
        <v/>
      </c>
      <c r="FT68" s="2" t="str">
        <f>IF('Data Checking'!GF68="","",'Data Checking'!GF68)</f>
        <v/>
      </c>
      <c r="FU68" s="2" t="str">
        <f>IF('Data Checking'!GG68="","",'Data Checking'!GG68)</f>
        <v/>
      </c>
      <c r="FV68" s="2" t="str">
        <f>IF('Data Checking'!GH68="","",'Data Checking'!GH68)</f>
        <v/>
      </c>
      <c r="FW68" s="2" t="str">
        <f>IF('Data Checking'!GI68="","",'Data Checking'!GI68)</f>
        <v/>
      </c>
      <c r="FX68" s="2" t="str">
        <f>IF('Data Checking'!GJ68="","",'Data Checking'!GJ68)</f>
        <v/>
      </c>
      <c r="FY68" s="2" t="str">
        <f>IF('Data Checking'!GK68="","",'Data Checking'!GK68)</f>
        <v/>
      </c>
      <c r="FZ68" s="2" t="str">
        <f>IF('Data Checking'!GL68="","",'Data Checking'!GL68)</f>
        <v/>
      </c>
      <c r="GA68" s="2" t="str">
        <f>IF('Data Checking'!GM68="","",'Data Checking'!GM68)</f>
        <v>ensemble</v>
      </c>
      <c r="GB68" s="2" t="str">
        <f>IF('Data Checking'!GN68="","",'Data Checking'!GN68)</f>
        <v>ensemble</v>
      </c>
      <c r="GC68" s="2" t="str">
        <f>IF('Data Checking'!GO68="","",'Data Checking'!GO68)</f>
        <v>Appui_psychosocial Services_de_sante Education</v>
      </c>
      <c r="GD68" s="2" t="str">
        <f>IF('Data Checking'!GP68="","",'Data Checking'!GP68)</f>
        <v>1</v>
      </c>
      <c r="GE68" s="2" t="str">
        <f>IF('Data Checking'!GQ68="","",'Data Checking'!GQ68)</f>
        <v>1</v>
      </c>
      <c r="GF68" s="2" t="str">
        <f>IF('Data Checking'!GR68="","",'Data Checking'!GR68)</f>
        <v>0</v>
      </c>
      <c r="GG68" s="2" t="str">
        <f>IF('Data Checking'!GS68="","",'Data Checking'!GS68)</f>
        <v>1</v>
      </c>
      <c r="GH68" s="2" t="str">
        <f>IF('Data Checking'!GT68="","",'Data Checking'!GT68)</f>
        <v>0</v>
      </c>
      <c r="GI68" s="2" t="str">
        <f>IF('Data Checking'!GU68="","",'Data Checking'!GU68)</f>
        <v>0</v>
      </c>
      <c r="GJ68" s="2" t="str">
        <f>IF('Data Checking'!GV68="","",'Data Checking'!GV68)</f>
        <v>0</v>
      </c>
      <c r="GK68" s="2" t="str">
        <f>IF('Data Checking'!GW68="","",'Data Checking'!GW68)</f>
        <v>0</v>
      </c>
      <c r="GL68" s="2" t="str">
        <f>IF('Data Checking'!GX68="","",'Data Checking'!GX68)</f>
        <v>0</v>
      </c>
      <c r="GM68" s="2" t="str">
        <f>IF('Data Checking'!GY68="","",'Data Checking'!GY68)</f>
        <v/>
      </c>
      <c r="GN68" s="2" t="str">
        <f>IF('Data Checking'!GZ68="","",'Data Checking'!GZ68)</f>
        <v>oui_ensemble</v>
      </c>
      <c r="GO68" s="2" t="str">
        <f>IF('Data Checking'!HA68="","",'Data Checking'!HA68)</f>
        <v>oui_ensemble</v>
      </c>
      <c r="GP68" s="2" t="str">
        <f>IF('Data Checking'!HB68="","",'Data Checking'!HB68)</f>
        <v>repond_besoins_pop amelioration_futur permet_obtenir_conseils</v>
      </c>
      <c r="GQ68" s="2" t="str">
        <f>IF('Data Checking'!HC68="","",'Data Checking'!HC68)</f>
        <v>1</v>
      </c>
      <c r="GR68" s="2" t="str">
        <f>IF('Data Checking'!HD68="","",'Data Checking'!HD68)</f>
        <v>1</v>
      </c>
      <c r="GS68" s="2" t="str">
        <f>IF('Data Checking'!HE68="","",'Data Checking'!HE68)</f>
        <v>1</v>
      </c>
      <c r="GT68" s="2" t="str">
        <f>IF('Data Checking'!HF68="","",'Data Checking'!HF68)</f>
        <v>0</v>
      </c>
      <c r="GU68" s="2" t="str">
        <f>IF('Data Checking'!HG68="","",'Data Checking'!HG68)</f>
        <v>0</v>
      </c>
      <c r="GV68" s="2" t="str">
        <f>IF('Data Checking'!HH68="","",'Data Checking'!HH68)</f>
        <v>0</v>
      </c>
      <c r="GW68" s="2" t="str">
        <f>IF('Data Checking'!HI68="","",'Data Checking'!HI68)</f>
        <v>0</v>
      </c>
      <c r="GX68" s="2" t="str">
        <f>IF('Data Checking'!HJ68="","",'Data Checking'!HJ68)</f>
        <v>0</v>
      </c>
      <c r="GY68" s="2" t="str">
        <f>IF('Data Checking'!HK68="","",'Data Checking'!HK68)</f>
        <v/>
      </c>
      <c r="GZ68" s="2" t="str">
        <f>IF('Data Checking'!HL68="","",'Data Checking'!HL68)</f>
        <v/>
      </c>
      <c r="HA68" s="2" t="str">
        <f>IF('Data Checking'!HM68="","",'Data Checking'!HM68)</f>
        <v/>
      </c>
      <c r="HB68" s="2" t="str">
        <f>IF('Data Checking'!HN68="","",'Data Checking'!HN68)</f>
        <v/>
      </c>
      <c r="HC68" s="2" t="str">
        <f>IF('Data Checking'!HO68="","",'Data Checking'!HO68)</f>
        <v/>
      </c>
      <c r="HD68" s="2" t="str">
        <f>IF('Data Checking'!HP68="","",'Data Checking'!HP68)</f>
        <v/>
      </c>
      <c r="HE68" s="2" t="str">
        <f>IF('Data Checking'!HQ68="","",'Data Checking'!HQ68)</f>
        <v/>
      </c>
      <c r="HF68" s="2" t="str">
        <f>IF('Data Checking'!HR68="","",'Data Checking'!HR68)</f>
        <v/>
      </c>
      <c r="HG68" s="2" t="str">
        <f>IF('Data Checking'!HS68="","",'Data Checking'!HS68)</f>
        <v/>
      </c>
      <c r="HH68" s="2" t="str">
        <f>IF('Data Checking'!HT68="","",'Data Checking'!HT68)</f>
        <v/>
      </c>
      <c r="HI68" s="2" t="str">
        <f>IF('Data Checking'!HU68="","",'Data Checking'!HU68)</f>
        <v>oui_majorite</v>
      </c>
      <c r="HJ68" s="2" t="str">
        <f>IF('Data Checking'!HV68="","",'Data Checking'!HV68)</f>
        <v>ingo</v>
      </c>
      <c r="HK68" s="2" t="str">
        <f>IF('Data Checking'!HW68="","",'Data Checking'!HW68)</f>
        <v>0</v>
      </c>
      <c r="HL68" s="2" t="str">
        <f>IF('Data Checking'!HX68="","",'Data Checking'!HX68)</f>
        <v>0</v>
      </c>
      <c r="HM68" s="2" t="str">
        <f>IF('Data Checking'!HY68="","",'Data Checking'!HY68)</f>
        <v>0</v>
      </c>
      <c r="HN68" s="2" t="str">
        <f>IF('Data Checking'!HZ68="","",'Data Checking'!HZ68)</f>
        <v>0</v>
      </c>
      <c r="HO68" s="2" t="str">
        <f>IF('Data Checking'!IA68="","",'Data Checking'!IA68)</f>
        <v>1</v>
      </c>
      <c r="HP68" s="2" t="str">
        <f>IF('Data Checking'!IB68="","",'Data Checking'!IB68)</f>
        <v>0</v>
      </c>
      <c r="HQ68" s="2" t="str">
        <f>IF('Data Checking'!IC68="","",'Data Checking'!IC68)</f>
        <v>0</v>
      </c>
      <c r="HR68" s="2" t="str">
        <f>IF('Data Checking'!ID68="","",'Data Checking'!ID68)</f>
        <v>0</v>
      </c>
      <c r="HS68" s="2" t="str">
        <f>IF('Data Checking'!IE68="","",'Data Checking'!IE68)</f>
        <v>0</v>
      </c>
      <c r="HT68" s="2" t="str">
        <f>IF('Data Checking'!IF68="","",'Data Checking'!IF68)</f>
        <v>0</v>
      </c>
      <c r="HU68" s="2" t="str">
        <f>IF('Data Checking'!IG68="","",'Data Checking'!IG68)</f>
        <v/>
      </c>
      <c r="HV68" s="2" t="str">
        <f>IF('Data Checking'!IH68="","",'Data Checking'!IH68)</f>
        <v>oui</v>
      </c>
      <c r="HW68" s="2" t="str">
        <f>IF('Data Checking'!II68="","",'Data Checking'!II68)</f>
        <v/>
      </c>
      <c r="HX68" s="2" t="str">
        <f>IF('Data Checking'!IJ68="","",'Data Checking'!IJ68)</f>
        <v>Enfants Filles Femmes Hommes Hommes_ages</v>
      </c>
      <c r="HY68" s="2" t="str">
        <f>IF('Data Checking'!IK68="","",'Data Checking'!IK68)</f>
        <v>0</v>
      </c>
      <c r="HZ68" s="2" t="str">
        <f>IF('Data Checking'!IL68="","",'Data Checking'!IL68)</f>
        <v>1</v>
      </c>
      <c r="IA68" s="2" t="str">
        <f>IF('Data Checking'!IM68="","",'Data Checking'!IM68)</f>
        <v>1</v>
      </c>
      <c r="IB68" s="2" t="str">
        <f>IF('Data Checking'!IN68="","",'Data Checking'!IN68)</f>
        <v>0</v>
      </c>
      <c r="IC68" s="2" t="str">
        <f>IF('Data Checking'!IO68="","",'Data Checking'!IO68)</f>
        <v>1</v>
      </c>
      <c r="ID68" s="2" t="str">
        <f>IF('Data Checking'!IP68="","",'Data Checking'!IP68)</f>
        <v>1</v>
      </c>
      <c r="IE68" s="2" t="str">
        <f>IF('Data Checking'!IQ68="","",'Data Checking'!IQ68)</f>
        <v>0</v>
      </c>
      <c r="IF68" s="2" t="str">
        <f>IF('Data Checking'!IR68="","",'Data Checking'!IR68)</f>
        <v>1</v>
      </c>
      <c r="IG68" s="2" t="str">
        <f>IF('Data Checking'!IS68="","",'Data Checking'!IS68)</f>
        <v>0</v>
      </c>
      <c r="IH68" s="2" t="str">
        <f>IF('Data Checking'!IT68="","",'Data Checking'!IT68)</f>
        <v>0</v>
      </c>
      <c r="II68" s="2" t="str">
        <f>IF('Data Checking'!IU68="","",'Data Checking'!IU68)</f>
        <v>0</v>
      </c>
      <c r="IJ68" s="2" t="str">
        <f>IF('Data Checking'!IV68="","",'Data Checking'!IV68)</f>
        <v>0</v>
      </c>
      <c r="IK68" s="2" t="str">
        <f>IF('Data Checking'!IW68="","",'Data Checking'!IW68)</f>
        <v>0</v>
      </c>
      <c r="IL68" s="2" t="str">
        <f>IF('Data Checking'!IX68="","",'Data Checking'!IX68)</f>
        <v>0</v>
      </c>
      <c r="IM68" s="2" t="str">
        <f>IF('Data Checking'!IY68="","",'Data Checking'!IY68)</f>
        <v/>
      </c>
      <c r="IN68" s="2" t="str">
        <f>IF('Data Checking'!IZ68="","",'Data Checking'!IZ68)</f>
        <v>30</v>
      </c>
      <c r="IO68" s="2" t="str">
        <f>IF('Data Checking'!JA68="","",'Data Checking'!JA68)</f>
        <v>points_ecoute</v>
      </c>
      <c r="IP68" s="2" t="str">
        <f>IF('Data Checking'!JB68="","",'Data Checking'!JB68)</f>
        <v>0</v>
      </c>
      <c r="IQ68" s="2" t="str">
        <f>IF('Data Checking'!JC68="","",'Data Checking'!JC68)</f>
        <v>0</v>
      </c>
      <c r="IR68" s="2" t="str">
        <f>IF('Data Checking'!JD68="","",'Data Checking'!JD68)</f>
        <v>0</v>
      </c>
      <c r="IS68" s="2" t="str">
        <f>IF('Data Checking'!JE68="","",'Data Checking'!JE68)</f>
        <v>0</v>
      </c>
      <c r="IT68" s="2" t="str">
        <f>IF('Data Checking'!JF68="","",'Data Checking'!JF68)</f>
        <v>0</v>
      </c>
      <c r="IU68" s="2" t="str">
        <f>IF('Data Checking'!JG68="","",'Data Checking'!JG68)</f>
        <v>0</v>
      </c>
      <c r="IV68" s="2" t="str">
        <f>IF('Data Checking'!JH68="","",'Data Checking'!JH68)</f>
        <v>0</v>
      </c>
      <c r="IW68" s="2" t="str">
        <f>IF('Data Checking'!JI68="","",'Data Checking'!JI68)</f>
        <v>1</v>
      </c>
      <c r="IX68" s="2" t="str">
        <f>IF('Data Checking'!JJ68="","",'Data Checking'!JJ68)</f>
        <v>0</v>
      </c>
      <c r="IY68" s="2" t="str">
        <f>IF('Data Checking'!JK68="","",'Data Checking'!JK68)</f>
        <v>0</v>
      </c>
      <c r="IZ68" s="2" t="str">
        <f>IF('Data Checking'!JL68="","",'Data Checking'!JL68)</f>
        <v/>
      </c>
      <c r="JA68" s="2" t="str">
        <f>IF('Data Checking'!JM68="","",'Data Checking'!JM68)</f>
        <v>prise_enchage signalement reorientation</v>
      </c>
      <c r="JB68" s="2" t="str">
        <f>IF('Data Checking'!JN68="","",'Data Checking'!JN68)</f>
        <v>1</v>
      </c>
      <c r="JC68" s="2" t="str">
        <f>IF('Data Checking'!JO68="","",'Data Checking'!JO68)</f>
        <v>1</v>
      </c>
      <c r="JD68" s="2" t="str">
        <f>IF('Data Checking'!JP68="","",'Data Checking'!JP68)</f>
        <v>1</v>
      </c>
      <c r="JE68" s="2" t="str">
        <f>IF('Data Checking'!JQ68="","",'Data Checking'!JQ68)</f>
        <v>0</v>
      </c>
      <c r="JF68" s="2" t="str">
        <f>IF('Data Checking'!JR68="","",'Data Checking'!JR68)</f>
        <v>0</v>
      </c>
      <c r="JG68" s="2" t="str">
        <f>IF('Data Checking'!JS68="","",'Data Checking'!JS68)</f>
        <v>0</v>
      </c>
      <c r="JH68" s="2" t="str">
        <f>IF('Data Checking'!JT68="","",'Data Checking'!JT68)</f>
        <v/>
      </c>
      <c r="JI68" s="2" t="str">
        <f>IF('Data Checking'!JU68="","",'Data Checking'!JU68)</f>
        <v>point_ecoute surete</v>
      </c>
      <c r="JJ68" s="2" t="str">
        <f>IF('Data Checking'!JV68="","",'Data Checking'!JV68)</f>
        <v>0</v>
      </c>
      <c r="JK68" s="2" t="str">
        <f>IF('Data Checking'!JW68="","",'Data Checking'!JW68)</f>
        <v>0</v>
      </c>
      <c r="JL68" s="2" t="str">
        <f>IF('Data Checking'!JX68="","",'Data Checking'!JX68)</f>
        <v>1</v>
      </c>
      <c r="JM68" s="2" t="str">
        <f>IF('Data Checking'!JY68="","",'Data Checking'!JY68)</f>
        <v>0</v>
      </c>
      <c r="JN68" s="2" t="str">
        <f>IF('Data Checking'!JZ68="","",'Data Checking'!JZ68)</f>
        <v>1</v>
      </c>
      <c r="JO68" s="2" t="str">
        <f>IF('Data Checking'!KA68="","",'Data Checking'!KA68)</f>
        <v>0</v>
      </c>
      <c r="JP68" s="2" t="str">
        <f>IF('Data Checking'!KB68="","",'Data Checking'!KB68)</f>
        <v>0</v>
      </c>
      <c r="JQ68" s="2">
        <f>IF('Data Checking'!KC68="","",'Data Checking'!KC68)</f>
        <v>0</v>
      </c>
      <c r="JR68" s="2" t="str">
        <f>IF('Data Checking'!KD68="","",'Data Checking'!KD68)</f>
        <v>0</v>
      </c>
      <c r="JS68" s="2" t="str">
        <f>IF('Data Checking'!KE68="","",'Data Checking'!KE68)</f>
        <v/>
      </c>
      <c r="JT68" s="2" t="str">
        <f>IF('Data Checking'!KF68="","",'Data Checking'!KF68)</f>
        <v>medical Psychosocia point_ecoute juridique</v>
      </c>
      <c r="JU68" s="2" t="str">
        <f>IF('Data Checking'!KG68="","",'Data Checking'!KG68)</f>
        <v>1</v>
      </c>
      <c r="JV68" s="2" t="str">
        <f>IF('Data Checking'!KH68="","",'Data Checking'!KH68)</f>
        <v>1</v>
      </c>
      <c r="JW68" s="2" t="str">
        <f>IF('Data Checking'!KI68="","",'Data Checking'!KI68)</f>
        <v>1</v>
      </c>
      <c r="JX68" s="2" t="str">
        <f>IF('Data Checking'!KJ68="","",'Data Checking'!KJ68)</f>
        <v>1</v>
      </c>
      <c r="JY68" s="2" t="str">
        <f>IF('Data Checking'!KK68="","",'Data Checking'!KK68)</f>
        <v>0</v>
      </c>
      <c r="JZ68" s="2" t="str">
        <f>IF('Data Checking'!KL68="","",'Data Checking'!KL68)</f>
        <v>0</v>
      </c>
      <c r="KA68" s="2" t="str">
        <f>IF('Data Checking'!KM68="","",'Data Checking'!KM68)</f>
        <v>0</v>
      </c>
      <c r="KB68" s="2" t="str">
        <f>IF('Data Checking'!KN68="","",'Data Checking'!KN68)</f>
        <v>0</v>
      </c>
      <c r="KC68" s="2" t="str">
        <f>IF('Data Checking'!KO68="","",'Data Checking'!KO68)</f>
        <v>0</v>
      </c>
      <c r="KD68" s="2" t="str">
        <f>IF('Data Checking'!KP68="","",'Data Checking'!KP68)</f>
        <v/>
      </c>
      <c r="KE68" s="2" t="str">
        <f>IF('Data Checking'!KQ68="","",'Data Checking'!KQ68)</f>
        <v/>
      </c>
      <c r="KF68" s="2" t="str">
        <f>IF('Data Checking'!KR68="","",'Data Checking'!KR68)</f>
        <v>oui</v>
      </c>
      <c r="KG68" s="2" t="str">
        <f>IF('Data Checking'!KS68="","",'Data Checking'!KS68)</f>
        <v>probleme_orientation manque_cordination</v>
      </c>
      <c r="KH68" s="2" t="str">
        <f>IF('Data Checking'!KT68="","",'Data Checking'!KT68)</f>
        <v>0</v>
      </c>
      <c r="KI68" s="2" t="str">
        <f>IF('Data Checking'!KU68="","",'Data Checking'!KU68)</f>
        <v>0</v>
      </c>
      <c r="KJ68" s="2" t="str">
        <f>IF('Data Checking'!KV68="","",'Data Checking'!KV68)</f>
        <v>0</v>
      </c>
      <c r="KK68" s="2" t="str">
        <f>IF('Data Checking'!KW68="","",'Data Checking'!KW68)</f>
        <v>1</v>
      </c>
      <c r="KL68" s="2" t="str">
        <f>IF('Data Checking'!KX68="","",'Data Checking'!KX68)</f>
        <v>0</v>
      </c>
      <c r="KM68" s="2" t="str">
        <f>IF('Data Checking'!KY68="","",'Data Checking'!KY68)</f>
        <v>0</v>
      </c>
      <c r="KN68" s="2" t="str">
        <f>IF('Data Checking'!KZ68="","",'Data Checking'!KZ68)</f>
        <v>1</v>
      </c>
      <c r="KO68" s="2" t="str">
        <f>IF('Data Checking'!LA68="","",'Data Checking'!LA68)</f>
        <v>0</v>
      </c>
      <c r="KP68" s="2" t="str">
        <f>IF('Data Checking'!LB68="","",'Data Checking'!LB68)</f>
        <v>0</v>
      </c>
      <c r="KQ68" s="2" t="str">
        <f>IF('Data Checking'!LC68="","",'Data Checking'!LC68)</f>
        <v>0</v>
      </c>
      <c r="KR68" s="2" t="str">
        <f>IF('Data Checking'!LD68="","",'Data Checking'!LD68)</f>
        <v>0</v>
      </c>
      <c r="KS68" s="2" t="str">
        <f>IF('Data Checking'!LE68="","",'Data Checking'!LE68)</f>
        <v/>
      </c>
      <c r="KT68" s="2" t="str">
        <f>IF('Data Checking'!LF68="","",'Data Checking'!LF68)</f>
        <v>pb_logistiques pb_coordination</v>
      </c>
      <c r="KU68" s="2" t="str">
        <f>IF('Data Checking'!LG68="","",'Data Checking'!LG68)</f>
        <v>0</v>
      </c>
      <c r="KV68" s="2" t="str">
        <f>IF('Data Checking'!LH68="","",'Data Checking'!LH68)</f>
        <v>1</v>
      </c>
      <c r="KW68" s="2" t="str">
        <f>IF('Data Checking'!LI68="","",'Data Checking'!LI68)</f>
        <v>0</v>
      </c>
      <c r="KX68" s="2" t="str">
        <f>IF('Data Checking'!LJ68="","",'Data Checking'!LJ68)</f>
        <v>1</v>
      </c>
      <c r="KY68" s="2" t="str">
        <f>IF('Data Checking'!LK68="","",'Data Checking'!LK68)</f>
        <v>0</v>
      </c>
      <c r="KZ68" s="2" t="str">
        <f>IF('Data Checking'!LL68="","",'Data Checking'!LL68)</f>
        <v>0</v>
      </c>
      <c r="LA68" s="2" t="str">
        <f>IF('Data Checking'!LM68="","",'Data Checking'!LM68)</f>
        <v/>
      </c>
      <c r="LB68" s="2" t="str">
        <f>IF('Data Checking'!LN68="","",'Data Checking'!LN68)</f>
        <v>non</v>
      </c>
      <c r="LC68" s="2" t="str">
        <f>IF('Data Checking'!LO68="","",'Data Checking'!LO68)</f>
        <v/>
      </c>
      <c r="LD68" s="2" t="str">
        <f>IF('Data Checking'!LP68="","",'Data Checking'!LP68)</f>
        <v/>
      </c>
      <c r="LE68" s="2" t="str">
        <f>IF('Data Checking'!LQ68="","",'Data Checking'!LQ68)</f>
        <v/>
      </c>
      <c r="LF68" s="2" t="str">
        <f>IF('Data Checking'!LR68="","",'Data Checking'!LR68)</f>
        <v/>
      </c>
      <c r="LG68" s="2" t="str">
        <f>IF('Data Checking'!LS68="","",'Data Checking'!LS68)</f>
        <v/>
      </c>
      <c r="LH68" s="2" t="str">
        <f>IF('Data Checking'!LT68="","",'Data Checking'!LT68)</f>
        <v/>
      </c>
      <c r="LI68" s="2" t="str">
        <f>IF('Data Checking'!LU68="","",'Data Checking'!LU68)</f>
        <v/>
      </c>
      <c r="LJ68" s="2" t="str">
        <f>IF('Data Checking'!LV68="","",'Data Checking'!LV68)</f>
        <v/>
      </c>
      <c r="LK68" s="2" t="str">
        <f>IF('Data Checking'!LW68="","",'Data Checking'!LW68)</f>
        <v/>
      </c>
      <c r="LL68" s="2" t="str">
        <f>IF('Data Checking'!LX68="","",'Data Checking'!LX68)</f>
        <v/>
      </c>
      <c r="LM68" s="2" t="str">
        <f>IF('Data Checking'!LY68="","",'Data Checking'!LY68)</f>
        <v/>
      </c>
      <c r="LN68" s="2" t="str">
        <f>IF('Data Checking'!LZ68="","",'Data Checking'!LZ68)</f>
        <v/>
      </c>
      <c r="LO68" s="2" t="str">
        <f>IF('Data Checking'!MA68="","",'Data Checking'!MA68)</f>
        <v/>
      </c>
      <c r="LP68" s="2" t="str">
        <f>IF('Data Checking'!MB68="","",'Data Checking'!MB68)</f>
        <v>oui</v>
      </c>
      <c r="LQ68" s="2" t="str">
        <f>IF('Data Checking'!MC68="","",'Data Checking'!MC68)</f>
        <v/>
      </c>
      <c r="LR68" s="2" t="str">
        <f>IF('Data Checking'!MD68="","",'Data Checking'!MD68)</f>
        <v>Les incidents cités par l'IC sont liés aux sites de déplacés dont nous n'avons pas accès</v>
      </c>
      <c r="LS68" s="2">
        <f>IF('Data Checking'!ME68="","",'Data Checking'!ME68)</f>
        <v>169204105</v>
      </c>
      <c r="LT68" s="2" t="str">
        <f>IF('Data Checking'!MF68="","",'Data Checking'!MF68)</f>
        <v>c02e3a07-cabd-4b66-9aa3-541f62026c49</v>
      </c>
      <c r="LU68" s="2" t="str">
        <f>IF('Data Checking'!MG68="","",'Data Checking'!MG68)</f>
        <v>2021-04-01T17:43:16</v>
      </c>
      <c r="LV68" s="2" t="str">
        <f>IF('Data Checking'!MH68="","",'Data Checking'!MH68)</f>
        <v/>
      </c>
      <c r="LW68" s="2" t="str">
        <f>IF('Data Checking'!MI68="","",'Data Checking'!MI68)</f>
        <v>[]</v>
      </c>
      <c r="LX68" s="2" t="str">
        <f>IF('Data Checking'!MJ68="","",'Data Checking'!MJ68)</f>
        <v>submitted_via_web</v>
      </c>
      <c r="LY68" s="2" t="str">
        <f>IF('Data Checking'!MK68="","",'Data Checking'!MK68)</f>
        <v>reach_niger</v>
      </c>
      <c r="LZ68" s="2" t="str">
        <f>IF('Data Checking'!ML68="","",'Data Checking'!ML68)</f>
        <v/>
      </c>
      <c r="MA68" s="2">
        <f>IF('Data Checking'!MM68="","",'Data Checking'!MM68)</f>
        <v>15</v>
      </c>
    </row>
    <row r="69" spans="1:339" x14ac:dyDescent="0.3">
      <c r="A69" s="2" t="str">
        <f>IF('Data Checking'!D69="","",'Data Checking'!D69)</f>
        <v>2021-03-31T09:24:31.654+01:00</v>
      </c>
      <c r="B69" s="2" t="str">
        <f>IF('Data Checking'!E69="","",'Data Checking'!E69)</f>
        <v>2021-03-31T10:22:43.671+01:00</v>
      </c>
      <c r="C69" s="2" t="str">
        <f>IF('Data Checking'!M69="","",'Data Checking'!M69)</f>
        <v>2021-03-31</v>
      </c>
      <c r="D69" s="2" t="str">
        <f>IF('Data Checking'!N69="","",'Data Checking'!N69)</f>
        <v/>
      </c>
      <c r="E69" s="2" t="str">
        <f>IF('Data Checking'!O69="","",'Data Checking'!O69)</f>
        <v/>
      </c>
      <c r="F69" s="2" t="str">
        <f>IF('Data Checking'!R69="","",'Data Checking'!R69)</f>
        <v>Homme</v>
      </c>
      <c r="G69" s="2" t="str">
        <f>IF('Data Checking'!S69="","",'Data Checking'!S69)</f>
        <v>torodi</v>
      </c>
      <c r="H69" s="2" t="str">
        <f>IF('Data Checking'!T69="","",'Data Checking'!T69)</f>
        <v>makalondi</v>
      </c>
      <c r="I69" s="2" t="str">
        <f>IF('Data Checking'!U69="","",'Data Checking'!U69)</f>
        <v>autre</v>
      </c>
      <c r="J69" s="2" t="str">
        <f>IF('Data Checking'!V69="","",'Data Checking'!V69)</f>
        <v>Tous les sites PDI de la zone de compétence de l'IC</v>
      </c>
      <c r="K69" s="2" t="str">
        <f>IF('Data Checking'!W69="","",'Data Checking'!W69)</f>
        <v/>
      </c>
      <c r="L69" s="2" t="str">
        <f>IF('Data Checking'!X69="","",'Data Checking'!X69)</f>
        <v/>
      </c>
      <c r="M69" s="2" t="str">
        <f>IF('Data Checking'!Y69="","",'Data Checking'!Y69)</f>
        <v/>
      </c>
      <c r="N69" s="2" t="str">
        <f>IF('Data Checking'!Z69="","",'Data Checking'!Z69)</f>
        <v/>
      </c>
      <c r="O69" s="2" t="str">
        <f>IF('Data Checking'!AA69="","",'Data Checking'!AA69)</f>
        <v/>
      </c>
      <c r="P69" s="2" t="str">
        <f>IF('Data Checking'!AB69="","",'Data Checking'!AB69)</f>
        <v/>
      </c>
      <c r="Q69" s="2" t="str">
        <f>IF('Data Checking'!AC69="","",'Data Checking'!AC69)</f>
        <v/>
      </c>
      <c r="R69" s="2" t="str">
        <f>IF('Data Checking'!AD69="","",'Data Checking'!AD69)</f>
        <v>Homme</v>
      </c>
      <c r="S69" s="2" t="str">
        <f>IF('Data Checking'!AE69="","",'Data Checking'!AE69)</f>
        <v>39</v>
      </c>
      <c r="T69" s="2" t="str">
        <f>IF('Data Checking'!AF69="","",'Data Checking'!AF69)</f>
        <v>Hote</v>
      </c>
      <c r="U69" s="2" t="str">
        <f>IF('Data Checking'!AG69="","",'Data Checking'!AG69)</f>
        <v/>
      </c>
      <c r="V69" s="2" t="str">
        <f>IF('Data Checking'!AH69="","",'Data Checking'!AH69)</f>
        <v/>
      </c>
      <c r="W69" s="2" t="str">
        <f>IF('Data Checking'!AI69="","",'Data Checking'!AI69)</f>
        <v/>
      </c>
      <c r="X69" s="2" t="str">
        <f>IF('Data Checking'!AJ69="","",'Data Checking'!AJ69)</f>
        <v/>
      </c>
      <c r="Y69" s="2" t="str">
        <f>IF('Data Checking'!AK69="","",'Data Checking'!AK69)</f>
        <v/>
      </c>
      <c r="Z69" s="2" t="str">
        <f>IF('Data Checking'!AL69="","",'Data Checking'!AL69)</f>
        <v/>
      </c>
      <c r="AA69" s="2" t="str">
        <f>IF('Data Checking'!AM69="","",'Data Checking'!AM69)</f>
        <v/>
      </c>
      <c r="AB69" s="2" t="str">
        <f>IF('Data Checking'!AN69="","",'Data Checking'!AN69)</f>
        <v/>
      </c>
      <c r="AC69" s="2" t="str">
        <f>IF('Data Checking'!AO69="","",'Data Checking'!AO69)</f>
        <v/>
      </c>
      <c r="AD69" s="2" t="str">
        <f>IF('Data Checking'!AP69="","",'Data Checking'!AP69)</f>
        <v/>
      </c>
      <c r="AE69" s="2" t="str">
        <f>IF('Data Checking'!AQ69="","",'Data Checking'!AQ69)</f>
        <v/>
      </c>
      <c r="AF69" s="2" t="str">
        <f>IF('Data Checking'!AR69="","",'Data Checking'!AR69)</f>
        <v/>
      </c>
      <c r="AG69" s="2" t="str">
        <f>IF('Data Checking'!AS69="","",'Data Checking'!AS69)</f>
        <v>oui</v>
      </c>
      <c r="AH69" s="2" t="str">
        <f>IF('Data Checking'!AT69="","",'Data Checking'!AT69)</f>
        <v>Kidnapping_Disparitions_forcees</v>
      </c>
      <c r="AI69" s="2" t="str">
        <f>IF('Data Checking'!AU69="","",'Data Checking'!AU69)</f>
        <v>0</v>
      </c>
      <c r="AJ69" s="2" t="str">
        <f>IF('Data Checking'!AV69="","",'Data Checking'!AV69)</f>
        <v>0</v>
      </c>
      <c r="AK69" s="2" t="str">
        <f>IF('Data Checking'!AW69="","",'Data Checking'!AW69)</f>
        <v>0</v>
      </c>
      <c r="AL69" s="2" t="str">
        <f>IF('Data Checking'!AX69="","",'Data Checking'!AX69)</f>
        <v>0</v>
      </c>
      <c r="AM69" s="2" t="str">
        <f>IF('Data Checking'!AY69="","",'Data Checking'!AY69)</f>
        <v>0</v>
      </c>
      <c r="AN69" s="2" t="str">
        <f>IF('Data Checking'!AZ69="","",'Data Checking'!AZ69)</f>
        <v>1</v>
      </c>
      <c r="AO69" s="2" t="str">
        <f>IF('Data Checking'!BA69="","",'Data Checking'!BA69)</f>
        <v>0</v>
      </c>
      <c r="AP69" s="2" t="str">
        <f>IF('Data Checking'!BB69="","",'Data Checking'!BB69)</f>
        <v>0</v>
      </c>
      <c r="AQ69" s="2" t="str">
        <f>IF('Data Checking'!BC69="","",'Data Checking'!BC69)</f>
        <v>0</v>
      </c>
      <c r="AR69" s="2" t="str">
        <f>IF('Data Checking'!BD69="","",'Data Checking'!BD69)</f>
        <v>0</v>
      </c>
      <c r="AS69" s="2" t="str">
        <f>IF('Data Checking'!BE69="","",'Data Checking'!BE69)</f>
        <v>0</v>
      </c>
      <c r="AT69" s="2" t="str">
        <f>IF('Data Checking'!BF69="","",'Data Checking'!BF69)</f>
        <v>0</v>
      </c>
      <c r="AU69" s="2" t="str">
        <f>IF('Data Checking'!BG69="","",'Data Checking'!BG69)</f>
        <v>0</v>
      </c>
      <c r="AV69" s="2" t="str">
        <f>IF('Data Checking'!BH69="","",'Data Checking'!BH69)</f>
        <v>0</v>
      </c>
      <c r="AW69" s="2" t="str">
        <f>IF('Data Checking'!BI69="","",'Data Checking'!BI69)</f>
        <v/>
      </c>
      <c r="AX69" s="2" t="str">
        <f>IF('Data Checking'!BJ69="","",'Data Checking'!BJ69)</f>
        <v>Garçons Hommes</v>
      </c>
      <c r="AY69" s="2" t="str">
        <f>IF('Data Checking'!BK69="","",'Data Checking'!BK69)</f>
        <v>0</v>
      </c>
      <c r="AZ69" s="2" t="str">
        <f>IF('Data Checking'!BL69="","",'Data Checking'!BL69)</f>
        <v>0</v>
      </c>
      <c r="BA69" s="2" t="str">
        <f>IF('Data Checking'!BM69="","",'Data Checking'!BM69)</f>
        <v>0</v>
      </c>
      <c r="BB69" s="2" t="str">
        <f>IF('Data Checking'!BN69="","",'Data Checking'!BN69)</f>
        <v>1</v>
      </c>
      <c r="BC69" s="2" t="str">
        <f>IF('Data Checking'!BO69="","",'Data Checking'!BO69)</f>
        <v>0</v>
      </c>
      <c r="BD69" s="2" t="str">
        <f>IF('Data Checking'!BP69="","",'Data Checking'!BP69)</f>
        <v>1</v>
      </c>
      <c r="BE69" s="2" t="str">
        <f>IF('Data Checking'!BQ69="","",'Data Checking'!BQ69)</f>
        <v>0</v>
      </c>
      <c r="BF69" s="2" t="str">
        <f>IF('Data Checking'!BR69="","",'Data Checking'!BR69)</f>
        <v>0</v>
      </c>
      <c r="BG69" s="2" t="str">
        <f>IF('Data Checking'!BS69="","",'Data Checking'!BS69)</f>
        <v>0</v>
      </c>
      <c r="BH69" s="2" t="str">
        <f>IF('Data Checking'!BT69="","",'Data Checking'!BT69)</f>
        <v>0</v>
      </c>
      <c r="BI69" s="2" t="str">
        <f>IF('Data Checking'!BU69="","",'Data Checking'!BU69)</f>
        <v>0</v>
      </c>
      <c r="BJ69" s="2" t="str">
        <f>IF('Data Checking'!BV69="","",'Data Checking'!BV69)</f>
        <v>0</v>
      </c>
      <c r="BK69" s="2" t="str">
        <f>IF('Data Checking'!BW69="","",'Data Checking'!BW69)</f>
        <v>0</v>
      </c>
      <c r="BL69" s="2" t="str">
        <f>IF('Data Checking'!BX69="","",'Data Checking'!BX69)</f>
        <v>0</v>
      </c>
      <c r="BM69" s="2" t="str">
        <f>IF('Data Checking'!BY69="","",'Data Checking'!BY69)</f>
        <v/>
      </c>
      <c r="BN69" s="2" t="str">
        <f>IF('Data Checking'!BZ69="","",'Data Checking'!BZ69)</f>
        <v>3</v>
      </c>
      <c r="BO69" s="2" t="str">
        <f>IF('Data Checking'!CA69="","",'Data Checking'!CA69)</f>
        <v>augmente</v>
      </c>
      <c r="BP69" s="2" t="str">
        <f>IF('Data Checking'!CB69="","",'Data Checking'!CB69)</f>
        <v/>
      </c>
      <c r="BQ69" s="2" t="str">
        <f>IF('Data Checking'!CC69="","",'Data Checking'!CC69)</f>
        <v>oui</v>
      </c>
      <c r="BR69" s="2" t="str">
        <f>IF('Data Checking'!CD69="","",'Data Checking'!CD69)</f>
        <v>viol</v>
      </c>
      <c r="BS69" s="2" t="str">
        <f>IF('Data Checking'!CE69="","",'Data Checking'!CE69)</f>
        <v>1</v>
      </c>
      <c r="BT69" s="2" t="str">
        <f>IF('Data Checking'!CF69="","",'Data Checking'!CF69)</f>
        <v>0</v>
      </c>
      <c r="BU69" s="2" t="str">
        <f>IF('Data Checking'!CG69="","",'Data Checking'!CG69)</f>
        <v>0</v>
      </c>
      <c r="BV69" s="2" t="str">
        <f>IF('Data Checking'!CH69="","",'Data Checking'!CH69)</f>
        <v>0</v>
      </c>
      <c r="BW69" s="2" t="str">
        <f>IF('Data Checking'!CI69="","",'Data Checking'!CI69)</f>
        <v>0</v>
      </c>
      <c r="BX69" s="2" t="str">
        <f>IF('Data Checking'!CJ69="","",'Data Checking'!CJ69)</f>
        <v>0</v>
      </c>
      <c r="BY69" s="2" t="str">
        <f>IF('Data Checking'!CK69="","",'Data Checking'!CK69)</f>
        <v>0</v>
      </c>
      <c r="BZ69" s="2" t="str">
        <f>IF('Data Checking'!CL69="","",'Data Checking'!CL69)</f>
        <v>0</v>
      </c>
      <c r="CA69" s="2" t="str">
        <f>IF('Data Checking'!CM69="","",'Data Checking'!CM69)</f>
        <v>0</v>
      </c>
      <c r="CB69" s="2" t="str">
        <f>IF('Data Checking'!CN69="","",'Data Checking'!CN69)</f>
        <v>0</v>
      </c>
      <c r="CC69" s="2" t="str">
        <f>IF('Data Checking'!CO69="","",'Data Checking'!CO69)</f>
        <v>0</v>
      </c>
      <c r="CD69" s="2" t="str">
        <f>IF('Data Checking'!CP69="","",'Data Checking'!CP69)</f>
        <v>0</v>
      </c>
      <c r="CE69" s="2" t="str">
        <f>IF('Data Checking'!CQ69="","",'Data Checking'!CQ69)</f>
        <v>0</v>
      </c>
      <c r="CF69" s="2" t="str">
        <f>IF('Data Checking'!CR69="","",'Data Checking'!CR69)</f>
        <v>0</v>
      </c>
      <c r="CG69" s="2" t="str">
        <f>IF('Data Checking'!CS69="","",'Data Checking'!CS69)</f>
        <v>0</v>
      </c>
      <c r="CH69" s="2" t="str">
        <f>IF('Data Checking'!CT69="","",'Data Checking'!CT69)</f>
        <v/>
      </c>
      <c r="CI69" s="2" t="str">
        <f>IF('Data Checking'!CU69="","",'Data Checking'!CU69)</f>
        <v>Filles Femmes</v>
      </c>
      <c r="CJ69" s="2" t="str">
        <f>IF('Data Checking'!CV69="","",'Data Checking'!CV69)</f>
        <v>0</v>
      </c>
      <c r="CK69" s="2" t="str">
        <f>IF('Data Checking'!CW69="","",'Data Checking'!CW69)</f>
        <v>0</v>
      </c>
      <c r="CL69" s="2" t="str">
        <f>IF('Data Checking'!CX69="","",'Data Checking'!CX69)</f>
        <v>1</v>
      </c>
      <c r="CM69" s="2" t="str">
        <f>IF('Data Checking'!CY69="","",'Data Checking'!CY69)</f>
        <v>0</v>
      </c>
      <c r="CN69" s="2" t="str">
        <f>IF('Data Checking'!CZ69="","",'Data Checking'!CZ69)</f>
        <v>1</v>
      </c>
      <c r="CO69" s="2" t="str">
        <f>IF('Data Checking'!DA69="","",'Data Checking'!DA69)</f>
        <v>0</v>
      </c>
      <c r="CP69" s="2" t="str">
        <f>IF('Data Checking'!DB69="","",'Data Checking'!DB69)</f>
        <v>0</v>
      </c>
      <c r="CQ69" s="2" t="str">
        <f>IF('Data Checking'!DC69="","",'Data Checking'!DC69)</f>
        <v>0</v>
      </c>
      <c r="CR69" s="2" t="str">
        <f>IF('Data Checking'!DD69="","",'Data Checking'!DD69)</f>
        <v>0</v>
      </c>
      <c r="CS69" s="2" t="str">
        <f>IF('Data Checking'!DE69="","",'Data Checking'!DE69)</f>
        <v>0</v>
      </c>
      <c r="CT69" s="2" t="str">
        <f>IF('Data Checking'!DF69="","",'Data Checking'!DF69)</f>
        <v>0</v>
      </c>
      <c r="CU69" s="2" t="str">
        <f>IF('Data Checking'!DG69="","",'Data Checking'!DG69)</f>
        <v>0</v>
      </c>
      <c r="CV69" s="2" t="str">
        <f>IF('Data Checking'!DH69="","",'Data Checking'!DH69)</f>
        <v>0</v>
      </c>
      <c r="CW69" s="2" t="str">
        <f>IF('Data Checking'!DI69="","",'Data Checking'!DI69)</f>
        <v>0</v>
      </c>
      <c r="CX69" s="2" t="str">
        <f>IF('Data Checking'!DJ69="","",'Data Checking'!DJ69)</f>
        <v/>
      </c>
      <c r="CY69" s="2" t="str">
        <f>IF('Data Checking'!DK69="","",'Data Checking'!DK69)</f>
        <v>1</v>
      </c>
      <c r="CZ69" s="2" t="str">
        <f>IF('Data Checking'!DL69="","",'Data Checking'!DL69)</f>
        <v>diminue</v>
      </c>
      <c r="DA69" s="2" t="str">
        <f>IF('Data Checking'!DM69="","",'Data Checking'!DM69)</f>
        <v/>
      </c>
      <c r="DB69" s="2" t="str">
        <f>IF('Data Checking'!DN69="","",'Data Checking'!DN69)</f>
        <v>Ne_sait_pas</v>
      </c>
      <c r="DC69" s="2" t="str">
        <f>IF('Data Checking'!DO69="","",'Data Checking'!DO69)</f>
        <v>0</v>
      </c>
      <c r="DD69" s="2" t="str">
        <f>IF('Data Checking'!DP69="","",'Data Checking'!DP69)</f>
        <v>0</v>
      </c>
      <c r="DE69" s="2" t="str">
        <f>IF('Data Checking'!DQ69="","",'Data Checking'!DQ69)</f>
        <v>0</v>
      </c>
      <c r="DF69" s="2" t="str">
        <f>IF('Data Checking'!DR69="","",'Data Checking'!DR69)</f>
        <v>0</v>
      </c>
      <c r="DG69" s="2" t="str">
        <f>IF('Data Checking'!DS69="","",'Data Checking'!DS69)</f>
        <v>0</v>
      </c>
      <c r="DH69" s="2" t="str">
        <f>IF('Data Checking'!DT69="","",'Data Checking'!DT69)</f>
        <v>0</v>
      </c>
      <c r="DI69" s="2" t="str">
        <f>IF('Data Checking'!DU69="","",'Data Checking'!DU69)</f>
        <v>0</v>
      </c>
      <c r="DJ69" s="2" t="str">
        <f>IF('Data Checking'!DV69="","",'Data Checking'!DV69)</f>
        <v>0</v>
      </c>
      <c r="DK69" s="2" t="str">
        <f>IF('Data Checking'!DW69="","",'Data Checking'!DW69)</f>
        <v>1</v>
      </c>
      <c r="DL69" s="2" t="str">
        <f>IF('Data Checking'!DX69="","",'Data Checking'!DX69)</f>
        <v>0</v>
      </c>
      <c r="DM69" s="2" t="str">
        <f>IF('Data Checking'!DY69="","",'Data Checking'!DY69)</f>
        <v/>
      </c>
      <c r="DN69" s="2" t="str">
        <f>IF('Data Checking'!DZ69="","",'Data Checking'!DZ69)</f>
        <v>amelioration_acces_service_base stabilisation_aug_moyen_existence</v>
      </c>
      <c r="DO69" s="2" t="str">
        <f>IF('Data Checking'!EA69="","",'Data Checking'!EA69)</f>
        <v>1</v>
      </c>
      <c r="DP69" s="2" t="str">
        <f>IF('Data Checking'!EB69="","",'Data Checking'!EB69)</f>
        <v>0</v>
      </c>
      <c r="DQ69" s="2" t="str">
        <f>IF('Data Checking'!EC69="","",'Data Checking'!EC69)</f>
        <v>1</v>
      </c>
      <c r="DR69" s="2" t="str">
        <f>IF('Data Checking'!ED69="","",'Data Checking'!ED69)</f>
        <v>0</v>
      </c>
      <c r="DS69" s="2" t="str">
        <f>IF('Data Checking'!EE69="","",'Data Checking'!EE69)</f>
        <v>0</v>
      </c>
      <c r="DT69" s="2" t="str">
        <f>IF('Data Checking'!EF69="","",'Data Checking'!EF69)</f>
        <v>0</v>
      </c>
      <c r="DU69" s="2" t="str">
        <f>IF('Data Checking'!EG69="","",'Data Checking'!EG69)</f>
        <v>0</v>
      </c>
      <c r="DV69" s="2" t="str">
        <f>IF('Data Checking'!EH69="","",'Data Checking'!EH69)</f>
        <v>0</v>
      </c>
      <c r="DW69" s="2" t="str">
        <f>IF('Data Checking'!EI69="","",'Data Checking'!EI69)</f>
        <v>0</v>
      </c>
      <c r="DX69" s="2" t="str">
        <f>IF('Data Checking'!EJ69="","",'Data Checking'!EJ69)</f>
        <v/>
      </c>
      <c r="DY69" s="2" t="str">
        <f>IF('Data Checking'!EK69="","",'Data Checking'!EK69)</f>
        <v/>
      </c>
      <c r="DZ69" s="2" t="str">
        <f>IF('Data Checking'!EL69="","",'Data Checking'!EL69)</f>
        <v>Integration_com_hote</v>
      </c>
      <c r="EA69" s="2" t="str">
        <f>IF('Data Checking'!EM69="","",'Data Checking'!EM69)</f>
        <v>0</v>
      </c>
      <c r="EB69" s="2" t="str">
        <f>IF('Data Checking'!EN69="","",'Data Checking'!EN69)</f>
        <v>1</v>
      </c>
      <c r="EC69" s="2" t="str">
        <f>IF('Data Checking'!EO69="","",'Data Checking'!EO69)</f>
        <v>0</v>
      </c>
      <c r="ED69" s="2" t="str">
        <f>IF('Data Checking'!EP69="","",'Data Checking'!EP69)</f>
        <v>0</v>
      </c>
      <c r="EE69" s="2" t="str">
        <f>IF('Data Checking'!EQ69="","",'Data Checking'!EQ69)</f>
        <v>0</v>
      </c>
      <c r="EF69" s="2" t="str">
        <f>IF('Data Checking'!ER69="","",'Data Checking'!ER69)</f>
        <v>0</v>
      </c>
      <c r="EG69" s="2" t="str">
        <f>IF('Data Checking'!ES69="","",'Data Checking'!ES69)</f>
        <v>0</v>
      </c>
      <c r="EH69" s="2" t="str">
        <f>IF('Data Checking'!ET69="","",'Data Checking'!ET69)</f>
        <v>0</v>
      </c>
      <c r="EI69" s="2" t="str">
        <f>IF('Data Checking'!EU69="","",'Data Checking'!EU69)</f>
        <v>0</v>
      </c>
      <c r="EJ69" s="2" t="str">
        <f>IF('Data Checking'!EV69="","",'Data Checking'!EV69)</f>
        <v/>
      </c>
      <c r="EK69" s="2" t="str">
        <f>IF('Data Checking'!EW69="","",'Data Checking'!EW69)</f>
        <v/>
      </c>
      <c r="EL69" s="2" t="str">
        <f>IF('Data Checking'!EX69="","",'Data Checking'!EX69)</f>
        <v>femmes_elite comite_protection famille_accueil comite_alerte comite_gestion_conflits</v>
      </c>
      <c r="EM69" s="2" t="str">
        <f>IF('Data Checking'!EY69="","",'Data Checking'!EY69)</f>
        <v>1</v>
      </c>
      <c r="EN69" s="2" t="str">
        <f>IF('Data Checking'!EZ69="","",'Data Checking'!EZ69)</f>
        <v>1</v>
      </c>
      <c r="EO69" s="2" t="str">
        <f>IF('Data Checking'!FA69="","",'Data Checking'!FA69)</f>
        <v>1</v>
      </c>
      <c r="EP69" s="2" t="str">
        <f>IF('Data Checking'!FB69="","",'Data Checking'!FB69)</f>
        <v>1</v>
      </c>
      <c r="EQ69" s="2" t="str">
        <f>IF('Data Checking'!FC69="","",'Data Checking'!FC69)</f>
        <v>0</v>
      </c>
      <c r="ER69" s="2" t="str">
        <f>IF('Data Checking'!FD69="","",'Data Checking'!FD69)</f>
        <v>1</v>
      </c>
      <c r="ES69" s="2" t="str">
        <f>IF('Data Checking'!FE69="","",'Data Checking'!FE69)</f>
        <v>0</v>
      </c>
      <c r="ET69" s="2" t="str">
        <f>IF('Data Checking'!FF69="","",'Data Checking'!FF69)</f>
        <v>0</v>
      </c>
      <c r="EU69" s="2" t="str">
        <f>IF('Data Checking'!FG69="","",'Data Checking'!FG69)</f>
        <v>0</v>
      </c>
      <c r="EV69" s="2" t="str">
        <f>IF('Data Checking'!FH69="","",'Data Checking'!FH69)</f>
        <v>0</v>
      </c>
      <c r="EW69" s="2" t="str">
        <f>IF('Data Checking'!FI69="","",'Data Checking'!FI69)</f>
        <v/>
      </c>
      <c r="EX69" s="2" t="str">
        <f>IF('Data Checking'!FJ69="","",'Data Checking'!FJ69)</f>
        <v>oui</v>
      </c>
      <c r="EY69" s="2" t="str">
        <f>IF('Data Checking'!FK69="","",'Data Checking'!FK69)</f>
        <v>Travailleurs_sociaux/hum</v>
      </c>
      <c r="EZ69" s="2" t="str">
        <f>IF('Data Checking'!FL69="","",'Data Checking'!FL69)</f>
        <v>0</v>
      </c>
      <c r="FA69" s="2" t="str">
        <f>IF('Data Checking'!FM69="","",'Data Checking'!FM69)</f>
        <v>0</v>
      </c>
      <c r="FB69" s="2" t="str">
        <f>IF('Data Checking'!FN69="","",'Data Checking'!FN69)</f>
        <v>0</v>
      </c>
      <c r="FC69" s="2" t="str">
        <f>IF('Data Checking'!FO69="","",'Data Checking'!FO69)</f>
        <v>0</v>
      </c>
      <c r="FD69" s="2" t="str">
        <f>IF('Data Checking'!FP69="","",'Data Checking'!FP69)</f>
        <v>0</v>
      </c>
      <c r="FE69" s="2" t="str">
        <f>IF('Data Checking'!FQ69="","",'Data Checking'!FQ69)</f>
        <v>0</v>
      </c>
      <c r="FF69" s="2" t="str">
        <f>IF('Data Checking'!FR69="","",'Data Checking'!FR69)</f>
        <v>0</v>
      </c>
      <c r="FG69" s="2" t="str">
        <f>IF('Data Checking'!FS69="","",'Data Checking'!FS69)</f>
        <v>0</v>
      </c>
      <c r="FH69" s="2" t="str">
        <f>IF('Data Checking'!FT69="","",'Data Checking'!FT69)</f>
        <v>0</v>
      </c>
      <c r="FI69" s="2" t="str">
        <f>IF('Data Checking'!FU69="","",'Data Checking'!FU69)</f>
        <v>0</v>
      </c>
      <c r="FJ69" s="2" t="str">
        <f>IF('Data Checking'!FV69="","",'Data Checking'!FV69)</f>
        <v>1</v>
      </c>
      <c r="FK69" s="2" t="str">
        <f>IF('Data Checking'!FW69="","",'Data Checking'!FW69)</f>
        <v>0</v>
      </c>
      <c r="FL69" s="2" t="str">
        <f>IF('Data Checking'!FX69="","",'Data Checking'!FX69)</f>
        <v>0</v>
      </c>
      <c r="FM69" s="2" t="str">
        <f>IF('Data Checking'!FY69="","",'Data Checking'!FY69)</f>
        <v>0</v>
      </c>
      <c r="FN69" s="2" t="str">
        <f>IF('Data Checking'!FZ69="","",'Data Checking'!FZ69)</f>
        <v/>
      </c>
      <c r="FO69" s="2" t="str">
        <f>IF('Data Checking'!GA69="","",'Data Checking'!GA69)</f>
        <v>oui_ensemble</v>
      </c>
      <c r="FP69" s="2" t="str">
        <f>IF('Data Checking'!GB69="","",'Data Checking'!GB69)</f>
        <v>oui_ensemble</v>
      </c>
      <c r="FQ69" s="2" t="str">
        <f>IF('Data Checking'!GC69="","",'Data Checking'!GC69)</f>
        <v/>
      </c>
      <c r="FR69" s="2" t="str">
        <f>IF('Data Checking'!GD69="","",'Data Checking'!GD69)</f>
        <v/>
      </c>
      <c r="FS69" s="2" t="str">
        <f>IF('Data Checking'!GE69="","",'Data Checking'!GE69)</f>
        <v/>
      </c>
      <c r="FT69" s="2" t="str">
        <f>IF('Data Checking'!GF69="","",'Data Checking'!GF69)</f>
        <v/>
      </c>
      <c r="FU69" s="2" t="str">
        <f>IF('Data Checking'!GG69="","",'Data Checking'!GG69)</f>
        <v/>
      </c>
      <c r="FV69" s="2" t="str">
        <f>IF('Data Checking'!GH69="","",'Data Checking'!GH69)</f>
        <v/>
      </c>
      <c r="FW69" s="2" t="str">
        <f>IF('Data Checking'!GI69="","",'Data Checking'!GI69)</f>
        <v/>
      </c>
      <c r="FX69" s="2" t="str">
        <f>IF('Data Checking'!GJ69="","",'Data Checking'!GJ69)</f>
        <v/>
      </c>
      <c r="FY69" s="2" t="str">
        <f>IF('Data Checking'!GK69="","",'Data Checking'!GK69)</f>
        <v/>
      </c>
      <c r="FZ69" s="2" t="str">
        <f>IF('Data Checking'!GL69="","",'Data Checking'!GL69)</f>
        <v/>
      </c>
      <c r="GA69" s="2" t="str">
        <f>IF('Data Checking'!GM69="","",'Data Checking'!GM69)</f>
        <v>ensemble</v>
      </c>
      <c r="GB69" s="2" t="str">
        <f>IF('Data Checking'!GN69="","",'Data Checking'!GN69)</f>
        <v>ensemble</v>
      </c>
      <c r="GC69" s="2" t="str">
        <f>IF('Data Checking'!GO69="","",'Data Checking'!GO69)</f>
        <v>Acces_aux_doc Services_de_sante Education Appui_psychosocial</v>
      </c>
      <c r="GD69" s="2" t="str">
        <f>IF('Data Checking'!GP69="","",'Data Checking'!GP69)</f>
        <v>1</v>
      </c>
      <c r="GE69" s="2" t="str">
        <f>IF('Data Checking'!GQ69="","",'Data Checking'!GQ69)</f>
        <v>1</v>
      </c>
      <c r="GF69" s="2" t="str">
        <f>IF('Data Checking'!GR69="","",'Data Checking'!GR69)</f>
        <v>0</v>
      </c>
      <c r="GG69" s="2" t="str">
        <f>IF('Data Checking'!GS69="","",'Data Checking'!GS69)</f>
        <v>1</v>
      </c>
      <c r="GH69" s="2" t="str">
        <f>IF('Data Checking'!GT69="","",'Data Checking'!GT69)</f>
        <v>1</v>
      </c>
      <c r="GI69" s="2" t="str">
        <f>IF('Data Checking'!GU69="","",'Data Checking'!GU69)</f>
        <v>0</v>
      </c>
      <c r="GJ69" s="2" t="str">
        <f>IF('Data Checking'!GV69="","",'Data Checking'!GV69)</f>
        <v>0</v>
      </c>
      <c r="GK69" s="2" t="str">
        <f>IF('Data Checking'!GW69="","",'Data Checking'!GW69)</f>
        <v>0</v>
      </c>
      <c r="GL69" s="2" t="str">
        <f>IF('Data Checking'!GX69="","",'Data Checking'!GX69)</f>
        <v>0</v>
      </c>
      <c r="GM69" s="2" t="str">
        <f>IF('Data Checking'!GY69="","",'Data Checking'!GY69)</f>
        <v/>
      </c>
      <c r="GN69" s="2" t="str">
        <f>IF('Data Checking'!GZ69="","",'Data Checking'!GZ69)</f>
        <v>oui_ensemble</v>
      </c>
      <c r="GO69" s="2" t="str">
        <f>IF('Data Checking'!HA69="","",'Data Checking'!HA69)</f>
        <v>oui_ensemble</v>
      </c>
      <c r="GP69" s="2" t="str">
        <f>IF('Data Checking'!HB69="","",'Data Checking'!HB69)</f>
        <v>repond_besoins_pop amelioration_futur permet_eviter_conflits</v>
      </c>
      <c r="GQ69" s="2" t="str">
        <f>IF('Data Checking'!HC69="","",'Data Checking'!HC69)</f>
        <v>1</v>
      </c>
      <c r="GR69" s="2" t="str">
        <f>IF('Data Checking'!HD69="","",'Data Checking'!HD69)</f>
        <v>1</v>
      </c>
      <c r="GS69" s="2" t="str">
        <f>IF('Data Checking'!HE69="","",'Data Checking'!HE69)</f>
        <v>0</v>
      </c>
      <c r="GT69" s="2" t="str">
        <f>IF('Data Checking'!HF69="","",'Data Checking'!HF69)</f>
        <v>1</v>
      </c>
      <c r="GU69" s="2" t="str">
        <f>IF('Data Checking'!HG69="","",'Data Checking'!HG69)</f>
        <v>0</v>
      </c>
      <c r="GV69" s="2" t="str">
        <f>IF('Data Checking'!HH69="","",'Data Checking'!HH69)</f>
        <v>0</v>
      </c>
      <c r="GW69" s="2" t="str">
        <f>IF('Data Checking'!HI69="","",'Data Checking'!HI69)</f>
        <v>0</v>
      </c>
      <c r="GX69" s="2" t="str">
        <f>IF('Data Checking'!HJ69="","",'Data Checking'!HJ69)</f>
        <v>0</v>
      </c>
      <c r="GY69" s="2" t="str">
        <f>IF('Data Checking'!HK69="","",'Data Checking'!HK69)</f>
        <v/>
      </c>
      <c r="GZ69" s="2" t="str">
        <f>IF('Data Checking'!HL69="","",'Data Checking'!HL69)</f>
        <v/>
      </c>
      <c r="HA69" s="2" t="str">
        <f>IF('Data Checking'!HM69="","",'Data Checking'!HM69)</f>
        <v/>
      </c>
      <c r="HB69" s="2" t="str">
        <f>IF('Data Checking'!HN69="","",'Data Checking'!HN69)</f>
        <v/>
      </c>
      <c r="HC69" s="2" t="str">
        <f>IF('Data Checking'!HO69="","",'Data Checking'!HO69)</f>
        <v/>
      </c>
      <c r="HD69" s="2" t="str">
        <f>IF('Data Checking'!HP69="","",'Data Checking'!HP69)</f>
        <v/>
      </c>
      <c r="HE69" s="2" t="str">
        <f>IF('Data Checking'!HQ69="","",'Data Checking'!HQ69)</f>
        <v/>
      </c>
      <c r="HF69" s="2" t="str">
        <f>IF('Data Checking'!HR69="","",'Data Checking'!HR69)</f>
        <v/>
      </c>
      <c r="HG69" s="2" t="str">
        <f>IF('Data Checking'!HS69="","",'Data Checking'!HS69)</f>
        <v/>
      </c>
      <c r="HH69" s="2" t="str">
        <f>IF('Data Checking'!HT69="","",'Data Checking'!HT69)</f>
        <v/>
      </c>
      <c r="HI69" s="2" t="str">
        <f>IF('Data Checking'!HU69="","",'Data Checking'!HU69)</f>
        <v>oui_minorite</v>
      </c>
      <c r="HJ69" s="2" t="str">
        <f>IF('Data Checking'!HV69="","",'Data Checking'!HV69)</f>
        <v>ingo</v>
      </c>
      <c r="HK69" s="2" t="str">
        <f>IF('Data Checking'!HW69="","",'Data Checking'!HW69)</f>
        <v>0</v>
      </c>
      <c r="HL69" s="2" t="str">
        <f>IF('Data Checking'!HX69="","",'Data Checking'!HX69)</f>
        <v>0</v>
      </c>
      <c r="HM69" s="2" t="str">
        <f>IF('Data Checking'!HY69="","",'Data Checking'!HY69)</f>
        <v>0</v>
      </c>
      <c r="HN69" s="2" t="str">
        <f>IF('Data Checking'!HZ69="","",'Data Checking'!HZ69)</f>
        <v>0</v>
      </c>
      <c r="HO69" s="2" t="str">
        <f>IF('Data Checking'!IA69="","",'Data Checking'!IA69)</f>
        <v>1</v>
      </c>
      <c r="HP69" s="2" t="str">
        <f>IF('Data Checking'!IB69="","",'Data Checking'!IB69)</f>
        <v>0</v>
      </c>
      <c r="HQ69" s="2" t="str">
        <f>IF('Data Checking'!IC69="","",'Data Checking'!IC69)</f>
        <v>0</v>
      </c>
      <c r="HR69" s="2" t="str">
        <f>IF('Data Checking'!ID69="","",'Data Checking'!ID69)</f>
        <v>0</v>
      </c>
      <c r="HS69" s="2" t="str">
        <f>IF('Data Checking'!IE69="","",'Data Checking'!IE69)</f>
        <v>0</v>
      </c>
      <c r="HT69" s="2" t="str">
        <f>IF('Data Checking'!IF69="","",'Data Checking'!IF69)</f>
        <v>0</v>
      </c>
      <c r="HU69" s="2" t="str">
        <f>IF('Data Checking'!IG69="","",'Data Checking'!IG69)</f>
        <v/>
      </c>
      <c r="HV69" s="2" t="str">
        <f>IF('Data Checking'!IH69="","",'Data Checking'!IH69)</f>
        <v>non</v>
      </c>
      <c r="HW69" s="2" t="str">
        <f>IF('Data Checking'!II69="","",'Data Checking'!II69)</f>
        <v/>
      </c>
      <c r="HX69" s="2" t="str">
        <f>IF('Data Checking'!IJ69="","",'Data Checking'!IJ69)</f>
        <v>Filles Femmes</v>
      </c>
      <c r="HY69" s="2" t="str">
        <f>IF('Data Checking'!IK69="","",'Data Checking'!IK69)</f>
        <v>0</v>
      </c>
      <c r="HZ69" s="2" t="str">
        <f>IF('Data Checking'!IL69="","",'Data Checking'!IL69)</f>
        <v>0</v>
      </c>
      <c r="IA69" s="2" t="str">
        <f>IF('Data Checking'!IM69="","",'Data Checking'!IM69)</f>
        <v>1</v>
      </c>
      <c r="IB69" s="2" t="str">
        <f>IF('Data Checking'!IN69="","",'Data Checking'!IN69)</f>
        <v>0</v>
      </c>
      <c r="IC69" s="2" t="str">
        <f>IF('Data Checking'!IO69="","",'Data Checking'!IO69)</f>
        <v>1</v>
      </c>
      <c r="ID69" s="2" t="str">
        <f>IF('Data Checking'!IP69="","",'Data Checking'!IP69)</f>
        <v>0</v>
      </c>
      <c r="IE69" s="2" t="str">
        <f>IF('Data Checking'!IQ69="","",'Data Checking'!IQ69)</f>
        <v>0</v>
      </c>
      <c r="IF69" s="2" t="str">
        <f>IF('Data Checking'!IR69="","",'Data Checking'!IR69)</f>
        <v>0</v>
      </c>
      <c r="IG69" s="2" t="str">
        <f>IF('Data Checking'!IS69="","",'Data Checking'!IS69)</f>
        <v>0</v>
      </c>
      <c r="IH69" s="2" t="str">
        <f>IF('Data Checking'!IT69="","",'Data Checking'!IT69)</f>
        <v>0</v>
      </c>
      <c r="II69" s="2" t="str">
        <f>IF('Data Checking'!IU69="","",'Data Checking'!IU69)</f>
        <v>0</v>
      </c>
      <c r="IJ69" s="2" t="str">
        <f>IF('Data Checking'!IV69="","",'Data Checking'!IV69)</f>
        <v>0</v>
      </c>
      <c r="IK69" s="2" t="str">
        <f>IF('Data Checking'!IW69="","",'Data Checking'!IW69)</f>
        <v>0</v>
      </c>
      <c r="IL69" s="2" t="str">
        <f>IF('Data Checking'!IX69="","",'Data Checking'!IX69)</f>
        <v>0</v>
      </c>
      <c r="IM69" s="2" t="str">
        <f>IF('Data Checking'!IY69="","",'Data Checking'!IY69)</f>
        <v/>
      </c>
      <c r="IN69" s="2" t="str">
        <f>IF('Data Checking'!IZ69="","",'Data Checking'!IZ69)</f>
        <v>13</v>
      </c>
      <c r="IO69" s="2" t="str">
        <f>IF('Data Checking'!JA69="","",'Data Checking'!JA69)</f>
        <v>Appui_psychosocial acces_docs Services_conseil Services_educatifs Services_medicaux</v>
      </c>
      <c r="IP69" s="2" t="str">
        <f>IF('Data Checking'!JB69="","",'Data Checking'!JB69)</f>
        <v>1</v>
      </c>
      <c r="IQ69" s="2" t="str">
        <f>IF('Data Checking'!JC69="","",'Data Checking'!JC69)</f>
        <v>1</v>
      </c>
      <c r="IR69" s="2" t="str">
        <f>IF('Data Checking'!JD69="","",'Data Checking'!JD69)</f>
        <v>1</v>
      </c>
      <c r="IS69" s="2" t="str">
        <f>IF('Data Checking'!JE69="","",'Data Checking'!JE69)</f>
        <v>1</v>
      </c>
      <c r="IT69" s="2" t="str">
        <f>IF('Data Checking'!JF69="","",'Data Checking'!JF69)</f>
        <v>1</v>
      </c>
      <c r="IU69" s="2" t="str">
        <f>IF('Data Checking'!JG69="","",'Data Checking'!JG69)</f>
        <v>0</v>
      </c>
      <c r="IV69" s="2" t="str">
        <f>IF('Data Checking'!JH69="","",'Data Checking'!JH69)</f>
        <v>0</v>
      </c>
      <c r="IW69" s="2" t="str">
        <f>IF('Data Checking'!JI69="","",'Data Checking'!JI69)</f>
        <v>0</v>
      </c>
      <c r="IX69" s="2" t="str">
        <f>IF('Data Checking'!JJ69="","",'Data Checking'!JJ69)</f>
        <v>0</v>
      </c>
      <c r="IY69" s="2" t="str">
        <f>IF('Data Checking'!JK69="","",'Data Checking'!JK69)</f>
        <v>0</v>
      </c>
      <c r="IZ69" s="2" t="str">
        <f>IF('Data Checking'!JL69="","",'Data Checking'!JL69)</f>
        <v/>
      </c>
      <c r="JA69" s="2" t="str">
        <f>IF('Data Checking'!JM69="","",'Data Checking'!JM69)</f>
        <v>prise_enchage reorientation signalement</v>
      </c>
      <c r="JB69" s="2" t="str">
        <f>IF('Data Checking'!JN69="","",'Data Checking'!JN69)</f>
        <v>1</v>
      </c>
      <c r="JC69" s="2" t="str">
        <f>IF('Data Checking'!JO69="","",'Data Checking'!JO69)</f>
        <v>1</v>
      </c>
      <c r="JD69" s="2" t="str">
        <f>IF('Data Checking'!JP69="","",'Data Checking'!JP69)</f>
        <v>1</v>
      </c>
      <c r="JE69" s="2" t="str">
        <f>IF('Data Checking'!JQ69="","",'Data Checking'!JQ69)</f>
        <v>0</v>
      </c>
      <c r="JF69" s="2" t="str">
        <f>IF('Data Checking'!JR69="","",'Data Checking'!JR69)</f>
        <v>0</v>
      </c>
      <c r="JG69" s="2" t="str">
        <f>IF('Data Checking'!JS69="","",'Data Checking'!JS69)</f>
        <v>0</v>
      </c>
      <c r="JH69" s="2" t="str">
        <f>IF('Data Checking'!JT69="","",'Data Checking'!JT69)</f>
        <v/>
      </c>
      <c r="JI69" s="2" t="str">
        <f>IF('Data Checking'!JU69="","",'Data Checking'!JU69)</f>
        <v>medical Psychosocia point_ecoute</v>
      </c>
      <c r="JJ69" s="2" t="str">
        <f>IF('Data Checking'!JV69="","",'Data Checking'!JV69)</f>
        <v>1</v>
      </c>
      <c r="JK69" s="2" t="str">
        <f>IF('Data Checking'!JW69="","",'Data Checking'!JW69)</f>
        <v>1</v>
      </c>
      <c r="JL69" s="2" t="str">
        <f>IF('Data Checking'!JX69="","",'Data Checking'!JX69)</f>
        <v>1</v>
      </c>
      <c r="JM69" s="2" t="str">
        <f>IF('Data Checking'!JY69="","",'Data Checking'!JY69)</f>
        <v>0</v>
      </c>
      <c r="JN69" s="2" t="str">
        <f>IF('Data Checking'!JZ69="","",'Data Checking'!JZ69)</f>
        <v>0</v>
      </c>
      <c r="JO69" s="2" t="str">
        <f>IF('Data Checking'!KA69="","",'Data Checking'!KA69)</f>
        <v>0</v>
      </c>
      <c r="JP69" s="2" t="str">
        <f>IF('Data Checking'!KB69="","",'Data Checking'!KB69)</f>
        <v>0</v>
      </c>
      <c r="JQ69" s="2" t="str">
        <f>IF('Data Checking'!KC69="","",'Data Checking'!KC69)</f>
        <v>0</v>
      </c>
      <c r="JR69" s="2" t="str">
        <f>IF('Data Checking'!KD69="","",'Data Checking'!KD69)</f>
        <v>0</v>
      </c>
      <c r="JS69" s="2" t="str">
        <f>IF('Data Checking'!KE69="","",'Data Checking'!KE69)</f>
        <v/>
      </c>
      <c r="JT69" s="2" t="str">
        <f>IF('Data Checking'!KF69="","",'Data Checking'!KF69)</f>
        <v>medical Psychosocia point_ecoute surete</v>
      </c>
      <c r="JU69" s="2" t="str">
        <f>IF('Data Checking'!KG69="","",'Data Checking'!KG69)</f>
        <v>1</v>
      </c>
      <c r="JV69" s="2" t="str">
        <f>IF('Data Checking'!KH69="","",'Data Checking'!KH69)</f>
        <v>1</v>
      </c>
      <c r="JW69" s="2" t="str">
        <f>IF('Data Checking'!KI69="","",'Data Checking'!KI69)</f>
        <v>1</v>
      </c>
      <c r="JX69" s="2" t="str">
        <f>IF('Data Checking'!KJ69="","",'Data Checking'!KJ69)</f>
        <v>0</v>
      </c>
      <c r="JY69" s="2" t="str">
        <f>IF('Data Checking'!KK69="","",'Data Checking'!KK69)</f>
        <v>1</v>
      </c>
      <c r="JZ69" s="2" t="str">
        <f>IF('Data Checking'!KL69="","",'Data Checking'!KL69)</f>
        <v>0</v>
      </c>
      <c r="KA69" s="2" t="str">
        <f>IF('Data Checking'!KM69="","",'Data Checking'!KM69)</f>
        <v>0</v>
      </c>
      <c r="KB69" s="2" t="str">
        <f>IF('Data Checking'!KN69="","",'Data Checking'!KN69)</f>
        <v>0</v>
      </c>
      <c r="KC69" s="2" t="str">
        <f>IF('Data Checking'!KO69="","",'Data Checking'!KO69)</f>
        <v>0</v>
      </c>
      <c r="KD69" s="2" t="str">
        <f>IF('Data Checking'!KP69="","",'Data Checking'!KP69)</f>
        <v/>
      </c>
      <c r="KE69" s="2" t="str">
        <f>IF('Data Checking'!KQ69="","",'Data Checking'!KQ69)</f>
        <v/>
      </c>
      <c r="KF69" s="2" t="str">
        <f>IF('Data Checking'!KR69="","",'Data Checking'!KR69)</f>
        <v>non</v>
      </c>
      <c r="KG69" s="2" t="str">
        <f>IF('Data Checking'!KS69="","",'Data Checking'!KS69)</f>
        <v/>
      </c>
      <c r="KH69" s="2" t="str">
        <f>IF('Data Checking'!KT69="","",'Data Checking'!KT69)</f>
        <v/>
      </c>
      <c r="KI69" s="2" t="str">
        <f>IF('Data Checking'!KU69="","",'Data Checking'!KU69)</f>
        <v/>
      </c>
      <c r="KJ69" s="2" t="str">
        <f>IF('Data Checking'!KV69="","",'Data Checking'!KV69)</f>
        <v/>
      </c>
      <c r="KK69" s="2" t="str">
        <f>IF('Data Checking'!KW69="","",'Data Checking'!KW69)</f>
        <v/>
      </c>
      <c r="KL69" s="2" t="str">
        <f>IF('Data Checking'!KX69="","",'Data Checking'!KX69)</f>
        <v/>
      </c>
      <c r="KM69" s="2" t="str">
        <f>IF('Data Checking'!KY69="","",'Data Checking'!KY69)</f>
        <v/>
      </c>
      <c r="KN69" s="2" t="str">
        <f>IF('Data Checking'!KZ69="","",'Data Checking'!KZ69)</f>
        <v/>
      </c>
      <c r="KO69" s="2" t="str">
        <f>IF('Data Checking'!LA69="","",'Data Checking'!LA69)</f>
        <v/>
      </c>
      <c r="KP69" s="2" t="str">
        <f>IF('Data Checking'!LB69="","",'Data Checking'!LB69)</f>
        <v/>
      </c>
      <c r="KQ69" s="2" t="str">
        <f>IF('Data Checking'!LC69="","",'Data Checking'!LC69)</f>
        <v/>
      </c>
      <c r="KR69" s="2" t="str">
        <f>IF('Data Checking'!LD69="","",'Data Checking'!LD69)</f>
        <v/>
      </c>
      <c r="KS69" s="2" t="str">
        <f>IF('Data Checking'!LE69="","",'Data Checking'!LE69)</f>
        <v/>
      </c>
      <c r="KT69" s="2" t="str">
        <f>IF('Data Checking'!LF69="","",'Data Checking'!LF69)</f>
        <v/>
      </c>
      <c r="KU69" s="2" t="str">
        <f>IF('Data Checking'!LG69="","",'Data Checking'!LG69)</f>
        <v/>
      </c>
      <c r="KV69" s="2" t="str">
        <f>IF('Data Checking'!LH69="","",'Data Checking'!LH69)</f>
        <v/>
      </c>
      <c r="KW69" s="2" t="str">
        <f>IF('Data Checking'!LI69="","",'Data Checking'!LI69)</f>
        <v/>
      </c>
      <c r="KX69" s="2" t="str">
        <f>IF('Data Checking'!LJ69="","",'Data Checking'!LJ69)</f>
        <v/>
      </c>
      <c r="KY69" s="2" t="str">
        <f>IF('Data Checking'!LK69="","",'Data Checking'!LK69)</f>
        <v/>
      </c>
      <c r="KZ69" s="2" t="str">
        <f>IF('Data Checking'!LL69="","",'Data Checking'!LL69)</f>
        <v/>
      </c>
      <c r="LA69" s="2" t="str">
        <f>IF('Data Checking'!LM69="","",'Data Checking'!LM69)</f>
        <v/>
      </c>
      <c r="LB69" s="2" t="str">
        <f>IF('Data Checking'!LN69="","",'Data Checking'!LN69)</f>
        <v>non</v>
      </c>
      <c r="LC69" s="2" t="str">
        <f>IF('Data Checking'!LO69="","",'Data Checking'!LO69)</f>
        <v/>
      </c>
      <c r="LD69" s="2" t="str">
        <f>IF('Data Checking'!LP69="","",'Data Checking'!LP69)</f>
        <v/>
      </c>
      <c r="LE69" s="2" t="str">
        <f>IF('Data Checking'!LQ69="","",'Data Checking'!LQ69)</f>
        <v/>
      </c>
      <c r="LF69" s="2" t="str">
        <f>IF('Data Checking'!LR69="","",'Data Checking'!LR69)</f>
        <v/>
      </c>
      <c r="LG69" s="2" t="str">
        <f>IF('Data Checking'!LS69="","",'Data Checking'!LS69)</f>
        <v/>
      </c>
      <c r="LH69" s="2" t="str">
        <f>IF('Data Checking'!LT69="","",'Data Checking'!LT69)</f>
        <v/>
      </c>
      <c r="LI69" s="2" t="str">
        <f>IF('Data Checking'!LU69="","",'Data Checking'!LU69)</f>
        <v/>
      </c>
      <c r="LJ69" s="2" t="str">
        <f>IF('Data Checking'!LV69="","",'Data Checking'!LV69)</f>
        <v/>
      </c>
      <c r="LK69" s="2" t="str">
        <f>IF('Data Checking'!LW69="","",'Data Checking'!LW69)</f>
        <v/>
      </c>
      <c r="LL69" s="2" t="str">
        <f>IF('Data Checking'!LX69="","",'Data Checking'!LX69)</f>
        <v/>
      </c>
      <c r="LM69" s="2" t="str">
        <f>IF('Data Checking'!LY69="","",'Data Checking'!LY69)</f>
        <v/>
      </c>
      <c r="LN69" s="2" t="str">
        <f>IF('Data Checking'!LZ69="","",'Data Checking'!LZ69)</f>
        <v/>
      </c>
      <c r="LO69" s="2" t="str">
        <f>IF('Data Checking'!MA69="","",'Data Checking'!MA69)</f>
        <v/>
      </c>
      <c r="LP69" s="2" t="str">
        <f>IF('Data Checking'!MB69="","",'Data Checking'!MB69)</f>
        <v>oui</v>
      </c>
      <c r="LQ69" s="2" t="str">
        <f>IF('Data Checking'!MC69="","",'Data Checking'!MC69)</f>
        <v/>
      </c>
      <c r="LR69" s="2" t="str">
        <f>IF('Data Checking'!MD69="","",'Data Checking'!MD69)</f>
        <v/>
      </c>
      <c r="LS69" s="2">
        <f>IF('Data Checking'!ME69="","",'Data Checking'!ME69)</f>
        <v>168950705</v>
      </c>
      <c r="LT69" s="2" t="str">
        <f>IF('Data Checking'!MF69="","",'Data Checking'!MF69)</f>
        <v>58aa5639-76bd-4e1d-ba1c-4b1486d5ac7a</v>
      </c>
      <c r="LU69" s="2" t="str">
        <f>IF('Data Checking'!MG69="","",'Data Checking'!MG69)</f>
        <v>2021-03-31T17:31:22</v>
      </c>
      <c r="LV69" s="2" t="str">
        <f>IF('Data Checking'!MH69="","",'Data Checking'!MH69)</f>
        <v/>
      </c>
      <c r="LW69" s="2" t="str">
        <f>IF('Data Checking'!MI69="","",'Data Checking'!MI69)</f>
        <v>[]</v>
      </c>
      <c r="LX69" s="2" t="str">
        <f>IF('Data Checking'!MJ69="","",'Data Checking'!MJ69)</f>
        <v>submitted_via_web</v>
      </c>
      <c r="LY69" s="2" t="str">
        <f>IF('Data Checking'!MK69="","",'Data Checking'!MK69)</f>
        <v>reach_niger</v>
      </c>
      <c r="LZ69" s="2" t="str">
        <f>IF('Data Checking'!ML69="","",'Data Checking'!ML69)</f>
        <v/>
      </c>
      <c r="MA69" s="2">
        <f>IF('Data Checking'!MM69="","",'Data Checking'!MM69)</f>
        <v>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B77"/>
  <sheetViews>
    <sheetView workbookViewId="0">
      <selection activeCell="C4" sqref="C4"/>
    </sheetView>
  </sheetViews>
  <sheetFormatPr baseColWidth="10" defaultRowHeight="14.4" x14ac:dyDescent="0.3"/>
  <cols>
    <col min="1" max="1" width="30.88671875" customWidth="1"/>
    <col min="2" max="2" width="41.6640625" customWidth="1"/>
  </cols>
  <sheetData>
    <row r="1" spans="1:2" s="2" customFormat="1" ht="43.2" x14ac:dyDescent="0.3">
      <c r="A1" s="41" t="s">
        <v>1635</v>
      </c>
      <c r="B1" s="45" t="s">
        <v>1636</v>
      </c>
    </row>
    <row r="2" spans="1:2" s="2" customFormat="1" ht="60" customHeight="1" x14ac:dyDescent="0.3">
      <c r="A2" s="42" t="s">
        <v>1637</v>
      </c>
      <c r="B2" s="44" t="s">
        <v>1640</v>
      </c>
    </row>
    <row r="3" spans="1:2" s="2" customFormat="1" ht="28.8" x14ac:dyDescent="0.3">
      <c r="A3" s="43" t="s">
        <v>1638</v>
      </c>
      <c r="B3" s="44" t="s">
        <v>1641</v>
      </c>
    </row>
    <row r="4" spans="1:2" s="2" customFormat="1" ht="72" x14ac:dyDescent="0.3">
      <c r="A4" s="44" t="s">
        <v>1639</v>
      </c>
      <c r="B4" s="44" t="s">
        <v>1662</v>
      </c>
    </row>
    <row r="5" spans="1:2" x14ac:dyDescent="0.3">
      <c r="A5" s="32" t="s">
        <v>1178</v>
      </c>
      <c r="B5" t="s">
        <v>1180</v>
      </c>
    </row>
    <row r="6" spans="1:2" x14ac:dyDescent="0.3">
      <c r="A6" s="33" t="s">
        <v>655</v>
      </c>
      <c r="B6" s="36"/>
    </row>
    <row r="7" spans="1:2" x14ac:dyDescent="0.3">
      <c r="A7" s="34" t="s">
        <v>655</v>
      </c>
      <c r="B7" s="36"/>
    </row>
    <row r="8" spans="1:2" x14ac:dyDescent="0.3">
      <c r="A8" s="35" t="s">
        <v>656</v>
      </c>
      <c r="B8" s="36">
        <v>1</v>
      </c>
    </row>
    <row r="9" spans="1:2" x14ac:dyDescent="0.3">
      <c r="A9" s="35" t="s">
        <v>671</v>
      </c>
      <c r="B9" s="36">
        <v>1</v>
      </c>
    </row>
    <row r="10" spans="1:2" x14ac:dyDescent="0.3">
      <c r="A10" s="33" t="s">
        <v>633</v>
      </c>
      <c r="B10" s="36"/>
    </row>
    <row r="11" spans="1:2" x14ac:dyDescent="0.3">
      <c r="A11" s="34" t="s">
        <v>633</v>
      </c>
      <c r="B11" s="36"/>
    </row>
    <row r="12" spans="1:2" x14ac:dyDescent="0.3">
      <c r="A12" s="35" t="s">
        <v>427</v>
      </c>
      <c r="B12" s="36">
        <v>3</v>
      </c>
    </row>
    <row r="13" spans="1:2" x14ac:dyDescent="0.3">
      <c r="A13" s="35" t="s">
        <v>1158</v>
      </c>
      <c r="B13" s="36">
        <v>6</v>
      </c>
    </row>
    <row r="14" spans="1:2" x14ac:dyDescent="0.3">
      <c r="A14" s="35" t="s">
        <v>1079</v>
      </c>
      <c r="B14" s="36">
        <v>1</v>
      </c>
    </row>
    <row r="15" spans="1:2" x14ac:dyDescent="0.3">
      <c r="A15" s="33" t="s">
        <v>783</v>
      </c>
      <c r="B15" s="36"/>
    </row>
    <row r="16" spans="1:2" x14ac:dyDescent="0.3">
      <c r="A16" s="34" t="s">
        <v>784</v>
      </c>
      <c r="B16" s="36"/>
    </row>
    <row r="17" spans="1:2" x14ac:dyDescent="0.3">
      <c r="A17" s="35" t="s">
        <v>785</v>
      </c>
      <c r="B17" s="36">
        <v>1</v>
      </c>
    </row>
    <row r="18" spans="1:2" x14ac:dyDescent="0.3">
      <c r="A18" s="33" t="s">
        <v>981</v>
      </c>
      <c r="B18" s="36"/>
    </row>
    <row r="19" spans="1:2" x14ac:dyDescent="0.3">
      <c r="A19" s="34" t="s">
        <v>981</v>
      </c>
      <c r="B19" s="36"/>
    </row>
    <row r="20" spans="1:2" x14ac:dyDescent="0.3">
      <c r="A20" s="35" t="s">
        <v>1177</v>
      </c>
      <c r="B20" s="36">
        <v>1</v>
      </c>
    </row>
    <row r="21" spans="1:2" x14ac:dyDescent="0.3">
      <c r="A21" s="35" t="s">
        <v>1000</v>
      </c>
      <c r="B21" s="36">
        <v>1</v>
      </c>
    </row>
    <row r="22" spans="1:2" x14ac:dyDescent="0.3">
      <c r="A22" s="35" t="s">
        <v>1017</v>
      </c>
      <c r="B22" s="36">
        <v>1</v>
      </c>
    </row>
    <row r="23" spans="1:2" x14ac:dyDescent="0.3">
      <c r="A23" s="35" t="s">
        <v>1540</v>
      </c>
      <c r="B23" s="36">
        <v>1</v>
      </c>
    </row>
    <row r="24" spans="1:2" x14ac:dyDescent="0.3">
      <c r="A24" s="33" t="s">
        <v>423</v>
      </c>
      <c r="B24" s="36"/>
    </row>
    <row r="25" spans="1:2" x14ac:dyDescent="0.3">
      <c r="A25" s="34" t="s">
        <v>893</v>
      </c>
      <c r="B25" s="36"/>
    </row>
    <row r="26" spans="1:2" x14ac:dyDescent="0.3">
      <c r="A26" s="35" t="s">
        <v>1046</v>
      </c>
      <c r="B26" s="36">
        <v>2</v>
      </c>
    </row>
    <row r="27" spans="1:2" x14ac:dyDescent="0.3">
      <c r="A27" s="34" t="s">
        <v>423</v>
      </c>
      <c r="B27" s="36"/>
    </row>
    <row r="28" spans="1:2" x14ac:dyDescent="0.3">
      <c r="A28" s="35" t="s">
        <v>424</v>
      </c>
      <c r="B28" s="36">
        <v>1</v>
      </c>
    </row>
    <row r="29" spans="1:2" x14ac:dyDescent="0.3">
      <c r="A29" s="35" t="s">
        <v>934</v>
      </c>
      <c r="B29" s="36">
        <v>1</v>
      </c>
    </row>
    <row r="30" spans="1:2" x14ac:dyDescent="0.3">
      <c r="A30" s="35" t="s">
        <v>963</v>
      </c>
      <c r="B30" s="36">
        <v>2</v>
      </c>
    </row>
    <row r="31" spans="1:2" x14ac:dyDescent="0.3">
      <c r="A31" s="35" t="s">
        <v>423</v>
      </c>
      <c r="B31" s="36">
        <v>4</v>
      </c>
    </row>
    <row r="32" spans="1:2" x14ac:dyDescent="0.3">
      <c r="A32" s="35" t="s">
        <v>785</v>
      </c>
      <c r="B32" s="36">
        <v>1</v>
      </c>
    </row>
    <row r="33" spans="1:2" x14ac:dyDescent="0.3">
      <c r="A33" s="35" t="s">
        <v>613</v>
      </c>
      <c r="B33" s="36">
        <v>1</v>
      </c>
    </row>
    <row r="34" spans="1:2" x14ac:dyDescent="0.3">
      <c r="A34" s="35" t="s">
        <v>949</v>
      </c>
      <c r="B34" s="36">
        <v>1</v>
      </c>
    </row>
    <row r="35" spans="1:2" x14ac:dyDescent="0.3">
      <c r="A35" s="33" t="s">
        <v>429</v>
      </c>
      <c r="B35" s="36"/>
    </row>
    <row r="36" spans="1:2" x14ac:dyDescent="0.3">
      <c r="A36" s="34" t="s">
        <v>500</v>
      </c>
      <c r="B36" s="36"/>
    </row>
    <row r="37" spans="1:2" x14ac:dyDescent="0.3">
      <c r="A37" s="35" t="s">
        <v>1058</v>
      </c>
      <c r="B37" s="36">
        <v>1</v>
      </c>
    </row>
    <row r="38" spans="1:2" x14ac:dyDescent="0.3">
      <c r="A38" s="35" t="s">
        <v>568</v>
      </c>
      <c r="B38" s="36">
        <v>1</v>
      </c>
    </row>
    <row r="39" spans="1:2" x14ac:dyDescent="0.3">
      <c r="A39" s="35" t="s">
        <v>501</v>
      </c>
      <c r="B39" s="36">
        <v>1</v>
      </c>
    </row>
    <row r="40" spans="1:2" x14ac:dyDescent="0.3">
      <c r="A40" s="35" t="s">
        <v>1068</v>
      </c>
      <c r="B40" s="36">
        <v>1</v>
      </c>
    </row>
    <row r="41" spans="1:2" x14ac:dyDescent="0.3">
      <c r="A41" s="34" t="s">
        <v>803</v>
      </c>
      <c r="B41" s="36"/>
    </row>
    <row r="42" spans="1:2" x14ac:dyDescent="0.3">
      <c r="A42" s="35" t="s">
        <v>804</v>
      </c>
      <c r="B42" s="36">
        <v>1</v>
      </c>
    </row>
    <row r="43" spans="1:2" x14ac:dyDescent="0.3">
      <c r="A43" s="35" t="s">
        <v>803</v>
      </c>
      <c r="B43" s="36">
        <v>1</v>
      </c>
    </row>
    <row r="44" spans="1:2" x14ac:dyDescent="0.3">
      <c r="A44" s="34" t="s">
        <v>429</v>
      </c>
      <c r="B44" s="36"/>
    </row>
    <row r="45" spans="1:2" x14ac:dyDescent="0.3">
      <c r="A45" s="35" t="s">
        <v>1125</v>
      </c>
      <c r="B45" s="36">
        <v>1</v>
      </c>
    </row>
    <row r="46" spans="1:2" x14ac:dyDescent="0.3">
      <c r="A46" s="35" t="s">
        <v>1137</v>
      </c>
      <c r="B46" s="36">
        <v>1</v>
      </c>
    </row>
    <row r="47" spans="1:2" x14ac:dyDescent="0.3">
      <c r="A47" s="33" t="s">
        <v>466</v>
      </c>
      <c r="B47" s="36"/>
    </row>
    <row r="48" spans="1:2" x14ac:dyDescent="0.3">
      <c r="A48" s="34" t="s">
        <v>588</v>
      </c>
      <c r="B48" s="36"/>
    </row>
    <row r="49" spans="1:2" x14ac:dyDescent="0.3">
      <c r="A49" s="35" t="s">
        <v>427</v>
      </c>
      <c r="B49" s="36">
        <v>4</v>
      </c>
    </row>
    <row r="50" spans="1:2" x14ac:dyDescent="0.3">
      <c r="A50" s="35" t="s">
        <v>1250</v>
      </c>
      <c r="B50" s="36">
        <v>1</v>
      </c>
    </row>
    <row r="51" spans="1:2" x14ac:dyDescent="0.3">
      <c r="A51" s="34" t="s">
        <v>466</v>
      </c>
      <c r="B51" s="36"/>
    </row>
    <row r="52" spans="1:2" x14ac:dyDescent="0.3">
      <c r="A52" s="35" t="s">
        <v>696</v>
      </c>
      <c r="B52" s="36">
        <v>1</v>
      </c>
    </row>
    <row r="53" spans="1:2" x14ac:dyDescent="0.3">
      <c r="A53" s="35" t="s">
        <v>467</v>
      </c>
      <c r="B53" s="36">
        <v>1</v>
      </c>
    </row>
    <row r="54" spans="1:2" x14ac:dyDescent="0.3">
      <c r="A54" s="35" t="s">
        <v>721</v>
      </c>
      <c r="B54" s="36">
        <v>1</v>
      </c>
    </row>
    <row r="55" spans="1:2" x14ac:dyDescent="0.3">
      <c r="A55" s="35" t="s">
        <v>542</v>
      </c>
      <c r="B55" s="36">
        <v>1</v>
      </c>
    </row>
    <row r="56" spans="1:2" x14ac:dyDescent="0.3">
      <c r="A56" s="35" t="s">
        <v>1186</v>
      </c>
      <c r="B56" s="36">
        <v>1</v>
      </c>
    </row>
    <row r="57" spans="1:2" x14ac:dyDescent="0.3">
      <c r="A57" s="35" t="s">
        <v>466</v>
      </c>
      <c r="B57" s="36">
        <v>1</v>
      </c>
    </row>
    <row r="58" spans="1:2" x14ac:dyDescent="0.3">
      <c r="A58" s="35" t="s">
        <v>1229</v>
      </c>
      <c r="B58" s="36">
        <v>1</v>
      </c>
    </row>
    <row r="59" spans="1:2" x14ac:dyDescent="0.3">
      <c r="A59" s="35" t="s">
        <v>1516</v>
      </c>
      <c r="B59" s="36">
        <v>1</v>
      </c>
    </row>
    <row r="60" spans="1:2" x14ac:dyDescent="0.3">
      <c r="A60" s="33" t="s">
        <v>1126</v>
      </c>
      <c r="B60" s="36"/>
    </row>
    <row r="61" spans="1:2" x14ac:dyDescent="0.3">
      <c r="A61" s="34" t="s">
        <v>1126</v>
      </c>
      <c r="B61" s="36"/>
    </row>
    <row r="62" spans="1:2" x14ac:dyDescent="0.3">
      <c r="A62" s="35" t="s">
        <v>1260</v>
      </c>
      <c r="B62" s="36">
        <v>2</v>
      </c>
    </row>
    <row r="63" spans="1:2" x14ac:dyDescent="0.3">
      <c r="A63" s="35" t="s">
        <v>1291</v>
      </c>
      <c r="B63" s="36">
        <v>2</v>
      </c>
    </row>
    <row r="64" spans="1:2" x14ac:dyDescent="0.3">
      <c r="A64" s="34" t="s">
        <v>1320</v>
      </c>
      <c r="B64" s="36"/>
    </row>
    <row r="65" spans="1:2" x14ac:dyDescent="0.3">
      <c r="A65" s="35" t="s">
        <v>1321</v>
      </c>
      <c r="B65" s="36">
        <v>2</v>
      </c>
    </row>
    <row r="66" spans="1:2" x14ac:dyDescent="0.3">
      <c r="A66" s="35" t="s">
        <v>1355</v>
      </c>
      <c r="B66" s="36">
        <v>2</v>
      </c>
    </row>
    <row r="67" spans="1:2" x14ac:dyDescent="0.3">
      <c r="A67" s="35" t="s">
        <v>1320</v>
      </c>
      <c r="B67" s="36">
        <v>2</v>
      </c>
    </row>
    <row r="68" spans="1:2" x14ac:dyDescent="0.3">
      <c r="A68" s="33" t="s">
        <v>1337</v>
      </c>
      <c r="B68" s="36"/>
    </row>
    <row r="69" spans="1:2" x14ac:dyDescent="0.3">
      <c r="A69" s="34" t="s">
        <v>1337</v>
      </c>
      <c r="B69" s="36"/>
    </row>
    <row r="70" spans="1:2" x14ac:dyDescent="0.3">
      <c r="A70" s="35" t="s">
        <v>1338</v>
      </c>
      <c r="B70" s="36">
        <v>1</v>
      </c>
    </row>
    <row r="71" spans="1:2" x14ac:dyDescent="0.3">
      <c r="A71" s="35" t="s">
        <v>1337</v>
      </c>
      <c r="B71" s="36">
        <v>2</v>
      </c>
    </row>
    <row r="72" spans="1:2" x14ac:dyDescent="0.3">
      <c r="A72" s="35" t="s">
        <v>1590</v>
      </c>
      <c r="B72" s="36">
        <v>1</v>
      </c>
    </row>
    <row r="73" spans="1:2" x14ac:dyDescent="0.3">
      <c r="A73" s="33" t="s">
        <v>787</v>
      </c>
      <c r="B73" s="36"/>
    </row>
    <row r="74" spans="1:2" x14ac:dyDescent="0.3">
      <c r="A74" s="34" t="s">
        <v>787</v>
      </c>
      <c r="B74" s="36"/>
    </row>
    <row r="75" spans="1:2" x14ac:dyDescent="0.3">
      <c r="A75" s="35" t="s">
        <v>427</v>
      </c>
      <c r="B75" s="36">
        <v>2</v>
      </c>
    </row>
    <row r="76" spans="1:2" x14ac:dyDescent="0.3">
      <c r="A76" s="35" t="s">
        <v>787</v>
      </c>
      <c r="B76" s="36">
        <v>1</v>
      </c>
    </row>
    <row r="77" spans="1:2" x14ac:dyDescent="0.3">
      <c r="A77" s="33" t="s">
        <v>1179</v>
      </c>
      <c r="B77" s="36">
        <v>68</v>
      </c>
    </row>
  </sheetData>
  <conditionalFormatting pivot="1" sqref="B8:B9 B10 B11 B12:B14 B15 B16 B17 B18 B19 B20:B23 B24 B25 B26 B27 B28:B34 B35 B36 B37:B40 B41 B42:B43 B44 B45:B46 B47 B48 B49:B50 B51 B52:B59 B60 B61 B62:B63 B64 B65:B67 B68 B69 B70:B72">
    <cfRule type="cellIs" dxfId="1" priority="2" operator="greaterThan">
      <formula>1</formula>
    </cfRule>
  </conditionalFormatting>
  <conditionalFormatting pivot="1" sqref="B8:B9 B10 B11 B12:B14 B15 B16 B17 B18 B19 B20:B23 B24 B25 B26 B27 B28:B34 B35 B36 B37:B40 B41 B42:B43 B44 B45:B46 B47 B48 B49:B50 B51 B52:B59 B60 B61 B62:B63 B64 B65:B67 B68 B69 B70:B72 B73 B74 B75:B76">
    <cfRule type="cellIs" dxfId="0" priority="1" operator="greaterThan">
      <formula>1</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K981"/>
  <sheetViews>
    <sheetView workbookViewId="0">
      <selection activeCell="B22" sqref="B22"/>
    </sheetView>
  </sheetViews>
  <sheetFormatPr baseColWidth="10" defaultColWidth="9.21875" defaultRowHeight="14.4" x14ac:dyDescent="0.3"/>
  <cols>
    <col min="1" max="1" width="6.5546875" style="1" customWidth="1"/>
    <col min="2" max="2" width="44.33203125" style="1" bestFit="1" customWidth="1"/>
    <col min="3" max="3" width="41.44140625" style="1" customWidth="1"/>
    <col min="4" max="4" width="12.5546875" style="1" customWidth="1"/>
    <col min="5" max="5" width="29.44140625" style="1" customWidth="1"/>
    <col min="6" max="6" width="13.44140625" style="1" customWidth="1"/>
    <col min="7" max="7" width="54.21875" style="1" customWidth="1"/>
    <col min="8" max="8" width="28.77734375" style="1" customWidth="1"/>
    <col min="9" max="9" width="27" style="1" customWidth="1"/>
    <col min="10" max="10" width="63.5546875" style="37" customWidth="1"/>
    <col min="11" max="11" width="16.44140625" style="1" customWidth="1"/>
    <col min="12" max="16384" width="9.21875" style="1"/>
  </cols>
  <sheetData>
    <row r="1" spans="1:11" ht="15" thickBot="1" x14ac:dyDescent="0.35">
      <c r="A1" s="16"/>
      <c r="B1" s="53" t="s">
        <v>1</v>
      </c>
      <c r="C1" s="54"/>
      <c r="D1" s="55"/>
      <c r="E1" s="55"/>
      <c r="F1" s="55"/>
      <c r="G1" s="17"/>
      <c r="H1" s="56" t="s">
        <v>2</v>
      </c>
      <c r="I1" s="56"/>
      <c r="J1" s="57"/>
      <c r="K1" s="18" t="s">
        <v>3</v>
      </c>
    </row>
    <row r="2" spans="1:11" x14ac:dyDescent="0.3">
      <c r="A2" s="19" t="s">
        <v>79</v>
      </c>
      <c r="B2" s="19" t="s">
        <v>1</v>
      </c>
      <c r="C2" s="19" t="s">
        <v>4</v>
      </c>
      <c r="D2" s="20" t="s">
        <v>11</v>
      </c>
      <c r="E2" s="21" t="s">
        <v>5</v>
      </c>
      <c r="F2" s="22" t="s">
        <v>0</v>
      </c>
      <c r="G2" s="23" t="s">
        <v>6</v>
      </c>
      <c r="H2" s="20" t="s">
        <v>7</v>
      </c>
      <c r="I2" s="21" t="s">
        <v>8</v>
      </c>
      <c r="J2" s="24" t="s">
        <v>9</v>
      </c>
      <c r="K2" s="25" t="s">
        <v>10</v>
      </c>
    </row>
    <row r="3" spans="1:11" x14ac:dyDescent="0.3">
      <c r="A3" s="1">
        <v>1</v>
      </c>
      <c r="B3" s="1" t="s">
        <v>90</v>
      </c>
      <c r="E3" s="1" t="s">
        <v>844</v>
      </c>
      <c r="F3" s="1" t="s">
        <v>633</v>
      </c>
      <c r="H3" s="1" t="s">
        <v>829</v>
      </c>
      <c r="I3" s="1" t="s">
        <v>1173</v>
      </c>
      <c r="J3" s="37" t="s">
        <v>1174</v>
      </c>
      <c r="K3" s="1" t="s">
        <v>1175</v>
      </c>
    </row>
    <row r="4" spans="1:11" x14ac:dyDescent="0.3">
      <c r="A4" s="1">
        <v>2</v>
      </c>
      <c r="B4" s="1" t="s">
        <v>90</v>
      </c>
      <c r="E4" s="1" t="s">
        <v>869</v>
      </c>
      <c r="F4" s="1" t="s">
        <v>633</v>
      </c>
      <c r="H4" s="1" t="s">
        <v>860</v>
      </c>
      <c r="I4" s="1" t="s">
        <v>1176</v>
      </c>
      <c r="J4" s="37" t="s">
        <v>1174</v>
      </c>
      <c r="K4" s="1" t="s">
        <v>1175</v>
      </c>
    </row>
    <row r="5" spans="1:11" x14ac:dyDescent="0.3">
      <c r="A5" s="1">
        <v>3</v>
      </c>
      <c r="B5" s="1" t="s">
        <v>90</v>
      </c>
      <c r="E5" s="1" t="s">
        <v>996</v>
      </c>
      <c r="F5" s="1" t="s">
        <v>981</v>
      </c>
      <c r="H5" s="1" t="s">
        <v>982</v>
      </c>
      <c r="I5" s="1" t="s">
        <v>1177</v>
      </c>
      <c r="J5" s="37" t="s">
        <v>1174</v>
      </c>
      <c r="K5" s="1" t="s">
        <v>1175</v>
      </c>
    </row>
    <row r="6" spans="1:11" x14ac:dyDescent="0.3">
      <c r="A6" s="1">
        <v>6</v>
      </c>
      <c r="B6" s="1" t="s">
        <v>90</v>
      </c>
      <c r="E6" s="1" t="s">
        <v>1096</v>
      </c>
      <c r="F6" s="1" t="s">
        <v>633</v>
      </c>
      <c r="H6" s="1" t="s">
        <v>1086</v>
      </c>
      <c r="I6" s="1" t="s">
        <v>1181</v>
      </c>
      <c r="J6" s="37" t="s">
        <v>1182</v>
      </c>
      <c r="K6" s="1" t="s">
        <v>1175</v>
      </c>
    </row>
    <row r="7" spans="1:11" x14ac:dyDescent="0.3">
      <c r="A7" s="1">
        <v>7</v>
      </c>
      <c r="B7" s="1" t="s">
        <v>90</v>
      </c>
      <c r="E7" s="1" t="s">
        <v>1108</v>
      </c>
      <c r="F7" s="1" t="s">
        <v>633</v>
      </c>
      <c r="H7" s="1" t="s">
        <v>1100</v>
      </c>
      <c r="I7" s="1" t="s">
        <v>1181</v>
      </c>
      <c r="J7" s="37" t="s">
        <v>1182</v>
      </c>
      <c r="K7" s="1" t="s">
        <v>1175</v>
      </c>
    </row>
    <row r="8" spans="1:11" x14ac:dyDescent="0.3">
      <c r="A8" s="1">
        <v>8</v>
      </c>
      <c r="B8" s="1" t="s">
        <v>90</v>
      </c>
      <c r="E8" s="1" t="s">
        <v>1154</v>
      </c>
      <c r="F8" s="1" t="s">
        <v>633</v>
      </c>
      <c r="H8" s="1" t="s">
        <v>1144</v>
      </c>
      <c r="I8" s="1" t="s">
        <v>1181</v>
      </c>
      <c r="J8" s="37" t="s">
        <v>1182</v>
      </c>
      <c r="K8" s="1" t="s">
        <v>1175</v>
      </c>
    </row>
    <row r="9" spans="1:11" x14ac:dyDescent="0.3">
      <c r="A9" s="1">
        <v>9</v>
      </c>
      <c r="B9" s="1" t="s">
        <v>90</v>
      </c>
      <c r="E9" s="1" t="s">
        <v>1225</v>
      </c>
      <c r="F9" s="1" t="s">
        <v>466</v>
      </c>
      <c r="H9" s="1" t="s">
        <v>1215</v>
      </c>
      <c r="I9" s="1" t="s">
        <v>1300</v>
      </c>
      <c r="J9" s="37" t="s">
        <v>1174</v>
      </c>
      <c r="K9" s="1" t="s">
        <v>1175</v>
      </c>
    </row>
    <row r="10" spans="1:11" x14ac:dyDescent="0.3">
      <c r="A10" s="1">
        <v>10</v>
      </c>
      <c r="B10" s="1" t="s">
        <v>90</v>
      </c>
      <c r="E10" s="1" t="s">
        <v>609</v>
      </c>
      <c r="F10" s="1" t="s">
        <v>588</v>
      </c>
      <c r="H10" s="1" t="s">
        <v>589</v>
      </c>
      <c r="I10" s="1" t="s">
        <v>746</v>
      </c>
      <c r="J10" s="37" t="s">
        <v>1174</v>
      </c>
      <c r="K10" s="1" t="s">
        <v>1175</v>
      </c>
    </row>
    <row r="11" spans="1:11" x14ac:dyDescent="0.3">
      <c r="A11" s="1">
        <v>11</v>
      </c>
      <c r="B11" s="1" t="s">
        <v>89</v>
      </c>
      <c r="E11" s="1" t="s">
        <v>912</v>
      </c>
      <c r="F11" s="1" t="s">
        <v>893</v>
      </c>
      <c r="H11" s="1" t="s">
        <v>427</v>
      </c>
      <c r="I11" s="1" t="s">
        <v>1046</v>
      </c>
      <c r="J11" s="37" t="s">
        <v>1301</v>
      </c>
      <c r="K11" s="1" t="s">
        <v>1175</v>
      </c>
    </row>
    <row r="12" spans="1:11" x14ac:dyDescent="0.3">
      <c r="A12" s="1">
        <v>12</v>
      </c>
      <c r="B12" s="1" t="s">
        <v>90</v>
      </c>
      <c r="E12" s="1" t="s">
        <v>912</v>
      </c>
      <c r="F12" s="1" t="s">
        <v>893</v>
      </c>
      <c r="H12" s="1" t="s">
        <v>894</v>
      </c>
      <c r="J12" s="37" t="s">
        <v>1302</v>
      </c>
      <c r="K12" s="1" t="s">
        <v>1175</v>
      </c>
    </row>
    <row r="13" spans="1:11" x14ac:dyDescent="0.3">
      <c r="A13" s="1">
        <v>35</v>
      </c>
      <c r="B13" s="1" t="s">
        <v>100</v>
      </c>
      <c r="E13" s="1" t="s">
        <v>779</v>
      </c>
      <c r="F13" s="1" t="s">
        <v>588</v>
      </c>
      <c r="H13" s="1" t="s">
        <v>544</v>
      </c>
      <c r="I13" s="1" t="s">
        <v>503</v>
      </c>
      <c r="J13" s="37" t="s">
        <v>1301</v>
      </c>
      <c r="K13" s="1" t="s">
        <v>1175</v>
      </c>
    </row>
    <row r="14" spans="1:11" x14ac:dyDescent="0.3">
      <c r="A14" s="1">
        <v>36</v>
      </c>
      <c r="B14" s="1" t="s">
        <v>100</v>
      </c>
      <c r="E14" s="1" t="s">
        <v>889</v>
      </c>
      <c r="F14" s="1" t="s">
        <v>423</v>
      </c>
      <c r="H14" s="1" t="s">
        <v>544</v>
      </c>
      <c r="I14" s="1" t="s">
        <v>503</v>
      </c>
      <c r="J14" s="37" t="s">
        <v>1301</v>
      </c>
      <c r="K14" s="1" t="s">
        <v>1175</v>
      </c>
    </row>
    <row r="15" spans="1:11" x14ac:dyDescent="0.3">
      <c r="A15" s="1">
        <v>37</v>
      </c>
      <c r="B15" s="1" t="s">
        <v>100</v>
      </c>
      <c r="E15" s="1" t="s">
        <v>912</v>
      </c>
      <c r="F15" s="1" t="s">
        <v>893</v>
      </c>
      <c r="H15" s="1" t="s">
        <v>544</v>
      </c>
      <c r="I15" s="1" t="s">
        <v>503</v>
      </c>
      <c r="J15" s="37" t="s">
        <v>1301</v>
      </c>
      <c r="K15" s="1" t="s">
        <v>1175</v>
      </c>
    </row>
    <row r="16" spans="1:11" x14ac:dyDescent="0.3">
      <c r="A16" s="1">
        <v>38</v>
      </c>
      <c r="B16" s="1" t="s">
        <v>100</v>
      </c>
      <c r="E16" s="1" t="s">
        <v>1042</v>
      </c>
      <c r="F16" s="1" t="s">
        <v>423</v>
      </c>
      <c r="H16" s="1" t="s">
        <v>544</v>
      </c>
      <c r="I16" s="1" t="s">
        <v>503</v>
      </c>
      <c r="J16" s="37" t="s">
        <v>1301</v>
      </c>
      <c r="K16" s="1" t="s">
        <v>1175</v>
      </c>
    </row>
    <row r="17" spans="1:11" x14ac:dyDescent="0.3">
      <c r="A17" s="1">
        <v>39</v>
      </c>
      <c r="B17" s="1" t="s">
        <v>100</v>
      </c>
      <c r="E17" s="1" t="s">
        <v>1392</v>
      </c>
      <c r="F17" s="1" t="s">
        <v>1337</v>
      </c>
      <c r="H17" s="1" t="s">
        <v>544</v>
      </c>
      <c r="I17" s="1" t="s">
        <v>503</v>
      </c>
      <c r="J17" s="37" t="s">
        <v>1301</v>
      </c>
      <c r="K17" s="1" t="s">
        <v>1175</v>
      </c>
    </row>
    <row r="18" spans="1:11" x14ac:dyDescent="0.3">
      <c r="A18" s="1">
        <v>40</v>
      </c>
      <c r="B18" s="1" t="s">
        <v>101</v>
      </c>
      <c r="E18" s="1" t="s">
        <v>609</v>
      </c>
      <c r="F18" s="1" t="s">
        <v>588</v>
      </c>
      <c r="H18" s="1" t="s">
        <v>591</v>
      </c>
      <c r="J18" s="37" t="s">
        <v>1424</v>
      </c>
      <c r="K18" s="1" t="s">
        <v>1175</v>
      </c>
    </row>
    <row r="19" spans="1:11" x14ac:dyDescent="0.3">
      <c r="A19" s="1">
        <v>41</v>
      </c>
      <c r="B19" s="1" t="s">
        <v>101</v>
      </c>
      <c r="E19" s="1" t="s">
        <v>779</v>
      </c>
      <c r="F19" s="1" t="s">
        <v>588</v>
      </c>
      <c r="H19" s="1" t="s">
        <v>748</v>
      </c>
      <c r="J19" s="37" t="s">
        <v>1424</v>
      </c>
      <c r="K19" s="1" t="s">
        <v>1175</v>
      </c>
    </row>
    <row r="20" spans="1:11" x14ac:dyDescent="0.3">
      <c r="A20" s="1">
        <v>42</v>
      </c>
      <c r="B20" s="1" t="s">
        <v>101</v>
      </c>
      <c r="E20" s="1" t="s">
        <v>889</v>
      </c>
      <c r="F20" s="1" t="s">
        <v>423</v>
      </c>
      <c r="H20" s="1" t="s">
        <v>873</v>
      </c>
      <c r="J20" s="37" t="s">
        <v>1424</v>
      </c>
      <c r="K20" s="1" t="s">
        <v>1175</v>
      </c>
    </row>
    <row r="21" spans="1:11" x14ac:dyDescent="0.3">
      <c r="A21" s="1">
        <v>43</v>
      </c>
      <c r="B21" s="1" t="s">
        <v>101</v>
      </c>
      <c r="E21" s="1" t="s">
        <v>912</v>
      </c>
      <c r="F21" s="1" t="s">
        <v>893</v>
      </c>
      <c r="H21" s="1" t="s">
        <v>896</v>
      </c>
      <c r="J21" s="37" t="s">
        <v>1424</v>
      </c>
      <c r="K21" s="1" t="s">
        <v>1175</v>
      </c>
    </row>
    <row r="22" spans="1:11" x14ac:dyDescent="0.3">
      <c r="A22" s="1">
        <v>44</v>
      </c>
      <c r="B22" s="1" t="s">
        <v>101</v>
      </c>
      <c r="E22" s="1" t="s">
        <v>1042</v>
      </c>
      <c r="F22" s="1" t="s">
        <v>423</v>
      </c>
      <c r="H22" s="1" t="s">
        <v>1034</v>
      </c>
      <c r="J22" s="37" t="s">
        <v>1424</v>
      </c>
      <c r="K22" s="1" t="s">
        <v>1175</v>
      </c>
    </row>
    <row r="23" spans="1:11" x14ac:dyDescent="0.3">
      <c r="A23" s="1">
        <v>45</v>
      </c>
      <c r="B23" s="1" t="s">
        <v>101</v>
      </c>
      <c r="E23" s="1" t="s">
        <v>1392</v>
      </c>
      <c r="F23" s="1" t="s">
        <v>1337</v>
      </c>
      <c r="H23" s="1" t="s">
        <v>1384</v>
      </c>
      <c r="J23" s="37" t="s">
        <v>1424</v>
      </c>
      <c r="K23" s="1" t="s">
        <v>1175</v>
      </c>
    </row>
    <row r="24" spans="1:11" x14ac:dyDescent="0.3">
      <c r="A24" s="1">
        <v>46</v>
      </c>
      <c r="B24" s="1" t="s">
        <v>102</v>
      </c>
      <c r="E24" s="1" t="s">
        <v>959</v>
      </c>
      <c r="F24" s="1" t="s">
        <v>423</v>
      </c>
      <c r="H24" s="1" t="s">
        <v>723</v>
      </c>
      <c r="I24" s="1" t="s">
        <v>862</v>
      </c>
      <c r="J24" s="37" t="s">
        <v>1301</v>
      </c>
      <c r="K24" s="1" t="s">
        <v>1175</v>
      </c>
    </row>
    <row r="25" spans="1:11" x14ac:dyDescent="0.3">
      <c r="A25" s="1">
        <v>47</v>
      </c>
      <c r="B25" s="1" t="s">
        <v>102</v>
      </c>
      <c r="E25" s="1" t="s">
        <v>1082</v>
      </c>
      <c r="F25" s="1" t="s">
        <v>633</v>
      </c>
      <c r="H25" s="1" t="s">
        <v>723</v>
      </c>
      <c r="I25" s="1" t="s">
        <v>544</v>
      </c>
      <c r="J25" s="37" t="s">
        <v>1301</v>
      </c>
      <c r="K25" s="1" t="s">
        <v>1175</v>
      </c>
    </row>
    <row r="26" spans="1:11" x14ac:dyDescent="0.3">
      <c r="A26" s="1">
        <v>48</v>
      </c>
      <c r="B26" s="1" t="s">
        <v>103</v>
      </c>
      <c r="E26" s="1" t="s">
        <v>1082</v>
      </c>
      <c r="F26" s="1" t="s">
        <v>633</v>
      </c>
      <c r="H26" s="1" t="s">
        <v>1425</v>
      </c>
      <c r="I26" s="1" t="s">
        <v>1426</v>
      </c>
      <c r="J26" s="37" t="s">
        <v>1427</v>
      </c>
      <c r="K26" s="1" t="s">
        <v>1175</v>
      </c>
    </row>
    <row r="27" spans="1:11" x14ac:dyDescent="0.3">
      <c r="A27" s="1">
        <v>49</v>
      </c>
      <c r="B27" s="1" t="s">
        <v>100</v>
      </c>
      <c r="E27" s="1" t="s">
        <v>1445</v>
      </c>
      <c r="F27" s="1" t="s">
        <v>787</v>
      </c>
      <c r="H27" s="1" t="s">
        <v>544</v>
      </c>
      <c r="I27" s="1" t="s">
        <v>503</v>
      </c>
      <c r="J27" s="37" t="s">
        <v>1458</v>
      </c>
      <c r="K27" s="1" t="s">
        <v>1175</v>
      </c>
    </row>
    <row r="28" spans="1:11" x14ac:dyDescent="0.3">
      <c r="A28" s="1">
        <v>50</v>
      </c>
      <c r="B28" s="1" t="s">
        <v>101</v>
      </c>
      <c r="E28" s="1" t="s">
        <v>1445</v>
      </c>
      <c r="F28" s="1" t="s">
        <v>787</v>
      </c>
      <c r="H28" s="1" t="s">
        <v>1440</v>
      </c>
      <c r="J28" s="37" t="s">
        <v>1424</v>
      </c>
      <c r="K28" s="1" t="s">
        <v>1175</v>
      </c>
    </row>
    <row r="29" spans="1:11" x14ac:dyDescent="0.3">
      <c r="A29" s="1">
        <v>52</v>
      </c>
      <c r="B29" s="1" t="s">
        <v>103</v>
      </c>
      <c r="E29" s="1" t="s">
        <v>1287</v>
      </c>
      <c r="F29" s="1" t="s">
        <v>1126</v>
      </c>
      <c r="H29" s="1" t="s">
        <v>1277</v>
      </c>
      <c r="I29" s="1" t="s">
        <v>1459</v>
      </c>
      <c r="J29" s="37" t="s">
        <v>1174</v>
      </c>
      <c r="K29" s="1" t="s">
        <v>1175</v>
      </c>
    </row>
    <row r="30" spans="1:11" x14ac:dyDescent="0.3">
      <c r="A30" s="1">
        <v>53</v>
      </c>
      <c r="B30" s="1" t="s">
        <v>103</v>
      </c>
      <c r="E30" s="1" t="s">
        <v>1445</v>
      </c>
      <c r="F30" s="1" t="s">
        <v>787</v>
      </c>
      <c r="H30" s="1" t="s">
        <v>1440</v>
      </c>
      <c r="I30" s="1" t="s">
        <v>1459</v>
      </c>
      <c r="J30" s="37" t="s">
        <v>1174</v>
      </c>
      <c r="K30" s="1" t="s">
        <v>1175</v>
      </c>
    </row>
    <row r="31" spans="1:11" x14ac:dyDescent="0.3">
      <c r="A31" s="1">
        <v>54</v>
      </c>
      <c r="B31" s="1" t="s">
        <v>104</v>
      </c>
      <c r="E31" s="1" t="s">
        <v>1287</v>
      </c>
      <c r="F31" s="1" t="s">
        <v>1126</v>
      </c>
      <c r="H31" s="1" t="s">
        <v>504</v>
      </c>
      <c r="I31" s="1" t="s">
        <v>469</v>
      </c>
      <c r="J31" s="37" t="s">
        <v>1460</v>
      </c>
      <c r="K31" s="1" t="s">
        <v>1175</v>
      </c>
    </row>
    <row r="32" spans="1:11" x14ac:dyDescent="0.3">
      <c r="A32" s="1">
        <v>55</v>
      </c>
      <c r="B32" s="1" t="s">
        <v>104</v>
      </c>
      <c r="E32" s="1" t="s">
        <v>1445</v>
      </c>
      <c r="F32" s="1" t="s">
        <v>787</v>
      </c>
      <c r="H32" s="1" t="s">
        <v>592</v>
      </c>
      <c r="I32" s="1" t="s">
        <v>469</v>
      </c>
      <c r="J32" s="37" t="s">
        <v>1460</v>
      </c>
      <c r="K32" s="1" t="s">
        <v>1175</v>
      </c>
    </row>
    <row r="33" spans="1:11" x14ac:dyDescent="0.3">
      <c r="A33" s="1">
        <v>56</v>
      </c>
      <c r="B33" s="1" t="s">
        <v>104</v>
      </c>
      <c r="E33" s="1" t="s">
        <v>1287</v>
      </c>
      <c r="F33" s="1" t="s">
        <v>1126</v>
      </c>
      <c r="H33" s="1" t="s">
        <v>469</v>
      </c>
      <c r="I33" s="1" t="s">
        <v>635</v>
      </c>
      <c r="J33" s="37" t="s">
        <v>1461</v>
      </c>
      <c r="K33" s="1" t="s">
        <v>1175</v>
      </c>
    </row>
    <row r="34" spans="1:11" x14ac:dyDescent="0.3">
      <c r="A34" s="1">
        <v>57</v>
      </c>
      <c r="B34" s="1" t="s">
        <v>104</v>
      </c>
      <c r="E34" s="1" t="s">
        <v>1445</v>
      </c>
      <c r="F34" s="1" t="s">
        <v>787</v>
      </c>
      <c r="H34" s="1" t="s">
        <v>469</v>
      </c>
      <c r="I34" s="1" t="s">
        <v>635</v>
      </c>
      <c r="J34" s="37" t="s">
        <v>1461</v>
      </c>
      <c r="K34" s="1" t="s">
        <v>1175</v>
      </c>
    </row>
    <row r="35" spans="1:11" x14ac:dyDescent="0.3">
      <c r="A35" s="1">
        <v>58</v>
      </c>
      <c r="B35" s="1" t="s">
        <v>89</v>
      </c>
      <c r="E35" s="1" t="s">
        <v>1435</v>
      </c>
      <c r="F35" s="1" t="s">
        <v>787</v>
      </c>
      <c r="H35" s="1" t="s">
        <v>787</v>
      </c>
      <c r="I35" s="1" t="s">
        <v>427</v>
      </c>
      <c r="J35" s="37" t="s">
        <v>1182</v>
      </c>
      <c r="K35" s="1" t="s">
        <v>1175</v>
      </c>
    </row>
    <row r="36" spans="1:11" x14ac:dyDescent="0.3">
      <c r="A36" s="1">
        <v>59</v>
      </c>
      <c r="B36" s="1" t="s">
        <v>89</v>
      </c>
      <c r="E36" s="1" t="s">
        <v>1456</v>
      </c>
      <c r="F36" s="1" t="s">
        <v>787</v>
      </c>
      <c r="H36" s="1" t="s">
        <v>787</v>
      </c>
      <c r="I36" s="1" t="s">
        <v>427</v>
      </c>
      <c r="J36" s="37" t="s">
        <v>1182</v>
      </c>
      <c r="K36" s="1" t="s">
        <v>1175</v>
      </c>
    </row>
    <row r="37" spans="1:11" x14ac:dyDescent="0.3">
      <c r="A37" s="1">
        <v>60</v>
      </c>
      <c r="B37" s="1" t="s">
        <v>90</v>
      </c>
      <c r="E37" s="1" t="s">
        <v>1435</v>
      </c>
      <c r="F37" s="1" t="s">
        <v>787</v>
      </c>
      <c r="H37" s="1" t="s">
        <v>1425</v>
      </c>
      <c r="I37" s="1" t="s">
        <v>1462</v>
      </c>
      <c r="J37" s="37" t="s">
        <v>1427</v>
      </c>
      <c r="K37" s="1" t="s">
        <v>1175</v>
      </c>
    </row>
    <row r="38" spans="1:11" x14ac:dyDescent="0.3">
      <c r="A38" s="1">
        <v>61</v>
      </c>
      <c r="B38" s="1" t="s">
        <v>90</v>
      </c>
      <c r="E38" s="1" t="s">
        <v>1456</v>
      </c>
      <c r="F38" s="1" t="s">
        <v>787</v>
      </c>
      <c r="I38" s="1" t="s">
        <v>1462</v>
      </c>
      <c r="J38" s="37" t="s">
        <v>1427</v>
      </c>
      <c r="K38" s="1" t="s">
        <v>1175</v>
      </c>
    </row>
    <row r="39" spans="1:11" ht="28.8" x14ac:dyDescent="0.3">
      <c r="A39" s="1">
        <v>62</v>
      </c>
      <c r="B39" s="1" t="s">
        <v>89</v>
      </c>
      <c r="E39" s="1" t="s">
        <v>651</v>
      </c>
      <c r="F39" s="1" t="s">
        <v>633</v>
      </c>
      <c r="H39" s="1" t="s">
        <v>427</v>
      </c>
      <c r="I39" s="1" t="s">
        <v>1158</v>
      </c>
      <c r="J39" s="37" t="s">
        <v>1463</v>
      </c>
      <c r="K39" s="1" t="s">
        <v>1175</v>
      </c>
    </row>
    <row r="40" spans="1:11" ht="28.8" x14ac:dyDescent="0.3">
      <c r="A40" s="1">
        <v>63</v>
      </c>
      <c r="B40" s="1" t="s">
        <v>89</v>
      </c>
      <c r="E40" s="1" t="s">
        <v>844</v>
      </c>
      <c r="F40" s="1" t="s">
        <v>633</v>
      </c>
      <c r="H40" s="1" t="s">
        <v>427</v>
      </c>
      <c r="I40" s="1" t="s">
        <v>1158</v>
      </c>
      <c r="J40" s="37" t="s">
        <v>1463</v>
      </c>
      <c r="K40" s="1" t="s">
        <v>1175</v>
      </c>
    </row>
    <row r="41" spans="1:11" ht="28.8" x14ac:dyDescent="0.3">
      <c r="A41" s="1">
        <v>64</v>
      </c>
      <c r="B41" s="1" t="s">
        <v>89</v>
      </c>
      <c r="E41" s="1" t="s">
        <v>856</v>
      </c>
      <c r="F41" s="1" t="s">
        <v>633</v>
      </c>
      <c r="H41" s="1" t="s">
        <v>427</v>
      </c>
      <c r="I41" s="1" t="s">
        <v>1158</v>
      </c>
      <c r="J41" s="37" t="s">
        <v>1463</v>
      </c>
      <c r="K41" s="1" t="s">
        <v>1175</v>
      </c>
    </row>
    <row r="42" spans="1:11" ht="28.8" x14ac:dyDescent="0.3">
      <c r="A42" s="1">
        <v>65</v>
      </c>
      <c r="B42" s="1" t="s">
        <v>89</v>
      </c>
      <c r="E42" s="1" t="s">
        <v>869</v>
      </c>
      <c r="F42" s="1" t="s">
        <v>633</v>
      </c>
      <c r="H42" s="1" t="s">
        <v>427</v>
      </c>
      <c r="I42" s="1" t="s">
        <v>1158</v>
      </c>
      <c r="J42" s="37" t="s">
        <v>1463</v>
      </c>
      <c r="K42" s="1" t="s">
        <v>1175</v>
      </c>
    </row>
    <row r="43" spans="1:11" ht="28.8" x14ac:dyDescent="0.3">
      <c r="A43" s="1">
        <v>66</v>
      </c>
      <c r="B43" s="1" t="s">
        <v>90</v>
      </c>
      <c r="E43" s="1" t="s">
        <v>651</v>
      </c>
      <c r="F43" s="1" t="s">
        <v>633</v>
      </c>
      <c r="H43" s="1" t="s">
        <v>634</v>
      </c>
      <c r="J43" s="37" t="s">
        <v>1464</v>
      </c>
      <c r="K43" s="1" t="s">
        <v>1175</v>
      </c>
    </row>
    <row r="44" spans="1:11" ht="28.8" x14ac:dyDescent="0.3">
      <c r="A44" s="1">
        <v>67</v>
      </c>
      <c r="B44" s="1" t="s">
        <v>90</v>
      </c>
      <c r="E44" s="1" t="s">
        <v>844</v>
      </c>
      <c r="F44" s="1" t="s">
        <v>633</v>
      </c>
      <c r="H44" s="1" t="s">
        <v>1173</v>
      </c>
      <c r="J44" s="37" t="s">
        <v>1464</v>
      </c>
      <c r="K44" s="1" t="s">
        <v>1175</v>
      </c>
    </row>
    <row r="45" spans="1:11" ht="28.8" x14ac:dyDescent="0.3">
      <c r="A45" s="1">
        <v>68</v>
      </c>
      <c r="B45" s="1" t="s">
        <v>90</v>
      </c>
      <c r="E45" s="1" t="s">
        <v>856</v>
      </c>
      <c r="F45" s="1" t="s">
        <v>633</v>
      </c>
      <c r="H45" s="1" t="s">
        <v>848</v>
      </c>
      <c r="J45" s="37" t="s">
        <v>1464</v>
      </c>
      <c r="K45" s="1" t="s">
        <v>1175</v>
      </c>
    </row>
    <row r="46" spans="1:11" ht="28.8" x14ac:dyDescent="0.3">
      <c r="A46" s="1">
        <v>69</v>
      </c>
      <c r="B46" s="1" t="s">
        <v>90</v>
      </c>
      <c r="E46" s="1" t="s">
        <v>869</v>
      </c>
      <c r="F46" s="1" t="s">
        <v>633</v>
      </c>
      <c r="H46" s="1" t="s">
        <v>1176</v>
      </c>
      <c r="J46" s="37" t="s">
        <v>1464</v>
      </c>
      <c r="K46" s="1" t="s">
        <v>1175</v>
      </c>
    </row>
    <row r="47" spans="1:11" ht="28.8" x14ac:dyDescent="0.3">
      <c r="A47" s="1">
        <v>70</v>
      </c>
      <c r="B47" s="1" t="s">
        <v>90</v>
      </c>
      <c r="C47" s="1" t="s">
        <v>1465</v>
      </c>
      <c r="E47" s="1" t="s">
        <v>609</v>
      </c>
      <c r="F47" s="1" t="s">
        <v>588</v>
      </c>
      <c r="H47" s="1" t="s">
        <v>746</v>
      </c>
      <c r="I47" s="1" t="s">
        <v>746</v>
      </c>
      <c r="J47" s="37" t="s">
        <v>1633</v>
      </c>
    </row>
    <row r="48" spans="1:11" ht="28.8" x14ac:dyDescent="0.3">
      <c r="A48" s="1">
        <v>71</v>
      </c>
      <c r="B48" s="1" t="s">
        <v>90</v>
      </c>
      <c r="C48" s="1" t="s">
        <v>1465</v>
      </c>
      <c r="E48" s="1" t="s">
        <v>762</v>
      </c>
      <c r="F48" s="1" t="s">
        <v>588</v>
      </c>
      <c r="H48" s="1" t="s">
        <v>746</v>
      </c>
      <c r="I48" s="1" t="s">
        <v>746</v>
      </c>
      <c r="J48" s="37" t="s">
        <v>1633</v>
      </c>
    </row>
    <row r="49" spans="1:11" ht="28.8" x14ac:dyDescent="0.3">
      <c r="A49" s="1">
        <v>72</v>
      </c>
      <c r="B49" s="1" t="s">
        <v>90</v>
      </c>
      <c r="C49" s="1" t="s">
        <v>1465</v>
      </c>
      <c r="E49" s="1" t="s">
        <v>779</v>
      </c>
      <c r="F49" s="1" t="s">
        <v>588</v>
      </c>
      <c r="H49" s="1" t="s">
        <v>746</v>
      </c>
      <c r="I49" s="1" t="s">
        <v>746</v>
      </c>
      <c r="J49" s="37" t="s">
        <v>1633</v>
      </c>
    </row>
    <row r="50" spans="1:11" ht="28.8" x14ac:dyDescent="0.3">
      <c r="A50" s="1">
        <v>73</v>
      </c>
      <c r="B50" s="1" t="s">
        <v>90</v>
      </c>
      <c r="C50" s="1" t="s">
        <v>1465</v>
      </c>
      <c r="E50" s="1" t="s">
        <v>1096</v>
      </c>
      <c r="F50" s="1" t="s">
        <v>633</v>
      </c>
      <c r="H50" s="1" t="s">
        <v>1181</v>
      </c>
      <c r="I50" s="1" t="s">
        <v>1181</v>
      </c>
      <c r="J50" s="37" t="s">
        <v>1633</v>
      </c>
    </row>
    <row r="51" spans="1:11" ht="28.8" x14ac:dyDescent="0.3">
      <c r="A51" s="1">
        <v>74</v>
      </c>
      <c r="B51" s="1" t="s">
        <v>90</v>
      </c>
      <c r="C51" s="1" t="s">
        <v>1465</v>
      </c>
      <c r="E51" s="1" t="s">
        <v>1108</v>
      </c>
      <c r="F51" s="1" t="s">
        <v>633</v>
      </c>
      <c r="H51" s="1" t="s">
        <v>1181</v>
      </c>
      <c r="I51" s="1" t="s">
        <v>1181</v>
      </c>
      <c r="J51" s="37" t="s">
        <v>1633</v>
      </c>
    </row>
    <row r="52" spans="1:11" ht="28.8" x14ac:dyDescent="0.3">
      <c r="A52" s="1">
        <v>75</v>
      </c>
      <c r="B52" s="1" t="s">
        <v>90</v>
      </c>
      <c r="C52" s="1" t="s">
        <v>1465</v>
      </c>
      <c r="E52" s="1" t="s">
        <v>1154</v>
      </c>
      <c r="F52" s="1" t="s">
        <v>633</v>
      </c>
      <c r="H52" s="1" t="s">
        <v>1181</v>
      </c>
      <c r="I52" s="1" t="s">
        <v>1181</v>
      </c>
      <c r="J52" s="37" t="s">
        <v>1633</v>
      </c>
    </row>
    <row r="53" spans="1:11" ht="28.8" x14ac:dyDescent="0.3">
      <c r="A53" s="1">
        <v>76</v>
      </c>
      <c r="B53" s="1" t="s">
        <v>90</v>
      </c>
      <c r="C53" s="1" t="s">
        <v>1465</v>
      </c>
      <c r="E53" s="1" t="s">
        <v>1316</v>
      </c>
      <c r="F53" s="1" t="s">
        <v>588</v>
      </c>
      <c r="H53" s="1" t="s">
        <v>746</v>
      </c>
      <c r="I53" s="1" t="s">
        <v>746</v>
      </c>
      <c r="J53" s="37" t="s">
        <v>1633</v>
      </c>
    </row>
    <row r="54" spans="1:11" ht="28.8" x14ac:dyDescent="0.3">
      <c r="A54" s="1">
        <v>77</v>
      </c>
      <c r="B54" s="1" t="s">
        <v>90</v>
      </c>
      <c r="C54" s="1" t="s">
        <v>1465</v>
      </c>
      <c r="E54" s="1" t="s">
        <v>1435</v>
      </c>
      <c r="F54" s="1" t="s">
        <v>787</v>
      </c>
      <c r="H54" s="1" t="s">
        <v>1462</v>
      </c>
      <c r="I54" s="1" t="s">
        <v>1462</v>
      </c>
      <c r="J54" s="37" t="s">
        <v>1633</v>
      </c>
    </row>
    <row r="55" spans="1:11" ht="28.8" x14ac:dyDescent="0.3">
      <c r="A55" s="1">
        <v>78</v>
      </c>
      <c r="B55" s="1" t="s">
        <v>90</v>
      </c>
      <c r="C55" s="1" t="s">
        <v>1465</v>
      </c>
      <c r="E55" s="1" t="s">
        <v>1456</v>
      </c>
      <c r="F55" s="1" t="s">
        <v>787</v>
      </c>
      <c r="H55" s="1" t="s">
        <v>1462</v>
      </c>
      <c r="I55" s="1" t="s">
        <v>1462</v>
      </c>
      <c r="J55" s="37" t="s">
        <v>1633</v>
      </c>
    </row>
    <row r="56" spans="1:11" x14ac:dyDescent="0.3">
      <c r="A56" s="1">
        <v>79</v>
      </c>
      <c r="B56" s="1" t="s">
        <v>116</v>
      </c>
      <c r="E56" s="1" t="s">
        <v>1350</v>
      </c>
      <c r="F56" s="1" t="s">
        <v>1337</v>
      </c>
      <c r="H56" s="1" t="s">
        <v>432</v>
      </c>
      <c r="I56" s="1">
        <v>1</v>
      </c>
      <c r="J56" s="37" t="s">
        <v>1466</v>
      </c>
      <c r="K56" s="1" t="s">
        <v>1175</v>
      </c>
    </row>
    <row r="57" spans="1:11" x14ac:dyDescent="0.3">
      <c r="A57" s="1">
        <v>80</v>
      </c>
      <c r="B57" s="1" t="s">
        <v>126</v>
      </c>
      <c r="E57" s="1" t="s">
        <v>1350</v>
      </c>
      <c r="F57" s="1" t="s">
        <v>1337</v>
      </c>
      <c r="H57" s="1" t="s">
        <v>433</v>
      </c>
      <c r="I57" s="1">
        <v>0</v>
      </c>
      <c r="J57" s="37" t="s">
        <v>1467</v>
      </c>
      <c r="K57" s="1" t="s">
        <v>1175</v>
      </c>
    </row>
    <row r="58" spans="1:11" ht="115.2" x14ac:dyDescent="0.3">
      <c r="A58" s="1">
        <v>81</v>
      </c>
      <c r="B58" s="1" t="s">
        <v>129</v>
      </c>
      <c r="E58" s="1" t="s">
        <v>1350</v>
      </c>
      <c r="F58" s="1" t="s">
        <v>1337</v>
      </c>
      <c r="H58" s="37" t="s">
        <v>1339</v>
      </c>
      <c r="J58" s="37" t="s">
        <v>1467</v>
      </c>
      <c r="K58" s="1" t="s">
        <v>1175</v>
      </c>
    </row>
    <row r="59" spans="1:11" x14ac:dyDescent="0.3">
      <c r="A59" s="1">
        <v>82</v>
      </c>
      <c r="B59" s="1" t="s">
        <v>114</v>
      </c>
      <c r="E59" s="1" t="s">
        <v>1350</v>
      </c>
      <c r="F59" s="1" t="s">
        <v>1337</v>
      </c>
      <c r="H59" s="1" t="s">
        <v>1188</v>
      </c>
      <c r="I59" s="1" t="s">
        <v>1468</v>
      </c>
      <c r="J59" s="37" t="s">
        <v>1469</v>
      </c>
      <c r="K59" s="1" t="s">
        <v>1175</v>
      </c>
    </row>
    <row r="60" spans="1:11" x14ac:dyDescent="0.3">
      <c r="A60" s="1">
        <v>83</v>
      </c>
      <c r="B60" s="1" t="s">
        <v>125</v>
      </c>
      <c r="E60" s="1" t="s">
        <v>1197</v>
      </c>
      <c r="F60" s="1" t="s">
        <v>466</v>
      </c>
      <c r="H60" s="1" t="s">
        <v>432</v>
      </c>
      <c r="I60" s="1">
        <v>1</v>
      </c>
      <c r="J60" s="37" t="s">
        <v>1466</v>
      </c>
      <c r="K60" s="1" t="s">
        <v>1175</v>
      </c>
    </row>
    <row r="61" spans="1:11" x14ac:dyDescent="0.3">
      <c r="A61" s="1">
        <v>84</v>
      </c>
      <c r="B61" s="1" t="s">
        <v>126</v>
      </c>
      <c r="E61" s="1" t="s">
        <v>1197</v>
      </c>
      <c r="F61" s="1" t="s">
        <v>466</v>
      </c>
      <c r="H61" s="1" t="s">
        <v>433</v>
      </c>
      <c r="I61" s="1">
        <v>0</v>
      </c>
      <c r="J61" s="37" t="s">
        <v>1467</v>
      </c>
      <c r="K61" s="1" t="s">
        <v>1175</v>
      </c>
    </row>
    <row r="62" spans="1:11" x14ac:dyDescent="0.3">
      <c r="A62" s="1">
        <v>85</v>
      </c>
      <c r="B62" s="1" t="s">
        <v>129</v>
      </c>
      <c r="E62" s="1" t="s">
        <v>1197</v>
      </c>
      <c r="F62" s="1" t="s">
        <v>466</v>
      </c>
      <c r="H62" s="1" t="s">
        <v>1189</v>
      </c>
      <c r="J62" s="37" t="s">
        <v>1467</v>
      </c>
      <c r="K62" s="1" t="s">
        <v>1175</v>
      </c>
    </row>
    <row r="63" spans="1:11" x14ac:dyDescent="0.3">
      <c r="A63" s="1">
        <v>86</v>
      </c>
      <c r="B63" s="1" t="s">
        <v>114</v>
      </c>
      <c r="E63" s="1" t="s">
        <v>1197</v>
      </c>
      <c r="F63" s="1" t="s">
        <v>466</v>
      </c>
      <c r="H63" s="1" t="s">
        <v>1188</v>
      </c>
      <c r="I63" s="1" t="s">
        <v>1470</v>
      </c>
      <c r="J63" s="37" t="s">
        <v>1469</v>
      </c>
      <c r="K63" s="1" t="s">
        <v>1175</v>
      </c>
    </row>
    <row r="64" spans="1:11" x14ac:dyDescent="0.3">
      <c r="A64" s="1">
        <v>87</v>
      </c>
      <c r="B64" s="1" t="s">
        <v>129</v>
      </c>
      <c r="C64" s="1" t="s">
        <v>1471</v>
      </c>
      <c r="E64" s="1" t="s">
        <v>564</v>
      </c>
      <c r="F64" s="1" t="s">
        <v>466</v>
      </c>
      <c r="G64" s="1" t="s">
        <v>1622</v>
      </c>
      <c r="H64" s="1" t="s">
        <v>545</v>
      </c>
      <c r="J64" s="37" t="s">
        <v>1606</v>
      </c>
      <c r="K64" s="1" t="s">
        <v>1175</v>
      </c>
    </row>
    <row r="65" spans="1:11" x14ac:dyDescent="0.3">
      <c r="A65" s="1">
        <v>88</v>
      </c>
      <c r="B65" s="1" t="s">
        <v>152</v>
      </c>
      <c r="E65" s="1" t="s">
        <v>844</v>
      </c>
      <c r="F65" s="1" t="s">
        <v>633</v>
      </c>
      <c r="H65" s="1" t="s">
        <v>432</v>
      </c>
      <c r="I65" s="1">
        <v>1</v>
      </c>
      <c r="J65" s="37" t="s">
        <v>1466</v>
      </c>
      <c r="K65" s="1" t="s">
        <v>1175</v>
      </c>
    </row>
    <row r="66" spans="1:11" x14ac:dyDescent="0.3">
      <c r="A66" s="1">
        <v>89</v>
      </c>
      <c r="B66" s="1" t="s">
        <v>163</v>
      </c>
      <c r="E66" s="1" t="s">
        <v>844</v>
      </c>
      <c r="F66" s="1" t="s">
        <v>633</v>
      </c>
      <c r="H66" s="1" t="s">
        <v>433</v>
      </c>
      <c r="I66" s="1">
        <v>0</v>
      </c>
      <c r="J66" s="37" t="s">
        <v>1467</v>
      </c>
      <c r="K66" s="1" t="s">
        <v>1175</v>
      </c>
    </row>
    <row r="67" spans="1:11" x14ac:dyDescent="0.3">
      <c r="A67" s="1">
        <v>90</v>
      </c>
      <c r="B67" s="1" t="s">
        <v>166</v>
      </c>
      <c r="E67" s="1" t="s">
        <v>844</v>
      </c>
      <c r="F67" s="1" t="s">
        <v>633</v>
      </c>
      <c r="H67" s="1" t="s">
        <v>832</v>
      </c>
      <c r="J67" s="37" t="s">
        <v>1467</v>
      </c>
      <c r="K67" s="1" t="s">
        <v>1175</v>
      </c>
    </row>
    <row r="68" spans="1:11" x14ac:dyDescent="0.3">
      <c r="A68" s="1">
        <v>91</v>
      </c>
      <c r="B68" s="1" t="s">
        <v>150</v>
      </c>
      <c r="E68" s="1" t="s">
        <v>844</v>
      </c>
      <c r="F68" s="1" t="s">
        <v>633</v>
      </c>
      <c r="H68" s="1" t="s">
        <v>831</v>
      </c>
      <c r="I68" s="1" t="s">
        <v>1472</v>
      </c>
      <c r="J68" s="37" t="s">
        <v>1469</v>
      </c>
      <c r="K68" s="1" t="s">
        <v>1175</v>
      </c>
    </row>
    <row r="69" spans="1:11" x14ac:dyDescent="0.3">
      <c r="A69" s="1">
        <v>92</v>
      </c>
      <c r="B69" s="1" t="s">
        <v>220</v>
      </c>
      <c r="C69" s="1" t="s">
        <v>1471</v>
      </c>
      <c r="E69" s="1" t="s">
        <v>1350</v>
      </c>
      <c r="F69" s="1" t="s">
        <v>1337</v>
      </c>
      <c r="G69" s="37" t="s">
        <v>1605</v>
      </c>
      <c r="H69" s="1" t="s">
        <v>1343</v>
      </c>
      <c r="J69" s="37" t="s">
        <v>1606</v>
      </c>
      <c r="K69" s="1" t="s">
        <v>1175</v>
      </c>
    </row>
    <row r="70" spans="1:11" x14ac:dyDescent="0.3">
      <c r="A70" s="1">
        <v>93</v>
      </c>
      <c r="B70" s="1" t="s">
        <v>220</v>
      </c>
      <c r="C70" s="1" t="s">
        <v>1471</v>
      </c>
      <c r="E70" s="1" t="s">
        <v>1392</v>
      </c>
      <c r="F70" s="1" t="s">
        <v>1337</v>
      </c>
      <c r="G70" s="37" t="s">
        <v>1605</v>
      </c>
      <c r="H70" s="1" t="s">
        <v>1385</v>
      </c>
      <c r="J70" s="37" t="s">
        <v>1606</v>
      </c>
      <c r="K70" s="1" t="s">
        <v>1175</v>
      </c>
    </row>
    <row r="71" spans="1:11" x14ac:dyDescent="0.3">
      <c r="A71" s="1">
        <v>94</v>
      </c>
      <c r="B71" s="1" t="s">
        <v>220</v>
      </c>
      <c r="C71" s="1" t="s">
        <v>1471</v>
      </c>
      <c r="E71" s="1" t="s">
        <v>1225</v>
      </c>
      <c r="F71" s="1" t="s">
        <v>466</v>
      </c>
      <c r="G71" s="37" t="s">
        <v>1605</v>
      </c>
      <c r="H71" s="1" t="s">
        <v>1221</v>
      </c>
      <c r="J71" s="37" t="s">
        <v>1606</v>
      </c>
      <c r="K71" s="1" t="s">
        <v>1175</v>
      </c>
    </row>
    <row r="72" spans="1:11" x14ac:dyDescent="0.3">
      <c r="A72" s="1">
        <v>95</v>
      </c>
      <c r="B72" s="1" t="s">
        <v>248</v>
      </c>
      <c r="E72" s="1" t="s">
        <v>1435</v>
      </c>
      <c r="F72" s="1" t="s">
        <v>787</v>
      </c>
      <c r="H72" s="1" t="s">
        <v>433</v>
      </c>
      <c r="I72" s="1">
        <v>0</v>
      </c>
      <c r="J72" s="37" t="s">
        <v>1473</v>
      </c>
      <c r="K72" s="1" t="s">
        <v>1175</v>
      </c>
    </row>
    <row r="73" spans="1:11" x14ac:dyDescent="0.3">
      <c r="A73" s="1">
        <v>96</v>
      </c>
      <c r="B73" s="1" t="s">
        <v>248</v>
      </c>
      <c r="E73" s="1" t="s">
        <v>1256</v>
      </c>
      <c r="F73" s="1" t="s">
        <v>588</v>
      </c>
      <c r="H73" s="1" t="s">
        <v>433</v>
      </c>
      <c r="I73" s="1">
        <v>0</v>
      </c>
      <c r="J73" s="37" t="s">
        <v>1473</v>
      </c>
      <c r="K73" s="1" t="s">
        <v>1175</v>
      </c>
    </row>
    <row r="74" spans="1:11" x14ac:dyDescent="0.3">
      <c r="A74" s="1">
        <v>97</v>
      </c>
      <c r="B74" s="1" t="s">
        <v>250</v>
      </c>
      <c r="E74" s="1" t="s">
        <v>1435</v>
      </c>
      <c r="F74" s="1" t="s">
        <v>787</v>
      </c>
      <c r="H74" s="1" t="s">
        <v>1254</v>
      </c>
      <c r="J74" s="37" t="s">
        <v>1474</v>
      </c>
      <c r="K74" s="1" t="s">
        <v>1175</v>
      </c>
    </row>
    <row r="75" spans="1:11" x14ac:dyDescent="0.3">
      <c r="A75" s="1">
        <v>98</v>
      </c>
      <c r="B75" s="1" t="s">
        <v>250</v>
      </c>
      <c r="E75" s="1" t="s">
        <v>1256</v>
      </c>
      <c r="F75" s="1" t="s">
        <v>588</v>
      </c>
      <c r="H75" s="1" t="s">
        <v>1254</v>
      </c>
      <c r="J75" s="37" t="s">
        <v>1474</v>
      </c>
      <c r="K75" s="1" t="s">
        <v>1175</v>
      </c>
    </row>
    <row r="76" spans="1:11" x14ac:dyDescent="0.3">
      <c r="A76" s="1">
        <v>99</v>
      </c>
      <c r="B76" s="1" t="s">
        <v>235</v>
      </c>
      <c r="E76" s="1" t="s">
        <v>1435</v>
      </c>
      <c r="F76" s="1" t="s">
        <v>787</v>
      </c>
      <c r="H76" s="1" t="s">
        <v>1431</v>
      </c>
      <c r="I76" s="1" t="s">
        <v>1475</v>
      </c>
      <c r="J76" s="37" t="s">
        <v>1476</v>
      </c>
      <c r="K76" s="1" t="s">
        <v>1175</v>
      </c>
    </row>
    <row r="77" spans="1:11" x14ac:dyDescent="0.3">
      <c r="A77" s="1">
        <v>100</v>
      </c>
      <c r="B77" s="1" t="s">
        <v>235</v>
      </c>
      <c r="E77" s="1" t="s">
        <v>1256</v>
      </c>
      <c r="F77" s="1" t="s">
        <v>588</v>
      </c>
      <c r="H77" s="1" t="s">
        <v>1253</v>
      </c>
      <c r="I77" s="1" t="s">
        <v>1477</v>
      </c>
      <c r="J77" s="37" t="s">
        <v>1476</v>
      </c>
      <c r="K77" s="1" t="s">
        <v>1175</v>
      </c>
    </row>
    <row r="78" spans="1:11" x14ac:dyDescent="0.3">
      <c r="A78" s="1">
        <v>101</v>
      </c>
      <c r="B78" s="1" t="s">
        <v>241</v>
      </c>
      <c r="E78" s="1" t="s">
        <v>1456</v>
      </c>
      <c r="F78" s="1" t="s">
        <v>787</v>
      </c>
      <c r="H78" s="1" t="s">
        <v>432</v>
      </c>
      <c r="I78" s="1">
        <v>1</v>
      </c>
      <c r="J78" s="37" t="s">
        <v>1478</v>
      </c>
      <c r="K78" s="1" t="s">
        <v>1175</v>
      </c>
    </row>
    <row r="79" spans="1:11" x14ac:dyDescent="0.3">
      <c r="A79" s="1">
        <v>102</v>
      </c>
      <c r="B79" s="1" t="s">
        <v>241</v>
      </c>
      <c r="E79" s="1" t="s">
        <v>1379</v>
      </c>
      <c r="F79" s="1" t="s">
        <v>1337</v>
      </c>
      <c r="H79" s="1" t="s">
        <v>432</v>
      </c>
      <c r="I79" s="1">
        <v>1</v>
      </c>
      <c r="J79" s="37" t="s">
        <v>1478</v>
      </c>
      <c r="K79" s="1" t="s">
        <v>1175</v>
      </c>
    </row>
    <row r="80" spans="1:11" x14ac:dyDescent="0.3">
      <c r="A80" s="1">
        <v>103</v>
      </c>
      <c r="B80" s="1" t="s">
        <v>241</v>
      </c>
      <c r="E80" s="1" t="s">
        <v>1316</v>
      </c>
      <c r="F80" s="1" t="s">
        <v>588</v>
      </c>
      <c r="H80" s="1" t="s">
        <v>432</v>
      </c>
      <c r="I80" s="1">
        <v>1</v>
      </c>
      <c r="J80" s="37" t="s">
        <v>1478</v>
      </c>
      <c r="K80" s="1" t="s">
        <v>1175</v>
      </c>
    </row>
    <row r="81" spans="1:11" x14ac:dyDescent="0.3">
      <c r="A81" s="1">
        <v>104</v>
      </c>
      <c r="B81" s="1" t="s">
        <v>241</v>
      </c>
      <c r="E81" s="1" t="s">
        <v>799</v>
      </c>
      <c r="F81" s="1" t="s">
        <v>784</v>
      </c>
      <c r="H81" s="1" t="s">
        <v>432</v>
      </c>
      <c r="I81" s="1">
        <v>1</v>
      </c>
      <c r="J81" s="37" t="s">
        <v>1478</v>
      </c>
      <c r="K81" s="1" t="s">
        <v>1175</v>
      </c>
    </row>
    <row r="82" spans="1:11" x14ac:dyDescent="0.3">
      <c r="A82" s="1">
        <v>105</v>
      </c>
      <c r="B82" s="1" t="s">
        <v>248</v>
      </c>
      <c r="E82" s="1" t="s">
        <v>1456</v>
      </c>
      <c r="F82" s="1" t="s">
        <v>787</v>
      </c>
      <c r="H82" s="1" t="s">
        <v>433</v>
      </c>
      <c r="I82" s="1">
        <v>0</v>
      </c>
      <c r="J82" s="37" t="s">
        <v>1467</v>
      </c>
      <c r="K82" s="1" t="s">
        <v>1175</v>
      </c>
    </row>
    <row r="83" spans="1:11" x14ac:dyDescent="0.3">
      <c r="A83" s="1">
        <v>106</v>
      </c>
      <c r="B83" s="1" t="s">
        <v>248</v>
      </c>
      <c r="E83" s="1" t="s">
        <v>1379</v>
      </c>
      <c r="F83" s="1" t="s">
        <v>1337</v>
      </c>
      <c r="H83" s="1" t="s">
        <v>433</v>
      </c>
      <c r="I83" s="1">
        <v>0</v>
      </c>
      <c r="J83" s="37" t="s">
        <v>1467</v>
      </c>
      <c r="K83" s="1" t="s">
        <v>1175</v>
      </c>
    </row>
    <row r="84" spans="1:11" x14ac:dyDescent="0.3">
      <c r="A84" s="1">
        <v>107</v>
      </c>
      <c r="B84" s="1" t="s">
        <v>248</v>
      </c>
      <c r="E84" s="1" t="s">
        <v>1316</v>
      </c>
      <c r="F84" s="1" t="s">
        <v>588</v>
      </c>
      <c r="H84" s="1" t="s">
        <v>433</v>
      </c>
      <c r="I84" s="1">
        <v>0</v>
      </c>
      <c r="J84" s="37" t="s">
        <v>1467</v>
      </c>
      <c r="K84" s="1" t="s">
        <v>1175</v>
      </c>
    </row>
    <row r="85" spans="1:11" x14ac:dyDescent="0.3">
      <c r="A85" s="1">
        <v>108</v>
      </c>
      <c r="B85" s="1" t="s">
        <v>248</v>
      </c>
      <c r="E85" s="1" t="s">
        <v>799</v>
      </c>
      <c r="F85" s="1" t="s">
        <v>784</v>
      </c>
      <c r="H85" s="1" t="s">
        <v>433</v>
      </c>
      <c r="I85" s="1">
        <v>0</v>
      </c>
      <c r="J85" s="37" t="s">
        <v>1467</v>
      </c>
      <c r="K85" s="1" t="s">
        <v>1175</v>
      </c>
    </row>
    <row r="86" spans="1:11" x14ac:dyDescent="0.3">
      <c r="A86" s="1">
        <v>109</v>
      </c>
      <c r="B86" s="1" t="s">
        <v>250</v>
      </c>
      <c r="E86" s="1" t="s">
        <v>1456</v>
      </c>
      <c r="F86" s="1" t="s">
        <v>787</v>
      </c>
      <c r="H86" s="1" t="s">
        <v>792</v>
      </c>
      <c r="J86" s="37" t="s">
        <v>1467</v>
      </c>
      <c r="K86" s="1" t="s">
        <v>1175</v>
      </c>
    </row>
    <row r="87" spans="1:11" x14ac:dyDescent="0.3">
      <c r="A87" s="1">
        <v>110</v>
      </c>
      <c r="B87" s="1" t="s">
        <v>250</v>
      </c>
      <c r="E87" s="1" t="s">
        <v>1379</v>
      </c>
      <c r="F87" s="1" t="s">
        <v>1337</v>
      </c>
      <c r="H87" s="1" t="s">
        <v>1370</v>
      </c>
      <c r="J87" s="37" t="s">
        <v>1467</v>
      </c>
      <c r="K87" s="1" t="s">
        <v>1175</v>
      </c>
    </row>
    <row r="88" spans="1:11" x14ac:dyDescent="0.3">
      <c r="A88" s="1">
        <v>111</v>
      </c>
      <c r="B88" s="1" t="s">
        <v>250</v>
      </c>
      <c r="E88" s="1" t="s">
        <v>1316</v>
      </c>
      <c r="F88" s="1" t="s">
        <v>588</v>
      </c>
      <c r="H88" s="1" t="s">
        <v>1254</v>
      </c>
      <c r="J88" s="37" t="s">
        <v>1467</v>
      </c>
      <c r="K88" s="1" t="s">
        <v>1175</v>
      </c>
    </row>
    <row r="89" spans="1:11" x14ac:dyDescent="0.3">
      <c r="A89" s="1">
        <v>112</v>
      </c>
      <c r="B89" s="1" t="s">
        <v>250</v>
      </c>
      <c r="E89" s="1" t="s">
        <v>799</v>
      </c>
      <c r="F89" s="1" t="s">
        <v>784</v>
      </c>
      <c r="H89" s="1" t="s">
        <v>792</v>
      </c>
      <c r="J89" s="37" t="s">
        <v>1467</v>
      </c>
      <c r="K89" s="1" t="s">
        <v>1175</v>
      </c>
    </row>
    <row r="90" spans="1:11" ht="43.2" x14ac:dyDescent="0.3">
      <c r="A90" s="1">
        <v>113</v>
      </c>
      <c r="B90" s="1" t="s">
        <v>250</v>
      </c>
      <c r="C90" s="1" t="s">
        <v>1471</v>
      </c>
      <c r="E90" s="1" t="s">
        <v>1402</v>
      </c>
      <c r="F90" s="1" t="s">
        <v>1126</v>
      </c>
      <c r="G90" s="40" t="s">
        <v>1610</v>
      </c>
      <c r="H90" s="1" t="s">
        <v>1397</v>
      </c>
      <c r="J90" s="37" t="s">
        <v>1606</v>
      </c>
      <c r="K90" s="1" t="s">
        <v>1175</v>
      </c>
    </row>
    <row r="91" spans="1:11" x14ac:dyDescent="0.3">
      <c r="A91" s="1">
        <v>114</v>
      </c>
      <c r="B91" s="1" t="s">
        <v>261</v>
      </c>
      <c r="E91" s="1" t="s">
        <v>651</v>
      </c>
      <c r="F91" s="1" t="s">
        <v>633</v>
      </c>
      <c r="H91" s="1" t="s">
        <v>433</v>
      </c>
      <c r="I91" s="1">
        <v>0</v>
      </c>
      <c r="J91" s="37" t="s">
        <v>1479</v>
      </c>
      <c r="K91" s="1" t="s">
        <v>1175</v>
      </c>
    </row>
    <row r="92" spans="1:11" x14ac:dyDescent="0.3">
      <c r="A92" s="1">
        <v>115</v>
      </c>
      <c r="B92" s="1" t="s">
        <v>262</v>
      </c>
      <c r="E92" s="1" t="s">
        <v>651</v>
      </c>
      <c r="F92" s="1" t="s">
        <v>633</v>
      </c>
      <c r="H92" s="1" t="s">
        <v>640</v>
      </c>
      <c r="J92" s="37" t="s">
        <v>1479</v>
      </c>
      <c r="K92" s="1" t="s">
        <v>1175</v>
      </c>
    </row>
    <row r="93" spans="1:11" x14ac:dyDescent="0.3">
      <c r="A93" s="1">
        <v>116</v>
      </c>
      <c r="B93" s="1" t="s">
        <v>253</v>
      </c>
      <c r="E93" s="1" t="s">
        <v>651</v>
      </c>
      <c r="F93" s="1" t="s">
        <v>633</v>
      </c>
      <c r="H93" s="1" t="s">
        <v>639</v>
      </c>
      <c r="I93" s="1" t="s">
        <v>836</v>
      </c>
      <c r="J93" s="37" t="s">
        <v>1476</v>
      </c>
      <c r="K93" s="1" t="s">
        <v>1175</v>
      </c>
    </row>
    <row r="94" spans="1:11" x14ac:dyDescent="0.3">
      <c r="A94" s="1">
        <v>117</v>
      </c>
      <c r="B94" s="1" t="s">
        <v>273</v>
      </c>
      <c r="E94" s="1" t="s">
        <v>1392</v>
      </c>
      <c r="F94" s="1" t="s">
        <v>1337</v>
      </c>
      <c r="H94" s="1" t="s">
        <v>433</v>
      </c>
      <c r="I94" s="1">
        <v>0</v>
      </c>
      <c r="J94" s="37" t="s">
        <v>1480</v>
      </c>
      <c r="K94" s="1" t="s">
        <v>1175</v>
      </c>
    </row>
    <row r="95" spans="1:11" x14ac:dyDescent="0.3">
      <c r="A95" s="1">
        <v>118</v>
      </c>
      <c r="B95" s="1" t="s">
        <v>275</v>
      </c>
      <c r="E95" s="1" t="s">
        <v>1392</v>
      </c>
      <c r="F95" s="1" t="s">
        <v>1337</v>
      </c>
      <c r="H95" s="1" t="s">
        <v>1387</v>
      </c>
      <c r="J95" s="37" t="s">
        <v>1481</v>
      </c>
      <c r="K95" s="1" t="s">
        <v>1175</v>
      </c>
    </row>
    <row r="96" spans="1:11" x14ac:dyDescent="0.3">
      <c r="A96" s="1">
        <v>119</v>
      </c>
      <c r="B96" s="1" t="s">
        <v>265</v>
      </c>
      <c r="E96" s="1" t="s">
        <v>1392</v>
      </c>
      <c r="F96" s="1" t="s">
        <v>1337</v>
      </c>
      <c r="H96" s="1" t="s">
        <v>1386</v>
      </c>
      <c r="I96" s="1" t="s">
        <v>661</v>
      </c>
      <c r="J96" s="37" t="s">
        <v>1476</v>
      </c>
      <c r="K96" s="1" t="s">
        <v>1175</v>
      </c>
    </row>
    <row r="97" spans="1:11" x14ac:dyDescent="0.3">
      <c r="A97" s="1">
        <v>120</v>
      </c>
      <c r="B97" s="1" t="s">
        <v>288</v>
      </c>
      <c r="E97" s="1" t="s">
        <v>667</v>
      </c>
      <c r="F97" s="1" t="s">
        <v>655</v>
      </c>
      <c r="H97" s="1" t="s">
        <v>643</v>
      </c>
      <c r="J97" s="37" t="s">
        <v>1634</v>
      </c>
      <c r="K97" s="1" t="s">
        <v>1175</v>
      </c>
    </row>
    <row r="98" spans="1:11" x14ac:dyDescent="0.3">
      <c r="A98" s="1">
        <v>121</v>
      </c>
      <c r="B98" s="1" t="s">
        <v>289</v>
      </c>
      <c r="E98" s="1" t="s">
        <v>667</v>
      </c>
      <c r="F98" s="1" t="s">
        <v>655</v>
      </c>
      <c r="H98" s="1" t="s">
        <v>433</v>
      </c>
      <c r="J98" s="37" t="s">
        <v>1634</v>
      </c>
      <c r="K98" s="1" t="s">
        <v>1175</v>
      </c>
    </row>
    <row r="99" spans="1:11" x14ac:dyDescent="0.3">
      <c r="A99" s="1">
        <v>122</v>
      </c>
      <c r="B99" s="1" t="s">
        <v>290</v>
      </c>
      <c r="E99" s="1" t="s">
        <v>667</v>
      </c>
      <c r="F99" s="1" t="s">
        <v>655</v>
      </c>
      <c r="H99" s="1" t="s">
        <v>432</v>
      </c>
      <c r="J99" s="37" t="s">
        <v>1634</v>
      </c>
      <c r="K99" s="1" t="s">
        <v>1175</v>
      </c>
    </row>
    <row r="100" spans="1:11" x14ac:dyDescent="0.3">
      <c r="A100" s="1">
        <v>123</v>
      </c>
      <c r="B100" s="1" t="s">
        <v>291</v>
      </c>
      <c r="E100" s="1" t="s">
        <v>667</v>
      </c>
      <c r="F100" s="1" t="s">
        <v>655</v>
      </c>
      <c r="H100" s="1" t="s">
        <v>432</v>
      </c>
      <c r="J100" s="37" t="s">
        <v>1634</v>
      </c>
      <c r="K100" s="1" t="s">
        <v>1175</v>
      </c>
    </row>
    <row r="101" spans="1:11" x14ac:dyDescent="0.3">
      <c r="A101" s="1">
        <v>124</v>
      </c>
      <c r="B101" s="1" t="s">
        <v>292</v>
      </c>
      <c r="E101" s="1" t="s">
        <v>667</v>
      </c>
      <c r="F101" s="1" t="s">
        <v>655</v>
      </c>
      <c r="H101" s="1" t="s">
        <v>432</v>
      </c>
      <c r="J101" s="37" t="s">
        <v>1634</v>
      </c>
      <c r="K101" s="1" t="s">
        <v>1175</v>
      </c>
    </row>
    <row r="102" spans="1:11" x14ac:dyDescent="0.3">
      <c r="A102" s="1">
        <v>125</v>
      </c>
      <c r="B102" s="1" t="s">
        <v>293</v>
      </c>
      <c r="E102" s="1" t="s">
        <v>667</v>
      </c>
      <c r="F102" s="1" t="s">
        <v>655</v>
      </c>
      <c r="H102" s="1" t="s">
        <v>432</v>
      </c>
      <c r="J102" s="37" t="s">
        <v>1634</v>
      </c>
      <c r="K102" s="1" t="s">
        <v>1175</v>
      </c>
    </row>
    <row r="103" spans="1:11" x14ac:dyDescent="0.3">
      <c r="A103" s="1">
        <v>126</v>
      </c>
      <c r="B103" s="1" t="s">
        <v>294</v>
      </c>
      <c r="E103" s="1" t="s">
        <v>667</v>
      </c>
      <c r="F103" s="1" t="s">
        <v>655</v>
      </c>
      <c r="H103" s="1" t="s">
        <v>432</v>
      </c>
      <c r="J103" s="37" t="s">
        <v>1634</v>
      </c>
      <c r="K103" s="1" t="s">
        <v>1175</v>
      </c>
    </row>
    <row r="104" spans="1:11" x14ac:dyDescent="0.3">
      <c r="A104" s="1">
        <v>127</v>
      </c>
      <c r="B104" s="1" t="s">
        <v>295</v>
      </c>
      <c r="E104" s="1" t="s">
        <v>667</v>
      </c>
      <c r="F104" s="1" t="s">
        <v>655</v>
      </c>
      <c r="H104" s="1" t="s">
        <v>1425</v>
      </c>
      <c r="J104" s="37" t="s">
        <v>1634</v>
      </c>
      <c r="K104" s="1" t="s">
        <v>1175</v>
      </c>
    </row>
    <row r="105" spans="1:11" x14ac:dyDescent="0.3">
      <c r="A105" s="1">
        <v>128</v>
      </c>
      <c r="B105" s="1" t="s">
        <v>288</v>
      </c>
      <c r="E105" s="1" t="s">
        <v>691</v>
      </c>
      <c r="F105" s="1" t="s">
        <v>655</v>
      </c>
      <c r="H105" s="1" t="s">
        <v>643</v>
      </c>
      <c r="J105" s="37" t="s">
        <v>1634</v>
      </c>
      <c r="K105" s="1" t="s">
        <v>1175</v>
      </c>
    </row>
    <row r="106" spans="1:11" x14ac:dyDescent="0.3">
      <c r="A106" s="1">
        <v>129</v>
      </c>
      <c r="B106" s="1" t="s">
        <v>289</v>
      </c>
      <c r="E106" s="1" t="s">
        <v>691</v>
      </c>
      <c r="F106" s="1" t="s">
        <v>655</v>
      </c>
      <c r="H106" s="1" t="s">
        <v>433</v>
      </c>
      <c r="J106" s="37" t="s">
        <v>1634</v>
      </c>
      <c r="K106" s="1" t="s">
        <v>1175</v>
      </c>
    </row>
    <row r="107" spans="1:11" x14ac:dyDescent="0.3">
      <c r="A107" s="1">
        <v>130</v>
      </c>
      <c r="B107" s="1" t="s">
        <v>290</v>
      </c>
      <c r="E107" s="1" t="s">
        <v>691</v>
      </c>
      <c r="F107" s="1" t="s">
        <v>655</v>
      </c>
      <c r="H107" s="1" t="s">
        <v>432</v>
      </c>
      <c r="J107" s="37" t="s">
        <v>1634</v>
      </c>
      <c r="K107" s="1" t="s">
        <v>1175</v>
      </c>
    </row>
    <row r="108" spans="1:11" x14ac:dyDescent="0.3">
      <c r="A108" s="1">
        <v>131</v>
      </c>
      <c r="B108" s="1" t="s">
        <v>291</v>
      </c>
      <c r="E108" s="1" t="s">
        <v>691</v>
      </c>
      <c r="F108" s="1" t="s">
        <v>655</v>
      </c>
      <c r="H108" s="1" t="s">
        <v>432</v>
      </c>
      <c r="J108" s="37" t="s">
        <v>1634</v>
      </c>
      <c r="K108" s="1" t="s">
        <v>1175</v>
      </c>
    </row>
    <row r="109" spans="1:11" x14ac:dyDescent="0.3">
      <c r="A109" s="1">
        <v>132</v>
      </c>
      <c r="B109" s="1" t="s">
        <v>292</v>
      </c>
      <c r="E109" s="1" t="s">
        <v>691</v>
      </c>
      <c r="F109" s="1" t="s">
        <v>655</v>
      </c>
      <c r="H109" s="1" t="s">
        <v>432</v>
      </c>
      <c r="J109" s="37" t="s">
        <v>1634</v>
      </c>
      <c r="K109" s="1" t="s">
        <v>1175</v>
      </c>
    </row>
    <row r="110" spans="1:11" x14ac:dyDescent="0.3">
      <c r="A110" s="1">
        <v>133</v>
      </c>
      <c r="B110" s="1" t="s">
        <v>293</v>
      </c>
      <c r="E110" s="1" t="s">
        <v>691</v>
      </c>
      <c r="F110" s="1" t="s">
        <v>655</v>
      </c>
      <c r="H110" s="1" t="s">
        <v>432</v>
      </c>
      <c r="J110" s="37" t="s">
        <v>1634</v>
      </c>
      <c r="K110" s="1" t="s">
        <v>1175</v>
      </c>
    </row>
    <row r="111" spans="1:11" x14ac:dyDescent="0.3">
      <c r="A111" s="1">
        <v>134</v>
      </c>
      <c r="B111" s="1" t="s">
        <v>294</v>
      </c>
      <c r="E111" s="1" t="s">
        <v>691</v>
      </c>
      <c r="F111" s="1" t="s">
        <v>655</v>
      </c>
      <c r="H111" s="1" t="s">
        <v>432</v>
      </c>
      <c r="J111" s="37" t="s">
        <v>1634</v>
      </c>
      <c r="K111" s="1" t="s">
        <v>1175</v>
      </c>
    </row>
    <row r="112" spans="1:11" x14ac:dyDescent="0.3">
      <c r="A112" s="1">
        <v>135</v>
      </c>
      <c r="B112" s="1" t="s">
        <v>295</v>
      </c>
      <c r="E112" s="1" t="s">
        <v>691</v>
      </c>
      <c r="F112" s="1" t="s">
        <v>655</v>
      </c>
      <c r="H112" s="1" t="s">
        <v>1425</v>
      </c>
      <c r="J112" s="37" t="s">
        <v>1634</v>
      </c>
      <c r="K112" s="1" t="s">
        <v>1175</v>
      </c>
    </row>
    <row r="113" spans="1:11" x14ac:dyDescent="0.3">
      <c r="A113" s="1">
        <v>136</v>
      </c>
      <c r="B113" s="1" t="s">
        <v>288</v>
      </c>
      <c r="E113" s="1" t="s">
        <v>1082</v>
      </c>
      <c r="F113" s="1" t="s">
        <v>633</v>
      </c>
      <c r="H113" s="1" t="s">
        <v>544</v>
      </c>
      <c r="J113" s="37" t="s">
        <v>1634</v>
      </c>
      <c r="K113" s="1" t="s">
        <v>1175</v>
      </c>
    </row>
    <row r="114" spans="1:11" x14ac:dyDescent="0.3">
      <c r="A114" s="1">
        <v>137</v>
      </c>
      <c r="B114" s="1" t="s">
        <v>289</v>
      </c>
      <c r="E114" s="1" t="s">
        <v>1082</v>
      </c>
      <c r="F114" s="1" t="s">
        <v>633</v>
      </c>
      <c r="H114" s="1" t="s">
        <v>432</v>
      </c>
      <c r="J114" s="37" t="s">
        <v>1634</v>
      </c>
      <c r="K114" s="1" t="s">
        <v>1175</v>
      </c>
    </row>
    <row r="115" spans="1:11" x14ac:dyDescent="0.3">
      <c r="A115" s="1">
        <v>138</v>
      </c>
      <c r="B115" s="1" t="s">
        <v>290</v>
      </c>
      <c r="E115" s="1" t="s">
        <v>1082</v>
      </c>
      <c r="F115" s="1" t="s">
        <v>633</v>
      </c>
      <c r="H115" s="1" t="s">
        <v>432</v>
      </c>
      <c r="J115" s="37" t="s">
        <v>1634</v>
      </c>
      <c r="K115" s="1" t="s">
        <v>1175</v>
      </c>
    </row>
    <row r="116" spans="1:11" x14ac:dyDescent="0.3">
      <c r="A116" s="1">
        <v>139</v>
      </c>
      <c r="B116" s="1" t="s">
        <v>291</v>
      </c>
      <c r="E116" s="1" t="s">
        <v>1082</v>
      </c>
      <c r="F116" s="1" t="s">
        <v>633</v>
      </c>
      <c r="H116" s="1" t="s">
        <v>432</v>
      </c>
      <c r="J116" s="37" t="s">
        <v>1634</v>
      </c>
      <c r="K116" s="1" t="s">
        <v>1175</v>
      </c>
    </row>
    <row r="117" spans="1:11" x14ac:dyDescent="0.3">
      <c r="A117" s="1">
        <v>140</v>
      </c>
      <c r="B117" s="1" t="s">
        <v>292</v>
      </c>
      <c r="E117" s="1" t="s">
        <v>1082</v>
      </c>
      <c r="F117" s="1" t="s">
        <v>633</v>
      </c>
      <c r="H117" s="1" t="s">
        <v>432</v>
      </c>
      <c r="J117" s="37" t="s">
        <v>1634</v>
      </c>
      <c r="K117" s="1" t="s">
        <v>1175</v>
      </c>
    </row>
    <row r="118" spans="1:11" x14ac:dyDescent="0.3">
      <c r="A118" s="1">
        <v>141</v>
      </c>
      <c r="B118" s="1" t="s">
        <v>293</v>
      </c>
      <c r="E118" s="1" t="s">
        <v>1082</v>
      </c>
      <c r="F118" s="1" t="s">
        <v>633</v>
      </c>
      <c r="H118" s="1" t="s">
        <v>433</v>
      </c>
      <c r="J118" s="37" t="s">
        <v>1634</v>
      </c>
      <c r="K118" s="1" t="s">
        <v>1175</v>
      </c>
    </row>
    <row r="119" spans="1:11" x14ac:dyDescent="0.3">
      <c r="A119" s="1">
        <v>142</v>
      </c>
      <c r="B119" s="1" t="s">
        <v>294</v>
      </c>
      <c r="E119" s="1" t="s">
        <v>1082</v>
      </c>
      <c r="F119" s="1" t="s">
        <v>633</v>
      </c>
      <c r="H119" s="1" t="s">
        <v>432</v>
      </c>
      <c r="J119" s="37" t="s">
        <v>1634</v>
      </c>
      <c r="K119" s="1" t="s">
        <v>1175</v>
      </c>
    </row>
    <row r="120" spans="1:11" x14ac:dyDescent="0.3">
      <c r="A120" s="1">
        <v>143</v>
      </c>
      <c r="B120" s="1" t="s">
        <v>295</v>
      </c>
      <c r="E120" s="1" t="s">
        <v>1082</v>
      </c>
      <c r="F120" s="1" t="s">
        <v>633</v>
      </c>
      <c r="H120" s="1" t="s">
        <v>544</v>
      </c>
      <c r="J120" s="37" t="s">
        <v>1634</v>
      </c>
      <c r="K120" s="1" t="s">
        <v>1175</v>
      </c>
    </row>
    <row r="121" spans="1:11" x14ac:dyDescent="0.3">
      <c r="A121" s="1">
        <v>144</v>
      </c>
      <c r="B121" s="1" t="s">
        <v>288</v>
      </c>
      <c r="E121" s="1" t="s">
        <v>1435</v>
      </c>
      <c r="F121" s="1" t="s">
        <v>787</v>
      </c>
      <c r="H121" s="1" t="s">
        <v>597</v>
      </c>
      <c r="J121" s="37" t="s">
        <v>1634</v>
      </c>
      <c r="K121" s="1" t="s">
        <v>1175</v>
      </c>
    </row>
    <row r="122" spans="1:11" x14ac:dyDescent="0.3">
      <c r="A122" s="1">
        <v>145</v>
      </c>
      <c r="B122" s="1" t="s">
        <v>289</v>
      </c>
      <c r="E122" s="1" t="s">
        <v>1435</v>
      </c>
      <c r="F122" s="1" t="s">
        <v>787</v>
      </c>
      <c r="H122" s="1" t="s">
        <v>432</v>
      </c>
      <c r="J122" s="37" t="s">
        <v>1634</v>
      </c>
      <c r="K122" s="1" t="s">
        <v>1175</v>
      </c>
    </row>
    <row r="123" spans="1:11" x14ac:dyDescent="0.3">
      <c r="A123" s="1">
        <v>146</v>
      </c>
      <c r="B123" s="1" t="s">
        <v>290</v>
      </c>
      <c r="E123" s="1" t="s">
        <v>1435</v>
      </c>
      <c r="F123" s="1" t="s">
        <v>787</v>
      </c>
      <c r="H123" s="1" t="s">
        <v>432</v>
      </c>
      <c r="J123" s="37" t="s">
        <v>1634</v>
      </c>
      <c r="K123" s="1" t="s">
        <v>1175</v>
      </c>
    </row>
    <row r="124" spans="1:11" x14ac:dyDescent="0.3">
      <c r="A124" s="1">
        <v>147</v>
      </c>
      <c r="B124" s="1" t="s">
        <v>291</v>
      </c>
      <c r="E124" s="1" t="s">
        <v>1435</v>
      </c>
      <c r="F124" s="1" t="s">
        <v>787</v>
      </c>
      <c r="H124" s="1" t="s">
        <v>432</v>
      </c>
      <c r="J124" s="37" t="s">
        <v>1634</v>
      </c>
      <c r="K124" s="1" t="s">
        <v>1175</v>
      </c>
    </row>
    <row r="125" spans="1:11" x14ac:dyDescent="0.3">
      <c r="A125" s="1">
        <v>148</v>
      </c>
      <c r="B125" s="1" t="s">
        <v>292</v>
      </c>
      <c r="E125" s="1" t="s">
        <v>1435</v>
      </c>
      <c r="F125" s="1" t="s">
        <v>787</v>
      </c>
      <c r="H125" s="1" t="s">
        <v>432</v>
      </c>
      <c r="J125" s="37" t="s">
        <v>1634</v>
      </c>
      <c r="K125" s="1" t="s">
        <v>1175</v>
      </c>
    </row>
    <row r="126" spans="1:11" x14ac:dyDescent="0.3">
      <c r="A126" s="1">
        <v>149</v>
      </c>
      <c r="B126" s="1" t="s">
        <v>293</v>
      </c>
      <c r="E126" s="1" t="s">
        <v>1435</v>
      </c>
      <c r="F126" s="1" t="s">
        <v>787</v>
      </c>
      <c r="H126" s="1" t="s">
        <v>432</v>
      </c>
      <c r="J126" s="37" t="s">
        <v>1634</v>
      </c>
      <c r="K126" s="1" t="s">
        <v>1175</v>
      </c>
    </row>
    <row r="127" spans="1:11" x14ac:dyDescent="0.3">
      <c r="A127" s="1">
        <v>150</v>
      </c>
      <c r="B127" s="1" t="s">
        <v>294</v>
      </c>
      <c r="E127" s="1" t="s">
        <v>1435</v>
      </c>
      <c r="F127" s="1" t="s">
        <v>787</v>
      </c>
      <c r="H127" s="1" t="s">
        <v>433</v>
      </c>
      <c r="J127" s="37" t="s">
        <v>1634</v>
      </c>
      <c r="K127" s="1" t="s">
        <v>1175</v>
      </c>
    </row>
    <row r="128" spans="1:11" x14ac:dyDescent="0.3">
      <c r="A128" s="1">
        <v>151</v>
      </c>
      <c r="B128" s="1" t="s">
        <v>295</v>
      </c>
      <c r="E128" s="1" t="s">
        <v>1435</v>
      </c>
      <c r="F128" s="1" t="s">
        <v>787</v>
      </c>
      <c r="H128" s="1" t="s">
        <v>1425</v>
      </c>
      <c r="J128" s="37" t="s">
        <v>1634</v>
      </c>
      <c r="K128" s="1" t="s">
        <v>1175</v>
      </c>
    </row>
    <row r="129" spans="1:11" x14ac:dyDescent="0.3">
      <c r="A129" s="1">
        <v>152</v>
      </c>
      <c r="B129" s="1" t="s">
        <v>288</v>
      </c>
      <c r="E129" s="1" t="s">
        <v>1445</v>
      </c>
      <c r="F129" s="1" t="s">
        <v>787</v>
      </c>
      <c r="H129" s="1" t="s">
        <v>597</v>
      </c>
      <c r="J129" s="37" t="s">
        <v>1634</v>
      </c>
      <c r="K129" s="1" t="s">
        <v>1175</v>
      </c>
    </row>
    <row r="130" spans="1:11" x14ac:dyDescent="0.3">
      <c r="A130" s="1">
        <v>153</v>
      </c>
      <c r="B130" s="1" t="s">
        <v>289</v>
      </c>
      <c r="E130" s="1" t="s">
        <v>1445</v>
      </c>
      <c r="F130" s="1" t="s">
        <v>787</v>
      </c>
      <c r="H130" s="1" t="s">
        <v>432</v>
      </c>
      <c r="J130" s="37" t="s">
        <v>1634</v>
      </c>
      <c r="K130" s="1" t="s">
        <v>1175</v>
      </c>
    </row>
    <row r="131" spans="1:11" x14ac:dyDescent="0.3">
      <c r="A131" s="1">
        <v>154</v>
      </c>
      <c r="B131" s="1" t="s">
        <v>290</v>
      </c>
      <c r="E131" s="1" t="s">
        <v>1445</v>
      </c>
      <c r="F131" s="1" t="s">
        <v>787</v>
      </c>
      <c r="H131" s="1" t="s">
        <v>432</v>
      </c>
      <c r="J131" s="37" t="s">
        <v>1634</v>
      </c>
      <c r="K131" s="1" t="s">
        <v>1175</v>
      </c>
    </row>
    <row r="132" spans="1:11" x14ac:dyDescent="0.3">
      <c r="A132" s="1">
        <v>155</v>
      </c>
      <c r="B132" s="1" t="s">
        <v>291</v>
      </c>
      <c r="E132" s="1" t="s">
        <v>1445</v>
      </c>
      <c r="F132" s="1" t="s">
        <v>787</v>
      </c>
      <c r="H132" s="1" t="s">
        <v>432</v>
      </c>
      <c r="J132" s="37" t="s">
        <v>1634</v>
      </c>
      <c r="K132" s="1" t="s">
        <v>1175</v>
      </c>
    </row>
    <row r="133" spans="1:11" x14ac:dyDescent="0.3">
      <c r="A133" s="1">
        <v>156</v>
      </c>
      <c r="B133" s="1" t="s">
        <v>292</v>
      </c>
      <c r="E133" s="1" t="s">
        <v>1445</v>
      </c>
      <c r="F133" s="1" t="s">
        <v>787</v>
      </c>
      <c r="H133" s="1" t="s">
        <v>432</v>
      </c>
      <c r="J133" s="37" t="s">
        <v>1634</v>
      </c>
      <c r="K133" s="1" t="s">
        <v>1175</v>
      </c>
    </row>
    <row r="134" spans="1:11" x14ac:dyDescent="0.3">
      <c r="A134" s="1">
        <v>157</v>
      </c>
      <c r="B134" s="1" t="s">
        <v>293</v>
      </c>
      <c r="E134" s="1" t="s">
        <v>1445</v>
      </c>
      <c r="F134" s="1" t="s">
        <v>787</v>
      </c>
      <c r="H134" s="1" t="s">
        <v>432</v>
      </c>
      <c r="J134" s="37" t="s">
        <v>1634</v>
      </c>
      <c r="K134" s="1" t="s">
        <v>1175</v>
      </c>
    </row>
    <row r="135" spans="1:11" x14ac:dyDescent="0.3">
      <c r="A135" s="1">
        <v>158</v>
      </c>
      <c r="B135" s="1" t="s">
        <v>294</v>
      </c>
      <c r="E135" s="1" t="s">
        <v>1445</v>
      </c>
      <c r="F135" s="1" t="s">
        <v>787</v>
      </c>
      <c r="H135" s="1" t="s">
        <v>433</v>
      </c>
      <c r="J135" s="37" t="s">
        <v>1634</v>
      </c>
      <c r="K135" s="1" t="s">
        <v>1175</v>
      </c>
    </row>
    <row r="136" spans="1:11" x14ac:dyDescent="0.3">
      <c r="A136" s="1">
        <v>159</v>
      </c>
      <c r="B136" s="1" t="s">
        <v>295</v>
      </c>
      <c r="E136" s="1" t="s">
        <v>1445</v>
      </c>
      <c r="F136" s="1" t="s">
        <v>787</v>
      </c>
      <c r="H136" s="1" t="s">
        <v>1425</v>
      </c>
      <c r="J136" s="37" t="s">
        <v>1634</v>
      </c>
      <c r="K136" s="1" t="s">
        <v>1175</v>
      </c>
    </row>
    <row r="137" spans="1:11" x14ac:dyDescent="0.3">
      <c r="A137" s="1">
        <v>160</v>
      </c>
      <c r="B137" s="1" t="s">
        <v>288</v>
      </c>
      <c r="E137" s="1" t="s">
        <v>1456</v>
      </c>
      <c r="F137" s="1" t="s">
        <v>787</v>
      </c>
      <c r="H137" s="1" t="s">
        <v>1451</v>
      </c>
      <c r="J137" s="37" t="s">
        <v>1634</v>
      </c>
      <c r="K137" s="1" t="s">
        <v>1175</v>
      </c>
    </row>
    <row r="138" spans="1:11" x14ac:dyDescent="0.3">
      <c r="A138" s="1">
        <v>161</v>
      </c>
      <c r="B138" s="1" t="s">
        <v>289</v>
      </c>
      <c r="E138" s="1" t="s">
        <v>1456</v>
      </c>
      <c r="F138" s="1" t="s">
        <v>787</v>
      </c>
      <c r="H138" s="1" t="s">
        <v>432</v>
      </c>
      <c r="J138" s="37" t="s">
        <v>1634</v>
      </c>
      <c r="K138" s="1" t="s">
        <v>1175</v>
      </c>
    </row>
    <row r="139" spans="1:11" x14ac:dyDescent="0.3">
      <c r="A139" s="1">
        <v>162</v>
      </c>
      <c r="B139" s="1" t="s">
        <v>290</v>
      </c>
      <c r="E139" s="1" t="s">
        <v>1456</v>
      </c>
      <c r="F139" s="1" t="s">
        <v>787</v>
      </c>
      <c r="H139" s="1" t="s">
        <v>432</v>
      </c>
      <c r="J139" s="37" t="s">
        <v>1634</v>
      </c>
      <c r="K139" s="1" t="s">
        <v>1175</v>
      </c>
    </row>
    <row r="140" spans="1:11" x14ac:dyDescent="0.3">
      <c r="A140" s="1">
        <v>163</v>
      </c>
      <c r="B140" s="1" t="s">
        <v>291</v>
      </c>
      <c r="E140" s="1" t="s">
        <v>1456</v>
      </c>
      <c r="F140" s="1" t="s">
        <v>787</v>
      </c>
      <c r="H140" s="1" t="s">
        <v>433</v>
      </c>
      <c r="J140" s="37" t="s">
        <v>1634</v>
      </c>
      <c r="K140" s="1" t="s">
        <v>1175</v>
      </c>
    </row>
    <row r="141" spans="1:11" x14ac:dyDescent="0.3">
      <c r="A141" s="1">
        <v>164</v>
      </c>
      <c r="B141" s="1" t="s">
        <v>292</v>
      </c>
      <c r="E141" s="1" t="s">
        <v>1456</v>
      </c>
      <c r="F141" s="1" t="s">
        <v>787</v>
      </c>
      <c r="H141" s="1" t="s">
        <v>432</v>
      </c>
      <c r="J141" s="37" t="s">
        <v>1634</v>
      </c>
      <c r="K141" s="1" t="s">
        <v>1175</v>
      </c>
    </row>
    <row r="142" spans="1:11" x14ac:dyDescent="0.3">
      <c r="A142" s="1">
        <v>165</v>
      </c>
      <c r="B142" s="1" t="s">
        <v>293</v>
      </c>
      <c r="E142" s="1" t="s">
        <v>1456</v>
      </c>
      <c r="F142" s="1" t="s">
        <v>787</v>
      </c>
      <c r="H142" s="1" t="s">
        <v>432</v>
      </c>
      <c r="J142" s="37" t="s">
        <v>1634</v>
      </c>
      <c r="K142" s="1" t="s">
        <v>1175</v>
      </c>
    </row>
    <row r="143" spans="1:11" x14ac:dyDescent="0.3">
      <c r="A143" s="1">
        <v>166</v>
      </c>
      <c r="B143" s="1" t="s">
        <v>294</v>
      </c>
      <c r="E143" s="1" t="s">
        <v>1456</v>
      </c>
      <c r="F143" s="1" t="s">
        <v>787</v>
      </c>
      <c r="H143" s="1" t="s">
        <v>432</v>
      </c>
      <c r="J143" s="37" t="s">
        <v>1634</v>
      </c>
      <c r="K143" s="1" t="s">
        <v>1175</v>
      </c>
    </row>
    <row r="144" spans="1:11" x14ac:dyDescent="0.3">
      <c r="A144" s="1">
        <v>167</v>
      </c>
      <c r="B144" s="1" t="s">
        <v>295</v>
      </c>
      <c r="E144" s="1" t="s">
        <v>1456</v>
      </c>
      <c r="F144" s="1" t="s">
        <v>787</v>
      </c>
      <c r="H144" s="1" t="s">
        <v>1425</v>
      </c>
      <c r="J144" s="37" t="s">
        <v>1634</v>
      </c>
      <c r="K144" s="1" t="s">
        <v>1175</v>
      </c>
    </row>
    <row r="145" spans="1:11" x14ac:dyDescent="0.3">
      <c r="A145" s="1">
        <v>168</v>
      </c>
      <c r="B145" s="1" t="s">
        <v>288</v>
      </c>
      <c r="E145" s="1" t="s">
        <v>1064</v>
      </c>
      <c r="F145" s="1" t="s">
        <v>500</v>
      </c>
      <c r="H145" s="1" t="s">
        <v>1009</v>
      </c>
      <c r="J145" s="37" t="s">
        <v>1634</v>
      </c>
      <c r="K145" s="1" t="s">
        <v>1175</v>
      </c>
    </row>
    <row r="146" spans="1:11" x14ac:dyDescent="0.3">
      <c r="A146" s="1">
        <v>169</v>
      </c>
      <c r="B146" s="1" t="s">
        <v>289</v>
      </c>
      <c r="E146" s="1" t="s">
        <v>1064</v>
      </c>
      <c r="F146" s="1" t="s">
        <v>500</v>
      </c>
      <c r="H146" s="1" t="s">
        <v>433</v>
      </c>
      <c r="J146" s="37" t="s">
        <v>1634</v>
      </c>
      <c r="K146" s="1" t="s">
        <v>1175</v>
      </c>
    </row>
    <row r="147" spans="1:11" x14ac:dyDescent="0.3">
      <c r="A147" s="1">
        <v>170</v>
      </c>
      <c r="B147" s="1" t="s">
        <v>290</v>
      </c>
      <c r="E147" s="1" t="s">
        <v>1064</v>
      </c>
      <c r="F147" s="1" t="s">
        <v>500</v>
      </c>
      <c r="H147" s="1" t="s">
        <v>433</v>
      </c>
      <c r="J147" s="37" t="s">
        <v>1634</v>
      </c>
      <c r="K147" s="1" t="s">
        <v>1175</v>
      </c>
    </row>
    <row r="148" spans="1:11" x14ac:dyDescent="0.3">
      <c r="A148" s="1">
        <v>171</v>
      </c>
      <c r="B148" s="1" t="s">
        <v>291</v>
      </c>
      <c r="E148" s="1" t="s">
        <v>1064</v>
      </c>
      <c r="F148" s="1" t="s">
        <v>500</v>
      </c>
      <c r="H148" s="1" t="s">
        <v>433</v>
      </c>
      <c r="J148" s="37" t="s">
        <v>1634</v>
      </c>
      <c r="K148" s="1" t="s">
        <v>1175</v>
      </c>
    </row>
    <row r="149" spans="1:11" x14ac:dyDescent="0.3">
      <c r="A149" s="1">
        <v>172</v>
      </c>
      <c r="B149" s="1" t="s">
        <v>292</v>
      </c>
      <c r="E149" s="1" t="s">
        <v>1064</v>
      </c>
      <c r="F149" s="1" t="s">
        <v>500</v>
      </c>
      <c r="H149" s="1" t="s">
        <v>432</v>
      </c>
      <c r="J149" s="37" t="s">
        <v>1634</v>
      </c>
      <c r="K149" s="1" t="s">
        <v>1175</v>
      </c>
    </row>
    <row r="150" spans="1:11" x14ac:dyDescent="0.3">
      <c r="A150" s="1">
        <v>173</v>
      </c>
      <c r="B150" s="1" t="s">
        <v>293</v>
      </c>
      <c r="E150" s="1" t="s">
        <v>1064</v>
      </c>
      <c r="F150" s="1" t="s">
        <v>500</v>
      </c>
      <c r="H150" s="1" t="s">
        <v>432</v>
      </c>
      <c r="J150" s="37" t="s">
        <v>1634</v>
      </c>
      <c r="K150" s="1" t="s">
        <v>1175</v>
      </c>
    </row>
    <row r="151" spans="1:11" x14ac:dyDescent="0.3">
      <c r="A151" s="1">
        <v>174</v>
      </c>
      <c r="B151" s="1" t="s">
        <v>294</v>
      </c>
      <c r="E151" s="1" t="s">
        <v>1064</v>
      </c>
      <c r="F151" s="1" t="s">
        <v>500</v>
      </c>
      <c r="H151" s="1" t="s">
        <v>432</v>
      </c>
      <c r="J151" s="37" t="s">
        <v>1634</v>
      </c>
      <c r="K151" s="1" t="s">
        <v>1175</v>
      </c>
    </row>
    <row r="152" spans="1:11" x14ac:dyDescent="0.3">
      <c r="A152" s="1">
        <v>175</v>
      </c>
      <c r="B152" s="1" t="s">
        <v>295</v>
      </c>
      <c r="E152" s="1" t="s">
        <v>1064</v>
      </c>
      <c r="F152" s="1" t="s">
        <v>500</v>
      </c>
      <c r="H152" s="1" t="s">
        <v>1425</v>
      </c>
      <c r="J152" s="37" t="s">
        <v>1634</v>
      </c>
      <c r="K152" s="1" t="s">
        <v>1175</v>
      </c>
    </row>
    <row r="153" spans="1:11" x14ac:dyDescent="0.3">
      <c r="A153" s="1">
        <v>176</v>
      </c>
      <c r="B153" s="1" t="s">
        <v>288</v>
      </c>
      <c r="E153" s="1" t="s">
        <v>1075</v>
      </c>
      <c r="F153" s="1" t="s">
        <v>500</v>
      </c>
      <c r="H153" s="1" t="s">
        <v>1071</v>
      </c>
      <c r="J153" s="37" t="s">
        <v>1634</v>
      </c>
      <c r="K153" s="1" t="s">
        <v>1175</v>
      </c>
    </row>
    <row r="154" spans="1:11" x14ac:dyDescent="0.3">
      <c r="A154" s="1">
        <v>177</v>
      </c>
      <c r="B154" s="1" t="s">
        <v>289</v>
      </c>
      <c r="E154" s="1" t="s">
        <v>1075</v>
      </c>
      <c r="F154" s="1" t="s">
        <v>500</v>
      </c>
      <c r="H154" s="1" t="s">
        <v>432</v>
      </c>
      <c r="J154" s="37" t="s">
        <v>1634</v>
      </c>
      <c r="K154" s="1" t="s">
        <v>1175</v>
      </c>
    </row>
    <row r="155" spans="1:11" x14ac:dyDescent="0.3">
      <c r="A155" s="1">
        <v>178</v>
      </c>
      <c r="B155" s="1" t="s">
        <v>290</v>
      </c>
      <c r="E155" s="1" t="s">
        <v>1075</v>
      </c>
      <c r="F155" s="1" t="s">
        <v>500</v>
      </c>
      <c r="H155" s="1" t="s">
        <v>433</v>
      </c>
      <c r="J155" s="37" t="s">
        <v>1634</v>
      </c>
      <c r="K155" s="1" t="s">
        <v>1175</v>
      </c>
    </row>
    <row r="156" spans="1:11" x14ac:dyDescent="0.3">
      <c r="A156" s="1">
        <v>179</v>
      </c>
      <c r="B156" s="1" t="s">
        <v>291</v>
      </c>
      <c r="E156" s="1" t="s">
        <v>1075</v>
      </c>
      <c r="F156" s="1" t="s">
        <v>500</v>
      </c>
      <c r="H156" s="1" t="s">
        <v>433</v>
      </c>
      <c r="J156" s="37" t="s">
        <v>1634</v>
      </c>
      <c r="K156" s="1" t="s">
        <v>1175</v>
      </c>
    </row>
    <row r="157" spans="1:11" x14ac:dyDescent="0.3">
      <c r="A157" s="1">
        <v>180</v>
      </c>
      <c r="B157" s="1" t="s">
        <v>292</v>
      </c>
      <c r="E157" s="1" t="s">
        <v>1075</v>
      </c>
      <c r="F157" s="1" t="s">
        <v>500</v>
      </c>
      <c r="H157" s="1" t="s">
        <v>432</v>
      </c>
      <c r="J157" s="37" t="s">
        <v>1634</v>
      </c>
      <c r="K157" s="1" t="s">
        <v>1175</v>
      </c>
    </row>
    <row r="158" spans="1:11" x14ac:dyDescent="0.3">
      <c r="A158" s="1">
        <v>181</v>
      </c>
      <c r="B158" s="1" t="s">
        <v>293</v>
      </c>
      <c r="E158" s="1" t="s">
        <v>1075</v>
      </c>
      <c r="F158" s="1" t="s">
        <v>500</v>
      </c>
      <c r="H158" s="1" t="s">
        <v>432</v>
      </c>
      <c r="J158" s="37" t="s">
        <v>1634</v>
      </c>
      <c r="K158" s="1" t="s">
        <v>1175</v>
      </c>
    </row>
    <row r="159" spans="1:11" x14ac:dyDescent="0.3">
      <c r="A159" s="1">
        <v>182</v>
      </c>
      <c r="B159" s="1" t="s">
        <v>294</v>
      </c>
      <c r="E159" s="1" t="s">
        <v>1075</v>
      </c>
      <c r="F159" s="1" t="s">
        <v>500</v>
      </c>
      <c r="H159" s="1" t="s">
        <v>432</v>
      </c>
      <c r="J159" s="37" t="s">
        <v>1634</v>
      </c>
      <c r="K159" s="1" t="s">
        <v>1175</v>
      </c>
    </row>
    <row r="160" spans="1:11" x14ac:dyDescent="0.3">
      <c r="A160" s="1">
        <v>183</v>
      </c>
      <c r="B160" s="1" t="s">
        <v>295</v>
      </c>
      <c r="E160" s="1" t="s">
        <v>1075</v>
      </c>
      <c r="F160" s="1" t="s">
        <v>500</v>
      </c>
      <c r="H160" s="1" t="s">
        <v>1425</v>
      </c>
      <c r="J160" s="37" t="s">
        <v>1634</v>
      </c>
      <c r="K160" s="1" t="s">
        <v>1175</v>
      </c>
    </row>
    <row r="161" spans="1:11" x14ac:dyDescent="0.3">
      <c r="A161" s="1">
        <v>184</v>
      </c>
      <c r="B161" s="1" t="s">
        <v>288</v>
      </c>
      <c r="E161" s="1" t="s">
        <v>1379</v>
      </c>
      <c r="F161" s="1" t="s">
        <v>1337</v>
      </c>
      <c r="H161" s="1" t="s">
        <v>577</v>
      </c>
      <c r="J161" s="37" t="s">
        <v>1634</v>
      </c>
      <c r="K161" s="1" t="s">
        <v>1175</v>
      </c>
    </row>
    <row r="162" spans="1:11" x14ac:dyDescent="0.3">
      <c r="A162" s="1">
        <v>185</v>
      </c>
      <c r="B162" s="1" t="s">
        <v>289</v>
      </c>
      <c r="E162" s="1" t="s">
        <v>1379</v>
      </c>
      <c r="F162" s="1" t="s">
        <v>1337</v>
      </c>
      <c r="H162" s="1" t="s">
        <v>432</v>
      </c>
      <c r="J162" s="37" t="s">
        <v>1634</v>
      </c>
      <c r="K162" s="1" t="s">
        <v>1175</v>
      </c>
    </row>
    <row r="163" spans="1:11" x14ac:dyDescent="0.3">
      <c r="A163" s="1">
        <v>186</v>
      </c>
      <c r="B163" s="1" t="s">
        <v>290</v>
      </c>
      <c r="E163" s="1" t="s">
        <v>1379</v>
      </c>
      <c r="F163" s="1" t="s">
        <v>1337</v>
      </c>
      <c r="H163" s="1" t="s">
        <v>433</v>
      </c>
      <c r="J163" s="37" t="s">
        <v>1634</v>
      </c>
      <c r="K163" s="1" t="s">
        <v>1175</v>
      </c>
    </row>
    <row r="164" spans="1:11" x14ac:dyDescent="0.3">
      <c r="A164" s="1">
        <v>187</v>
      </c>
      <c r="B164" s="1" t="s">
        <v>291</v>
      </c>
      <c r="E164" s="1" t="s">
        <v>1379</v>
      </c>
      <c r="F164" s="1" t="s">
        <v>1337</v>
      </c>
      <c r="H164" s="1" t="s">
        <v>432</v>
      </c>
      <c r="J164" s="37" t="s">
        <v>1634</v>
      </c>
      <c r="K164" s="1" t="s">
        <v>1175</v>
      </c>
    </row>
    <row r="165" spans="1:11" x14ac:dyDescent="0.3">
      <c r="A165" s="1">
        <v>188</v>
      </c>
      <c r="B165" s="1" t="s">
        <v>292</v>
      </c>
      <c r="E165" s="1" t="s">
        <v>1379</v>
      </c>
      <c r="F165" s="1" t="s">
        <v>1337</v>
      </c>
      <c r="H165" s="1" t="s">
        <v>432</v>
      </c>
      <c r="J165" s="37" t="s">
        <v>1634</v>
      </c>
      <c r="K165" s="1" t="s">
        <v>1175</v>
      </c>
    </row>
    <row r="166" spans="1:11" x14ac:dyDescent="0.3">
      <c r="A166" s="1">
        <v>189</v>
      </c>
      <c r="B166" s="1" t="s">
        <v>293</v>
      </c>
      <c r="E166" s="1" t="s">
        <v>1379</v>
      </c>
      <c r="F166" s="1" t="s">
        <v>1337</v>
      </c>
      <c r="H166" s="1" t="s">
        <v>432</v>
      </c>
      <c r="J166" s="37" t="s">
        <v>1634</v>
      </c>
      <c r="K166" s="1" t="s">
        <v>1175</v>
      </c>
    </row>
    <row r="167" spans="1:11" x14ac:dyDescent="0.3">
      <c r="A167" s="1">
        <v>190</v>
      </c>
      <c r="B167" s="1" t="s">
        <v>294</v>
      </c>
      <c r="E167" s="1" t="s">
        <v>1379</v>
      </c>
      <c r="F167" s="1" t="s">
        <v>1337</v>
      </c>
      <c r="H167" s="1" t="s">
        <v>432</v>
      </c>
      <c r="J167" s="37" t="s">
        <v>1634</v>
      </c>
      <c r="K167" s="1" t="s">
        <v>1175</v>
      </c>
    </row>
    <row r="168" spans="1:11" x14ac:dyDescent="0.3">
      <c r="A168" s="1">
        <v>191</v>
      </c>
      <c r="B168" s="1" t="s">
        <v>295</v>
      </c>
      <c r="E168" s="1" t="s">
        <v>1379</v>
      </c>
      <c r="F168" s="1" t="s">
        <v>1337</v>
      </c>
      <c r="H168" s="1" t="s">
        <v>1425</v>
      </c>
      <c r="J168" s="37" t="s">
        <v>1634</v>
      </c>
      <c r="K168" s="1" t="s">
        <v>1175</v>
      </c>
    </row>
    <row r="169" spans="1:11" x14ac:dyDescent="0.3">
      <c r="A169" s="1">
        <v>192</v>
      </c>
      <c r="B169" s="1" t="s">
        <v>288</v>
      </c>
      <c r="E169" s="1" t="s">
        <v>609</v>
      </c>
      <c r="F169" s="1" t="s">
        <v>588</v>
      </c>
      <c r="H169" s="1" t="s">
        <v>597</v>
      </c>
      <c r="J169" s="37" t="s">
        <v>1634</v>
      </c>
      <c r="K169" s="1" t="s">
        <v>1175</v>
      </c>
    </row>
    <row r="170" spans="1:11" x14ac:dyDescent="0.3">
      <c r="A170" s="1">
        <v>193</v>
      </c>
      <c r="B170" s="1" t="s">
        <v>289</v>
      </c>
      <c r="E170" s="1" t="s">
        <v>609</v>
      </c>
      <c r="F170" s="1" t="s">
        <v>588</v>
      </c>
      <c r="H170" s="1" t="s">
        <v>432</v>
      </c>
      <c r="J170" s="37" t="s">
        <v>1634</v>
      </c>
      <c r="K170" s="1" t="s">
        <v>1175</v>
      </c>
    </row>
    <row r="171" spans="1:11" x14ac:dyDescent="0.3">
      <c r="A171" s="1">
        <v>194</v>
      </c>
      <c r="B171" s="1" t="s">
        <v>290</v>
      </c>
      <c r="E171" s="1" t="s">
        <v>609</v>
      </c>
      <c r="F171" s="1" t="s">
        <v>588</v>
      </c>
      <c r="H171" s="1" t="s">
        <v>432</v>
      </c>
      <c r="J171" s="37" t="s">
        <v>1634</v>
      </c>
      <c r="K171" s="1" t="s">
        <v>1175</v>
      </c>
    </row>
    <row r="172" spans="1:11" x14ac:dyDescent="0.3">
      <c r="A172" s="1">
        <v>195</v>
      </c>
      <c r="B172" s="1" t="s">
        <v>291</v>
      </c>
      <c r="E172" s="1" t="s">
        <v>609</v>
      </c>
      <c r="F172" s="1" t="s">
        <v>588</v>
      </c>
      <c r="H172" s="1" t="s">
        <v>432</v>
      </c>
      <c r="J172" s="37" t="s">
        <v>1634</v>
      </c>
      <c r="K172" s="1" t="s">
        <v>1175</v>
      </c>
    </row>
    <row r="173" spans="1:11" x14ac:dyDescent="0.3">
      <c r="A173" s="1">
        <v>196</v>
      </c>
      <c r="B173" s="1" t="s">
        <v>292</v>
      </c>
      <c r="E173" s="1" t="s">
        <v>609</v>
      </c>
      <c r="F173" s="1" t="s">
        <v>588</v>
      </c>
      <c r="H173" s="1" t="s">
        <v>432</v>
      </c>
      <c r="J173" s="37" t="s">
        <v>1634</v>
      </c>
      <c r="K173" s="1" t="s">
        <v>1175</v>
      </c>
    </row>
    <row r="174" spans="1:11" x14ac:dyDescent="0.3">
      <c r="A174" s="1">
        <v>197</v>
      </c>
      <c r="B174" s="1" t="s">
        <v>293</v>
      </c>
      <c r="E174" s="1" t="s">
        <v>609</v>
      </c>
      <c r="F174" s="1" t="s">
        <v>588</v>
      </c>
      <c r="H174" s="1" t="s">
        <v>432</v>
      </c>
      <c r="J174" s="37" t="s">
        <v>1634</v>
      </c>
      <c r="K174" s="1" t="s">
        <v>1175</v>
      </c>
    </row>
    <row r="175" spans="1:11" x14ac:dyDescent="0.3">
      <c r="A175" s="1">
        <v>198</v>
      </c>
      <c r="B175" s="1" t="s">
        <v>294</v>
      </c>
      <c r="E175" s="1" t="s">
        <v>609</v>
      </c>
      <c r="F175" s="1" t="s">
        <v>588</v>
      </c>
      <c r="H175" s="1" t="s">
        <v>433</v>
      </c>
      <c r="J175" s="37" t="s">
        <v>1634</v>
      </c>
      <c r="K175" s="1" t="s">
        <v>1175</v>
      </c>
    </row>
    <row r="176" spans="1:11" x14ac:dyDescent="0.3">
      <c r="A176" s="1">
        <v>199</v>
      </c>
      <c r="B176" s="1" t="s">
        <v>295</v>
      </c>
      <c r="E176" s="1" t="s">
        <v>609</v>
      </c>
      <c r="F176" s="1" t="s">
        <v>588</v>
      </c>
      <c r="H176" s="1" t="s">
        <v>1425</v>
      </c>
      <c r="J176" s="37" t="s">
        <v>1634</v>
      </c>
      <c r="K176" s="1" t="s">
        <v>1175</v>
      </c>
    </row>
    <row r="177" spans="1:11" x14ac:dyDescent="0.3">
      <c r="A177" s="1">
        <v>200</v>
      </c>
      <c r="B177" s="1" t="s">
        <v>288</v>
      </c>
      <c r="E177" s="1" t="s">
        <v>762</v>
      </c>
      <c r="F177" s="1" t="s">
        <v>588</v>
      </c>
      <c r="H177" s="1" t="s">
        <v>544</v>
      </c>
      <c r="J177" s="37" t="s">
        <v>1634</v>
      </c>
      <c r="K177" s="1" t="s">
        <v>1175</v>
      </c>
    </row>
    <row r="178" spans="1:11" x14ac:dyDescent="0.3">
      <c r="A178" s="1">
        <v>201</v>
      </c>
      <c r="B178" s="1" t="s">
        <v>289</v>
      </c>
      <c r="E178" s="1" t="s">
        <v>762</v>
      </c>
      <c r="F178" s="1" t="s">
        <v>588</v>
      </c>
      <c r="H178" s="1" t="s">
        <v>432</v>
      </c>
      <c r="J178" s="37" t="s">
        <v>1634</v>
      </c>
      <c r="K178" s="1" t="s">
        <v>1175</v>
      </c>
    </row>
    <row r="179" spans="1:11" x14ac:dyDescent="0.3">
      <c r="A179" s="1">
        <v>202</v>
      </c>
      <c r="B179" s="1" t="s">
        <v>290</v>
      </c>
      <c r="E179" s="1" t="s">
        <v>762</v>
      </c>
      <c r="F179" s="1" t="s">
        <v>588</v>
      </c>
      <c r="H179" s="1" t="s">
        <v>432</v>
      </c>
      <c r="J179" s="37" t="s">
        <v>1634</v>
      </c>
      <c r="K179" s="1" t="s">
        <v>1175</v>
      </c>
    </row>
    <row r="180" spans="1:11" x14ac:dyDescent="0.3">
      <c r="A180" s="1">
        <v>203</v>
      </c>
      <c r="B180" s="1" t="s">
        <v>291</v>
      </c>
      <c r="E180" s="1" t="s">
        <v>762</v>
      </c>
      <c r="F180" s="1" t="s">
        <v>588</v>
      </c>
      <c r="H180" s="1" t="s">
        <v>432</v>
      </c>
      <c r="J180" s="37" t="s">
        <v>1634</v>
      </c>
      <c r="K180" s="1" t="s">
        <v>1175</v>
      </c>
    </row>
    <row r="181" spans="1:11" x14ac:dyDescent="0.3">
      <c r="A181" s="1">
        <v>204</v>
      </c>
      <c r="B181" s="1" t="s">
        <v>292</v>
      </c>
      <c r="E181" s="1" t="s">
        <v>762</v>
      </c>
      <c r="F181" s="1" t="s">
        <v>588</v>
      </c>
      <c r="H181" s="1" t="s">
        <v>432</v>
      </c>
      <c r="J181" s="37" t="s">
        <v>1634</v>
      </c>
      <c r="K181" s="1" t="s">
        <v>1175</v>
      </c>
    </row>
    <row r="182" spans="1:11" x14ac:dyDescent="0.3">
      <c r="A182" s="1">
        <v>205</v>
      </c>
      <c r="B182" s="1" t="s">
        <v>293</v>
      </c>
      <c r="E182" s="1" t="s">
        <v>762</v>
      </c>
      <c r="F182" s="1" t="s">
        <v>588</v>
      </c>
      <c r="H182" s="1" t="s">
        <v>433</v>
      </c>
      <c r="J182" s="37" t="s">
        <v>1634</v>
      </c>
      <c r="K182" s="1" t="s">
        <v>1175</v>
      </c>
    </row>
    <row r="183" spans="1:11" x14ac:dyDescent="0.3">
      <c r="A183" s="1">
        <v>206</v>
      </c>
      <c r="B183" s="1" t="s">
        <v>294</v>
      </c>
      <c r="E183" s="1" t="s">
        <v>762</v>
      </c>
      <c r="F183" s="1" t="s">
        <v>588</v>
      </c>
      <c r="H183" s="1" t="s">
        <v>432</v>
      </c>
      <c r="J183" s="37" t="s">
        <v>1634</v>
      </c>
      <c r="K183" s="1" t="s">
        <v>1175</v>
      </c>
    </row>
    <row r="184" spans="1:11" x14ac:dyDescent="0.3">
      <c r="A184" s="1">
        <v>207</v>
      </c>
      <c r="B184" s="1" t="s">
        <v>295</v>
      </c>
      <c r="E184" s="1" t="s">
        <v>762</v>
      </c>
      <c r="F184" s="1" t="s">
        <v>588</v>
      </c>
      <c r="H184" s="1" t="s">
        <v>756</v>
      </c>
      <c r="J184" s="37" t="s">
        <v>1634</v>
      </c>
      <c r="K184" s="1" t="s">
        <v>1175</v>
      </c>
    </row>
    <row r="185" spans="1:11" x14ac:dyDescent="0.3">
      <c r="A185" s="1">
        <v>208</v>
      </c>
      <c r="B185" s="1" t="s">
        <v>288</v>
      </c>
      <c r="E185" s="1" t="s">
        <v>779</v>
      </c>
      <c r="F185" s="1" t="s">
        <v>588</v>
      </c>
      <c r="H185" s="1" t="s">
        <v>597</v>
      </c>
      <c r="J185" s="37" t="s">
        <v>1634</v>
      </c>
      <c r="K185" s="1" t="s">
        <v>1175</v>
      </c>
    </row>
    <row r="186" spans="1:11" x14ac:dyDescent="0.3">
      <c r="A186" s="1">
        <v>209</v>
      </c>
      <c r="B186" s="1" t="s">
        <v>289</v>
      </c>
      <c r="E186" s="1" t="s">
        <v>779</v>
      </c>
      <c r="F186" s="1" t="s">
        <v>588</v>
      </c>
      <c r="H186" s="1" t="s">
        <v>432</v>
      </c>
      <c r="J186" s="37" t="s">
        <v>1634</v>
      </c>
      <c r="K186" s="1" t="s">
        <v>1175</v>
      </c>
    </row>
    <row r="187" spans="1:11" x14ac:dyDescent="0.3">
      <c r="A187" s="1">
        <v>210</v>
      </c>
      <c r="B187" s="1" t="s">
        <v>290</v>
      </c>
      <c r="E187" s="1" t="s">
        <v>779</v>
      </c>
      <c r="F187" s="1" t="s">
        <v>588</v>
      </c>
      <c r="H187" s="1" t="s">
        <v>432</v>
      </c>
      <c r="J187" s="37" t="s">
        <v>1634</v>
      </c>
      <c r="K187" s="1" t="s">
        <v>1175</v>
      </c>
    </row>
    <row r="188" spans="1:11" x14ac:dyDescent="0.3">
      <c r="A188" s="1">
        <v>211</v>
      </c>
      <c r="B188" s="1" t="s">
        <v>291</v>
      </c>
      <c r="E188" s="1" t="s">
        <v>779</v>
      </c>
      <c r="F188" s="1" t="s">
        <v>588</v>
      </c>
      <c r="H188" s="1" t="s">
        <v>432</v>
      </c>
      <c r="J188" s="37" t="s">
        <v>1634</v>
      </c>
      <c r="K188" s="1" t="s">
        <v>1175</v>
      </c>
    </row>
    <row r="189" spans="1:11" x14ac:dyDescent="0.3">
      <c r="A189" s="1">
        <v>212</v>
      </c>
      <c r="B189" s="1" t="s">
        <v>292</v>
      </c>
      <c r="E189" s="1" t="s">
        <v>779</v>
      </c>
      <c r="F189" s="1" t="s">
        <v>588</v>
      </c>
      <c r="H189" s="1" t="s">
        <v>432</v>
      </c>
      <c r="J189" s="37" t="s">
        <v>1634</v>
      </c>
      <c r="K189" s="1" t="s">
        <v>1175</v>
      </c>
    </row>
    <row r="190" spans="1:11" x14ac:dyDescent="0.3">
      <c r="A190" s="1">
        <v>213</v>
      </c>
      <c r="B190" s="1" t="s">
        <v>293</v>
      </c>
      <c r="E190" s="1" t="s">
        <v>779</v>
      </c>
      <c r="F190" s="1" t="s">
        <v>588</v>
      </c>
      <c r="H190" s="1" t="s">
        <v>432</v>
      </c>
      <c r="J190" s="37" t="s">
        <v>1634</v>
      </c>
      <c r="K190" s="1" t="s">
        <v>1175</v>
      </c>
    </row>
    <row r="191" spans="1:11" x14ac:dyDescent="0.3">
      <c r="A191" s="1">
        <v>214</v>
      </c>
      <c r="B191" s="1" t="s">
        <v>294</v>
      </c>
      <c r="E191" s="1" t="s">
        <v>779</v>
      </c>
      <c r="F191" s="1" t="s">
        <v>588</v>
      </c>
      <c r="H191" s="1" t="s">
        <v>433</v>
      </c>
      <c r="J191" s="37" t="s">
        <v>1634</v>
      </c>
      <c r="K191" s="1" t="s">
        <v>1175</v>
      </c>
    </row>
    <row r="192" spans="1:11" x14ac:dyDescent="0.3">
      <c r="A192" s="1">
        <v>215</v>
      </c>
      <c r="B192" s="1" t="s">
        <v>295</v>
      </c>
      <c r="E192" s="1" t="s">
        <v>779</v>
      </c>
      <c r="F192" s="1" t="s">
        <v>588</v>
      </c>
      <c r="H192" s="1" t="s">
        <v>1425</v>
      </c>
      <c r="J192" s="37" t="s">
        <v>1634</v>
      </c>
      <c r="K192" s="1" t="s">
        <v>1175</v>
      </c>
    </row>
    <row r="193" spans="1:11" x14ac:dyDescent="0.3">
      <c r="A193" s="1">
        <v>216</v>
      </c>
      <c r="B193" s="1" t="s">
        <v>288</v>
      </c>
      <c r="E193" s="1" t="s">
        <v>1256</v>
      </c>
      <c r="F193" s="1" t="s">
        <v>588</v>
      </c>
      <c r="H193" s="1" t="s">
        <v>577</v>
      </c>
      <c r="J193" s="37" t="s">
        <v>1634</v>
      </c>
      <c r="K193" s="1" t="s">
        <v>1175</v>
      </c>
    </row>
    <row r="194" spans="1:11" x14ac:dyDescent="0.3">
      <c r="A194" s="1">
        <v>217</v>
      </c>
      <c r="B194" s="1" t="s">
        <v>289</v>
      </c>
      <c r="E194" s="1" t="s">
        <v>1256</v>
      </c>
      <c r="F194" s="1" t="s">
        <v>588</v>
      </c>
      <c r="H194" s="1" t="s">
        <v>432</v>
      </c>
      <c r="J194" s="37" t="s">
        <v>1634</v>
      </c>
      <c r="K194" s="1" t="s">
        <v>1175</v>
      </c>
    </row>
    <row r="195" spans="1:11" x14ac:dyDescent="0.3">
      <c r="A195" s="1">
        <v>218</v>
      </c>
      <c r="B195" s="1" t="s">
        <v>290</v>
      </c>
      <c r="E195" s="1" t="s">
        <v>1256</v>
      </c>
      <c r="F195" s="1" t="s">
        <v>588</v>
      </c>
      <c r="H195" s="1" t="s">
        <v>433</v>
      </c>
      <c r="J195" s="37" t="s">
        <v>1634</v>
      </c>
      <c r="K195" s="1" t="s">
        <v>1175</v>
      </c>
    </row>
    <row r="196" spans="1:11" x14ac:dyDescent="0.3">
      <c r="A196" s="1">
        <v>219</v>
      </c>
      <c r="B196" s="1" t="s">
        <v>291</v>
      </c>
      <c r="E196" s="1" t="s">
        <v>1256</v>
      </c>
      <c r="F196" s="1" t="s">
        <v>588</v>
      </c>
      <c r="H196" s="1" t="s">
        <v>432</v>
      </c>
      <c r="J196" s="37" t="s">
        <v>1634</v>
      </c>
      <c r="K196" s="1" t="s">
        <v>1175</v>
      </c>
    </row>
    <row r="197" spans="1:11" x14ac:dyDescent="0.3">
      <c r="A197" s="1">
        <v>220</v>
      </c>
      <c r="B197" s="1" t="s">
        <v>292</v>
      </c>
      <c r="E197" s="1" t="s">
        <v>1256</v>
      </c>
      <c r="F197" s="1" t="s">
        <v>588</v>
      </c>
      <c r="H197" s="1" t="s">
        <v>432</v>
      </c>
      <c r="J197" s="37" t="s">
        <v>1634</v>
      </c>
      <c r="K197" s="1" t="s">
        <v>1175</v>
      </c>
    </row>
    <row r="198" spans="1:11" x14ac:dyDescent="0.3">
      <c r="A198" s="1">
        <v>221</v>
      </c>
      <c r="B198" s="1" t="s">
        <v>293</v>
      </c>
      <c r="E198" s="1" t="s">
        <v>1256</v>
      </c>
      <c r="F198" s="1" t="s">
        <v>588</v>
      </c>
      <c r="H198" s="1" t="s">
        <v>432</v>
      </c>
      <c r="J198" s="37" t="s">
        <v>1634</v>
      </c>
      <c r="K198" s="1" t="s">
        <v>1175</v>
      </c>
    </row>
    <row r="199" spans="1:11" x14ac:dyDescent="0.3">
      <c r="A199" s="1">
        <v>222</v>
      </c>
      <c r="B199" s="1" t="s">
        <v>294</v>
      </c>
      <c r="E199" s="1" t="s">
        <v>1256</v>
      </c>
      <c r="F199" s="1" t="s">
        <v>588</v>
      </c>
      <c r="H199" s="1" t="s">
        <v>432</v>
      </c>
      <c r="J199" s="37" t="s">
        <v>1634</v>
      </c>
      <c r="K199" s="1" t="s">
        <v>1175</v>
      </c>
    </row>
    <row r="200" spans="1:11" x14ac:dyDescent="0.3">
      <c r="A200" s="1">
        <v>223</v>
      </c>
      <c r="B200" s="1" t="s">
        <v>295</v>
      </c>
      <c r="E200" s="1" t="s">
        <v>1256</v>
      </c>
      <c r="F200" s="1" t="s">
        <v>588</v>
      </c>
      <c r="H200" s="1" t="s">
        <v>1425</v>
      </c>
      <c r="J200" s="37" t="s">
        <v>1634</v>
      </c>
      <c r="K200" s="1" t="s">
        <v>1175</v>
      </c>
    </row>
    <row r="201" spans="1:11" x14ac:dyDescent="0.3">
      <c r="A201" s="1">
        <v>224</v>
      </c>
      <c r="B201" s="1" t="s">
        <v>288</v>
      </c>
      <c r="E201" s="1" t="s">
        <v>1287</v>
      </c>
      <c r="F201" s="1" t="s">
        <v>1126</v>
      </c>
      <c r="H201" s="1" t="s">
        <v>1283</v>
      </c>
      <c r="J201" s="37" t="s">
        <v>1634</v>
      </c>
      <c r="K201" s="1" t="s">
        <v>1175</v>
      </c>
    </row>
    <row r="202" spans="1:11" x14ac:dyDescent="0.3">
      <c r="A202" s="1">
        <v>225</v>
      </c>
      <c r="B202" s="1" t="s">
        <v>289</v>
      </c>
      <c r="E202" s="1" t="s">
        <v>1287</v>
      </c>
      <c r="F202" s="1" t="s">
        <v>1126</v>
      </c>
      <c r="H202" s="1" t="s">
        <v>432</v>
      </c>
      <c r="J202" s="37" t="s">
        <v>1634</v>
      </c>
      <c r="K202" s="1" t="s">
        <v>1175</v>
      </c>
    </row>
    <row r="203" spans="1:11" x14ac:dyDescent="0.3">
      <c r="A203" s="1">
        <v>226</v>
      </c>
      <c r="B203" s="1" t="s">
        <v>290</v>
      </c>
      <c r="E203" s="1" t="s">
        <v>1287</v>
      </c>
      <c r="F203" s="1" t="s">
        <v>1126</v>
      </c>
      <c r="H203" s="1" t="s">
        <v>432</v>
      </c>
      <c r="J203" s="37" t="s">
        <v>1634</v>
      </c>
      <c r="K203" s="1" t="s">
        <v>1175</v>
      </c>
    </row>
    <row r="204" spans="1:11" x14ac:dyDescent="0.3">
      <c r="A204" s="1">
        <v>227</v>
      </c>
      <c r="B204" s="1" t="s">
        <v>291</v>
      </c>
      <c r="E204" s="1" t="s">
        <v>1287</v>
      </c>
      <c r="F204" s="1" t="s">
        <v>1126</v>
      </c>
      <c r="H204" s="1" t="s">
        <v>433</v>
      </c>
      <c r="J204" s="37" t="s">
        <v>1634</v>
      </c>
      <c r="K204" s="1" t="s">
        <v>1175</v>
      </c>
    </row>
    <row r="205" spans="1:11" x14ac:dyDescent="0.3">
      <c r="A205" s="1">
        <v>228</v>
      </c>
      <c r="B205" s="1" t="s">
        <v>292</v>
      </c>
      <c r="E205" s="1" t="s">
        <v>1287</v>
      </c>
      <c r="F205" s="1" t="s">
        <v>1126</v>
      </c>
      <c r="H205" s="1" t="s">
        <v>433</v>
      </c>
      <c r="J205" s="37" t="s">
        <v>1634</v>
      </c>
      <c r="K205" s="1" t="s">
        <v>1175</v>
      </c>
    </row>
    <row r="206" spans="1:11" x14ac:dyDescent="0.3">
      <c r="A206" s="1">
        <v>229</v>
      </c>
      <c r="B206" s="1" t="s">
        <v>293</v>
      </c>
      <c r="E206" s="1" t="s">
        <v>1287</v>
      </c>
      <c r="F206" s="1" t="s">
        <v>1126</v>
      </c>
      <c r="H206" s="1" t="s">
        <v>432</v>
      </c>
      <c r="J206" s="37" t="s">
        <v>1634</v>
      </c>
      <c r="K206" s="1" t="s">
        <v>1175</v>
      </c>
    </row>
    <row r="207" spans="1:11" x14ac:dyDescent="0.3">
      <c r="A207" s="1">
        <v>230</v>
      </c>
      <c r="B207" s="1" t="s">
        <v>294</v>
      </c>
      <c r="E207" s="1" t="s">
        <v>1287</v>
      </c>
      <c r="F207" s="1" t="s">
        <v>1126</v>
      </c>
      <c r="H207" s="1" t="s">
        <v>432</v>
      </c>
      <c r="J207" s="37" t="s">
        <v>1634</v>
      </c>
      <c r="K207" s="1" t="s">
        <v>1175</v>
      </c>
    </row>
    <row r="208" spans="1:11" x14ac:dyDescent="0.3">
      <c r="A208" s="1">
        <v>231</v>
      </c>
      <c r="B208" s="1" t="s">
        <v>295</v>
      </c>
      <c r="E208" s="1" t="s">
        <v>1287</v>
      </c>
      <c r="F208" s="1" t="s">
        <v>1126</v>
      </c>
      <c r="H208" s="1" t="s">
        <v>1425</v>
      </c>
      <c r="J208" s="37" t="s">
        <v>1634</v>
      </c>
      <c r="K208" s="1" t="s">
        <v>1175</v>
      </c>
    </row>
    <row r="209" spans="1:11" x14ac:dyDescent="0.3">
      <c r="A209" s="1">
        <v>232</v>
      </c>
      <c r="B209" s="1" t="s">
        <v>288</v>
      </c>
      <c r="E209" s="1" t="s">
        <v>825</v>
      </c>
      <c r="F209" s="1" t="s">
        <v>803</v>
      </c>
      <c r="H209" s="1" t="s">
        <v>812</v>
      </c>
      <c r="J209" s="37" t="s">
        <v>1634</v>
      </c>
      <c r="K209" s="1" t="s">
        <v>1175</v>
      </c>
    </row>
    <row r="210" spans="1:11" x14ac:dyDescent="0.3">
      <c r="A210" s="1">
        <v>233</v>
      </c>
      <c r="B210" s="1" t="s">
        <v>289</v>
      </c>
      <c r="E210" s="1" t="s">
        <v>825</v>
      </c>
      <c r="F210" s="1" t="s">
        <v>803</v>
      </c>
      <c r="H210" s="1" t="s">
        <v>433</v>
      </c>
      <c r="J210" s="37" t="s">
        <v>1634</v>
      </c>
      <c r="K210" s="1" t="s">
        <v>1175</v>
      </c>
    </row>
    <row r="211" spans="1:11" x14ac:dyDescent="0.3">
      <c r="A211" s="1">
        <v>234</v>
      </c>
      <c r="B211" s="1" t="s">
        <v>290</v>
      </c>
      <c r="E211" s="1" t="s">
        <v>825</v>
      </c>
      <c r="F211" s="1" t="s">
        <v>803</v>
      </c>
      <c r="H211" s="1" t="s">
        <v>433</v>
      </c>
      <c r="J211" s="37" t="s">
        <v>1634</v>
      </c>
      <c r="K211" s="1" t="s">
        <v>1175</v>
      </c>
    </row>
    <row r="212" spans="1:11" x14ac:dyDescent="0.3">
      <c r="A212" s="1">
        <v>235</v>
      </c>
      <c r="B212" s="1" t="s">
        <v>291</v>
      </c>
      <c r="E212" s="1" t="s">
        <v>825</v>
      </c>
      <c r="F212" s="1" t="s">
        <v>803</v>
      </c>
      <c r="H212" s="1" t="s">
        <v>432</v>
      </c>
      <c r="J212" s="37" t="s">
        <v>1634</v>
      </c>
      <c r="K212" s="1" t="s">
        <v>1175</v>
      </c>
    </row>
    <row r="213" spans="1:11" x14ac:dyDescent="0.3">
      <c r="A213" s="1">
        <v>236</v>
      </c>
      <c r="B213" s="1" t="s">
        <v>292</v>
      </c>
      <c r="E213" s="1" t="s">
        <v>825</v>
      </c>
      <c r="F213" s="1" t="s">
        <v>803</v>
      </c>
      <c r="H213" s="1" t="s">
        <v>432</v>
      </c>
      <c r="J213" s="37" t="s">
        <v>1634</v>
      </c>
      <c r="K213" s="1" t="s">
        <v>1175</v>
      </c>
    </row>
    <row r="214" spans="1:11" x14ac:dyDescent="0.3">
      <c r="A214" s="1">
        <v>237</v>
      </c>
      <c r="B214" s="1" t="s">
        <v>293</v>
      </c>
      <c r="E214" s="1" t="s">
        <v>825</v>
      </c>
      <c r="F214" s="1" t="s">
        <v>803</v>
      </c>
      <c r="H214" s="1" t="s">
        <v>432</v>
      </c>
      <c r="J214" s="37" t="s">
        <v>1634</v>
      </c>
      <c r="K214" s="1" t="s">
        <v>1175</v>
      </c>
    </row>
    <row r="215" spans="1:11" x14ac:dyDescent="0.3">
      <c r="A215" s="1">
        <v>238</v>
      </c>
      <c r="B215" s="1" t="s">
        <v>294</v>
      </c>
      <c r="E215" s="1" t="s">
        <v>825</v>
      </c>
      <c r="F215" s="1" t="s">
        <v>803</v>
      </c>
      <c r="H215" s="1" t="s">
        <v>432</v>
      </c>
      <c r="J215" s="37" t="s">
        <v>1634</v>
      </c>
      <c r="K215" s="1" t="s">
        <v>1175</v>
      </c>
    </row>
    <row r="216" spans="1:11" x14ac:dyDescent="0.3">
      <c r="A216" s="1">
        <v>239</v>
      </c>
      <c r="B216" s="1" t="s">
        <v>295</v>
      </c>
      <c r="E216" s="1" t="s">
        <v>825</v>
      </c>
      <c r="F216" s="1" t="s">
        <v>803</v>
      </c>
      <c r="H216" s="1" t="s">
        <v>1425</v>
      </c>
      <c r="J216" s="37" t="s">
        <v>1634</v>
      </c>
      <c r="K216" s="1" t="s">
        <v>1175</v>
      </c>
    </row>
    <row r="217" spans="1:11" x14ac:dyDescent="0.3">
      <c r="A217" s="1">
        <v>240</v>
      </c>
      <c r="B217" s="1" t="s">
        <v>288</v>
      </c>
      <c r="E217" s="1" t="s">
        <v>1140</v>
      </c>
      <c r="F217" s="1" t="s">
        <v>429</v>
      </c>
      <c r="H217" s="1" t="s">
        <v>557</v>
      </c>
      <c r="J217" s="37" t="s">
        <v>1634</v>
      </c>
      <c r="K217" s="1" t="s">
        <v>1175</v>
      </c>
    </row>
    <row r="218" spans="1:11" x14ac:dyDescent="0.3">
      <c r="A218" s="1">
        <v>241</v>
      </c>
      <c r="B218" s="1" t="s">
        <v>289</v>
      </c>
      <c r="E218" s="1" t="s">
        <v>1140</v>
      </c>
      <c r="F218" s="1" t="s">
        <v>429</v>
      </c>
      <c r="H218" s="1" t="s">
        <v>433</v>
      </c>
      <c r="J218" s="37" t="s">
        <v>1634</v>
      </c>
      <c r="K218" s="1" t="s">
        <v>1175</v>
      </c>
    </row>
    <row r="219" spans="1:11" x14ac:dyDescent="0.3">
      <c r="A219" s="1">
        <v>242</v>
      </c>
      <c r="B219" s="1" t="s">
        <v>290</v>
      </c>
      <c r="E219" s="1" t="s">
        <v>1140</v>
      </c>
      <c r="F219" s="1" t="s">
        <v>429</v>
      </c>
      <c r="H219" s="1" t="s">
        <v>433</v>
      </c>
      <c r="J219" s="37" t="s">
        <v>1634</v>
      </c>
      <c r="K219" s="1" t="s">
        <v>1175</v>
      </c>
    </row>
    <row r="220" spans="1:11" x14ac:dyDescent="0.3">
      <c r="A220" s="1">
        <v>243</v>
      </c>
      <c r="B220" s="1" t="s">
        <v>291</v>
      </c>
      <c r="E220" s="1" t="s">
        <v>1140</v>
      </c>
      <c r="F220" s="1" t="s">
        <v>429</v>
      </c>
      <c r="H220" s="1" t="s">
        <v>432</v>
      </c>
      <c r="J220" s="37" t="s">
        <v>1634</v>
      </c>
      <c r="K220" s="1" t="s">
        <v>1175</v>
      </c>
    </row>
    <row r="221" spans="1:11" x14ac:dyDescent="0.3">
      <c r="A221" s="1">
        <v>244</v>
      </c>
      <c r="B221" s="1" t="s">
        <v>292</v>
      </c>
      <c r="E221" s="1" t="s">
        <v>1140</v>
      </c>
      <c r="F221" s="1" t="s">
        <v>429</v>
      </c>
      <c r="H221" s="1" t="s">
        <v>432</v>
      </c>
      <c r="J221" s="37" t="s">
        <v>1634</v>
      </c>
      <c r="K221" s="1" t="s">
        <v>1175</v>
      </c>
    </row>
    <row r="222" spans="1:11" x14ac:dyDescent="0.3">
      <c r="A222" s="1">
        <v>245</v>
      </c>
      <c r="B222" s="1" t="s">
        <v>293</v>
      </c>
      <c r="E222" s="1" t="s">
        <v>1140</v>
      </c>
      <c r="F222" s="1" t="s">
        <v>429</v>
      </c>
      <c r="H222" s="1" t="s">
        <v>432</v>
      </c>
      <c r="J222" s="37" t="s">
        <v>1634</v>
      </c>
      <c r="K222" s="1" t="s">
        <v>1175</v>
      </c>
    </row>
    <row r="223" spans="1:11" x14ac:dyDescent="0.3">
      <c r="A223" s="1">
        <v>246</v>
      </c>
      <c r="B223" s="1" t="s">
        <v>294</v>
      </c>
      <c r="E223" s="1" t="s">
        <v>1140</v>
      </c>
      <c r="F223" s="1" t="s">
        <v>429</v>
      </c>
      <c r="H223" s="1" t="s">
        <v>432</v>
      </c>
      <c r="J223" s="37" t="s">
        <v>1634</v>
      </c>
      <c r="K223" s="1" t="s">
        <v>1175</v>
      </c>
    </row>
    <row r="224" spans="1:11" x14ac:dyDescent="0.3">
      <c r="A224" s="1">
        <v>247</v>
      </c>
      <c r="B224" s="1" t="s">
        <v>295</v>
      </c>
      <c r="E224" s="1" t="s">
        <v>1140</v>
      </c>
      <c r="F224" s="1" t="s">
        <v>429</v>
      </c>
      <c r="H224" s="1" t="s">
        <v>1425</v>
      </c>
      <c r="J224" s="37" t="s">
        <v>1634</v>
      </c>
      <c r="K224" s="1" t="s">
        <v>1175</v>
      </c>
    </row>
    <row r="225" spans="1:11" x14ac:dyDescent="0.3">
      <c r="A225" s="1">
        <v>248</v>
      </c>
      <c r="B225" s="1" t="s">
        <v>288</v>
      </c>
      <c r="E225" s="1" t="s">
        <v>1411</v>
      </c>
      <c r="F225" s="1" t="s">
        <v>1320</v>
      </c>
      <c r="H225" s="1" t="s">
        <v>544</v>
      </c>
      <c r="J225" s="37" t="s">
        <v>1634</v>
      </c>
      <c r="K225" s="1" t="s">
        <v>1175</v>
      </c>
    </row>
    <row r="226" spans="1:11" x14ac:dyDescent="0.3">
      <c r="A226" s="1">
        <v>249</v>
      </c>
      <c r="B226" s="1" t="s">
        <v>289</v>
      </c>
      <c r="E226" s="1" t="s">
        <v>1411</v>
      </c>
      <c r="F226" s="1" t="s">
        <v>1320</v>
      </c>
      <c r="H226" s="1" t="s">
        <v>432</v>
      </c>
      <c r="J226" s="37" t="s">
        <v>1634</v>
      </c>
      <c r="K226" s="1" t="s">
        <v>1175</v>
      </c>
    </row>
    <row r="227" spans="1:11" x14ac:dyDescent="0.3">
      <c r="A227" s="1">
        <v>250</v>
      </c>
      <c r="B227" s="1" t="s">
        <v>290</v>
      </c>
      <c r="E227" s="1" t="s">
        <v>1411</v>
      </c>
      <c r="F227" s="1" t="s">
        <v>1320</v>
      </c>
      <c r="H227" s="1" t="s">
        <v>432</v>
      </c>
      <c r="J227" s="37" t="s">
        <v>1634</v>
      </c>
      <c r="K227" s="1" t="s">
        <v>1175</v>
      </c>
    </row>
    <row r="228" spans="1:11" x14ac:dyDescent="0.3">
      <c r="A228" s="1">
        <v>251</v>
      </c>
      <c r="B228" s="1" t="s">
        <v>291</v>
      </c>
      <c r="E228" s="1" t="s">
        <v>1411</v>
      </c>
      <c r="F228" s="1" t="s">
        <v>1320</v>
      </c>
      <c r="H228" s="1" t="s">
        <v>432</v>
      </c>
      <c r="J228" s="37" t="s">
        <v>1634</v>
      </c>
      <c r="K228" s="1" t="s">
        <v>1175</v>
      </c>
    </row>
    <row r="229" spans="1:11" x14ac:dyDescent="0.3">
      <c r="A229" s="1">
        <v>252</v>
      </c>
      <c r="B229" s="1" t="s">
        <v>292</v>
      </c>
      <c r="E229" s="1" t="s">
        <v>1411</v>
      </c>
      <c r="F229" s="1" t="s">
        <v>1320</v>
      </c>
      <c r="H229" s="1" t="s">
        <v>432</v>
      </c>
      <c r="J229" s="37" t="s">
        <v>1634</v>
      </c>
      <c r="K229" s="1" t="s">
        <v>1175</v>
      </c>
    </row>
    <row r="230" spans="1:11" x14ac:dyDescent="0.3">
      <c r="A230" s="1">
        <v>253</v>
      </c>
      <c r="B230" s="1" t="s">
        <v>293</v>
      </c>
      <c r="E230" s="1" t="s">
        <v>1411</v>
      </c>
      <c r="F230" s="1" t="s">
        <v>1320</v>
      </c>
      <c r="H230" s="1" t="s">
        <v>433</v>
      </c>
      <c r="J230" s="37" t="s">
        <v>1634</v>
      </c>
      <c r="K230" s="1" t="s">
        <v>1175</v>
      </c>
    </row>
    <row r="231" spans="1:11" x14ac:dyDescent="0.3">
      <c r="A231" s="1">
        <v>254</v>
      </c>
      <c r="B231" s="1" t="s">
        <v>294</v>
      </c>
      <c r="E231" s="1" t="s">
        <v>1411</v>
      </c>
      <c r="F231" s="1" t="s">
        <v>1320</v>
      </c>
      <c r="H231" s="1" t="s">
        <v>432</v>
      </c>
      <c r="J231" s="37" t="s">
        <v>1634</v>
      </c>
      <c r="K231" s="1" t="s">
        <v>1175</v>
      </c>
    </row>
    <row r="232" spans="1:11" x14ac:dyDescent="0.3">
      <c r="A232" s="1">
        <v>255</v>
      </c>
      <c r="B232" s="1" t="s">
        <v>295</v>
      </c>
      <c r="E232" s="1" t="s">
        <v>1411</v>
      </c>
      <c r="F232" s="1" t="s">
        <v>1320</v>
      </c>
      <c r="H232" s="1" t="s">
        <v>1407</v>
      </c>
      <c r="J232" s="37" t="s">
        <v>1634</v>
      </c>
      <c r="K232" s="1" t="s">
        <v>1175</v>
      </c>
    </row>
    <row r="233" spans="1:11" ht="28.8" x14ac:dyDescent="0.3">
      <c r="A233" s="1">
        <v>256</v>
      </c>
      <c r="B233" s="1" t="s">
        <v>295</v>
      </c>
      <c r="C233" s="1" t="s">
        <v>1471</v>
      </c>
      <c r="E233" s="1" t="s">
        <v>1392</v>
      </c>
      <c r="F233" s="1" t="s">
        <v>1337</v>
      </c>
      <c r="G233" s="40" t="s">
        <v>1612</v>
      </c>
      <c r="H233" s="1" t="s">
        <v>1388</v>
      </c>
      <c r="I233" s="1" t="s">
        <v>1616</v>
      </c>
      <c r="J233" s="37" t="s">
        <v>1174</v>
      </c>
      <c r="K233" s="1" t="s">
        <v>1175</v>
      </c>
    </row>
    <row r="234" spans="1:11" ht="28.8" x14ac:dyDescent="0.3">
      <c r="A234" s="1">
        <v>257</v>
      </c>
      <c r="B234" s="1" t="s">
        <v>295</v>
      </c>
      <c r="C234" s="1" t="s">
        <v>1471</v>
      </c>
      <c r="E234" s="1" t="s">
        <v>1299</v>
      </c>
      <c r="F234" s="1" t="s">
        <v>1126</v>
      </c>
      <c r="G234" s="40" t="s">
        <v>1613</v>
      </c>
      <c r="H234" s="1" t="s">
        <v>1295</v>
      </c>
      <c r="I234" s="1" t="s">
        <v>1617</v>
      </c>
      <c r="J234" s="37" t="s">
        <v>1174</v>
      </c>
      <c r="K234" s="1" t="s">
        <v>1175</v>
      </c>
    </row>
    <row r="235" spans="1:11" ht="28.8" x14ac:dyDescent="0.3">
      <c r="A235" s="1">
        <v>258</v>
      </c>
      <c r="B235" s="1" t="s">
        <v>295</v>
      </c>
      <c r="C235" s="1" t="s">
        <v>1471</v>
      </c>
      <c r="E235" s="1" t="s">
        <v>1402</v>
      </c>
      <c r="F235" s="1" t="s">
        <v>1126</v>
      </c>
      <c r="G235" s="40" t="s">
        <v>1613</v>
      </c>
      <c r="H235" s="1" t="s">
        <v>1398</v>
      </c>
      <c r="I235" s="1" t="s">
        <v>1617</v>
      </c>
      <c r="J235" s="37" t="s">
        <v>1174</v>
      </c>
      <c r="K235" s="1" t="s">
        <v>1175</v>
      </c>
    </row>
    <row r="236" spans="1:11" ht="28.8" x14ac:dyDescent="0.3">
      <c r="A236" s="1">
        <v>259</v>
      </c>
      <c r="B236" s="1" t="s">
        <v>295</v>
      </c>
      <c r="C236" s="1" t="s">
        <v>1471</v>
      </c>
      <c r="E236" s="1" t="s">
        <v>1042</v>
      </c>
      <c r="F236" s="1" t="s">
        <v>423</v>
      </c>
      <c r="G236" s="40" t="s">
        <v>1614</v>
      </c>
      <c r="H236" s="1" t="s">
        <v>1039</v>
      </c>
      <c r="I236" s="1" t="s">
        <v>1617</v>
      </c>
      <c r="J236" s="37" t="s">
        <v>1174</v>
      </c>
      <c r="K236" s="1" t="s">
        <v>1175</v>
      </c>
    </row>
    <row r="237" spans="1:11" x14ac:dyDescent="0.3">
      <c r="A237" s="1">
        <v>260</v>
      </c>
      <c r="B237" s="1" t="s">
        <v>295</v>
      </c>
      <c r="C237" s="1" t="s">
        <v>1471</v>
      </c>
      <c r="E237" s="1" t="s">
        <v>1326</v>
      </c>
      <c r="F237" s="1" t="s">
        <v>1320</v>
      </c>
      <c r="G237" s="40" t="s">
        <v>1615</v>
      </c>
      <c r="H237" s="1" t="s">
        <v>1323</v>
      </c>
      <c r="I237" s="1" t="s">
        <v>1617</v>
      </c>
      <c r="J237" s="37" t="s">
        <v>1174</v>
      </c>
      <c r="K237" s="1" t="s">
        <v>1175</v>
      </c>
    </row>
    <row r="238" spans="1:11" x14ac:dyDescent="0.3">
      <c r="A238" s="1">
        <v>261</v>
      </c>
      <c r="B238" s="1" t="s">
        <v>295</v>
      </c>
      <c r="C238" s="1" t="s">
        <v>1471</v>
      </c>
      <c r="E238" s="1" t="s">
        <v>1364</v>
      </c>
      <c r="F238" s="1" t="s">
        <v>1320</v>
      </c>
      <c r="G238" s="40" t="s">
        <v>1615</v>
      </c>
      <c r="H238" s="1" t="s">
        <v>1358</v>
      </c>
      <c r="I238" s="1" t="s">
        <v>1617</v>
      </c>
      <c r="J238" s="37" t="s">
        <v>1174</v>
      </c>
      <c r="K238" s="1" t="s">
        <v>1175</v>
      </c>
    </row>
    <row r="239" spans="1:11" x14ac:dyDescent="0.3">
      <c r="A239" s="1">
        <v>262</v>
      </c>
      <c r="B239" s="1" t="s">
        <v>295</v>
      </c>
      <c r="C239" s="1" t="s">
        <v>1471</v>
      </c>
      <c r="E239" s="1" t="s">
        <v>1417</v>
      </c>
      <c r="F239" s="1" t="s">
        <v>1320</v>
      </c>
      <c r="G239" s="40" t="s">
        <v>1615</v>
      </c>
      <c r="H239" s="1" t="s">
        <v>1415</v>
      </c>
      <c r="I239" s="1" t="s">
        <v>1617</v>
      </c>
      <c r="J239" s="37" t="s">
        <v>1174</v>
      </c>
      <c r="K239" s="1" t="s">
        <v>1175</v>
      </c>
    </row>
    <row r="240" spans="1:11" x14ac:dyDescent="0.3">
      <c r="A240" s="1">
        <v>263</v>
      </c>
      <c r="B240" s="1" t="s">
        <v>342</v>
      </c>
      <c r="E240" s="1" t="s">
        <v>844</v>
      </c>
      <c r="F240" s="1" t="s">
        <v>633</v>
      </c>
      <c r="H240" s="1" t="s">
        <v>432</v>
      </c>
      <c r="I240" s="1">
        <v>1</v>
      </c>
      <c r="J240" s="37" t="s">
        <v>1466</v>
      </c>
      <c r="K240" s="1" t="s">
        <v>1175</v>
      </c>
    </row>
    <row r="241" spans="1:11" x14ac:dyDescent="0.3">
      <c r="A241" s="1">
        <v>264</v>
      </c>
      <c r="B241" s="1" t="s">
        <v>345</v>
      </c>
      <c r="E241" s="1" t="s">
        <v>844</v>
      </c>
      <c r="F241" s="1" t="s">
        <v>633</v>
      </c>
      <c r="H241" s="1" t="s">
        <v>433</v>
      </c>
      <c r="I241" s="1">
        <v>0</v>
      </c>
      <c r="J241" s="37" t="s">
        <v>1467</v>
      </c>
      <c r="K241" s="1" t="s">
        <v>1175</v>
      </c>
    </row>
    <row r="242" spans="1:11" x14ac:dyDescent="0.3">
      <c r="A242" s="1">
        <v>265</v>
      </c>
      <c r="B242" s="1" t="s">
        <v>348</v>
      </c>
      <c r="E242" s="1" t="s">
        <v>844</v>
      </c>
      <c r="F242" s="1" t="s">
        <v>633</v>
      </c>
      <c r="H242" s="1" t="s">
        <v>841</v>
      </c>
      <c r="J242" s="37" t="s">
        <v>1467</v>
      </c>
      <c r="K242" s="1" t="s">
        <v>1175</v>
      </c>
    </row>
    <row r="243" spans="1:11" x14ac:dyDescent="0.3">
      <c r="A243" s="1">
        <v>266</v>
      </c>
      <c r="B243" s="1" t="s">
        <v>341</v>
      </c>
      <c r="E243" s="1" t="s">
        <v>844</v>
      </c>
      <c r="F243" s="1" t="s">
        <v>633</v>
      </c>
      <c r="H243" s="1" t="s">
        <v>840</v>
      </c>
      <c r="I243" s="1" t="s">
        <v>646</v>
      </c>
      <c r="J243" s="37" t="s">
        <v>1469</v>
      </c>
      <c r="K243" s="1" t="s">
        <v>1175</v>
      </c>
    </row>
    <row r="244" spans="1:11" x14ac:dyDescent="0.3">
      <c r="A244" s="1">
        <v>267</v>
      </c>
      <c r="B244" s="1" t="s">
        <v>348</v>
      </c>
      <c r="E244" s="1" t="s">
        <v>1082</v>
      </c>
      <c r="F244" s="1" t="s">
        <v>633</v>
      </c>
      <c r="H244" s="1" t="s">
        <v>544</v>
      </c>
      <c r="J244" s="37" t="s">
        <v>1424</v>
      </c>
      <c r="K244" s="1" t="s">
        <v>1175</v>
      </c>
    </row>
    <row r="245" spans="1:11" x14ac:dyDescent="0.3">
      <c r="A245" s="1">
        <v>268</v>
      </c>
      <c r="B245" s="1" t="s">
        <v>345</v>
      </c>
      <c r="E245" s="1" t="s">
        <v>538</v>
      </c>
      <c r="F245" s="1" t="s">
        <v>423</v>
      </c>
      <c r="H245" s="1" t="s">
        <v>433</v>
      </c>
      <c r="I245" s="1">
        <v>0</v>
      </c>
      <c r="J245" s="37" t="s">
        <v>1482</v>
      </c>
      <c r="K245" s="1" t="s">
        <v>1175</v>
      </c>
    </row>
    <row r="246" spans="1:11" x14ac:dyDescent="0.3">
      <c r="A246" s="1">
        <v>269</v>
      </c>
      <c r="B246" s="1" t="s">
        <v>345</v>
      </c>
      <c r="E246" s="1" t="s">
        <v>1364</v>
      </c>
      <c r="F246" s="1" t="s">
        <v>1320</v>
      </c>
      <c r="H246" s="1" t="s">
        <v>433</v>
      </c>
      <c r="I246" s="1">
        <v>0</v>
      </c>
      <c r="J246" s="37" t="s">
        <v>1482</v>
      </c>
      <c r="K246" s="1" t="s">
        <v>1175</v>
      </c>
    </row>
    <row r="247" spans="1:11" x14ac:dyDescent="0.3">
      <c r="A247" s="1">
        <v>270</v>
      </c>
      <c r="B247" s="1" t="s">
        <v>345</v>
      </c>
      <c r="E247" s="1" t="s">
        <v>1411</v>
      </c>
      <c r="F247" s="1" t="s">
        <v>1320</v>
      </c>
      <c r="H247" s="1" t="s">
        <v>433</v>
      </c>
      <c r="I247" s="1">
        <v>0</v>
      </c>
      <c r="J247" s="37" t="s">
        <v>1482</v>
      </c>
      <c r="K247" s="1" t="s">
        <v>1175</v>
      </c>
    </row>
    <row r="248" spans="1:11" x14ac:dyDescent="0.3">
      <c r="A248" s="1">
        <v>271</v>
      </c>
      <c r="B248" s="1" t="s">
        <v>348</v>
      </c>
      <c r="E248" s="1" t="s">
        <v>538</v>
      </c>
      <c r="F248" s="1" t="s">
        <v>423</v>
      </c>
      <c r="H248" s="1" t="s">
        <v>534</v>
      </c>
      <c r="J248" s="37" t="s">
        <v>1482</v>
      </c>
      <c r="K248" s="1" t="s">
        <v>1175</v>
      </c>
    </row>
    <row r="249" spans="1:11" x14ac:dyDescent="0.3">
      <c r="A249" s="1">
        <v>272</v>
      </c>
      <c r="B249" s="1" t="s">
        <v>348</v>
      </c>
      <c r="E249" s="1" t="s">
        <v>1364</v>
      </c>
      <c r="F249" s="1" t="s">
        <v>1320</v>
      </c>
      <c r="H249" s="1" t="s">
        <v>1322</v>
      </c>
      <c r="J249" s="37" t="s">
        <v>1482</v>
      </c>
      <c r="K249" s="1" t="s">
        <v>1175</v>
      </c>
    </row>
    <row r="250" spans="1:11" x14ac:dyDescent="0.3">
      <c r="A250" s="1">
        <v>273</v>
      </c>
      <c r="B250" s="1" t="s">
        <v>348</v>
      </c>
      <c r="E250" s="1" t="s">
        <v>1411</v>
      </c>
      <c r="F250" s="1" t="s">
        <v>1320</v>
      </c>
      <c r="H250" s="1" t="s">
        <v>1322</v>
      </c>
      <c r="J250" s="37" t="s">
        <v>1482</v>
      </c>
      <c r="K250" s="1" t="s">
        <v>1175</v>
      </c>
    </row>
    <row r="251" spans="1:11" x14ac:dyDescent="0.3">
      <c r="A251" s="1">
        <v>274</v>
      </c>
      <c r="B251" s="1" t="s">
        <v>341</v>
      </c>
      <c r="E251" s="1" t="s">
        <v>538</v>
      </c>
      <c r="F251" s="1" t="s">
        <v>423</v>
      </c>
      <c r="H251" s="1" t="s">
        <v>533</v>
      </c>
      <c r="I251" s="1" t="s">
        <v>738</v>
      </c>
      <c r="J251" s="37" t="s">
        <v>1476</v>
      </c>
      <c r="K251" s="1" t="s">
        <v>1175</v>
      </c>
    </row>
    <row r="252" spans="1:11" x14ac:dyDescent="0.3">
      <c r="A252" s="1">
        <v>275</v>
      </c>
      <c r="B252" s="1" t="s">
        <v>341</v>
      </c>
      <c r="E252" s="1" t="s">
        <v>1364</v>
      </c>
      <c r="F252" s="1" t="s">
        <v>1320</v>
      </c>
      <c r="H252" s="1" t="s">
        <v>1361</v>
      </c>
      <c r="I252" s="1" t="s">
        <v>1330</v>
      </c>
      <c r="J252" s="37" t="s">
        <v>1476</v>
      </c>
      <c r="K252" s="1" t="s">
        <v>1175</v>
      </c>
    </row>
    <row r="253" spans="1:11" x14ac:dyDescent="0.3">
      <c r="A253" s="1">
        <v>276</v>
      </c>
      <c r="B253" s="1" t="s">
        <v>341</v>
      </c>
      <c r="E253" s="1" t="s">
        <v>1411</v>
      </c>
      <c r="F253" s="1" t="s">
        <v>1320</v>
      </c>
      <c r="H253" s="1" t="s">
        <v>1361</v>
      </c>
      <c r="I253" s="1" t="s">
        <v>1330</v>
      </c>
      <c r="J253" s="37" t="s">
        <v>1476</v>
      </c>
      <c r="K253" s="1" t="s">
        <v>1175</v>
      </c>
    </row>
    <row r="254" spans="1:11" x14ac:dyDescent="0.3">
      <c r="A254" s="1">
        <v>277</v>
      </c>
      <c r="B254" s="1" t="s">
        <v>357</v>
      </c>
      <c r="E254" s="1" t="s">
        <v>779</v>
      </c>
      <c r="F254" s="1" t="s">
        <v>588</v>
      </c>
      <c r="H254" s="1" t="s">
        <v>433</v>
      </c>
      <c r="I254" s="1">
        <v>0</v>
      </c>
      <c r="J254" s="37" t="s">
        <v>1424</v>
      </c>
      <c r="K254" s="1" t="s">
        <v>1175</v>
      </c>
    </row>
    <row r="255" spans="1:11" x14ac:dyDescent="0.3">
      <c r="A255" s="1">
        <v>278</v>
      </c>
      <c r="B255" s="1" t="s">
        <v>359</v>
      </c>
      <c r="E255" s="1" t="s">
        <v>779</v>
      </c>
      <c r="F255" s="1" t="s">
        <v>588</v>
      </c>
      <c r="H255" s="1" t="s">
        <v>775</v>
      </c>
      <c r="J255" s="37" t="s">
        <v>1424</v>
      </c>
      <c r="K255" s="1" t="s">
        <v>1175</v>
      </c>
    </row>
    <row r="256" spans="1:11" x14ac:dyDescent="0.3">
      <c r="A256" s="1">
        <v>279</v>
      </c>
      <c r="B256" s="1" t="s">
        <v>349</v>
      </c>
      <c r="E256" s="1" t="s">
        <v>779</v>
      </c>
      <c r="F256" s="1" t="s">
        <v>588</v>
      </c>
      <c r="H256" s="1" t="s">
        <v>774</v>
      </c>
      <c r="I256" s="1" t="s">
        <v>1409</v>
      </c>
      <c r="J256" s="37" t="s">
        <v>1476</v>
      </c>
      <c r="K256" s="1" t="s">
        <v>1175</v>
      </c>
    </row>
    <row r="257" spans="1:11" x14ac:dyDescent="0.3">
      <c r="A257" s="1">
        <v>280</v>
      </c>
      <c r="B257" s="1" t="s">
        <v>377</v>
      </c>
      <c r="E257" s="1" t="s">
        <v>1350</v>
      </c>
      <c r="F257" s="1" t="s">
        <v>1337</v>
      </c>
      <c r="H257" s="1" t="s">
        <v>432</v>
      </c>
      <c r="I257" s="1">
        <v>1</v>
      </c>
      <c r="J257" s="37" t="s">
        <v>1466</v>
      </c>
      <c r="K257" s="1" t="s">
        <v>1175</v>
      </c>
    </row>
    <row r="258" spans="1:11" x14ac:dyDescent="0.3">
      <c r="A258" s="1">
        <v>281</v>
      </c>
      <c r="B258" s="1" t="s">
        <v>380</v>
      </c>
      <c r="E258" s="1" t="s">
        <v>1350</v>
      </c>
      <c r="F258" s="1" t="s">
        <v>1337</v>
      </c>
      <c r="H258" s="1" t="s">
        <v>432</v>
      </c>
      <c r="I258" s="1">
        <v>1</v>
      </c>
      <c r="J258" s="37" t="s">
        <v>1466</v>
      </c>
      <c r="K258" s="1" t="s">
        <v>1175</v>
      </c>
    </row>
    <row r="259" spans="1:11" x14ac:dyDescent="0.3">
      <c r="A259" s="1">
        <v>282</v>
      </c>
      <c r="B259" s="1" t="s">
        <v>382</v>
      </c>
      <c r="E259" s="1" t="s">
        <v>1350</v>
      </c>
      <c r="F259" s="1" t="s">
        <v>1337</v>
      </c>
      <c r="H259" s="1" t="s">
        <v>433</v>
      </c>
      <c r="I259" s="1">
        <v>0</v>
      </c>
      <c r="J259" s="37" t="s">
        <v>1467</v>
      </c>
      <c r="K259" s="1" t="s">
        <v>1175</v>
      </c>
    </row>
    <row r="260" spans="1:11" x14ac:dyDescent="0.3">
      <c r="A260" s="1">
        <v>283</v>
      </c>
      <c r="B260" s="1" t="s">
        <v>385</v>
      </c>
      <c r="E260" s="1" t="s">
        <v>1350</v>
      </c>
      <c r="F260" s="1" t="s">
        <v>1337</v>
      </c>
      <c r="H260" s="1" t="s">
        <v>1348</v>
      </c>
      <c r="J260" s="37" t="s">
        <v>1467</v>
      </c>
      <c r="K260" s="1" t="s">
        <v>1175</v>
      </c>
    </row>
    <row r="261" spans="1:11" x14ac:dyDescent="0.3">
      <c r="A261" s="1">
        <v>284</v>
      </c>
      <c r="B261" s="1" t="s">
        <v>373</v>
      </c>
      <c r="E261" s="1" t="s">
        <v>1350</v>
      </c>
      <c r="F261" s="1" t="s">
        <v>1337</v>
      </c>
      <c r="H261" s="1" t="s">
        <v>1347</v>
      </c>
      <c r="I261" s="1" t="s">
        <v>1483</v>
      </c>
      <c r="J261" s="37" t="s">
        <v>1469</v>
      </c>
      <c r="K261" s="1" t="s">
        <v>1175</v>
      </c>
    </row>
    <row r="262" spans="1:11" x14ac:dyDescent="0.3">
      <c r="A262" s="1">
        <v>285</v>
      </c>
      <c r="B262" s="1" t="s">
        <v>410</v>
      </c>
      <c r="E262" s="1" t="s">
        <v>667</v>
      </c>
      <c r="F262" s="1" t="s">
        <v>655</v>
      </c>
      <c r="H262" s="1" t="s">
        <v>666</v>
      </c>
      <c r="J262" s="37" t="s">
        <v>1424</v>
      </c>
      <c r="K262" s="1" t="s">
        <v>1175</v>
      </c>
    </row>
    <row r="263" spans="1:11" x14ac:dyDescent="0.3">
      <c r="A263" s="1">
        <v>286</v>
      </c>
      <c r="B263" s="1" t="s">
        <v>410</v>
      </c>
      <c r="E263" s="1" t="s">
        <v>691</v>
      </c>
      <c r="F263" s="1" t="s">
        <v>655</v>
      </c>
      <c r="H263" s="1" t="s">
        <v>666</v>
      </c>
      <c r="J263" s="37" t="s">
        <v>1424</v>
      </c>
      <c r="K263" s="1" t="s">
        <v>1175</v>
      </c>
    </row>
    <row r="264" spans="1:11" x14ac:dyDescent="0.3">
      <c r="A264" s="1">
        <v>287</v>
      </c>
      <c r="B264" s="1" t="s">
        <v>410</v>
      </c>
      <c r="E264" s="1" t="s">
        <v>844</v>
      </c>
      <c r="F264" s="1" t="s">
        <v>633</v>
      </c>
      <c r="H264" s="1" t="s">
        <v>843</v>
      </c>
      <c r="J264" s="37" t="s">
        <v>1424</v>
      </c>
      <c r="K264" s="1" t="s">
        <v>1175</v>
      </c>
    </row>
    <row r="265" spans="1:11" x14ac:dyDescent="0.3">
      <c r="A265" s="1">
        <v>288</v>
      </c>
      <c r="B265" s="1" t="s">
        <v>410</v>
      </c>
      <c r="E265" s="1" t="s">
        <v>869</v>
      </c>
      <c r="F265" s="1" t="s">
        <v>633</v>
      </c>
      <c r="H265" s="1" t="s">
        <v>816</v>
      </c>
      <c r="J265" s="37" t="s">
        <v>1424</v>
      </c>
      <c r="K265" s="1" t="s">
        <v>1175</v>
      </c>
    </row>
    <row r="266" spans="1:11" x14ac:dyDescent="0.3">
      <c r="A266" s="1">
        <v>289</v>
      </c>
      <c r="B266" s="1" t="s">
        <v>410</v>
      </c>
      <c r="E266" s="1" t="s">
        <v>1082</v>
      </c>
      <c r="F266" s="1" t="s">
        <v>633</v>
      </c>
      <c r="H266" s="1" t="s">
        <v>843</v>
      </c>
      <c r="J266" s="37" t="s">
        <v>1424</v>
      </c>
      <c r="K266" s="1" t="s">
        <v>1175</v>
      </c>
    </row>
    <row r="267" spans="1:11" x14ac:dyDescent="0.3">
      <c r="A267" s="1">
        <v>290</v>
      </c>
      <c r="B267" s="1" t="s">
        <v>410</v>
      </c>
      <c r="E267" s="1" t="s">
        <v>1096</v>
      </c>
      <c r="F267" s="1" t="s">
        <v>633</v>
      </c>
      <c r="H267" s="1" t="s">
        <v>816</v>
      </c>
      <c r="J267" s="37" t="s">
        <v>1424</v>
      </c>
      <c r="K267" s="1" t="s">
        <v>1175</v>
      </c>
    </row>
    <row r="268" spans="1:11" x14ac:dyDescent="0.3">
      <c r="A268" s="1">
        <v>291</v>
      </c>
      <c r="B268" s="1" t="s">
        <v>410</v>
      </c>
      <c r="E268" s="1" t="s">
        <v>1108</v>
      </c>
      <c r="F268" s="1" t="s">
        <v>633</v>
      </c>
      <c r="H268" s="1" t="s">
        <v>816</v>
      </c>
      <c r="J268" s="37" t="s">
        <v>1424</v>
      </c>
      <c r="K268" s="1" t="s">
        <v>1175</v>
      </c>
    </row>
    <row r="269" spans="1:11" x14ac:dyDescent="0.3">
      <c r="A269" s="1">
        <v>292</v>
      </c>
      <c r="B269" s="1" t="s">
        <v>410</v>
      </c>
      <c r="E269" s="1" t="s">
        <v>1154</v>
      </c>
      <c r="F269" s="1" t="s">
        <v>633</v>
      </c>
      <c r="H269" s="1" t="s">
        <v>816</v>
      </c>
      <c r="J269" s="37" t="s">
        <v>1424</v>
      </c>
      <c r="K269" s="1" t="s">
        <v>1175</v>
      </c>
    </row>
    <row r="270" spans="1:11" x14ac:dyDescent="0.3">
      <c r="A270" s="1">
        <v>293</v>
      </c>
      <c r="B270" s="1" t="s">
        <v>410</v>
      </c>
      <c r="E270" s="1" t="s">
        <v>1165</v>
      </c>
      <c r="F270" s="1" t="s">
        <v>633</v>
      </c>
      <c r="H270" s="1" t="s">
        <v>816</v>
      </c>
      <c r="J270" s="37" t="s">
        <v>1424</v>
      </c>
      <c r="K270" s="1" t="s">
        <v>1175</v>
      </c>
    </row>
    <row r="271" spans="1:11" x14ac:dyDescent="0.3">
      <c r="A271" s="1">
        <v>294</v>
      </c>
      <c r="B271" s="1" t="s">
        <v>410</v>
      </c>
      <c r="E271" s="1" t="s">
        <v>1064</v>
      </c>
      <c r="F271" s="1" t="s">
        <v>500</v>
      </c>
      <c r="H271" s="1" t="s">
        <v>816</v>
      </c>
      <c r="J271" s="37" t="s">
        <v>1424</v>
      </c>
      <c r="K271" s="1" t="s">
        <v>1175</v>
      </c>
    </row>
    <row r="272" spans="1:11" x14ac:dyDescent="0.3">
      <c r="A272" s="1">
        <v>295</v>
      </c>
      <c r="B272" s="1" t="s">
        <v>410</v>
      </c>
      <c r="E272" s="1" t="s">
        <v>1075</v>
      </c>
      <c r="F272" s="1" t="s">
        <v>500</v>
      </c>
      <c r="H272" s="1" t="s">
        <v>816</v>
      </c>
      <c r="J272" s="37" t="s">
        <v>1424</v>
      </c>
      <c r="K272" s="1" t="s">
        <v>1175</v>
      </c>
    </row>
    <row r="273" spans="1:11" x14ac:dyDescent="0.3">
      <c r="A273" s="1">
        <v>296</v>
      </c>
      <c r="B273" s="1" t="s">
        <v>410</v>
      </c>
      <c r="E273" s="1" t="s">
        <v>1054</v>
      </c>
      <c r="F273" s="1" t="s">
        <v>893</v>
      </c>
      <c r="H273" s="1" t="s">
        <v>843</v>
      </c>
      <c r="J273" s="37" t="s">
        <v>1424</v>
      </c>
      <c r="K273" s="1" t="s">
        <v>1175</v>
      </c>
    </row>
    <row r="274" spans="1:11" x14ac:dyDescent="0.3">
      <c r="A274" s="1">
        <v>297</v>
      </c>
      <c r="B274" s="1" t="s">
        <v>410</v>
      </c>
      <c r="E274" s="1" t="s">
        <v>817</v>
      </c>
      <c r="F274" s="1" t="s">
        <v>803</v>
      </c>
      <c r="H274" s="1" t="s">
        <v>816</v>
      </c>
      <c r="J274" s="37" t="s">
        <v>1424</v>
      </c>
      <c r="K274" s="1" t="s">
        <v>1175</v>
      </c>
    </row>
    <row r="275" spans="1:11" x14ac:dyDescent="0.3">
      <c r="A275" s="1">
        <v>298</v>
      </c>
      <c r="B275" s="1" t="s">
        <v>410</v>
      </c>
      <c r="E275" s="1" t="s">
        <v>825</v>
      </c>
      <c r="F275" s="1" t="s">
        <v>803</v>
      </c>
      <c r="H275" s="1" t="s">
        <v>816</v>
      </c>
      <c r="J275" s="37" t="s">
        <v>1424</v>
      </c>
      <c r="K275" s="1" t="s">
        <v>1175</v>
      </c>
    </row>
    <row r="276" spans="1:11" x14ac:dyDescent="0.3">
      <c r="A276" s="1">
        <v>299</v>
      </c>
      <c r="B276" s="1" t="s">
        <v>410</v>
      </c>
      <c r="E276" s="1" t="s">
        <v>629</v>
      </c>
      <c r="F276" s="1" t="s">
        <v>423</v>
      </c>
      <c r="H276" s="1" t="s">
        <v>628</v>
      </c>
      <c r="J276" s="37" t="s">
        <v>1424</v>
      </c>
      <c r="K276" s="1" t="s">
        <v>1175</v>
      </c>
    </row>
    <row r="277" spans="1:11" x14ac:dyDescent="0.3">
      <c r="A277" s="1">
        <v>300</v>
      </c>
      <c r="B277" s="1" t="s">
        <v>410</v>
      </c>
      <c r="E277" s="1" t="s">
        <v>1042</v>
      </c>
      <c r="F277" s="1" t="s">
        <v>423</v>
      </c>
      <c r="H277" s="1" t="s">
        <v>843</v>
      </c>
      <c r="J277" s="37" t="s">
        <v>1424</v>
      </c>
      <c r="K277" s="1" t="s">
        <v>1175</v>
      </c>
    </row>
    <row r="278" spans="1:11" x14ac:dyDescent="0.3">
      <c r="A278" s="1">
        <v>301</v>
      </c>
      <c r="B278" s="1" t="s">
        <v>410</v>
      </c>
      <c r="E278" s="1" t="s">
        <v>1121</v>
      </c>
      <c r="F278" s="1" t="s">
        <v>423</v>
      </c>
      <c r="H278" s="1" t="s">
        <v>843</v>
      </c>
      <c r="J278" s="37" t="s">
        <v>1424</v>
      </c>
      <c r="K278" s="1" t="s">
        <v>1175</v>
      </c>
    </row>
    <row r="279" spans="1:11" x14ac:dyDescent="0.3">
      <c r="A279" s="1">
        <v>302</v>
      </c>
      <c r="B279" s="1" t="s">
        <v>410</v>
      </c>
      <c r="E279" s="1" t="s">
        <v>1133</v>
      </c>
      <c r="F279" s="1" t="s">
        <v>429</v>
      </c>
      <c r="H279" s="1" t="s">
        <v>816</v>
      </c>
      <c r="J279" s="37" t="s">
        <v>1424</v>
      </c>
      <c r="K279" s="1" t="s">
        <v>1175</v>
      </c>
    </row>
    <row r="280" spans="1:11" x14ac:dyDescent="0.3">
      <c r="A280" s="1">
        <v>303</v>
      </c>
      <c r="B280" s="1" t="s">
        <v>410</v>
      </c>
      <c r="E280" s="1" t="s">
        <v>1140</v>
      </c>
      <c r="F280" s="1" t="s">
        <v>429</v>
      </c>
      <c r="H280" s="1" t="s">
        <v>816</v>
      </c>
      <c r="J280" s="37" t="s">
        <v>1424</v>
      </c>
      <c r="K280" s="1" t="s">
        <v>1175</v>
      </c>
    </row>
    <row r="281" spans="1:11" x14ac:dyDescent="0.3">
      <c r="A281" s="1">
        <v>304</v>
      </c>
      <c r="B281" s="1" t="s">
        <v>89</v>
      </c>
      <c r="E281" s="1" t="s">
        <v>996</v>
      </c>
      <c r="F281" s="1" t="s">
        <v>981</v>
      </c>
      <c r="H281" s="1" t="s">
        <v>427</v>
      </c>
      <c r="I281" s="1" t="s">
        <v>1177</v>
      </c>
      <c r="J281" s="37" t="s">
        <v>1484</v>
      </c>
      <c r="K281" s="1" t="s">
        <v>1175</v>
      </c>
    </row>
    <row r="282" spans="1:11" x14ac:dyDescent="0.3">
      <c r="A282" s="1">
        <v>305</v>
      </c>
      <c r="B282" s="1" t="s">
        <v>89</v>
      </c>
      <c r="E282" s="1" t="s">
        <v>1013</v>
      </c>
      <c r="F282" s="1" t="s">
        <v>981</v>
      </c>
      <c r="H282" s="1" t="s">
        <v>427</v>
      </c>
      <c r="I282" s="1" t="s">
        <v>1000</v>
      </c>
      <c r="J282" s="37" t="s">
        <v>1484</v>
      </c>
      <c r="K282" s="1" t="s">
        <v>1175</v>
      </c>
    </row>
    <row r="283" spans="1:11" x14ac:dyDescent="0.3">
      <c r="A283" s="1">
        <v>306</v>
      </c>
      <c r="B283" s="1" t="s">
        <v>89</v>
      </c>
      <c r="E283" s="1" t="s">
        <v>1029</v>
      </c>
      <c r="F283" s="1" t="s">
        <v>981</v>
      </c>
      <c r="H283" s="1" t="s">
        <v>427</v>
      </c>
      <c r="I283" s="1" t="s">
        <v>1017</v>
      </c>
      <c r="J283" s="37" t="s">
        <v>1484</v>
      </c>
      <c r="K283" s="1" t="s">
        <v>1175</v>
      </c>
    </row>
    <row r="284" spans="1:11" x14ac:dyDescent="0.3">
      <c r="A284" s="1">
        <v>307</v>
      </c>
      <c r="B284" s="1" t="s">
        <v>89</v>
      </c>
      <c r="E284" s="1" t="s">
        <v>629</v>
      </c>
      <c r="F284" s="1" t="s">
        <v>423</v>
      </c>
      <c r="H284" s="1" t="s">
        <v>427</v>
      </c>
      <c r="I284" s="1" t="s">
        <v>613</v>
      </c>
      <c r="J284" s="37" t="s">
        <v>1484</v>
      </c>
      <c r="K284" s="1" t="s">
        <v>1175</v>
      </c>
    </row>
    <row r="285" spans="1:11" x14ac:dyDescent="0.3">
      <c r="A285" s="1">
        <v>308</v>
      </c>
      <c r="B285" s="1" t="s">
        <v>89</v>
      </c>
      <c r="E285" s="1" t="s">
        <v>930</v>
      </c>
      <c r="F285" s="1" t="s">
        <v>423</v>
      </c>
      <c r="H285" s="1" t="s">
        <v>427</v>
      </c>
      <c r="I285" s="1" t="s">
        <v>916</v>
      </c>
      <c r="J285" s="37" t="s">
        <v>1484</v>
      </c>
      <c r="K285" s="1" t="s">
        <v>1175</v>
      </c>
    </row>
    <row r="286" spans="1:11" x14ac:dyDescent="0.3">
      <c r="A286" s="1">
        <v>309</v>
      </c>
      <c r="B286" s="1" t="s">
        <v>89</v>
      </c>
      <c r="E286" s="1" t="s">
        <v>959</v>
      </c>
      <c r="F286" s="1" t="s">
        <v>423</v>
      </c>
      <c r="H286" s="1" t="s">
        <v>427</v>
      </c>
      <c r="I286" s="1" t="s">
        <v>949</v>
      </c>
      <c r="J286" s="37" t="s">
        <v>1484</v>
      </c>
      <c r="K286" s="1" t="s">
        <v>1175</v>
      </c>
    </row>
    <row r="287" spans="1:11" x14ac:dyDescent="0.3">
      <c r="A287" s="1">
        <v>310</v>
      </c>
      <c r="B287" s="1" t="s">
        <v>89</v>
      </c>
      <c r="E287" s="1" t="s">
        <v>1225</v>
      </c>
      <c r="F287" s="1" t="s">
        <v>466</v>
      </c>
      <c r="H287" s="1" t="s">
        <v>427</v>
      </c>
      <c r="I287" s="1" t="s">
        <v>1300</v>
      </c>
      <c r="J287" s="37" t="s">
        <v>1484</v>
      </c>
      <c r="K287" s="1" t="s">
        <v>1175</v>
      </c>
    </row>
    <row r="288" spans="1:11" x14ac:dyDescent="0.3">
      <c r="A288" s="1">
        <v>311</v>
      </c>
      <c r="B288" s="1" t="s">
        <v>89</v>
      </c>
      <c r="E288" s="1" t="s">
        <v>1502</v>
      </c>
      <c r="F288" s="1" t="s">
        <v>1337</v>
      </c>
      <c r="H288" s="1" t="s">
        <v>1337</v>
      </c>
      <c r="I288" s="1" t="s">
        <v>1588</v>
      </c>
      <c r="J288" s="37" t="s">
        <v>1589</v>
      </c>
      <c r="K288" s="1" t="s">
        <v>1175</v>
      </c>
    </row>
    <row r="289" spans="1:11" x14ac:dyDescent="0.3">
      <c r="A289" s="1">
        <v>312</v>
      </c>
      <c r="B289" s="1" t="s">
        <v>89</v>
      </c>
      <c r="E289" s="1" t="s">
        <v>1513</v>
      </c>
      <c r="F289" s="1" t="s">
        <v>1337</v>
      </c>
      <c r="H289" s="1" t="s">
        <v>1337</v>
      </c>
      <c r="I289" s="1" t="s">
        <v>1590</v>
      </c>
      <c r="J289" s="37" t="s">
        <v>1589</v>
      </c>
      <c r="K289" s="1" t="s">
        <v>1175</v>
      </c>
    </row>
    <row r="290" spans="1:11" x14ac:dyDescent="0.3">
      <c r="A290" s="1">
        <v>313</v>
      </c>
      <c r="B290" s="1" t="s">
        <v>89</v>
      </c>
      <c r="E290" s="1" t="s">
        <v>1521</v>
      </c>
      <c r="F290" s="1" t="s">
        <v>466</v>
      </c>
      <c r="H290" s="1" t="s">
        <v>427</v>
      </c>
      <c r="I290" s="1" t="s">
        <v>1516</v>
      </c>
      <c r="J290" s="37" t="s">
        <v>1484</v>
      </c>
      <c r="K290" s="1" t="s">
        <v>1175</v>
      </c>
    </row>
    <row r="291" spans="1:11" x14ac:dyDescent="0.3">
      <c r="A291" s="1">
        <v>314</v>
      </c>
      <c r="B291" s="1" t="s">
        <v>89</v>
      </c>
      <c r="E291" s="1" t="s">
        <v>1546</v>
      </c>
      <c r="F291" s="1" t="s">
        <v>981</v>
      </c>
      <c r="H291" s="1" t="s">
        <v>427</v>
      </c>
      <c r="I291" s="1" t="s">
        <v>1540</v>
      </c>
      <c r="J291" s="37" t="s">
        <v>1484</v>
      </c>
      <c r="K291" s="1" t="s">
        <v>1175</v>
      </c>
    </row>
    <row r="292" spans="1:11" x14ac:dyDescent="0.3">
      <c r="A292" s="1">
        <v>315</v>
      </c>
      <c r="B292" s="1" t="s">
        <v>89</v>
      </c>
      <c r="E292" s="1" t="s">
        <v>1568</v>
      </c>
      <c r="F292" s="1" t="s">
        <v>633</v>
      </c>
      <c r="H292" s="1" t="s">
        <v>427</v>
      </c>
      <c r="I292" s="1" t="s">
        <v>1158</v>
      </c>
      <c r="J292" s="37" t="s">
        <v>1591</v>
      </c>
      <c r="K292" s="1" t="s">
        <v>1175</v>
      </c>
    </row>
    <row r="293" spans="1:11" x14ac:dyDescent="0.3">
      <c r="A293" s="1">
        <v>316</v>
      </c>
      <c r="B293" s="1" t="s">
        <v>90</v>
      </c>
      <c r="E293" s="1" t="s">
        <v>1568</v>
      </c>
      <c r="F293" s="1" t="s">
        <v>633</v>
      </c>
      <c r="H293" s="1" t="s">
        <v>1564</v>
      </c>
      <c r="J293" s="37" t="s">
        <v>1467</v>
      </c>
      <c r="K293" s="1" t="s">
        <v>1175</v>
      </c>
    </row>
    <row r="294" spans="1:11" x14ac:dyDescent="0.3">
      <c r="A294" s="1">
        <v>317</v>
      </c>
      <c r="B294" s="1" t="s">
        <v>89</v>
      </c>
      <c r="E294" s="1" t="s">
        <v>1580</v>
      </c>
      <c r="F294" s="1" t="s">
        <v>423</v>
      </c>
      <c r="H294" s="1" t="s">
        <v>423</v>
      </c>
      <c r="I294" s="1" t="s">
        <v>934</v>
      </c>
      <c r="J294" s="37" t="s">
        <v>1589</v>
      </c>
      <c r="K294" s="1" t="s">
        <v>1175</v>
      </c>
    </row>
    <row r="295" spans="1:11" ht="28.8" x14ac:dyDescent="0.3">
      <c r="A295" s="1">
        <v>318</v>
      </c>
      <c r="B295" s="1" t="s">
        <v>288</v>
      </c>
      <c r="E295" s="1" t="s">
        <v>1586</v>
      </c>
      <c r="F295" s="1" t="s">
        <v>423</v>
      </c>
      <c r="H295" s="1" t="s">
        <v>734</v>
      </c>
      <c r="J295" s="37" t="s">
        <v>1592</v>
      </c>
      <c r="K295" s="1" t="s">
        <v>1175</v>
      </c>
    </row>
    <row r="296" spans="1:11" ht="28.8" x14ac:dyDescent="0.3">
      <c r="A296" s="1">
        <v>319</v>
      </c>
      <c r="B296" s="1" t="s">
        <v>289</v>
      </c>
      <c r="E296" s="1" t="s">
        <v>1586</v>
      </c>
      <c r="F296" s="1" t="s">
        <v>423</v>
      </c>
      <c r="H296" s="1" t="s">
        <v>433</v>
      </c>
      <c r="J296" s="37" t="s">
        <v>1592</v>
      </c>
      <c r="K296" s="1" t="s">
        <v>1175</v>
      </c>
    </row>
    <row r="297" spans="1:11" ht="28.8" x14ac:dyDescent="0.3">
      <c r="A297" s="1">
        <v>320</v>
      </c>
      <c r="B297" s="1" t="s">
        <v>290</v>
      </c>
      <c r="E297" s="1" t="s">
        <v>1586</v>
      </c>
      <c r="F297" s="1" t="s">
        <v>423</v>
      </c>
      <c r="H297" s="1" t="s">
        <v>433</v>
      </c>
      <c r="J297" s="37" t="s">
        <v>1592</v>
      </c>
      <c r="K297" s="1" t="s">
        <v>1175</v>
      </c>
    </row>
    <row r="298" spans="1:11" ht="28.8" x14ac:dyDescent="0.3">
      <c r="A298" s="1">
        <v>321</v>
      </c>
      <c r="B298" s="1" t="s">
        <v>291</v>
      </c>
      <c r="E298" s="1" t="s">
        <v>1586</v>
      </c>
      <c r="F298" s="1" t="s">
        <v>423</v>
      </c>
      <c r="H298" s="1" t="s">
        <v>432</v>
      </c>
      <c r="J298" s="37" t="s">
        <v>1592</v>
      </c>
      <c r="K298" s="1" t="s">
        <v>1175</v>
      </c>
    </row>
    <row r="299" spans="1:11" ht="28.8" x14ac:dyDescent="0.3">
      <c r="A299" s="1">
        <v>322</v>
      </c>
      <c r="B299" s="1" t="s">
        <v>292</v>
      </c>
      <c r="E299" s="1" t="s">
        <v>1586</v>
      </c>
      <c r="F299" s="1" t="s">
        <v>423</v>
      </c>
      <c r="H299" s="1" t="s">
        <v>433</v>
      </c>
      <c r="J299" s="37" t="s">
        <v>1592</v>
      </c>
      <c r="K299" s="1" t="s">
        <v>1175</v>
      </c>
    </row>
    <row r="300" spans="1:11" ht="28.8" x14ac:dyDescent="0.3">
      <c r="A300" s="1">
        <v>323</v>
      </c>
      <c r="B300" s="1" t="s">
        <v>293</v>
      </c>
      <c r="E300" s="1" t="s">
        <v>1586</v>
      </c>
      <c r="F300" s="1" t="s">
        <v>423</v>
      </c>
      <c r="H300" s="1" t="s">
        <v>432</v>
      </c>
      <c r="J300" s="37" t="s">
        <v>1592</v>
      </c>
      <c r="K300" s="1" t="s">
        <v>1175</v>
      </c>
    </row>
    <row r="301" spans="1:11" ht="28.8" x14ac:dyDescent="0.3">
      <c r="A301" s="1">
        <v>324</v>
      </c>
      <c r="B301" s="1" t="s">
        <v>294</v>
      </c>
      <c r="E301" s="1" t="s">
        <v>1586</v>
      </c>
      <c r="F301" s="1" t="s">
        <v>423</v>
      </c>
      <c r="H301" s="1" t="s">
        <v>432</v>
      </c>
      <c r="J301" s="37" t="s">
        <v>1592</v>
      </c>
      <c r="K301" s="1" t="s">
        <v>1175</v>
      </c>
    </row>
    <row r="302" spans="1:11" x14ac:dyDescent="0.3">
      <c r="A302" s="1">
        <v>325</v>
      </c>
      <c r="B302" s="1" t="s">
        <v>410</v>
      </c>
      <c r="E302" s="1" t="s">
        <v>1513</v>
      </c>
      <c r="F302" s="1" t="s">
        <v>1337</v>
      </c>
      <c r="H302" s="1" t="s">
        <v>816</v>
      </c>
      <c r="J302" s="37" t="s">
        <v>1424</v>
      </c>
      <c r="K302" s="1" t="s">
        <v>1175</v>
      </c>
    </row>
    <row r="303" spans="1:11" x14ac:dyDescent="0.3">
      <c r="A303" s="1">
        <v>326</v>
      </c>
      <c r="B303" s="1" t="s">
        <v>220</v>
      </c>
      <c r="E303" s="1" t="s">
        <v>1225</v>
      </c>
      <c r="F303" s="1" t="s">
        <v>466</v>
      </c>
      <c r="H303" s="1" t="s">
        <v>1221</v>
      </c>
      <c r="J303" s="37" t="s">
        <v>1606</v>
      </c>
      <c r="K303" s="1" t="s">
        <v>1175</v>
      </c>
    </row>
    <row r="304" spans="1:11" x14ac:dyDescent="0.3">
      <c r="A304" s="1">
        <v>327</v>
      </c>
      <c r="B304" s="1" t="s">
        <v>220</v>
      </c>
      <c r="E304" s="1" t="s">
        <v>1392</v>
      </c>
      <c r="F304" s="1" t="s">
        <v>1337</v>
      </c>
      <c r="H304" s="1" t="s">
        <v>1385</v>
      </c>
      <c r="J304" s="37" t="s">
        <v>1606</v>
      </c>
      <c r="K304" s="1" t="s">
        <v>1175</v>
      </c>
    </row>
    <row r="305" spans="1:11" x14ac:dyDescent="0.3">
      <c r="A305" s="1">
        <v>328</v>
      </c>
      <c r="B305" s="1" t="s">
        <v>220</v>
      </c>
      <c r="E305" s="1" t="s">
        <v>1350</v>
      </c>
      <c r="F305" s="1" t="s">
        <v>1337</v>
      </c>
      <c r="H305" s="1" t="s">
        <v>1343</v>
      </c>
      <c r="J305" s="37" t="s">
        <v>1606</v>
      </c>
      <c r="K305" s="1" t="s">
        <v>1175</v>
      </c>
    </row>
    <row r="306" spans="1:11" x14ac:dyDescent="0.3">
      <c r="A306" s="1">
        <v>329</v>
      </c>
      <c r="B306" s="1" t="s">
        <v>218</v>
      </c>
      <c r="E306" s="1" t="s">
        <v>1225</v>
      </c>
      <c r="F306" s="1" t="s">
        <v>466</v>
      </c>
      <c r="H306" s="1" t="s">
        <v>433</v>
      </c>
      <c r="I306" s="1">
        <v>0</v>
      </c>
      <c r="J306" s="37" t="s">
        <v>1606</v>
      </c>
      <c r="K306" s="1" t="s">
        <v>1175</v>
      </c>
    </row>
    <row r="307" spans="1:11" x14ac:dyDescent="0.3">
      <c r="A307" s="1">
        <v>330</v>
      </c>
      <c r="B307" s="1" t="s">
        <v>218</v>
      </c>
      <c r="E307" s="1" t="s">
        <v>1392</v>
      </c>
      <c r="F307" s="1" t="s">
        <v>1337</v>
      </c>
      <c r="H307" s="1" t="s">
        <v>433</v>
      </c>
      <c r="I307" s="1">
        <v>0</v>
      </c>
      <c r="J307" s="37" t="s">
        <v>1606</v>
      </c>
      <c r="K307" s="1" t="s">
        <v>1175</v>
      </c>
    </row>
    <row r="308" spans="1:11" x14ac:dyDescent="0.3">
      <c r="A308" s="1">
        <v>331</v>
      </c>
      <c r="B308" s="1" t="s">
        <v>218</v>
      </c>
      <c r="E308" s="1" t="s">
        <v>1350</v>
      </c>
      <c r="F308" s="1" t="s">
        <v>1337</v>
      </c>
      <c r="H308" s="1" t="s">
        <v>433</v>
      </c>
      <c r="I308" s="1">
        <v>0</v>
      </c>
      <c r="J308" s="37" t="s">
        <v>1606</v>
      </c>
      <c r="K308" s="1" t="s">
        <v>1175</v>
      </c>
    </row>
    <row r="309" spans="1:11" x14ac:dyDescent="0.3">
      <c r="A309" s="1">
        <v>332</v>
      </c>
      <c r="B309" s="1" t="s">
        <v>210</v>
      </c>
      <c r="E309" s="1" t="s">
        <v>1225</v>
      </c>
      <c r="F309" s="1" t="s">
        <v>466</v>
      </c>
      <c r="H309" s="1" t="s">
        <v>1220</v>
      </c>
      <c r="I309" s="1" t="s">
        <v>551</v>
      </c>
      <c r="J309" s="37" t="s">
        <v>1607</v>
      </c>
      <c r="K309" s="1" t="s">
        <v>1175</v>
      </c>
    </row>
    <row r="310" spans="1:11" x14ac:dyDescent="0.3">
      <c r="A310" s="1">
        <v>333</v>
      </c>
      <c r="B310" s="1" t="s">
        <v>217</v>
      </c>
      <c r="E310" s="1" t="s">
        <v>1392</v>
      </c>
      <c r="F310" s="1" t="s">
        <v>1337</v>
      </c>
      <c r="H310" s="1" t="s">
        <v>432</v>
      </c>
      <c r="I310" s="1">
        <v>1</v>
      </c>
      <c r="J310" s="37" t="s">
        <v>1608</v>
      </c>
      <c r="K310" s="1" t="s">
        <v>1175</v>
      </c>
    </row>
    <row r="311" spans="1:11" x14ac:dyDescent="0.3">
      <c r="A311" s="1">
        <v>334</v>
      </c>
      <c r="B311" s="1" t="s">
        <v>210</v>
      </c>
      <c r="E311" s="1" t="s">
        <v>1392</v>
      </c>
      <c r="F311" s="1" t="s">
        <v>1337</v>
      </c>
      <c r="H311" s="1" t="s">
        <v>544</v>
      </c>
      <c r="I311" s="1" t="s">
        <v>1080</v>
      </c>
      <c r="J311" s="37" t="s">
        <v>1606</v>
      </c>
      <c r="K311" s="1" t="s">
        <v>1175</v>
      </c>
    </row>
    <row r="312" spans="1:11" x14ac:dyDescent="0.3">
      <c r="A312" s="1">
        <v>335</v>
      </c>
      <c r="B312" s="1" t="s">
        <v>210</v>
      </c>
      <c r="E312" s="1" t="s">
        <v>1350</v>
      </c>
      <c r="F312" s="1" t="s">
        <v>1337</v>
      </c>
      <c r="H312" s="1" t="s">
        <v>1220</v>
      </c>
      <c r="I312" s="1" t="s">
        <v>551</v>
      </c>
      <c r="J312" s="37" t="s">
        <v>1609</v>
      </c>
      <c r="K312" s="1" t="s">
        <v>1175</v>
      </c>
    </row>
    <row r="313" spans="1:11" x14ac:dyDescent="0.3">
      <c r="A313" s="1">
        <v>336</v>
      </c>
      <c r="B313" s="1" t="s">
        <v>250</v>
      </c>
      <c r="E313" s="1" t="s">
        <v>1402</v>
      </c>
      <c r="F313" s="1" t="s">
        <v>1126</v>
      </c>
      <c r="H313" s="1" t="s">
        <v>1397</v>
      </c>
      <c r="J313" s="37" t="s">
        <v>1606</v>
      </c>
      <c r="K313" s="1" t="s">
        <v>1175</v>
      </c>
    </row>
    <row r="314" spans="1:11" x14ac:dyDescent="0.3">
      <c r="A314" s="1">
        <v>337</v>
      </c>
      <c r="B314" s="1" t="s">
        <v>248</v>
      </c>
      <c r="E314" s="1" t="s">
        <v>1402</v>
      </c>
      <c r="F314" s="1" t="s">
        <v>1126</v>
      </c>
      <c r="H314" s="1" t="s">
        <v>433</v>
      </c>
      <c r="I314" s="1">
        <v>0</v>
      </c>
      <c r="J314" s="37" t="s">
        <v>1606</v>
      </c>
      <c r="K314" s="1" t="s">
        <v>1175</v>
      </c>
    </row>
    <row r="315" spans="1:11" x14ac:dyDescent="0.3">
      <c r="A315" s="1">
        <v>338</v>
      </c>
      <c r="B315" s="1" t="s">
        <v>240</v>
      </c>
      <c r="E315" s="1" t="s">
        <v>1402</v>
      </c>
      <c r="F315" s="1" t="s">
        <v>1126</v>
      </c>
      <c r="H315" s="1" t="s">
        <v>432</v>
      </c>
      <c r="I315" s="1">
        <v>1</v>
      </c>
      <c r="J315" s="37" t="s">
        <v>1611</v>
      </c>
      <c r="K315" s="1" t="s">
        <v>1175</v>
      </c>
    </row>
    <row r="316" spans="1:11" x14ac:dyDescent="0.3">
      <c r="A316" s="1">
        <v>339</v>
      </c>
      <c r="B316" s="1" t="s">
        <v>235</v>
      </c>
      <c r="E316" s="1" t="s">
        <v>1402</v>
      </c>
      <c r="F316" s="1" t="s">
        <v>1126</v>
      </c>
      <c r="H316" s="1" t="s">
        <v>544</v>
      </c>
      <c r="I316" s="1" t="s">
        <v>1069</v>
      </c>
      <c r="J316" s="37" t="s">
        <v>1611</v>
      </c>
      <c r="K316" s="1" t="s">
        <v>1175</v>
      </c>
    </row>
    <row r="317" spans="1:11" x14ac:dyDescent="0.3">
      <c r="A317" s="1">
        <v>340</v>
      </c>
      <c r="B317" s="1" t="s">
        <v>295</v>
      </c>
      <c r="E317" s="1" t="s">
        <v>1392</v>
      </c>
      <c r="F317" s="1" t="s">
        <v>1337</v>
      </c>
      <c r="H317" s="1" t="s">
        <v>1388</v>
      </c>
      <c r="I317" s="1" t="s">
        <v>1616</v>
      </c>
      <c r="J317" s="37" t="s">
        <v>1174</v>
      </c>
      <c r="K317" s="1" t="s">
        <v>1175</v>
      </c>
    </row>
    <row r="318" spans="1:11" x14ac:dyDescent="0.3">
      <c r="A318" s="1">
        <v>341</v>
      </c>
      <c r="B318" s="1" t="s">
        <v>295</v>
      </c>
      <c r="E318" s="1" t="s">
        <v>1042</v>
      </c>
      <c r="F318" s="1" t="s">
        <v>423</v>
      </c>
      <c r="H318" s="1" t="s">
        <v>1039</v>
      </c>
      <c r="I318" s="1" t="s">
        <v>1617</v>
      </c>
      <c r="J318" s="37" t="s">
        <v>1618</v>
      </c>
      <c r="K318" s="1" t="s">
        <v>1175</v>
      </c>
    </row>
    <row r="319" spans="1:11" x14ac:dyDescent="0.3">
      <c r="A319" s="1">
        <v>342</v>
      </c>
      <c r="B319" s="1" t="s">
        <v>295</v>
      </c>
      <c r="E319" s="1" t="s">
        <v>1402</v>
      </c>
      <c r="F319" s="1" t="s">
        <v>1126</v>
      </c>
      <c r="H319" s="1" t="s">
        <v>1398</v>
      </c>
      <c r="I319" s="1" t="s">
        <v>1617</v>
      </c>
      <c r="J319" s="37" t="s">
        <v>1618</v>
      </c>
      <c r="K319" s="1" t="s">
        <v>1175</v>
      </c>
    </row>
    <row r="320" spans="1:11" x14ac:dyDescent="0.3">
      <c r="A320" s="1">
        <v>343</v>
      </c>
      <c r="B320" s="1" t="s">
        <v>295</v>
      </c>
      <c r="E320" s="1" t="s">
        <v>1364</v>
      </c>
      <c r="F320" s="1" t="s">
        <v>1320</v>
      </c>
      <c r="H320" s="1" t="s">
        <v>1358</v>
      </c>
      <c r="I320" s="1" t="s">
        <v>1617</v>
      </c>
      <c r="J320" s="37" t="s">
        <v>1618</v>
      </c>
      <c r="K320" s="1" t="s">
        <v>1175</v>
      </c>
    </row>
    <row r="321" spans="1:11" x14ac:dyDescent="0.3">
      <c r="A321" s="1">
        <v>344</v>
      </c>
      <c r="B321" s="1" t="s">
        <v>295</v>
      </c>
      <c r="E321" s="1" t="s">
        <v>1417</v>
      </c>
      <c r="F321" s="1" t="s">
        <v>1320</v>
      </c>
      <c r="H321" s="1" t="s">
        <v>1415</v>
      </c>
      <c r="I321" s="1" t="s">
        <v>1617</v>
      </c>
      <c r="J321" s="37" t="s">
        <v>1618</v>
      </c>
      <c r="K321" s="1" t="s">
        <v>1175</v>
      </c>
    </row>
    <row r="322" spans="1:11" x14ac:dyDescent="0.3">
      <c r="A322" s="1">
        <v>345</v>
      </c>
      <c r="B322" s="1" t="s">
        <v>295</v>
      </c>
      <c r="E322" s="1" t="s">
        <v>1326</v>
      </c>
      <c r="F322" s="1" t="s">
        <v>1320</v>
      </c>
      <c r="H322" s="1" t="s">
        <v>1323</v>
      </c>
      <c r="I322" s="1" t="s">
        <v>1617</v>
      </c>
      <c r="J322" s="37" t="s">
        <v>1618</v>
      </c>
      <c r="K322" s="1" t="s">
        <v>1175</v>
      </c>
    </row>
    <row r="323" spans="1:11" x14ac:dyDescent="0.3">
      <c r="A323" s="1">
        <v>346</v>
      </c>
      <c r="B323" s="1" t="s">
        <v>295</v>
      </c>
      <c r="E323" s="1" t="s">
        <v>1299</v>
      </c>
      <c r="F323" s="1" t="s">
        <v>1126</v>
      </c>
      <c r="H323" s="1" t="s">
        <v>1295</v>
      </c>
      <c r="I323" s="1" t="s">
        <v>1617</v>
      </c>
      <c r="J323" s="37" t="s">
        <v>1618</v>
      </c>
      <c r="K323" s="1" t="s">
        <v>1175</v>
      </c>
    </row>
    <row r="324" spans="1:11" x14ac:dyDescent="0.3">
      <c r="A324" s="1">
        <v>347</v>
      </c>
      <c r="B324" s="1" t="s">
        <v>129</v>
      </c>
      <c r="E324" s="1" t="s">
        <v>564</v>
      </c>
      <c r="F324" s="1" t="s">
        <v>466</v>
      </c>
      <c r="H324" s="1" t="s">
        <v>545</v>
      </c>
      <c r="J324" s="37" t="s">
        <v>1606</v>
      </c>
      <c r="K324" s="1" t="s">
        <v>1175</v>
      </c>
    </row>
    <row r="325" spans="1:11" x14ac:dyDescent="0.3">
      <c r="A325" s="1">
        <v>348</v>
      </c>
      <c r="B325" s="1" t="s">
        <v>126</v>
      </c>
      <c r="E325" s="1" t="s">
        <v>564</v>
      </c>
      <c r="F325" s="1" t="s">
        <v>466</v>
      </c>
      <c r="H325" s="1" t="s">
        <v>433</v>
      </c>
      <c r="I325" s="1">
        <v>0</v>
      </c>
      <c r="J325" s="37" t="s">
        <v>1606</v>
      </c>
      <c r="K325" s="1" t="s">
        <v>1175</v>
      </c>
    </row>
    <row r="326" spans="1:11" x14ac:dyDescent="0.3">
      <c r="A326" s="1">
        <v>349</v>
      </c>
      <c r="B326" s="1" t="s">
        <v>118</v>
      </c>
      <c r="E326" s="1" t="s">
        <v>564</v>
      </c>
      <c r="F326" s="1" t="s">
        <v>466</v>
      </c>
      <c r="H326" s="1" t="s">
        <v>432</v>
      </c>
      <c r="I326" s="1">
        <v>1</v>
      </c>
      <c r="J326" s="37" t="s">
        <v>1427</v>
      </c>
      <c r="K326" s="1" t="s">
        <v>1175</v>
      </c>
    </row>
    <row r="327" spans="1:11" x14ac:dyDescent="0.3">
      <c r="A327" s="1">
        <v>350</v>
      </c>
      <c r="B327" s="1" t="s">
        <v>114</v>
      </c>
      <c r="E327" s="1" t="s">
        <v>564</v>
      </c>
      <c r="F327" s="1" t="s">
        <v>466</v>
      </c>
      <c r="H327" s="1" t="s">
        <v>544</v>
      </c>
      <c r="I327" s="1" t="s">
        <v>1623</v>
      </c>
      <c r="J327" s="37" t="s">
        <v>1624</v>
      </c>
      <c r="K327" s="1" t="s">
        <v>1175</v>
      </c>
    </row>
    <row r="328" spans="1:11" ht="28.8" x14ac:dyDescent="0.3">
      <c r="A328" s="1">
        <v>351</v>
      </c>
      <c r="B328" s="1" t="s">
        <v>276</v>
      </c>
      <c r="E328" s="1" t="s">
        <v>1536</v>
      </c>
      <c r="F328" s="1" t="s">
        <v>633</v>
      </c>
      <c r="H328" s="1" t="s">
        <v>597</v>
      </c>
      <c r="J328" s="37" t="s">
        <v>1625</v>
      </c>
      <c r="K328" s="1" t="s">
        <v>1175</v>
      </c>
    </row>
    <row r="329" spans="1:11" ht="28.8" x14ac:dyDescent="0.3">
      <c r="A329" s="1">
        <v>352</v>
      </c>
      <c r="B329" s="1" t="s">
        <v>277</v>
      </c>
      <c r="E329" s="1" t="s">
        <v>1536</v>
      </c>
      <c r="F329" s="1" t="s">
        <v>633</v>
      </c>
      <c r="H329" s="1" t="s">
        <v>597</v>
      </c>
      <c r="J329" s="37" t="s">
        <v>1625</v>
      </c>
      <c r="K329" s="1" t="s">
        <v>1175</v>
      </c>
    </row>
    <row r="330" spans="1:11" ht="28.8" x14ac:dyDescent="0.3">
      <c r="A330" s="1">
        <v>353</v>
      </c>
      <c r="B330" s="1" t="s">
        <v>276</v>
      </c>
      <c r="E330" s="1" t="s">
        <v>1333</v>
      </c>
      <c r="F330" s="1" t="s">
        <v>1320</v>
      </c>
      <c r="H330" s="1" t="s">
        <v>597</v>
      </c>
      <c r="J330" s="37" t="s">
        <v>1625</v>
      </c>
      <c r="K330" s="1" t="s">
        <v>1175</v>
      </c>
    </row>
    <row r="331" spans="1:11" ht="28.8" x14ac:dyDescent="0.3">
      <c r="A331" s="1">
        <v>354</v>
      </c>
      <c r="B331" s="1" t="s">
        <v>277</v>
      </c>
      <c r="E331" s="1" t="s">
        <v>1333</v>
      </c>
      <c r="F331" s="1" t="s">
        <v>1320</v>
      </c>
      <c r="H331" s="1" t="s">
        <v>597</v>
      </c>
      <c r="J331" s="37" t="s">
        <v>1625</v>
      </c>
      <c r="K331" s="1" t="s">
        <v>1175</v>
      </c>
    </row>
    <row r="332" spans="1:11" ht="28.8" x14ac:dyDescent="0.3">
      <c r="A332" s="1">
        <v>355</v>
      </c>
      <c r="B332" s="1" t="s">
        <v>276</v>
      </c>
      <c r="E332" s="1" t="s">
        <v>1529</v>
      </c>
      <c r="F332" s="1" t="s">
        <v>633</v>
      </c>
      <c r="H332" s="1" t="s">
        <v>456</v>
      </c>
      <c r="J332" s="37" t="s">
        <v>1625</v>
      </c>
      <c r="K332" s="1" t="s">
        <v>1175</v>
      </c>
    </row>
    <row r="333" spans="1:11" ht="28.8" x14ac:dyDescent="0.3">
      <c r="A333" s="1">
        <v>356</v>
      </c>
      <c r="B333" s="1" t="s">
        <v>277</v>
      </c>
      <c r="E333" s="1" t="s">
        <v>1529</v>
      </c>
      <c r="F333" s="1" t="s">
        <v>633</v>
      </c>
      <c r="H333" s="1" t="s">
        <v>456</v>
      </c>
      <c r="J333" s="37" t="s">
        <v>1625</v>
      </c>
      <c r="K333" s="1" t="s">
        <v>1175</v>
      </c>
    </row>
    <row r="334" spans="1:11" ht="28.8" x14ac:dyDescent="0.3">
      <c r="A334" s="1">
        <v>357</v>
      </c>
      <c r="B334" s="1" t="s">
        <v>276</v>
      </c>
      <c r="E334" s="1" t="s">
        <v>538</v>
      </c>
      <c r="F334" s="1" t="s">
        <v>423</v>
      </c>
      <c r="H334" s="1" t="s">
        <v>481</v>
      </c>
      <c r="J334" s="37" t="s">
        <v>1625</v>
      </c>
      <c r="K334" s="1" t="s">
        <v>1175</v>
      </c>
    </row>
    <row r="335" spans="1:11" ht="28.8" x14ac:dyDescent="0.3">
      <c r="A335" s="1">
        <v>358</v>
      </c>
      <c r="B335" s="1" t="s">
        <v>277</v>
      </c>
      <c r="E335" s="1" t="s">
        <v>538</v>
      </c>
      <c r="F335" s="1" t="s">
        <v>423</v>
      </c>
      <c r="H335" s="1" t="s">
        <v>481</v>
      </c>
      <c r="J335" s="37" t="s">
        <v>1625</v>
      </c>
      <c r="K335" s="1" t="s">
        <v>1175</v>
      </c>
    </row>
    <row r="336" spans="1:11" ht="28.8" x14ac:dyDescent="0.3">
      <c r="A336" s="1">
        <v>359</v>
      </c>
      <c r="B336" s="1" t="s">
        <v>276</v>
      </c>
      <c r="E336" s="1" t="s">
        <v>1013</v>
      </c>
      <c r="F336" s="1" t="s">
        <v>981</v>
      </c>
      <c r="H336" s="1" t="s">
        <v>442</v>
      </c>
      <c r="J336" s="37" t="s">
        <v>1625</v>
      </c>
      <c r="K336" s="1" t="s">
        <v>1175</v>
      </c>
    </row>
    <row r="337" spans="1:11" ht="28.8" x14ac:dyDescent="0.3">
      <c r="A337" s="1">
        <v>360</v>
      </c>
      <c r="B337" s="1" t="s">
        <v>277</v>
      </c>
      <c r="E337" s="1" t="s">
        <v>1013</v>
      </c>
      <c r="F337" s="1" t="s">
        <v>981</v>
      </c>
      <c r="H337" s="1" t="s">
        <v>442</v>
      </c>
      <c r="J337" s="37" t="s">
        <v>1625</v>
      </c>
      <c r="K337" s="1" t="s">
        <v>1175</v>
      </c>
    </row>
    <row r="338" spans="1:11" ht="28.8" x14ac:dyDescent="0.3">
      <c r="A338" s="1">
        <v>361</v>
      </c>
      <c r="B338" s="1" t="s">
        <v>276</v>
      </c>
      <c r="E338" s="1" t="s">
        <v>959</v>
      </c>
      <c r="F338" s="1" t="s">
        <v>423</v>
      </c>
      <c r="H338" s="1" t="s">
        <v>508</v>
      </c>
      <c r="J338" s="37" t="s">
        <v>1625</v>
      </c>
      <c r="K338" s="1" t="s">
        <v>1175</v>
      </c>
    </row>
    <row r="339" spans="1:11" ht="28.8" x14ac:dyDescent="0.3">
      <c r="A339" s="1">
        <v>362</v>
      </c>
      <c r="B339" s="1" t="s">
        <v>277</v>
      </c>
      <c r="E339" s="1" t="s">
        <v>959</v>
      </c>
      <c r="F339" s="1" t="s">
        <v>423</v>
      </c>
      <c r="H339" s="1" t="s">
        <v>442</v>
      </c>
      <c r="J339" s="37" t="s">
        <v>1625</v>
      </c>
      <c r="K339" s="1" t="s">
        <v>1175</v>
      </c>
    </row>
    <row r="340" spans="1:11" ht="28.8" x14ac:dyDescent="0.3">
      <c r="A340" s="1">
        <v>363</v>
      </c>
      <c r="B340" s="1" t="s">
        <v>276</v>
      </c>
      <c r="E340" s="1" t="s">
        <v>976</v>
      </c>
      <c r="F340" s="1" t="s">
        <v>423</v>
      </c>
      <c r="H340" s="1" t="s">
        <v>442</v>
      </c>
      <c r="J340" s="37" t="s">
        <v>1625</v>
      </c>
      <c r="K340" s="1" t="s">
        <v>1175</v>
      </c>
    </row>
    <row r="341" spans="1:11" ht="28.8" x14ac:dyDescent="0.3">
      <c r="A341" s="1">
        <v>364</v>
      </c>
      <c r="B341" s="1" t="s">
        <v>277</v>
      </c>
      <c r="E341" s="1" t="s">
        <v>976</v>
      </c>
      <c r="F341" s="1" t="s">
        <v>423</v>
      </c>
      <c r="H341" s="1" t="s">
        <v>442</v>
      </c>
      <c r="J341" s="37" t="s">
        <v>1625</v>
      </c>
      <c r="K341" s="1" t="s">
        <v>1175</v>
      </c>
    </row>
    <row r="342" spans="1:11" ht="28.8" x14ac:dyDescent="0.3">
      <c r="A342" s="1">
        <v>365</v>
      </c>
      <c r="B342" s="1" t="s">
        <v>276</v>
      </c>
      <c r="E342" s="1" t="s">
        <v>1029</v>
      </c>
      <c r="F342" s="1" t="s">
        <v>981</v>
      </c>
      <c r="H342" s="1" t="s">
        <v>442</v>
      </c>
      <c r="J342" s="37" t="s">
        <v>1625</v>
      </c>
      <c r="K342" s="1" t="s">
        <v>1175</v>
      </c>
    </row>
    <row r="343" spans="1:11" ht="28.8" x14ac:dyDescent="0.3">
      <c r="A343" s="1">
        <v>366</v>
      </c>
      <c r="B343" s="1" t="s">
        <v>277</v>
      </c>
      <c r="E343" s="1" t="s">
        <v>1029</v>
      </c>
      <c r="F343" s="1" t="s">
        <v>981</v>
      </c>
      <c r="H343" s="1" t="s">
        <v>442</v>
      </c>
      <c r="J343" s="37" t="s">
        <v>1625</v>
      </c>
      <c r="K343" s="1" t="s">
        <v>1175</v>
      </c>
    </row>
    <row r="344" spans="1:11" ht="28.8" x14ac:dyDescent="0.3">
      <c r="A344" s="1">
        <v>367</v>
      </c>
      <c r="B344" s="1" t="s">
        <v>276</v>
      </c>
      <c r="E344" s="1" t="s">
        <v>945</v>
      </c>
      <c r="F344" s="1" t="s">
        <v>423</v>
      </c>
      <c r="H344" s="1" t="s">
        <v>508</v>
      </c>
      <c r="J344" s="37" t="s">
        <v>1625</v>
      </c>
      <c r="K344" s="1" t="s">
        <v>1175</v>
      </c>
    </row>
    <row r="345" spans="1:11" ht="28.8" x14ac:dyDescent="0.3">
      <c r="A345" s="1">
        <v>368</v>
      </c>
      <c r="B345" s="1" t="s">
        <v>277</v>
      </c>
      <c r="E345" s="1" t="s">
        <v>945</v>
      </c>
      <c r="F345" s="1" t="s">
        <v>423</v>
      </c>
      <c r="H345" s="1" t="s">
        <v>508</v>
      </c>
      <c r="J345" s="37" t="s">
        <v>1625</v>
      </c>
      <c r="K345" s="1" t="s">
        <v>1175</v>
      </c>
    </row>
    <row r="346" spans="1:11" ht="28.8" x14ac:dyDescent="0.3">
      <c r="A346" s="1">
        <v>369</v>
      </c>
      <c r="B346" s="1" t="s">
        <v>276</v>
      </c>
      <c r="E346" s="1" t="s">
        <v>930</v>
      </c>
      <c r="F346" s="1" t="s">
        <v>423</v>
      </c>
      <c r="H346" s="1" t="s">
        <v>442</v>
      </c>
      <c r="J346" s="37" t="s">
        <v>1625</v>
      </c>
      <c r="K346" s="1" t="s">
        <v>1175</v>
      </c>
    </row>
    <row r="347" spans="1:11" ht="28.8" x14ac:dyDescent="0.3">
      <c r="A347" s="1">
        <v>370</v>
      </c>
      <c r="B347" s="1" t="s">
        <v>277</v>
      </c>
      <c r="E347" s="1" t="s">
        <v>930</v>
      </c>
      <c r="F347" s="1" t="s">
        <v>423</v>
      </c>
      <c r="H347" s="1" t="s">
        <v>442</v>
      </c>
      <c r="J347" s="37" t="s">
        <v>1625</v>
      </c>
      <c r="K347" s="1" t="s">
        <v>1175</v>
      </c>
    </row>
    <row r="348" spans="1:11" ht="28.8" x14ac:dyDescent="0.3">
      <c r="A348" s="1">
        <v>371</v>
      </c>
      <c r="B348" s="1" t="s">
        <v>278</v>
      </c>
      <c r="E348" s="1" t="s">
        <v>538</v>
      </c>
      <c r="F348" s="1" t="s">
        <v>423</v>
      </c>
      <c r="H348" s="1" t="s">
        <v>530</v>
      </c>
      <c r="J348" s="37" t="s">
        <v>1625</v>
      </c>
      <c r="K348" s="1" t="s">
        <v>1175</v>
      </c>
    </row>
    <row r="349" spans="1:11" ht="28.8" x14ac:dyDescent="0.3">
      <c r="A349" s="1">
        <v>372</v>
      </c>
      <c r="B349" s="1" t="s">
        <v>279</v>
      </c>
      <c r="E349" s="1" t="s">
        <v>538</v>
      </c>
      <c r="F349" s="1" t="s">
        <v>423</v>
      </c>
      <c r="H349" s="1" t="s">
        <v>432</v>
      </c>
      <c r="J349" s="37" t="s">
        <v>1625</v>
      </c>
      <c r="K349" s="1" t="s">
        <v>1175</v>
      </c>
    </row>
    <row r="350" spans="1:11" ht="28.8" x14ac:dyDescent="0.3">
      <c r="A350" s="1">
        <v>373</v>
      </c>
      <c r="B350" s="1" t="s">
        <v>280</v>
      </c>
      <c r="E350" s="1" t="s">
        <v>538</v>
      </c>
      <c r="F350" s="1" t="s">
        <v>423</v>
      </c>
      <c r="H350" s="1" t="s">
        <v>433</v>
      </c>
      <c r="J350" s="37" t="s">
        <v>1625</v>
      </c>
      <c r="K350" s="1" t="s">
        <v>1175</v>
      </c>
    </row>
    <row r="351" spans="1:11" ht="28.8" x14ac:dyDescent="0.3">
      <c r="A351" s="1">
        <v>374</v>
      </c>
      <c r="B351" s="1" t="s">
        <v>281</v>
      </c>
      <c r="E351" s="1" t="s">
        <v>538</v>
      </c>
      <c r="F351" s="1" t="s">
        <v>423</v>
      </c>
      <c r="H351" s="1" t="s">
        <v>432</v>
      </c>
      <c r="J351" s="37" t="s">
        <v>1625</v>
      </c>
      <c r="K351" s="1" t="s">
        <v>1175</v>
      </c>
    </row>
    <row r="352" spans="1:11" ht="28.8" x14ac:dyDescent="0.3">
      <c r="A352" s="1">
        <v>375</v>
      </c>
      <c r="B352" s="1" t="s">
        <v>282</v>
      </c>
      <c r="E352" s="1" t="s">
        <v>538</v>
      </c>
      <c r="F352" s="1" t="s">
        <v>423</v>
      </c>
      <c r="H352" s="1" t="s">
        <v>433</v>
      </c>
      <c r="J352" s="37" t="s">
        <v>1625</v>
      </c>
      <c r="K352" s="1" t="s">
        <v>1175</v>
      </c>
    </row>
    <row r="353" spans="1:11" ht="28.8" x14ac:dyDescent="0.3">
      <c r="A353" s="1">
        <v>376</v>
      </c>
      <c r="B353" s="1" t="s">
        <v>283</v>
      </c>
      <c r="E353" s="1" t="s">
        <v>538</v>
      </c>
      <c r="F353" s="1" t="s">
        <v>423</v>
      </c>
      <c r="H353" s="1" t="s">
        <v>432</v>
      </c>
      <c r="J353" s="37" t="s">
        <v>1625</v>
      </c>
      <c r="K353" s="1" t="s">
        <v>1175</v>
      </c>
    </row>
    <row r="354" spans="1:11" ht="28.8" x14ac:dyDescent="0.3">
      <c r="A354" s="1">
        <v>377</v>
      </c>
      <c r="B354" s="1" t="s">
        <v>284</v>
      </c>
      <c r="E354" s="1" t="s">
        <v>538</v>
      </c>
      <c r="F354" s="1" t="s">
        <v>423</v>
      </c>
      <c r="H354" s="1" t="s">
        <v>433</v>
      </c>
      <c r="J354" s="37" t="s">
        <v>1625</v>
      </c>
      <c r="K354" s="1" t="s">
        <v>1175</v>
      </c>
    </row>
    <row r="355" spans="1:11" ht="28.8" x14ac:dyDescent="0.3">
      <c r="A355" s="1">
        <v>378</v>
      </c>
      <c r="B355" s="1" t="s">
        <v>285</v>
      </c>
      <c r="E355" s="1" t="s">
        <v>538</v>
      </c>
      <c r="F355" s="1" t="s">
        <v>423</v>
      </c>
      <c r="H355" s="1" t="s">
        <v>432</v>
      </c>
      <c r="J355" s="37" t="s">
        <v>1625</v>
      </c>
      <c r="K355" s="1" t="s">
        <v>1175</v>
      </c>
    </row>
    <row r="356" spans="1:11" ht="28.8" x14ac:dyDescent="0.3">
      <c r="A356" s="1">
        <v>379</v>
      </c>
      <c r="B356" s="1" t="s">
        <v>286</v>
      </c>
      <c r="E356" s="1" t="s">
        <v>538</v>
      </c>
      <c r="F356" s="1" t="s">
        <v>423</v>
      </c>
      <c r="H356" s="1" t="s">
        <v>432</v>
      </c>
      <c r="J356" s="37" t="s">
        <v>1625</v>
      </c>
      <c r="K356" s="1" t="s">
        <v>1175</v>
      </c>
    </row>
    <row r="357" spans="1:11" ht="28.8" x14ac:dyDescent="0.3">
      <c r="A357" s="1">
        <v>380</v>
      </c>
      <c r="B357" s="1" t="s">
        <v>278</v>
      </c>
      <c r="E357" s="1" t="s">
        <v>1013</v>
      </c>
      <c r="F357" s="1" t="s">
        <v>981</v>
      </c>
      <c r="H357" s="1" t="s">
        <v>511</v>
      </c>
      <c r="J357" s="37" t="s">
        <v>1625</v>
      </c>
      <c r="K357" s="1" t="s">
        <v>1175</v>
      </c>
    </row>
    <row r="358" spans="1:11" ht="28.8" x14ac:dyDescent="0.3">
      <c r="A358" s="1">
        <v>381</v>
      </c>
      <c r="B358" s="1" t="s">
        <v>279</v>
      </c>
      <c r="E358" s="1" t="s">
        <v>1013</v>
      </c>
      <c r="F358" s="1" t="s">
        <v>981</v>
      </c>
      <c r="H358" s="1" t="s">
        <v>433</v>
      </c>
      <c r="J358" s="37" t="s">
        <v>1625</v>
      </c>
      <c r="K358" s="1" t="s">
        <v>1175</v>
      </c>
    </row>
    <row r="359" spans="1:11" ht="28.8" x14ac:dyDescent="0.3">
      <c r="A359" s="1">
        <v>382</v>
      </c>
      <c r="B359" s="1" t="s">
        <v>280</v>
      </c>
      <c r="E359" s="1" t="s">
        <v>1013</v>
      </c>
      <c r="F359" s="1" t="s">
        <v>981</v>
      </c>
      <c r="H359" s="1" t="s">
        <v>433</v>
      </c>
      <c r="J359" s="37" t="s">
        <v>1625</v>
      </c>
      <c r="K359" s="1" t="s">
        <v>1175</v>
      </c>
    </row>
    <row r="360" spans="1:11" ht="28.8" x14ac:dyDescent="0.3">
      <c r="A360" s="1">
        <v>383</v>
      </c>
      <c r="B360" s="1" t="s">
        <v>281</v>
      </c>
      <c r="E360" s="1" t="s">
        <v>1013</v>
      </c>
      <c r="F360" s="1" t="s">
        <v>981</v>
      </c>
      <c r="H360" s="1" t="s">
        <v>433</v>
      </c>
      <c r="J360" s="37" t="s">
        <v>1625</v>
      </c>
      <c r="K360" s="1" t="s">
        <v>1175</v>
      </c>
    </row>
    <row r="361" spans="1:11" ht="28.8" x14ac:dyDescent="0.3">
      <c r="A361" s="1">
        <v>384</v>
      </c>
      <c r="B361" s="1" t="s">
        <v>282</v>
      </c>
      <c r="E361" s="1" t="s">
        <v>1013</v>
      </c>
      <c r="F361" s="1" t="s">
        <v>981</v>
      </c>
      <c r="H361" s="1" t="s">
        <v>432</v>
      </c>
      <c r="J361" s="37" t="s">
        <v>1625</v>
      </c>
      <c r="K361" s="1" t="s">
        <v>1175</v>
      </c>
    </row>
    <row r="362" spans="1:11" ht="28.8" x14ac:dyDescent="0.3">
      <c r="A362" s="1">
        <v>385</v>
      </c>
      <c r="B362" s="1" t="s">
        <v>283</v>
      </c>
      <c r="E362" s="1" t="s">
        <v>1013</v>
      </c>
      <c r="F362" s="1" t="s">
        <v>981</v>
      </c>
      <c r="H362" s="1" t="s">
        <v>432</v>
      </c>
      <c r="J362" s="37" t="s">
        <v>1625</v>
      </c>
      <c r="K362" s="1" t="s">
        <v>1175</v>
      </c>
    </row>
    <row r="363" spans="1:11" ht="28.8" x14ac:dyDescent="0.3">
      <c r="A363" s="1">
        <v>386</v>
      </c>
      <c r="B363" s="1" t="s">
        <v>284</v>
      </c>
      <c r="E363" s="1" t="s">
        <v>1013</v>
      </c>
      <c r="F363" s="1" t="s">
        <v>981</v>
      </c>
      <c r="H363" s="1" t="s">
        <v>432</v>
      </c>
      <c r="J363" s="37" t="s">
        <v>1625</v>
      </c>
      <c r="K363" s="1" t="s">
        <v>1175</v>
      </c>
    </row>
    <row r="364" spans="1:11" ht="28.8" x14ac:dyDescent="0.3">
      <c r="A364" s="1">
        <v>387</v>
      </c>
      <c r="B364" s="1" t="s">
        <v>285</v>
      </c>
      <c r="E364" s="1" t="s">
        <v>1013</v>
      </c>
      <c r="F364" s="1" t="s">
        <v>981</v>
      </c>
      <c r="H364" s="1" t="s">
        <v>432</v>
      </c>
      <c r="J364" s="37" t="s">
        <v>1625</v>
      </c>
      <c r="K364" s="1" t="s">
        <v>1175</v>
      </c>
    </row>
    <row r="365" spans="1:11" ht="28.8" x14ac:dyDescent="0.3">
      <c r="A365" s="1">
        <v>388</v>
      </c>
      <c r="B365" s="1" t="s">
        <v>286</v>
      </c>
      <c r="E365" s="1" t="s">
        <v>1013</v>
      </c>
      <c r="F365" s="1" t="s">
        <v>981</v>
      </c>
      <c r="H365" s="1" t="s">
        <v>432</v>
      </c>
      <c r="J365" s="37" t="s">
        <v>1625</v>
      </c>
      <c r="K365" s="1" t="s">
        <v>1175</v>
      </c>
    </row>
    <row r="366" spans="1:11" ht="28.8" x14ac:dyDescent="0.3">
      <c r="A366" s="1">
        <v>389</v>
      </c>
      <c r="B366" s="1" t="s">
        <v>278</v>
      </c>
      <c r="E366" s="1" t="s">
        <v>959</v>
      </c>
      <c r="F366" s="1" t="s">
        <v>423</v>
      </c>
      <c r="H366" s="1" t="s">
        <v>755</v>
      </c>
      <c r="J366" s="37" t="s">
        <v>1625</v>
      </c>
      <c r="K366" s="1" t="s">
        <v>1175</v>
      </c>
    </row>
    <row r="367" spans="1:11" ht="28.8" x14ac:dyDescent="0.3">
      <c r="A367" s="1">
        <v>390</v>
      </c>
      <c r="B367" s="1" t="s">
        <v>279</v>
      </c>
      <c r="E367" s="1" t="s">
        <v>959</v>
      </c>
      <c r="F367" s="1" t="s">
        <v>423</v>
      </c>
      <c r="H367" s="1" t="s">
        <v>432</v>
      </c>
      <c r="J367" s="37" t="s">
        <v>1625</v>
      </c>
      <c r="K367" s="1" t="s">
        <v>1175</v>
      </c>
    </row>
    <row r="368" spans="1:11" ht="28.8" x14ac:dyDescent="0.3">
      <c r="A368" s="1">
        <v>391</v>
      </c>
      <c r="B368" s="1" t="s">
        <v>280</v>
      </c>
      <c r="E368" s="1" t="s">
        <v>959</v>
      </c>
      <c r="F368" s="1" t="s">
        <v>423</v>
      </c>
      <c r="H368" s="1" t="s">
        <v>433</v>
      </c>
      <c r="J368" s="37" t="s">
        <v>1625</v>
      </c>
      <c r="K368" s="1" t="s">
        <v>1175</v>
      </c>
    </row>
    <row r="369" spans="1:11" ht="28.8" x14ac:dyDescent="0.3">
      <c r="A369" s="1">
        <v>392</v>
      </c>
      <c r="B369" s="1" t="s">
        <v>281</v>
      </c>
      <c r="E369" s="1" t="s">
        <v>959</v>
      </c>
      <c r="F369" s="1" t="s">
        <v>423</v>
      </c>
      <c r="H369" s="1" t="s">
        <v>433</v>
      </c>
      <c r="J369" s="37" t="s">
        <v>1625</v>
      </c>
      <c r="K369" s="1" t="s">
        <v>1175</v>
      </c>
    </row>
    <row r="370" spans="1:11" ht="28.8" x14ac:dyDescent="0.3">
      <c r="A370" s="1">
        <v>393</v>
      </c>
      <c r="B370" s="1" t="s">
        <v>282</v>
      </c>
      <c r="E370" s="1" t="s">
        <v>959</v>
      </c>
      <c r="F370" s="1" t="s">
        <v>423</v>
      </c>
      <c r="H370" s="1" t="s">
        <v>433</v>
      </c>
      <c r="J370" s="37" t="s">
        <v>1625</v>
      </c>
      <c r="K370" s="1" t="s">
        <v>1175</v>
      </c>
    </row>
    <row r="371" spans="1:11" ht="28.8" x14ac:dyDescent="0.3">
      <c r="A371" s="1">
        <v>394</v>
      </c>
      <c r="B371" s="1" t="s">
        <v>283</v>
      </c>
      <c r="E371" s="1" t="s">
        <v>959</v>
      </c>
      <c r="F371" s="1" t="s">
        <v>423</v>
      </c>
      <c r="H371" s="1" t="s">
        <v>432</v>
      </c>
      <c r="J371" s="37" t="s">
        <v>1625</v>
      </c>
      <c r="K371" s="1" t="s">
        <v>1175</v>
      </c>
    </row>
    <row r="372" spans="1:11" ht="28.8" x14ac:dyDescent="0.3">
      <c r="A372" s="1">
        <v>395</v>
      </c>
      <c r="B372" s="1" t="s">
        <v>284</v>
      </c>
      <c r="E372" s="1" t="s">
        <v>959</v>
      </c>
      <c r="F372" s="1" t="s">
        <v>423</v>
      </c>
      <c r="H372" s="1" t="s">
        <v>432</v>
      </c>
      <c r="J372" s="37" t="s">
        <v>1625</v>
      </c>
      <c r="K372" s="1" t="s">
        <v>1175</v>
      </c>
    </row>
    <row r="373" spans="1:11" ht="28.8" x14ac:dyDescent="0.3">
      <c r="A373" s="1">
        <v>396</v>
      </c>
      <c r="B373" s="1" t="s">
        <v>285</v>
      </c>
      <c r="E373" s="1" t="s">
        <v>959</v>
      </c>
      <c r="F373" s="1" t="s">
        <v>423</v>
      </c>
      <c r="H373" s="1" t="s">
        <v>432</v>
      </c>
      <c r="J373" s="37" t="s">
        <v>1625</v>
      </c>
      <c r="K373" s="1" t="s">
        <v>1175</v>
      </c>
    </row>
    <row r="374" spans="1:11" ht="28.8" x14ac:dyDescent="0.3">
      <c r="A374" s="1">
        <v>397</v>
      </c>
      <c r="B374" s="1" t="s">
        <v>286</v>
      </c>
      <c r="E374" s="1" t="s">
        <v>959</v>
      </c>
      <c r="F374" s="1" t="s">
        <v>423</v>
      </c>
      <c r="H374" s="1" t="s">
        <v>432</v>
      </c>
      <c r="J374" s="37" t="s">
        <v>1625</v>
      </c>
      <c r="K374" s="1" t="s">
        <v>1175</v>
      </c>
    </row>
    <row r="375" spans="1:11" ht="28.8" x14ac:dyDescent="0.3">
      <c r="A375" s="1">
        <v>398</v>
      </c>
      <c r="B375" s="1" t="s">
        <v>278</v>
      </c>
      <c r="E375" s="1" t="s">
        <v>976</v>
      </c>
      <c r="F375" s="1" t="s">
        <v>423</v>
      </c>
      <c r="H375" s="1" t="s">
        <v>755</v>
      </c>
      <c r="J375" s="37" t="s">
        <v>1625</v>
      </c>
      <c r="K375" s="1" t="s">
        <v>1175</v>
      </c>
    </row>
    <row r="376" spans="1:11" ht="28.8" x14ac:dyDescent="0.3">
      <c r="A376" s="1">
        <v>399</v>
      </c>
      <c r="B376" s="1" t="s">
        <v>279</v>
      </c>
      <c r="E376" s="1" t="s">
        <v>976</v>
      </c>
      <c r="F376" s="1" t="s">
        <v>423</v>
      </c>
      <c r="H376" s="1" t="s">
        <v>432</v>
      </c>
      <c r="J376" s="37" t="s">
        <v>1625</v>
      </c>
      <c r="K376" s="1" t="s">
        <v>1175</v>
      </c>
    </row>
    <row r="377" spans="1:11" ht="28.8" x14ac:dyDescent="0.3">
      <c r="A377" s="1">
        <v>400</v>
      </c>
      <c r="B377" s="1" t="s">
        <v>280</v>
      </c>
      <c r="E377" s="1" t="s">
        <v>976</v>
      </c>
      <c r="F377" s="1" t="s">
        <v>423</v>
      </c>
      <c r="H377" s="1" t="s">
        <v>433</v>
      </c>
      <c r="J377" s="37" t="s">
        <v>1625</v>
      </c>
      <c r="K377" s="1" t="s">
        <v>1175</v>
      </c>
    </row>
    <row r="378" spans="1:11" ht="28.8" x14ac:dyDescent="0.3">
      <c r="A378" s="1">
        <v>401</v>
      </c>
      <c r="B378" s="1" t="s">
        <v>281</v>
      </c>
      <c r="E378" s="1" t="s">
        <v>976</v>
      </c>
      <c r="F378" s="1" t="s">
        <v>423</v>
      </c>
      <c r="H378" s="1" t="s">
        <v>433</v>
      </c>
      <c r="J378" s="37" t="s">
        <v>1625</v>
      </c>
      <c r="K378" s="1" t="s">
        <v>1175</v>
      </c>
    </row>
    <row r="379" spans="1:11" ht="28.8" x14ac:dyDescent="0.3">
      <c r="A379" s="1">
        <v>402</v>
      </c>
      <c r="B379" s="1" t="s">
        <v>282</v>
      </c>
      <c r="E379" s="1" t="s">
        <v>976</v>
      </c>
      <c r="F379" s="1" t="s">
        <v>423</v>
      </c>
      <c r="H379" s="1" t="s">
        <v>433</v>
      </c>
      <c r="J379" s="37" t="s">
        <v>1625</v>
      </c>
      <c r="K379" s="1" t="s">
        <v>1175</v>
      </c>
    </row>
    <row r="380" spans="1:11" ht="28.8" x14ac:dyDescent="0.3">
      <c r="A380" s="1">
        <v>403</v>
      </c>
      <c r="B380" s="1" t="s">
        <v>283</v>
      </c>
      <c r="E380" s="1" t="s">
        <v>976</v>
      </c>
      <c r="F380" s="1" t="s">
        <v>423</v>
      </c>
      <c r="H380" s="1" t="s">
        <v>432</v>
      </c>
      <c r="J380" s="37" t="s">
        <v>1625</v>
      </c>
      <c r="K380" s="1" t="s">
        <v>1175</v>
      </c>
    </row>
    <row r="381" spans="1:11" ht="28.8" x14ac:dyDescent="0.3">
      <c r="A381" s="1">
        <v>404</v>
      </c>
      <c r="B381" s="1" t="s">
        <v>284</v>
      </c>
      <c r="E381" s="1" t="s">
        <v>976</v>
      </c>
      <c r="F381" s="1" t="s">
        <v>423</v>
      </c>
      <c r="H381" s="1" t="s">
        <v>432</v>
      </c>
      <c r="J381" s="37" t="s">
        <v>1625</v>
      </c>
      <c r="K381" s="1" t="s">
        <v>1175</v>
      </c>
    </row>
    <row r="382" spans="1:11" ht="28.8" x14ac:dyDescent="0.3">
      <c r="A382" s="1">
        <v>405</v>
      </c>
      <c r="B382" s="1" t="s">
        <v>285</v>
      </c>
      <c r="E382" s="1" t="s">
        <v>976</v>
      </c>
      <c r="F382" s="1" t="s">
        <v>423</v>
      </c>
      <c r="H382" s="1" t="s">
        <v>432</v>
      </c>
      <c r="J382" s="37" t="s">
        <v>1625</v>
      </c>
      <c r="K382" s="1" t="s">
        <v>1175</v>
      </c>
    </row>
    <row r="383" spans="1:11" ht="28.8" x14ac:dyDescent="0.3">
      <c r="A383" s="1">
        <v>406</v>
      </c>
      <c r="B383" s="1" t="s">
        <v>286</v>
      </c>
      <c r="E383" s="1" t="s">
        <v>976</v>
      </c>
      <c r="F383" s="1" t="s">
        <v>423</v>
      </c>
      <c r="H383" s="1" t="s">
        <v>432</v>
      </c>
      <c r="J383" s="37" t="s">
        <v>1625</v>
      </c>
      <c r="K383" s="1" t="s">
        <v>1175</v>
      </c>
    </row>
    <row r="384" spans="1:11" ht="28.8" x14ac:dyDescent="0.3">
      <c r="A384" s="1">
        <v>407</v>
      </c>
      <c r="B384" s="1" t="s">
        <v>278</v>
      </c>
      <c r="E384" s="1" t="s">
        <v>1029</v>
      </c>
      <c r="F384" s="1" t="s">
        <v>981</v>
      </c>
      <c r="H384" s="1" t="s">
        <v>755</v>
      </c>
      <c r="J384" s="37" t="s">
        <v>1625</v>
      </c>
      <c r="K384" s="1" t="s">
        <v>1175</v>
      </c>
    </row>
    <row r="385" spans="1:11" ht="28.8" x14ac:dyDescent="0.3">
      <c r="A385" s="1">
        <v>408</v>
      </c>
      <c r="B385" s="1" t="s">
        <v>279</v>
      </c>
      <c r="E385" s="1" t="s">
        <v>1029</v>
      </c>
      <c r="F385" s="1" t="s">
        <v>981</v>
      </c>
      <c r="H385" s="1" t="s">
        <v>432</v>
      </c>
      <c r="J385" s="37" t="s">
        <v>1625</v>
      </c>
      <c r="K385" s="1" t="s">
        <v>1175</v>
      </c>
    </row>
    <row r="386" spans="1:11" ht="28.8" x14ac:dyDescent="0.3">
      <c r="A386" s="1">
        <v>409</v>
      </c>
      <c r="B386" s="1" t="s">
        <v>280</v>
      </c>
      <c r="E386" s="1" t="s">
        <v>1029</v>
      </c>
      <c r="F386" s="1" t="s">
        <v>981</v>
      </c>
      <c r="H386" s="1" t="s">
        <v>433</v>
      </c>
      <c r="J386" s="37" t="s">
        <v>1625</v>
      </c>
      <c r="K386" s="1" t="s">
        <v>1175</v>
      </c>
    </row>
    <row r="387" spans="1:11" ht="28.8" x14ac:dyDescent="0.3">
      <c r="A387" s="1">
        <v>410</v>
      </c>
      <c r="B387" s="1" t="s">
        <v>281</v>
      </c>
      <c r="E387" s="1" t="s">
        <v>1029</v>
      </c>
      <c r="F387" s="1" t="s">
        <v>981</v>
      </c>
      <c r="H387" s="1" t="s">
        <v>433</v>
      </c>
      <c r="J387" s="37" t="s">
        <v>1625</v>
      </c>
      <c r="K387" s="1" t="s">
        <v>1175</v>
      </c>
    </row>
    <row r="388" spans="1:11" ht="28.8" x14ac:dyDescent="0.3">
      <c r="A388" s="1">
        <v>411</v>
      </c>
      <c r="B388" s="1" t="s">
        <v>282</v>
      </c>
      <c r="E388" s="1" t="s">
        <v>1029</v>
      </c>
      <c r="F388" s="1" t="s">
        <v>981</v>
      </c>
      <c r="H388" s="1" t="s">
        <v>433</v>
      </c>
      <c r="J388" s="37" t="s">
        <v>1625</v>
      </c>
      <c r="K388" s="1" t="s">
        <v>1175</v>
      </c>
    </row>
    <row r="389" spans="1:11" ht="28.8" x14ac:dyDescent="0.3">
      <c r="A389" s="1">
        <v>412</v>
      </c>
      <c r="B389" s="1" t="s">
        <v>283</v>
      </c>
      <c r="E389" s="1" t="s">
        <v>1029</v>
      </c>
      <c r="F389" s="1" t="s">
        <v>981</v>
      </c>
      <c r="H389" s="1" t="s">
        <v>432</v>
      </c>
      <c r="J389" s="37" t="s">
        <v>1625</v>
      </c>
      <c r="K389" s="1" t="s">
        <v>1175</v>
      </c>
    </row>
    <row r="390" spans="1:11" ht="28.8" x14ac:dyDescent="0.3">
      <c r="A390" s="1">
        <v>413</v>
      </c>
      <c r="B390" s="1" t="s">
        <v>284</v>
      </c>
      <c r="E390" s="1" t="s">
        <v>1029</v>
      </c>
      <c r="F390" s="1" t="s">
        <v>981</v>
      </c>
      <c r="H390" s="1" t="s">
        <v>432</v>
      </c>
      <c r="J390" s="37" t="s">
        <v>1625</v>
      </c>
      <c r="K390" s="1" t="s">
        <v>1175</v>
      </c>
    </row>
    <row r="391" spans="1:11" ht="28.8" x14ac:dyDescent="0.3">
      <c r="A391" s="1">
        <v>414</v>
      </c>
      <c r="B391" s="1" t="s">
        <v>285</v>
      </c>
      <c r="E391" s="1" t="s">
        <v>1029</v>
      </c>
      <c r="F391" s="1" t="s">
        <v>981</v>
      </c>
      <c r="H391" s="1" t="s">
        <v>432</v>
      </c>
      <c r="J391" s="37" t="s">
        <v>1625</v>
      </c>
      <c r="K391" s="1" t="s">
        <v>1175</v>
      </c>
    </row>
    <row r="392" spans="1:11" ht="28.8" x14ac:dyDescent="0.3">
      <c r="A392" s="1">
        <v>415</v>
      </c>
      <c r="B392" s="1" t="s">
        <v>286</v>
      </c>
      <c r="E392" s="1" t="s">
        <v>1029</v>
      </c>
      <c r="F392" s="1" t="s">
        <v>981</v>
      </c>
      <c r="H392" s="1" t="s">
        <v>432</v>
      </c>
      <c r="J392" s="37" t="s">
        <v>1625</v>
      </c>
      <c r="K392" s="1" t="s">
        <v>1175</v>
      </c>
    </row>
    <row r="393" spans="1:11" ht="28.8" x14ac:dyDescent="0.3">
      <c r="A393" s="1">
        <v>416</v>
      </c>
      <c r="B393" s="1" t="s">
        <v>278</v>
      </c>
      <c r="E393" s="1" t="s">
        <v>945</v>
      </c>
      <c r="F393" s="1" t="s">
        <v>423</v>
      </c>
      <c r="H393" s="1" t="s">
        <v>511</v>
      </c>
      <c r="J393" s="37" t="s">
        <v>1625</v>
      </c>
      <c r="K393" s="1" t="s">
        <v>1175</v>
      </c>
    </row>
    <row r="394" spans="1:11" ht="28.8" x14ac:dyDescent="0.3">
      <c r="A394" s="1">
        <v>417</v>
      </c>
      <c r="B394" s="1" t="s">
        <v>279</v>
      </c>
      <c r="E394" s="1" t="s">
        <v>945</v>
      </c>
      <c r="F394" s="1" t="s">
        <v>423</v>
      </c>
      <c r="H394" s="1" t="s">
        <v>433</v>
      </c>
      <c r="J394" s="37" t="s">
        <v>1625</v>
      </c>
      <c r="K394" s="1" t="s">
        <v>1175</v>
      </c>
    </row>
    <row r="395" spans="1:11" ht="28.8" x14ac:dyDescent="0.3">
      <c r="A395" s="1">
        <v>418</v>
      </c>
      <c r="B395" s="1" t="s">
        <v>280</v>
      </c>
      <c r="E395" s="1" t="s">
        <v>945</v>
      </c>
      <c r="F395" s="1" t="s">
        <v>423</v>
      </c>
      <c r="H395" s="1" t="s">
        <v>433</v>
      </c>
      <c r="J395" s="37" t="s">
        <v>1625</v>
      </c>
      <c r="K395" s="1" t="s">
        <v>1175</v>
      </c>
    </row>
    <row r="396" spans="1:11" ht="28.8" x14ac:dyDescent="0.3">
      <c r="A396" s="1">
        <v>419</v>
      </c>
      <c r="B396" s="1" t="s">
        <v>281</v>
      </c>
      <c r="E396" s="1" t="s">
        <v>945</v>
      </c>
      <c r="F396" s="1" t="s">
        <v>423</v>
      </c>
      <c r="H396" s="1" t="s">
        <v>433</v>
      </c>
      <c r="J396" s="37" t="s">
        <v>1625</v>
      </c>
      <c r="K396" s="1" t="s">
        <v>1175</v>
      </c>
    </row>
    <row r="397" spans="1:11" ht="28.8" x14ac:dyDescent="0.3">
      <c r="A397" s="1">
        <v>420</v>
      </c>
      <c r="B397" s="1" t="s">
        <v>282</v>
      </c>
      <c r="E397" s="1" t="s">
        <v>945</v>
      </c>
      <c r="F397" s="1" t="s">
        <v>423</v>
      </c>
      <c r="H397" s="1" t="s">
        <v>432</v>
      </c>
      <c r="J397" s="37" t="s">
        <v>1625</v>
      </c>
      <c r="K397" s="1" t="s">
        <v>1175</v>
      </c>
    </row>
    <row r="398" spans="1:11" ht="28.8" x14ac:dyDescent="0.3">
      <c r="A398" s="1">
        <v>421</v>
      </c>
      <c r="B398" s="1" t="s">
        <v>283</v>
      </c>
      <c r="E398" s="1" t="s">
        <v>945</v>
      </c>
      <c r="F398" s="1" t="s">
        <v>423</v>
      </c>
      <c r="H398" s="1" t="s">
        <v>432</v>
      </c>
      <c r="J398" s="37" t="s">
        <v>1625</v>
      </c>
      <c r="K398" s="1" t="s">
        <v>1175</v>
      </c>
    </row>
    <row r="399" spans="1:11" ht="28.8" x14ac:dyDescent="0.3">
      <c r="A399" s="1">
        <v>422</v>
      </c>
      <c r="B399" s="1" t="s">
        <v>284</v>
      </c>
      <c r="E399" s="1" t="s">
        <v>945</v>
      </c>
      <c r="F399" s="1" t="s">
        <v>423</v>
      </c>
      <c r="H399" s="1" t="s">
        <v>432</v>
      </c>
      <c r="J399" s="37" t="s">
        <v>1625</v>
      </c>
      <c r="K399" s="1" t="s">
        <v>1175</v>
      </c>
    </row>
    <row r="400" spans="1:11" ht="28.8" x14ac:dyDescent="0.3">
      <c r="A400" s="1">
        <v>423</v>
      </c>
      <c r="B400" s="1" t="s">
        <v>285</v>
      </c>
      <c r="E400" s="1" t="s">
        <v>945</v>
      </c>
      <c r="F400" s="1" t="s">
        <v>423</v>
      </c>
      <c r="H400" s="1" t="s">
        <v>432</v>
      </c>
      <c r="J400" s="37" t="s">
        <v>1625</v>
      </c>
      <c r="K400" s="1" t="s">
        <v>1175</v>
      </c>
    </row>
    <row r="401" spans="1:11" ht="28.8" x14ac:dyDescent="0.3">
      <c r="A401" s="1">
        <v>424</v>
      </c>
      <c r="B401" s="1" t="s">
        <v>286</v>
      </c>
      <c r="E401" s="1" t="s">
        <v>945</v>
      </c>
      <c r="F401" s="1" t="s">
        <v>423</v>
      </c>
      <c r="H401" s="1" t="s">
        <v>432</v>
      </c>
      <c r="J401" s="37" t="s">
        <v>1625</v>
      </c>
      <c r="K401" s="1" t="s">
        <v>1175</v>
      </c>
    </row>
    <row r="402" spans="1:11" ht="28.8" x14ac:dyDescent="0.3">
      <c r="A402" s="1">
        <v>425</v>
      </c>
      <c r="B402" s="1" t="s">
        <v>278</v>
      </c>
      <c r="E402" s="1" t="s">
        <v>930</v>
      </c>
      <c r="F402" s="1" t="s">
        <v>423</v>
      </c>
      <c r="H402" s="1" t="s">
        <v>755</v>
      </c>
      <c r="J402" s="37" t="s">
        <v>1625</v>
      </c>
      <c r="K402" s="1" t="s">
        <v>1175</v>
      </c>
    </row>
    <row r="403" spans="1:11" ht="28.8" x14ac:dyDescent="0.3">
      <c r="A403" s="1">
        <v>426</v>
      </c>
      <c r="B403" s="1" t="s">
        <v>279</v>
      </c>
      <c r="E403" s="1" t="s">
        <v>930</v>
      </c>
      <c r="F403" s="1" t="s">
        <v>423</v>
      </c>
      <c r="H403" s="1" t="s">
        <v>432</v>
      </c>
      <c r="J403" s="37" t="s">
        <v>1625</v>
      </c>
      <c r="K403" s="1" t="s">
        <v>1175</v>
      </c>
    </row>
    <row r="404" spans="1:11" ht="28.8" x14ac:dyDescent="0.3">
      <c r="A404" s="1">
        <v>427</v>
      </c>
      <c r="B404" s="1" t="s">
        <v>280</v>
      </c>
      <c r="E404" s="1" t="s">
        <v>930</v>
      </c>
      <c r="F404" s="1" t="s">
        <v>423</v>
      </c>
      <c r="H404" s="1" t="s">
        <v>433</v>
      </c>
      <c r="J404" s="37" t="s">
        <v>1625</v>
      </c>
      <c r="K404" s="1" t="s">
        <v>1175</v>
      </c>
    </row>
    <row r="405" spans="1:11" ht="28.8" x14ac:dyDescent="0.3">
      <c r="A405" s="1">
        <v>428</v>
      </c>
      <c r="B405" s="1" t="s">
        <v>281</v>
      </c>
      <c r="E405" s="1" t="s">
        <v>930</v>
      </c>
      <c r="F405" s="1" t="s">
        <v>423</v>
      </c>
      <c r="H405" s="1" t="s">
        <v>433</v>
      </c>
      <c r="J405" s="37" t="s">
        <v>1625</v>
      </c>
      <c r="K405" s="1" t="s">
        <v>1175</v>
      </c>
    </row>
    <row r="406" spans="1:11" ht="28.8" x14ac:dyDescent="0.3">
      <c r="A406" s="1">
        <v>429</v>
      </c>
      <c r="B406" s="1" t="s">
        <v>282</v>
      </c>
      <c r="E406" s="1" t="s">
        <v>930</v>
      </c>
      <c r="F406" s="1" t="s">
        <v>423</v>
      </c>
      <c r="H406" s="1" t="s">
        <v>433</v>
      </c>
      <c r="J406" s="37" t="s">
        <v>1625</v>
      </c>
      <c r="K406" s="1" t="s">
        <v>1175</v>
      </c>
    </row>
    <row r="407" spans="1:11" ht="28.8" x14ac:dyDescent="0.3">
      <c r="A407" s="1">
        <v>430</v>
      </c>
      <c r="B407" s="1" t="s">
        <v>283</v>
      </c>
      <c r="E407" s="1" t="s">
        <v>930</v>
      </c>
      <c r="F407" s="1" t="s">
        <v>423</v>
      </c>
      <c r="H407" s="1" t="s">
        <v>432</v>
      </c>
      <c r="J407" s="37" t="s">
        <v>1625</v>
      </c>
      <c r="K407" s="1" t="s">
        <v>1175</v>
      </c>
    </row>
    <row r="408" spans="1:11" ht="28.8" x14ac:dyDescent="0.3">
      <c r="A408" s="1">
        <v>431</v>
      </c>
      <c r="B408" s="1" t="s">
        <v>284</v>
      </c>
      <c r="E408" s="1" t="s">
        <v>930</v>
      </c>
      <c r="F408" s="1" t="s">
        <v>423</v>
      </c>
      <c r="H408" s="1" t="s">
        <v>432</v>
      </c>
      <c r="J408" s="37" t="s">
        <v>1625</v>
      </c>
      <c r="K408" s="1" t="s">
        <v>1175</v>
      </c>
    </row>
    <row r="409" spans="1:11" ht="28.8" x14ac:dyDescent="0.3">
      <c r="A409" s="1">
        <v>432</v>
      </c>
      <c r="B409" s="1" t="s">
        <v>285</v>
      </c>
      <c r="E409" s="1" t="s">
        <v>930</v>
      </c>
      <c r="F409" s="1" t="s">
        <v>423</v>
      </c>
      <c r="H409" s="1" t="s">
        <v>432</v>
      </c>
      <c r="J409" s="37" t="s">
        <v>1625</v>
      </c>
      <c r="K409" s="1" t="s">
        <v>1175</v>
      </c>
    </row>
    <row r="410" spans="1:11" ht="28.8" x14ac:dyDescent="0.3">
      <c r="A410" s="1">
        <v>433</v>
      </c>
      <c r="B410" s="1" t="s">
        <v>286</v>
      </c>
      <c r="E410" s="1" t="s">
        <v>930</v>
      </c>
      <c r="F410" s="1" t="s">
        <v>423</v>
      </c>
      <c r="H410" s="1" t="s">
        <v>432</v>
      </c>
      <c r="J410" s="37" t="s">
        <v>1625</v>
      </c>
      <c r="K410" s="1" t="s">
        <v>1175</v>
      </c>
    </row>
    <row r="411" spans="1:11" ht="28.8" x14ac:dyDescent="0.3">
      <c r="A411" s="1">
        <v>434</v>
      </c>
      <c r="B411" s="1" t="s">
        <v>288</v>
      </c>
      <c r="E411" s="1" t="s">
        <v>538</v>
      </c>
      <c r="F411" s="1" t="s">
        <v>423</v>
      </c>
      <c r="H411" s="1" t="s">
        <v>531</v>
      </c>
      <c r="J411" s="37" t="s">
        <v>1625</v>
      </c>
      <c r="K411" s="1" t="s">
        <v>1175</v>
      </c>
    </row>
    <row r="412" spans="1:11" ht="28.8" x14ac:dyDescent="0.3">
      <c r="A412" s="1">
        <v>435</v>
      </c>
      <c r="B412" s="1" t="s">
        <v>289</v>
      </c>
      <c r="E412" s="1" t="s">
        <v>538</v>
      </c>
      <c r="F412" s="1" t="s">
        <v>423</v>
      </c>
      <c r="H412" s="1" t="s">
        <v>433</v>
      </c>
      <c r="J412" s="37" t="s">
        <v>1625</v>
      </c>
      <c r="K412" s="1" t="s">
        <v>1175</v>
      </c>
    </row>
    <row r="413" spans="1:11" ht="28.8" x14ac:dyDescent="0.3">
      <c r="A413" s="1">
        <v>436</v>
      </c>
      <c r="B413" s="1" t="s">
        <v>290</v>
      </c>
      <c r="E413" s="1" t="s">
        <v>538</v>
      </c>
      <c r="F413" s="1" t="s">
        <v>423</v>
      </c>
      <c r="H413" s="1" t="s">
        <v>433</v>
      </c>
      <c r="J413" s="37" t="s">
        <v>1625</v>
      </c>
      <c r="K413" s="1" t="s">
        <v>1175</v>
      </c>
    </row>
    <row r="414" spans="1:11" ht="28.8" x14ac:dyDescent="0.3">
      <c r="A414" s="1">
        <v>437</v>
      </c>
      <c r="B414" s="1" t="s">
        <v>291</v>
      </c>
      <c r="E414" s="1" t="s">
        <v>538</v>
      </c>
      <c r="F414" s="1" t="s">
        <v>423</v>
      </c>
      <c r="H414" s="1" t="s">
        <v>432</v>
      </c>
      <c r="J414" s="37" t="s">
        <v>1625</v>
      </c>
      <c r="K414" s="1" t="s">
        <v>1175</v>
      </c>
    </row>
    <row r="415" spans="1:11" ht="28.8" x14ac:dyDescent="0.3">
      <c r="A415" s="1">
        <v>438</v>
      </c>
      <c r="B415" s="1" t="s">
        <v>292</v>
      </c>
      <c r="E415" s="1" t="s">
        <v>538</v>
      </c>
      <c r="F415" s="1" t="s">
        <v>423</v>
      </c>
      <c r="H415" s="1" t="s">
        <v>433</v>
      </c>
      <c r="J415" s="37" t="s">
        <v>1625</v>
      </c>
      <c r="K415" s="1" t="s">
        <v>1175</v>
      </c>
    </row>
    <row r="416" spans="1:11" ht="28.8" x14ac:dyDescent="0.3">
      <c r="A416" s="1">
        <v>439</v>
      </c>
      <c r="B416" s="1" t="s">
        <v>293</v>
      </c>
      <c r="E416" s="1" t="s">
        <v>538</v>
      </c>
      <c r="F416" s="1" t="s">
        <v>423</v>
      </c>
      <c r="H416" s="1" t="s">
        <v>432</v>
      </c>
      <c r="J416" s="37" t="s">
        <v>1625</v>
      </c>
      <c r="K416" s="1" t="s">
        <v>1175</v>
      </c>
    </row>
    <row r="417" spans="1:11" ht="28.8" x14ac:dyDescent="0.3">
      <c r="A417" s="1">
        <v>440</v>
      </c>
      <c r="B417" s="1" t="s">
        <v>294</v>
      </c>
      <c r="E417" s="1" t="s">
        <v>538</v>
      </c>
      <c r="F417" s="1" t="s">
        <v>423</v>
      </c>
      <c r="H417" s="1" t="s">
        <v>432</v>
      </c>
      <c r="J417" s="37" t="s">
        <v>1625</v>
      </c>
      <c r="K417" s="1" t="s">
        <v>1175</v>
      </c>
    </row>
    <row r="418" spans="1:11" ht="28.8" x14ac:dyDescent="0.3">
      <c r="A418" s="1">
        <v>441</v>
      </c>
      <c r="B418" s="1" t="s">
        <v>288</v>
      </c>
      <c r="E418" s="1" t="s">
        <v>1013</v>
      </c>
      <c r="F418" s="1" t="s">
        <v>981</v>
      </c>
      <c r="H418" s="1" t="s">
        <v>1009</v>
      </c>
      <c r="J418" s="37" t="s">
        <v>1625</v>
      </c>
      <c r="K418" s="1" t="s">
        <v>1175</v>
      </c>
    </row>
    <row r="419" spans="1:11" ht="28.8" x14ac:dyDescent="0.3">
      <c r="A419" s="1">
        <v>442</v>
      </c>
      <c r="B419" s="1" t="s">
        <v>289</v>
      </c>
      <c r="E419" s="1" t="s">
        <v>1013</v>
      </c>
      <c r="F419" s="1" t="s">
        <v>981</v>
      </c>
      <c r="H419" s="1" t="s">
        <v>433</v>
      </c>
      <c r="J419" s="37" t="s">
        <v>1625</v>
      </c>
      <c r="K419" s="1" t="s">
        <v>1175</v>
      </c>
    </row>
    <row r="420" spans="1:11" ht="28.8" x14ac:dyDescent="0.3">
      <c r="A420" s="1">
        <v>443</v>
      </c>
      <c r="B420" s="1" t="s">
        <v>290</v>
      </c>
      <c r="E420" s="1" t="s">
        <v>1013</v>
      </c>
      <c r="F420" s="1" t="s">
        <v>981</v>
      </c>
      <c r="H420" s="1" t="s">
        <v>433</v>
      </c>
      <c r="J420" s="37" t="s">
        <v>1625</v>
      </c>
      <c r="K420" s="1" t="s">
        <v>1175</v>
      </c>
    </row>
    <row r="421" spans="1:11" ht="28.8" x14ac:dyDescent="0.3">
      <c r="A421" s="1">
        <v>444</v>
      </c>
      <c r="B421" s="1" t="s">
        <v>291</v>
      </c>
      <c r="E421" s="1" t="s">
        <v>1013</v>
      </c>
      <c r="F421" s="1" t="s">
        <v>981</v>
      </c>
      <c r="H421" s="1" t="s">
        <v>433</v>
      </c>
      <c r="J421" s="37" t="s">
        <v>1625</v>
      </c>
      <c r="K421" s="1" t="s">
        <v>1175</v>
      </c>
    </row>
    <row r="422" spans="1:11" ht="28.8" x14ac:dyDescent="0.3">
      <c r="A422" s="1">
        <v>445</v>
      </c>
      <c r="B422" s="1" t="s">
        <v>292</v>
      </c>
      <c r="E422" s="1" t="s">
        <v>1013</v>
      </c>
      <c r="F422" s="1" t="s">
        <v>981</v>
      </c>
      <c r="H422" s="1" t="s">
        <v>432</v>
      </c>
      <c r="J422" s="37" t="s">
        <v>1625</v>
      </c>
      <c r="K422" s="1" t="s">
        <v>1175</v>
      </c>
    </row>
    <row r="423" spans="1:11" ht="28.8" x14ac:dyDescent="0.3">
      <c r="A423" s="1">
        <v>446</v>
      </c>
      <c r="B423" s="1" t="s">
        <v>293</v>
      </c>
      <c r="E423" s="1" t="s">
        <v>1013</v>
      </c>
      <c r="F423" s="1" t="s">
        <v>981</v>
      </c>
      <c r="H423" s="1" t="s">
        <v>432</v>
      </c>
      <c r="J423" s="37" t="s">
        <v>1625</v>
      </c>
      <c r="K423" s="1" t="s">
        <v>1175</v>
      </c>
    </row>
    <row r="424" spans="1:11" ht="28.8" x14ac:dyDescent="0.3">
      <c r="A424" s="1">
        <v>447</v>
      </c>
      <c r="B424" s="1" t="s">
        <v>294</v>
      </c>
      <c r="E424" s="1" t="s">
        <v>1013</v>
      </c>
      <c r="F424" s="1" t="s">
        <v>981</v>
      </c>
      <c r="H424" s="1" t="s">
        <v>432</v>
      </c>
      <c r="J424" s="37" t="s">
        <v>1625</v>
      </c>
      <c r="K424" s="1" t="s">
        <v>1175</v>
      </c>
    </row>
    <row r="425" spans="1:11" ht="28.8" x14ac:dyDescent="0.3">
      <c r="A425" s="1">
        <v>448</v>
      </c>
      <c r="B425" s="1" t="s">
        <v>288</v>
      </c>
      <c r="E425" s="1" t="s">
        <v>959</v>
      </c>
      <c r="F425" s="1" t="s">
        <v>423</v>
      </c>
      <c r="H425" s="1" t="s">
        <v>707</v>
      </c>
      <c r="J425" s="37" t="s">
        <v>1625</v>
      </c>
      <c r="K425" s="1" t="s">
        <v>1175</v>
      </c>
    </row>
    <row r="426" spans="1:11" ht="28.8" x14ac:dyDescent="0.3">
      <c r="A426" s="1">
        <v>449</v>
      </c>
      <c r="B426" s="1" t="s">
        <v>289</v>
      </c>
      <c r="E426" s="1" t="s">
        <v>959</v>
      </c>
      <c r="F426" s="1" t="s">
        <v>423</v>
      </c>
      <c r="H426" s="1" t="s">
        <v>432</v>
      </c>
      <c r="J426" s="37" t="s">
        <v>1625</v>
      </c>
      <c r="K426" s="1" t="s">
        <v>1175</v>
      </c>
    </row>
    <row r="427" spans="1:11" ht="28.8" x14ac:dyDescent="0.3">
      <c r="A427" s="1">
        <v>450</v>
      </c>
      <c r="B427" s="1" t="s">
        <v>290</v>
      </c>
      <c r="E427" s="1" t="s">
        <v>959</v>
      </c>
      <c r="F427" s="1" t="s">
        <v>423</v>
      </c>
      <c r="H427" s="1" t="s">
        <v>433</v>
      </c>
      <c r="J427" s="37" t="s">
        <v>1625</v>
      </c>
      <c r="K427" s="1" t="s">
        <v>1175</v>
      </c>
    </row>
    <row r="428" spans="1:11" ht="28.8" x14ac:dyDescent="0.3">
      <c r="A428" s="1">
        <v>451</v>
      </c>
      <c r="B428" s="1" t="s">
        <v>291</v>
      </c>
      <c r="E428" s="1" t="s">
        <v>959</v>
      </c>
      <c r="F428" s="1" t="s">
        <v>423</v>
      </c>
      <c r="H428" s="1" t="s">
        <v>433</v>
      </c>
      <c r="J428" s="37" t="s">
        <v>1625</v>
      </c>
      <c r="K428" s="1" t="s">
        <v>1175</v>
      </c>
    </row>
    <row r="429" spans="1:11" ht="28.8" x14ac:dyDescent="0.3">
      <c r="A429" s="1">
        <v>452</v>
      </c>
      <c r="B429" s="1" t="s">
        <v>292</v>
      </c>
      <c r="E429" s="1" t="s">
        <v>959</v>
      </c>
      <c r="F429" s="1" t="s">
        <v>423</v>
      </c>
      <c r="H429" s="1" t="s">
        <v>433</v>
      </c>
      <c r="J429" s="37" t="s">
        <v>1625</v>
      </c>
      <c r="K429" s="1" t="s">
        <v>1175</v>
      </c>
    </row>
    <row r="430" spans="1:11" ht="28.8" x14ac:dyDescent="0.3">
      <c r="A430" s="1">
        <v>453</v>
      </c>
      <c r="B430" s="1" t="s">
        <v>293</v>
      </c>
      <c r="E430" s="1" t="s">
        <v>959</v>
      </c>
      <c r="F430" s="1" t="s">
        <v>423</v>
      </c>
      <c r="H430" s="1" t="s">
        <v>432</v>
      </c>
      <c r="J430" s="37" t="s">
        <v>1625</v>
      </c>
      <c r="K430" s="1" t="s">
        <v>1175</v>
      </c>
    </row>
    <row r="431" spans="1:11" ht="28.8" x14ac:dyDescent="0.3">
      <c r="A431" s="1">
        <v>454</v>
      </c>
      <c r="B431" s="1" t="s">
        <v>294</v>
      </c>
      <c r="E431" s="1" t="s">
        <v>959</v>
      </c>
      <c r="F431" s="1" t="s">
        <v>423</v>
      </c>
      <c r="H431" s="1" t="s">
        <v>432</v>
      </c>
      <c r="J431" s="37" t="s">
        <v>1625</v>
      </c>
      <c r="K431" s="1" t="s">
        <v>1175</v>
      </c>
    </row>
    <row r="432" spans="1:11" ht="28.8" x14ac:dyDescent="0.3">
      <c r="A432" s="1">
        <v>455</v>
      </c>
      <c r="B432" s="1" t="s">
        <v>288</v>
      </c>
      <c r="E432" s="1" t="s">
        <v>976</v>
      </c>
      <c r="F432" s="1" t="s">
        <v>423</v>
      </c>
      <c r="H432" s="1" t="s">
        <v>970</v>
      </c>
      <c r="J432" s="37" t="s">
        <v>1625</v>
      </c>
      <c r="K432" s="1" t="s">
        <v>1175</v>
      </c>
    </row>
    <row r="433" spans="1:11" ht="28.8" x14ac:dyDescent="0.3">
      <c r="A433" s="1">
        <v>456</v>
      </c>
      <c r="B433" s="1" t="s">
        <v>289</v>
      </c>
      <c r="E433" s="1" t="s">
        <v>976</v>
      </c>
      <c r="F433" s="1" t="s">
        <v>423</v>
      </c>
      <c r="H433" s="1" t="s">
        <v>432</v>
      </c>
      <c r="J433" s="37" t="s">
        <v>1625</v>
      </c>
      <c r="K433" s="1" t="s">
        <v>1175</v>
      </c>
    </row>
    <row r="434" spans="1:11" ht="28.8" x14ac:dyDescent="0.3">
      <c r="A434" s="1">
        <v>457</v>
      </c>
      <c r="B434" s="1" t="s">
        <v>290</v>
      </c>
      <c r="E434" s="1" t="s">
        <v>976</v>
      </c>
      <c r="F434" s="1" t="s">
        <v>423</v>
      </c>
      <c r="H434" s="1" t="s">
        <v>433</v>
      </c>
      <c r="J434" s="37" t="s">
        <v>1625</v>
      </c>
      <c r="K434" s="1" t="s">
        <v>1175</v>
      </c>
    </row>
    <row r="435" spans="1:11" ht="28.8" x14ac:dyDescent="0.3">
      <c r="A435" s="1">
        <v>458</v>
      </c>
      <c r="B435" s="1" t="s">
        <v>291</v>
      </c>
      <c r="E435" s="1" t="s">
        <v>976</v>
      </c>
      <c r="F435" s="1" t="s">
        <v>423</v>
      </c>
      <c r="H435" s="1" t="s">
        <v>433</v>
      </c>
      <c r="J435" s="37" t="s">
        <v>1625</v>
      </c>
      <c r="K435" s="1" t="s">
        <v>1175</v>
      </c>
    </row>
    <row r="436" spans="1:11" ht="28.8" x14ac:dyDescent="0.3">
      <c r="A436" s="1">
        <v>459</v>
      </c>
      <c r="B436" s="1" t="s">
        <v>292</v>
      </c>
      <c r="E436" s="1" t="s">
        <v>976</v>
      </c>
      <c r="F436" s="1" t="s">
        <v>423</v>
      </c>
      <c r="H436" s="1" t="s">
        <v>433</v>
      </c>
      <c r="J436" s="37" t="s">
        <v>1625</v>
      </c>
      <c r="K436" s="1" t="s">
        <v>1175</v>
      </c>
    </row>
    <row r="437" spans="1:11" ht="28.8" x14ac:dyDescent="0.3">
      <c r="A437" s="1">
        <v>460</v>
      </c>
      <c r="B437" s="1" t="s">
        <v>293</v>
      </c>
      <c r="E437" s="1" t="s">
        <v>976</v>
      </c>
      <c r="F437" s="1" t="s">
        <v>423</v>
      </c>
      <c r="H437" s="1" t="s">
        <v>432</v>
      </c>
      <c r="J437" s="37" t="s">
        <v>1625</v>
      </c>
      <c r="K437" s="1" t="s">
        <v>1175</v>
      </c>
    </row>
    <row r="438" spans="1:11" ht="28.8" x14ac:dyDescent="0.3">
      <c r="A438" s="1">
        <v>461</v>
      </c>
      <c r="B438" s="1" t="s">
        <v>294</v>
      </c>
      <c r="E438" s="1" t="s">
        <v>976</v>
      </c>
      <c r="F438" s="1" t="s">
        <v>423</v>
      </c>
      <c r="H438" s="1" t="s">
        <v>432</v>
      </c>
      <c r="J438" s="37" t="s">
        <v>1625</v>
      </c>
      <c r="K438" s="1" t="s">
        <v>1175</v>
      </c>
    </row>
    <row r="439" spans="1:11" ht="28.8" x14ac:dyDescent="0.3">
      <c r="A439" s="1">
        <v>462</v>
      </c>
      <c r="B439" s="1" t="s">
        <v>288</v>
      </c>
      <c r="E439" s="1" t="s">
        <v>1029</v>
      </c>
      <c r="F439" s="1" t="s">
        <v>981</v>
      </c>
      <c r="H439" s="1" t="s">
        <v>882</v>
      </c>
      <c r="J439" s="37" t="s">
        <v>1625</v>
      </c>
      <c r="K439" s="1" t="s">
        <v>1175</v>
      </c>
    </row>
    <row r="440" spans="1:11" ht="28.8" x14ac:dyDescent="0.3">
      <c r="A440" s="1">
        <v>463</v>
      </c>
      <c r="B440" s="1" t="s">
        <v>289</v>
      </c>
      <c r="E440" s="1" t="s">
        <v>1029</v>
      </c>
      <c r="F440" s="1" t="s">
        <v>981</v>
      </c>
      <c r="H440" s="1" t="s">
        <v>433</v>
      </c>
      <c r="J440" s="37" t="s">
        <v>1625</v>
      </c>
      <c r="K440" s="1" t="s">
        <v>1175</v>
      </c>
    </row>
    <row r="441" spans="1:11" ht="28.8" x14ac:dyDescent="0.3">
      <c r="A441" s="1">
        <v>464</v>
      </c>
      <c r="B441" s="1" t="s">
        <v>290</v>
      </c>
      <c r="E441" s="1" t="s">
        <v>1029</v>
      </c>
      <c r="F441" s="1" t="s">
        <v>981</v>
      </c>
      <c r="H441" s="1" t="s">
        <v>433</v>
      </c>
      <c r="J441" s="37" t="s">
        <v>1625</v>
      </c>
      <c r="K441" s="1" t="s">
        <v>1175</v>
      </c>
    </row>
    <row r="442" spans="1:11" ht="28.8" x14ac:dyDescent="0.3">
      <c r="A442" s="1">
        <v>465</v>
      </c>
      <c r="B442" s="1" t="s">
        <v>291</v>
      </c>
      <c r="E442" s="1" t="s">
        <v>1029</v>
      </c>
      <c r="F442" s="1" t="s">
        <v>981</v>
      </c>
      <c r="H442" s="1" t="s">
        <v>433</v>
      </c>
      <c r="J442" s="37" t="s">
        <v>1625</v>
      </c>
      <c r="K442" s="1" t="s">
        <v>1175</v>
      </c>
    </row>
    <row r="443" spans="1:11" ht="28.8" x14ac:dyDescent="0.3">
      <c r="A443" s="1">
        <v>466</v>
      </c>
      <c r="B443" s="1" t="s">
        <v>292</v>
      </c>
      <c r="E443" s="1" t="s">
        <v>1029</v>
      </c>
      <c r="F443" s="1" t="s">
        <v>981</v>
      </c>
      <c r="H443" s="1" t="s">
        <v>432</v>
      </c>
      <c r="J443" s="37" t="s">
        <v>1625</v>
      </c>
      <c r="K443" s="1" t="s">
        <v>1175</v>
      </c>
    </row>
    <row r="444" spans="1:11" ht="28.8" x14ac:dyDescent="0.3">
      <c r="A444" s="1">
        <v>467</v>
      </c>
      <c r="B444" s="1" t="s">
        <v>293</v>
      </c>
      <c r="E444" s="1" t="s">
        <v>1029</v>
      </c>
      <c r="F444" s="1" t="s">
        <v>981</v>
      </c>
      <c r="H444" s="1" t="s">
        <v>432</v>
      </c>
      <c r="J444" s="37" t="s">
        <v>1625</v>
      </c>
      <c r="K444" s="1" t="s">
        <v>1175</v>
      </c>
    </row>
    <row r="445" spans="1:11" ht="28.8" x14ac:dyDescent="0.3">
      <c r="A445" s="1">
        <v>468</v>
      </c>
      <c r="B445" s="1" t="s">
        <v>294</v>
      </c>
      <c r="E445" s="1" t="s">
        <v>1029</v>
      </c>
      <c r="F445" s="1" t="s">
        <v>981</v>
      </c>
      <c r="H445" s="1" t="s">
        <v>432</v>
      </c>
      <c r="J445" s="37" t="s">
        <v>1625</v>
      </c>
      <c r="K445" s="1" t="s">
        <v>1175</v>
      </c>
    </row>
    <row r="446" spans="1:11" ht="28.8" x14ac:dyDescent="0.3">
      <c r="A446" s="1">
        <v>469</v>
      </c>
      <c r="B446" s="1" t="s">
        <v>288</v>
      </c>
      <c r="E446" s="1" t="s">
        <v>945</v>
      </c>
      <c r="F446" s="1" t="s">
        <v>423</v>
      </c>
      <c r="H446" s="1" t="s">
        <v>939</v>
      </c>
      <c r="J446" s="37" t="s">
        <v>1625</v>
      </c>
      <c r="K446" s="1" t="s">
        <v>1175</v>
      </c>
    </row>
    <row r="447" spans="1:11" ht="28.8" x14ac:dyDescent="0.3">
      <c r="A447" s="1">
        <v>470</v>
      </c>
      <c r="B447" s="1" t="s">
        <v>289</v>
      </c>
      <c r="E447" s="1" t="s">
        <v>945</v>
      </c>
      <c r="F447" s="1" t="s">
        <v>423</v>
      </c>
      <c r="H447" s="1" t="s">
        <v>433</v>
      </c>
      <c r="J447" s="37" t="s">
        <v>1625</v>
      </c>
      <c r="K447" s="1" t="s">
        <v>1175</v>
      </c>
    </row>
    <row r="448" spans="1:11" ht="28.8" x14ac:dyDescent="0.3">
      <c r="A448" s="1">
        <v>471</v>
      </c>
      <c r="B448" s="1" t="s">
        <v>290</v>
      </c>
      <c r="E448" s="1" t="s">
        <v>945</v>
      </c>
      <c r="F448" s="1" t="s">
        <v>423</v>
      </c>
      <c r="H448" s="1" t="s">
        <v>433</v>
      </c>
      <c r="J448" s="37" t="s">
        <v>1625</v>
      </c>
      <c r="K448" s="1" t="s">
        <v>1175</v>
      </c>
    </row>
    <row r="449" spans="1:11" ht="28.8" x14ac:dyDescent="0.3">
      <c r="A449" s="1">
        <v>472</v>
      </c>
      <c r="B449" s="1" t="s">
        <v>291</v>
      </c>
      <c r="E449" s="1" t="s">
        <v>945</v>
      </c>
      <c r="F449" s="1" t="s">
        <v>423</v>
      </c>
      <c r="H449" s="1" t="s">
        <v>433</v>
      </c>
      <c r="J449" s="37" t="s">
        <v>1625</v>
      </c>
      <c r="K449" s="1" t="s">
        <v>1175</v>
      </c>
    </row>
    <row r="450" spans="1:11" ht="28.8" x14ac:dyDescent="0.3">
      <c r="A450" s="1">
        <v>473</v>
      </c>
      <c r="B450" s="1" t="s">
        <v>292</v>
      </c>
      <c r="E450" s="1" t="s">
        <v>945</v>
      </c>
      <c r="F450" s="1" t="s">
        <v>423</v>
      </c>
      <c r="H450" s="1" t="s">
        <v>432</v>
      </c>
      <c r="J450" s="37" t="s">
        <v>1625</v>
      </c>
      <c r="K450" s="1" t="s">
        <v>1175</v>
      </c>
    </row>
    <row r="451" spans="1:11" ht="28.8" x14ac:dyDescent="0.3">
      <c r="A451" s="1">
        <v>474</v>
      </c>
      <c r="B451" s="1" t="s">
        <v>293</v>
      </c>
      <c r="E451" s="1" t="s">
        <v>945</v>
      </c>
      <c r="F451" s="1" t="s">
        <v>423</v>
      </c>
      <c r="H451" s="1" t="s">
        <v>432</v>
      </c>
      <c r="J451" s="37" t="s">
        <v>1625</v>
      </c>
      <c r="K451" s="1" t="s">
        <v>1175</v>
      </c>
    </row>
    <row r="452" spans="1:11" ht="28.8" x14ac:dyDescent="0.3">
      <c r="A452" s="1">
        <v>475</v>
      </c>
      <c r="B452" s="1" t="s">
        <v>294</v>
      </c>
      <c r="E452" s="1" t="s">
        <v>945</v>
      </c>
      <c r="F452" s="1" t="s">
        <v>423</v>
      </c>
      <c r="H452" s="1" t="s">
        <v>432</v>
      </c>
      <c r="J452" s="37" t="s">
        <v>1625</v>
      </c>
      <c r="K452" s="1" t="s">
        <v>1175</v>
      </c>
    </row>
    <row r="453" spans="1:11" ht="28.8" x14ac:dyDescent="0.3">
      <c r="A453" s="1">
        <v>476</v>
      </c>
      <c r="B453" s="1" t="s">
        <v>288</v>
      </c>
      <c r="E453" s="1" t="s">
        <v>930</v>
      </c>
      <c r="F453" s="1" t="s">
        <v>423</v>
      </c>
      <c r="H453" s="1" t="s">
        <v>882</v>
      </c>
      <c r="J453" s="37" t="s">
        <v>1625</v>
      </c>
      <c r="K453" s="1" t="s">
        <v>1175</v>
      </c>
    </row>
    <row r="454" spans="1:11" ht="28.8" x14ac:dyDescent="0.3">
      <c r="A454" s="1">
        <v>477</v>
      </c>
      <c r="B454" s="1" t="s">
        <v>289</v>
      </c>
      <c r="E454" s="1" t="s">
        <v>930</v>
      </c>
      <c r="F454" s="1" t="s">
        <v>423</v>
      </c>
      <c r="H454" s="1" t="s">
        <v>433</v>
      </c>
      <c r="J454" s="37" t="s">
        <v>1625</v>
      </c>
      <c r="K454" s="1" t="s">
        <v>1175</v>
      </c>
    </row>
    <row r="455" spans="1:11" ht="28.8" x14ac:dyDescent="0.3">
      <c r="A455" s="1">
        <v>478</v>
      </c>
      <c r="B455" s="1" t="s">
        <v>290</v>
      </c>
      <c r="E455" s="1" t="s">
        <v>930</v>
      </c>
      <c r="F455" s="1" t="s">
        <v>423</v>
      </c>
      <c r="H455" s="1" t="s">
        <v>433</v>
      </c>
      <c r="J455" s="37" t="s">
        <v>1625</v>
      </c>
      <c r="K455" s="1" t="s">
        <v>1175</v>
      </c>
    </row>
    <row r="456" spans="1:11" ht="28.8" x14ac:dyDescent="0.3">
      <c r="A456" s="1">
        <v>479</v>
      </c>
      <c r="B456" s="1" t="s">
        <v>291</v>
      </c>
      <c r="E456" s="1" t="s">
        <v>930</v>
      </c>
      <c r="F456" s="1" t="s">
        <v>423</v>
      </c>
      <c r="H456" s="1" t="s">
        <v>433</v>
      </c>
      <c r="J456" s="37" t="s">
        <v>1625</v>
      </c>
      <c r="K456" s="1" t="s">
        <v>1175</v>
      </c>
    </row>
    <row r="457" spans="1:11" ht="28.8" x14ac:dyDescent="0.3">
      <c r="A457" s="1">
        <v>480</v>
      </c>
      <c r="B457" s="1" t="s">
        <v>292</v>
      </c>
      <c r="E457" s="1" t="s">
        <v>930</v>
      </c>
      <c r="F457" s="1" t="s">
        <v>423</v>
      </c>
      <c r="H457" s="1" t="s">
        <v>432</v>
      </c>
      <c r="J457" s="37" t="s">
        <v>1625</v>
      </c>
      <c r="K457" s="1" t="s">
        <v>1175</v>
      </c>
    </row>
    <row r="458" spans="1:11" ht="28.8" x14ac:dyDescent="0.3">
      <c r="A458" s="1">
        <v>481</v>
      </c>
      <c r="B458" s="1" t="s">
        <v>293</v>
      </c>
      <c r="E458" s="1" t="s">
        <v>930</v>
      </c>
      <c r="F458" s="1" t="s">
        <v>423</v>
      </c>
      <c r="H458" s="1" t="s">
        <v>432</v>
      </c>
      <c r="J458" s="37" t="s">
        <v>1625</v>
      </c>
      <c r="K458" s="1" t="s">
        <v>1175</v>
      </c>
    </row>
    <row r="459" spans="1:11" ht="28.8" x14ac:dyDescent="0.3">
      <c r="A459" s="1">
        <v>482</v>
      </c>
      <c r="B459" s="1" t="s">
        <v>294</v>
      </c>
      <c r="E459" s="1" t="s">
        <v>930</v>
      </c>
      <c r="F459" s="1" t="s">
        <v>423</v>
      </c>
      <c r="H459" s="1" t="s">
        <v>432</v>
      </c>
      <c r="J459" s="37" t="s">
        <v>1625</v>
      </c>
      <c r="K459" s="1" t="s">
        <v>1175</v>
      </c>
    </row>
    <row r="460" spans="1:11" ht="43.2" x14ac:dyDescent="0.3">
      <c r="A460" s="1">
        <v>483</v>
      </c>
      <c r="B460" s="1" t="s">
        <v>312</v>
      </c>
      <c r="E460" s="1" t="s">
        <v>799</v>
      </c>
      <c r="F460" s="1" t="s">
        <v>784</v>
      </c>
      <c r="H460" s="1" t="s">
        <v>795</v>
      </c>
      <c r="J460" s="37" t="s">
        <v>1626</v>
      </c>
      <c r="K460" s="1" t="s">
        <v>1175</v>
      </c>
    </row>
    <row r="461" spans="1:11" ht="43.2" x14ac:dyDescent="0.3">
      <c r="A461" s="1">
        <v>484</v>
      </c>
      <c r="B461" s="1" t="s">
        <v>313</v>
      </c>
      <c r="E461" s="1" t="s">
        <v>799</v>
      </c>
      <c r="F461" s="1" t="s">
        <v>784</v>
      </c>
      <c r="H461" s="1" t="s">
        <v>432</v>
      </c>
      <c r="J461" s="37" t="s">
        <v>1626</v>
      </c>
      <c r="K461" s="1" t="s">
        <v>1175</v>
      </c>
    </row>
    <row r="462" spans="1:11" ht="43.2" x14ac:dyDescent="0.3">
      <c r="A462" s="1">
        <v>485</v>
      </c>
      <c r="B462" s="1" t="s">
        <v>314</v>
      </c>
      <c r="E462" s="1" t="s">
        <v>799</v>
      </c>
      <c r="F462" s="1" t="s">
        <v>784</v>
      </c>
      <c r="H462" s="1" t="s">
        <v>432</v>
      </c>
      <c r="J462" s="37" t="s">
        <v>1626</v>
      </c>
      <c r="K462" s="1" t="s">
        <v>1175</v>
      </c>
    </row>
    <row r="463" spans="1:11" ht="43.2" x14ac:dyDescent="0.3">
      <c r="A463" s="1">
        <v>486</v>
      </c>
      <c r="B463" s="1" t="s">
        <v>315</v>
      </c>
      <c r="E463" s="1" t="s">
        <v>799</v>
      </c>
      <c r="F463" s="1" t="s">
        <v>784</v>
      </c>
      <c r="H463" s="1" t="s">
        <v>432</v>
      </c>
      <c r="J463" s="37" t="s">
        <v>1626</v>
      </c>
      <c r="K463" s="1" t="s">
        <v>1175</v>
      </c>
    </row>
    <row r="464" spans="1:11" ht="43.2" x14ac:dyDescent="0.3">
      <c r="A464" s="1">
        <v>487</v>
      </c>
      <c r="B464" s="1" t="s">
        <v>316</v>
      </c>
      <c r="E464" s="1" t="s">
        <v>799</v>
      </c>
      <c r="F464" s="1" t="s">
        <v>784</v>
      </c>
      <c r="H464" s="1" t="s">
        <v>432</v>
      </c>
      <c r="J464" s="37" t="s">
        <v>1626</v>
      </c>
      <c r="K464" s="1" t="s">
        <v>1175</v>
      </c>
    </row>
    <row r="465" spans="1:11" ht="43.2" x14ac:dyDescent="0.3">
      <c r="A465" s="1">
        <v>488</v>
      </c>
      <c r="B465" s="1" t="s">
        <v>317</v>
      </c>
      <c r="E465" s="1" t="s">
        <v>799</v>
      </c>
      <c r="F465" s="1" t="s">
        <v>784</v>
      </c>
      <c r="H465" s="1" t="s">
        <v>433</v>
      </c>
      <c r="J465" s="37" t="s">
        <v>1626</v>
      </c>
      <c r="K465" s="1" t="s">
        <v>1175</v>
      </c>
    </row>
    <row r="466" spans="1:11" ht="43.2" x14ac:dyDescent="0.3">
      <c r="A466" s="1">
        <v>489</v>
      </c>
      <c r="B466" s="1" t="s">
        <v>318</v>
      </c>
      <c r="E466" s="1" t="s">
        <v>799</v>
      </c>
      <c r="F466" s="1" t="s">
        <v>784</v>
      </c>
      <c r="H466" s="1" t="s">
        <v>433</v>
      </c>
      <c r="J466" s="37" t="s">
        <v>1626</v>
      </c>
      <c r="K466" s="1" t="s">
        <v>1175</v>
      </c>
    </row>
    <row r="467" spans="1:11" ht="43.2" x14ac:dyDescent="0.3">
      <c r="A467" s="1">
        <v>490</v>
      </c>
      <c r="B467" s="1" t="s">
        <v>319</v>
      </c>
      <c r="E467" s="1" t="s">
        <v>799</v>
      </c>
      <c r="F467" s="1" t="s">
        <v>784</v>
      </c>
      <c r="H467" s="1" t="s">
        <v>433</v>
      </c>
      <c r="J467" s="37" t="s">
        <v>1626</v>
      </c>
      <c r="K467" s="1" t="s">
        <v>1175</v>
      </c>
    </row>
    <row r="468" spans="1:11" ht="43.2" x14ac:dyDescent="0.3">
      <c r="A468" s="1">
        <v>491</v>
      </c>
      <c r="B468" s="1" t="s">
        <v>320</v>
      </c>
      <c r="E468" s="1" t="s">
        <v>799</v>
      </c>
      <c r="F468" s="1" t="s">
        <v>784</v>
      </c>
      <c r="H468" s="1" t="s">
        <v>433</v>
      </c>
      <c r="J468" s="37" t="s">
        <v>1626</v>
      </c>
      <c r="K468" s="1" t="s">
        <v>1175</v>
      </c>
    </row>
    <row r="469" spans="1:11" ht="43.2" x14ac:dyDescent="0.3">
      <c r="A469" s="1">
        <v>492</v>
      </c>
      <c r="B469" s="1" t="s">
        <v>321</v>
      </c>
      <c r="E469" s="1" t="s">
        <v>799</v>
      </c>
      <c r="F469" s="1" t="s">
        <v>784</v>
      </c>
      <c r="H469" s="1" t="s">
        <v>432</v>
      </c>
      <c r="J469" s="37" t="s">
        <v>1626</v>
      </c>
      <c r="K469" s="1" t="s">
        <v>1175</v>
      </c>
    </row>
    <row r="470" spans="1:11" ht="43.2" x14ac:dyDescent="0.3">
      <c r="A470" s="1">
        <v>493</v>
      </c>
      <c r="B470" s="1" t="s">
        <v>322</v>
      </c>
      <c r="E470" s="1" t="s">
        <v>799</v>
      </c>
      <c r="F470" s="1" t="s">
        <v>784</v>
      </c>
      <c r="H470" s="1" t="s">
        <v>432</v>
      </c>
      <c r="J470" s="37" t="s">
        <v>1626</v>
      </c>
      <c r="K470" s="1" t="s">
        <v>1175</v>
      </c>
    </row>
    <row r="471" spans="1:11" ht="43.2" x14ac:dyDescent="0.3">
      <c r="A471" s="1">
        <v>494</v>
      </c>
      <c r="B471" s="1" t="s">
        <v>323</v>
      </c>
      <c r="E471" s="1" t="s">
        <v>799</v>
      </c>
      <c r="F471" s="1" t="s">
        <v>784</v>
      </c>
      <c r="H471" s="1" t="s">
        <v>432</v>
      </c>
      <c r="J471" s="37" t="s">
        <v>1626</v>
      </c>
      <c r="K471" s="1" t="s">
        <v>1175</v>
      </c>
    </row>
    <row r="472" spans="1:11" ht="43.2" x14ac:dyDescent="0.3">
      <c r="A472" s="1">
        <v>495</v>
      </c>
      <c r="B472" s="1" t="s">
        <v>324</v>
      </c>
      <c r="E472" s="1" t="s">
        <v>799</v>
      </c>
      <c r="F472" s="1" t="s">
        <v>784</v>
      </c>
      <c r="H472" s="1" t="s">
        <v>432</v>
      </c>
      <c r="J472" s="37" t="s">
        <v>1626</v>
      </c>
      <c r="K472" s="1" t="s">
        <v>1175</v>
      </c>
    </row>
    <row r="473" spans="1:11" ht="43.2" x14ac:dyDescent="0.3">
      <c r="A473" s="1">
        <v>496</v>
      </c>
      <c r="B473" s="1" t="s">
        <v>325</v>
      </c>
      <c r="E473" s="1" t="s">
        <v>799</v>
      </c>
      <c r="F473" s="1" t="s">
        <v>784</v>
      </c>
      <c r="H473" s="1" t="s">
        <v>432</v>
      </c>
      <c r="J473" s="37" t="s">
        <v>1626</v>
      </c>
      <c r="K473" s="1" t="s">
        <v>1175</v>
      </c>
    </row>
    <row r="474" spans="1:11" ht="43.2" x14ac:dyDescent="0.3">
      <c r="A474" s="1">
        <v>497</v>
      </c>
      <c r="B474" s="1" t="s">
        <v>326</v>
      </c>
      <c r="E474" s="1" t="s">
        <v>799</v>
      </c>
      <c r="F474" s="1" t="s">
        <v>784</v>
      </c>
      <c r="H474" s="1" t="s">
        <v>432</v>
      </c>
      <c r="J474" s="37" t="s">
        <v>1626</v>
      </c>
      <c r="K474" s="1" t="s">
        <v>1175</v>
      </c>
    </row>
    <row r="475" spans="1:11" ht="43.2" x14ac:dyDescent="0.3">
      <c r="A475" s="1">
        <v>498</v>
      </c>
      <c r="B475" s="1" t="s">
        <v>312</v>
      </c>
      <c r="E475" s="1" t="s">
        <v>1246</v>
      </c>
      <c r="F475" s="1" t="s">
        <v>466</v>
      </c>
      <c r="H475" s="1" t="s">
        <v>1240</v>
      </c>
      <c r="J475" s="37" t="s">
        <v>1626</v>
      </c>
      <c r="K475" s="1" t="s">
        <v>1175</v>
      </c>
    </row>
    <row r="476" spans="1:11" ht="43.2" x14ac:dyDescent="0.3">
      <c r="A476" s="1">
        <v>499</v>
      </c>
      <c r="B476" s="1" t="s">
        <v>313</v>
      </c>
      <c r="E476" s="1" t="s">
        <v>1246</v>
      </c>
      <c r="F476" s="1" t="s">
        <v>466</v>
      </c>
      <c r="H476" s="1" t="s">
        <v>432</v>
      </c>
      <c r="J476" s="37" t="s">
        <v>1626</v>
      </c>
      <c r="K476" s="1" t="s">
        <v>1175</v>
      </c>
    </row>
    <row r="477" spans="1:11" ht="43.2" x14ac:dyDescent="0.3">
      <c r="A477" s="1">
        <v>500</v>
      </c>
      <c r="B477" s="1" t="s">
        <v>314</v>
      </c>
      <c r="E477" s="1" t="s">
        <v>1246</v>
      </c>
      <c r="F477" s="1" t="s">
        <v>466</v>
      </c>
      <c r="H477" s="1" t="s">
        <v>432</v>
      </c>
      <c r="J477" s="37" t="s">
        <v>1626</v>
      </c>
      <c r="K477" s="1" t="s">
        <v>1175</v>
      </c>
    </row>
    <row r="478" spans="1:11" ht="43.2" x14ac:dyDescent="0.3">
      <c r="A478" s="1">
        <v>501</v>
      </c>
      <c r="B478" s="1" t="s">
        <v>315</v>
      </c>
      <c r="E478" s="1" t="s">
        <v>1246</v>
      </c>
      <c r="F478" s="1" t="s">
        <v>466</v>
      </c>
      <c r="H478" s="1" t="s">
        <v>432</v>
      </c>
      <c r="J478" s="37" t="s">
        <v>1626</v>
      </c>
      <c r="K478" s="1" t="s">
        <v>1175</v>
      </c>
    </row>
    <row r="479" spans="1:11" ht="43.2" x14ac:dyDescent="0.3">
      <c r="A479" s="1">
        <v>502</v>
      </c>
      <c r="B479" s="1" t="s">
        <v>316</v>
      </c>
      <c r="E479" s="1" t="s">
        <v>1246</v>
      </c>
      <c r="F479" s="1" t="s">
        <v>466</v>
      </c>
      <c r="H479" s="1" t="s">
        <v>432</v>
      </c>
      <c r="J479" s="37" t="s">
        <v>1626</v>
      </c>
      <c r="K479" s="1" t="s">
        <v>1175</v>
      </c>
    </row>
    <row r="480" spans="1:11" ht="43.2" x14ac:dyDescent="0.3">
      <c r="A480" s="1">
        <v>503</v>
      </c>
      <c r="B480" s="1" t="s">
        <v>317</v>
      </c>
      <c r="E480" s="1" t="s">
        <v>1246</v>
      </c>
      <c r="F480" s="1" t="s">
        <v>466</v>
      </c>
      <c r="H480" s="1" t="s">
        <v>433</v>
      </c>
      <c r="J480" s="37" t="s">
        <v>1626</v>
      </c>
      <c r="K480" s="1" t="s">
        <v>1175</v>
      </c>
    </row>
    <row r="481" spans="1:11" ht="43.2" x14ac:dyDescent="0.3">
      <c r="A481" s="1">
        <v>504</v>
      </c>
      <c r="B481" s="1" t="s">
        <v>318</v>
      </c>
      <c r="E481" s="1" t="s">
        <v>1246</v>
      </c>
      <c r="F481" s="1" t="s">
        <v>466</v>
      </c>
      <c r="H481" s="1" t="s">
        <v>433</v>
      </c>
      <c r="J481" s="37" t="s">
        <v>1626</v>
      </c>
      <c r="K481" s="1" t="s">
        <v>1175</v>
      </c>
    </row>
    <row r="482" spans="1:11" ht="43.2" x14ac:dyDescent="0.3">
      <c r="A482" s="1">
        <v>505</v>
      </c>
      <c r="B482" s="1" t="s">
        <v>319</v>
      </c>
      <c r="E482" s="1" t="s">
        <v>1246</v>
      </c>
      <c r="F482" s="1" t="s">
        <v>466</v>
      </c>
      <c r="H482" s="1" t="s">
        <v>433</v>
      </c>
      <c r="J482" s="37" t="s">
        <v>1626</v>
      </c>
      <c r="K482" s="1" t="s">
        <v>1175</v>
      </c>
    </row>
    <row r="483" spans="1:11" ht="43.2" x14ac:dyDescent="0.3">
      <c r="A483" s="1">
        <v>506</v>
      </c>
      <c r="B483" s="1" t="s">
        <v>320</v>
      </c>
      <c r="E483" s="1" t="s">
        <v>1246</v>
      </c>
      <c r="F483" s="1" t="s">
        <v>466</v>
      </c>
      <c r="H483" s="1" t="s">
        <v>433</v>
      </c>
      <c r="J483" s="37" t="s">
        <v>1626</v>
      </c>
      <c r="K483" s="1" t="s">
        <v>1175</v>
      </c>
    </row>
    <row r="484" spans="1:11" ht="43.2" x14ac:dyDescent="0.3">
      <c r="A484" s="1">
        <v>507</v>
      </c>
      <c r="B484" s="1" t="s">
        <v>321</v>
      </c>
      <c r="E484" s="1" t="s">
        <v>1246</v>
      </c>
      <c r="F484" s="1" t="s">
        <v>466</v>
      </c>
      <c r="H484" s="1" t="s">
        <v>432</v>
      </c>
      <c r="J484" s="37" t="s">
        <v>1626</v>
      </c>
      <c r="K484" s="1" t="s">
        <v>1175</v>
      </c>
    </row>
    <row r="485" spans="1:11" ht="43.2" x14ac:dyDescent="0.3">
      <c r="A485" s="1">
        <v>508</v>
      </c>
      <c r="B485" s="1" t="s">
        <v>322</v>
      </c>
      <c r="E485" s="1" t="s">
        <v>1246</v>
      </c>
      <c r="F485" s="1" t="s">
        <v>466</v>
      </c>
      <c r="H485" s="1" t="s">
        <v>432</v>
      </c>
      <c r="J485" s="37" t="s">
        <v>1626</v>
      </c>
      <c r="K485" s="1" t="s">
        <v>1175</v>
      </c>
    </row>
    <row r="486" spans="1:11" ht="43.2" x14ac:dyDescent="0.3">
      <c r="A486" s="1">
        <v>509</v>
      </c>
      <c r="B486" s="1" t="s">
        <v>323</v>
      </c>
      <c r="E486" s="1" t="s">
        <v>1246</v>
      </c>
      <c r="F486" s="1" t="s">
        <v>466</v>
      </c>
      <c r="H486" s="1" t="s">
        <v>433</v>
      </c>
      <c r="J486" s="37" t="s">
        <v>1626</v>
      </c>
      <c r="K486" s="1" t="s">
        <v>1175</v>
      </c>
    </row>
    <row r="487" spans="1:11" ht="43.2" x14ac:dyDescent="0.3">
      <c r="A487" s="1">
        <v>510</v>
      </c>
      <c r="B487" s="1" t="s">
        <v>324</v>
      </c>
      <c r="E487" s="1" t="s">
        <v>1246</v>
      </c>
      <c r="F487" s="1" t="s">
        <v>466</v>
      </c>
      <c r="H487" s="1" t="s">
        <v>432</v>
      </c>
      <c r="J487" s="37" t="s">
        <v>1626</v>
      </c>
      <c r="K487" s="1" t="s">
        <v>1175</v>
      </c>
    </row>
    <row r="488" spans="1:11" ht="43.2" x14ac:dyDescent="0.3">
      <c r="A488" s="1">
        <v>511</v>
      </c>
      <c r="B488" s="1" t="s">
        <v>325</v>
      </c>
      <c r="E488" s="1" t="s">
        <v>1246</v>
      </c>
      <c r="F488" s="1" t="s">
        <v>466</v>
      </c>
      <c r="H488" s="1" t="s">
        <v>432</v>
      </c>
      <c r="J488" s="37" t="s">
        <v>1626</v>
      </c>
      <c r="K488" s="1" t="s">
        <v>1175</v>
      </c>
    </row>
    <row r="489" spans="1:11" ht="43.2" x14ac:dyDescent="0.3">
      <c r="A489" s="1">
        <v>512</v>
      </c>
      <c r="B489" s="1" t="s">
        <v>326</v>
      </c>
      <c r="E489" s="1" t="s">
        <v>1246</v>
      </c>
      <c r="F489" s="1" t="s">
        <v>466</v>
      </c>
      <c r="H489" s="1" t="s">
        <v>432</v>
      </c>
      <c r="J489" s="37" t="s">
        <v>1626</v>
      </c>
      <c r="K489" s="1" t="s">
        <v>1175</v>
      </c>
    </row>
    <row r="490" spans="1:11" ht="43.2" x14ac:dyDescent="0.3">
      <c r="A490" s="1">
        <v>513</v>
      </c>
      <c r="B490" s="1" t="s">
        <v>312</v>
      </c>
      <c r="E490" s="1" t="s">
        <v>742</v>
      </c>
      <c r="F490" s="1" t="s">
        <v>466</v>
      </c>
      <c r="H490" s="1" t="s">
        <v>735</v>
      </c>
      <c r="J490" s="37" t="s">
        <v>1626</v>
      </c>
      <c r="K490" s="1" t="s">
        <v>1175</v>
      </c>
    </row>
    <row r="491" spans="1:11" ht="43.2" x14ac:dyDescent="0.3">
      <c r="A491" s="1">
        <v>514</v>
      </c>
      <c r="B491" s="1" t="s">
        <v>313</v>
      </c>
      <c r="E491" s="1" t="s">
        <v>742</v>
      </c>
      <c r="F491" s="1" t="s">
        <v>466</v>
      </c>
      <c r="H491" s="1" t="s">
        <v>432</v>
      </c>
      <c r="J491" s="37" t="s">
        <v>1626</v>
      </c>
      <c r="K491" s="1" t="s">
        <v>1175</v>
      </c>
    </row>
    <row r="492" spans="1:11" ht="43.2" x14ac:dyDescent="0.3">
      <c r="A492" s="1">
        <v>515</v>
      </c>
      <c r="B492" s="1" t="s">
        <v>314</v>
      </c>
      <c r="E492" s="1" t="s">
        <v>742</v>
      </c>
      <c r="F492" s="1" t="s">
        <v>466</v>
      </c>
      <c r="H492" s="1" t="s">
        <v>432</v>
      </c>
      <c r="J492" s="37" t="s">
        <v>1626</v>
      </c>
      <c r="K492" s="1" t="s">
        <v>1175</v>
      </c>
    </row>
    <row r="493" spans="1:11" ht="43.2" x14ac:dyDescent="0.3">
      <c r="A493" s="1">
        <v>516</v>
      </c>
      <c r="B493" s="1" t="s">
        <v>315</v>
      </c>
      <c r="E493" s="1" t="s">
        <v>742</v>
      </c>
      <c r="F493" s="1" t="s">
        <v>466</v>
      </c>
      <c r="H493" s="1" t="s">
        <v>433</v>
      </c>
      <c r="J493" s="37" t="s">
        <v>1626</v>
      </c>
      <c r="K493" s="1" t="s">
        <v>1175</v>
      </c>
    </row>
    <row r="494" spans="1:11" ht="43.2" x14ac:dyDescent="0.3">
      <c r="A494" s="1">
        <v>517</v>
      </c>
      <c r="B494" s="1" t="s">
        <v>316</v>
      </c>
      <c r="E494" s="1" t="s">
        <v>742</v>
      </c>
      <c r="F494" s="1" t="s">
        <v>466</v>
      </c>
      <c r="H494" s="1" t="s">
        <v>433</v>
      </c>
      <c r="J494" s="37" t="s">
        <v>1626</v>
      </c>
      <c r="K494" s="1" t="s">
        <v>1175</v>
      </c>
    </row>
    <row r="495" spans="1:11" ht="43.2" x14ac:dyDescent="0.3">
      <c r="A495" s="1">
        <v>518</v>
      </c>
      <c r="B495" s="1" t="s">
        <v>317</v>
      </c>
      <c r="E495" s="1" t="s">
        <v>742</v>
      </c>
      <c r="F495" s="1" t="s">
        <v>466</v>
      </c>
      <c r="H495" s="1" t="s">
        <v>432</v>
      </c>
      <c r="J495" s="37" t="s">
        <v>1626</v>
      </c>
      <c r="K495" s="1" t="s">
        <v>1175</v>
      </c>
    </row>
    <row r="496" spans="1:11" ht="43.2" x14ac:dyDescent="0.3">
      <c r="A496" s="1">
        <v>519</v>
      </c>
      <c r="B496" s="1" t="s">
        <v>318</v>
      </c>
      <c r="E496" s="1" t="s">
        <v>742</v>
      </c>
      <c r="F496" s="1" t="s">
        <v>466</v>
      </c>
      <c r="H496" s="1" t="s">
        <v>433</v>
      </c>
      <c r="J496" s="37" t="s">
        <v>1626</v>
      </c>
      <c r="K496" s="1" t="s">
        <v>1175</v>
      </c>
    </row>
    <row r="497" spans="1:11" ht="43.2" x14ac:dyDescent="0.3">
      <c r="A497" s="1">
        <v>520</v>
      </c>
      <c r="B497" s="1" t="s">
        <v>319</v>
      </c>
      <c r="E497" s="1" t="s">
        <v>742</v>
      </c>
      <c r="F497" s="1" t="s">
        <v>466</v>
      </c>
      <c r="H497" s="1" t="s">
        <v>432</v>
      </c>
      <c r="J497" s="37" t="s">
        <v>1626</v>
      </c>
      <c r="K497" s="1" t="s">
        <v>1175</v>
      </c>
    </row>
    <row r="498" spans="1:11" ht="43.2" x14ac:dyDescent="0.3">
      <c r="A498" s="1">
        <v>521</v>
      </c>
      <c r="B498" s="1" t="s">
        <v>320</v>
      </c>
      <c r="E498" s="1" t="s">
        <v>742</v>
      </c>
      <c r="F498" s="1" t="s">
        <v>466</v>
      </c>
      <c r="H498" s="1" t="s">
        <v>432</v>
      </c>
      <c r="J498" s="37" t="s">
        <v>1626</v>
      </c>
      <c r="K498" s="1" t="s">
        <v>1175</v>
      </c>
    </row>
    <row r="499" spans="1:11" ht="43.2" x14ac:dyDescent="0.3">
      <c r="A499" s="1">
        <v>522</v>
      </c>
      <c r="B499" s="1" t="s">
        <v>321</v>
      </c>
      <c r="E499" s="1" t="s">
        <v>742</v>
      </c>
      <c r="F499" s="1" t="s">
        <v>466</v>
      </c>
      <c r="H499" s="1" t="s">
        <v>432</v>
      </c>
      <c r="J499" s="37" t="s">
        <v>1626</v>
      </c>
      <c r="K499" s="1" t="s">
        <v>1175</v>
      </c>
    </row>
    <row r="500" spans="1:11" ht="43.2" x14ac:dyDescent="0.3">
      <c r="A500" s="1">
        <v>523</v>
      </c>
      <c r="B500" s="1" t="s">
        <v>322</v>
      </c>
      <c r="E500" s="1" t="s">
        <v>742</v>
      </c>
      <c r="F500" s="1" t="s">
        <v>466</v>
      </c>
      <c r="H500" s="1" t="s">
        <v>432</v>
      </c>
      <c r="J500" s="37" t="s">
        <v>1626</v>
      </c>
      <c r="K500" s="1" t="s">
        <v>1175</v>
      </c>
    </row>
    <row r="501" spans="1:11" ht="43.2" x14ac:dyDescent="0.3">
      <c r="A501" s="1">
        <v>524</v>
      </c>
      <c r="B501" s="1" t="s">
        <v>323</v>
      </c>
      <c r="E501" s="1" t="s">
        <v>742</v>
      </c>
      <c r="F501" s="1" t="s">
        <v>466</v>
      </c>
      <c r="H501" s="1" t="s">
        <v>432</v>
      </c>
      <c r="J501" s="37" t="s">
        <v>1626</v>
      </c>
      <c r="K501" s="1" t="s">
        <v>1175</v>
      </c>
    </row>
    <row r="502" spans="1:11" ht="43.2" x14ac:dyDescent="0.3">
      <c r="A502" s="1">
        <v>525</v>
      </c>
      <c r="B502" s="1" t="s">
        <v>324</v>
      </c>
      <c r="E502" s="1" t="s">
        <v>742</v>
      </c>
      <c r="F502" s="1" t="s">
        <v>466</v>
      </c>
      <c r="H502" s="1" t="s">
        <v>432</v>
      </c>
      <c r="J502" s="37" t="s">
        <v>1626</v>
      </c>
      <c r="K502" s="1" t="s">
        <v>1175</v>
      </c>
    </row>
    <row r="503" spans="1:11" ht="43.2" x14ac:dyDescent="0.3">
      <c r="A503" s="1">
        <v>526</v>
      </c>
      <c r="B503" s="1" t="s">
        <v>325</v>
      </c>
      <c r="E503" s="1" t="s">
        <v>742</v>
      </c>
      <c r="F503" s="1" t="s">
        <v>466</v>
      </c>
      <c r="H503" s="1" t="s">
        <v>432</v>
      </c>
      <c r="J503" s="37" t="s">
        <v>1626</v>
      </c>
      <c r="K503" s="1" t="s">
        <v>1175</v>
      </c>
    </row>
    <row r="504" spans="1:11" ht="43.2" x14ac:dyDescent="0.3">
      <c r="A504" s="1">
        <v>527</v>
      </c>
      <c r="B504" s="1" t="s">
        <v>326</v>
      </c>
      <c r="E504" s="1" t="s">
        <v>742</v>
      </c>
      <c r="F504" s="1" t="s">
        <v>466</v>
      </c>
      <c r="H504" s="1" t="s">
        <v>432</v>
      </c>
      <c r="J504" s="37" t="s">
        <v>1626</v>
      </c>
      <c r="K504" s="1" t="s">
        <v>1175</v>
      </c>
    </row>
    <row r="505" spans="1:11" ht="43.2" x14ac:dyDescent="0.3">
      <c r="A505" s="1">
        <v>528</v>
      </c>
      <c r="B505" s="1" t="s">
        <v>328</v>
      </c>
      <c r="E505" s="1" t="s">
        <v>1536</v>
      </c>
      <c r="F505" s="1" t="s">
        <v>633</v>
      </c>
      <c r="H505" s="1" t="s">
        <v>433</v>
      </c>
      <c r="J505" s="37" t="s">
        <v>1626</v>
      </c>
      <c r="K505" s="1" t="s">
        <v>1175</v>
      </c>
    </row>
    <row r="506" spans="1:11" ht="43.2" x14ac:dyDescent="0.3">
      <c r="A506" s="1">
        <v>529</v>
      </c>
      <c r="B506" s="1" t="s">
        <v>328</v>
      </c>
      <c r="E506" s="1" t="s">
        <v>1333</v>
      </c>
      <c r="F506" s="1" t="s">
        <v>1320</v>
      </c>
      <c r="H506" s="1" t="s">
        <v>435</v>
      </c>
      <c r="J506" s="37" t="s">
        <v>1626</v>
      </c>
      <c r="K506" s="1" t="s">
        <v>1175</v>
      </c>
    </row>
    <row r="507" spans="1:11" ht="43.2" x14ac:dyDescent="0.3">
      <c r="A507" s="1">
        <v>530</v>
      </c>
      <c r="B507" s="1" t="s">
        <v>328</v>
      </c>
      <c r="E507" s="1" t="s">
        <v>1402</v>
      </c>
      <c r="F507" s="1" t="s">
        <v>1126</v>
      </c>
      <c r="H507" s="1" t="s">
        <v>449</v>
      </c>
      <c r="J507" s="37" t="s">
        <v>1626</v>
      </c>
      <c r="K507" s="1" t="s">
        <v>1175</v>
      </c>
    </row>
    <row r="508" spans="1:11" ht="43.2" x14ac:dyDescent="0.3">
      <c r="A508" s="1">
        <v>531</v>
      </c>
      <c r="B508" s="1" t="s">
        <v>328</v>
      </c>
      <c r="E508" s="1" t="s">
        <v>1422</v>
      </c>
      <c r="F508" s="1" t="s">
        <v>1320</v>
      </c>
      <c r="H508" s="1" t="s">
        <v>757</v>
      </c>
      <c r="J508" s="37" t="s">
        <v>1626</v>
      </c>
      <c r="K508" s="1" t="s">
        <v>1175</v>
      </c>
    </row>
    <row r="509" spans="1:11" ht="43.2" x14ac:dyDescent="0.3">
      <c r="A509" s="1">
        <v>532</v>
      </c>
      <c r="B509" s="1" t="s">
        <v>328</v>
      </c>
      <c r="E509" s="1" t="s">
        <v>1411</v>
      </c>
      <c r="F509" s="1" t="s">
        <v>1320</v>
      </c>
      <c r="H509" s="1" t="s">
        <v>425</v>
      </c>
      <c r="J509" s="37" t="s">
        <v>1626</v>
      </c>
      <c r="K509" s="1" t="s">
        <v>1175</v>
      </c>
    </row>
    <row r="510" spans="1:11" ht="43.2" x14ac:dyDescent="0.3">
      <c r="A510" s="1">
        <v>533</v>
      </c>
      <c r="B510" s="1" t="s">
        <v>328</v>
      </c>
      <c r="E510" s="1" t="s">
        <v>1521</v>
      </c>
      <c r="F510" s="1" t="s">
        <v>466</v>
      </c>
      <c r="H510" s="1" t="s">
        <v>1356</v>
      </c>
      <c r="J510" s="37" t="s">
        <v>1626</v>
      </c>
      <c r="K510" s="1" t="s">
        <v>1175</v>
      </c>
    </row>
    <row r="511" spans="1:11" ht="43.2" x14ac:dyDescent="0.3">
      <c r="A511" s="1">
        <v>534</v>
      </c>
      <c r="B511" s="1" t="s">
        <v>328</v>
      </c>
      <c r="E511" s="1" t="s">
        <v>1054</v>
      </c>
      <c r="F511" s="1" t="s">
        <v>893</v>
      </c>
      <c r="H511" s="1" t="s">
        <v>433</v>
      </c>
      <c r="J511" s="37" t="s">
        <v>1626</v>
      </c>
      <c r="K511" s="1" t="s">
        <v>1175</v>
      </c>
    </row>
    <row r="512" spans="1:11" ht="43.2" x14ac:dyDescent="0.3">
      <c r="A512" s="1">
        <v>535</v>
      </c>
      <c r="B512" s="1" t="s">
        <v>328</v>
      </c>
      <c r="E512" s="1" t="s">
        <v>799</v>
      </c>
      <c r="F512" s="1" t="s">
        <v>784</v>
      </c>
      <c r="H512" s="1" t="s">
        <v>476</v>
      </c>
      <c r="J512" s="37" t="s">
        <v>1626</v>
      </c>
      <c r="K512" s="1" t="s">
        <v>1175</v>
      </c>
    </row>
    <row r="513" spans="1:11" ht="43.2" x14ac:dyDescent="0.3">
      <c r="A513" s="1">
        <v>536</v>
      </c>
      <c r="B513" s="1" t="s">
        <v>328</v>
      </c>
      <c r="E513" s="1" t="s">
        <v>1246</v>
      </c>
      <c r="F513" s="1" t="s">
        <v>466</v>
      </c>
      <c r="H513" s="1" t="s">
        <v>709</v>
      </c>
      <c r="J513" s="37" t="s">
        <v>1626</v>
      </c>
      <c r="K513" s="1" t="s">
        <v>1175</v>
      </c>
    </row>
    <row r="514" spans="1:11" ht="43.2" x14ac:dyDescent="0.3">
      <c r="A514" s="1">
        <v>537</v>
      </c>
      <c r="B514" s="1" t="s">
        <v>328</v>
      </c>
      <c r="E514" s="1" t="s">
        <v>742</v>
      </c>
      <c r="F514" s="1" t="s">
        <v>466</v>
      </c>
      <c r="H514" s="1" t="s">
        <v>736</v>
      </c>
      <c r="J514" s="37" t="s">
        <v>1626</v>
      </c>
      <c r="K514" s="1" t="s">
        <v>1175</v>
      </c>
    </row>
    <row r="515" spans="1:11" ht="43.2" x14ac:dyDescent="0.3">
      <c r="A515" s="1">
        <v>538</v>
      </c>
      <c r="B515" s="1" t="s">
        <v>329</v>
      </c>
      <c r="E515" s="1" t="s">
        <v>1402</v>
      </c>
      <c r="F515" s="1" t="s">
        <v>1126</v>
      </c>
      <c r="H515" s="1" t="s">
        <v>1399</v>
      </c>
      <c r="J515" s="37" t="s">
        <v>1626</v>
      </c>
      <c r="K515" s="1" t="s">
        <v>1175</v>
      </c>
    </row>
    <row r="516" spans="1:11" ht="43.2" x14ac:dyDescent="0.3">
      <c r="A516" s="1">
        <v>539</v>
      </c>
      <c r="B516" s="1" t="s">
        <v>330</v>
      </c>
      <c r="E516" s="1" t="s">
        <v>1402</v>
      </c>
      <c r="F516" s="1" t="s">
        <v>1126</v>
      </c>
      <c r="H516" s="1" t="s">
        <v>432</v>
      </c>
      <c r="J516" s="37" t="s">
        <v>1626</v>
      </c>
      <c r="K516" s="1" t="s">
        <v>1175</v>
      </c>
    </row>
    <row r="517" spans="1:11" ht="43.2" x14ac:dyDescent="0.3">
      <c r="A517" s="1">
        <v>540</v>
      </c>
      <c r="B517" s="1" t="s">
        <v>331</v>
      </c>
      <c r="E517" s="1" t="s">
        <v>1402</v>
      </c>
      <c r="F517" s="1" t="s">
        <v>1126</v>
      </c>
      <c r="H517" s="1" t="s">
        <v>432</v>
      </c>
      <c r="J517" s="37" t="s">
        <v>1626</v>
      </c>
      <c r="K517" s="1" t="s">
        <v>1175</v>
      </c>
    </row>
    <row r="518" spans="1:11" ht="43.2" x14ac:dyDescent="0.3">
      <c r="A518" s="1">
        <v>541</v>
      </c>
      <c r="B518" s="1" t="s">
        <v>332</v>
      </c>
      <c r="E518" s="1" t="s">
        <v>1402</v>
      </c>
      <c r="F518" s="1" t="s">
        <v>1126</v>
      </c>
      <c r="H518" s="1" t="s">
        <v>432</v>
      </c>
      <c r="J518" s="37" t="s">
        <v>1626</v>
      </c>
      <c r="K518" s="1" t="s">
        <v>1175</v>
      </c>
    </row>
    <row r="519" spans="1:11" ht="43.2" x14ac:dyDescent="0.3">
      <c r="A519" s="1">
        <v>542</v>
      </c>
      <c r="B519" s="1" t="s">
        <v>333</v>
      </c>
      <c r="E519" s="1" t="s">
        <v>1402</v>
      </c>
      <c r="F519" s="1" t="s">
        <v>1126</v>
      </c>
      <c r="H519" s="1" t="s">
        <v>433</v>
      </c>
      <c r="J519" s="37" t="s">
        <v>1626</v>
      </c>
      <c r="K519" s="1" t="s">
        <v>1175</v>
      </c>
    </row>
    <row r="520" spans="1:11" ht="43.2" x14ac:dyDescent="0.3">
      <c r="A520" s="1">
        <v>543</v>
      </c>
      <c r="B520" s="1" t="s">
        <v>334</v>
      </c>
      <c r="E520" s="1" t="s">
        <v>1402</v>
      </c>
      <c r="F520" s="1" t="s">
        <v>1126</v>
      </c>
      <c r="H520" s="1" t="s">
        <v>432</v>
      </c>
      <c r="J520" s="37" t="s">
        <v>1626</v>
      </c>
      <c r="K520" s="1" t="s">
        <v>1175</v>
      </c>
    </row>
    <row r="521" spans="1:11" ht="43.2" x14ac:dyDescent="0.3">
      <c r="A521" s="1">
        <v>544</v>
      </c>
      <c r="B521" s="1" t="s">
        <v>335</v>
      </c>
      <c r="E521" s="1" t="s">
        <v>1402</v>
      </c>
      <c r="F521" s="1" t="s">
        <v>1126</v>
      </c>
      <c r="H521" s="1" t="s">
        <v>432</v>
      </c>
      <c r="J521" s="37" t="s">
        <v>1626</v>
      </c>
      <c r="K521" s="1" t="s">
        <v>1175</v>
      </c>
    </row>
    <row r="522" spans="1:11" ht="43.2" x14ac:dyDescent="0.3">
      <c r="A522" s="1">
        <v>545</v>
      </c>
      <c r="B522" s="1" t="s">
        <v>336</v>
      </c>
      <c r="E522" s="1" t="s">
        <v>1402</v>
      </c>
      <c r="F522" s="1" t="s">
        <v>1126</v>
      </c>
      <c r="H522" s="1" t="s">
        <v>432</v>
      </c>
      <c r="J522" s="37" t="s">
        <v>1626</v>
      </c>
      <c r="K522" s="1" t="s">
        <v>1175</v>
      </c>
    </row>
    <row r="523" spans="1:11" ht="43.2" x14ac:dyDescent="0.3">
      <c r="A523" s="1">
        <v>546</v>
      </c>
      <c r="B523" s="1" t="s">
        <v>337</v>
      </c>
      <c r="E523" s="1" t="s">
        <v>1402</v>
      </c>
      <c r="F523" s="1" t="s">
        <v>1126</v>
      </c>
      <c r="H523" s="1" t="s">
        <v>433</v>
      </c>
      <c r="J523" s="37" t="s">
        <v>1626</v>
      </c>
      <c r="K523" s="1" t="s">
        <v>1175</v>
      </c>
    </row>
    <row r="524" spans="1:11" ht="43.2" x14ac:dyDescent="0.3">
      <c r="A524" s="1">
        <v>547</v>
      </c>
      <c r="B524" s="1" t="s">
        <v>338</v>
      </c>
      <c r="E524" s="1" t="s">
        <v>1402</v>
      </c>
      <c r="F524" s="1" t="s">
        <v>1126</v>
      </c>
      <c r="H524" s="1" t="s">
        <v>432</v>
      </c>
      <c r="J524" s="37" t="s">
        <v>1626</v>
      </c>
      <c r="K524" s="1" t="s">
        <v>1175</v>
      </c>
    </row>
    <row r="525" spans="1:11" ht="43.2" x14ac:dyDescent="0.3">
      <c r="A525" s="1">
        <v>548</v>
      </c>
      <c r="B525" s="1" t="s">
        <v>339</v>
      </c>
      <c r="E525" s="1" t="s">
        <v>1402</v>
      </c>
      <c r="F525" s="1" t="s">
        <v>1126</v>
      </c>
      <c r="H525" s="1" t="s">
        <v>432</v>
      </c>
      <c r="J525" s="37" t="s">
        <v>1626</v>
      </c>
      <c r="K525" s="1" t="s">
        <v>1175</v>
      </c>
    </row>
    <row r="526" spans="1:11" ht="43.2" x14ac:dyDescent="0.3">
      <c r="A526" s="1">
        <v>549</v>
      </c>
      <c r="B526" s="1" t="s">
        <v>329</v>
      </c>
      <c r="E526" s="1" t="s">
        <v>1422</v>
      </c>
      <c r="F526" s="1" t="s">
        <v>1320</v>
      </c>
      <c r="H526" s="1" t="s">
        <v>773</v>
      </c>
      <c r="J526" s="37" t="s">
        <v>1626</v>
      </c>
      <c r="K526" s="1" t="s">
        <v>1175</v>
      </c>
    </row>
    <row r="527" spans="1:11" ht="43.2" x14ac:dyDescent="0.3">
      <c r="A527" s="1">
        <v>550</v>
      </c>
      <c r="B527" s="1" t="s">
        <v>330</v>
      </c>
      <c r="E527" s="1" t="s">
        <v>1422</v>
      </c>
      <c r="F527" s="1" t="s">
        <v>1320</v>
      </c>
      <c r="H527" s="1" t="s">
        <v>432</v>
      </c>
      <c r="J527" s="37" t="s">
        <v>1626</v>
      </c>
      <c r="K527" s="1" t="s">
        <v>1175</v>
      </c>
    </row>
    <row r="528" spans="1:11" ht="43.2" x14ac:dyDescent="0.3">
      <c r="A528" s="1">
        <v>551</v>
      </c>
      <c r="B528" s="1" t="s">
        <v>331</v>
      </c>
      <c r="E528" s="1" t="s">
        <v>1422</v>
      </c>
      <c r="F528" s="1" t="s">
        <v>1320</v>
      </c>
      <c r="H528" s="1" t="s">
        <v>432</v>
      </c>
      <c r="J528" s="37" t="s">
        <v>1626</v>
      </c>
      <c r="K528" s="1" t="s">
        <v>1175</v>
      </c>
    </row>
    <row r="529" spans="1:11" ht="43.2" x14ac:dyDescent="0.3">
      <c r="A529" s="1">
        <v>552</v>
      </c>
      <c r="B529" s="1" t="s">
        <v>332</v>
      </c>
      <c r="E529" s="1" t="s">
        <v>1422</v>
      </c>
      <c r="F529" s="1" t="s">
        <v>1320</v>
      </c>
      <c r="H529" s="1" t="s">
        <v>432</v>
      </c>
      <c r="J529" s="37" t="s">
        <v>1626</v>
      </c>
      <c r="K529" s="1" t="s">
        <v>1175</v>
      </c>
    </row>
    <row r="530" spans="1:11" ht="43.2" x14ac:dyDescent="0.3">
      <c r="A530" s="1">
        <v>553</v>
      </c>
      <c r="B530" s="1" t="s">
        <v>333</v>
      </c>
      <c r="E530" s="1" t="s">
        <v>1422</v>
      </c>
      <c r="F530" s="1" t="s">
        <v>1320</v>
      </c>
      <c r="H530" s="1" t="s">
        <v>432</v>
      </c>
      <c r="J530" s="37" t="s">
        <v>1626</v>
      </c>
      <c r="K530" s="1" t="s">
        <v>1175</v>
      </c>
    </row>
    <row r="531" spans="1:11" ht="43.2" x14ac:dyDescent="0.3">
      <c r="A531" s="1">
        <v>554</v>
      </c>
      <c r="B531" s="1" t="s">
        <v>334</v>
      </c>
      <c r="E531" s="1" t="s">
        <v>1422</v>
      </c>
      <c r="F531" s="1" t="s">
        <v>1320</v>
      </c>
      <c r="H531" s="1" t="s">
        <v>432</v>
      </c>
      <c r="J531" s="37" t="s">
        <v>1626</v>
      </c>
      <c r="K531" s="1" t="s">
        <v>1175</v>
      </c>
    </row>
    <row r="532" spans="1:11" ht="43.2" x14ac:dyDescent="0.3">
      <c r="A532" s="1">
        <v>555</v>
      </c>
      <c r="B532" s="1" t="s">
        <v>335</v>
      </c>
      <c r="E532" s="1" t="s">
        <v>1422</v>
      </c>
      <c r="F532" s="1" t="s">
        <v>1320</v>
      </c>
      <c r="H532" s="1" t="s">
        <v>432</v>
      </c>
      <c r="J532" s="37" t="s">
        <v>1626</v>
      </c>
      <c r="K532" s="1" t="s">
        <v>1175</v>
      </c>
    </row>
    <row r="533" spans="1:11" ht="43.2" x14ac:dyDescent="0.3">
      <c r="A533" s="1">
        <v>556</v>
      </c>
      <c r="B533" s="1" t="s">
        <v>336</v>
      </c>
      <c r="E533" s="1" t="s">
        <v>1422</v>
      </c>
      <c r="F533" s="1" t="s">
        <v>1320</v>
      </c>
      <c r="H533" s="1" t="s">
        <v>432</v>
      </c>
      <c r="J533" s="37" t="s">
        <v>1626</v>
      </c>
      <c r="K533" s="1" t="s">
        <v>1175</v>
      </c>
    </row>
    <row r="534" spans="1:11" ht="43.2" x14ac:dyDescent="0.3">
      <c r="A534" s="1">
        <v>557</v>
      </c>
      <c r="B534" s="1" t="s">
        <v>337</v>
      </c>
      <c r="E534" s="1" t="s">
        <v>1422</v>
      </c>
      <c r="F534" s="1" t="s">
        <v>1320</v>
      </c>
      <c r="H534" s="1" t="s">
        <v>433</v>
      </c>
      <c r="J534" s="37" t="s">
        <v>1626</v>
      </c>
      <c r="K534" s="1" t="s">
        <v>1175</v>
      </c>
    </row>
    <row r="535" spans="1:11" ht="43.2" x14ac:dyDescent="0.3">
      <c r="A535" s="1">
        <v>558</v>
      </c>
      <c r="B535" s="1" t="s">
        <v>338</v>
      </c>
      <c r="E535" s="1" t="s">
        <v>1422</v>
      </c>
      <c r="F535" s="1" t="s">
        <v>1320</v>
      </c>
      <c r="H535" s="1" t="s">
        <v>432</v>
      </c>
      <c r="J535" s="37" t="s">
        <v>1626</v>
      </c>
      <c r="K535" s="1" t="s">
        <v>1175</v>
      </c>
    </row>
    <row r="536" spans="1:11" ht="43.2" x14ac:dyDescent="0.3">
      <c r="A536" s="1">
        <v>559</v>
      </c>
      <c r="B536" s="1" t="s">
        <v>339</v>
      </c>
      <c r="E536" s="1" t="s">
        <v>1422</v>
      </c>
      <c r="F536" s="1" t="s">
        <v>1320</v>
      </c>
      <c r="H536" s="1" t="s">
        <v>432</v>
      </c>
      <c r="J536" s="37" t="s">
        <v>1626</v>
      </c>
      <c r="K536" s="1" t="s">
        <v>1175</v>
      </c>
    </row>
    <row r="537" spans="1:11" ht="43.2" x14ac:dyDescent="0.3">
      <c r="A537" s="1">
        <v>560</v>
      </c>
      <c r="B537" s="1" t="s">
        <v>329</v>
      </c>
      <c r="E537" s="1" t="s">
        <v>1411</v>
      </c>
      <c r="F537" s="1" t="s">
        <v>1320</v>
      </c>
      <c r="H537" s="1" t="s">
        <v>1408</v>
      </c>
      <c r="J537" s="37" t="s">
        <v>1626</v>
      </c>
      <c r="K537" s="1" t="s">
        <v>1175</v>
      </c>
    </row>
    <row r="538" spans="1:11" ht="43.2" x14ac:dyDescent="0.3">
      <c r="A538" s="1">
        <v>561</v>
      </c>
      <c r="B538" s="1" t="s">
        <v>330</v>
      </c>
      <c r="E538" s="1" t="s">
        <v>1411</v>
      </c>
      <c r="F538" s="1" t="s">
        <v>1320</v>
      </c>
      <c r="H538" s="1" t="s">
        <v>432</v>
      </c>
      <c r="J538" s="37" t="s">
        <v>1626</v>
      </c>
      <c r="K538" s="1" t="s">
        <v>1175</v>
      </c>
    </row>
    <row r="539" spans="1:11" ht="43.2" x14ac:dyDescent="0.3">
      <c r="A539" s="1">
        <v>562</v>
      </c>
      <c r="B539" s="1" t="s">
        <v>331</v>
      </c>
      <c r="E539" s="1" t="s">
        <v>1411</v>
      </c>
      <c r="F539" s="1" t="s">
        <v>1320</v>
      </c>
      <c r="H539" s="1" t="s">
        <v>432</v>
      </c>
      <c r="J539" s="37" t="s">
        <v>1626</v>
      </c>
      <c r="K539" s="1" t="s">
        <v>1175</v>
      </c>
    </row>
    <row r="540" spans="1:11" ht="43.2" x14ac:dyDescent="0.3">
      <c r="A540" s="1">
        <v>563</v>
      </c>
      <c r="B540" s="1" t="s">
        <v>332</v>
      </c>
      <c r="E540" s="1" t="s">
        <v>1411</v>
      </c>
      <c r="F540" s="1" t="s">
        <v>1320</v>
      </c>
      <c r="H540" s="1" t="s">
        <v>432</v>
      </c>
      <c r="J540" s="37" t="s">
        <v>1626</v>
      </c>
      <c r="K540" s="1" t="s">
        <v>1175</v>
      </c>
    </row>
    <row r="541" spans="1:11" ht="43.2" x14ac:dyDescent="0.3">
      <c r="A541" s="1">
        <v>564</v>
      </c>
      <c r="B541" s="1" t="s">
        <v>333</v>
      </c>
      <c r="E541" s="1" t="s">
        <v>1411</v>
      </c>
      <c r="F541" s="1" t="s">
        <v>1320</v>
      </c>
      <c r="H541" s="1" t="s">
        <v>432</v>
      </c>
      <c r="J541" s="37" t="s">
        <v>1626</v>
      </c>
      <c r="K541" s="1" t="s">
        <v>1175</v>
      </c>
    </row>
    <row r="542" spans="1:11" ht="43.2" x14ac:dyDescent="0.3">
      <c r="A542" s="1">
        <v>565</v>
      </c>
      <c r="B542" s="1" t="s">
        <v>334</v>
      </c>
      <c r="E542" s="1" t="s">
        <v>1411</v>
      </c>
      <c r="F542" s="1" t="s">
        <v>1320</v>
      </c>
      <c r="H542" s="1" t="s">
        <v>433</v>
      </c>
      <c r="J542" s="37" t="s">
        <v>1626</v>
      </c>
      <c r="K542" s="1" t="s">
        <v>1175</v>
      </c>
    </row>
    <row r="543" spans="1:11" ht="43.2" x14ac:dyDescent="0.3">
      <c r="A543" s="1">
        <v>566</v>
      </c>
      <c r="B543" s="1" t="s">
        <v>335</v>
      </c>
      <c r="E543" s="1" t="s">
        <v>1411</v>
      </c>
      <c r="F543" s="1" t="s">
        <v>1320</v>
      </c>
      <c r="H543" s="1" t="s">
        <v>432</v>
      </c>
      <c r="J543" s="37" t="s">
        <v>1626</v>
      </c>
      <c r="K543" s="1" t="s">
        <v>1175</v>
      </c>
    </row>
    <row r="544" spans="1:11" ht="43.2" x14ac:dyDescent="0.3">
      <c r="A544" s="1">
        <v>567</v>
      </c>
      <c r="B544" s="1" t="s">
        <v>336</v>
      </c>
      <c r="E544" s="1" t="s">
        <v>1411</v>
      </c>
      <c r="F544" s="1" t="s">
        <v>1320</v>
      </c>
      <c r="H544" s="1" t="s">
        <v>432</v>
      </c>
      <c r="J544" s="37" t="s">
        <v>1626</v>
      </c>
      <c r="K544" s="1" t="s">
        <v>1175</v>
      </c>
    </row>
    <row r="545" spans="1:11" ht="43.2" x14ac:dyDescent="0.3">
      <c r="A545" s="1">
        <v>568</v>
      </c>
      <c r="B545" s="1" t="s">
        <v>337</v>
      </c>
      <c r="E545" s="1" t="s">
        <v>1411</v>
      </c>
      <c r="F545" s="1" t="s">
        <v>1320</v>
      </c>
      <c r="H545" s="1" t="s">
        <v>433</v>
      </c>
      <c r="J545" s="37" t="s">
        <v>1626</v>
      </c>
      <c r="K545" s="1" t="s">
        <v>1175</v>
      </c>
    </row>
    <row r="546" spans="1:11" ht="43.2" x14ac:dyDescent="0.3">
      <c r="A546" s="1">
        <v>569</v>
      </c>
      <c r="B546" s="1" t="s">
        <v>338</v>
      </c>
      <c r="E546" s="1" t="s">
        <v>1411</v>
      </c>
      <c r="F546" s="1" t="s">
        <v>1320</v>
      </c>
      <c r="H546" s="1" t="s">
        <v>432</v>
      </c>
      <c r="J546" s="37" t="s">
        <v>1626</v>
      </c>
      <c r="K546" s="1" t="s">
        <v>1175</v>
      </c>
    </row>
    <row r="547" spans="1:11" ht="43.2" x14ac:dyDescent="0.3">
      <c r="A547" s="1">
        <v>570</v>
      </c>
      <c r="B547" s="1" t="s">
        <v>339</v>
      </c>
      <c r="E547" s="1" t="s">
        <v>1411</v>
      </c>
      <c r="F547" s="1" t="s">
        <v>1320</v>
      </c>
      <c r="H547" s="1" t="s">
        <v>432</v>
      </c>
      <c r="J547" s="37" t="s">
        <v>1626</v>
      </c>
      <c r="K547" s="1" t="s">
        <v>1175</v>
      </c>
    </row>
    <row r="548" spans="1:11" ht="43.2" x14ac:dyDescent="0.3">
      <c r="A548" s="1">
        <v>571</v>
      </c>
      <c r="B548" s="1" t="s">
        <v>329</v>
      </c>
      <c r="E548" s="1" t="s">
        <v>1521</v>
      </c>
      <c r="F548" s="1" t="s">
        <v>466</v>
      </c>
      <c r="H548" s="1" t="s">
        <v>1519</v>
      </c>
      <c r="J548" s="37" t="s">
        <v>1626</v>
      </c>
      <c r="K548" s="1" t="s">
        <v>1175</v>
      </c>
    </row>
    <row r="549" spans="1:11" ht="43.2" x14ac:dyDescent="0.3">
      <c r="A549" s="1">
        <v>572</v>
      </c>
      <c r="B549" s="1" t="s">
        <v>330</v>
      </c>
      <c r="E549" s="1" t="s">
        <v>1521</v>
      </c>
      <c r="F549" s="1" t="s">
        <v>466</v>
      </c>
      <c r="H549" s="1" t="s">
        <v>432</v>
      </c>
      <c r="J549" s="37" t="s">
        <v>1626</v>
      </c>
      <c r="K549" s="1" t="s">
        <v>1175</v>
      </c>
    </row>
    <row r="550" spans="1:11" ht="43.2" x14ac:dyDescent="0.3">
      <c r="A550" s="1">
        <v>573</v>
      </c>
      <c r="B550" s="1" t="s">
        <v>331</v>
      </c>
      <c r="E550" s="1" t="s">
        <v>1521</v>
      </c>
      <c r="F550" s="1" t="s">
        <v>466</v>
      </c>
      <c r="H550" s="1" t="s">
        <v>433</v>
      </c>
      <c r="J550" s="37" t="s">
        <v>1626</v>
      </c>
      <c r="K550" s="1" t="s">
        <v>1175</v>
      </c>
    </row>
    <row r="551" spans="1:11" ht="43.2" x14ac:dyDescent="0.3">
      <c r="A551" s="1">
        <v>574</v>
      </c>
      <c r="B551" s="1" t="s">
        <v>332</v>
      </c>
      <c r="E551" s="1" t="s">
        <v>1521</v>
      </c>
      <c r="F551" s="1" t="s">
        <v>466</v>
      </c>
      <c r="H551" s="1" t="s">
        <v>433</v>
      </c>
      <c r="J551" s="37" t="s">
        <v>1626</v>
      </c>
      <c r="K551" s="1" t="s">
        <v>1175</v>
      </c>
    </row>
    <row r="552" spans="1:11" ht="43.2" x14ac:dyDescent="0.3">
      <c r="A552" s="1">
        <v>575</v>
      </c>
      <c r="B552" s="1" t="s">
        <v>333</v>
      </c>
      <c r="E552" s="1" t="s">
        <v>1521</v>
      </c>
      <c r="F552" s="1" t="s">
        <v>466</v>
      </c>
      <c r="H552" s="1" t="s">
        <v>432</v>
      </c>
      <c r="J552" s="37" t="s">
        <v>1626</v>
      </c>
      <c r="K552" s="1" t="s">
        <v>1175</v>
      </c>
    </row>
    <row r="553" spans="1:11" ht="43.2" x14ac:dyDescent="0.3">
      <c r="A553" s="1">
        <v>576</v>
      </c>
      <c r="B553" s="1" t="s">
        <v>334</v>
      </c>
      <c r="E553" s="1" t="s">
        <v>1521</v>
      </c>
      <c r="F553" s="1" t="s">
        <v>466</v>
      </c>
      <c r="H553" s="1" t="s">
        <v>432</v>
      </c>
      <c r="J553" s="37" t="s">
        <v>1626</v>
      </c>
      <c r="K553" s="1" t="s">
        <v>1175</v>
      </c>
    </row>
    <row r="554" spans="1:11" ht="43.2" x14ac:dyDescent="0.3">
      <c r="A554" s="1">
        <v>577</v>
      </c>
      <c r="B554" s="1" t="s">
        <v>335</v>
      </c>
      <c r="E554" s="1" t="s">
        <v>1521</v>
      </c>
      <c r="F554" s="1" t="s">
        <v>466</v>
      </c>
      <c r="H554" s="1" t="s">
        <v>432</v>
      </c>
      <c r="J554" s="37" t="s">
        <v>1626</v>
      </c>
      <c r="K554" s="1" t="s">
        <v>1175</v>
      </c>
    </row>
    <row r="555" spans="1:11" ht="43.2" x14ac:dyDescent="0.3">
      <c r="A555" s="1">
        <v>578</v>
      </c>
      <c r="B555" s="1" t="s">
        <v>336</v>
      </c>
      <c r="E555" s="1" t="s">
        <v>1521</v>
      </c>
      <c r="F555" s="1" t="s">
        <v>466</v>
      </c>
      <c r="H555" s="1" t="s">
        <v>432</v>
      </c>
      <c r="J555" s="37" t="s">
        <v>1626</v>
      </c>
      <c r="K555" s="1" t="s">
        <v>1175</v>
      </c>
    </row>
    <row r="556" spans="1:11" ht="43.2" x14ac:dyDescent="0.3">
      <c r="A556" s="1">
        <v>579</v>
      </c>
      <c r="B556" s="1" t="s">
        <v>337</v>
      </c>
      <c r="E556" s="1" t="s">
        <v>1521</v>
      </c>
      <c r="F556" s="1" t="s">
        <v>466</v>
      </c>
      <c r="H556" s="1" t="s">
        <v>432</v>
      </c>
      <c r="J556" s="37" t="s">
        <v>1626</v>
      </c>
      <c r="K556" s="1" t="s">
        <v>1175</v>
      </c>
    </row>
    <row r="557" spans="1:11" ht="43.2" x14ac:dyDescent="0.3">
      <c r="A557" s="1">
        <v>580</v>
      </c>
      <c r="B557" s="1" t="s">
        <v>338</v>
      </c>
      <c r="E557" s="1" t="s">
        <v>1521</v>
      </c>
      <c r="F557" s="1" t="s">
        <v>466</v>
      </c>
      <c r="H557" s="1" t="s">
        <v>433</v>
      </c>
      <c r="J557" s="37" t="s">
        <v>1626</v>
      </c>
      <c r="K557" s="1" t="s">
        <v>1175</v>
      </c>
    </row>
    <row r="558" spans="1:11" ht="43.2" x14ac:dyDescent="0.3">
      <c r="A558" s="1">
        <v>581</v>
      </c>
      <c r="B558" s="1" t="s">
        <v>339</v>
      </c>
      <c r="E558" s="1" t="s">
        <v>1521</v>
      </c>
      <c r="F558" s="1" t="s">
        <v>466</v>
      </c>
      <c r="H558" s="1" t="s">
        <v>433</v>
      </c>
      <c r="J558" s="37" t="s">
        <v>1626</v>
      </c>
      <c r="K558" s="1" t="s">
        <v>1175</v>
      </c>
    </row>
    <row r="559" spans="1:11" ht="43.2" x14ac:dyDescent="0.3">
      <c r="A559" s="1">
        <v>582</v>
      </c>
      <c r="B559" s="1" t="s">
        <v>329</v>
      </c>
      <c r="E559" s="1" t="s">
        <v>1054</v>
      </c>
      <c r="F559" s="1" t="s">
        <v>893</v>
      </c>
      <c r="H559" s="1" t="s">
        <v>1052</v>
      </c>
      <c r="J559" s="37" t="s">
        <v>1626</v>
      </c>
      <c r="K559" s="1" t="s">
        <v>1175</v>
      </c>
    </row>
    <row r="560" spans="1:11" ht="43.2" x14ac:dyDescent="0.3">
      <c r="A560" s="1">
        <v>583</v>
      </c>
      <c r="B560" s="1" t="s">
        <v>330</v>
      </c>
      <c r="E560" s="1" t="s">
        <v>1054</v>
      </c>
      <c r="F560" s="1" t="s">
        <v>893</v>
      </c>
      <c r="H560" s="1" t="s">
        <v>432</v>
      </c>
      <c r="J560" s="37" t="s">
        <v>1626</v>
      </c>
      <c r="K560" s="1" t="s">
        <v>1175</v>
      </c>
    </row>
    <row r="561" spans="1:11" ht="43.2" x14ac:dyDescent="0.3">
      <c r="A561" s="1">
        <v>584</v>
      </c>
      <c r="B561" s="1" t="s">
        <v>331</v>
      </c>
      <c r="E561" s="1" t="s">
        <v>1054</v>
      </c>
      <c r="F561" s="1" t="s">
        <v>893</v>
      </c>
      <c r="H561" s="1" t="s">
        <v>433</v>
      </c>
      <c r="J561" s="37" t="s">
        <v>1626</v>
      </c>
      <c r="K561" s="1" t="s">
        <v>1175</v>
      </c>
    </row>
    <row r="562" spans="1:11" ht="43.2" x14ac:dyDescent="0.3">
      <c r="A562" s="1">
        <v>585</v>
      </c>
      <c r="B562" s="1" t="s">
        <v>332</v>
      </c>
      <c r="E562" s="1" t="s">
        <v>1054</v>
      </c>
      <c r="F562" s="1" t="s">
        <v>893</v>
      </c>
      <c r="H562" s="1" t="s">
        <v>432</v>
      </c>
      <c r="J562" s="37" t="s">
        <v>1626</v>
      </c>
      <c r="K562" s="1" t="s">
        <v>1175</v>
      </c>
    </row>
    <row r="563" spans="1:11" ht="43.2" x14ac:dyDescent="0.3">
      <c r="A563" s="1">
        <v>586</v>
      </c>
      <c r="B563" s="1" t="s">
        <v>333</v>
      </c>
      <c r="E563" s="1" t="s">
        <v>1054</v>
      </c>
      <c r="F563" s="1" t="s">
        <v>893</v>
      </c>
      <c r="H563" s="1" t="s">
        <v>433</v>
      </c>
      <c r="J563" s="37" t="s">
        <v>1626</v>
      </c>
      <c r="K563" s="1" t="s">
        <v>1175</v>
      </c>
    </row>
    <row r="564" spans="1:11" ht="43.2" x14ac:dyDescent="0.3">
      <c r="A564" s="1">
        <v>587</v>
      </c>
      <c r="B564" s="1" t="s">
        <v>334</v>
      </c>
      <c r="E564" s="1" t="s">
        <v>1054</v>
      </c>
      <c r="F564" s="1" t="s">
        <v>893</v>
      </c>
      <c r="H564" s="1" t="s">
        <v>433</v>
      </c>
      <c r="J564" s="37" t="s">
        <v>1626</v>
      </c>
      <c r="K564" s="1" t="s">
        <v>1175</v>
      </c>
    </row>
    <row r="565" spans="1:11" ht="43.2" x14ac:dyDescent="0.3">
      <c r="A565" s="1">
        <v>588</v>
      </c>
      <c r="B565" s="1" t="s">
        <v>335</v>
      </c>
      <c r="E565" s="1" t="s">
        <v>1054</v>
      </c>
      <c r="F565" s="1" t="s">
        <v>893</v>
      </c>
      <c r="H565" s="1" t="s">
        <v>433</v>
      </c>
      <c r="J565" s="37" t="s">
        <v>1626</v>
      </c>
      <c r="K565" s="1" t="s">
        <v>1175</v>
      </c>
    </row>
    <row r="566" spans="1:11" ht="43.2" x14ac:dyDescent="0.3">
      <c r="A566" s="1">
        <v>589</v>
      </c>
      <c r="B566" s="1" t="s">
        <v>336</v>
      </c>
      <c r="E566" s="1" t="s">
        <v>1054</v>
      </c>
      <c r="F566" s="1" t="s">
        <v>893</v>
      </c>
      <c r="H566" s="1" t="s">
        <v>432</v>
      </c>
      <c r="J566" s="37" t="s">
        <v>1626</v>
      </c>
      <c r="K566" s="1" t="s">
        <v>1175</v>
      </c>
    </row>
    <row r="567" spans="1:11" ht="43.2" x14ac:dyDescent="0.3">
      <c r="A567" s="1">
        <v>590</v>
      </c>
      <c r="B567" s="1" t="s">
        <v>337</v>
      </c>
      <c r="E567" s="1" t="s">
        <v>1054</v>
      </c>
      <c r="F567" s="1" t="s">
        <v>893</v>
      </c>
      <c r="H567" s="1" t="s">
        <v>432</v>
      </c>
      <c r="J567" s="37" t="s">
        <v>1626</v>
      </c>
      <c r="K567" s="1" t="s">
        <v>1175</v>
      </c>
    </row>
    <row r="568" spans="1:11" ht="43.2" x14ac:dyDescent="0.3">
      <c r="A568" s="1">
        <v>591</v>
      </c>
      <c r="B568" s="1" t="s">
        <v>338</v>
      </c>
      <c r="E568" s="1" t="s">
        <v>1054</v>
      </c>
      <c r="F568" s="1" t="s">
        <v>893</v>
      </c>
      <c r="H568" s="1" t="s">
        <v>432</v>
      </c>
      <c r="J568" s="37" t="s">
        <v>1626</v>
      </c>
      <c r="K568" s="1" t="s">
        <v>1175</v>
      </c>
    </row>
    <row r="569" spans="1:11" ht="43.2" x14ac:dyDescent="0.3">
      <c r="A569" s="1">
        <v>592</v>
      </c>
      <c r="B569" s="1" t="s">
        <v>339</v>
      </c>
      <c r="E569" s="1" t="s">
        <v>1054</v>
      </c>
      <c r="F569" s="1" t="s">
        <v>893</v>
      </c>
      <c r="H569" s="1" t="s">
        <v>432</v>
      </c>
      <c r="J569" s="37" t="s">
        <v>1626</v>
      </c>
      <c r="K569" s="1" t="s">
        <v>1175</v>
      </c>
    </row>
    <row r="570" spans="1:11" ht="43.2" x14ac:dyDescent="0.3">
      <c r="A570" s="1">
        <v>593</v>
      </c>
      <c r="B570" s="1" t="s">
        <v>329</v>
      </c>
      <c r="E570" s="1" t="s">
        <v>799</v>
      </c>
      <c r="F570" s="1" t="s">
        <v>784</v>
      </c>
      <c r="H570" s="1" t="s">
        <v>796</v>
      </c>
      <c r="J570" s="37" t="s">
        <v>1626</v>
      </c>
      <c r="K570" s="1" t="s">
        <v>1175</v>
      </c>
    </row>
    <row r="571" spans="1:11" ht="43.2" x14ac:dyDescent="0.3">
      <c r="A571" s="1">
        <v>594</v>
      </c>
      <c r="B571" s="1" t="s">
        <v>330</v>
      </c>
      <c r="E571" s="1" t="s">
        <v>799</v>
      </c>
      <c r="F571" s="1" t="s">
        <v>784</v>
      </c>
      <c r="H571" s="1" t="s">
        <v>432</v>
      </c>
      <c r="J571" s="37" t="s">
        <v>1626</v>
      </c>
      <c r="K571" s="1" t="s">
        <v>1175</v>
      </c>
    </row>
    <row r="572" spans="1:11" ht="43.2" x14ac:dyDescent="0.3">
      <c r="A572" s="1">
        <v>595</v>
      </c>
      <c r="B572" s="1" t="s">
        <v>331</v>
      </c>
      <c r="E572" s="1" t="s">
        <v>799</v>
      </c>
      <c r="F572" s="1" t="s">
        <v>784</v>
      </c>
      <c r="H572" s="1" t="s">
        <v>433</v>
      </c>
      <c r="J572" s="37" t="s">
        <v>1626</v>
      </c>
      <c r="K572" s="1" t="s">
        <v>1175</v>
      </c>
    </row>
    <row r="573" spans="1:11" ht="43.2" x14ac:dyDescent="0.3">
      <c r="A573" s="1">
        <v>596</v>
      </c>
      <c r="B573" s="1" t="s">
        <v>332</v>
      </c>
      <c r="E573" s="1" t="s">
        <v>799</v>
      </c>
      <c r="F573" s="1" t="s">
        <v>784</v>
      </c>
      <c r="H573" s="1" t="s">
        <v>432</v>
      </c>
      <c r="J573" s="37" t="s">
        <v>1626</v>
      </c>
      <c r="K573" s="1" t="s">
        <v>1175</v>
      </c>
    </row>
    <row r="574" spans="1:11" ht="43.2" x14ac:dyDescent="0.3">
      <c r="A574" s="1">
        <v>597</v>
      </c>
      <c r="B574" s="1" t="s">
        <v>333</v>
      </c>
      <c r="E574" s="1" t="s">
        <v>799</v>
      </c>
      <c r="F574" s="1" t="s">
        <v>784</v>
      </c>
      <c r="H574" s="1" t="s">
        <v>433</v>
      </c>
      <c r="J574" s="37" t="s">
        <v>1626</v>
      </c>
      <c r="K574" s="1" t="s">
        <v>1175</v>
      </c>
    </row>
    <row r="575" spans="1:11" ht="43.2" x14ac:dyDescent="0.3">
      <c r="A575" s="1">
        <v>598</v>
      </c>
      <c r="B575" s="1" t="s">
        <v>334</v>
      </c>
      <c r="E575" s="1" t="s">
        <v>799</v>
      </c>
      <c r="F575" s="1" t="s">
        <v>784</v>
      </c>
      <c r="H575" s="1" t="s">
        <v>432</v>
      </c>
      <c r="J575" s="37" t="s">
        <v>1626</v>
      </c>
      <c r="K575" s="1" t="s">
        <v>1175</v>
      </c>
    </row>
    <row r="576" spans="1:11" ht="43.2" x14ac:dyDescent="0.3">
      <c r="A576" s="1">
        <v>599</v>
      </c>
      <c r="B576" s="1" t="s">
        <v>335</v>
      </c>
      <c r="E576" s="1" t="s">
        <v>799</v>
      </c>
      <c r="F576" s="1" t="s">
        <v>784</v>
      </c>
      <c r="H576" s="1" t="s">
        <v>432</v>
      </c>
      <c r="J576" s="37" t="s">
        <v>1626</v>
      </c>
      <c r="K576" s="1" t="s">
        <v>1175</v>
      </c>
    </row>
    <row r="577" spans="1:11" ht="43.2" x14ac:dyDescent="0.3">
      <c r="A577" s="1">
        <v>600</v>
      </c>
      <c r="B577" s="1" t="s">
        <v>336</v>
      </c>
      <c r="E577" s="1" t="s">
        <v>799</v>
      </c>
      <c r="F577" s="1" t="s">
        <v>784</v>
      </c>
      <c r="H577" s="1" t="s">
        <v>432</v>
      </c>
      <c r="J577" s="37" t="s">
        <v>1626</v>
      </c>
      <c r="K577" s="1" t="s">
        <v>1175</v>
      </c>
    </row>
    <row r="578" spans="1:11" ht="43.2" x14ac:dyDescent="0.3">
      <c r="A578" s="1">
        <v>601</v>
      </c>
      <c r="B578" s="1" t="s">
        <v>337</v>
      </c>
      <c r="E578" s="1" t="s">
        <v>799</v>
      </c>
      <c r="F578" s="1" t="s">
        <v>784</v>
      </c>
      <c r="H578" s="1" t="s">
        <v>432</v>
      </c>
      <c r="J578" s="37" t="s">
        <v>1626</v>
      </c>
      <c r="K578" s="1" t="s">
        <v>1175</v>
      </c>
    </row>
    <row r="579" spans="1:11" ht="43.2" x14ac:dyDescent="0.3">
      <c r="A579" s="1">
        <v>602</v>
      </c>
      <c r="B579" s="1" t="s">
        <v>338</v>
      </c>
      <c r="E579" s="1" t="s">
        <v>799</v>
      </c>
      <c r="F579" s="1" t="s">
        <v>784</v>
      </c>
      <c r="H579" s="1" t="s">
        <v>432</v>
      </c>
      <c r="J579" s="37" t="s">
        <v>1626</v>
      </c>
      <c r="K579" s="1" t="s">
        <v>1175</v>
      </c>
    </row>
    <row r="580" spans="1:11" ht="43.2" x14ac:dyDescent="0.3">
      <c r="A580" s="1">
        <v>603</v>
      </c>
      <c r="B580" s="1" t="s">
        <v>339</v>
      </c>
      <c r="E580" s="1" t="s">
        <v>799</v>
      </c>
      <c r="F580" s="1" t="s">
        <v>784</v>
      </c>
      <c r="H580" s="1" t="s">
        <v>432</v>
      </c>
      <c r="J580" s="37" t="s">
        <v>1626</v>
      </c>
      <c r="K580" s="1" t="s">
        <v>1175</v>
      </c>
    </row>
    <row r="581" spans="1:11" ht="43.2" x14ac:dyDescent="0.3">
      <c r="A581" s="1">
        <v>604</v>
      </c>
      <c r="B581" s="1" t="s">
        <v>329</v>
      </c>
      <c r="E581" s="1" t="s">
        <v>1246</v>
      </c>
      <c r="F581" s="1" t="s">
        <v>466</v>
      </c>
      <c r="H581" s="1" t="s">
        <v>1241</v>
      </c>
      <c r="J581" s="37" t="s">
        <v>1626</v>
      </c>
      <c r="K581" s="1" t="s">
        <v>1175</v>
      </c>
    </row>
    <row r="582" spans="1:11" ht="43.2" x14ac:dyDescent="0.3">
      <c r="A582" s="1">
        <v>605</v>
      </c>
      <c r="B582" s="1" t="s">
        <v>330</v>
      </c>
      <c r="E582" s="1" t="s">
        <v>1246</v>
      </c>
      <c r="F582" s="1" t="s">
        <v>466</v>
      </c>
      <c r="H582" s="1" t="s">
        <v>432</v>
      </c>
      <c r="J582" s="37" t="s">
        <v>1626</v>
      </c>
      <c r="K582" s="1" t="s">
        <v>1175</v>
      </c>
    </row>
    <row r="583" spans="1:11" ht="43.2" x14ac:dyDescent="0.3">
      <c r="A583" s="1">
        <v>606</v>
      </c>
      <c r="B583" s="1" t="s">
        <v>331</v>
      </c>
      <c r="E583" s="1" t="s">
        <v>1246</v>
      </c>
      <c r="F583" s="1" t="s">
        <v>466</v>
      </c>
      <c r="H583" s="1" t="s">
        <v>432</v>
      </c>
      <c r="J583" s="37" t="s">
        <v>1626</v>
      </c>
      <c r="K583" s="1" t="s">
        <v>1175</v>
      </c>
    </row>
    <row r="584" spans="1:11" ht="43.2" x14ac:dyDescent="0.3">
      <c r="A584" s="1">
        <v>607</v>
      </c>
      <c r="B584" s="1" t="s">
        <v>332</v>
      </c>
      <c r="E584" s="1" t="s">
        <v>1246</v>
      </c>
      <c r="F584" s="1" t="s">
        <v>466</v>
      </c>
      <c r="H584" s="1" t="s">
        <v>433</v>
      </c>
      <c r="J584" s="37" t="s">
        <v>1626</v>
      </c>
      <c r="K584" s="1" t="s">
        <v>1175</v>
      </c>
    </row>
    <row r="585" spans="1:11" ht="43.2" x14ac:dyDescent="0.3">
      <c r="A585" s="1">
        <v>608</v>
      </c>
      <c r="B585" s="1" t="s">
        <v>333</v>
      </c>
      <c r="E585" s="1" t="s">
        <v>1246</v>
      </c>
      <c r="F585" s="1" t="s">
        <v>466</v>
      </c>
      <c r="H585" s="1" t="s">
        <v>432</v>
      </c>
      <c r="J585" s="37" t="s">
        <v>1626</v>
      </c>
      <c r="K585" s="1" t="s">
        <v>1175</v>
      </c>
    </row>
    <row r="586" spans="1:11" ht="43.2" x14ac:dyDescent="0.3">
      <c r="A586" s="1">
        <v>609</v>
      </c>
      <c r="B586" s="1" t="s">
        <v>334</v>
      </c>
      <c r="E586" s="1" t="s">
        <v>1246</v>
      </c>
      <c r="F586" s="1" t="s">
        <v>466</v>
      </c>
      <c r="H586" s="1" t="s">
        <v>433</v>
      </c>
      <c r="J586" s="37" t="s">
        <v>1626</v>
      </c>
      <c r="K586" s="1" t="s">
        <v>1175</v>
      </c>
    </row>
    <row r="587" spans="1:11" ht="43.2" x14ac:dyDescent="0.3">
      <c r="A587" s="1">
        <v>610</v>
      </c>
      <c r="B587" s="1" t="s">
        <v>335</v>
      </c>
      <c r="E587" s="1" t="s">
        <v>1246</v>
      </c>
      <c r="F587" s="1" t="s">
        <v>466</v>
      </c>
      <c r="H587" s="1" t="s">
        <v>433</v>
      </c>
      <c r="J587" s="37" t="s">
        <v>1626</v>
      </c>
      <c r="K587" s="1" t="s">
        <v>1175</v>
      </c>
    </row>
    <row r="588" spans="1:11" ht="43.2" x14ac:dyDescent="0.3">
      <c r="A588" s="1">
        <v>611</v>
      </c>
      <c r="B588" s="1" t="s">
        <v>336</v>
      </c>
      <c r="E588" s="1" t="s">
        <v>1246</v>
      </c>
      <c r="F588" s="1" t="s">
        <v>466</v>
      </c>
      <c r="H588" s="1" t="s">
        <v>432</v>
      </c>
      <c r="J588" s="37" t="s">
        <v>1626</v>
      </c>
      <c r="K588" s="1" t="s">
        <v>1175</v>
      </c>
    </row>
    <row r="589" spans="1:11" ht="43.2" x14ac:dyDescent="0.3">
      <c r="A589" s="1">
        <v>612</v>
      </c>
      <c r="B589" s="1" t="s">
        <v>337</v>
      </c>
      <c r="E589" s="1" t="s">
        <v>1246</v>
      </c>
      <c r="F589" s="1" t="s">
        <v>466</v>
      </c>
      <c r="H589" s="1" t="s">
        <v>433</v>
      </c>
      <c r="J589" s="37" t="s">
        <v>1626</v>
      </c>
      <c r="K589" s="1" t="s">
        <v>1175</v>
      </c>
    </row>
    <row r="590" spans="1:11" ht="43.2" x14ac:dyDescent="0.3">
      <c r="A590" s="1">
        <v>613</v>
      </c>
      <c r="B590" s="1" t="s">
        <v>338</v>
      </c>
      <c r="E590" s="1" t="s">
        <v>1246</v>
      </c>
      <c r="F590" s="1" t="s">
        <v>466</v>
      </c>
      <c r="H590" s="1" t="s">
        <v>432</v>
      </c>
      <c r="J590" s="37" t="s">
        <v>1626</v>
      </c>
      <c r="K590" s="1" t="s">
        <v>1175</v>
      </c>
    </row>
    <row r="591" spans="1:11" ht="43.2" x14ac:dyDescent="0.3">
      <c r="A591" s="1">
        <v>614</v>
      </c>
      <c r="B591" s="1" t="s">
        <v>339</v>
      </c>
      <c r="E591" s="1" t="s">
        <v>1246</v>
      </c>
      <c r="F591" s="1" t="s">
        <v>466</v>
      </c>
      <c r="H591" s="1" t="s">
        <v>432</v>
      </c>
      <c r="J591" s="37" t="s">
        <v>1626</v>
      </c>
      <c r="K591" s="1" t="s">
        <v>1175</v>
      </c>
    </row>
    <row r="592" spans="1:11" ht="43.2" x14ac:dyDescent="0.3">
      <c r="A592" s="1">
        <v>615</v>
      </c>
      <c r="B592" s="1" t="s">
        <v>329</v>
      </c>
      <c r="E592" s="1" t="s">
        <v>742</v>
      </c>
      <c r="F592" s="1" t="s">
        <v>466</v>
      </c>
      <c r="H592" s="1" t="s">
        <v>737</v>
      </c>
      <c r="J592" s="37" t="s">
        <v>1626</v>
      </c>
      <c r="K592" s="1" t="s">
        <v>1175</v>
      </c>
    </row>
    <row r="593" spans="1:11" ht="43.2" x14ac:dyDescent="0.3">
      <c r="A593" s="1">
        <v>616</v>
      </c>
      <c r="B593" s="1" t="s">
        <v>330</v>
      </c>
      <c r="E593" s="1" t="s">
        <v>742</v>
      </c>
      <c r="F593" s="1" t="s">
        <v>466</v>
      </c>
      <c r="H593" s="1" t="s">
        <v>433</v>
      </c>
      <c r="J593" s="37" t="s">
        <v>1626</v>
      </c>
      <c r="K593" s="1" t="s">
        <v>1175</v>
      </c>
    </row>
    <row r="594" spans="1:11" ht="43.2" x14ac:dyDescent="0.3">
      <c r="A594" s="1">
        <v>617</v>
      </c>
      <c r="B594" s="1" t="s">
        <v>331</v>
      </c>
      <c r="E594" s="1" t="s">
        <v>742</v>
      </c>
      <c r="F594" s="1" t="s">
        <v>466</v>
      </c>
      <c r="H594" s="1" t="s">
        <v>433</v>
      </c>
      <c r="J594" s="37" t="s">
        <v>1626</v>
      </c>
      <c r="K594" s="1" t="s">
        <v>1175</v>
      </c>
    </row>
    <row r="595" spans="1:11" ht="43.2" x14ac:dyDescent="0.3">
      <c r="A595" s="1">
        <v>618</v>
      </c>
      <c r="B595" s="1" t="s">
        <v>332</v>
      </c>
      <c r="E595" s="1" t="s">
        <v>742</v>
      </c>
      <c r="F595" s="1" t="s">
        <v>466</v>
      </c>
      <c r="H595" s="1" t="s">
        <v>433</v>
      </c>
      <c r="J595" s="37" t="s">
        <v>1626</v>
      </c>
      <c r="K595" s="1" t="s">
        <v>1175</v>
      </c>
    </row>
    <row r="596" spans="1:11" ht="43.2" x14ac:dyDescent="0.3">
      <c r="A596" s="1">
        <v>619</v>
      </c>
      <c r="B596" s="1" t="s">
        <v>333</v>
      </c>
      <c r="E596" s="1" t="s">
        <v>742</v>
      </c>
      <c r="F596" s="1" t="s">
        <v>466</v>
      </c>
      <c r="H596" s="1" t="s">
        <v>432</v>
      </c>
      <c r="J596" s="37" t="s">
        <v>1626</v>
      </c>
      <c r="K596" s="1" t="s">
        <v>1175</v>
      </c>
    </row>
    <row r="597" spans="1:11" ht="43.2" x14ac:dyDescent="0.3">
      <c r="A597" s="1">
        <v>620</v>
      </c>
      <c r="B597" s="1" t="s">
        <v>334</v>
      </c>
      <c r="E597" s="1" t="s">
        <v>742</v>
      </c>
      <c r="F597" s="1" t="s">
        <v>466</v>
      </c>
      <c r="H597" s="1" t="s">
        <v>433</v>
      </c>
      <c r="J597" s="37" t="s">
        <v>1626</v>
      </c>
      <c r="K597" s="1" t="s">
        <v>1175</v>
      </c>
    </row>
    <row r="598" spans="1:11" ht="43.2" x14ac:dyDescent="0.3">
      <c r="A598" s="1">
        <v>621</v>
      </c>
      <c r="B598" s="1" t="s">
        <v>335</v>
      </c>
      <c r="E598" s="1" t="s">
        <v>742</v>
      </c>
      <c r="F598" s="1" t="s">
        <v>466</v>
      </c>
      <c r="H598" s="1" t="s">
        <v>432</v>
      </c>
      <c r="J598" s="37" t="s">
        <v>1626</v>
      </c>
      <c r="K598" s="1" t="s">
        <v>1175</v>
      </c>
    </row>
    <row r="599" spans="1:11" ht="43.2" x14ac:dyDescent="0.3">
      <c r="A599" s="1">
        <v>622</v>
      </c>
      <c r="B599" s="1" t="s">
        <v>336</v>
      </c>
      <c r="E599" s="1" t="s">
        <v>742</v>
      </c>
      <c r="F599" s="1" t="s">
        <v>466</v>
      </c>
      <c r="H599" s="1" t="s">
        <v>432</v>
      </c>
      <c r="J599" s="37" t="s">
        <v>1626</v>
      </c>
      <c r="K599" s="1" t="s">
        <v>1175</v>
      </c>
    </row>
    <row r="600" spans="1:11" ht="43.2" x14ac:dyDescent="0.3">
      <c r="A600" s="1">
        <v>623</v>
      </c>
      <c r="B600" s="1" t="s">
        <v>337</v>
      </c>
      <c r="E600" s="1" t="s">
        <v>742</v>
      </c>
      <c r="F600" s="1" t="s">
        <v>466</v>
      </c>
      <c r="H600" s="1" t="s">
        <v>432</v>
      </c>
      <c r="J600" s="37" t="s">
        <v>1626</v>
      </c>
      <c r="K600" s="1" t="s">
        <v>1175</v>
      </c>
    </row>
    <row r="601" spans="1:11" ht="43.2" x14ac:dyDescent="0.3">
      <c r="A601" s="1">
        <v>624</v>
      </c>
      <c r="B601" s="1" t="s">
        <v>338</v>
      </c>
      <c r="E601" s="1" t="s">
        <v>742</v>
      </c>
      <c r="F601" s="1" t="s">
        <v>466</v>
      </c>
      <c r="H601" s="1" t="s">
        <v>432</v>
      </c>
      <c r="J601" s="37" t="s">
        <v>1626</v>
      </c>
      <c r="K601" s="1" t="s">
        <v>1175</v>
      </c>
    </row>
    <row r="602" spans="1:11" ht="43.2" x14ac:dyDescent="0.3">
      <c r="A602" s="1">
        <v>625</v>
      </c>
      <c r="B602" s="1" t="s">
        <v>339</v>
      </c>
      <c r="E602" s="1" t="s">
        <v>742</v>
      </c>
      <c r="F602" s="1" t="s">
        <v>466</v>
      </c>
      <c r="H602" s="1" t="s">
        <v>432</v>
      </c>
      <c r="J602" s="37" t="s">
        <v>1626</v>
      </c>
      <c r="K602" s="1" t="s">
        <v>1175</v>
      </c>
    </row>
    <row r="603" spans="1:11" ht="43.2" x14ac:dyDescent="0.3">
      <c r="A603" s="1">
        <v>626</v>
      </c>
      <c r="B603" s="1" t="s">
        <v>341</v>
      </c>
      <c r="E603" s="1" t="s">
        <v>1536</v>
      </c>
      <c r="F603" s="1" t="s">
        <v>633</v>
      </c>
      <c r="H603" s="1" t="s">
        <v>491</v>
      </c>
      <c r="J603" s="37" t="s">
        <v>1626</v>
      </c>
      <c r="K603" s="1" t="s">
        <v>1175</v>
      </c>
    </row>
    <row r="604" spans="1:11" ht="43.2" x14ac:dyDescent="0.3">
      <c r="A604" s="1">
        <v>627</v>
      </c>
      <c r="B604" s="1" t="s">
        <v>341</v>
      </c>
      <c r="E604" s="1" t="s">
        <v>1333</v>
      </c>
      <c r="F604" s="1" t="s">
        <v>1320</v>
      </c>
      <c r="H604" s="1" t="s">
        <v>1330</v>
      </c>
      <c r="J604" s="37" t="s">
        <v>1626</v>
      </c>
      <c r="K604" s="1" t="s">
        <v>1175</v>
      </c>
    </row>
    <row r="605" spans="1:11" ht="43.2" x14ac:dyDescent="0.3">
      <c r="A605" s="1">
        <v>628</v>
      </c>
      <c r="B605" s="1" t="s">
        <v>341</v>
      </c>
      <c r="E605" s="1" t="s">
        <v>1402</v>
      </c>
      <c r="F605" s="1" t="s">
        <v>1126</v>
      </c>
      <c r="H605" s="1" t="s">
        <v>738</v>
      </c>
      <c r="J605" s="37" t="s">
        <v>1626</v>
      </c>
      <c r="K605" s="1" t="s">
        <v>1175</v>
      </c>
    </row>
    <row r="606" spans="1:11" ht="43.2" x14ac:dyDescent="0.3">
      <c r="A606" s="1">
        <v>629</v>
      </c>
      <c r="B606" s="1" t="s">
        <v>341</v>
      </c>
      <c r="E606" s="1" t="s">
        <v>1422</v>
      </c>
      <c r="F606" s="1" t="s">
        <v>1320</v>
      </c>
      <c r="H606" s="1" t="s">
        <v>1330</v>
      </c>
      <c r="J606" s="37" t="s">
        <v>1626</v>
      </c>
      <c r="K606" s="1" t="s">
        <v>1175</v>
      </c>
    </row>
    <row r="607" spans="1:11" ht="43.2" x14ac:dyDescent="0.3">
      <c r="A607" s="1">
        <v>630</v>
      </c>
      <c r="B607" s="1" t="s">
        <v>341</v>
      </c>
      <c r="E607" s="1" t="s">
        <v>1411</v>
      </c>
      <c r="F607" s="1" t="s">
        <v>1320</v>
      </c>
      <c r="H607" s="1" t="s">
        <v>1330</v>
      </c>
      <c r="J607" s="37" t="s">
        <v>1626</v>
      </c>
      <c r="K607" s="1" t="s">
        <v>1175</v>
      </c>
    </row>
    <row r="608" spans="1:11" ht="43.2" x14ac:dyDescent="0.3">
      <c r="A608" s="1">
        <v>631</v>
      </c>
      <c r="B608" s="1" t="s">
        <v>341</v>
      </c>
      <c r="E608" s="1" t="s">
        <v>1521</v>
      </c>
      <c r="F608" s="1" t="s">
        <v>466</v>
      </c>
      <c r="H608" s="1" t="s">
        <v>580</v>
      </c>
      <c r="J608" s="37" t="s">
        <v>1626</v>
      </c>
      <c r="K608" s="1" t="s">
        <v>1175</v>
      </c>
    </row>
    <row r="609" spans="1:11" ht="43.2" x14ac:dyDescent="0.3">
      <c r="A609" s="1">
        <v>632</v>
      </c>
      <c r="B609" s="1" t="s">
        <v>341</v>
      </c>
      <c r="E609" s="1" t="s">
        <v>1054</v>
      </c>
      <c r="F609" s="1" t="s">
        <v>893</v>
      </c>
      <c r="H609" s="1" t="s">
        <v>580</v>
      </c>
      <c r="J609" s="37" t="s">
        <v>1626</v>
      </c>
      <c r="K609" s="1" t="s">
        <v>1175</v>
      </c>
    </row>
    <row r="610" spans="1:11" ht="43.2" x14ac:dyDescent="0.3">
      <c r="A610" s="1">
        <v>633</v>
      </c>
      <c r="B610" s="1" t="s">
        <v>341</v>
      </c>
      <c r="E610" s="1" t="s">
        <v>799</v>
      </c>
      <c r="F610" s="1" t="s">
        <v>784</v>
      </c>
      <c r="H610" s="1" t="s">
        <v>451</v>
      </c>
      <c r="J610" s="37" t="s">
        <v>1626</v>
      </c>
      <c r="K610" s="1" t="s">
        <v>1175</v>
      </c>
    </row>
    <row r="611" spans="1:11" ht="43.2" x14ac:dyDescent="0.3">
      <c r="A611" s="1">
        <v>634</v>
      </c>
      <c r="B611" s="1" t="s">
        <v>341</v>
      </c>
      <c r="E611" s="1" t="s">
        <v>1246</v>
      </c>
      <c r="F611" s="1" t="s">
        <v>466</v>
      </c>
      <c r="H611" s="1" t="s">
        <v>738</v>
      </c>
      <c r="J611" s="37" t="s">
        <v>1626</v>
      </c>
      <c r="K611" s="1" t="s">
        <v>1175</v>
      </c>
    </row>
    <row r="612" spans="1:11" ht="43.2" x14ac:dyDescent="0.3">
      <c r="A612" s="1">
        <v>635</v>
      </c>
      <c r="B612" s="1" t="s">
        <v>341</v>
      </c>
      <c r="E612" s="1" t="s">
        <v>742</v>
      </c>
      <c r="F612" s="1" t="s">
        <v>466</v>
      </c>
      <c r="H612" s="1" t="s">
        <v>738</v>
      </c>
      <c r="J612" s="37" t="s">
        <v>1626</v>
      </c>
      <c r="K612" s="1" t="s">
        <v>1175</v>
      </c>
    </row>
    <row r="613" spans="1:11" ht="43.2" x14ac:dyDescent="0.3">
      <c r="A613" s="1">
        <v>636</v>
      </c>
      <c r="B613" s="1" t="s">
        <v>342</v>
      </c>
      <c r="E613" s="1" t="s">
        <v>1536</v>
      </c>
      <c r="F613" s="1" t="s">
        <v>633</v>
      </c>
      <c r="H613" s="1" t="s">
        <v>432</v>
      </c>
      <c r="J613" s="37" t="s">
        <v>1626</v>
      </c>
      <c r="K613" s="1" t="s">
        <v>1175</v>
      </c>
    </row>
    <row r="614" spans="1:11" ht="43.2" x14ac:dyDescent="0.3">
      <c r="A614" s="1">
        <v>637</v>
      </c>
      <c r="B614" s="1" t="s">
        <v>343</v>
      </c>
      <c r="E614" s="1" t="s">
        <v>1536</v>
      </c>
      <c r="F614" s="1" t="s">
        <v>633</v>
      </c>
      <c r="H614" s="1" t="s">
        <v>433</v>
      </c>
      <c r="J614" s="37" t="s">
        <v>1626</v>
      </c>
      <c r="K614" s="1" t="s">
        <v>1175</v>
      </c>
    </row>
    <row r="615" spans="1:11" ht="43.2" x14ac:dyDescent="0.3">
      <c r="A615" s="1">
        <v>638</v>
      </c>
      <c r="B615" s="1" t="s">
        <v>344</v>
      </c>
      <c r="E615" s="1" t="s">
        <v>1536</v>
      </c>
      <c r="F615" s="1" t="s">
        <v>633</v>
      </c>
      <c r="H615" s="1" t="s">
        <v>432</v>
      </c>
      <c r="J615" s="37" t="s">
        <v>1626</v>
      </c>
      <c r="K615" s="1" t="s">
        <v>1175</v>
      </c>
    </row>
    <row r="616" spans="1:11" ht="43.2" x14ac:dyDescent="0.3">
      <c r="A616" s="1">
        <v>639</v>
      </c>
      <c r="B616" s="1" t="s">
        <v>345</v>
      </c>
      <c r="E616" s="1" t="s">
        <v>1536</v>
      </c>
      <c r="F616" s="1" t="s">
        <v>633</v>
      </c>
      <c r="H616" s="1" t="s">
        <v>432</v>
      </c>
      <c r="J616" s="37" t="s">
        <v>1626</v>
      </c>
      <c r="K616" s="1" t="s">
        <v>1175</v>
      </c>
    </row>
    <row r="617" spans="1:11" ht="43.2" x14ac:dyDescent="0.3">
      <c r="A617" s="1">
        <v>640</v>
      </c>
      <c r="B617" s="1" t="s">
        <v>346</v>
      </c>
      <c r="E617" s="1" t="s">
        <v>1536</v>
      </c>
      <c r="F617" s="1" t="s">
        <v>633</v>
      </c>
      <c r="H617" s="1" t="s">
        <v>432</v>
      </c>
      <c r="J617" s="37" t="s">
        <v>1626</v>
      </c>
      <c r="K617" s="1" t="s">
        <v>1175</v>
      </c>
    </row>
    <row r="618" spans="1:11" ht="43.2" x14ac:dyDescent="0.3">
      <c r="A618" s="1">
        <v>641</v>
      </c>
      <c r="B618" s="1" t="s">
        <v>347</v>
      </c>
      <c r="E618" s="1" t="s">
        <v>1536</v>
      </c>
      <c r="F618" s="1" t="s">
        <v>633</v>
      </c>
      <c r="H618" s="1" t="s">
        <v>432</v>
      </c>
      <c r="J618" s="37" t="s">
        <v>1626</v>
      </c>
      <c r="K618" s="1" t="s">
        <v>1175</v>
      </c>
    </row>
    <row r="619" spans="1:11" ht="43.2" x14ac:dyDescent="0.3">
      <c r="A619" s="1">
        <v>642</v>
      </c>
      <c r="B619" s="1" t="s">
        <v>342</v>
      </c>
      <c r="E619" s="1" t="s">
        <v>1333</v>
      </c>
      <c r="F619" s="1" t="s">
        <v>1320</v>
      </c>
      <c r="H619" s="1" t="s">
        <v>432</v>
      </c>
      <c r="J619" s="37" t="s">
        <v>1626</v>
      </c>
      <c r="K619" s="1" t="s">
        <v>1175</v>
      </c>
    </row>
    <row r="620" spans="1:11" ht="43.2" x14ac:dyDescent="0.3">
      <c r="A620" s="1">
        <v>643</v>
      </c>
      <c r="B620" s="1" t="s">
        <v>343</v>
      </c>
      <c r="E620" s="1" t="s">
        <v>1333</v>
      </c>
      <c r="F620" s="1" t="s">
        <v>1320</v>
      </c>
      <c r="H620" s="1" t="s">
        <v>432</v>
      </c>
      <c r="J620" s="37" t="s">
        <v>1626</v>
      </c>
      <c r="K620" s="1" t="s">
        <v>1175</v>
      </c>
    </row>
    <row r="621" spans="1:11" ht="43.2" x14ac:dyDescent="0.3">
      <c r="A621" s="1">
        <v>644</v>
      </c>
      <c r="B621" s="1" t="s">
        <v>344</v>
      </c>
      <c r="E621" s="1" t="s">
        <v>1333</v>
      </c>
      <c r="F621" s="1" t="s">
        <v>1320</v>
      </c>
      <c r="H621" s="1" t="s">
        <v>433</v>
      </c>
      <c r="J621" s="37" t="s">
        <v>1626</v>
      </c>
      <c r="K621" s="1" t="s">
        <v>1175</v>
      </c>
    </row>
    <row r="622" spans="1:11" ht="43.2" x14ac:dyDescent="0.3">
      <c r="A622" s="1">
        <v>645</v>
      </c>
      <c r="B622" s="1" t="s">
        <v>345</v>
      </c>
      <c r="E622" s="1" t="s">
        <v>1333</v>
      </c>
      <c r="F622" s="1" t="s">
        <v>1320</v>
      </c>
      <c r="H622" s="1" t="s">
        <v>432</v>
      </c>
      <c r="J622" s="37" t="s">
        <v>1626</v>
      </c>
      <c r="K622" s="1" t="s">
        <v>1175</v>
      </c>
    </row>
    <row r="623" spans="1:11" ht="43.2" x14ac:dyDescent="0.3">
      <c r="A623" s="1">
        <v>646</v>
      </c>
      <c r="B623" s="1" t="s">
        <v>346</v>
      </c>
      <c r="E623" s="1" t="s">
        <v>1333</v>
      </c>
      <c r="F623" s="1" t="s">
        <v>1320</v>
      </c>
      <c r="H623" s="1" t="s">
        <v>432</v>
      </c>
      <c r="J623" s="37" t="s">
        <v>1626</v>
      </c>
      <c r="K623" s="1" t="s">
        <v>1175</v>
      </c>
    </row>
    <row r="624" spans="1:11" ht="43.2" x14ac:dyDescent="0.3">
      <c r="A624" s="1">
        <v>647</v>
      </c>
      <c r="B624" s="1" t="s">
        <v>347</v>
      </c>
      <c r="E624" s="1" t="s">
        <v>1333</v>
      </c>
      <c r="F624" s="1" t="s">
        <v>1320</v>
      </c>
      <c r="H624" s="1" t="s">
        <v>432</v>
      </c>
      <c r="J624" s="37" t="s">
        <v>1626</v>
      </c>
      <c r="K624" s="1" t="s">
        <v>1175</v>
      </c>
    </row>
    <row r="625" spans="1:11" ht="43.2" x14ac:dyDescent="0.3">
      <c r="A625" s="1">
        <v>648</v>
      </c>
      <c r="B625" s="1" t="s">
        <v>342</v>
      </c>
      <c r="E625" s="1" t="s">
        <v>1402</v>
      </c>
      <c r="F625" s="1" t="s">
        <v>1126</v>
      </c>
      <c r="H625" s="1" t="s">
        <v>432</v>
      </c>
      <c r="J625" s="37" t="s">
        <v>1626</v>
      </c>
      <c r="K625" s="1" t="s">
        <v>1175</v>
      </c>
    </row>
    <row r="626" spans="1:11" ht="43.2" x14ac:dyDescent="0.3">
      <c r="A626" s="1">
        <v>649</v>
      </c>
      <c r="B626" s="1" t="s">
        <v>343</v>
      </c>
      <c r="E626" s="1" t="s">
        <v>1402</v>
      </c>
      <c r="F626" s="1" t="s">
        <v>1126</v>
      </c>
      <c r="H626" s="1" t="s">
        <v>433</v>
      </c>
      <c r="J626" s="37" t="s">
        <v>1626</v>
      </c>
      <c r="K626" s="1" t="s">
        <v>1175</v>
      </c>
    </row>
    <row r="627" spans="1:11" ht="43.2" x14ac:dyDescent="0.3">
      <c r="A627" s="1">
        <v>650</v>
      </c>
      <c r="B627" s="1" t="s">
        <v>344</v>
      </c>
      <c r="E627" s="1" t="s">
        <v>1402</v>
      </c>
      <c r="F627" s="1" t="s">
        <v>1126</v>
      </c>
      <c r="H627" s="1" t="s">
        <v>433</v>
      </c>
      <c r="J627" s="37" t="s">
        <v>1626</v>
      </c>
      <c r="K627" s="1" t="s">
        <v>1175</v>
      </c>
    </row>
    <row r="628" spans="1:11" ht="43.2" x14ac:dyDescent="0.3">
      <c r="A628" s="1">
        <v>651</v>
      </c>
      <c r="B628" s="1" t="s">
        <v>345</v>
      </c>
      <c r="E628" s="1" t="s">
        <v>1402</v>
      </c>
      <c r="F628" s="1" t="s">
        <v>1126</v>
      </c>
      <c r="H628" s="1" t="s">
        <v>432</v>
      </c>
      <c r="J628" s="37" t="s">
        <v>1626</v>
      </c>
      <c r="K628" s="1" t="s">
        <v>1175</v>
      </c>
    </row>
    <row r="629" spans="1:11" ht="43.2" x14ac:dyDescent="0.3">
      <c r="A629" s="1">
        <v>652</v>
      </c>
      <c r="B629" s="1" t="s">
        <v>346</v>
      </c>
      <c r="E629" s="1" t="s">
        <v>1402</v>
      </c>
      <c r="F629" s="1" t="s">
        <v>1126</v>
      </c>
      <c r="H629" s="1" t="s">
        <v>432</v>
      </c>
      <c r="J629" s="37" t="s">
        <v>1626</v>
      </c>
      <c r="K629" s="1" t="s">
        <v>1175</v>
      </c>
    </row>
    <row r="630" spans="1:11" ht="43.2" x14ac:dyDescent="0.3">
      <c r="A630" s="1">
        <v>653</v>
      </c>
      <c r="B630" s="1" t="s">
        <v>347</v>
      </c>
      <c r="E630" s="1" t="s">
        <v>1402</v>
      </c>
      <c r="F630" s="1" t="s">
        <v>1126</v>
      </c>
      <c r="H630" s="1" t="s">
        <v>432</v>
      </c>
      <c r="J630" s="37" t="s">
        <v>1626</v>
      </c>
      <c r="K630" s="1" t="s">
        <v>1175</v>
      </c>
    </row>
    <row r="631" spans="1:11" ht="43.2" x14ac:dyDescent="0.3">
      <c r="A631" s="1">
        <v>654</v>
      </c>
      <c r="B631" s="1" t="s">
        <v>342</v>
      </c>
      <c r="E631" s="1" t="s">
        <v>1422</v>
      </c>
      <c r="F631" s="1" t="s">
        <v>1320</v>
      </c>
      <c r="H631" s="1" t="s">
        <v>432</v>
      </c>
      <c r="J631" s="37" t="s">
        <v>1626</v>
      </c>
      <c r="K631" s="1" t="s">
        <v>1175</v>
      </c>
    </row>
    <row r="632" spans="1:11" ht="43.2" x14ac:dyDescent="0.3">
      <c r="A632" s="1">
        <v>655</v>
      </c>
      <c r="B632" s="1" t="s">
        <v>343</v>
      </c>
      <c r="E632" s="1" t="s">
        <v>1422</v>
      </c>
      <c r="F632" s="1" t="s">
        <v>1320</v>
      </c>
      <c r="H632" s="1" t="s">
        <v>432</v>
      </c>
      <c r="J632" s="37" t="s">
        <v>1626</v>
      </c>
      <c r="K632" s="1" t="s">
        <v>1175</v>
      </c>
    </row>
    <row r="633" spans="1:11" ht="43.2" x14ac:dyDescent="0.3">
      <c r="A633" s="1">
        <v>656</v>
      </c>
      <c r="B633" s="1" t="s">
        <v>344</v>
      </c>
      <c r="E633" s="1" t="s">
        <v>1422</v>
      </c>
      <c r="F633" s="1" t="s">
        <v>1320</v>
      </c>
      <c r="H633" s="1" t="s">
        <v>433</v>
      </c>
      <c r="J633" s="37" t="s">
        <v>1626</v>
      </c>
      <c r="K633" s="1" t="s">
        <v>1175</v>
      </c>
    </row>
    <row r="634" spans="1:11" ht="43.2" x14ac:dyDescent="0.3">
      <c r="A634" s="1">
        <v>657</v>
      </c>
      <c r="B634" s="1" t="s">
        <v>345</v>
      </c>
      <c r="E634" s="1" t="s">
        <v>1422</v>
      </c>
      <c r="F634" s="1" t="s">
        <v>1320</v>
      </c>
      <c r="H634" s="1" t="s">
        <v>432</v>
      </c>
      <c r="J634" s="37" t="s">
        <v>1626</v>
      </c>
      <c r="K634" s="1" t="s">
        <v>1175</v>
      </c>
    </row>
    <row r="635" spans="1:11" ht="43.2" x14ac:dyDescent="0.3">
      <c r="A635" s="1">
        <v>658</v>
      </c>
      <c r="B635" s="1" t="s">
        <v>346</v>
      </c>
      <c r="E635" s="1" t="s">
        <v>1422</v>
      </c>
      <c r="F635" s="1" t="s">
        <v>1320</v>
      </c>
      <c r="H635" s="1" t="s">
        <v>432</v>
      </c>
      <c r="J635" s="37" t="s">
        <v>1626</v>
      </c>
      <c r="K635" s="1" t="s">
        <v>1175</v>
      </c>
    </row>
    <row r="636" spans="1:11" ht="43.2" x14ac:dyDescent="0.3">
      <c r="A636" s="1">
        <v>659</v>
      </c>
      <c r="B636" s="1" t="s">
        <v>347</v>
      </c>
      <c r="E636" s="1" t="s">
        <v>1422</v>
      </c>
      <c r="F636" s="1" t="s">
        <v>1320</v>
      </c>
      <c r="H636" s="1" t="s">
        <v>432</v>
      </c>
      <c r="J636" s="37" t="s">
        <v>1626</v>
      </c>
      <c r="K636" s="1" t="s">
        <v>1175</v>
      </c>
    </row>
    <row r="637" spans="1:11" ht="43.2" x14ac:dyDescent="0.3">
      <c r="A637" s="1">
        <v>660</v>
      </c>
      <c r="B637" s="1" t="s">
        <v>342</v>
      </c>
      <c r="E637" s="1" t="s">
        <v>1411</v>
      </c>
      <c r="F637" s="1" t="s">
        <v>1320</v>
      </c>
      <c r="H637" s="1" t="s">
        <v>432</v>
      </c>
      <c r="J637" s="37" t="s">
        <v>1626</v>
      </c>
      <c r="K637" s="1" t="s">
        <v>1175</v>
      </c>
    </row>
    <row r="638" spans="1:11" ht="43.2" x14ac:dyDescent="0.3">
      <c r="A638" s="1">
        <v>661</v>
      </c>
      <c r="B638" s="1" t="s">
        <v>343</v>
      </c>
      <c r="E638" s="1" t="s">
        <v>1411</v>
      </c>
      <c r="F638" s="1" t="s">
        <v>1320</v>
      </c>
      <c r="H638" s="1" t="s">
        <v>432</v>
      </c>
      <c r="J638" s="37" t="s">
        <v>1626</v>
      </c>
      <c r="K638" s="1" t="s">
        <v>1175</v>
      </c>
    </row>
    <row r="639" spans="1:11" ht="43.2" x14ac:dyDescent="0.3">
      <c r="A639" s="1">
        <v>662</v>
      </c>
      <c r="B639" s="1" t="s">
        <v>344</v>
      </c>
      <c r="E639" s="1" t="s">
        <v>1411</v>
      </c>
      <c r="F639" s="1" t="s">
        <v>1320</v>
      </c>
      <c r="H639" s="1" t="s">
        <v>433</v>
      </c>
      <c r="J639" s="37" t="s">
        <v>1626</v>
      </c>
      <c r="K639" s="1" t="s">
        <v>1175</v>
      </c>
    </row>
    <row r="640" spans="1:11" ht="43.2" x14ac:dyDescent="0.3">
      <c r="A640" s="1">
        <v>663</v>
      </c>
      <c r="B640" s="1" t="s">
        <v>345</v>
      </c>
      <c r="E640" s="1" t="s">
        <v>1411</v>
      </c>
      <c r="F640" s="1" t="s">
        <v>1320</v>
      </c>
      <c r="H640" s="1">
        <v>0</v>
      </c>
      <c r="J640" s="37" t="s">
        <v>1626</v>
      </c>
      <c r="K640" s="1" t="s">
        <v>1175</v>
      </c>
    </row>
    <row r="641" spans="1:11" ht="43.2" x14ac:dyDescent="0.3">
      <c r="A641" s="1">
        <v>664</v>
      </c>
      <c r="B641" s="1" t="s">
        <v>346</v>
      </c>
      <c r="E641" s="1" t="s">
        <v>1411</v>
      </c>
      <c r="F641" s="1" t="s">
        <v>1320</v>
      </c>
      <c r="H641" s="1" t="s">
        <v>432</v>
      </c>
      <c r="J641" s="37" t="s">
        <v>1626</v>
      </c>
      <c r="K641" s="1" t="s">
        <v>1175</v>
      </c>
    </row>
    <row r="642" spans="1:11" ht="43.2" x14ac:dyDescent="0.3">
      <c r="A642" s="1">
        <v>665</v>
      </c>
      <c r="B642" s="1" t="s">
        <v>347</v>
      </c>
      <c r="E642" s="1" t="s">
        <v>1411</v>
      </c>
      <c r="F642" s="1" t="s">
        <v>1320</v>
      </c>
      <c r="H642" s="1" t="s">
        <v>432</v>
      </c>
      <c r="J642" s="37" t="s">
        <v>1626</v>
      </c>
      <c r="K642" s="1" t="s">
        <v>1175</v>
      </c>
    </row>
    <row r="643" spans="1:11" ht="43.2" x14ac:dyDescent="0.3">
      <c r="A643" s="1">
        <v>666</v>
      </c>
      <c r="B643" s="1" t="s">
        <v>342</v>
      </c>
      <c r="E643" s="1" t="s">
        <v>1521</v>
      </c>
      <c r="F643" s="1" t="s">
        <v>466</v>
      </c>
      <c r="H643" s="1" t="s">
        <v>432</v>
      </c>
      <c r="J643" s="37" t="s">
        <v>1626</v>
      </c>
      <c r="K643" s="1" t="s">
        <v>1175</v>
      </c>
    </row>
    <row r="644" spans="1:11" ht="43.2" x14ac:dyDescent="0.3">
      <c r="A644" s="1">
        <v>667</v>
      </c>
      <c r="B644" s="1" t="s">
        <v>343</v>
      </c>
      <c r="E644" s="1" t="s">
        <v>1521</v>
      </c>
      <c r="F644" s="1" t="s">
        <v>466</v>
      </c>
      <c r="H644" s="1" t="s">
        <v>433</v>
      </c>
      <c r="J644" s="37" t="s">
        <v>1626</v>
      </c>
      <c r="K644" s="1" t="s">
        <v>1175</v>
      </c>
    </row>
    <row r="645" spans="1:11" ht="43.2" x14ac:dyDescent="0.3">
      <c r="A645" s="1">
        <v>668</v>
      </c>
      <c r="B645" s="1" t="s">
        <v>344</v>
      </c>
      <c r="E645" s="1" t="s">
        <v>1521</v>
      </c>
      <c r="F645" s="1" t="s">
        <v>466</v>
      </c>
      <c r="H645" s="1" t="s">
        <v>433</v>
      </c>
      <c r="J645" s="37" t="s">
        <v>1626</v>
      </c>
      <c r="K645" s="1" t="s">
        <v>1175</v>
      </c>
    </row>
    <row r="646" spans="1:11" ht="43.2" x14ac:dyDescent="0.3">
      <c r="A646" s="1">
        <v>669</v>
      </c>
      <c r="B646" s="1" t="s">
        <v>345</v>
      </c>
      <c r="E646" s="1" t="s">
        <v>1521</v>
      </c>
      <c r="F646" s="1" t="s">
        <v>466</v>
      </c>
      <c r="H646" s="1" t="s">
        <v>432</v>
      </c>
      <c r="J646" s="37" t="s">
        <v>1626</v>
      </c>
      <c r="K646" s="1" t="s">
        <v>1175</v>
      </c>
    </row>
    <row r="647" spans="1:11" ht="43.2" x14ac:dyDescent="0.3">
      <c r="A647" s="1">
        <v>670</v>
      </c>
      <c r="B647" s="1" t="s">
        <v>346</v>
      </c>
      <c r="E647" s="1" t="s">
        <v>1521</v>
      </c>
      <c r="F647" s="1" t="s">
        <v>466</v>
      </c>
      <c r="H647" s="1" t="s">
        <v>432</v>
      </c>
      <c r="J647" s="37" t="s">
        <v>1626</v>
      </c>
      <c r="K647" s="1" t="s">
        <v>1175</v>
      </c>
    </row>
    <row r="648" spans="1:11" ht="43.2" x14ac:dyDescent="0.3">
      <c r="A648" s="1">
        <v>671</v>
      </c>
      <c r="B648" s="1" t="s">
        <v>347</v>
      </c>
      <c r="E648" s="1" t="s">
        <v>1521</v>
      </c>
      <c r="F648" s="1" t="s">
        <v>466</v>
      </c>
      <c r="H648" s="1" t="s">
        <v>432</v>
      </c>
      <c r="J648" s="37" t="s">
        <v>1626</v>
      </c>
      <c r="K648" s="1" t="s">
        <v>1175</v>
      </c>
    </row>
    <row r="649" spans="1:11" ht="43.2" x14ac:dyDescent="0.3">
      <c r="A649" s="1">
        <v>672</v>
      </c>
      <c r="B649" s="1" t="s">
        <v>342</v>
      </c>
      <c r="E649" s="1" t="s">
        <v>1054</v>
      </c>
      <c r="F649" s="1" t="s">
        <v>893</v>
      </c>
      <c r="H649" s="1" t="s">
        <v>432</v>
      </c>
      <c r="J649" s="37" t="s">
        <v>1626</v>
      </c>
      <c r="K649" s="1" t="s">
        <v>1175</v>
      </c>
    </row>
    <row r="650" spans="1:11" ht="43.2" x14ac:dyDescent="0.3">
      <c r="A650" s="1">
        <v>673</v>
      </c>
      <c r="B650" s="1" t="s">
        <v>343</v>
      </c>
      <c r="E650" s="1" t="s">
        <v>1054</v>
      </c>
      <c r="F650" s="1" t="s">
        <v>893</v>
      </c>
      <c r="H650" s="1" t="s">
        <v>433</v>
      </c>
      <c r="J650" s="37" t="s">
        <v>1626</v>
      </c>
      <c r="K650" s="1" t="s">
        <v>1175</v>
      </c>
    </row>
    <row r="651" spans="1:11" ht="43.2" x14ac:dyDescent="0.3">
      <c r="A651" s="1">
        <v>674</v>
      </c>
      <c r="B651" s="1" t="s">
        <v>344</v>
      </c>
      <c r="E651" s="1" t="s">
        <v>1054</v>
      </c>
      <c r="F651" s="1" t="s">
        <v>893</v>
      </c>
      <c r="H651" s="1" t="s">
        <v>433</v>
      </c>
      <c r="J651" s="37" t="s">
        <v>1626</v>
      </c>
      <c r="K651" s="1" t="s">
        <v>1175</v>
      </c>
    </row>
    <row r="652" spans="1:11" ht="43.2" x14ac:dyDescent="0.3">
      <c r="A652" s="1">
        <v>675</v>
      </c>
      <c r="B652" s="1" t="s">
        <v>345</v>
      </c>
      <c r="E652" s="1" t="s">
        <v>1054</v>
      </c>
      <c r="F652" s="1" t="s">
        <v>893</v>
      </c>
      <c r="H652" s="1" t="s">
        <v>432</v>
      </c>
      <c r="J652" s="37" t="s">
        <v>1626</v>
      </c>
      <c r="K652" s="1" t="s">
        <v>1175</v>
      </c>
    </row>
    <row r="653" spans="1:11" ht="43.2" x14ac:dyDescent="0.3">
      <c r="A653" s="1">
        <v>676</v>
      </c>
      <c r="B653" s="1" t="s">
        <v>346</v>
      </c>
      <c r="E653" s="1" t="s">
        <v>1054</v>
      </c>
      <c r="F653" s="1" t="s">
        <v>893</v>
      </c>
      <c r="H653" s="1" t="s">
        <v>432</v>
      </c>
      <c r="J653" s="37" t="s">
        <v>1626</v>
      </c>
      <c r="K653" s="1" t="s">
        <v>1175</v>
      </c>
    </row>
    <row r="654" spans="1:11" ht="43.2" x14ac:dyDescent="0.3">
      <c r="A654" s="1">
        <v>677</v>
      </c>
      <c r="B654" s="1" t="s">
        <v>347</v>
      </c>
      <c r="E654" s="1" t="s">
        <v>1054</v>
      </c>
      <c r="F654" s="1" t="s">
        <v>893</v>
      </c>
      <c r="H654" s="1" t="s">
        <v>432</v>
      </c>
      <c r="J654" s="37" t="s">
        <v>1626</v>
      </c>
      <c r="K654" s="1" t="s">
        <v>1175</v>
      </c>
    </row>
    <row r="655" spans="1:11" ht="43.2" x14ac:dyDescent="0.3">
      <c r="A655" s="1">
        <v>678</v>
      </c>
      <c r="B655" s="1" t="s">
        <v>342</v>
      </c>
      <c r="E655" s="1" t="s">
        <v>799</v>
      </c>
      <c r="F655" s="1" t="s">
        <v>784</v>
      </c>
      <c r="H655" s="1" t="s">
        <v>433</v>
      </c>
      <c r="J655" s="37" t="s">
        <v>1626</v>
      </c>
      <c r="K655" s="1" t="s">
        <v>1175</v>
      </c>
    </row>
    <row r="656" spans="1:11" ht="43.2" x14ac:dyDescent="0.3">
      <c r="A656" s="1">
        <v>679</v>
      </c>
      <c r="B656" s="1" t="s">
        <v>343</v>
      </c>
      <c r="E656" s="1" t="s">
        <v>799</v>
      </c>
      <c r="F656" s="1" t="s">
        <v>784</v>
      </c>
      <c r="H656" s="1" t="s">
        <v>433</v>
      </c>
      <c r="J656" s="37" t="s">
        <v>1626</v>
      </c>
      <c r="K656" s="1" t="s">
        <v>1175</v>
      </c>
    </row>
    <row r="657" spans="1:11" ht="43.2" x14ac:dyDescent="0.3">
      <c r="A657" s="1">
        <v>680</v>
      </c>
      <c r="B657" s="1" t="s">
        <v>344</v>
      </c>
      <c r="E657" s="1" t="s">
        <v>799</v>
      </c>
      <c r="F657" s="1" t="s">
        <v>784</v>
      </c>
      <c r="H657" s="1" t="s">
        <v>433</v>
      </c>
      <c r="J657" s="37" t="s">
        <v>1626</v>
      </c>
      <c r="K657" s="1" t="s">
        <v>1175</v>
      </c>
    </row>
    <row r="658" spans="1:11" ht="43.2" x14ac:dyDescent="0.3">
      <c r="A658" s="1">
        <v>681</v>
      </c>
      <c r="B658" s="1" t="s">
        <v>345</v>
      </c>
      <c r="E658" s="1" t="s">
        <v>799</v>
      </c>
      <c r="F658" s="1" t="s">
        <v>784</v>
      </c>
      <c r="H658" s="1" t="s">
        <v>432</v>
      </c>
      <c r="J658" s="37" t="s">
        <v>1626</v>
      </c>
      <c r="K658" s="1" t="s">
        <v>1175</v>
      </c>
    </row>
    <row r="659" spans="1:11" ht="43.2" x14ac:dyDescent="0.3">
      <c r="A659" s="1">
        <v>682</v>
      </c>
      <c r="B659" s="1" t="s">
        <v>346</v>
      </c>
      <c r="E659" s="1" t="s">
        <v>799</v>
      </c>
      <c r="F659" s="1" t="s">
        <v>784</v>
      </c>
      <c r="H659" s="1" t="s">
        <v>432</v>
      </c>
      <c r="J659" s="37" t="s">
        <v>1626</v>
      </c>
      <c r="K659" s="1" t="s">
        <v>1175</v>
      </c>
    </row>
    <row r="660" spans="1:11" ht="43.2" x14ac:dyDescent="0.3">
      <c r="A660" s="1">
        <v>683</v>
      </c>
      <c r="B660" s="1" t="s">
        <v>347</v>
      </c>
      <c r="E660" s="1" t="s">
        <v>799</v>
      </c>
      <c r="F660" s="1" t="s">
        <v>784</v>
      </c>
      <c r="H660" s="1" t="s">
        <v>432</v>
      </c>
      <c r="J660" s="37" t="s">
        <v>1626</v>
      </c>
      <c r="K660" s="1" t="s">
        <v>1175</v>
      </c>
    </row>
    <row r="661" spans="1:11" ht="43.2" x14ac:dyDescent="0.3">
      <c r="A661" s="1">
        <v>684</v>
      </c>
      <c r="B661" s="1" t="s">
        <v>342</v>
      </c>
      <c r="E661" s="1" t="s">
        <v>1246</v>
      </c>
      <c r="F661" s="1" t="s">
        <v>466</v>
      </c>
      <c r="H661" s="1" t="s">
        <v>432</v>
      </c>
      <c r="J661" s="37" t="s">
        <v>1626</v>
      </c>
      <c r="K661" s="1" t="s">
        <v>1175</v>
      </c>
    </row>
    <row r="662" spans="1:11" ht="43.2" x14ac:dyDescent="0.3">
      <c r="A662" s="1">
        <v>685</v>
      </c>
      <c r="B662" s="1" t="s">
        <v>343</v>
      </c>
      <c r="E662" s="1" t="s">
        <v>1246</v>
      </c>
      <c r="F662" s="1" t="s">
        <v>466</v>
      </c>
      <c r="H662" s="1" t="s">
        <v>433</v>
      </c>
      <c r="J662" s="37" t="s">
        <v>1626</v>
      </c>
      <c r="K662" s="1" t="s">
        <v>1175</v>
      </c>
    </row>
    <row r="663" spans="1:11" ht="43.2" x14ac:dyDescent="0.3">
      <c r="A663" s="1">
        <v>686</v>
      </c>
      <c r="B663" s="1" t="s">
        <v>344</v>
      </c>
      <c r="E663" s="1" t="s">
        <v>1246</v>
      </c>
      <c r="F663" s="1" t="s">
        <v>466</v>
      </c>
      <c r="H663" s="1" t="s">
        <v>433</v>
      </c>
      <c r="J663" s="37" t="s">
        <v>1626</v>
      </c>
      <c r="K663" s="1" t="s">
        <v>1175</v>
      </c>
    </row>
    <row r="664" spans="1:11" ht="43.2" x14ac:dyDescent="0.3">
      <c r="A664" s="1">
        <v>687</v>
      </c>
      <c r="B664" s="1" t="s">
        <v>345</v>
      </c>
      <c r="E664" s="1" t="s">
        <v>1246</v>
      </c>
      <c r="F664" s="1" t="s">
        <v>466</v>
      </c>
      <c r="H664" s="1" t="s">
        <v>432</v>
      </c>
      <c r="J664" s="37" t="s">
        <v>1626</v>
      </c>
      <c r="K664" s="1" t="s">
        <v>1175</v>
      </c>
    </row>
    <row r="665" spans="1:11" ht="43.2" x14ac:dyDescent="0.3">
      <c r="A665" s="1">
        <v>688</v>
      </c>
      <c r="B665" s="1" t="s">
        <v>346</v>
      </c>
      <c r="E665" s="1" t="s">
        <v>1246</v>
      </c>
      <c r="F665" s="1" t="s">
        <v>466</v>
      </c>
      <c r="H665" s="1" t="s">
        <v>432</v>
      </c>
      <c r="J665" s="37" t="s">
        <v>1626</v>
      </c>
      <c r="K665" s="1" t="s">
        <v>1175</v>
      </c>
    </row>
    <row r="666" spans="1:11" ht="43.2" x14ac:dyDescent="0.3">
      <c r="A666" s="1">
        <v>689</v>
      </c>
      <c r="B666" s="1" t="s">
        <v>347</v>
      </c>
      <c r="E666" s="1" t="s">
        <v>1246</v>
      </c>
      <c r="F666" s="1" t="s">
        <v>466</v>
      </c>
      <c r="H666" s="1" t="s">
        <v>432</v>
      </c>
      <c r="J666" s="37" t="s">
        <v>1626</v>
      </c>
      <c r="K666" s="1" t="s">
        <v>1175</v>
      </c>
    </row>
    <row r="667" spans="1:11" ht="43.2" x14ac:dyDescent="0.3">
      <c r="A667" s="1">
        <v>690</v>
      </c>
      <c r="B667" s="1" t="s">
        <v>342</v>
      </c>
      <c r="E667" s="1" t="s">
        <v>742</v>
      </c>
      <c r="F667" s="1" t="s">
        <v>466</v>
      </c>
      <c r="H667" s="1" t="s">
        <v>432</v>
      </c>
      <c r="J667" s="37" t="s">
        <v>1626</v>
      </c>
      <c r="K667" s="1" t="s">
        <v>1175</v>
      </c>
    </row>
    <row r="668" spans="1:11" ht="43.2" x14ac:dyDescent="0.3">
      <c r="A668" s="1">
        <v>691</v>
      </c>
      <c r="B668" s="1" t="s">
        <v>343</v>
      </c>
      <c r="E668" s="1" t="s">
        <v>742</v>
      </c>
      <c r="F668" s="1" t="s">
        <v>466</v>
      </c>
      <c r="H668" s="1" t="s">
        <v>433</v>
      </c>
      <c r="J668" s="37" t="s">
        <v>1626</v>
      </c>
      <c r="K668" s="1" t="s">
        <v>1175</v>
      </c>
    </row>
    <row r="669" spans="1:11" ht="43.2" x14ac:dyDescent="0.3">
      <c r="A669" s="1">
        <v>692</v>
      </c>
      <c r="B669" s="1" t="s">
        <v>344</v>
      </c>
      <c r="E669" s="1" t="s">
        <v>742</v>
      </c>
      <c r="F669" s="1" t="s">
        <v>466</v>
      </c>
      <c r="H669" s="1" t="s">
        <v>433</v>
      </c>
      <c r="J669" s="37" t="s">
        <v>1626</v>
      </c>
      <c r="K669" s="1" t="s">
        <v>1175</v>
      </c>
    </row>
    <row r="670" spans="1:11" ht="43.2" x14ac:dyDescent="0.3">
      <c r="A670" s="1">
        <v>693</v>
      </c>
      <c r="B670" s="1" t="s">
        <v>345</v>
      </c>
      <c r="E670" s="1" t="s">
        <v>742</v>
      </c>
      <c r="F670" s="1" t="s">
        <v>466</v>
      </c>
      <c r="H670" s="1" t="s">
        <v>432</v>
      </c>
      <c r="J670" s="37" t="s">
        <v>1626</v>
      </c>
      <c r="K670" s="1" t="s">
        <v>1175</v>
      </c>
    </row>
    <row r="671" spans="1:11" ht="43.2" x14ac:dyDescent="0.3">
      <c r="A671" s="1">
        <v>694</v>
      </c>
      <c r="B671" s="1" t="s">
        <v>346</v>
      </c>
      <c r="E671" s="1" t="s">
        <v>742</v>
      </c>
      <c r="F671" s="1" t="s">
        <v>466</v>
      </c>
      <c r="H671" s="1" t="s">
        <v>432</v>
      </c>
      <c r="J671" s="37" t="s">
        <v>1626</v>
      </c>
      <c r="K671" s="1" t="s">
        <v>1175</v>
      </c>
    </row>
    <row r="672" spans="1:11" ht="43.2" x14ac:dyDescent="0.3">
      <c r="A672" s="1">
        <v>695</v>
      </c>
      <c r="B672" s="1" t="s">
        <v>347</v>
      </c>
      <c r="E672" s="1" t="s">
        <v>742</v>
      </c>
      <c r="F672" s="1" t="s">
        <v>466</v>
      </c>
      <c r="H672" s="1" t="s">
        <v>432</v>
      </c>
      <c r="J672" s="37" t="s">
        <v>1626</v>
      </c>
      <c r="K672" s="1" t="s">
        <v>1175</v>
      </c>
    </row>
    <row r="673" spans="1:11" ht="43.2" x14ac:dyDescent="0.3">
      <c r="A673" s="1">
        <v>696</v>
      </c>
      <c r="B673" s="1" t="s">
        <v>349</v>
      </c>
      <c r="E673" s="1" t="s">
        <v>799</v>
      </c>
      <c r="F673" s="1" t="s">
        <v>784</v>
      </c>
      <c r="H673" s="1" t="s">
        <v>516</v>
      </c>
      <c r="J673" s="37" t="s">
        <v>1626</v>
      </c>
      <c r="K673" s="1" t="s">
        <v>1175</v>
      </c>
    </row>
    <row r="674" spans="1:11" ht="43.2" x14ac:dyDescent="0.3">
      <c r="A674" s="1">
        <v>697</v>
      </c>
      <c r="B674" s="1" t="s">
        <v>350</v>
      </c>
      <c r="E674" s="1" t="s">
        <v>799</v>
      </c>
      <c r="F674" s="1" t="s">
        <v>784</v>
      </c>
      <c r="H674" s="1" t="s">
        <v>433</v>
      </c>
      <c r="J674" s="37" t="s">
        <v>1626</v>
      </c>
      <c r="K674" s="1" t="s">
        <v>1175</v>
      </c>
    </row>
    <row r="675" spans="1:11" ht="43.2" x14ac:dyDescent="0.3">
      <c r="A675" s="1">
        <v>698</v>
      </c>
      <c r="B675" s="1" t="s">
        <v>351</v>
      </c>
      <c r="E675" s="1" t="s">
        <v>799</v>
      </c>
      <c r="F675" s="1" t="s">
        <v>784</v>
      </c>
      <c r="H675" s="1" t="s">
        <v>432</v>
      </c>
      <c r="J675" s="37" t="s">
        <v>1626</v>
      </c>
      <c r="K675" s="1" t="s">
        <v>1175</v>
      </c>
    </row>
    <row r="676" spans="1:11" ht="43.2" x14ac:dyDescent="0.3">
      <c r="A676" s="1">
        <v>699</v>
      </c>
      <c r="B676" s="1" t="s">
        <v>352</v>
      </c>
      <c r="E676" s="1" t="s">
        <v>799</v>
      </c>
      <c r="F676" s="1" t="s">
        <v>784</v>
      </c>
      <c r="H676" s="1" t="s">
        <v>433</v>
      </c>
      <c r="J676" s="37" t="s">
        <v>1626</v>
      </c>
      <c r="K676" s="1" t="s">
        <v>1175</v>
      </c>
    </row>
    <row r="677" spans="1:11" ht="43.2" x14ac:dyDescent="0.3">
      <c r="A677" s="1">
        <v>700</v>
      </c>
      <c r="B677" s="1" t="s">
        <v>353</v>
      </c>
      <c r="E677" s="1" t="s">
        <v>799</v>
      </c>
      <c r="F677" s="1" t="s">
        <v>784</v>
      </c>
      <c r="H677" s="1" t="s">
        <v>432</v>
      </c>
      <c r="J677" s="37" t="s">
        <v>1626</v>
      </c>
      <c r="K677" s="1" t="s">
        <v>1175</v>
      </c>
    </row>
    <row r="678" spans="1:11" ht="43.2" x14ac:dyDescent="0.3">
      <c r="A678" s="1">
        <v>701</v>
      </c>
      <c r="B678" s="1" t="s">
        <v>354</v>
      </c>
      <c r="E678" s="1" t="s">
        <v>799</v>
      </c>
      <c r="F678" s="1" t="s">
        <v>784</v>
      </c>
      <c r="H678" s="1" t="s">
        <v>433</v>
      </c>
      <c r="J678" s="37" t="s">
        <v>1626</v>
      </c>
      <c r="K678" s="1" t="s">
        <v>1175</v>
      </c>
    </row>
    <row r="679" spans="1:11" ht="43.2" x14ac:dyDescent="0.3">
      <c r="A679" s="1">
        <v>702</v>
      </c>
      <c r="B679" s="1" t="s">
        <v>355</v>
      </c>
      <c r="E679" s="1" t="s">
        <v>799</v>
      </c>
      <c r="F679" s="1" t="s">
        <v>784</v>
      </c>
      <c r="H679" s="1" t="s">
        <v>432</v>
      </c>
      <c r="J679" s="37" t="s">
        <v>1626</v>
      </c>
      <c r="K679" s="1" t="s">
        <v>1175</v>
      </c>
    </row>
    <row r="680" spans="1:11" ht="43.2" x14ac:dyDescent="0.3">
      <c r="A680" s="1">
        <v>703</v>
      </c>
      <c r="B680" s="1" t="s">
        <v>356</v>
      </c>
      <c r="E680" s="1" t="s">
        <v>799</v>
      </c>
      <c r="F680" s="1" t="s">
        <v>784</v>
      </c>
      <c r="H680" s="1" t="s">
        <v>432</v>
      </c>
      <c r="J680" s="37" t="s">
        <v>1626</v>
      </c>
      <c r="K680" s="1" t="s">
        <v>1175</v>
      </c>
    </row>
    <row r="681" spans="1:11" ht="43.2" x14ac:dyDescent="0.3">
      <c r="A681" s="1">
        <v>704</v>
      </c>
      <c r="B681" s="1" t="s">
        <v>357</v>
      </c>
      <c r="E681" s="1" t="s">
        <v>799</v>
      </c>
      <c r="F681" s="1" t="s">
        <v>784</v>
      </c>
      <c r="H681" s="1" t="s">
        <v>432</v>
      </c>
      <c r="J681" s="37" t="s">
        <v>1626</v>
      </c>
      <c r="K681" s="1" t="s">
        <v>1175</v>
      </c>
    </row>
    <row r="682" spans="1:11" ht="43.2" x14ac:dyDescent="0.3">
      <c r="A682" s="1">
        <v>705</v>
      </c>
      <c r="B682" s="1" t="s">
        <v>358</v>
      </c>
      <c r="E682" s="1" t="s">
        <v>799</v>
      </c>
      <c r="F682" s="1" t="s">
        <v>784</v>
      </c>
      <c r="H682" s="1" t="s">
        <v>432</v>
      </c>
      <c r="J682" s="37" t="s">
        <v>1626</v>
      </c>
      <c r="K682" s="1" t="s">
        <v>1175</v>
      </c>
    </row>
    <row r="683" spans="1:11" ht="43.2" x14ac:dyDescent="0.3">
      <c r="A683" s="1">
        <v>706</v>
      </c>
      <c r="B683" s="1" t="s">
        <v>360</v>
      </c>
      <c r="E683" s="1" t="s">
        <v>1536</v>
      </c>
      <c r="F683" s="1" t="s">
        <v>633</v>
      </c>
      <c r="H683" s="1" t="s">
        <v>1534</v>
      </c>
      <c r="J683" s="37" t="s">
        <v>1626</v>
      </c>
      <c r="K683" s="1" t="s">
        <v>1175</v>
      </c>
    </row>
    <row r="684" spans="1:11" ht="43.2" x14ac:dyDescent="0.3">
      <c r="A684" s="1">
        <v>707</v>
      </c>
      <c r="B684" s="1" t="s">
        <v>361</v>
      </c>
      <c r="E684" s="1" t="s">
        <v>1536</v>
      </c>
      <c r="F684" s="1" t="s">
        <v>633</v>
      </c>
      <c r="H684" s="1" t="s">
        <v>432</v>
      </c>
      <c r="J684" s="37" t="s">
        <v>1626</v>
      </c>
      <c r="K684" s="1" t="s">
        <v>1175</v>
      </c>
    </row>
    <row r="685" spans="1:11" ht="43.2" x14ac:dyDescent="0.3">
      <c r="A685" s="1">
        <v>708</v>
      </c>
      <c r="B685" s="1" t="s">
        <v>362</v>
      </c>
      <c r="E685" s="1" t="s">
        <v>1536</v>
      </c>
      <c r="F685" s="1" t="s">
        <v>633</v>
      </c>
      <c r="H685" s="1" t="s">
        <v>432</v>
      </c>
      <c r="J685" s="37" t="s">
        <v>1626</v>
      </c>
      <c r="K685" s="1" t="s">
        <v>1175</v>
      </c>
    </row>
    <row r="686" spans="1:11" ht="43.2" x14ac:dyDescent="0.3">
      <c r="A686" s="1">
        <v>709</v>
      </c>
      <c r="B686" s="1" t="s">
        <v>363</v>
      </c>
      <c r="E686" s="1" t="s">
        <v>1536</v>
      </c>
      <c r="F686" s="1" t="s">
        <v>633</v>
      </c>
      <c r="H686" s="1" t="s">
        <v>432</v>
      </c>
      <c r="J686" s="37" t="s">
        <v>1626</v>
      </c>
      <c r="K686" s="1" t="s">
        <v>1175</v>
      </c>
    </row>
    <row r="687" spans="1:11" ht="43.2" x14ac:dyDescent="0.3">
      <c r="A687" s="1">
        <v>710</v>
      </c>
      <c r="B687" s="1" t="s">
        <v>364</v>
      </c>
      <c r="E687" s="1" t="s">
        <v>1536</v>
      </c>
      <c r="F687" s="1" t="s">
        <v>633</v>
      </c>
      <c r="H687" s="1" t="s">
        <v>433</v>
      </c>
      <c r="J687" s="37" t="s">
        <v>1626</v>
      </c>
      <c r="K687" s="1" t="s">
        <v>1175</v>
      </c>
    </row>
    <row r="688" spans="1:11" ht="43.2" x14ac:dyDescent="0.3">
      <c r="A688" s="1">
        <v>711</v>
      </c>
      <c r="B688" s="1" t="s">
        <v>365</v>
      </c>
      <c r="E688" s="1" t="s">
        <v>1536</v>
      </c>
      <c r="F688" s="1" t="s">
        <v>633</v>
      </c>
      <c r="H688" s="1" t="s">
        <v>432</v>
      </c>
      <c r="J688" s="37" t="s">
        <v>1626</v>
      </c>
      <c r="K688" s="1" t="s">
        <v>1175</v>
      </c>
    </row>
    <row r="689" spans="1:11" ht="43.2" x14ac:dyDescent="0.3">
      <c r="A689" s="1">
        <v>712</v>
      </c>
      <c r="B689" s="1" t="s">
        <v>366</v>
      </c>
      <c r="E689" s="1" t="s">
        <v>1536</v>
      </c>
      <c r="F689" s="1" t="s">
        <v>633</v>
      </c>
      <c r="H689" s="1" t="s">
        <v>432</v>
      </c>
      <c r="J689" s="37" t="s">
        <v>1626</v>
      </c>
      <c r="K689" s="1" t="s">
        <v>1175</v>
      </c>
    </row>
    <row r="690" spans="1:11" ht="43.2" x14ac:dyDescent="0.3">
      <c r="A690" s="1">
        <v>713</v>
      </c>
      <c r="B690" s="1" t="s">
        <v>367</v>
      </c>
      <c r="E690" s="1" t="s">
        <v>1536</v>
      </c>
      <c r="F690" s="1" t="s">
        <v>633</v>
      </c>
      <c r="H690" s="1" t="s">
        <v>432</v>
      </c>
      <c r="J690" s="37" t="s">
        <v>1626</v>
      </c>
      <c r="K690" s="1" t="s">
        <v>1175</v>
      </c>
    </row>
    <row r="691" spans="1:11" ht="43.2" x14ac:dyDescent="0.3">
      <c r="A691" s="1">
        <v>714</v>
      </c>
      <c r="B691" s="1" t="s">
        <v>368</v>
      </c>
      <c r="E691" s="1" t="s">
        <v>1536</v>
      </c>
      <c r="F691" s="1" t="s">
        <v>633</v>
      </c>
      <c r="H691" s="1" t="s">
        <v>432</v>
      </c>
      <c r="J691" s="37" t="s">
        <v>1626</v>
      </c>
      <c r="K691" s="1" t="s">
        <v>1175</v>
      </c>
    </row>
    <row r="692" spans="1:11" ht="43.2" x14ac:dyDescent="0.3">
      <c r="A692" s="1">
        <v>715</v>
      </c>
      <c r="B692" s="1" t="s">
        <v>369</v>
      </c>
      <c r="E692" s="1" t="s">
        <v>1536</v>
      </c>
      <c r="F692" s="1" t="s">
        <v>633</v>
      </c>
      <c r="H692" s="1" t="s">
        <v>432</v>
      </c>
      <c r="J692" s="37" t="s">
        <v>1626</v>
      </c>
      <c r="K692" s="1" t="s">
        <v>1175</v>
      </c>
    </row>
    <row r="693" spans="1:11" ht="43.2" x14ac:dyDescent="0.3">
      <c r="A693" s="1">
        <v>716</v>
      </c>
      <c r="B693" s="1" t="s">
        <v>360</v>
      </c>
      <c r="E693" s="1" t="s">
        <v>1333</v>
      </c>
      <c r="F693" s="1" t="s">
        <v>1320</v>
      </c>
      <c r="H693" s="1" t="s">
        <v>1331</v>
      </c>
      <c r="J693" s="37" t="s">
        <v>1626</v>
      </c>
      <c r="K693" s="1" t="s">
        <v>1175</v>
      </c>
    </row>
    <row r="694" spans="1:11" ht="43.2" x14ac:dyDescent="0.3">
      <c r="A694" s="1">
        <v>717</v>
      </c>
      <c r="B694" s="1" t="s">
        <v>361</v>
      </c>
      <c r="E694" s="1" t="s">
        <v>1333</v>
      </c>
      <c r="F694" s="1" t="s">
        <v>1320</v>
      </c>
      <c r="H694" s="1" t="s">
        <v>432</v>
      </c>
      <c r="J694" s="37" t="s">
        <v>1626</v>
      </c>
      <c r="K694" s="1" t="s">
        <v>1175</v>
      </c>
    </row>
    <row r="695" spans="1:11" ht="43.2" x14ac:dyDescent="0.3">
      <c r="A695" s="1">
        <v>718</v>
      </c>
      <c r="B695" s="1" t="s">
        <v>362</v>
      </c>
      <c r="E695" s="1" t="s">
        <v>1333</v>
      </c>
      <c r="F695" s="1" t="s">
        <v>1320</v>
      </c>
      <c r="H695" s="1" t="s">
        <v>432</v>
      </c>
      <c r="J695" s="37" t="s">
        <v>1626</v>
      </c>
      <c r="K695" s="1" t="s">
        <v>1175</v>
      </c>
    </row>
    <row r="696" spans="1:11" ht="43.2" x14ac:dyDescent="0.3">
      <c r="A696" s="1">
        <v>719</v>
      </c>
      <c r="B696" s="1" t="s">
        <v>363</v>
      </c>
      <c r="E696" s="1" t="s">
        <v>1333</v>
      </c>
      <c r="F696" s="1" t="s">
        <v>1320</v>
      </c>
      <c r="H696" s="1" t="s">
        <v>433</v>
      </c>
      <c r="J696" s="37" t="s">
        <v>1626</v>
      </c>
      <c r="K696" s="1" t="s">
        <v>1175</v>
      </c>
    </row>
    <row r="697" spans="1:11" ht="43.2" x14ac:dyDescent="0.3">
      <c r="A697" s="1">
        <v>720</v>
      </c>
      <c r="B697" s="1" t="s">
        <v>364</v>
      </c>
      <c r="E697" s="1" t="s">
        <v>1333</v>
      </c>
      <c r="F697" s="1" t="s">
        <v>1320</v>
      </c>
      <c r="H697" s="1" t="s">
        <v>432</v>
      </c>
      <c r="J697" s="37" t="s">
        <v>1626</v>
      </c>
      <c r="K697" s="1" t="s">
        <v>1175</v>
      </c>
    </row>
    <row r="698" spans="1:11" ht="43.2" x14ac:dyDescent="0.3">
      <c r="A698" s="1">
        <v>721</v>
      </c>
      <c r="B698" s="1" t="s">
        <v>365</v>
      </c>
      <c r="E698" s="1" t="s">
        <v>1333</v>
      </c>
      <c r="F698" s="1" t="s">
        <v>1320</v>
      </c>
      <c r="H698" s="1" t="s">
        <v>433</v>
      </c>
      <c r="J698" s="37" t="s">
        <v>1626</v>
      </c>
      <c r="K698" s="1" t="s">
        <v>1175</v>
      </c>
    </row>
    <row r="699" spans="1:11" ht="43.2" x14ac:dyDescent="0.3">
      <c r="A699" s="1">
        <v>722</v>
      </c>
      <c r="B699" s="1" t="s">
        <v>366</v>
      </c>
      <c r="E699" s="1" t="s">
        <v>1333</v>
      </c>
      <c r="F699" s="1" t="s">
        <v>1320</v>
      </c>
      <c r="H699" s="1" t="s">
        <v>432</v>
      </c>
      <c r="J699" s="37" t="s">
        <v>1626</v>
      </c>
      <c r="K699" s="1" t="s">
        <v>1175</v>
      </c>
    </row>
    <row r="700" spans="1:11" ht="43.2" x14ac:dyDescent="0.3">
      <c r="A700" s="1">
        <v>723</v>
      </c>
      <c r="B700" s="1" t="s">
        <v>367</v>
      </c>
      <c r="E700" s="1" t="s">
        <v>1333</v>
      </c>
      <c r="F700" s="1" t="s">
        <v>1320</v>
      </c>
      <c r="H700" s="1" t="s">
        <v>432</v>
      </c>
      <c r="J700" s="37" t="s">
        <v>1626</v>
      </c>
      <c r="K700" s="1" t="s">
        <v>1175</v>
      </c>
    </row>
    <row r="701" spans="1:11" ht="43.2" x14ac:dyDescent="0.3">
      <c r="A701" s="1">
        <v>724</v>
      </c>
      <c r="B701" s="1" t="s">
        <v>368</v>
      </c>
      <c r="E701" s="1" t="s">
        <v>1333</v>
      </c>
      <c r="F701" s="1" t="s">
        <v>1320</v>
      </c>
      <c r="H701" s="1" t="s">
        <v>432</v>
      </c>
      <c r="J701" s="37" t="s">
        <v>1626</v>
      </c>
      <c r="K701" s="1" t="s">
        <v>1175</v>
      </c>
    </row>
    <row r="702" spans="1:11" ht="43.2" x14ac:dyDescent="0.3">
      <c r="A702" s="1">
        <v>725</v>
      </c>
      <c r="B702" s="1" t="s">
        <v>369</v>
      </c>
      <c r="E702" s="1" t="s">
        <v>1333</v>
      </c>
      <c r="F702" s="1" t="s">
        <v>1320</v>
      </c>
      <c r="H702" s="1" t="s">
        <v>432</v>
      </c>
      <c r="J702" s="37" t="s">
        <v>1626</v>
      </c>
      <c r="K702" s="1" t="s">
        <v>1175</v>
      </c>
    </row>
    <row r="703" spans="1:11" ht="43.2" x14ac:dyDescent="0.3">
      <c r="A703" s="1">
        <v>726</v>
      </c>
      <c r="B703" s="1" t="s">
        <v>360</v>
      </c>
      <c r="E703" s="1" t="s">
        <v>1402</v>
      </c>
      <c r="F703" s="1" t="s">
        <v>1126</v>
      </c>
      <c r="H703" s="1" t="s">
        <v>544</v>
      </c>
      <c r="J703" s="37" t="s">
        <v>1626</v>
      </c>
      <c r="K703" s="1" t="s">
        <v>1175</v>
      </c>
    </row>
    <row r="704" spans="1:11" ht="43.2" x14ac:dyDescent="0.3">
      <c r="A704" s="1">
        <v>727</v>
      </c>
      <c r="B704" s="1" t="s">
        <v>361</v>
      </c>
      <c r="E704" s="1" t="s">
        <v>1402</v>
      </c>
      <c r="F704" s="1" t="s">
        <v>1126</v>
      </c>
      <c r="H704" s="1" t="s">
        <v>432</v>
      </c>
      <c r="J704" s="37" t="s">
        <v>1626</v>
      </c>
      <c r="K704" s="1" t="s">
        <v>1175</v>
      </c>
    </row>
    <row r="705" spans="1:11" ht="43.2" x14ac:dyDescent="0.3">
      <c r="A705" s="1">
        <v>728</v>
      </c>
      <c r="B705" s="1" t="s">
        <v>362</v>
      </c>
      <c r="E705" s="1" t="s">
        <v>1402</v>
      </c>
      <c r="F705" s="1" t="s">
        <v>1126</v>
      </c>
      <c r="H705" s="1" t="s">
        <v>432</v>
      </c>
      <c r="J705" s="37" t="s">
        <v>1626</v>
      </c>
      <c r="K705" s="1" t="s">
        <v>1175</v>
      </c>
    </row>
    <row r="706" spans="1:11" ht="43.2" x14ac:dyDescent="0.3">
      <c r="A706" s="1">
        <v>729</v>
      </c>
      <c r="B706" s="1" t="s">
        <v>363</v>
      </c>
      <c r="E706" s="1" t="s">
        <v>1402</v>
      </c>
      <c r="F706" s="1" t="s">
        <v>1126</v>
      </c>
      <c r="H706" s="1" t="s">
        <v>432</v>
      </c>
      <c r="J706" s="37" t="s">
        <v>1626</v>
      </c>
      <c r="K706" s="1" t="s">
        <v>1175</v>
      </c>
    </row>
    <row r="707" spans="1:11" ht="43.2" x14ac:dyDescent="0.3">
      <c r="A707" s="1">
        <v>730</v>
      </c>
      <c r="B707" s="1" t="s">
        <v>364</v>
      </c>
      <c r="E707" s="1" t="s">
        <v>1402</v>
      </c>
      <c r="F707" s="1" t="s">
        <v>1126</v>
      </c>
      <c r="H707" s="1" t="s">
        <v>432</v>
      </c>
      <c r="J707" s="37" t="s">
        <v>1626</v>
      </c>
      <c r="K707" s="1" t="s">
        <v>1175</v>
      </c>
    </row>
    <row r="708" spans="1:11" ht="43.2" x14ac:dyDescent="0.3">
      <c r="A708" s="1">
        <v>731</v>
      </c>
      <c r="B708" s="1" t="s">
        <v>365</v>
      </c>
      <c r="E708" s="1" t="s">
        <v>1402</v>
      </c>
      <c r="F708" s="1" t="s">
        <v>1126</v>
      </c>
      <c r="H708" s="1" t="s">
        <v>432</v>
      </c>
      <c r="J708" s="37" t="s">
        <v>1626</v>
      </c>
      <c r="K708" s="1" t="s">
        <v>1175</v>
      </c>
    </row>
    <row r="709" spans="1:11" ht="43.2" x14ac:dyDescent="0.3">
      <c r="A709" s="1">
        <v>732</v>
      </c>
      <c r="B709" s="1" t="s">
        <v>366</v>
      </c>
      <c r="E709" s="1" t="s">
        <v>1402</v>
      </c>
      <c r="F709" s="1" t="s">
        <v>1126</v>
      </c>
      <c r="H709" s="1" t="s">
        <v>432</v>
      </c>
      <c r="J709" s="37" t="s">
        <v>1626</v>
      </c>
      <c r="K709" s="1" t="s">
        <v>1175</v>
      </c>
    </row>
    <row r="710" spans="1:11" ht="43.2" x14ac:dyDescent="0.3">
      <c r="A710" s="1">
        <v>733</v>
      </c>
      <c r="B710" s="1" t="s">
        <v>367</v>
      </c>
      <c r="E710" s="1" t="s">
        <v>1402</v>
      </c>
      <c r="F710" s="1" t="s">
        <v>1126</v>
      </c>
      <c r="H710" s="1" t="s">
        <v>432</v>
      </c>
      <c r="J710" s="37" t="s">
        <v>1626</v>
      </c>
      <c r="K710" s="1" t="s">
        <v>1175</v>
      </c>
    </row>
    <row r="711" spans="1:11" ht="43.2" x14ac:dyDescent="0.3">
      <c r="A711" s="1">
        <v>734</v>
      </c>
      <c r="B711" s="1" t="s">
        <v>368</v>
      </c>
      <c r="E711" s="1" t="s">
        <v>1402</v>
      </c>
      <c r="F711" s="1" t="s">
        <v>1126</v>
      </c>
      <c r="H711" s="1" t="s">
        <v>433</v>
      </c>
      <c r="J711" s="37" t="s">
        <v>1626</v>
      </c>
      <c r="K711" s="1" t="s">
        <v>1175</v>
      </c>
    </row>
    <row r="712" spans="1:11" ht="43.2" x14ac:dyDescent="0.3">
      <c r="A712" s="1">
        <v>735</v>
      </c>
      <c r="B712" s="1" t="s">
        <v>369</v>
      </c>
      <c r="E712" s="1" t="s">
        <v>1402</v>
      </c>
      <c r="F712" s="1" t="s">
        <v>1126</v>
      </c>
      <c r="H712" s="1" t="s">
        <v>432</v>
      </c>
      <c r="J712" s="37" t="s">
        <v>1626</v>
      </c>
      <c r="K712" s="1" t="s">
        <v>1175</v>
      </c>
    </row>
    <row r="713" spans="1:11" ht="43.2" x14ac:dyDescent="0.3">
      <c r="A713" s="1">
        <v>736</v>
      </c>
      <c r="B713" s="1" t="s">
        <v>360</v>
      </c>
      <c r="E713" s="1" t="s">
        <v>1422</v>
      </c>
      <c r="F713" s="1" t="s">
        <v>1320</v>
      </c>
      <c r="H713" s="1" t="s">
        <v>1331</v>
      </c>
      <c r="J713" s="37" t="s">
        <v>1626</v>
      </c>
      <c r="K713" s="1" t="s">
        <v>1175</v>
      </c>
    </row>
    <row r="714" spans="1:11" ht="43.2" x14ac:dyDescent="0.3">
      <c r="A714" s="1">
        <v>737</v>
      </c>
      <c r="B714" s="1" t="s">
        <v>361</v>
      </c>
      <c r="E714" s="1" t="s">
        <v>1422</v>
      </c>
      <c r="F714" s="1" t="s">
        <v>1320</v>
      </c>
      <c r="H714" s="1" t="s">
        <v>432</v>
      </c>
      <c r="J714" s="37" t="s">
        <v>1626</v>
      </c>
      <c r="K714" s="1" t="s">
        <v>1175</v>
      </c>
    </row>
    <row r="715" spans="1:11" ht="43.2" x14ac:dyDescent="0.3">
      <c r="A715" s="1">
        <v>738</v>
      </c>
      <c r="B715" s="1" t="s">
        <v>362</v>
      </c>
      <c r="E715" s="1" t="s">
        <v>1422</v>
      </c>
      <c r="F715" s="1" t="s">
        <v>1320</v>
      </c>
      <c r="H715" s="1" t="s">
        <v>432</v>
      </c>
      <c r="J715" s="37" t="s">
        <v>1626</v>
      </c>
      <c r="K715" s="1" t="s">
        <v>1175</v>
      </c>
    </row>
    <row r="716" spans="1:11" ht="43.2" x14ac:dyDescent="0.3">
      <c r="A716" s="1">
        <v>739</v>
      </c>
      <c r="B716" s="1" t="s">
        <v>363</v>
      </c>
      <c r="E716" s="1" t="s">
        <v>1422</v>
      </c>
      <c r="F716" s="1" t="s">
        <v>1320</v>
      </c>
      <c r="H716" s="1" t="s">
        <v>433</v>
      </c>
      <c r="J716" s="37" t="s">
        <v>1626</v>
      </c>
      <c r="K716" s="1" t="s">
        <v>1175</v>
      </c>
    </row>
    <row r="717" spans="1:11" ht="43.2" x14ac:dyDescent="0.3">
      <c r="A717" s="1">
        <v>740</v>
      </c>
      <c r="B717" s="1" t="s">
        <v>364</v>
      </c>
      <c r="E717" s="1" t="s">
        <v>1422</v>
      </c>
      <c r="F717" s="1" t="s">
        <v>1320</v>
      </c>
      <c r="H717" s="1" t="s">
        <v>432</v>
      </c>
      <c r="J717" s="37" t="s">
        <v>1626</v>
      </c>
      <c r="K717" s="1" t="s">
        <v>1175</v>
      </c>
    </row>
    <row r="718" spans="1:11" ht="43.2" x14ac:dyDescent="0.3">
      <c r="A718" s="1">
        <v>741</v>
      </c>
      <c r="B718" s="1" t="s">
        <v>365</v>
      </c>
      <c r="E718" s="1" t="s">
        <v>1422</v>
      </c>
      <c r="F718" s="1" t="s">
        <v>1320</v>
      </c>
      <c r="H718" s="1" t="s">
        <v>433</v>
      </c>
      <c r="J718" s="37" t="s">
        <v>1626</v>
      </c>
      <c r="K718" s="1" t="s">
        <v>1175</v>
      </c>
    </row>
    <row r="719" spans="1:11" ht="43.2" x14ac:dyDescent="0.3">
      <c r="A719" s="1">
        <v>742</v>
      </c>
      <c r="B719" s="1" t="s">
        <v>366</v>
      </c>
      <c r="E719" s="1" t="s">
        <v>1422</v>
      </c>
      <c r="F719" s="1" t="s">
        <v>1320</v>
      </c>
      <c r="H719" s="1" t="s">
        <v>432</v>
      </c>
      <c r="J719" s="37" t="s">
        <v>1626</v>
      </c>
      <c r="K719" s="1" t="s">
        <v>1175</v>
      </c>
    </row>
    <row r="720" spans="1:11" ht="43.2" x14ac:dyDescent="0.3">
      <c r="A720" s="1">
        <v>743</v>
      </c>
      <c r="B720" s="1" t="s">
        <v>367</v>
      </c>
      <c r="E720" s="1" t="s">
        <v>1422</v>
      </c>
      <c r="F720" s="1" t="s">
        <v>1320</v>
      </c>
      <c r="H720" s="1" t="s">
        <v>432</v>
      </c>
      <c r="J720" s="37" t="s">
        <v>1626</v>
      </c>
      <c r="K720" s="1" t="s">
        <v>1175</v>
      </c>
    </row>
    <row r="721" spans="1:11" ht="43.2" x14ac:dyDescent="0.3">
      <c r="A721" s="1">
        <v>744</v>
      </c>
      <c r="B721" s="1" t="s">
        <v>368</v>
      </c>
      <c r="E721" s="1" t="s">
        <v>1422</v>
      </c>
      <c r="F721" s="1" t="s">
        <v>1320</v>
      </c>
      <c r="H721" s="1" t="s">
        <v>432</v>
      </c>
      <c r="J721" s="37" t="s">
        <v>1626</v>
      </c>
      <c r="K721" s="1" t="s">
        <v>1175</v>
      </c>
    </row>
    <row r="722" spans="1:11" ht="43.2" x14ac:dyDescent="0.3">
      <c r="A722" s="1">
        <v>745</v>
      </c>
      <c r="B722" s="1" t="s">
        <v>369</v>
      </c>
      <c r="E722" s="1" t="s">
        <v>1422</v>
      </c>
      <c r="F722" s="1" t="s">
        <v>1320</v>
      </c>
      <c r="H722" s="1" t="s">
        <v>432</v>
      </c>
      <c r="J722" s="37" t="s">
        <v>1626</v>
      </c>
      <c r="K722" s="1" t="s">
        <v>1175</v>
      </c>
    </row>
    <row r="723" spans="1:11" ht="43.2" x14ac:dyDescent="0.3">
      <c r="A723" s="1">
        <v>746</v>
      </c>
      <c r="B723" s="1" t="s">
        <v>360</v>
      </c>
      <c r="E723" s="1" t="s">
        <v>1411</v>
      </c>
      <c r="F723" s="1" t="s">
        <v>1320</v>
      </c>
      <c r="H723" s="1" t="s">
        <v>1409</v>
      </c>
      <c r="J723" s="37" t="s">
        <v>1626</v>
      </c>
      <c r="K723" s="1" t="s">
        <v>1175</v>
      </c>
    </row>
    <row r="724" spans="1:11" ht="43.2" x14ac:dyDescent="0.3">
      <c r="A724" s="1">
        <v>747</v>
      </c>
      <c r="B724" s="1" t="s">
        <v>361</v>
      </c>
      <c r="E724" s="1" t="s">
        <v>1411</v>
      </c>
      <c r="F724" s="1" t="s">
        <v>1320</v>
      </c>
      <c r="H724" s="1" t="s">
        <v>432</v>
      </c>
      <c r="J724" s="37" t="s">
        <v>1626</v>
      </c>
      <c r="K724" s="1" t="s">
        <v>1175</v>
      </c>
    </row>
    <row r="725" spans="1:11" ht="43.2" x14ac:dyDescent="0.3">
      <c r="A725" s="1">
        <v>748</v>
      </c>
      <c r="B725" s="1" t="s">
        <v>362</v>
      </c>
      <c r="E725" s="1" t="s">
        <v>1411</v>
      </c>
      <c r="F725" s="1" t="s">
        <v>1320</v>
      </c>
      <c r="H725" s="1" t="s">
        <v>432</v>
      </c>
      <c r="J725" s="37" t="s">
        <v>1626</v>
      </c>
      <c r="K725" s="1" t="s">
        <v>1175</v>
      </c>
    </row>
    <row r="726" spans="1:11" ht="43.2" x14ac:dyDescent="0.3">
      <c r="A726" s="1">
        <v>749</v>
      </c>
      <c r="B726" s="1" t="s">
        <v>363</v>
      </c>
      <c r="E726" s="1" t="s">
        <v>1411</v>
      </c>
      <c r="F726" s="1" t="s">
        <v>1320</v>
      </c>
      <c r="H726" s="1" t="s">
        <v>433</v>
      </c>
      <c r="J726" s="37" t="s">
        <v>1626</v>
      </c>
      <c r="K726" s="1" t="s">
        <v>1175</v>
      </c>
    </row>
    <row r="727" spans="1:11" ht="43.2" x14ac:dyDescent="0.3">
      <c r="A727" s="1">
        <v>750</v>
      </c>
      <c r="B727" s="1" t="s">
        <v>364</v>
      </c>
      <c r="E727" s="1" t="s">
        <v>1411</v>
      </c>
      <c r="F727" s="1" t="s">
        <v>1320</v>
      </c>
      <c r="H727" s="1" t="s">
        <v>432</v>
      </c>
      <c r="J727" s="37" t="s">
        <v>1626</v>
      </c>
      <c r="K727" s="1" t="s">
        <v>1175</v>
      </c>
    </row>
    <row r="728" spans="1:11" ht="43.2" x14ac:dyDescent="0.3">
      <c r="A728" s="1">
        <v>751</v>
      </c>
      <c r="B728" s="1" t="s">
        <v>365</v>
      </c>
      <c r="E728" s="1" t="s">
        <v>1411</v>
      </c>
      <c r="F728" s="1" t="s">
        <v>1320</v>
      </c>
      <c r="H728" s="1" t="s">
        <v>433</v>
      </c>
      <c r="J728" s="37" t="s">
        <v>1626</v>
      </c>
      <c r="K728" s="1" t="s">
        <v>1175</v>
      </c>
    </row>
    <row r="729" spans="1:11" ht="43.2" x14ac:dyDescent="0.3">
      <c r="A729" s="1">
        <v>752</v>
      </c>
      <c r="B729" s="1" t="s">
        <v>366</v>
      </c>
      <c r="E729" s="1" t="s">
        <v>1411</v>
      </c>
      <c r="F729" s="1" t="s">
        <v>1320</v>
      </c>
      <c r="H729" s="1" t="s">
        <v>432</v>
      </c>
      <c r="J729" s="37" t="s">
        <v>1626</v>
      </c>
      <c r="K729" s="1" t="s">
        <v>1175</v>
      </c>
    </row>
    <row r="730" spans="1:11" ht="43.2" x14ac:dyDescent="0.3">
      <c r="A730" s="1">
        <v>753</v>
      </c>
      <c r="B730" s="1" t="s">
        <v>367</v>
      </c>
      <c r="E730" s="1" t="s">
        <v>1411</v>
      </c>
      <c r="F730" s="1" t="s">
        <v>1320</v>
      </c>
      <c r="H730" s="1" t="s">
        <v>432</v>
      </c>
      <c r="J730" s="37" t="s">
        <v>1626</v>
      </c>
      <c r="K730" s="1" t="s">
        <v>1175</v>
      </c>
    </row>
    <row r="731" spans="1:11" ht="43.2" x14ac:dyDescent="0.3">
      <c r="A731" s="1">
        <v>754</v>
      </c>
      <c r="B731" s="1" t="s">
        <v>368</v>
      </c>
      <c r="E731" s="1" t="s">
        <v>1411</v>
      </c>
      <c r="F731" s="1" t="s">
        <v>1320</v>
      </c>
      <c r="H731" s="1" t="s">
        <v>432</v>
      </c>
      <c r="J731" s="37" t="s">
        <v>1626</v>
      </c>
      <c r="K731" s="1" t="s">
        <v>1175</v>
      </c>
    </row>
    <row r="732" spans="1:11" ht="43.2" x14ac:dyDescent="0.3">
      <c r="A732" s="1">
        <v>755</v>
      </c>
      <c r="B732" s="1" t="s">
        <v>369</v>
      </c>
      <c r="E732" s="1" t="s">
        <v>1411</v>
      </c>
      <c r="F732" s="1" t="s">
        <v>1320</v>
      </c>
      <c r="H732" s="1" t="s">
        <v>432</v>
      </c>
      <c r="J732" s="37" t="s">
        <v>1626</v>
      </c>
      <c r="K732" s="1" t="s">
        <v>1175</v>
      </c>
    </row>
    <row r="733" spans="1:11" ht="43.2" x14ac:dyDescent="0.3">
      <c r="A733" s="1">
        <v>756</v>
      </c>
      <c r="B733" s="1" t="s">
        <v>360</v>
      </c>
      <c r="E733" s="1" t="s">
        <v>1521</v>
      </c>
      <c r="F733" s="1" t="s">
        <v>466</v>
      </c>
      <c r="H733" s="1" t="s">
        <v>1520</v>
      </c>
      <c r="J733" s="37" t="s">
        <v>1626</v>
      </c>
      <c r="K733" s="1" t="s">
        <v>1175</v>
      </c>
    </row>
    <row r="734" spans="1:11" ht="43.2" x14ac:dyDescent="0.3">
      <c r="A734" s="1">
        <v>757</v>
      </c>
      <c r="B734" s="1" t="s">
        <v>361</v>
      </c>
      <c r="E734" s="1" t="s">
        <v>1521</v>
      </c>
      <c r="F734" s="1" t="s">
        <v>466</v>
      </c>
      <c r="H734" s="1" t="s">
        <v>433</v>
      </c>
      <c r="J734" s="37" t="s">
        <v>1626</v>
      </c>
      <c r="K734" s="1" t="s">
        <v>1175</v>
      </c>
    </row>
    <row r="735" spans="1:11" ht="43.2" x14ac:dyDescent="0.3">
      <c r="A735" s="1">
        <v>758</v>
      </c>
      <c r="B735" s="1" t="s">
        <v>362</v>
      </c>
      <c r="E735" s="1" t="s">
        <v>1521</v>
      </c>
      <c r="F735" s="1" t="s">
        <v>466</v>
      </c>
      <c r="H735" s="1" t="s">
        <v>433</v>
      </c>
      <c r="J735" s="37" t="s">
        <v>1626</v>
      </c>
      <c r="K735" s="1" t="s">
        <v>1175</v>
      </c>
    </row>
    <row r="736" spans="1:11" ht="43.2" x14ac:dyDescent="0.3">
      <c r="A736" s="1">
        <v>759</v>
      </c>
      <c r="B736" s="1" t="s">
        <v>363</v>
      </c>
      <c r="E736" s="1" t="s">
        <v>1521</v>
      </c>
      <c r="F736" s="1" t="s">
        <v>466</v>
      </c>
      <c r="H736" s="1" t="s">
        <v>432</v>
      </c>
      <c r="J736" s="37" t="s">
        <v>1626</v>
      </c>
      <c r="K736" s="1" t="s">
        <v>1175</v>
      </c>
    </row>
    <row r="737" spans="1:11" ht="43.2" x14ac:dyDescent="0.3">
      <c r="A737" s="1">
        <v>760</v>
      </c>
      <c r="B737" s="1" t="s">
        <v>364</v>
      </c>
      <c r="E737" s="1" t="s">
        <v>1521</v>
      </c>
      <c r="F737" s="1" t="s">
        <v>466</v>
      </c>
      <c r="H737" s="1" t="s">
        <v>432</v>
      </c>
      <c r="J737" s="37" t="s">
        <v>1626</v>
      </c>
      <c r="K737" s="1" t="s">
        <v>1175</v>
      </c>
    </row>
    <row r="738" spans="1:11" ht="43.2" x14ac:dyDescent="0.3">
      <c r="A738" s="1">
        <v>761</v>
      </c>
      <c r="B738" s="1" t="s">
        <v>365</v>
      </c>
      <c r="E738" s="1" t="s">
        <v>1521</v>
      </c>
      <c r="F738" s="1" t="s">
        <v>466</v>
      </c>
      <c r="H738" s="1" t="s">
        <v>432</v>
      </c>
      <c r="J738" s="37" t="s">
        <v>1626</v>
      </c>
      <c r="K738" s="1" t="s">
        <v>1175</v>
      </c>
    </row>
    <row r="739" spans="1:11" ht="43.2" x14ac:dyDescent="0.3">
      <c r="A739" s="1">
        <v>762</v>
      </c>
      <c r="B739" s="1" t="s">
        <v>366</v>
      </c>
      <c r="E739" s="1" t="s">
        <v>1521</v>
      </c>
      <c r="F739" s="1" t="s">
        <v>466</v>
      </c>
      <c r="H739" s="1" t="s">
        <v>433</v>
      </c>
      <c r="J739" s="37" t="s">
        <v>1626</v>
      </c>
      <c r="K739" s="1" t="s">
        <v>1175</v>
      </c>
    </row>
    <row r="740" spans="1:11" ht="43.2" x14ac:dyDescent="0.3">
      <c r="A740" s="1">
        <v>763</v>
      </c>
      <c r="B740" s="1" t="s">
        <v>367</v>
      </c>
      <c r="E740" s="1" t="s">
        <v>1521</v>
      </c>
      <c r="F740" s="1" t="s">
        <v>466</v>
      </c>
      <c r="H740" s="1" t="s">
        <v>433</v>
      </c>
      <c r="J740" s="37" t="s">
        <v>1626</v>
      </c>
      <c r="K740" s="1" t="s">
        <v>1175</v>
      </c>
    </row>
    <row r="741" spans="1:11" ht="43.2" x14ac:dyDescent="0.3">
      <c r="A741" s="1">
        <v>764</v>
      </c>
      <c r="B741" s="1" t="s">
        <v>368</v>
      </c>
      <c r="E741" s="1" t="s">
        <v>1521</v>
      </c>
      <c r="F741" s="1" t="s">
        <v>466</v>
      </c>
      <c r="H741" s="1" t="s">
        <v>432</v>
      </c>
      <c r="J741" s="37" t="s">
        <v>1626</v>
      </c>
      <c r="K741" s="1" t="s">
        <v>1175</v>
      </c>
    </row>
    <row r="742" spans="1:11" ht="43.2" x14ac:dyDescent="0.3">
      <c r="A742" s="1">
        <v>765</v>
      </c>
      <c r="B742" s="1" t="s">
        <v>369</v>
      </c>
      <c r="E742" s="1" t="s">
        <v>1521</v>
      </c>
      <c r="F742" s="1" t="s">
        <v>466</v>
      </c>
      <c r="H742" s="1" t="s">
        <v>432</v>
      </c>
      <c r="J742" s="37" t="s">
        <v>1626</v>
      </c>
      <c r="K742" s="1" t="s">
        <v>1175</v>
      </c>
    </row>
    <row r="743" spans="1:11" ht="43.2" x14ac:dyDescent="0.3">
      <c r="A743" s="1">
        <v>766</v>
      </c>
      <c r="B743" s="1" t="s">
        <v>360</v>
      </c>
      <c r="E743" s="1" t="s">
        <v>1054</v>
      </c>
      <c r="F743" s="1" t="s">
        <v>893</v>
      </c>
      <c r="H743" s="1" t="s">
        <v>1041</v>
      </c>
      <c r="J743" s="37" t="s">
        <v>1626</v>
      </c>
      <c r="K743" s="1" t="s">
        <v>1175</v>
      </c>
    </row>
    <row r="744" spans="1:11" ht="43.2" x14ac:dyDescent="0.3">
      <c r="A744" s="1">
        <v>767</v>
      </c>
      <c r="B744" s="1" t="s">
        <v>361</v>
      </c>
      <c r="E744" s="1" t="s">
        <v>1054</v>
      </c>
      <c r="F744" s="1" t="s">
        <v>893</v>
      </c>
      <c r="H744" s="1" t="s">
        <v>433</v>
      </c>
      <c r="J744" s="37" t="s">
        <v>1626</v>
      </c>
      <c r="K744" s="1" t="s">
        <v>1175</v>
      </c>
    </row>
    <row r="745" spans="1:11" ht="43.2" x14ac:dyDescent="0.3">
      <c r="A745" s="1">
        <v>768</v>
      </c>
      <c r="B745" s="1" t="s">
        <v>362</v>
      </c>
      <c r="E745" s="1" t="s">
        <v>1054</v>
      </c>
      <c r="F745" s="1" t="s">
        <v>893</v>
      </c>
      <c r="H745" s="1" t="s">
        <v>433</v>
      </c>
      <c r="J745" s="37" t="s">
        <v>1626</v>
      </c>
      <c r="K745" s="1" t="s">
        <v>1175</v>
      </c>
    </row>
    <row r="746" spans="1:11" ht="43.2" x14ac:dyDescent="0.3">
      <c r="A746" s="1">
        <v>769</v>
      </c>
      <c r="B746" s="1" t="s">
        <v>363</v>
      </c>
      <c r="E746" s="1" t="s">
        <v>1054</v>
      </c>
      <c r="F746" s="1" t="s">
        <v>893</v>
      </c>
      <c r="H746" s="1" t="s">
        <v>432</v>
      </c>
      <c r="J746" s="37" t="s">
        <v>1626</v>
      </c>
      <c r="K746" s="1" t="s">
        <v>1175</v>
      </c>
    </row>
    <row r="747" spans="1:11" ht="43.2" x14ac:dyDescent="0.3">
      <c r="A747" s="1">
        <v>770</v>
      </c>
      <c r="B747" s="1" t="s">
        <v>364</v>
      </c>
      <c r="E747" s="1" t="s">
        <v>1054</v>
      </c>
      <c r="F747" s="1" t="s">
        <v>893</v>
      </c>
      <c r="H747" s="1" t="s">
        <v>433</v>
      </c>
      <c r="J747" s="37" t="s">
        <v>1626</v>
      </c>
      <c r="K747" s="1" t="s">
        <v>1175</v>
      </c>
    </row>
    <row r="748" spans="1:11" ht="43.2" x14ac:dyDescent="0.3">
      <c r="A748" s="1">
        <v>771</v>
      </c>
      <c r="B748" s="1" t="s">
        <v>365</v>
      </c>
      <c r="E748" s="1" t="s">
        <v>1054</v>
      </c>
      <c r="F748" s="1" t="s">
        <v>893</v>
      </c>
      <c r="H748" s="1" t="s">
        <v>432</v>
      </c>
      <c r="J748" s="37" t="s">
        <v>1626</v>
      </c>
      <c r="K748" s="1" t="s">
        <v>1175</v>
      </c>
    </row>
    <row r="749" spans="1:11" ht="43.2" x14ac:dyDescent="0.3">
      <c r="A749" s="1">
        <v>772</v>
      </c>
      <c r="B749" s="1" t="s">
        <v>366</v>
      </c>
      <c r="E749" s="1" t="s">
        <v>1054</v>
      </c>
      <c r="F749" s="1" t="s">
        <v>893</v>
      </c>
      <c r="H749" s="1" t="s">
        <v>432</v>
      </c>
      <c r="J749" s="37" t="s">
        <v>1626</v>
      </c>
      <c r="K749" s="1" t="s">
        <v>1175</v>
      </c>
    </row>
    <row r="750" spans="1:11" ht="43.2" x14ac:dyDescent="0.3">
      <c r="A750" s="1">
        <v>773</v>
      </c>
      <c r="B750" s="1" t="s">
        <v>367</v>
      </c>
      <c r="E750" s="1" t="s">
        <v>1054</v>
      </c>
      <c r="F750" s="1" t="s">
        <v>893</v>
      </c>
      <c r="H750" s="1" t="s">
        <v>432</v>
      </c>
      <c r="J750" s="37" t="s">
        <v>1626</v>
      </c>
      <c r="K750" s="1" t="s">
        <v>1175</v>
      </c>
    </row>
    <row r="751" spans="1:11" ht="43.2" x14ac:dyDescent="0.3">
      <c r="A751" s="1">
        <v>774</v>
      </c>
      <c r="B751" s="1" t="s">
        <v>368</v>
      </c>
      <c r="E751" s="1" t="s">
        <v>1054</v>
      </c>
      <c r="F751" s="1" t="s">
        <v>893</v>
      </c>
      <c r="H751" s="1" t="s">
        <v>432</v>
      </c>
      <c r="J751" s="37" t="s">
        <v>1626</v>
      </c>
      <c r="K751" s="1" t="s">
        <v>1175</v>
      </c>
    </row>
    <row r="752" spans="1:11" ht="43.2" x14ac:dyDescent="0.3">
      <c r="A752" s="1">
        <v>775</v>
      </c>
      <c r="B752" s="1" t="s">
        <v>369</v>
      </c>
      <c r="E752" s="1" t="s">
        <v>1054</v>
      </c>
      <c r="F752" s="1" t="s">
        <v>893</v>
      </c>
      <c r="H752" s="1" t="s">
        <v>432</v>
      </c>
      <c r="J752" s="37" t="s">
        <v>1626</v>
      </c>
      <c r="K752" s="1" t="s">
        <v>1175</v>
      </c>
    </row>
    <row r="753" spans="1:11" ht="43.2" x14ac:dyDescent="0.3">
      <c r="A753" s="1">
        <v>776</v>
      </c>
      <c r="B753" s="1" t="s">
        <v>360</v>
      </c>
      <c r="E753" s="1" t="s">
        <v>799</v>
      </c>
      <c r="F753" s="1" t="s">
        <v>784</v>
      </c>
      <c r="H753" s="1" t="s">
        <v>797</v>
      </c>
      <c r="J753" s="37" t="s">
        <v>1626</v>
      </c>
      <c r="K753" s="1" t="s">
        <v>1175</v>
      </c>
    </row>
    <row r="754" spans="1:11" ht="43.2" x14ac:dyDescent="0.3">
      <c r="A754" s="1">
        <v>777</v>
      </c>
      <c r="B754" s="1" t="s">
        <v>361</v>
      </c>
      <c r="E754" s="1" t="s">
        <v>799</v>
      </c>
      <c r="F754" s="1" t="s">
        <v>784</v>
      </c>
      <c r="H754" s="1" t="s">
        <v>432</v>
      </c>
      <c r="J754" s="37" t="s">
        <v>1626</v>
      </c>
      <c r="K754" s="1" t="s">
        <v>1175</v>
      </c>
    </row>
    <row r="755" spans="1:11" ht="43.2" x14ac:dyDescent="0.3">
      <c r="A755" s="1">
        <v>778</v>
      </c>
      <c r="B755" s="1" t="s">
        <v>362</v>
      </c>
      <c r="E755" s="1" t="s">
        <v>799</v>
      </c>
      <c r="F755" s="1" t="s">
        <v>784</v>
      </c>
      <c r="H755" s="1" t="s">
        <v>432</v>
      </c>
      <c r="J755" s="37" t="s">
        <v>1626</v>
      </c>
      <c r="K755" s="1" t="s">
        <v>1175</v>
      </c>
    </row>
    <row r="756" spans="1:11" ht="43.2" x14ac:dyDescent="0.3">
      <c r="A756" s="1">
        <v>779</v>
      </c>
      <c r="B756" s="1" t="s">
        <v>363</v>
      </c>
      <c r="E756" s="1" t="s">
        <v>799</v>
      </c>
      <c r="F756" s="1" t="s">
        <v>784</v>
      </c>
      <c r="H756" s="1" t="s">
        <v>433</v>
      </c>
      <c r="J756" s="37" t="s">
        <v>1626</v>
      </c>
      <c r="K756" s="1" t="s">
        <v>1175</v>
      </c>
    </row>
    <row r="757" spans="1:11" ht="43.2" x14ac:dyDescent="0.3">
      <c r="A757" s="1">
        <v>780</v>
      </c>
      <c r="B757" s="1" t="s">
        <v>364</v>
      </c>
      <c r="E757" s="1" t="s">
        <v>799</v>
      </c>
      <c r="F757" s="1" t="s">
        <v>784</v>
      </c>
      <c r="H757" s="1" t="s">
        <v>432</v>
      </c>
      <c r="J757" s="37" t="s">
        <v>1626</v>
      </c>
      <c r="K757" s="1" t="s">
        <v>1175</v>
      </c>
    </row>
    <row r="758" spans="1:11" ht="43.2" x14ac:dyDescent="0.3">
      <c r="A758" s="1">
        <v>781</v>
      </c>
      <c r="B758" s="1" t="s">
        <v>365</v>
      </c>
      <c r="E758" s="1" t="s">
        <v>799</v>
      </c>
      <c r="F758" s="1" t="s">
        <v>784</v>
      </c>
      <c r="H758" s="1" t="s">
        <v>433</v>
      </c>
      <c r="J758" s="37" t="s">
        <v>1626</v>
      </c>
      <c r="K758" s="1" t="s">
        <v>1175</v>
      </c>
    </row>
    <row r="759" spans="1:11" ht="43.2" x14ac:dyDescent="0.3">
      <c r="A759" s="1">
        <v>782</v>
      </c>
      <c r="B759" s="1" t="s">
        <v>366</v>
      </c>
      <c r="E759" s="1" t="s">
        <v>799</v>
      </c>
      <c r="F759" s="1" t="s">
        <v>784</v>
      </c>
      <c r="H759" s="1" t="s">
        <v>433</v>
      </c>
      <c r="J759" s="37" t="s">
        <v>1626</v>
      </c>
      <c r="K759" s="1" t="s">
        <v>1175</v>
      </c>
    </row>
    <row r="760" spans="1:11" ht="43.2" x14ac:dyDescent="0.3">
      <c r="A760" s="1">
        <v>783</v>
      </c>
      <c r="B760" s="1" t="s">
        <v>367</v>
      </c>
      <c r="E760" s="1" t="s">
        <v>799</v>
      </c>
      <c r="F760" s="1" t="s">
        <v>784</v>
      </c>
      <c r="H760" s="1" t="s">
        <v>432</v>
      </c>
      <c r="J760" s="37" t="s">
        <v>1626</v>
      </c>
      <c r="K760" s="1" t="s">
        <v>1175</v>
      </c>
    </row>
    <row r="761" spans="1:11" ht="43.2" x14ac:dyDescent="0.3">
      <c r="A761" s="1">
        <v>784</v>
      </c>
      <c r="B761" s="1" t="s">
        <v>368</v>
      </c>
      <c r="E761" s="1" t="s">
        <v>799</v>
      </c>
      <c r="F761" s="1" t="s">
        <v>784</v>
      </c>
      <c r="H761" s="1" t="s">
        <v>432</v>
      </c>
      <c r="J761" s="37" t="s">
        <v>1626</v>
      </c>
      <c r="K761" s="1" t="s">
        <v>1175</v>
      </c>
    </row>
    <row r="762" spans="1:11" ht="43.2" x14ac:dyDescent="0.3">
      <c r="A762" s="1">
        <v>785</v>
      </c>
      <c r="B762" s="1" t="s">
        <v>369</v>
      </c>
      <c r="E762" s="1" t="s">
        <v>799</v>
      </c>
      <c r="F762" s="1" t="s">
        <v>784</v>
      </c>
      <c r="H762" s="1" t="s">
        <v>432</v>
      </c>
      <c r="J762" s="37" t="s">
        <v>1626</v>
      </c>
      <c r="K762" s="1" t="s">
        <v>1175</v>
      </c>
    </row>
    <row r="763" spans="1:11" ht="43.2" x14ac:dyDescent="0.3">
      <c r="A763" s="1">
        <v>786</v>
      </c>
      <c r="B763" s="1" t="s">
        <v>360</v>
      </c>
      <c r="E763" s="1" t="s">
        <v>1246</v>
      </c>
      <c r="F763" s="1" t="s">
        <v>466</v>
      </c>
      <c r="H763" s="1" t="s">
        <v>1242</v>
      </c>
      <c r="J763" s="37" t="s">
        <v>1626</v>
      </c>
      <c r="K763" s="1" t="s">
        <v>1175</v>
      </c>
    </row>
    <row r="764" spans="1:11" ht="43.2" x14ac:dyDescent="0.3">
      <c r="A764" s="1">
        <v>787</v>
      </c>
      <c r="B764" s="1" t="s">
        <v>361</v>
      </c>
      <c r="E764" s="1" t="s">
        <v>1246</v>
      </c>
      <c r="F764" s="1" t="s">
        <v>466</v>
      </c>
      <c r="H764" s="1" t="s">
        <v>433</v>
      </c>
      <c r="J764" s="37" t="s">
        <v>1626</v>
      </c>
      <c r="K764" s="1" t="s">
        <v>1175</v>
      </c>
    </row>
    <row r="765" spans="1:11" ht="43.2" x14ac:dyDescent="0.3">
      <c r="A765" s="1">
        <v>788</v>
      </c>
      <c r="B765" s="1" t="s">
        <v>362</v>
      </c>
      <c r="E765" s="1" t="s">
        <v>1246</v>
      </c>
      <c r="F765" s="1" t="s">
        <v>466</v>
      </c>
      <c r="H765" s="1" t="s">
        <v>432</v>
      </c>
      <c r="J765" s="37" t="s">
        <v>1626</v>
      </c>
      <c r="K765" s="1" t="s">
        <v>1175</v>
      </c>
    </row>
    <row r="766" spans="1:11" ht="43.2" x14ac:dyDescent="0.3">
      <c r="A766" s="1">
        <v>789</v>
      </c>
      <c r="B766" s="1" t="s">
        <v>363</v>
      </c>
      <c r="E766" s="1" t="s">
        <v>1246</v>
      </c>
      <c r="F766" s="1" t="s">
        <v>466</v>
      </c>
      <c r="H766" s="1" t="s">
        <v>433</v>
      </c>
      <c r="J766" s="37" t="s">
        <v>1626</v>
      </c>
      <c r="K766" s="1" t="s">
        <v>1175</v>
      </c>
    </row>
    <row r="767" spans="1:11" ht="43.2" x14ac:dyDescent="0.3">
      <c r="A767" s="1">
        <v>790</v>
      </c>
      <c r="B767" s="1" t="s">
        <v>364</v>
      </c>
      <c r="E767" s="1" t="s">
        <v>1246</v>
      </c>
      <c r="F767" s="1" t="s">
        <v>466</v>
      </c>
      <c r="H767" s="1" t="s">
        <v>433</v>
      </c>
      <c r="J767" s="37" t="s">
        <v>1626</v>
      </c>
      <c r="K767" s="1" t="s">
        <v>1175</v>
      </c>
    </row>
    <row r="768" spans="1:11" ht="43.2" x14ac:dyDescent="0.3">
      <c r="A768" s="1">
        <v>791</v>
      </c>
      <c r="B768" s="1" t="s">
        <v>365</v>
      </c>
      <c r="E768" s="1" t="s">
        <v>1246</v>
      </c>
      <c r="F768" s="1" t="s">
        <v>466</v>
      </c>
      <c r="H768" s="1" t="s">
        <v>432</v>
      </c>
      <c r="J768" s="37" t="s">
        <v>1626</v>
      </c>
      <c r="K768" s="1" t="s">
        <v>1175</v>
      </c>
    </row>
    <row r="769" spans="1:11" ht="43.2" x14ac:dyDescent="0.3">
      <c r="A769" s="1">
        <v>792</v>
      </c>
      <c r="B769" s="1" t="s">
        <v>366</v>
      </c>
      <c r="E769" s="1" t="s">
        <v>1246</v>
      </c>
      <c r="F769" s="1" t="s">
        <v>466</v>
      </c>
      <c r="H769" s="1" t="s">
        <v>432</v>
      </c>
      <c r="J769" s="37" t="s">
        <v>1626</v>
      </c>
      <c r="K769" s="1" t="s">
        <v>1175</v>
      </c>
    </row>
    <row r="770" spans="1:11" ht="43.2" x14ac:dyDescent="0.3">
      <c r="A770" s="1">
        <v>793</v>
      </c>
      <c r="B770" s="1" t="s">
        <v>367</v>
      </c>
      <c r="E770" s="1" t="s">
        <v>1246</v>
      </c>
      <c r="F770" s="1" t="s">
        <v>466</v>
      </c>
      <c r="H770" s="1" t="s">
        <v>432</v>
      </c>
      <c r="J770" s="37" t="s">
        <v>1626</v>
      </c>
      <c r="K770" s="1" t="s">
        <v>1175</v>
      </c>
    </row>
    <row r="771" spans="1:11" ht="43.2" x14ac:dyDescent="0.3">
      <c r="A771" s="1">
        <v>794</v>
      </c>
      <c r="B771" s="1" t="s">
        <v>368</v>
      </c>
      <c r="E771" s="1" t="s">
        <v>1246</v>
      </c>
      <c r="F771" s="1" t="s">
        <v>466</v>
      </c>
      <c r="H771" s="1" t="s">
        <v>432</v>
      </c>
      <c r="J771" s="37" t="s">
        <v>1626</v>
      </c>
      <c r="K771" s="1" t="s">
        <v>1175</v>
      </c>
    </row>
    <row r="772" spans="1:11" ht="43.2" x14ac:dyDescent="0.3">
      <c r="A772" s="1">
        <v>795</v>
      </c>
      <c r="B772" s="1" t="s">
        <v>369</v>
      </c>
      <c r="E772" s="1" t="s">
        <v>1246</v>
      </c>
      <c r="F772" s="1" t="s">
        <v>466</v>
      </c>
      <c r="H772" s="1" t="s">
        <v>432</v>
      </c>
      <c r="J772" s="37" t="s">
        <v>1626</v>
      </c>
      <c r="K772" s="1" t="s">
        <v>1175</v>
      </c>
    </row>
    <row r="773" spans="1:11" ht="43.2" x14ac:dyDescent="0.3">
      <c r="A773" s="1">
        <v>796</v>
      </c>
      <c r="B773" s="1" t="s">
        <v>360</v>
      </c>
      <c r="E773" s="1" t="s">
        <v>742</v>
      </c>
      <c r="F773" s="1" t="s">
        <v>466</v>
      </c>
      <c r="H773" s="1" t="s">
        <v>607</v>
      </c>
      <c r="J773" s="37" t="s">
        <v>1626</v>
      </c>
      <c r="K773" s="1" t="s">
        <v>1175</v>
      </c>
    </row>
    <row r="774" spans="1:11" ht="43.2" x14ac:dyDescent="0.3">
      <c r="A774" s="1">
        <v>797</v>
      </c>
      <c r="B774" s="1" t="s">
        <v>361</v>
      </c>
      <c r="E774" s="1" t="s">
        <v>742</v>
      </c>
      <c r="F774" s="1" t="s">
        <v>466</v>
      </c>
      <c r="H774" s="1" t="s">
        <v>433</v>
      </c>
      <c r="J774" s="37" t="s">
        <v>1626</v>
      </c>
      <c r="K774" s="1" t="s">
        <v>1175</v>
      </c>
    </row>
    <row r="775" spans="1:11" ht="43.2" x14ac:dyDescent="0.3">
      <c r="A775" s="1">
        <v>798</v>
      </c>
      <c r="B775" s="1" t="s">
        <v>362</v>
      </c>
      <c r="E775" s="1" t="s">
        <v>742</v>
      </c>
      <c r="F775" s="1" t="s">
        <v>466</v>
      </c>
      <c r="H775" s="1" t="s">
        <v>433</v>
      </c>
      <c r="J775" s="37" t="s">
        <v>1626</v>
      </c>
      <c r="K775" s="1" t="s">
        <v>1175</v>
      </c>
    </row>
    <row r="776" spans="1:11" ht="43.2" x14ac:dyDescent="0.3">
      <c r="A776" s="1">
        <v>799</v>
      </c>
      <c r="B776" s="1" t="s">
        <v>363</v>
      </c>
      <c r="E776" s="1" t="s">
        <v>742</v>
      </c>
      <c r="F776" s="1" t="s">
        <v>466</v>
      </c>
      <c r="H776" s="1" t="s">
        <v>433</v>
      </c>
      <c r="J776" s="37" t="s">
        <v>1626</v>
      </c>
      <c r="K776" s="1" t="s">
        <v>1175</v>
      </c>
    </row>
    <row r="777" spans="1:11" ht="43.2" x14ac:dyDescent="0.3">
      <c r="A777" s="1">
        <v>800</v>
      </c>
      <c r="B777" s="1" t="s">
        <v>364</v>
      </c>
      <c r="E777" s="1" t="s">
        <v>742</v>
      </c>
      <c r="F777" s="1" t="s">
        <v>466</v>
      </c>
      <c r="H777" s="1" t="s">
        <v>432</v>
      </c>
      <c r="J777" s="37" t="s">
        <v>1626</v>
      </c>
      <c r="K777" s="1" t="s">
        <v>1175</v>
      </c>
    </row>
    <row r="778" spans="1:11" ht="43.2" x14ac:dyDescent="0.3">
      <c r="A778" s="1">
        <v>801</v>
      </c>
      <c r="B778" s="1" t="s">
        <v>365</v>
      </c>
      <c r="E778" s="1" t="s">
        <v>742</v>
      </c>
      <c r="F778" s="1" t="s">
        <v>466</v>
      </c>
      <c r="H778" s="1" t="s">
        <v>432</v>
      </c>
      <c r="J778" s="37" t="s">
        <v>1626</v>
      </c>
      <c r="K778" s="1" t="s">
        <v>1175</v>
      </c>
    </row>
    <row r="779" spans="1:11" ht="43.2" x14ac:dyDescent="0.3">
      <c r="A779" s="1">
        <v>802</v>
      </c>
      <c r="B779" s="1" t="s">
        <v>366</v>
      </c>
      <c r="E779" s="1" t="s">
        <v>742</v>
      </c>
      <c r="F779" s="1" t="s">
        <v>466</v>
      </c>
      <c r="H779" s="1" t="s">
        <v>432</v>
      </c>
      <c r="J779" s="37" t="s">
        <v>1626</v>
      </c>
      <c r="K779" s="1" t="s">
        <v>1175</v>
      </c>
    </row>
    <row r="780" spans="1:11" ht="43.2" x14ac:dyDescent="0.3">
      <c r="A780" s="1">
        <v>803</v>
      </c>
      <c r="B780" s="1" t="s">
        <v>367</v>
      </c>
      <c r="E780" s="1" t="s">
        <v>742</v>
      </c>
      <c r="F780" s="1" t="s">
        <v>466</v>
      </c>
      <c r="H780" s="1" t="s">
        <v>432</v>
      </c>
      <c r="J780" s="37" t="s">
        <v>1626</v>
      </c>
      <c r="K780" s="1" t="s">
        <v>1175</v>
      </c>
    </row>
    <row r="781" spans="1:11" ht="43.2" x14ac:dyDescent="0.3">
      <c r="A781" s="1">
        <v>804</v>
      </c>
      <c r="B781" s="1" t="s">
        <v>368</v>
      </c>
      <c r="E781" s="1" t="s">
        <v>742</v>
      </c>
      <c r="F781" s="1" t="s">
        <v>466</v>
      </c>
      <c r="H781" s="1" t="s">
        <v>432</v>
      </c>
      <c r="J781" s="37" t="s">
        <v>1626</v>
      </c>
      <c r="K781" s="1" t="s">
        <v>1175</v>
      </c>
    </row>
    <row r="782" spans="1:11" ht="43.2" x14ac:dyDescent="0.3">
      <c r="A782" s="1">
        <v>805</v>
      </c>
      <c r="B782" s="1" t="s">
        <v>369</v>
      </c>
      <c r="E782" s="1" t="s">
        <v>742</v>
      </c>
      <c r="F782" s="1" t="s">
        <v>466</v>
      </c>
      <c r="H782" s="1" t="s">
        <v>432</v>
      </c>
      <c r="J782" s="37" t="s">
        <v>1626</v>
      </c>
      <c r="K782" s="1" t="s">
        <v>1175</v>
      </c>
    </row>
    <row r="783" spans="1:11" ht="43.2" x14ac:dyDescent="0.3">
      <c r="A783" s="1">
        <v>806</v>
      </c>
      <c r="B783" s="1" t="s">
        <v>370</v>
      </c>
      <c r="E783" s="1" t="s">
        <v>1402</v>
      </c>
      <c r="F783" s="1" t="s">
        <v>1126</v>
      </c>
      <c r="H783" s="1" t="s">
        <v>1400</v>
      </c>
      <c r="J783" s="37" t="s">
        <v>1626</v>
      </c>
      <c r="K783" s="1" t="s">
        <v>1175</v>
      </c>
    </row>
    <row r="784" spans="1:11" ht="43.2" x14ac:dyDescent="0.3">
      <c r="A784" s="1">
        <v>807</v>
      </c>
      <c r="B784" s="1" t="s">
        <v>372</v>
      </c>
      <c r="E784" s="1" t="s">
        <v>1536</v>
      </c>
      <c r="F784" s="1" t="s">
        <v>633</v>
      </c>
      <c r="H784" s="1" t="s">
        <v>456</v>
      </c>
      <c r="J784" s="37" t="s">
        <v>1626</v>
      </c>
      <c r="K784" s="1" t="s">
        <v>1175</v>
      </c>
    </row>
    <row r="785" spans="1:11" ht="43.2" x14ac:dyDescent="0.3">
      <c r="A785" s="1">
        <v>808</v>
      </c>
      <c r="B785" s="1" t="s">
        <v>372</v>
      </c>
      <c r="E785" s="1" t="s">
        <v>1333</v>
      </c>
      <c r="F785" s="1" t="s">
        <v>1320</v>
      </c>
      <c r="H785" s="1" t="s">
        <v>456</v>
      </c>
      <c r="J785" s="37" t="s">
        <v>1626</v>
      </c>
      <c r="K785" s="1" t="s">
        <v>1175</v>
      </c>
    </row>
    <row r="786" spans="1:11" ht="43.2" x14ac:dyDescent="0.3">
      <c r="A786" s="1">
        <v>809</v>
      </c>
      <c r="B786" s="1" t="s">
        <v>372</v>
      </c>
      <c r="E786" s="1" t="s">
        <v>1402</v>
      </c>
      <c r="F786" s="1" t="s">
        <v>1126</v>
      </c>
      <c r="H786" s="1" t="s">
        <v>456</v>
      </c>
      <c r="J786" s="37" t="s">
        <v>1626</v>
      </c>
      <c r="K786" s="1" t="s">
        <v>1175</v>
      </c>
    </row>
    <row r="787" spans="1:11" ht="43.2" x14ac:dyDescent="0.3">
      <c r="A787" s="1">
        <v>810</v>
      </c>
      <c r="B787" s="1" t="s">
        <v>372</v>
      </c>
      <c r="E787" s="1" t="s">
        <v>1422</v>
      </c>
      <c r="F787" s="1" t="s">
        <v>1320</v>
      </c>
      <c r="H787" s="1" t="s">
        <v>456</v>
      </c>
      <c r="J787" s="37" t="s">
        <v>1626</v>
      </c>
      <c r="K787" s="1" t="s">
        <v>1175</v>
      </c>
    </row>
    <row r="788" spans="1:11" ht="43.2" x14ac:dyDescent="0.3">
      <c r="A788" s="1">
        <v>811</v>
      </c>
      <c r="B788" s="1" t="s">
        <v>372</v>
      </c>
      <c r="E788" s="1" t="s">
        <v>1411</v>
      </c>
      <c r="F788" s="1" t="s">
        <v>1320</v>
      </c>
      <c r="H788" s="1" t="s">
        <v>456</v>
      </c>
      <c r="J788" s="37" t="s">
        <v>1626</v>
      </c>
      <c r="K788" s="1" t="s">
        <v>1175</v>
      </c>
    </row>
    <row r="789" spans="1:11" ht="43.2" x14ac:dyDescent="0.3">
      <c r="A789" s="1">
        <v>812</v>
      </c>
      <c r="B789" s="1" t="s">
        <v>372</v>
      </c>
      <c r="E789" s="1" t="s">
        <v>1521</v>
      </c>
      <c r="F789" s="1" t="s">
        <v>466</v>
      </c>
      <c r="H789" s="1" t="s">
        <v>456</v>
      </c>
      <c r="J789" s="37" t="s">
        <v>1626</v>
      </c>
      <c r="K789" s="1" t="s">
        <v>1175</v>
      </c>
    </row>
    <row r="790" spans="1:11" ht="43.2" x14ac:dyDescent="0.3">
      <c r="A790" s="1">
        <v>813</v>
      </c>
      <c r="B790" s="1" t="s">
        <v>372</v>
      </c>
      <c r="E790" s="1" t="s">
        <v>1054</v>
      </c>
      <c r="F790" s="1" t="s">
        <v>893</v>
      </c>
      <c r="H790" s="1" t="s">
        <v>430</v>
      </c>
      <c r="J790" s="37" t="s">
        <v>1626</v>
      </c>
      <c r="K790" s="1" t="s">
        <v>1175</v>
      </c>
    </row>
    <row r="791" spans="1:11" ht="43.2" x14ac:dyDescent="0.3">
      <c r="A791" s="1">
        <v>814</v>
      </c>
      <c r="B791" s="1" t="s">
        <v>372</v>
      </c>
      <c r="E791" s="1" t="s">
        <v>799</v>
      </c>
      <c r="F791" s="1" t="s">
        <v>784</v>
      </c>
      <c r="H791" s="1" t="s">
        <v>456</v>
      </c>
      <c r="J791" s="37" t="s">
        <v>1626</v>
      </c>
      <c r="K791" s="1" t="s">
        <v>1175</v>
      </c>
    </row>
    <row r="792" spans="1:11" ht="43.2" x14ac:dyDescent="0.3">
      <c r="A792" s="1">
        <v>815</v>
      </c>
      <c r="B792" s="1" t="s">
        <v>372</v>
      </c>
      <c r="E792" s="1" t="s">
        <v>1246</v>
      </c>
      <c r="F792" s="1" t="s">
        <v>466</v>
      </c>
      <c r="H792" s="1" t="s">
        <v>430</v>
      </c>
      <c r="J792" s="37" t="s">
        <v>1626</v>
      </c>
      <c r="K792" s="1" t="s">
        <v>1175</v>
      </c>
    </row>
    <row r="793" spans="1:11" ht="43.2" x14ac:dyDescent="0.3">
      <c r="A793" s="1">
        <v>816</v>
      </c>
      <c r="B793" s="1" t="s">
        <v>372</v>
      </c>
      <c r="E793" s="1" t="s">
        <v>742</v>
      </c>
      <c r="F793" s="1" t="s">
        <v>466</v>
      </c>
      <c r="H793" s="1" t="s">
        <v>430</v>
      </c>
      <c r="J793" s="37" t="s">
        <v>1626</v>
      </c>
      <c r="K793" s="1" t="s">
        <v>1175</v>
      </c>
    </row>
    <row r="794" spans="1:11" ht="43.2" x14ac:dyDescent="0.3">
      <c r="A794" s="1">
        <v>817</v>
      </c>
      <c r="B794" s="1" t="s">
        <v>373</v>
      </c>
      <c r="E794" s="1" t="s">
        <v>1054</v>
      </c>
      <c r="F794" s="1" t="s">
        <v>893</v>
      </c>
      <c r="H794" s="1" t="s">
        <v>1053</v>
      </c>
      <c r="J794" s="37" t="s">
        <v>1626</v>
      </c>
      <c r="K794" s="1" t="s">
        <v>1175</v>
      </c>
    </row>
    <row r="795" spans="1:11" ht="43.2" x14ac:dyDescent="0.3">
      <c r="A795" s="1">
        <v>818</v>
      </c>
      <c r="B795" s="1" t="s">
        <v>374</v>
      </c>
      <c r="E795" s="1" t="s">
        <v>1054</v>
      </c>
      <c r="F795" s="1" t="s">
        <v>893</v>
      </c>
      <c r="H795" s="1" t="s">
        <v>433</v>
      </c>
      <c r="J795" s="37" t="s">
        <v>1626</v>
      </c>
      <c r="K795" s="1" t="s">
        <v>1175</v>
      </c>
    </row>
    <row r="796" spans="1:11" ht="43.2" x14ac:dyDescent="0.3">
      <c r="A796" s="1">
        <v>819</v>
      </c>
      <c r="B796" s="1" t="s">
        <v>375</v>
      </c>
      <c r="E796" s="1" t="s">
        <v>1054</v>
      </c>
      <c r="F796" s="1" t="s">
        <v>893</v>
      </c>
      <c r="H796" s="1" t="s">
        <v>433</v>
      </c>
      <c r="J796" s="37" t="s">
        <v>1626</v>
      </c>
      <c r="K796" s="1" t="s">
        <v>1175</v>
      </c>
    </row>
    <row r="797" spans="1:11" ht="43.2" x14ac:dyDescent="0.3">
      <c r="A797" s="1">
        <v>820</v>
      </c>
      <c r="B797" s="1" t="s">
        <v>376</v>
      </c>
      <c r="E797" s="1" t="s">
        <v>1054</v>
      </c>
      <c r="F797" s="1" t="s">
        <v>893</v>
      </c>
      <c r="H797" s="1" t="s">
        <v>432</v>
      </c>
      <c r="J797" s="37" t="s">
        <v>1626</v>
      </c>
      <c r="K797" s="1" t="s">
        <v>1175</v>
      </c>
    </row>
    <row r="798" spans="1:11" ht="43.2" x14ac:dyDescent="0.3">
      <c r="A798" s="1">
        <v>821</v>
      </c>
      <c r="B798" s="1" t="s">
        <v>377</v>
      </c>
      <c r="E798" s="1" t="s">
        <v>1054</v>
      </c>
      <c r="F798" s="1" t="s">
        <v>893</v>
      </c>
      <c r="H798" s="1" t="s">
        <v>433</v>
      </c>
      <c r="J798" s="37" t="s">
        <v>1626</v>
      </c>
      <c r="K798" s="1" t="s">
        <v>1175</v>
      </c>
    </row>
    <row r="799" spans="1:11" ht="43.2" x14ac:dyDescent="0.3">
      <c r="A799" s="1">
        <v>822</v>
      </c>
      <c r="B799" s="1" t="s">
        <v>378</v>
      </c>
      <c r="E799" s="1" t="s">
        <v>1054</v>
      </c>
      <c r="F799" s="1" t="s">
        <v>893</v>
      </c>
      <c r="H799" s="1" t="s">
        <v>432</v>
      </c>
      <c r="J799" s="37" t="s">
        <v>1626</v>
      </c>
      <c r="K799" s="1" t="s">
        <v>1175</v>
      </c>
    </row>
    <row r="800" spans="1:11" ht="43.2" x14ac:dyDescent="0.3">
      <c r="A800" s="1">
        <v>823</v>
      </c>
      <c r="B800" s="1" t="s">
        <v>379</v>
      </c>
      <c r="E800" s="1" t="s">
        <v>1054</v>
      </c>
      <c r="F800" s="1" t="s">
        <v>893</v>
      </c>
      <c r="H800" s="1" t="s">
        <v>432</v>
      </c>
      <c r="J800" s="37" t="s">
        <v>1626</v>
      </c>
      <c r="K800" s="1" t="s">
        <v>1175</v>
      </c>
    </row>
    <row r="801" spans="1:11" ht="43.2" x14ac:dyDescent="0.3">
      <c r="A801" s="1">
        <v>824</v>
      </c>
      <c r="B801" s="1" t="s">
        <v>380</v>
      </c>
      <c r="E801" s="1" t="s">
        <v>1054</v>
      </c>
      <c r="F801" s="1" t="s">
        <v>893</v>
      </c>
      <c r="H801" s="1" t="s">
        <v>432</v>
      </c>
      <c r="J801" s="37" t="s">
        <v>1626</v>
      </c>
      <c r="K801" s="1" t="s">
        <v>1175</v>
      </c>
    </row>
    <row r="802" spans="1:11" ht="43.2" x14ac:dyDescent="0.3">
      <c r="A802" s="1">
        <v>825</v>
      </c>
      <c r="B802" s="1" t="s">
        <v>381</v>
      </c>
      <c r="E802" s="1" t="s">
        <v>1054</v>
      </c>
      <c r="F802" s="1" t="s">
        <v>893</v>
      </c>
      <c r="H802" s="1" t="s">
        <v>433</v>
      </c>
      <c r="J802" s="37" t="s">
        <v>1626</v>
      </c>
      <c r="K802" s="1" t="s">
        <v>1175</v>
      </c>
    </row>
    <row r="803" spans="1:11" ht="43.2" x14ac:dyDescent="0.3">
      <c r="A803" s="1">
        <v>826</v>
      </c>
      <c r="B803" s="1" t="s">
        <v>382</v>
      </c>
      <c r="E803" s="1" t="s">
        <v>1054</v>
      </c>
      <c r="F803" s="1" t="s">
        <v>893</v>
      </c>
      <c r="H803" s="1" t="s">
        <v>432</v>
      </c>
      <c r="J803" s="37" t="s">
        <v>1626</v>
      </c>
      <c r="K803" s="1" t="s">
        <v>1175</v>
      </c>
    </row>
    <row r="804" spans="1:11" ht="43.2" x14ac:dyDescent="0.3">
      <c r="A804" s="1">
        <v>827</v>
      </c>
      <c r="B804" s="1" t="s">
        <v>383</v>
      </c>
      <c r="E804" s="1" t="s">
        <v>1054</v>
      </c>
      <c r="F804" s="1" t="s">
        <v>893</v>
      </c>
      <c r="H804" s="1" t="s">
        <v>432</v>
      </c>
      <c r="J804" s="37" t="s">
        <v>1626</v>
      </c>
      <c r="K804" s="1" t="s">
        <v>1175</v>
      </c>
    </row>
    <row r="805" spans="1:11" ht="43.2" x14ac:dyDescent="0.3">
      <c r="A805" s="1">
        <v>828</v>
      </c>
      <c r="B805" s="1" t="s">
        <v>384</v>
      </c>
      <c r="E805" s="1" t="s">
        <v>1054</v>
      </c>
      <c r="F805" s="1" t="s">
        <v>893</v>
      </c>
      <c r="H805" s="1" t="s">
        <v>432</v>
      </c>
      <c r="J805" s="37" t="s">
        <v>1626</v>
      </c>
      <c r="K805" s="1" t="s">
        <v>1175</v>
      </c>
    </row>
    <row r="806" spans="1:11" ht="43.2" x14ac:dyDescent="0.3">
      <c r="A806" s="1">
        <v>829</v>
      </c>
      <c r="B806" s="1" t="s">
        <v>373</v>
      </c>
      <c r="E806" s="1" t="s">
        <v>1246</v>
      </c>
      <c r="F806" s="1" t="s">
        <v>466</v>
      </c>
      <c r="H806" s="1" t="s">
        <v>1243</v>
      </c>
      <c r="J806" s="37" t="s">
        <v>1626</v>
      </c>
      <c r="K806" s="1" t="s">
        <v>1175</v>
      </c>
    </row>
    <row r="807" spans="1:11" ht="43.2" x14ac:dyDescent="0.3">
      <c r="A807" s="1">
        <v>830</v>
      </c>
      <c r="B807" s="1" t="s">
        <v>374</v>
      </c>
      <c r="E807" s="1" t="s">
        <v>1246</v>
      </c>
      <c r="F807" s="1" t="s">
        <v>466</v>
      </c>
      <c r="H807" s="1" t="s">
        <v>433</v>
      </c>
      <c r="J807" s="37" t="s">
        <v>1626</v>
      </c>
      <c r="K807" s="1" t="s">
        <v>1175</v>
      </c>
    </row>
    <row r="808" spans="1:11" ht="43.2" x14ac:dyDescent="0.3">
      <c r="A808" s="1">
        <v>831</v>
      </c>
      <c r="B808" s="1" t="s">
        <v>375</v>
      </c>
      <c r="E808" s="1" t="s">
        <v>1246</v>
      </c>
      <c r="F808" s="1" t="s">
        <v>466</v>
      </c>
      <c r="H808" s="1" t="s">
        <v>433</v>
      </c>
      <c r="J808" s="37" t="s">
        <v>1626</v>
      </c>
      <c r="K808" s="1" t="s">
        <v>1175</v>
      </c>
    </row>
    <row r="809" spans="1:11" ht="43.2" x14ac:dyDescent="0.3">
      <c r="A809" s="1">
        <v>832</v>
      </c>
      <c r="B809" s="1" t="s">
        <v>376</v>
      </c>
      <c r="E809" s="1" t="s">
        <v>1246</v>
      </c>
      <c r="F809" s="1" t="s">
        <v>466</v>
      </c>
      <c r="H809" s="1" t="s">
        <v>433</v>
      </c>
      <c r="J809" s="37" t="s">
        <v>1626</v>
      </c>
      <c r="K809" s="1" t="s">
        <v>1175</v>
      </c>
    </row>
    <row r="810" spans="1:11" ht="43.2" x14ac:dyDescent="0.3">
      <c r="A810" s="1">
        <v>833</v>
      </c>
      <c r="B810" s="1" t="s">
        <v>377</v>
      </c>
      <c r="E810" s="1" t="s">
        <v>1246</v>
      </c>
      <c r="F810" s="1" t="s">
        <v>466</v>
      </c>
      <c r="H810" s="1" t="s">
        <v>432</v>
      </c>
      <c r="J810" s="37" t="s">
        <v>1626</v>
      </c>
      <c r="K810" s="1" t="s">
        <v>1175</v>
      </c>
    </row>
    <row r="811" spans="1:11" ht="43.2" x14ac:dyDescent="0.3">
      <c r="A811" s="1">
        <v>834</v>
      </c>
      <c r="B811" s="1" t="s">
        <v>378</v>
      </c>
      <c r="E811" s="1" t="s">
        <v>1246</v>
      </c>
      <c r="F811" s="1" t="s">
        <v>466</v>
      </c>
      <c r="H811" s="1" t="s">
        <v>433</v>
      </c>
      <c r="J811" s="37" t="s">
        <v>1626</v>
      </c>
      <c r="K811" s="1" t="s">
        <v>1175</v>
      </c>
    </row>
    <row r="812" spans="1:11" ht="43.2" x14ac:dyDescent="0.3">
      <c r="A812" s="1">
        <v>835</v>
      </c>
      <c r="B812" s="1" t="s">
        <v>379</v>
      </c>
      <c r="E812" s="1" t="s">
        <v>1246</v>
      </c>
      <c r="F812" s="1" t="s">
        <v>466</v>
      </c>
      <c r="H812" s="1" t="s">
        <v>432</v>
      </c>
      <c r="J812" s="37" t="s">
        <v>1626</v>
      </c>
      <c r="K812" s="1" t="s">
        <v>1175</v>
      </c>
    </row>
    <row r="813" spans="1:11" ht="43.2" x14ac:dyDescent="0.3">
      <c r="A813" s="1">
        <v>836</v>
      </c>
      <c r="B813" s="1" t="s">
        <v>380</v>
      </c>
      <c r="E813" s="1" t="s">
        <v>1246</v>
      </c>
      <c r="F813" s="1" t="s">
        <v>466</v>
      </c>
      <c r="H813" s="1" t="s">
        <v>432</v>
      </c>
      <c r="J813" s="37" t="s">
        <v>1626</v>
      </c>
      <c r="K813" s="1" t="s">
        <v>1175</v>
      </c>
    </row>
    <row r="814" spans="1:11" ht="43.2" x14ac:dyDescent="0.3">
      <c r="A814" s="1">
        <v>837</v>
      </c>
      <c r="B814" s="1" t="s">
        <v>381</v>
      </c>
      <c r="E814" s="1" t="s">
        <v>1246</v>
      </c>
      <c r="F814" s="1" t="s">
        <v>466</v>
      </c>
      <c r="H814" s="1" t="s">
        <v>433</v>
      </c>
      <c r="J814" s="37" t="s">
        <v>1626</v>
      </c>
      <c r="K814" s="1" t="s">
        <v>1175</v>
      </c>
    </row>
    <row r="815" spans="1:11" ht="43.2" x14ac:dyDescent="0.3">
      <c r="A815" s="1">
        <v>838</v>
      </c>
      <c r="B815" s="1" t="s">
        <v>382</v>
      </c>
      <c r="E815" s="1" t="s">
        <v>1246</v>
      </c>
      <c r="F815" s="1" t="s">
        <v>466</v>
      </c>
      <c r="H815" s="1" t="s">
        <v>432</v>
      </c>
      <c r="J815" s="37" t="s">
        <v>1626</v>
      </c>
      <c r="K815" s="1" t="s">
        <v>1175</v>
      </c>
    </row>
    <row r="816" spans="1:11" ht="43.2" x14ac:dyDescent="0.3">
      <c r="A816" s="1">
        <v>839</v>
      </c>
      <c r="B816" s="1" t="s">
        <v>383</v>
      </c>
      <c r="E816" s="1" t="s">
        <v>1246</v>
      </c>
      <c r="F816" s="1" t="s">
        <v>466</v>
      </c>
      <c r="H816" s="1" t="s">
        <v>432</v>
      </c>
      <c r="J816" s="37" t="s">
        <v>1626</v>
      </c>
      <c r="K816" s="1" t="s">
        <v>1175</v>
      </c>
    </row>
    <row r="817" spans="1:11" ht="43.2" x14ac:dyDescent="0.3">
      <c r="A817" s="1">
        <v>840</v>
      </c>
      <c r="B817" s="1" t="s">
        <v>384</v>
      </c>
      <c r="E817" s="1" t="s">
        <v>1246</v>
      </c>
      <c r="F817" s="1" t="s">
        <v>466</v>
      </c>
      <c r="H817" s="1" t="s">
        <v>432</v>
      </c>
      <c r="J817" s="37" t="s">
        <v>1626</v>
      </c>
      <c r="K817" s="1" t="s">
        <v>1175</v>
      </c>
    </row>
    <row r="818" spans="1:11" ht="43.2" x14ac:dyDescent="0.3">
      <c r="A818" s="1">
        <v>841</v>
      </c>
      <c r="B818" s="1" t="s">
        <v>373</v>
      </c>
      <c r="E818" s="1" t="s">
        <v>742</v>
      </c>
      <c r="F818" s="1" t="s">
        <v>466</v>
      </c>
      <c r="H818" s="1" t="s">
        <v>739</v>
      </c>
      <c r="J818" s="37" t="s">
        <v>1626</v>
      </c>
      <c r="K818" s="1" t="s">
        <v>1175</v>
      </c>
    </row>
    <row r="819" spans="1:11" ht="43.2" x14ac:dyDescent="0.3">
      <c r="A819" s="1">
        <v>842</v>
      </c>
      <c r="B819" s="1" t="s">
        <v>374</v>
      </c>
      <c r="E819" s="1" t="s">
        <v>742</v>
      </c>
      <c r="F819" s="1" t="s">
        <v>466</v>
      </c>
      <c r="H819" s="1" t="s">
        <v>433</v>
      </c>
      <c r="J819" s="37" t="s">
        <v>1626</v>
      </c>
      <c r="K819" s="1" t="s">
        <v>1175</v>
      </c>
    </row>
    <row r="820" spans="1:11" ht="43.2" x14ac:dyDescent="0.3">
      <c r="A820" s="1">
        <v>843</v>
      </c>
      <c r="B820" s="1" t="s">
        <v>375</v>
      </c>
      <c r="E820" s="1" t="s">
        <v>742</v>
      </c>
      <c r="F820" s="1" t="s">
        <v>466</v>
      </c>
      <c r="H820" s="1" t="s">
        <v>433</v>
      </c>
      <c r="J820" s="37" t="s">
        <v>1626</v>
      </c>
      <c r="K820" s="1" t="s">
        <v>1175</v>
      </c>
    </row>
    <row r="821" spans="1:11" ht="43.2" x14ac:dyDescent="0.3">
      <c r="A821" s="1">
        <v>844</v>
      </c>
      <c r="B821" s="1" t="s">
        <v>376</v>
      </c>
      <c r="E821" s="1" t="s">
        <v>742</v>
      </c>
      <c r="F821" s="1" t="s">
        <v>466</v>
      </c>
      <c r="H821" s="1" t="s">
        <v>433</v>
      </c>
      <c r="J821" s="37" t="s">
        <v>1626</v>
      </c>
      <c r="K821" s="1" t="s">
        <v>1175</v>
      </c>
    </row>
    <row r="822" spans="1:11" ht="43.2" x14ac:dyDescent="0.3">
      <c r="A822" s="1">
        <v>845</v>
      </c>
      <c r="B822" s="1" t="s">
        <v>377</v>
      </c>
      <c r="E822" s="1" t="s">
        <v>742</v>
      </c>
      <c r="F822" s="1" t="s">
        <v>466</v>
      </c>
      <c r="H822" s="1" t="s">
        <v>433</v>
      </c>
      <c r="J822" s="37" t="s">
        <v>1626</v>
      </c>
      <c r="K822" s="1" t="s">
        <v>1175</v>
      </c>
    </row>
    <row r="823" spans="1:11" ht="43.2" x14ac:dyDescent="0.3">
      <c r="A823" s="1">
        <v>846</v>
      </c>
      <c r="B823" s="1" t="s">
        <v>378</v>
      </c>
      <c r="E823" s="1" t="s">
        <v>742</v>
      </c>
      <c r="F823" s="1" t="s">
        <v>466</v>
      </c>
      <c r="H823" s="1" t="s">
        <v>433</v>
      </c>
      <c r="J823" s="37" t="s">
        <v>1626</v>
      </c>
      <c r="K823" s="1" t="s">
        <v>1175</v>
      </c>
    </row>
    <row r="824" spans="1:11" ht="43.2" x14ac:dyDescent="0.3">
      <c r="A824" s="1">
        <v>847</v>
      </c>
      <c r="B824" s="1" t="s">
        <v>379</v>
      </c>
      <c r="E824" s="1" t="s">
        <v>742</v>
      </c>
      <c r="F824" s="1" t="s">
        <v>466</v>
      </c>
      <c r="H824" s="1" t="s">
        <v>432</v>
      </c>
      <c r="J824" s="37" t="s">
        <v>1626</v>
      </c>
      <c r="K824" s="1" t="s">
        <v>1175</v>
      </c>
    </row>
    <row r="825" spans="1:11" ht="43.2" x14ac:dyDescent="0.3">
      <c r="A825" s="1">
        <v>848</v>
      </c>
      <c r="B825" s="1" t="s">
        <v>380</v>
      </c>
      <c r="E825" s="1" t="s">
        <v>742</v>
      </c>
      <c r="F825" s="1" t="s">
        <v>466</v>
      </c>
      <c r="H825" s="1" t="s">
        <v>432</v>
      </c>
      <c r="J825" s="37" t="s">
        <v>1626</v>
      </c>
      <c r="K825" s="1" t="s">
        <v>1175</v>
      </c>
    </row>
    <row r="826" spans="1:11" ht="43.2" x14ac:dyDescent="0.3">
      <c r="A826" s="1">
        <v>849</v>
      </c>
      <c r="B826" s="1" t="s">
        <v>381</v>
      </c>
      <c r="E826" s="1" t="s">
        <v>742</v>
      </c>
      <c r="F826" s="1" t="s">
        <v>466</v>
      </c>
      <c r="H826" s="1" t="s">
        <v>432</v>
      </c>
      <c r="J826" s="37" t="s">
        <v>1626</v>
      </c>
      <c r="K826" s="1" t="s">
        <v>1175</v>
      </c>
    </row>
    <row r="827" spans="1:11" ht="43.2" x14ac:dyDescent="0.3">
      <c r="A827" s="1">
        <v>850</v>
      </c>
      <c r="B827" s="1" t="s">
        <v>382</v>
      </c>
      <c r="E827" s="1" t="s">
        <v>742</v>
      </c>
      <c r="F827" s="1" t="s">
        <v>466</v>
      </c>
      <c r="H827" s="1" t="s">
        <v>432</v>
      </c>
      <c r="J827" s="37" t="s">
        <v>1626</v>
      </c>
      <c r="K827" s="1" t="s">
        <v>1175</v>
      </c>
    </row>
    <row r="828" spans="1:11" ht="43.2" x14ac:dyDescent="0.3">
      <c r="A828" s="1">
        <v>851</v>
      </c>
      <c r="B828" s="1" t="s">
        <v>383</v>
      </c>
      <c r="E828" s="1" t="s">
        <v>742</v>
      </c>
      <c r="F828" s="1" t="s">
        <v>466</v>
      </c>
      <c r="H828" s="1" t="s">
        <v>432</v>
      </c>
      <c r="J828" s="37" t="s">
        <v>1626</v>
      </c>
      <c r="K828" s="1" t="s">
        <v>1175</v>
      </c>
    </row>
    <row r="829" spans="1:11" ht="43.2" x14ac:dyDescent="0.3">
      <c r="A829" s="1">
        <v>852</v>
      </c>
      <c r="B829" s="1" t="s">
        <v>384</v>
      </c>
      <c r="E829" s="1" t="s">
        <v>742</v>
      </c>
      <c r="F829" s="1" t="s">
        <v>466</v>
      </c>
      <c r="H829" s="1" t="s">
        <v>432</v>
      </c>
      <c r="J829" s="37" t="s">
        <v>1626</v>
      </c>
      <c r="K829" s="1" t="s">
        <v>1175</v>
      </c>
    </row>
    <row r="830" spans="1:11" ht="43.2" x14ac:dyDescent="0.3">
      <c r="A830" s="1">
        <v>853</v>
      </c>
      <c r="B830" s="1" t="s">
        <v>386</v>
      </c>
      <c r="E830" s="1" t="s">
        <v>1054</v>
      </c>
      <c r="F830" s="1" t="s">
        <v>893</v>
      </c>
      <c r="H830" s="1" t="s">
        <v>714</v>
      </c>
      <c r="J830" s="37" t="s">
        <v>1626</v>
      </c>
      <c r="K830" s="1" t="s">
        <v>1175</v>
      </c>
    </row>
    <row r="831" spans="1:11" ht="43.2" x14ac:dyDescent="0.3">
      <c r="A831" s="1">
        <v>854</v>
      </c>
      <c r="B831" s="1" t="s">
        <v>387</v>
      </c>
      <c r="E831" s="1" t="s">
        <v>1054</v>
      </c>
      <c r="F831" s="1" t="s">
        <v>893</v>
      </c>
      <c r="H831" s="1" t="s">
        <v>432</v>
      </c>
      <c r="J831" s="37" t="s">
        <v>1626</v>
      </c>
      <c r="K831" s="1" t="s">
        <v>1175</v>
      </c>
    </row>
    <row r="832" spans="1:11" ht="43.2" x14ac:dyDescent="0.3">
      <c r="A832" s="1">
        <v>855</v>
      </c>
      <c r="B832" s="1" t="s">
        <v>388</v>
      </c>
      <c r="E832" s="1" t="s">
        <v>1054</v>
      </c>
      <c r="F832" s="1" t="s">
        <v>893</v>
      </c>
      <c r="H832" s="1" t="s">
        <v>433</v>
      </c>
      <c r="J832" s="37" t="s">
        <v>1626</v>
      </c>
      <c r="K832" s="1" t="s">
        <v>1175</v>
      </c>
    </row>
    <row r="833" spans="1:11" ht="43.2" x14ac:dyDescent="0.3">
      <c r="A833" s="1">
        <v>856</v>
      </c>
      <c r="B833" s="1" t="s">
        <v>389</v>
      </c>
      <c r="E833" s="1" t="s">
        <v>1054</v>
      </c>
      <c r="F833" s="1" t="s">
        <v>893</v>
      </c>
      <c r="H833" s="1" t="s">
        <v>433</v>
      </c>
      <c r="J833" s="37" t="s">
        <v>1626</v>
      </c>
      <c r="K833" s="1" t="s">
        <v>1175</v>
      </c>
    </row>
    <row r="834" spans="1:11" ht="43.2" x14ac:dyDescent="0.3">
      <c r="A834" s="1">
        <v>857</v>
      </c>
      <c r="B834" s="1" t="s">
        <v>390</v>
      </c>
      <c r="E834" s="1" t="s">
        <v>1054</v>
      </c>
      <c r="F834" s="1" t="s">
        <v>893</v>
      </c>
      <c r="H834" s="1" t="s">
        <v>433</v>
      </c>
      <c r="J834" s="37" t="s">
        <v>1626</v>
      </c>
      <c r="K834" s="1" t="s">
        <v>1175</v>
      </c>
    </row>
    <row r="835" spans="1:11" ht="43.2" x14ac:dyDescent="0.3">
      <c r="A835" s="1">
        <v>858</v>
      </c>
      <c r="B835" s="1" t="s">
        <v>391</v>
      </c>
      <c r="E835" s="1" t="s">
        <v>1054</v>
      </c>
      <c r="F835" s="1" t="s">
        <v>893</v>
      </c>
      <c r="H835" s="1" t="s">
        <v>432</v>
      </c>
      <c r="J835" s="37" t="s">
        <v>1626</v>
      </c>
      <c r="K835" s="1" t="s">
        <v>1175</v>
      </c>
    </row>
    <row r="836" spans="1:11" ht="43.2" x14ac:dyDescent="0.3">
      <c r="A836" s="1">
        <v>859</v>
      </c>
      <c r="B836" s="1" t="s">
        <v>392</v>
      </c>
      <c r="E836" s="1" t="s">
        <v>1054</v>
      </c>
      <c r="F836" s="1" t="s">
        <v>893</v>
      </c>
      <c r="H836" s="1" t="s">
        <v>432</v>
      </c>
      <c r="J836" s="37" t="s">
        <v>1626</v>
      </c>
      <c r="K836" s="1" t="s">
        <v>1175</v>
      </c>
    </row>
    <row r="837" spans="1:11" ht="43.2" x14ac:dyDescent="0.3">
      <c r="A837" s="1">
        <v>860</v>
      </c>
      <c r="B837" s="1" t="s">
        <v>386</v>
      </c>
      <c r="E837" s="1" t="s">
        <v>742</v>
      </c>
      <c r="F837" s="1" t="s">
        <v>466</v>
      </c>
      <c r="H837" s="1" t="s">
        <v>518</v>
      </c>
      <c r="J837" s="37" t="s">
        <v>1626</v>
      </c>
      <c r="K837" s="1" t="s">
        <v>1175</v>
      </c>
    </row>
    <row r="838" spans="1:11" ht="43.2" x14ac:dyDescent="0.3">
      <c r="A838" s="1">
        <v>861</v>
      </c>
      <c r="B838" s="1" t="s">
        <v>387</v>
      </c>
      <c r="E838" s="1" t="s">
        <v>742</v>
      </c>
      <c r="F838" s="1" t="s">
        <v>466</v>
      </c>
      <c r="H838" s="1" t="s">
        <v>432</v>
      </c>
      <c r="J838" s="37" t="s">
        <v>1626</v>
      </c>
      <c r="K838" s="1" t="s">
        <v>1175</v>
      </c>
    </row>
    <row r="839" spans="1:11" ht="43.2" x14ac:dyDescent="0.3">
      <c r="A839" s="1">
        <v>862</v>
      </c>
      <c r="B839" s="1" t="s">
        <v>388</v>
      </c>
      <c r="E839" s="1" t="s">
        <v>742</v>
      </c>
      <c r="F839" s="1" t="s">
        <v>466</v>
      </c>
      <c r="H839" s="1" t="s">
        <v>433</v>
      </c>
      <c r="J839" s="37" t="s">
        <v>1626</v>
      </c>
      <c r="K839" s="1" t="s">
        <v>1175</v>
      </c>
    </row>
    <row r="840" spans="1:11" ht="43.2" x14ac:dyDescent="0.3">
      <c r="A840" s="1">
        <v>863</v>
      </c>
      <c r="B840" s="1" t="s">
        <v>389</v>
      </c>
      <c r="E840" s="1" t="s">
        <v>742</v>
      </c>
      <c r="F840" s="1" t="s">
        <v>466</v>
      </c>
      <c r="H840" s="1" t="s">
        <v>433</v>
      </c>
      <c r="J840" s="37" t="s">
        <v>1626</v>
      </c>
      <c r="K840" s="1" t="s">
        <v>1175</v>
      </c>
    </row>
    <row r="841" spans="1:11" ht="43.2" x14ac:dyDescent="0.3">
      <c r="A841" s="1">
        <v>864</v>
      </c>
      <c r="B841" s="1" t="s">
        <v>390</v>
      </c>
      <c r="E841" s="1" t="s">
        <v>742</v>
      </c>
      <c r="F841" s="1" t="s">
        <v>466</v>
      </c>
      <c r="H841" s="1" t="s">
        <v>432</v>
      </c>
      <c r="J841" s="37" t="s">
        <v>1626</v>
      </c>
      <c r="K841" s="1" t="s">
        <v>1175</v>
      </c>
    </row>
    <row r="842" spans="1:11" ht="43.2" x14ac:dyDescent="0.3">
      <c r="A842" s="1">
        <v>865</v>
      </c>
      <c r="B842" s="1" t="s">
        <v>391</v>
      </c>
      <c r="E842" s="1" t="s">
        <v>742</v>
      </c>
      <c r="F842" s="1" t="s">
        <v>466</v>
      </c>
      <c r="H842" s="1" t="s">
        <v>432</v>
      </c>
      <c r="J842" s="37" t="s">
        <v>1626</v>
      </c>
      <c r="K842" s="1" t="s">
        <v>1175</v>
      </c>
    </row>
    <row r="843" spans="1:11" ht="43.2" x14ac:dyDescent="0.3">
      <c r="A843" s="1">
        <v>866</v>
      </c>
      <c r="B843" s="1" t="s">
        <v>392</v>
      </c>
      <c r="E843" s="1" t="s">
        <v>742</v>
      </c>
      <c r="F843" s="1" t="s">
        <v>466</v>
      </c>
      <c r="H843" s="1" t="s">
        <v>432</v>
      </c>
      <c r="J843" s="37" t="s">
        <v>1626</v>
      </c>
      <c r="K843" s="1" t="s">
        <v>1175</v>
      </c>
    </row>
    <row r="844" spans="1:11" ht="43.2" x14ac:dyDescent="0.3">
      <c r="A844" s="1">
        <v>867</v>
      </c>
      <c r="B844" s="1" t="s">
        <v>394</v>
      </c>
      <c r="E844" s="1" t="s">
        <v>1536</v>
      </c>
      <c r="F844" s="1" t="s">
        <v>633</v>
      </c>
      <c r="H844" s="1" t="s">
        <v>456</v>
      </c>
      <c r="J844" s="37" t="s">
        <v>1626</v>
      </c>
      <c r="K844" s="1" t="s">
        <v>1175</v>
      </c>
    </row>
    <row r="845" spans="1:11" ht="43.2" x14ac:dyDescent="0.3">
      <c r="A845" s="1">
        <v>868</v>
      </c>
      <c r="B845" s="1" t="s">
        <v>394</v>
      </c>
      <c r="E845" s="1" t="s">
        <v>1333</v>
      </c>
      <c r="F845" s="1" t="s">
        <v>1320</v>
      </c>
      <c r="H845" s="1" t="s">
        <v>456</v>
      </c>
      <c r="J845" s="37" t="s">
        <v>1626</v>
      </c>
      <c r="K845" s="1" t="s">
        <v>1175</v>
      </c>
    </row>
    <row r="846" spans="1:11" ht="43.2" x14ac:dyDescent="0.3">
      <c r="A846" s="1">
        <v>869</v>
      </c>
      <c r="B846" s="1" t="s">
        <v>394</v>
      </c>
      <c r="E846" s="1" t="s">
        <v>1402</v>
      </c>
      <c r="F846" s="1" t="s">
        <v>1126</v>
      </c>
      <c r="H846" s="1" t="s">
        <v>456</v>
      </c>
      <c r="J846" s="37" t="s">
        <v>1626</v>
      </c>
      <c r="K846" s="1" t="s">
        <v>1175</v>
      </c>
    </row>
    <row r="847" spans="1:11" ht="43.2" x14ac:dyDescent="0.3">
      <c r="A847" s="1">
        <v>870</v>
      </c>
      <c r="B847" s="1" t="s">
        <v>394</v>
      </c>
      <c r="E847" s="1" t="s">
        <v>1422</v>
      </c>
      <c r="F847" s="1" t="s">
        <v>1320</v>
      </c>
      <c r="H847" s="1" t="s">
        <v>456</v>
      </c>
      <c r="J847" s="37" t="s">
        <v>1626</v>
      </c>
      <c r="K847" s="1" t="s">
        <v>1175</v>
      </c>
    </row>
    <row r="848" spans="1:11" ht="43.2" x14ac:dyDescent="0.3">
      <c r="A848" s="1">
        <v>871</v>
      </c>
      <c r="B848" s="1" t="s">
        <v>394</v>
      </c>
      <c r="E848" s="1" t="s">
        <v>1411</v>
      </c>
      <c r="F848" s="1" t="s">
        <v>1320</v>
      </c>
      <c r="H848" s="1" t="s">
        <v>456</v>
      </c>
      <c r="J848" s="37" t="s">
        <v>1626</v>
      </c>
      <c r="K848" s="1" t="s">
        <v>1175</v>
      </c>
    </row>
    <row r="849" spans="1:11" ht="43.2" x14ac:dyDescent="0.3">
      <c r="A849" s="1">
        <v>872</v>
      </c>
      <c r="B849" s="1" t="s">
        <v>394</v>
      </c>
      <c r="E849" s="1" t="s">
        <v>1521</v>
      </c>
      <c r="F849" s="1" t="s">
        <v>466</v>
      </c>
      <c r="H849" s="1" t="s">
        <v>456</v>
      </c>
      <c r="J849" s="37" t="s">
        <v>1626</v>
      </c>
      <c r="K849" s="1" t="s">
        <v>1175</v>
      </c>
    </row>
    <row r="850" spans="1:11" ht="43.2" x14ac:dyDescent="0.3">
      <c r="A850" s="1">
        <v>873</v>
      </c>
      <c r="B850" s="1" t="s">
        <v>394</v>
      </c>
      <c r="E850" s="1" t="s">
        <v>1054</v>
      </c>
      <c r="F850" s="1" t="s">
        <v>893</v>
      </c>
      <c r="H850" s="1" t="s">
        <v>456</v>
      </c>
      <c r="J850" s="37" t="s">
        <v>1626</v>
      </c>
      <c r="K850" s="1" t="s">
        <v>1175</v>
      </c>
    </row>
    <row r="851" spans="1:11" ht="43.2" x14ac:dyDescent="0.3">
      <c r="A851" s="1">
        <v>874</v>
      </c>
      <c r="B851" s="1" t="s">
        <v>394</v>
      </c>
      <c r="E851" s="1" t="s">
        <v>799</v>
      </c>
      <c r="F851" s="1" t="s">
        <v>784</v>
      </c>
      <c r="H851" s="1" t="s">
        <v>456</v>
      </c>
      <c r="J851" s="37" t="s">
        <v>1626</v>
      </c>
      <c r="K851" s="1" t="s">
        <v>1175</v>
      </c>
    </row>
    <row r="852" spans="1:11" ht="43.2" x14ac:dyDescent="0.3">
      <c r="A852" s="1">
        <v>875</v>
      </c>
      <c r="B852" s="1" t="s">
        <v>394</v>
      </c>
      <c r="E852" s="1" t="s">
        <v>1246</v>
      </c>
      <c r="F852" s="1" t="s">
        <v>466</v>
      </c>
      <c r="H852" s="1" t="s">
        <v>430</v>
      </c>
      <c r="J852" s="37" t="s">
        <v>1626</v>
      </c>
      <c r="K852" s="1" t="s">
        <v>1175</v>
      </c>
    </row>
    <row r="853" spans="1:11" ht="43.2" x14ac:dyDescent="0.3">
      <c r="A853" s="1">
        <v>876</v>
      </c>
      <c r="B853" s="1" t="s">
        <v>394</v>
      </c>
      <c r="E853" s="1" t="s">
        <v>742</v>
      </c>
      <c r="F853" s="1" t="s">
        <v>466</v>
      </c>
      <c r="H853" s="1" t="s">
        <v>430</v>
      </c>
      <c r="J853" s="37" t="s">
        <v>1626</v>
      </c>
      <c r="K853" s="1" t="s">
        <v>1175</v>
      </c>
    </row>
    <row r="854" spans="1:11" ht="43.2" x14ac:dyDescent="0.3">
      <c r="A854" s="1">
        <v>877</v>
      </c>
      <c r="B854" s="1" t="s">
        <v>395</v>
      </c>
      <c r="E854" s="1" t="s">
        <v>1246</v>
      </c>
      <c r="F854" s="1" t="s">
        <v>466</v>
      </c>
      <c r="H854" s="1" t="s">
        <v>1244</v>
      </c>
      <c r="J854" s="37" t="s">
        <v>1626</v>
      </c>
      <c r="K854" s="1" t="s">
        <v>1175</v>
      </c>
    </row>
    <row r="855" spans="1:11" ht="43.2" x14ac:dyDescent="0.3">
      <c r="A855" s="1">
        <v>878</v>
      </c>
      <c r="B855" s="1" t="s">
        <v>396</v>
      </c>
      <c r="E855" s="1" t="s">
        <v>1246</v>
      </c>
      <c r="F855" s="1" t="s">
        <v>466</v>
      </c>
      <c r="H855" s="1" t="s">
        <v>433</v>
      </c>
      <c r="J855" s="37" t="s">
        <v>1626</v>
      </c>
      <c r="K855" s="1" t="s">
        <v>1175</v>
      </c>
    </row>
    <row r="856" spans="1:11" ht="43.2" x14ac:dyDescent="0.3">
      <c r="A856" s="1">
        <v>879</v>
      </c>
      <c r="B856" s="1" t="s">
        <v>397</v>
      </c>
      <c r="E856" s="1" t="s">
        <v>1246</v>
      </c>
      <c r="F856" s="1" t="s">
        <v>466</v>
      </c>
      <c r="H856" s="1" t="s">
        <v>433</v>
      </c>
      <c r="J856" s="37" t="s">
        <v>1626</v>
      </c>
      <c r="K856" s="1" t="s">
        <v>1175</v>
      </c>
    </row>
    <row r="857" spans="1:11" ht="43.2" x14ac:dyDescent="0.3">
      <c r="A857" s="1">
        <v>880</v>
      </c>
      <c r="B857" s="1" t="s">
        <v>398</v>
      </c>
      <c r="E857" s="1" t="s">
        <v>1246</v>
      </c>
      <c r="F857" s="1" t="s">
        <v>466</v>
      </c>
      <c r="H857" s="1" t="s">
        <v>433</v>
      </c>
      <c r="J857" s="37" t="s">
        <v>1626</v>
      </c>
      <c r="K857" s="1" t="s">
        <v>1175</v>
      </c>
    </row>
    <row r="858" spans="1:11" ht="43.2" x14ac:dyDescent="0.3">
      <c r="A858" s="1">
        <v>881</v>
      </c>
      <c r="B858" s="1" t="s">
        <v>399</v>
      </c>
      <c r="E858" s="1" t="s">
        <v>1246</v>
      </c>
      <c r="F858" s="1" t="s">
        <v>466</v>
      </c>
      <c r="H858" s="1" t="s">
        <v>433</v>
      </c>
      <c r="J858" s="37" t="s">
        <v>1626</v>
      </c>
      <c r="K858" s="1" t="s">
        <v>1175</v>
      </c>
    </row>
    <row r="859" spans="1:11" ht="43.2" x14ac:dyDescent="0.3">
      <c r="A859" s="1">
        <v>882</v>
      </c>
      <c r="B859" s="1" t="s">
        <v>400</v>
      </c>
      <c r="E859" s="1" t="s">
        <v>1246</v>
      </c>
      <c r="F859" s="1" t="s">
        <v>466</v>
      </c>
      <c r="H859" s="1" t="s">
        <v>433</v>
      </c>
      <c r="J859" s="37" t="s">
        <v>1626</v>
      </c>
      <c r="K859" s="1" t="s">
        <v>1175</v>
      </c>
    </row>
    <row r="860" spans="1:11" ht="43.2" x14ac:dyDescent="0.3">
      <c r="A860" s="1">
        <v>883</v>
      </c>
      <c r="B860" s="1" t="s">
        <v>401</v>
      </c>
      <c r="E860" s="1" t="s">
        <v>1246</v>
      </c>
      <c r="F860" s="1" t="s">
        <v>466</v>
      </c>
      <c r="H860" s="1" t="s">
        <v>432</v>
      </c>
      <c r="J860" s="37" t="s">
        <v>1626</v>
      </c>
      <c r="K860" s="1" t="s">
        <v>1175</v>
      </c>
    </row>
    <row r="861" spans="1:11" ht="43.2" x14ac:dyDescent="0.3">
      <c r="A861" s="1">
        <v>884</v>
      </c>
      <c r="B861" s="1" t="s">
        <v>402</v>
      </c>
      <c r="E861" s="1" t="s">
        <v>1246</v>
      </c>
      <c r="F861" s="1" t="s">
        <v>466</v>
      </c>
      <c r="H861" s="1" t="s">
        <v>433</v>
      </c>
      <c r="J861" s="37" t="s">
        <v>1626</v>
      </c>
      <c r="K861" s="1" t="s">
        <v>1175</v>
      </c>
    </row>
    <row r="862" spans="1:11" ht="43.2" x14ac:dyDescent="0.3">
      <c r="A862" s="1">
        <v>885</v>
      </c>
      <c r="B862" s="1" t="s">
        <v>403</v>
      </c>
      <c r="E862" s="1" t="s">
        <v>1246</v>
      </c>
      <c r="F862" s="1" t="s">
        <v>466</v>
      </c>
      <c r="H862" s="1" t="s">
        <v>432</v>
      </c>
      <c r="J862" s="37" t="s">
        <v>1626</v>
      </c>
      <c r="K862" s="1" t="s">
        <v>1175</v>
      </c>
    </row>
    <row r="863" spans="1:11" ht="43.2" x14ac:dyDescent="0.3">
      <c r="A863" s="1">
        <v>886</v>
      </c>
      <c r="B863" s="1" t="s">
        <v>404</v>
      </c>
      <c r="E863" s="1" t="s">
        <v>1246</v>
      </c>
      <c r="F863" s="1" t="s">
        <v>466</v>
      </c>
      <c r="H863" s="1" t="s">
        <v>432</v>
      </c>
      <c r="J863" s="37" t="s">
        <v>1626</v>
      </c>
      <c r="K863" s="1" t="s">
        <v>1175</v>
      </c>
    </row>
    <row r="864" spans="1:11" ht="43.2" x14ac:dyDescent="0.3">
      <c r="A864" s="1">
        <v>887</v>
      </c>
      <c r="B864" s="1" t="s">
        <v>405</v>
      </c>
      <c r="E864" s="1" t="s">
        <v>1246</v>
      </c>
      <c r="F864" s="1" t="s">
        <v>466</v>
      </c>
      <c r="H864" s="1" t="s">
        <v>432</v>
      </c>
      <c r="J864" s="37" t="s">
        <v>1626</v>
      </c>
      <c r="K864" s="1" t="s">
        <v>1175</v>
      </c>
    </row>
    <row r="865" spans="1:11" ht="43.2" x14ac:dyDescent="0.3">
      <c r="A865" s="1">
        <v>888</v>
      </c>
      <c r="B865" s="1" t="s">
        <v>395</v>
      </c>
      <c r="E865" s="1" t="s">
        <v>742</v>
      </c>
      <c r="F865" s="1" t="s">
        <v>466</v>
      </c>
      <c r="H865" s="1" t="s">
        <v>740</v>
      </c>
      <c r="J865" s="37" t="s">
        <v>1626</v>
      </c>
      <c r="K865" s="1" t="s">
        <v>1175</v>
      </c>
    </row>
    <row r="866" spans="1:11" ht="43.2" x14ac:dyDescent="0.3">
      <c r="A866" s="1">
        <v>889</v>
      </c>
      <c r="B866" s="1" t="s">
        <v>396</v>
      </c>
      <c r="E866" s="1" t="s">
        <v>742</v>
      </c>
      <c r="F866" s="1" t="s">
        <v>466</v>
      </c>
      <c r="H866" s="1" t="s">
        <v>433</v>
      </c>
      <c r="J866" s="37" t="s">
        <v>1626</v>
      </c>
      <c r="K866" s="1" t="s">
        <v>1175</v>
      </c>
    </row>
    <row r="867" spans="1:11" ht="43.2" x14ac:dyDescent="0.3">
      <c r="A867" s="1">
        <v>890</v>
      </c>
      <c r="B867" s="1" t="s">
        <v>397</v>
      </c>
      <c r="E867" s="1" t="s">
        <v>742</v>
      </c>
      <c r="F867" s="1" t="s">
        <v>466</v>
      </c>
      <c r="H867" s="1" t="s">
        <v>432</v>
      </c>
      <c r="J867" s="37" t="s">
        <v>1626</v>
      </c>
      <c r="K867" s="1" t="s">
        <v>1175</v>
      </c>
    </row>
    <row r="868" spans="1:11" ht="43.2" x14ac:dyDescent="0.3">
      <c r="A868" s="1">
        <v>891</v>
      </c>
      <c r="B868" s="1" t="s">
        <v>398</v>
      </c>
      <c r="E868" s="1" t="s">
        <v>742</v>
      </c>
      <c r="F868" s="1" t="s">
        <v>466</v>
      </c>
      <c r="H868" s="1" t="s">
        <v>432</v>
      </c>
      <c r="J868" s="37" t="s">
        <v>1626</v>
      </c>
      <c r="K868" s="1" t="s">
        <v>1175</v>
      </c>
    </row>
    <row r="869" spans="1:11" ht="43.2" x14ac:dyDescent="0.3">
      <c r="A869" s="1">
        <v>892</v>
      </c>
      <c r="B869" s="1" t="s">
        <v>399</v>
      </c>
      <c r="E869" s="1" t="s">
        <v>742</v>
      </c>
      <c r="F869" s="1" t="s">
        <v>466</v>
      </c>
      <c r="H869" s="1" t="s">
        <v>433</v>
      </c>
      <c r="J869" s="37" t="s">
        <v>1626</v>
      </c>
      <c r="K869" s="1" t="s">
        <v>1175</v>
      </c>
    </row>
    <row r="870" spans="1:11" ht="43.2" x14ac:dyDescent="0.3">
      <c r="A870" s="1">
        <v>893</v>
      </c>
      <c r="B870" s="1" t="s">
        <v>400</v>
      </c>
      <c r="E870" s="1" t="s">
        <v>742</v>
      </c>
      <c r="F870" s="1" t="s">
        <v>466</v>
      </c>
      <c r="H870" s="1" t="s">
        <v>433</v>
      </c>
      <c r="J870" s="37" t="s">
        <v>1626</v>
      </c>
      <c r="K870" s="1" t="s">
        <v>1175</v>
      </c>
    </row>
    <row r="871" spans="1:11" ht="43.2" x14ac:dyDescent="0.3">
      <c r="A871" s="1">
        <v>894</v>
      </c>
      <c r="B871" s="1" t="s">
        <v>401</v>
      </c>
      <c r="E871" s="1" t="s">
        <v>742</v>
      </c>
      <c r="F871" s="1" t="s">
        <v>466</v>
      </c>
      <c r="H871" s="1" t="s">
        <v>432</v>
      </c>
      <c r="J871" s="37" t="s">
        <v>1626</v>
      </c>
      <c r="K871" s="1" t="s">
        <v>1175</v>
      </c>
    </row>
    <row r="872" spans="1:11" ht="43.2" x14ac:dyDescent="0.3">
      <c r="A872" s="1">
        <v>895</v>
      </c>
      <c r="B872" s="1" t="s">
        <v>402</v>
      </c>
      <c r="E872" s="1" t="s">
        <v>742</v>
      </c>
      <c r="F872" s="1" t="s">
        <v>466</v>
      </c>
      <c r="H872" s="1" t="s">
        <v>432</v>
      </c>
      <c r="J872" s="37" t="s">
        <v>1626</v>
      </c>
      <c r="K872" s="1" t="s">
        <v>1175</v>
      </c>
    </row>
    <row r="873" spans="1:11" ht="43.2" x14ac:dyDescent="0.3">
      <c r="A873" s="1">
        <v>896</v>
      </c>
      <c r="B873" s="1" t="s">
        <v>403</v>
      </c>
      <c r="E873" s="1" t="s">
        <v>742</v>
      </c>
      <c r="F873" s="1" t="s">
        <v>466</v>
      </c>
      <c r="H873" s="1" t="s">
        <v>432</v>
      </c>
      <c r="J873" s="37" t="s">
        <v>1626</v>
      </c>
      <c r="K873" s="1" t="s">
        <v>1175</v>
      </c>
    </row>
    <row r="874" spans="1:11" ht="43.2" x14ac:dyDescent="0.3">
      <c r="A874" s="1">
        <v>897</v>
      </c>
      <c r="B874" s="1" t="s">
        <v>404</v>
      </c>
      <c r="E874" s="1" t="s">
        <v>742</v>
      </c>
      <c r="F874" s="1" t="s">
        <v>466</v>
      </c>
      <c r="H874" s="1" t="s">
        <v>432</v>
      </c>
      <c r="J874" s="37" t="s">
        <v>1626</v>
      </c>
      <c r="K874" s="1" t="s">
        <v>1175</v>
      </c>
    </row>
    <row r="875" spans="1:11" ht="43.2" x14ac:dyDescent="0.3">
      <c r="A875" s="1">
        <v>898</v>
      </c>
      <c r="B875" s="1" t="s">
        <v>405</v>
      </c>
      <c r="E875" s="1" t="s">
        <v>742</v>
      </c>
      <c r="F875" s="1" t="s">
        <v>466</v>
      </c>
      <c r="H875" s="1" t="s">
        <v>432</v>
      </c>
      <c r="J875" s="37" t="s">
        <v>1626</v>
      </c>
      <c r="K875" s="1" t="s">
        <v>1175</v>
      </c>
    </row>
    <row r="876" spans="1:11" ht="43.2" x14ac:dyDescent="0.3">
      <c r="A876" s="1">
        <v>899</v>
      </c>
      <c r="B876" s="1" t="s">
        <v>407</v>
      </c>
      <c r="E876" s="1" t="s">
        <v>1246</v>
      </c>
      <c r="F876" s="1" t="s">
        <v>466</v>
      </c>
      <c r="H876" s="1" t="s">
        <v>430</v>
      </c>
      <c r="J876" s="37" t="s">
        <v>1626</v>
      </c>
      <c r="K876" s="1" t="s">
        <v>1175</v>
      </c>
    </row>
    <row r="877" spans="1:11" ht="43.2" x14ac:dyDescent="0.3">
      <c r="A877" s="1">
        <v>900</v>
      </c>
      <c r="B877" s="1" t="s">
        <v>407</v>
      </c>
      <c r="E877" s="1" t="s">
        <v>742</v>
      </c>
      <c r="F877" s="1" t="s">
        <v>466</v>
      </c>
      <c r="H877" s="1" t="s">
        <v>430</v>
      </c>
      <c r="J877" s="37" t="s">
        <v>1626</v>
      </c>
      <c r="K877" s="1" t="s">
        <v>1175</v>
      </c>
    </row>
    <row r="878" spans="1:11" ht="28.8" x14ac:dyDescent="0.3">
      <c r="A878" s="1">
        <v>901</v>
      </c>
      <c r="B878" s="1" t="s">
        <v>329</v>
      </c>
      <c r="E878" s="1" t="s">
        <v>1529</v>
      </c>
      <c r="F878" s="1" t="s">
        <v>633</v>
      </c>
      <c r="H878" s="1" t="s">
        <v>1425</v>
      </c>
      <c r="I878" s="1" t="s">
        <v>1627</v>
      </c>
      <c r="J878" s="37" t="s">
        <v>1628</v>
      </c>
      <c r="K878" s="1" t="s">
        <v>1175</v>
      </c>
    </row>
    <row r="879" spans="1:11" ht="28.8" x14ac:dyDescent="0.3">
      <c r="A879" s="1">
        <v>902</v>
      </c>
      <c r="B879" s="1" t="s">
        <v>330</v>
      </c>
      <c r="E879" s="1" t="s">
        <v>1529</v>
      </c>
      <c r="F879" s="1" t="s">
        <v>633</v>
      </c>
      <c r="H879" s="1" t="s">
        <v>1425</v>
      </c>
      <c r="I879" s="1" t="s">
        <v>1627</v>
      </c>
      <c r="J879" s="37" t="s">
        <v>1628</v>
      </c>
      <c r="K879" s="1" t="s">
        <v>1175</v>
      </c>
    </row>
    <row r="880" spans="1:11" ht="28.8" x14ac:dyDescent="0.3">
      <c r="A880" s="1">
        <v>903</v>
      </c>
      <c r="B880" s="1" t="s">
        <v>331</v>
      </c>
      <c r="E880" s="1" t="s">
        <v>1529</v>
      </c>
      <c r="F880" s="1" t="s">
        <v>633</v>
      </c>
      <c r="H880" s="1" t="s">
        <v>1425</v>
      </c>
      <c r="I880" s="1" t="s">
        <v>1627</v>
      </c>
      <c r="J880" s="37" t="s">
        <v>1628</v>
      </c>
      <c r="K880" s="1" t="s">
        <v>1175</v>
      </c>
    </row>
    <row r="881" spans="1:11" ht="28.8" x14ac:dyDescent="0.3">
      <c r="A881" s="1">
        <v>904</v>
      </c>
      <c r="B881" s="1" t="s">
        <v>332</v>
      </c>
      <c r="E881" s="1" t="s">
        <v>1529</v>
      </c>
      <c r="F881" s="1" t="s">
        <v>633</v>
      </c>
      <c r="H881" s="1" t="s">
        <v>1425</v>
      </c>
      <c r="I881" s="1" t="s">
        <v>1627</v>
      </c>
      <c r="J881" s="37" t="s">
        <v>1628</v>
      </c>
      <c r="K881" s="1" t="s">
        <v>1175</v>
      </c>
    </row>
    <row r="882" spans="1:11" ht="28.8" x14ac:dyDescent="0.3">
      <c r="A882" s="1">
        <v>905</v>
      </c>
      <c r="B882" s="1" t="s">
        <v>333</v>
      </c>
      <c r="E882" s="1" t="s">
        <v>1529</v>
      </c>
      <c r="F882" s="1" t="s">
        <v>633</v>
      </c>
      <c r="H882" s="1" t="s">
        <v>1425</v>
      </c>
      <c r="I882" s="1" t="s">
        <v>1627</v>
      </c>
      <c r="J882" s="37" t="s">
        <v>1628</v>
      </c>
      <c r="K882" s="1" t="s">
        <v>1175</v>
      </c>
    </row>
    <row r="883" spans="1:11" ht="28.8" x14ac:dyDescent="0.3">
      <c r="A883" s="1">
        <v>906</v>
      </c>
      <c r="B883" s="1" t="s">
        <v>334</v>
      </c>
      <c r="E883" s="1" t="s">
        <v>1529</v>
      </c>
      <c r="F883" s="1" t="s">
        <v>633</v>
      </c>
      <c r="H883" s="1" t="s">
        <v>1425</v>
      </c>
      <c r="I883" s="1" t="s">
        <v>1627</v>
      </c>
      <c r="J883" s="37" t="s">
        <v>1628</v>
      </c>
      <c r="K883" s="1" t="s">
        <v>1175</v>
      </c>
    </row>
    <row r="884" spans="1:11" ht="28.8" x14ac:dyDescent="0.3">
      <c r="A884" s="1">
        <v>907</v>
      </c>
      <c r="B884" s="1" t="s">
        <v>335</v>
      </c>
      <c r="E884" s="1" t="s">
        <v>1529</v>
      </c>
      <c r="F884" s="1" t="s">
        <v>633</v>
      </c>
      <c r="H884" s="1" t="s">
        <v>1425</v>
      </c>
      <c r="I884" s="1" t="s">
        <v>1627</v>
      </c>
      <c r="J884" s="37" t="s">
        <v>1628</v>
      </c>
      <c r="K884" s="1" t="s">
        <v>1175</v>
      </c>
    </row>
    <row r="885" spans="1:11" ht="28.8" x14ac:dyDescent="0.3">
      <c r="A885" s="1">
        <v>908</v>
      </c>
      <c r="B885" s="1" t="s">
        <v>336</v>
      </c>
      <c r="E885" s="1" t="s">
        <v>1529</v>
      </c>
      <c r="F885" s="1" t="s">
        <v>633</v>
      </c>
      <c r="H885" s="1" t="s">
        <v>1425</v>
      </c>
      <c r="I885" s="1" t="s">
        <v>1627</v>
      </c>
      <c r="J885" s="37" t="s">
        <v>1628</v>
      </c>
      <c r="K885" s="1" t="s">
        <v>1175</v>
      </c>
    </row>
    <row r="886" spans="1:11" ht="28.8" x14ac:dyDescent="0.3">
      <c r="A886" s="1">
        <v>909</v>
      </c>
      <c r="B886" s="1" t="s">
        <v>337</v>
      </c>
      <c r="E886" s="1" t="s">
        <v>1529</v>
      </c>
      <c r="F886" s="1" t="s">
        <v>633</v>
      </c>
      <c r="H886" s="1" t="s">
        <v>1425</v>
      </c>
      <c r="I886" s="1" t="s">
        <v>1627</v>
      </c>
      <c r="J886" s="37" t="s">
        <v>1628</v>
      </c>
      <c r="K886" s="1" t="s">
        <v>1175</v>
      </c>
    </row>
    <row r="887" spans="1:11" ht="28.8" x14ac:dyDescent="0.3">
      <c r="A887" s="1">
        <v>910</v>
      </c>
      <c r="B887" s="1" t="s">
        <v>338</v>
      </c>
      <c r="E887" s="1" t="s">
        <v>1529</v>
      </c>
      <c r="F887" s="1" t="s">
        <v>633</v>
      </c>
      <c r="H887" s="1" t="s">
        <v>1425</v>
      </c>
      <c r="I887" s="1" t="s">
        <v>1627</v>
      </c>
      <c r="J887" s="37" t="s">
        <v>1628</v>
      </c>
      <c r="K887" s="1" t="s">
        <v>1175</v>
      </c>
    </row>
    <row r="888" spans="1:11" ht="28.8" x14ac:dyDescent="0.3">
      <c r="A888" s="1">
        <v>911</v>
      </c>
      <c r="B888" s="1" t="s">
        <v>339</v>
      </c>
      <c r="E888" s="1" t="s">
        <v>1529</v>
      </c>
      <c r="F888" s="1" t="s">
        <v>633</v>
      </c>
      <c r="H888" s="1" t="s">
        <v>1425</v>
      </c>
      <c r="I888" s="1" t="s">
        <v>1627</v>
      </c>
      <c r="J888" s="37" t="s">
        <v>1628</v>
      </c>
      <c r="K888" s="1" t="s">
        <v>1175</v>
      </c>
    </row>
    <row r="889" spans="1:11" ht="28.8" x14ac:dyDescent="0.3">
      <c r="A889" s="1">
        <v>912</v>
      </c>
      <c r="B889" s="1" t="s">
        <v>329</v>
      </c>
      <c r="E889" s="1" t="s">
        <v>538</v>
      </c>
      <c r="F889" s="1" t="s">
        <v>423</v>
      </c>
      <c r="H889" s="1" t="s">
        <v>1425</v>
      </c>
      <c r="I889" s="1" t="s">
        <v>1627</v>
      </c>
      <c r="J889" s="37" t="s">
        <v>1628</v>
      </c>
      <c r="K889" s="1" t="s">
        <v>1175</v>
      </c>
    </row>
    <row r="890" spans="1:11" ht="28.8" x14ac:dyDescent="0.3">
      <c r="A890" s="1">
        <v>913</v>
      </c>
      <c r="B890" s="1" t="s">
        <v>330</v>
      </c>
      <c r="E890" s="1" t="s">
        <v>538</v>
      </c>
      <c r="F890" s="1" t="s">
        <v>423</v>
      </c>
      <c r="H890" s="1" t="s">
        <v>1425</v>
      </c>
      <c r="I890" s="1" t="s">
        <v>1627</v>
      </c>
      <c r="J890" s="37" t="s">
        <v>1628</v>
      </c>
      <c r="K890" s="1" t="s">
        <v>1175</v>
      </c>
    </row>
    <row r="891" spans="1:11" ht="28.8" x14ac:dyDescent="0.3">
      <c r="A891" s="1">
        <v>914</v>
      </c>
      <c r="B891" s="1" t="s">
        <v>331</v>
      </c>
      <c r="E891" s="1" t="s">
        <v>538</v>
      </c>
      <c r="F891" s="1" t="s">
        <v>423</v>
      </c>
      <c r="H891" s="1" t="s">
        <v>1425</v>
      </c>
      <c r="I891" s="1" t="s">
        <v>1627</v>
      </c>
      <c r="J891" s="37" t="s">
        <v>1628</v>
      </c>
      <c r="K891" s="1" t="s">
        <v>1175</v>
      </c>
    </row>
    <row r="892" spans="1:11" ht="28.8" x14ac:dyDescent="0.3">
      <c r="A892" s="1">
        <v>915</v>
      </c>
      <c r="B892" s="1" t="s">
        <v>332</v>
      </c>
      <c r="E892" s="1" t="s">
        <v>538</v>
      </c>
      <c r="F892" s="1" t="s">
        <v>423</v>
      </c>
      <c r="H892" s="1" t="s">
        <v>1425</v>
      </c>
      <c r="I892" s="1" t="s">
        <v>1627</v>
      </c>
      <c r="J892" s="37" t="s">
        <v>1628</v>
      </c>
      <c r="K892" s="1" t="s">
        <v>1175</v>
      </c>
    </row>
    <row r="893" spans="1:11" ht="28.8" x14ac:dyDescent="0.3">
      <c r="A893" s="1">
        <v>916</v>
      </c>
      <c r="B893" s="1" t="s">
        <v>333</v>
      </c>
      <c r="E893" s="1" t="s">
        <v>538</v>
      </c>
      <c r="F893" s="1" t="s">
        <v>423</v>
      </c>
      <c r="H893" s="1" t="s">
        <v>1425</v>
      </c>
      <c r="I893" s="1" t="s">
        <v>1627</v>
      </c>
      <c r="J893" s="37" t="s">
        <v>1628</v>
      </c>
      <c r="K893" s="1" t="s">
        <v>1175</v>
      </c>
    </row>
    <row r="894" spans="1:11" ht="28.8" x14ac:dyDescent="0.3">
      <c r="A894" s="1">
        <v>917</v>
      </c>
      <c r="B894" s="1" t="s">
        <v>334</v>
      </c>
      <c r="E894" s="1" t="s">
        <v>538</v>
      </c>
      <c r="F894" s="1" t="s">
        <v>423</v>
      </c>
      <c r="H894" s="1" t="s">
        <v>1425</v>
      </c>
      <c r="I894" s="1" t="s">
        <v>1627</v>
      </c>
      <c r="J894" s="37" t="s">
        <v>1628</v>
      </c>
      <c r="K894" s="1" t="s">
        <v>1175</v>
      </c>
    </row>
    <row r="895" spans="1:11" ht="28.8" x14ac:dyDescent="0.3">
      <c r="A895" s="1">
        <v>918</v>
      </c>
      <c r="B895" s="1" t="s">
        <v>335</v>
      </c>
      <c r="E895" s="1" t="s">
        <v>538</v>
      </c>
      <c r="F895" s="1" t="s">
        <v>423</v>
      </c>
      <c r="H895" s="1" t="s">
        <v>1425</v>
      </c>
      <c r="I895" s="1" t="s">
        <v>1627</v>
      </c>
      <c r="J895" s="37" t="s">
        <v>1628</v>
      </c>
      <c r="K895" s="1" t="s">
        <v>1175</v>
      </c>
    </row>
    <row r="896" spans="1:11" ht="28.8" x14ac:dyDescent="0.3">
      <c r="A896" s="1">
        <v>919</v>
      </c>
      <c r="B896" s="1" t="s">
        <v>336</v>
      </c>
      <c r="E896" s="1" t="s">
        <v>538</v>
      </c>
      <c r="F896" s="1" t="s">
        <v>423</v>
      </c>
      <c r="H896" s="1" t="s">
        <v>1425</v>
      </c>
      <c r="I896" s="1" t="s">
        <v>1627</v>
      </c>
      <c r="J896" s="37" t="s">
        <v>1628</v>
      </c>
      <c r="K896" s="1" t="s">
        <v>1175</v>
      </c>
    </row>
    <row r="897" spans="1:11" ht="28.8" x14ac:dyDescent="0.3">
      <c r="A897" s="1">
        <v>920</v>
      </c>
      <c r="B897" s="1" t="s">
        <v>337</v>
      </c>
      <c r="E897" s="1" t="s">
        <v>538</v>
      </c>
      <c r="F897" s="1" t="s">
        <v>423</v>
      </c>
      <c r="H897" s="1" t="s">
        <v>1425</v>
      </c>
      <c r="I897" s="1" t="s">
        <v>1627</v>
      </c>
      <c r="J897" s="37" t="s">
        <v>1628</v>
      </c>
      <c r="K897" s="1" t="s">
        <v>1175</v>
      </c>
    </row>
    <row r="898" spans="1:11" ht="28.8" x14ac:dyDescent="0.3">
      <c r="A898" s="1">
        <v>921</v>
      </c>
      <c r="B898" s="1" t="s">
        <v>338</v>
      </c>
      <c r="E898" s="1" t="s">
        <v>538</v>
      </c>
      <c r="F898" s="1" t="s">
        <v>423</v>
      </c>
      <c r="H898" s="1" t="s">
        <v>1425</v>
      </c>
      <c r="I898" s="1" t="s">
        <v>1627</v>
      </c>
      <c r="J898" s="37" t="s">
        <v>1628</v>
      </c>
      <c r="K898" s="1" t="s">
        <v>1175</v>
      </c>
    </row>
    <row r="899" spans="1:11" ht="28.8" x14ac:dyDescent="0.3">
      <c r="A899" s="1">
        <v>922</v>
      </c>
      <c r="B899" s="1" t="s">
        <v>339</v>
      </c>
      <c r="E899" s="1" t="s">
        <v>538</v>
      </c>
      <c r="F899" s="1" t="s">
        <v>423</v>
      </c>
      <c r="H899" s="1" t="s">
        <v>1425</v>
      </c>
      <c r="I899" s="1" t="s">
        <v>1627</v>
      </c>
      <c r="J899" s="37" t="s">
        <v>1628</v>
      </c>
      <c r="K899" s="1" t="s">
        <v>1175</v>
      </c>
    </row>
    <row r="900" spans="1:11" ht="28.8" x14ac:dyDescent="0.3">
      <c r="A900" s="1">
        <v>923</v>
      </c>
      <c r="B900" s="1" t="s">
        <v>329</v>
      </c>
      <c r="E900" s="1" t="s">
        <v>1013</v>
      </c>
      <c r="F900" s="1" t="s">
        <v>981</v>
      </c>
      <c r="H900" s="1" t="s">
        <v>1425</v>
      </c>
      <c r="I900" s="1" t="s">
        <v>1627</v>
      </c>
      <c r="J900" s="37" t="s">
        <v>1628</v>
      </c>
      <c r="K900" s="1" t="s">
        <v>1175</v>
      </c>
    </row>
    <row r="901" spans="1:11" ht="28.8" x14ac:dyDescent="0.3">
      <c r="A901" s="1">
        <v>924</v>
      </c>
      <c r="B901" s="1" t="s">
        <v>330</v>
      </c>
      <c r="E901" s="1" t="s">
        <v>1013</v>
      </c>
      <c r="F901" s="1" t="s">
        <v>981</v>
      </c>
      <c r="H901" s="1" t="s">
        <v>1425</v>
      </c>
      <c r="I901" s="1" t="s">
        <v>1627</v>
      </c>
      <c r="J901" s="37" t="s">
        <v>1628</v>
      </c>
      <c r="K901" s="1" t="s">
        <v>1175</v>
      </c>
    </row>
    <row r="902" spans="1:11" ht="28.8" x14ac:dyDescent="0.3">
      <c r="A902" s="1">
        <v>925</v>
      </c>
      <c r="B902" s="1" t="s">
        <v>331</v>
      </c>
      <c r="E902" s="1" t="s">
        <v>1013</v>
      </c>
      <c r="F902" s="1" t="s">
        <v>981</v>
      </c>
      <c r="H902" s="1" t="s">
        <v>1425</v>
      </c>
      <c r="I902" s="1" t="s">
        <v>1627</v>
      </c>
      <c r="J902" s="37" t="s">
        <v>1628</v>
      </c>
      <c r="K902" s="1" t="s">
        <v>1175</v>
      </c>
    </row>
    <row r="903" spans="1:11" ht="28.8" x14ac:dyDescent="0.3">
      <c r="A903" s="1">
        <v>926</v>
      </c>
      <c r="B903" s="1" t="s">
        <v>332</v>
      </c>
      <c r="E903" s="1" t="s">
        <v>1013</v>
      </c>
      <c r="F903" s="1" t="s">
        <v>981</v>
      </c>
      <c r="H903" s="1" t="s">
        <v>1425</v>
      </c>
      <c r="I903" s="1" t="s">
        <v>1627</v>
      </c>
      <c r="J903" s="37" t="s">
        <v>1628</v>
      </c>
      <c r="K903" s="1" t="s">
        <v>1175</v>
      </c>
    </row>
    <row r="904" spans="1:11" ht="28.8" x14ac:dyDescent="0.3">
      <c r="A904" s="1">
        <v>927</v>
      </c>
      <c r="B904" s="1" t="s">
        <v>333</v>
      </c>
      <c r="E904" s="1" t="s">
        <v>1013</v>
      </c>
      <c r="F904" s="1" t="s">
        <v>981</v>
      </c>
      <c r="H904" s="1" t="s">
        <v>1425</v>
      </c>
      <c r="I904" s="1" t="s">
        <v>1627</v>
      </c>
      <c r="J904" s="37" t="s">
        <v>1628</v>
      </c>
      <c r="K904" s="1" t="s">
        <v>1175</v>
      </c>
    </row>
    <row r="905" spans="1:11" ht="28.8" x14ac:dyDescent="0.3">
      <c r="A905" s="1">
        <v>928</v>
      </c>
      <c r="B905" s="1" t="s">
        <v>334</v>
      </c>
      <c r="E905" s="1" t="s">
        <v>1013</v>
      </c>
      <c r="F905" s="1" t="s">
        <v>981</v>
      </c>
      <c r="H905" s="1" t="s">
        <v>1425</v>
      </c>
      <c r="I905" s="1" t="s">
        <v>1627</v>
      </c>
      <c r="J905" s="37" t="s">
        <v>1628</v>
      </c>
      <c r="K905" s="1" t="s">
        <v>1175</v>
      </c>
    </row>
    <row r="906" spans="1:11" ht="28.8" x14ac:dyDescent="0.3">
      <c r="A906" s="1">
        <v>929</v>
      </c>
      <c r="B906" s="1" t="s">
        <v>335</v>
      </c>
      <c r="E906" s="1" t="s">
        <v>1013</v>
      </c>
      <c r="F906" s="1" t="s">
        <v>981</v>
      </c>
      <c r="H906" s="1" t="s">
        <v>1425</v>
      </c>
      <c r="I906" s="1" t="s">
        <v>1627</v>
      </c>
      <c r="J906" s="37" t="s">
        <v>1628</v>
      </c>
      <c r="K906" s="1" t="s">
        <v>1175</v>
      </c>
    </row>
    <row r="907" spans="1:11" ht="28.8" x14ac:dyDescent="0.3">
      <c r="A907" s="1">
        <v>930</v>
      </c>
      <c r="B907" s="1" t="s">
        <v>336</v>
      </c>
      <c r="E907" s="1" t="s">
        <v>1013</v>
      </c>
      <c r="F907" s="1" t="s">
        <v>981</v>
      </c>
      <c r="H907" s="1" t="s">
        <v>1425</v>
      </c>
      <c r="I907" s="1" t="s">
        <v>1627</v>
      </c>
      <c r="J907" s="37" t="s">
        <v>1628</v>
      </c>
      <c r="K907" s="1" t="s">
        <v>1175</v>
      </c>
    </row>
    <row r="908" spans="1:11" ht="28.8" x14ac:dyDescent="0.3">
      <c r="A908" s="1">
        <v>931</v>
      </c>
      <c r="B908" s="1" t="s">
        <v>337</v>
      </c>
      <c r="E908" s="1" t="s">
        <v>1013</v>
      </c>
      <c r="F908" s="1" t="s">
        <v>981</v>
      </c>
      <c r="H908" s="1" t="s">
        <v>1425</v>
      </c>
      <c r="I908" s="1" t="s">
        <v>1627</v>
      </c>
      <c r="J908" s="37" t="s">
        <v>1628</v>
      </c>
      <c r="K908" s="1" t="s">
        <v>1175</v>
      </c>
    </row>
    <row r="909" spans="1:11" ht="28.8" x14ac:dyDescent="0.3">
      <c r="A909" s="1">
        <v>932</v>
      </c>
      <c r="B909" s="1" t="s">
        <v>338</v>
      </c>
      <c r="E909" s="1" t="s">
        <v>1013</v>
      </c>
      <c r="F909" s="1" t="s">
        <v>981</v>
      </c>
      <c r="H909" s="1" t="s">
        <v>1425</v>
      </c>
      <c r="I909" s="1" t="s">
        <v>1627</v>
      </c>
      <c r="J909" s="37" t="s">
        <v>1628</v>
      </c>
      <c r="K909" s="1" t="s">
        <v>1175</v>
      </c>
    </row>
    <row r="910" spans="1:11" ht="28.8" x14ac:dyDescent="0.3">
      <c r="A910" s="1">
        <v>933</v>
      </c>
      <c r="B910" s="1" t="s">
        <v>339</v>
      </c>
      <c r="E910" s="1" t="s">
        <v>1013</v>
      </c>
      <c r="F910" s="1" t="s">
        <v>981</v>
      </c>
      <c r="H910" s="1" t="s">
        <v>1425</v>
      </c>
      <c r="I910" s="1" t="s">
        <v>1627</v>
      </c>
      <c r="J910" s="37" t="s">
        <v>1628</v>
      </c>
      <c r="K910" s="1" t="s">
        <v>1175</v>
      </c>
    </row>
    <row r="911" spans="1:11" ht="28.8" x14ac:dyDescent="0.3">
      <c r="A911" s="1">
        <v>934</v>
      </c>
      <c r="B911" s="1" t="s">
        <v>329</v>
      </c>
      <c r="E911" s="1" t="s">
        <v>959</v>
      </c>
      <c r="F911" s="1" t="s">
        <v>423</v>
      </c>
      <c r="H911" s="1" t="s">
        <v>1425</v>
      </c>
      <c r="I911" s="1" t="s">
        <v>1627</v>
      </c>
      <c r="J911" s="37" t="s">
        <v>1628</v>
      </c>
      <c r="K911" s="1" t="s">
        <v>1175</v>
      </c>
    </row>
    <row r="912" spans="1:11" ht="28.8" x14ac:dyDescent="0.3">
      <c r="A912" s="1">
        <v>935</v>
      </c>
      <c r="B912" s="1" t="s">
        <v>330</v>
      </c>
      <c r="E912" s="1" t="s">
        <v>959</v>
      </c>
      <c r="F912" s="1" t="s">
        <v>423</v>
      </c>
      <c r="H912" s="1" t="s">
        <v>1425</v>
      </c>
      <c r="I912" s="1" t="s">
        <v>1627</v>
      </c>
      <c r="J912" s="37" t="s">
        <v>1628</v>
      </c>
      <c r="K912" s="1" t="s">
        <v>1175</v>
      </c>
    </row>
    <row r="913" spans="1:11" ht="28.8" x14ac:dyDescent="0.3">
      <c r="A913" s="1">
        <v>936</v>
      </c>
      <c r="B913" s="1" t="s">
        <v>331</v>
      </c>
      <c r="E913" s="1" t="s">
        <v>959</v>
      </c>
      <c r="F913" s="1" t="s">
        <v>423</v>
      </c>
      <c r="H913" s="1" t="s">
        <v>1425</v>
      </c>
      <c r="I913" s="1" t="s">
        <v>1627</v>
      </c>
      <c r="J913" s="37" t="s">
        <v>1628</v>
      </c>
      <c r="K913" s="1" t="s">
        <v>1175</v>
      </c>
    </row>
    <row r="914" spans="1:11" ht="28.8" x14ac:dyDescent="0.3">
      <c r="A914" s="1">
        <v>937</v>
      </c>
      <c r="B914" s="1" t="s">
        <v>332</v>
      </c>
      <c r="E914" s="1" t="s">
        <v>959</v>
      </c>
      <c r="F914" s="1" t="s">
        <v>423</v>
      </c>
      <c r="H914" s="1" t="s">
        <v>1425</v>
      </c>
      <c r="I914" s="1" t="s">
        <v>1627</v>
      </c>
      <c r="J914" s="37" t="s">
        <v>1628</v>
      </c>
      <c r="K914" s="1" t="s">
        <v>1175</v>
      </c>
    </row>
    <row r="915" spans="1:11" ht="28.8" x14ac:dyDescent="0.3">
      <c r="A915" s="1">
        <v>938</v>
      </c>
      <c r="B915" s="1" t="s">
        <v>333</v>
      </c>
      <c r="E915" s="1" t="s">
        <v>959</v>
      </c>
      <c r="F915" s="1" t="s">
        <v>423</v>
      </c>
      <c r="H915" s="1" t="s">
        <v>1425</v>
      </c>
      <c r="I915" s="1" t="s">
        <v>1627</v>
      </c>
      <c r="J915" s="37" t="s">
        <v>1628</v>
      </c>
      <c r="K915" s="1" t="s">
        <v>1175</v>
      </c>
    </row>
    <row r="916" spans="1:11" ht="28.8" x14ac:dyDescent="0.3">
      <c r="A916" s="1">
        <v>939</v>
      </c>
      <c r="B916" s="1" t="s">
        <v>334</v>
      </c>
      <c r="E916" s="1" t="s">
        <v>959</v>
      </c>
      <c r="F916" s="1" t="s">
        <v>423</v>
      </c>
      <c r="H916" s="1" t="s">
        <v>1425</v>
      </c>
      <c r="I916" s="1" t="s">
        <v>1627</v>
      </c>
      <c r="J916" s="37" t="s">
        <v>1628</v>
      </c>
      <c r="K916" s="1" t="s">
        <v>1175</v>
      </c>
    </row>
    <row r="917" spans="1:11" ht="28.8" x14ac:dyDescent="0.3">
      <c r="A917" s="1">
        <v>940</v>
      </c>
      <c r="B917" s="1" t="s">
        <v>335</v>
      </c>
      <c r="E917" s="1" t="s">
        <v>959</v>
      </c>
      <c r="F917" s="1" t="s">
        <v>423</v>
      </c>
      <c r="H917" s="1" t="s">
        <v>1425</v>
      </c>
      <c r="I917" s="1" t="s">
        <v>1627</v>
      </c>
      <c r="J917" s="37" t="s">
        <v>1628</v>
      </c>
      <c r="K917" s="1" t="s">
        <v>1175</v>
      </c>
    </row>
    <row r="918" spans="1:11" ht="28.8" x14ac:dyDescent="0.3">
      <c r="A918" s="1">
        <v>941</v>
      </c>
      <c r="B918" s="1" t="s">
        <v>336</v>
      </c>
      <c r="E918" s="1" t="s">
        <v>959</v>
      </c>
      <c r="F918" s="1" t="s">
        <v>423</v>
      </c>
      <c r="H918" s="1" t="s">
        <v>1425</v>
      </c>
      <c r="I918" s="1" t="s">
        <v>1627</v>
      </c>
      <c r="J918" s="37" t="s">
        <v>1628</v>
      </c>
      <c r="K918" s="1" t="s">
        <v>1175</v>
      </c>
    </row>
    <row r="919" spans="1:11" ht="28.8" x14ac:dyDescent="0.3">
      <c r="A919" s="1">
        <v>942</v>
      </c>
      <c r="B919" s="1" t="s">
        <v>337</v>
      </c>
      <c r="E919" s="1" t="s">
        <v>959</v>
      </c>
      <c r="F919" s="1" t="s">
        <v>423</v>
      </c>
      <c r="H919" s="1" t="s">
        <v>1425</v>
      </c>
      <c r="I919" s="1" t="s">
        <v>1627</v>
      </c>
      <c r="J919" s="37" t="s">
        <v>1628</v>
      </c>
      <c r="K919" s="1" t="s">
        <v>1175</v>
      </c>
    </row>
    <row r="920" spans="1:11" ht="28.8" x14ac:dyDescent="0.3">
      <c r="A920" s="1">
        <v>943</v>
      </c>
      <c r="B920" s="1" t="s">
        <v>338</v>
      </c>
      <c r="E920" s="1" t="s">
        <v>959</v>
      </c>
      <c r="F920" s="1" t="s">
        <v>423</v>
      </c>
      <c r="H920" s="1" t="s">
        <v>1425</v>
      </c>
      <c r="I920" s="1" t="s">
        <v>1627</v>
      </c>
      <c r="J920" s="37" t="s">
        <v>1628</v>
      </c>
      <c r="K920" s="1" t="s">
        <v>1175</v>
      </c>
    </row>
    <row r="921" spans="1:11" ht="28.8" x14ac:dyDescent="0.3">
      <c r="A921" s="1">
        <v>944</v>
      </c>
      <c r="B921" s="1" t="s">
        <v>339</v>
      </c>
      <c r="E921" s="1" t="s">
        <v>959</v>
      </c>
      <c r="F921" s="1" t="s">
        <v>423</v>
      </c>
      <c r="H921" s="1" t="s">
        <v>1425</v>
      </c>
      <c r="I921" s="1" t="s">
        <v>1627</v>
      </c>
      <c r="J921" s="37" t="s">
        <v>1628</v>
      </c>
      <c r="K921" s="1" t="s">
        <v>1175</v>
      </c>
    </row>
    <row r="922" spans="1:11" ht="28.8" x14ac:dyDescent="0.3">
      <c r="A922" s="1">
        <v>945</v>
      </c>
      <c r="B922" s="1" t="s">
        <v>329</v>
      </c>
      <c r="E922" s="1" t="s">
        <v>976</v>
      </c>
      <c r="F922" s="1" t="s">
        <v>423</v>
      </c>
      <c r="H922" s="1" t="s">
        <v>1425</v>
      </c>
      <c r="I922" s="1" t="s">
        <v>1627</v>
      </c>
      <c r="J922" s="37" t="s">
        <v>1628</v>
      </c>
      <c r="K922" s="1" t="s">
        <v>1175</v>
      </c>
    </row>
    <row r="923" spans="1:11" ht="28.8" x14ac:dyDescent="0.3">
      <c r="A923" s="1">
        <v>946</v>
      </c>
      <c r="B923" s="1" t="s">
        <v>330</v>
      </c>
      <c r="E923" s="1" t="s">
        <v>976</v>
      </c>
      <c r="F923" s="1" t="s">
        <v>423</v>
      </c>
      <c r="H923" s="1" t="s">
        <v>1425</v>
      </c>
      <c r="I923" s="1" t="s">
        <v>1627</v>
      </c>
      <c r="J923" s="37" t="s">
        <v>1628</v>
      </c>
      <c r="K923" s="1" t="s">
        <v>1175</v>
      </c>
    </row>
    <row r="924" spans="1:11" ht="28.8" x14ac:dyDescent="0.3">
      <c r="A924" s="1">
        <v>947</v>
      </c>
      <c r="B924" s="1" t="s">
        <v>331</v>
      </c>
      <c r="E924" s="1" t="s">
        <v>976</v>
      </c>
      <c r="F924" s="1" t="s">
        <v>423</v>
      </c>
      <c r="H924" s="1" t="s">
        <v>1425</v>
      </c>
      <c r="I924" s="1" t="s">
        <v>1627</v>
      </c>
      <c r="J924" s="37" t="s">
        <v>1628</v>
      </c>
      <c r="K924" s="1" t="s">
        <v>1175</v>
      </c>
    </row>
    <row r="925" spans="1:11" ht="28.8" x14ac:dyDescent="0.3">
      <c r="A925" s="1">
        <v>948</v>
      </c>
      <c r="B925" s="1" t="s">
        <v>332</v>
      </c>
      <c r="E925" s="1" t="s">
        <v>976</v>
      </c>
      <c r="F925" s="1" t="s">
        <v>423</v>
      </c>
      <c r="H925" s="1" t="s">
        <v>1425</v>
      </c>
      <c r="I925" s="1" t="s">
        <v>1627</v>
      </c>
      <c r="J925" s="37" t="s">
        <v>1628</v>
      </c>
      <c r="K925" s="1" t="s">
        <v>1175</v>
      </c>
    </row>
    <row r="926" spans="1:11" ht="28.8" x14ac:dyDescent="0.3">
      <c r="A926" s="1">
        <v>949</v>
      </c>
      <c r="B926" s="1" t="s">
        <v>333</v>
      </c>
      <c r="E926" s="1" t="s">
        <v>976</v>
      </c>
      <c r="F926" s="1" t="s">
        <v>423</v>
      </c>
      <c r="H926" s="1" t="s">
        <v>1425</v>
      </c>
      <c r="I926" s="1" t="s">
        <v>1627</v>
      </c>
      <c r="J926" s="37" t="s">
        <v>1628</v>
      </c>
      <c r="K926" s="1" t="s">
        <v>1175</v>
      </c>
    </row>
    <row r="927" spans="1:11" ht="28.8" x14ac:dyDescent="0.3">
      <c r="A927" s="1">
        <v>950</v>
      </c>
      <c r="B927" s="1" t="s">
        <v>334</v>
      </c>
      <c r="E927" s="1" t="s">
        <v>976</v>
      </c>
      <c r="F927" s="1" t="s">
        <v>423</v>
      </c>
      <c r="H927" s="1" t="s">
        <v>1425</v>
      </c>
      <c r="I927" s="1" t="s">
        <v>1627</v>
      </c>
      <c r="J927" s="37" t="s">
        <v>1628</v>
      </c>
      <c r="K927" s="1" t="s">
        <v>1175</v>
      </c>
    </row>
    <row r="928" spans="1:11" ht="28.8" x14ac:dyDescent="0.3">
      <c r="A928" s="1">
        <v>951</v>
      </c>
      <c r="B928" s="1" t="s">
        <v>335</v>
      </c>
      <c r="E928" s="1" t="s">
        <v>976</v>
      </c>
      <c r="F928" s="1" t="s">
        <v>423</v>
      </c>
      <c r="H928" s="1" t="s">
        <v>1425</v>
      </c>
      <c r="I928" s="1" t="s">
        <v>1627</v>
      </c>
      <c r="J928" s="37" t="s">
        <v>1628</v>
      </c>
      <c r="K928" s="1" t="s">
        <v>1175</v>
      </c>
    </row>
    <row r="929" spans="1:11" ht="28.8" x14ac:dyDescent="0.3">
      <c r="A929" s="1">
        <v>952</v>
      </c>
      <c r="B929" s="1" t="s">
        <v>336</v>
      </c>
      <c r="E929" s="1" t="s">
        <v>976</v>
      </c>
      <c r="F929" s="1" t="s">
        <v>423</v>
      </c>
      <c r="H929" s="1" t="s">
        <v>1425</v>
      </c>
      <c r="I929" s="1" t="s">
        <v>1627</v>
      </c>
      <c r="J929" s="37" t="s">
        <v>1628</v>
      </c>
      <c r="K929" s="1" t="s">
        <v>1175</v>
      </c>
    </row>
    <row r="930" spans="1:11" ht="28.8" x14ac:dyDescent="0.3">
      <c r="A930" s="1">
        <v>953</v>
      </c>
      <c r="B930" s="1" t="s">
        <v>337</v>
      </c>
      <c r="E930" s="1" t="s">
        <v>976</v>
      </c>
      <c r="F930" s="1" t="s">
        <v>423</v>
      </c>
      <c r="H930" s="1" t="s">
        <v>1425</v>
      </c>
      <c r="I930" s="1" t="s">
        <v>1627</v>
      </c>
      <c r="J930" s="37" t="s">
        <v>1628</v>
      </c>
      <c r="K930" s="1" t="s">
        <v>1175</v>
      </c>
    </row>
    <row r="931" spans="1:11" ht="28.8" x14ac:dyDescent="0.3">
      <c r="A931" s="1">
        <v>954</v>
      </c>
      <c r="B931" s="1" t="s">
        <v>338</v>
      </c>
      <c r="E931" s="1" t="s">
        <v>976</v>
      </c>
      <c r="F931" s="1" t="s">
        <v>423</v>
      </c>
      <c r="H931" s="1" t="s">
        <v>1425</v>
      </c>
      <c r="I931" s="1" t="s">
        <v>1627</v>
      </c>
      <c r="J931" s="37" t="s">
        <v>1628</v>
      </c>
      <c r="K931" s="1" t="s">
        <v>1175</v>
      </c>
    </row>
    <row r="932" spans="1:11" ht="28.8" x14ac:dyDescent="0.3">
      <c r="A932" s="1">
        <v>955</v>
      </c>
      <c r="B932" s="1" t="s">
        <v>339</v>
      </c>
      <c r="E932" s="1" t="s">
        <v>976</v>
      </c>
      <c r="F932" s="1" t="s">
        <v>423</v>
      </c>
      <c r="H932" s="1" t="s">
        <v>1425</v>
      </c>
      <c r="I932" s="1" t="s">
        <v>1627</v>
      </c>
      <c r="J932" s="37" t="s">
        <v>1628</v>
      </c>
      <c r="K932" s="1" t="s">
        <v>1175</v>
      </c>
    </row>
    <row r="933" spans="1:11" ht="28.8" x14ac:dyDescent="0.3">
      <c r="A933" s="1">
        <v>956</v>
      </c>
      <c r="B933" s="1" t="s">
        <v>329</v>
      </c>
      <c r="E933" s="1" t="s">
        <v>1029</v>
      </c>
      <c r="F933" s="1" t="s">
        <v>981</v>
      </c>
      <c r="H933" s="1" t="s">
        <v>1425</v>
      </c>
      <c r="I933" s="1" t="s">
        <v>1627</v>
      </c>
      <c r="J933" s="37" t="s">
        <v>1628</v>
      </c>
      <c r="K933" s="1" t="s">
        <v>1175</v>
      </c>
    </row>
    <row r="934" spans="1:11" ht="28.8" x14ac:dyDescent="0.3">
      <c r="A934" s="1">
        <v>957</v>
      </c>
      <c r="B934" s="1" t="s">
        <v>330</v>
      </c>
      <c r="E934" s="1" t="s">
        <v>1029</v>
      </c>
      <c r="F934" s="1" t="s">
        <v>981</v>
      </c>
      <c r="H934" s="1" t="s">
        <v>1425</v>
      </c>
      <c r="I934" s="1" t="s">
        <v>1627</v>
      </c>
      <c r="J934" s="37" t="s">
        <v>1628</v>
      </c>
      <c r="K934" s="1" t="s">
        <v>1175</v>
      </c>
    </row>
    <row r="935" spans="1:11" ht="28.8" x14ac:dyDescent="0.3">
      <c r="A935" s="1">
        <v>958</v>
      </c>
      <c r="B935" s="1" t="s">
        <v>331</v>
      </c>
      <c r="E935" s="1" t="s">
        <v>1029</v>
      </c>
      <c r="F935" s="1" t="s">
        <v>981</v>
      </c>
      <c r="H935" s="1" t="s">
        <v>1425</v>
      </c>
      <c r="I935" s="1" t="s">
        <v>1627</v>
      </c>
      <c r="J935" s="37" t="s">
        <v>1628</v>
      </c>
      <c r="K935" s="1" t="s">
        <v>1175</v>
      </c>
    </row>
    <row r="936" spans="1:11" ht="28.8" x14ac:dyDescent="0.3">
      <c r="A936" s="1">
        <v>959</v>
      </c>
      <c r="B936" s="1" t="s">
        <v>332</v>
      </c>
      <c r="E936" s="1" t="s">
        <v>1029</v>
      </c>
      <c r="F936" s="1" t="s">
        <v>981</v>
      </c>
      <c r="H936" s="1" t="s">
        <v>1425</v>
      </c>
      <c r="I936" s="1" t="s">
        <v>1627</v>
      </c>
      <c r="J936" s="37" t="s">
        <v>1628</v>
      </c>
      <c r="K936" s="1" t="s">
        <v>1175</v>
      </c>
    </row>
    <row r="937" spans="1:11" ht="28.8" x14ac:dyDescent="0.3">
      <c r="A937" s="1">
        <v>960</v>
      </c>
      <c r="B937" s="1" t="s">
        <v>333</v>
      </c>
      <c r="E937" s="1" t="s">
        <v>1029</v>
      </c>
      <c r="F937" s="1" t="s">
        <v>981</v>
      </c>
      <c r="H937" s="1" t="s">
        <v>1425</v>
      </c>
      <c r="I937" s="1" t="s">
        <v>1627</v>
      </c>
      <c r="J937" s="37" t="s">
        <v>1628</v>
      </c>
      <c r="K937" s="1" t="s">
        <v>1175</v>
      </c>
    </row>
    <row r="938" spans="1:11" ht="28.8" x14ac:dyDescent="0.3">
      <c r="A938" s="1">
        <v>961</v>
      </c>
      <c r="B938" s="1" t="s">
        <v>334</v>
      </c>
      <c r="E938" s="1" t="s">
        <v>1029</v>
      </c>
      <c r="F938" s="1" t="s">
        <v>981</v>
      </c>
      <c r="H938" s="1" t="s">
        <v>1425</v>
      </c>
      <c r="I938" s="1" t="s">
        <v>1627</v>
      </c>
      <c r="J938" s="37" t="s">
        <v>1628</v>
      </c>
      <c r="K938" s="1" t="s">
        <v>1175</v>
      </c>
    </row>
    <row r="939" spans="1:11" ht="28.8" x14ac:dyDescent="0.3">
      <c r="A939" s="1">
        <v>962</v>
      </c>
      <c r="B939" s="1" t="s">
        <v>335</v>
      </c>
      <c r="E939" s="1" t="s">
        <v>1029</v>
      </c>
      <c r="F939" s="1" t="s">
        <v>981</v>
      </c>
      <c r="H939" s="1" t="s">
        <v>1425</v>
      </c>
      <c r="I939" s="1" t="s">
        <v>1627</v>
      </c>
      <c r="J939" s="37" t="s">
        <v>1628</v>
      </c>
      <c r="K939" s="1" t="s">
        <v>1175</v>
      </c>
    </row>
    <row r="940" spans="1:11" ht="28.8" x14ac:dyDescent="0.3">
      <c r="A940" s="1">
        <v>963</v>
      </c>
      <c r="B940" s="1" t="s">
        <v>336</v>
      </c>
      <c r="E940" s="1" t="s">
        <v>1029</v>
      </c>
      <c r="F940" s="1" t="s">
        <v>981</v>
      </c>
      <c r="H940" s="1" t="s">
        <v>1425</v>
      </c>
      <c r="I940" s="1" t="s">
        <v>1627</v>
      </c>
      <c r="J940" s="37" t="s">
        <v>1628</v>
      </c>
      <c r="K940" s="1" t="s">
        <v>1175</v>
      </c>
    </row>
    <row r="941" spans="1:11" ht="28.8" x14ac:dyDescent="0.3">
      <c r="A941" s="1">
        <v>964</v>
      </c>
      <c r="B941" s="1" t="s">
        <v>337</v>
      </c>
      <c r="E941" s="1" t="s">
        <v>1029</v>
      </c>
      <c r="F941" s="1" t="s">
        <v>981</v>
      </c>
      <c r="H941" s="1" t="s">
        <v>1425</v>
      </c>
      <c r="I941" s="1" t="s">
        <v>1627</v>
      </c>
      <c r="J941" s="37" t="s">
        <v>1628</v>
      </c>
      <c r="K941" s="1" t="s">
        <v>1175</v>
      </c>
    </row>
    <row r="942" spans="1:11" ht="28.8" x14ac:dyDescent="0.3">
      <c r="A942" s="1">
        <v>965</v>
      </c>
      <c r="B942" s="1" t="s">
        <v>338</v>
      </c>
      <c r="E942" s="1" t="s">
        <v>1029</v>
      </c>
      <c r="F942" s="1" t="s">
        <v>981</v>
      </c>
      <c r="H942" s="1" t="s">
        <v>1425</v>
      </c>
      <c r="I942" s="1" t="s">
        <v>1627</v>
      </c>
      <c r="J942" s="37" t="s">
        <v>1628</v>
      </c>
      <c r="K942" s="1" t="s">
        <v>1175</v>
      </c>
    </row>
    <row r="943" spans="1:11" ht="28.8" x14ac:dyDescent="0.3">
      <c r="A943" s="1">
        <v>966</v>
      </c>
      <c r="B943" s="1" t="s">
        <v>339</v>
      </c>
      <c r="E943" s="1" t="s">
        <v>1029</v>
      </c>
      <c r="F943" s="1" t="s">
        <v>981</v>
      </c>
      <c r="H943" s="1" t="s">
        <v>1425</v>
      </c>
      <c r="I943" s="1" t="s">
        <v>1627</v>
      </c>
      <c r="J943" s="37" t="s">
        <v>1628</v>
      </c>
      <c r="K943" s="1" t="s">
        <v>1175</v>
      </c>
    </row>
    <row r="944" spans="1:11" ht="28.8" x14ac:dyDescent="0.3">
      <c r="A944" s="1">
        <v>967</v>
      </c>
      <c r="B944" s="1" t="s">
        <v>329</v>
      </c>
      <c r="E944" s="1" t="s">
        <v>945</v>
      </c>
      <c r="F944" s="1" t="s">
        <v>423</v>
      </c>
      <c r="H944" s="1" t="s">
        <v>1425</v>
      </c>
      <c r="I944" s="1" t="s">
        <v>1627</v>
      </c>
      <c r="J944" s="37" t="s">
        <v>1628</v>
      </c>
      <c r="K944" s="1" t="s">
        <v>1175</v>
      </c>
    </row>
    <row r="945" spans="1:11" ht="28.8" x14ac:dyDescent="0.3">
      <c r="A945" s="1">
        <v>968</v>
      </c>
      <c r="B945" s="1" t="s">
        <v>330</v>
      </c>
      <c r="E945" s="1" t="s">
        <v>945</v>
      </c>
      <c r="F945" s="1" t="s">
        <v>423</v>
      </c>
      <c r="H945" s="1" t="s">
        <v>1425</v>
      </c>
      <c r="I945" s="1" t="s">
        <v>1627</v>
      </c>
      <c r="J945" s="37" t="s">
        <v>1628</v>
      </c>
      <c r="K945" s="1" t="s">
        <v>1175</v>
      </c>
    </row>
    <row r="946" spans="1:11" ht="28.8" x14ac:dyDescent="0.3">
      <c r="A946" s="1">
        <v>969</v>
      </c>
      <c r="B946" s="1" t="s">
        <v>331</v>
      </c>
      <c r="E946" s="1" t="s">
        <v>945</v>
      </c>
      <c r="F946" s="1" t="s">
        <v>423</v>
      </c>
      <c r="H946" s="1" t="s">
        <v>1425</v>
      </c>
      <c r="I946" s="1" t="s">
        <v>1627</v>
      </c>
      <c r="J946" s="37" t="s">
        <v>1628</v>
      </c>
      <c r="K946" s="1" t="s">
        <v>1175</v>
      </c>
    </row>
    <row r="947" spans="1:11" ht="28.8" x14ac:dyDescent="0.3">
      <c r="A947" s="1">
        <v>970</v>
      </c>
      <c r="B947" s="1" t="s">
        <v>332</v>
      </c>
      <c r="E947" s="1" t="s">
        <v>945</v>
      </c>
      <c r="F947" s="1" t="s">
        <v>423</v>
      </c>
      <c r="H947" s="1" t="s">
        <v>1425</v>
      </c>
      <c r="I947" s="1" t="s">
        <v>1627</v>
      </c>
      <c r="J947" s="37" t="s">
        <v>1628</v>
      </c>
      <c r="K947" s="1" t="s">
        <v>1175</v>
      </c>
    </row>
    <row r="948" spans="1:11" ht="28.8" x14ac:dyDescent="0.3">
      <c r="A948" s="1">
        <v>971</v>
      </c>
      <c r="B948" s="1" t="s">
        <v>333</v>
      </c>
      <c r="E948" s="1" t="s">
        <v>945</v>
      </c>
      <c r="F948" s="1" t="s">
        <v>423</v>
      </c>
      <c r="H948" s="1" t="s">
        <v>1425</v>
      </c>
      <c r="I948" s="1" t="s">
        <v>1627</v>
      </c>
      <c r="J948" s="37" t="s">
        <v>1628</v>
      </c>
      <c r="K948" s="1" t="s">
        <v>1175</v>
      </c>
    </row>
    <row r="949" spans="1:11" ht="28.8" x14ac:dyDescent="0.3">
      <c r="A949" s="1">
        <v>972</v>
      </c>
      <c r="B949" s="1" t="s">
        <v>334</v>
      </c>
      <c r="E949" s="1" t="s">
        <v>945</v>
      </c>
      <c r="F949" s="1" t="s">
        <v>423</v>
      </c>
      <c r="H949" s="1" t="s">
        <v>1425</v>
      </c>
      <c r="I949" s="1" t="s">
        <v>1627</v>
      </c>
      <c r="J949" s="37" t="s">
        <v>1628</v>
      </c>
      <c r="K949" s="1" t="s">
        <v>1175</v>
      </c>
    </row>
    <row r="950" spans="1:11" ht="28.8" x14ac:dyDescent="0.3">
      <c r="A950" s="1">
        <v>973</v>
      </c>
      <c r="B950" s="1" t="s">
        <v>335</v>
      </c>
      <c r="E950" s="1" t="s">
        <v>945</v>
      </c>
      <c r="F950" s="1" t="s">
        <v>423</v>
      </c>
      <c r="H950" s="1" t="s">
        <v>1425</v>
      </c>
      <c r="I950" s="1" t="s">
        <v>1627</v>
      </c>
      <c r="J950" s="37" t="s">
        <v>1628</v>
      </c>
      <c r="K950" s="1" t="s">
        <v>1175</v>
      </c>
    </row>
    <row r="951" spans="1:11" ht="28.8" x14ac:dyDescent="0.3">
      <c r="A951" s="1">
        <v>974</v>
      </c>
      <c r="B951" s="1" t="s">
        <v>336</v>
      </c>
      <c r="E951" s="1" t="s">
        <v>945</v>
      </c>
      <c r="F951" s="1" t="s">
        <v>423</v>
      </c>
      <c r="H951" s="1" t="s">
        <v>1425</v>
      </c>
      <c r="I951" s="1" t="s">
        <v>1627</v>
      </c>
      <c r="J951" s="37" t="s">
        <v>1628</v>
      </c>
      <c r="K951" s="1" t="s">
        <v>1175</v>
      </c>
    </row>
    <row r="952" spans="1:11" ht="28.8" x14ac:dyDescent="0.3">
      <c r="A952" s="1">
        <v>975</v>
      </c>
      <c r="B952" s="1" t="s">
        <v>337</v>
      </c>
      <c r="E952" s="1" t="s">
        <v>945</v>
      </c>
      <c r="F952" s="1" t="s">
        <v>423</v>
      </c>
      <c r="H952" s="1" t="s">
        <v>1425</v>
      </c>
      <c r="I952" s="1" t="s">
        <v>1627</v>
      </c>
      <c r="J952" s="37" t="s">
        <v>1628</v>
      </c>
      <c r="K952" s="1" t="s">
        <v>1175</v>
      </c>
    </row>
    <row r="953" spans="1:11" ht="28.8" x14ac:dyDescent="0.3">
      <c r="A953" s="1">
        <v>976</v>
      </c>
      <c r="B953" s="1" t="s">
        <v>338</v>
      </c>
      <c r="E953" s="1" t="s">
        <v>945</v>
      </c>
      <c r="F953" s="1" t="s">
        <v>423</v>
      </c>
      <c r="H953" s="1" t="s">
        <v>1425</v>
      </c>
      <c r="I953" s="1" t="s">
        <v>1627</v>
      </c>
      <c r="J953" s="37" t="s">
        <v>1628</v>
      </c>
      <c r="K953" s="1" t="s">
        <v>1175</v>
      </c>
    </row>
    <row r="954" spans="1:11" ht="28.8" x14ac:dyDescent="0.3">
      <c r="A954" s="1">
        <v>977</v>
      </c>
      <c r="B954" s="1" t="s">
        <v>339</v>
      </c>
      <c r="E954" s="1" t="s">
        <v>945</v>
      </c>
      <c r="F954" s="1" t="s">
        <v>423</v>
      </c>
      <c r="H954" s="1" t="s">
        <v>1425</v>
      </c>
      <c r="I954" s="1" t="s">
        <v>1627</v>
      </c>
      <c r="J954" s="37" t="s">
        <v>1628</v>
      </c>
      <c r="K954" s="1" t="s">
        <v>1175</v>
      </c>
    </row>
    <row r="955" spans="1:11" ht="28.8" x14ac:dyDescent="0.3">
      <c r="A955" s="1">
        <v>978</v>
      </c>
      <c r="B955" s="1" t="s">
        <v>329</v>
      </c>
      <c r="E955" s="1" t="s">
        <v>930</v>
      </c>
      <c r="F955" s="1" t="s">
        <v>423</v>
      </c>
      <c r="H955" s="1" t="s">
        <v>1425</v>
      </c>
      <c r="I955" s="1" t="s">
        <v>1627</v>
      </c>
      <c r="J955" s="37" t="s">
        <v>1628</v>
      </c>
      <c r="K955" s="1" t="s">
        <v>1175</v>
      </c>
    </row>
    <row r="956" spans="1:11" ht="28.8" x14ac:dyDescent="0.3">
      <c r="A956" s="1">
        <v>979</v>
      </c>
      <c r="B956" s="1" t="s">
        <v>330</v>
      </c>
      <c r="E956" s="1" t="s">
        <v>930</v>
      </c>
      <c r="F956" s="1" t="s">
        <v>423</v>
      </c>
      <c r="H956" s="1" t="s">
        <v>1425</v>
      </c>
      <c r="I956" s="1" t="s">
        <v>1627</v>
      </c>
      <c r="J956" s="37" t="s">
        <v>1628</v>
      </c>
      <c r="K956" s="1" t="s">
        <v>1175</v>
      </c>
    </row>
    <row r="957" spans="1:11" ht="28.8" x14ac:dyDescent="0.3">
      <c r="A957" s="1">
        <v>980</v>
      </c>
      <c r="B957" s="1" t="s">
        <v>331</v>
      </c>
      <c r="E957" s="1" t="s">
        <v>930</v>
      </c>
      <c r="F957" s="1" t="s">
        <v>423</v>
      </c>
      <c r="H957" s="1" t="s">
        <v>1425</v>
      </c>
      <c r="I957" s="1" t="s">
        <v>1627</v>
      </c>
      <c r="J957" s="37" t="s">
        <v>1628</v>
      </c>
      <c r="K957" s="1" t="s">
        <v>1175</v>
      </c>
    </row>
    <row r="958" spans="1:11" ht="28.8" x14ac:dyDescent="0.3">
      <c r="A958" s="1">
        <v>981</v>
      </c>
      <c r="B958" s="1" t="s">
        <v>332</v>
      </c>
      <c r="E958" s="1" t="s">
        <v>930</v>
      </c>
      <c r="F958" s="1" t="s">
        <v>423</v>
      </c>
      <c r="H958" s="1" t="s">
        <v>1425</v>
      </c>
      <c r="I958" s="1" t="s">
        <v>1627</v>
      </c>
      <c r="J958" s="37" t="s">
        <v>1628</v>
      </c>
      <c r="K958" s="1" t="s">
        <v>1175</v>
      </c>
    </row>
    <row r="959" spans="1:11" ht="28.8" x14ac:dyDescent="0.3">
      <c r="A959" s="1">
        <v>982</v>
      </c>
      <c r="B959" s="1" t="s">
        <v>333</v>
      </c>
      <c r="E959" s="1" t="s">
        <v>930</v>
      </c>
      <c r="F959" s="1" t="s">
        <v>423</v>
      </c>
      <c r="H959" s="1" t="s">
        <v>1425</v>
      </c>
      <c r="I959" s="1" t="s">
        <v>1627</v>
      </c>
      <c r="J959" s="37" t="s">
        <v>1628</v>
      </c>
      <c r="K959" s="1" t="s">
        <v>1175</v>
      </c>
    </row>
    <row r="960" spans="1:11" ht="28.8" x14ac:dyDescent="0.3">
      <c r="A960" s="1">
        <v>983</v>
      </c>
      <c r="B960" s="1" t="s">
        <v>334</v>
      </c>
      <c r="E960" s="1" t="s">
        <v>930</v>
      </c>
      <c r="F960" s="1" t="s">
        <v>423</v>
      </c>
      <c r="H960" s="1" t="s">
        <v>1425</v>
      </c>
      <c r="I960" s="1" t="s">
        <v>1627</v>
      </c>
      <c r="J960" s="37" t="s">
        <v>1628</v>
      </c>
      <c r="K960" s="1" t="s">
        <v>1175</v>
      </c>
    </row>
    <row r="961" spans="1:11" ht="28.8" x14ac:dyDescent="0.3">
      <c r="A961" s="1">
        <v>984</v>
      </c>
      <c r="B961" s="1" t="s">
        <v>335</v>
      </c>
      <c r="E961" s="1" t="s">
        <v>930</v>
      </c>
      <c r="F961" s="1" t="s">
        <v>423</v>
      </c>
      <c r="H961" s="1" t="s">
        <v>1425</v>
      </c>
      <c r="I961" s="1" t="s">
        <v>1627</v>
      </c>
      <c r="J961" s="37" t="s">
        <v>1628</v>
      </c>
      <c r="K961" s="1" t="s">
        <v>1175</v>
      </c>
    </row>
    <row r="962" spans="1:11" ht="28.8" x14ac:dyDescent="0.3">
      <c r="A962" s="1">
        <v>985</v>
      </c>
      <c r="B962" s="1" t="s">
        <v>336</v>
      </c>
      <c r="E962" s="1" t="s">
        <v>930</v>
      </c>
      <c r="F962" s="1" t="s">
        <v>423</v>
      </c>
      <c r="H962" s="1" t="s">
        <v>1425</v>
      </c>
      <c r="I962" s="1" t="s">
        <v>1627</v>
      </c>
      <c r="J962" s="37" t="s">
        <v>1628</v>
      </c>
      <c r="K962" s="1" t="s">
        <v>1175</v>
      </c>
    </row>
    <row r="963" spans="1:11" ht="28.8" x14ac:dyDescent="0.3">
      <c r="A963" s="1">
        <v>986</v>
      </c>
      <c r="B963" s="1" t="s">
        <v>337</v>
      </c>
      <c r="E963" s="1" t="s">
        <v>930</v>
      </c>
      <c r="F963" s="1" t="s">
        <v>423</v>
      </c>
      <c r="H963" s="1" t="s">
        <v>1425</v>
      </c>
      <c r="I963" s="1" t="s">
        <v>1627</v>
      </c>
      <c r="J963" s="37" t="s">
        <v>1628</v>
      </c>
      <c r="K963" s="1" t="s">
        <v>1175</v>
      </c>
    </row>
    <row r="964" spans="1:11" ht="28.8" x14ac:dyDescent="0.3">
      <c r="A964" s="1">
        <v>987</v>
      </c>
      <c r="B964" s="1" t="s">
        <v>338</v>
      </c>
      <c r="E964" s="1" t="s">
        <v>930</v>
      </c>
      <c r="F964" s="1" t="s">
        <v>423</v>
      </c>
      <c r="H964" s="1" t="s">
        <v>1425</v>
      </c>
      <c r="I964" s="1" t="s">
        <v>1627</v>
      </c>
      <c r="J964" s="37" t="s">
        <v>1628</v>
      </c>
      <c r="K964" s="1" t="s">
        <v>1175</v>
      </c>
    </row>
    <row r="965" spans="1:11" ht="28.8" x14ac:dyDescent="0.3">
      <c r="A965" s="1">
        <v>988</v>
      </c>
      <c r="B965" s="1" t="s">
        <v>339</v>
      </c>
      <c r="E965" s="1" t="s">
        <v>930</v>
      </c>
      <c r="F965" s="1" t="s">
        <v>423</v>
      </c>
      <c r="H965" s="1" t="s">
        <v>1425</v>
      </c>
      <c r="I965" s="1" t="s">
        <v>1627</v>
      </c>
      <c r="J965" s="37" t="s">
        <v>1628</v>
      </c>
      <c r="K965" s="1" t="s">
        <v>1175</v>
      </c>
    </row>
    <row r="966" spans="1:11" x14ac:dyDescent="0.3">
      <c r="A966" s="1">
        <v>989</v>
      </c>
      <c r="B966" s="1" t="s">
        <v>89</v>
      </c>
      <c r="E966" s="1" t="s">
        <v>1225</v>
      </c>
      <c r="F966" s="1" t="s">
        <v>466</v>
      </c>
      <c r="H966" s="1" t="s">
        <v>1300</v>
      </c>
      <c r="I966" s="1" t="s">
        <v>1516</v>
      </c>
      <c r="J966" s="37" t="s">
        <v>1629</v>
      </c>
      <c r="K966" s="1" t="s">
        <v>1175</v>
      </c>
    </row>
    <row r="967" spans="1:11" ht="28.8" x14ac:dyDescent="0.3">
      <c r="A967" s="1">
        <v>990</v>
      </c>
      <c r="B967" s="1" t="s">
        <v>1630</v>
      </c>
      <c r="E967" s="1" t="s">
        <v>945</v>
      </c>
      <c r="F967" s="1" t="s">
        <v>423</v>
      </c>
      <c r="I967" s="1" t="s">
        <v>1631</v>
      </c>
      <c r="J967" s="37" t="s">
        <v>1632</v>
      </c>
      <c r="K967" s="1" t="s">
        <v>1175</v>
      </c>
    </row>
    <row r="968" spans="1:11" ht="28.8" x14ac:dyDescent="0.3">
      <c r="A968" s="1">
        <v>991</v>
      </c>
      <c r="B968" s="1" t="s">
        <v>1630</v>
      </c>
      <c r="E968" s="1" t="s">
        <v>1211</v>
      </c>
      <c r="F968" s="1" t="s">
        <v>466</v>
      </c>
      <c r="I968" s="1" t="s">
        <v>1631</v>
      </c>
      <c r="J968" s="37" t="s">
        <v>1632</v>
      </c>
      <c r="K968" s="1" t="s">
        <v>1175</v>
      </c>
    </row>
    <row r="969" spans="1:11" ht="28.8" x14ac:dyDescent="0.3">
      <c r="A969" s="1">
        <v>992</v>
      </c>
      <c r="B969" s="1" t="s">
        <v>1630</v>
      </c>
      <c r="E969" s="1" t="s">
        <v>1165</v>
      </c>
      <c r="F969" s="1" t="s">
        <v>633</v>
      </c>
      <c r="I969" s="1" t="s">
        <v>1631</v>
      </c>
      <c r="J969" s="37" t="s">
        <v>1632</v>
      </c>
      <c r="K969" s="1" t="s">
        <v>1175</v>
      </c>
    </row>
    <row r="970" spans="1:11" ht="28.8" x14ac:dyDescent="0.3">
      <c r="A970" s="1">
        <v>993</v>
      </c>
      <c r="B970" s="1" t="s">
        <v>1630</v>
      </c>
      <c r="E970" s="1" t="s">
        <v>869</v>
      </c>
      <c r="F970" s="1" t="s">
        <v>633</v>
      </c>
      <c r="I970" s="1" t="s">
        <v>1631</v>
      </c>
      <c r="J970" s="37" t="s">
        <v>1632</v>
      </c>
      <c r="K970" s="1" t="s">
        <v>1175</v>
      </c>
    </row>
    <row r="971" spans="1:11" ht="28.8" x14ac:dyDescent="0.3">
      <c r="A971" s="1">
        <v>994</v>
      </c>
      <c r="B971" s="1" t="s">
        <v>1630</v>
      </c>
      <c r="E971" s="1" t="s">
        <v>1225</v>
      </c>
      <c r="F971" s="1" t="s">
        <v>466</v>
      </c>
      <c r="I971" s="1" t="s">
        <v>1631</v>
      </c>
      <c r="J971" s="37" t="s">
        <v>1632</v>
      </c>
      <c r="K971" s="1" t="s">
        <v>1175</v>
      </c>
    </row>
    <row r="972" spans="1:11" ht="28.8" x14ac:dyDescent="0.3">
      <c r="A972" s="1">
        <v>995</v>
      </c>
      <c r="B972" s="1" t="s">
        <v>1630</v>
      </c>
      <c r="E972" s="1" t="s">
        <v>1502</v>
      </c>
      <c r="F972" s="1" t="s">
        <v>1337</v>
      </c>
      <c r="I972" s="1" t="s">
        <v>1631</v>
      </c>
      <c r="J972" s="37" t="s">
        <v>1632</v>
      </c>
      <c r="K972" s="1" t="s">
        <v>1175</v>
      </c>
    </row>
    <row r="973" spans="1:11" x14ac:dyDescent="0.3">
      <c r="A973" s="1">
        <v>996</v>
      </c>
      <c r="B973" s="1" t="s">
        <v>90</v>
      </c>
      <c r="D973" s="1" t="s">
        <v>1425</v>
      </c>
      <c r="E973" s="1" t="s">
        <v>1096</v>
      </c>
      <c r="F973" s="1" t="s">
        <v>633</v>
      </c>
      <c r="H973" s="1" t="s">
        <v>1181</v>
      </c>
      <c r="I973" s="1" t="s">
        <v>1642</v>
      </c>
      <c r="J973" s="37" t="s">
        <v>1174</v>
      </c>
      <c r="K973" s="1" t="s">
        <v>1175</v>
      </c>
    </row>
    <row r="974" spans="1:11" x14ac:dyDescent="0.3">
      <c r="A974" s="1">
        <v>997</v>
      </c>
      <c r="B974" s="1" t="s">
        <v>90</v>
      </c>
      <c r="D974" s="1" t="s">
        <v>1425</v>
      </c>
      <c r="E974" s="1" t="s">
        <v>1154</v>
      </c>
      <c r="F974" s="1" t="s">
        <v>633</v>
      </c>
      <c r="H974" s="1" t="s">
        <v>1181</v>
      </c>
      <c r="I974" s="1" t="s">
        <v>1642</v>
      </c>
      <c r="J974" s="37" t="s">
        <v>1174</v>
      </c>
      <c r="K974" s="1" t="s">
        <v>1175</v>
      </c>
    </row>
    <row r="975" spans="1:11" x14ac:dyDescent="0.3">
      <c r="A975" s="1">
        <v>998</v>
      </c>
      <c r="B975" s="1" t="s">
        <v>90</v>
      </c>
      <c r="D975" s="1" t="s">
        <v>1425</v>
      </c>
      <c r="E975" s="1" t="s">
        <v>1108</v>
      </c>
      <c r="F975" s="1" t="s">
        <v>633</v>
      </c>
      <c r="H975" s="1" t="s">
        <v>1181</v>
      </c>
      <c r="I975" s="1" t="s">
        <v>1642</v>
      </c>
      <c r="J975" s="37" t="s">
        <v>1174</v>
      </c>
      <c r="K975" s="1" t="s">
        <v>1175</v>
      </c>
    </row>
    <row r="976" spans="1:11" x14ac:dyDescent="0.3">
      <c r="A976" s="1">
        <v>999</v>
      </c>
      <c r="B976" s="1" t="s">
        <v>90</v>
      </c>
      <c r="D976" s="1" t="s">
        <v>1425</v>
      </c>
      <c r="E976" s="1" t="s">
        <v>1456</v>
      </c>
      <c r="F976" s="1" t="s">
        <v>787</v>
      </c>
      <c r="H976" s="1" t="s">
        <v>1462</v>
      </c>
      <c r="I976" s="1" t="s">
        <v>1642</v>
      </c>
      <c r="J976" s="37" t="s">
        <v>1174</v>
      </c>
      <c r="K976" s="1" t="s">
        <v>1175</v>
      </c>
    </row>
    <row r="977" spans="1:11" x14ac:dyDescent="0.3">
      <c r="A977" s="1">
        <v>1000</v>
      </c>
      <c r="B977" s="1" t="s">
        <v>90</v>
      </c>
      <c r="D977" s="1" t="s">
        <v>1425</v>
      </c>
      <c r="E977" s="1" t="s">
        <v>1435</v>
      </c>
      <c r="F977" s="1" t="s">
        <v>787</v>
      </c>
      <c r="H977" s="1" t="s">
        <v>1462</v>
      </c>
      <c r="I977" s="1" t="s">
        <v>1642</v>
      </c>
      <c r="J977" s="37" t="s">
        <v>1174</v>
      </c>
      <c r="K977" s="1" t="s">
        <v>1175</v>
      </c>
    </row>
    <row r="978" spans="1:11" x14ac:dyDescent="0.3">
      <c r="A978" s="1">
        <v>1001</v>
      </c>
      <c r="B978" s="1" t="s">
        <v>90</v>
      </c>
      <c r="D978" s="1" t="s">
        <v>1425</v>
      </c>
      <c r="E978" s="1" t="s">
        <v>762</v>
      </c>
      <c r="F978" s="1" t="s">
        <v>588</v>
      </c>
      <c r="H978" s="1" t="s">
        <v>746</v>
      </c>
      <c r="I978" s="1" t="s">
        <v>1642</v>
      </c>
      <c r="J978" s="37" t="s">
        <v>1174</v>
      </c>
      <c r="K978" s="1" t="s">
        <v>1175</v>
      </c>
    </row>
    <row r="979" spans="1:11" x14ac:dyDescent="0.3">
      <c r="A979" s="1">
        <v>1002</v>
      </c>
      <c r="B979" s="1" t="s">
        <v>90</v>
      </c>
      <c r="D979" s="1" t="s">
        <v>1425</v>
      </c>
      <c r="E979" s="1" t="s">
        <v>1316</v>
      </c>
      <c r="F979" s="1" t="s">
        <v>588</v>
      </c>
      <c r="H979" s="1" t="s">
        <v>746</v>
      </c>
      <c r="I979" s="1" t="s">
        <v>1642</v>
      </c>
      <c r="J979" s="37" t="s">
        <v>1174</v>
      </c>
      <c r="K979" s="1" t="s">
        <v>1175</v>
      </c>
    </row>
    <row r="980" spans="1:11" x14ac:dyDescent="0.3">
      <c r="A980" s="1">
        <v>1003</v>
      </c>
      <c r="B980" s="1" t="s">
        <v>90</v>
      </c>
      <c r="D980" s="1" t="s">
        <v>1425</v>
      </c>
      <c r="E980" s="1" t="s">
        <v>779</v>
      </c>
      <c r="F980" s="1" t="s">
        <v>588</v>
      </c>
      <c r="H980" s="1" t="s">
        <v>746</v>
      </c>
      <c r="I980" s="1" t="s">
        <v>1642</v>
      </c>
      <c r="J980" s="37" t="s">
        <v>1174</v>
      </c>
      <c r="K980" s="1" t="s">
        <v>1175</v>
      </c>
    </row>
    <row r="981" spans="1:11" x14ac:dyDescent="0.3">
      <c r="A981" s="1">
        <v>1004</v>
      </c>
      <c r="B981" s="1" t="s">
        <v>90</v>
      </c>
      <c r="D981" s="1" t="s">
        <v>1425</v>
      </c>
      <c r="E981" s="1" t="s">
        <v>609</v>
      </c>
      <c r="F981" s="1" t="s">
        <v>588</v>
      </c>
      <c r="H981" s="1" t="s">
        <v>746</v>
      </c>
      <c r="I981" s="1" t="s">
        <v>1642</v>
      </c>
      <c r="J981" s="37" t="s">
        <v>1174</v>
      </c>
      <c r="K981" s="1" t="s">
        <v>1175</v>
      </c>
    </row>
  </sheetData>
  <sheetProtection formatCells="0" formatColumns="0" formatRows="0" insertRows="0" insertHyperlinks="0" deleteColumns="0" deleteRows="0" sort="0" autoFilter="0" pivotTables="0"/>
  <autoFilter ref="A2:K972"/>
  <mergeCells count="3">
    <mergeCell ref="B1:C1"/>
    <mergeCell ref="D1:F1"/>
    <mergeCell ref="H1:J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MA7"/>
  <sheetViews>
    <sheetView workbookViewId="0">
      <selection activeCell="G19" sqref="G19"/>
    </sheetView>
  </sheetViews>
  <sheetFormatPr baseColWidth="10" defaultColWidth="8.88671875" defaultRowHeight="14.4" x14ac:dyDescent="0.3"/>
  <cols>
    <col min="1" max="1" width="21.33203125" customWidth="1"/>
    <col min="2" max="2" width="27.6640625" customWidth="1"/>
  </cols>
  <sheetData>
    <row r="1" spans="1:339" s="2" customFormat="1" x14ac:dyDescent="0.3">
      <c r="A1" s="2" t="s">
        <v>81</v>
      </c>
      <c r="B1" s="2" t="s">
        <v>80</v>
      </c>
      <c r="C1" s="2" t="s">
        <v>83</v>
      </c>
      <c r="D1" s="2" t="s">
        <v>84</v>
      </c>
      <c r="E1" s="2" t="s">
        <v>85</v>
      </c>
      <c r="F1" s="2" t="s">
        <v>86</v>
      </c>
      <c r="G1" s="2" t="s">
        <v>87</v>
      </c>
      <c r="H1" s="2" t="s">
        <v>88</v>
      </c>
      <c r="I1" s="2" t="s">
        <v>89</v>
      </c>
      <c r="J1" s="2" t="s">
        <v>90</v>
      </c>
      <c r="K1" s="2" t="s">
        <v>91</v>
      </c>
      <c r="L1" s="2" t="s">
        <v>92</v>
      </c>
      <c r="M1" s="2" t="s">
        <v>93</v>
      </c>
      <c r="N1" s="2" t="s">
        <v>94</v>
      </c>
      <c r="O1" s="2" t="s">
        <v>95</v>
      </c>
      <c r="P1" s="2" t="s">
        <v>96</v>
      </c>
      <c r="Q1" s="2" t="s">
        <v>97</v>
      </c>
      <c r="R1" s="2" t="s">
        <v>98</v>
      </c>
      <c r="S1" s="2" t="s">
        <v>99</v>
      </c>
      <c r="T1" s="2" t="s">
        <v>100</v>
      </c>
      <c r="U1" s="2" t="s">
        <v>101</v>
      </c>
      <c r="V1" s="2" t="s">
        <v>102</v>
      </c>
      <c r="W1" s="2" t="s">
        <v>103</v>
      </c>
      <c r="X1" s="2" t="s">
        <v>104</v>
      </c>
      <c r="Y1" s="2" t="s">
        <v>105</v>
      </c>
      <c r="Z1" s="2" t="s">
        <v>106</v>
      </c>
      <c r="AA1" s="2" t="s">
        <v>107</v>
      </c>
      <c r="AB1" s="2" t="s">
        <v>108</v>
      </c>
      <c r="AC1" s="2" t="s">
        <v>109</v>
      </c>
      <c r="AD1" s="2" t="s">
        <v>110</v>
      </c>
      <c r="AE1" s="2" t="s">
        <v>111</v>
      </c>
      <c r="AF1" s="2" t="s">
        <v>112</v>
      </c>
      <c r="AG1" s="2" t="s">
        <v>113</v>
      </c>
      <c r="AH1" s="2" t="s">
        <v>114</v>
      </c>
      <c r="AI1" s="2" t="s">
        <v>115</v>
      </c>
      <c r="AJ1" s="2" t="s">
        <v>116</v>
      </c>
      <c r="AK1" s="2" t="s">
        <v>117</v>
      </c>
      <c r="AL1" s="2" t="s">
        <v>118</v>
      </c>
      <c r="AM1" s="2" t="s">
        <v>119</v>
      </c>
      <c r="AN1" s="2" t="s">
        <v>120</v>
      </c>
      <c r="AO1" s="2" t="s">
        <v>121</v>
      </c>
      <c r="AP1" s="2" t="s">
        <v>122</v>
      </c>
      <c r="AQ1" s="2" t="s">
        <v>123</v>
      </c>
      <c r="AR1" s="2" t="s">
        <v>124</v>
      </c>
      <c r="AS1" s="2" t="s">
        <v>125</v>
      </c>
      <c r="AT1" s="2" t="s">
        <v>126</v>
      </c>
      <c r="AU1" s="2" t="s">
        <v>127</v>
      </c>
      <c r="AV1" s="2" t="s">
        <v>128</v>
      </c>
      <c r="AW1" s="2" t="s">
        <v>129</v>
      </c>
      <c r="AX1" s="2" t="s">
        <v>130</v>
      </c>
      <c r="AY1" s="2" t="s">
        <v>131</v>
      </c>
      <c r="AZ1" s="2" t="s">
        <v>132</v>
      </c>
      <c r="BA1" s="2" t="s">
        <v>133</v>
      </c>
      <c r="BB1" s="2" t="s">
        <v>134</v>
      </c>
      <c r="BC1" s="2" t="s">
        <v>135</v>
      </c>
      <c r="BD1" s="2" t="s">
        <v>136</v>
      </c>
      <c r="BE1" s="2" t="s">
        <v>137</v>
      </c>
      <c r="BF1" s="2" t="s">
        <v>138</v>
      </c>
      <c r="BG1" s="2" t="s">
        <v>139</v>
      </c>
      <c r="BH1" s="2" t="s">
        <v>140</v>
      </c>
      <c r="BI1" s="2" t="s">
        <v>141</v>
      </c>
      <c r="BJ1" s="2" t="s">
        <v>142</v>
      </c>
      <c r="BK1" s="2" t="s">
        <v>143</v>
      </c>
      <c r="BL1" s="2" t="s">
        <v>144</v>
      </c>
      <c r="BM1" s="2" t="s">
        <v>145</v>
      </c>
      <c r="BN1" s="2" t="s">
        <v>146</v>
      </c>
      <c r="BO1" s="2" t="s">
        <v>147</v>
      </c>
      <c r="BP1" s="2" t="s">
        <v>148</v>
      </c>
      <c r="BQ1" s="2" t="s">
        <v>149</v>
      </c>
      <c r="BR1" s="2" t="s">
        <v>150</v>
      </c>
      <c r="BS1" s="2" t="s">
        <v>151</v>
      </c>
      <c r="BT1" s="2" t="s">
        <v>152</v>
      </c>
      <c r="BU1" s="2" t="s">
        <v>153</v>
      </c>
      <c r="BV1" s="2" t="s">
        <v>154</v>
      </c>
      <c r="BW1" s="2" t="s">
        <v>155</v>
      </c>
      <c r="BX1" s="2" t="s">
        <v>156</v>
      </c>
      <c r="BY1" s="2" t="s">
        <v>157</v>
      </c>
      <c r="BZ1" s="2" t="s">
        <v>158</v>
      </c>
      <c r="CA1" s="2" t="s">
        <v>159</v>
      </c>
      <c r="CB1" s="2" t="s">
        <v>160</v>
      </c>
      <c r="CC1" s="2" t="s">
        <v>161</v>
      </c>
      <c r="CD1" s="2" t="s">
        <v>162</v>
      </c>
      <c r="CE1" s="2" t="s">
        <v>163</v>
      </c>
      <c r="CF1" s="2" t="s">
        <v>164</v>
      </c>
      <c r="CG1" s="2" t="s">
        <v>165</v>
      </c>
      <c r="CH1" s="2" t="s">
        <v>166</v>
      </c>
      <c r="CI1" s="2" t="s">
        <v>167</v>
      </c>
      <c r="CJ1" s="2" t="s">
        <v>168</v>
      </c>
      <c r="CK1" s="2" t="s">
        <v>169</v>
      </c>
      <c r="CL1" s="2" t="s">
        <v>170</v>
      </c>
      <c r="CM1" s="2" t="s">
        <v>171</v>
      </c>
      <c r="CN1" s="2" t="s">
        <v>172</v>
      </c>
      <c r="CO1" s="2" t="s">
        <v>173</v>
      </c>
      <c r="CP1" s="2" t="s">
        <v>174</v>
      </c>
      <c r="CQ1" s="2" t="s">
        <v>175</v>
      </c>
      <c r="CR1" s="2" t="s">
        <v>176</v>
      </c>
      <c r="CS1" s="2" t="s">
        <v>177</v>
      </c>
      <c r="CT1" s="2" t="s">
        <v>178</v>
      </c>
      <c r="CU1" s="2" t="s">
        <v>179</v>
      </c>
      <c r="CV1" s="2" t="s">
        <v>180</v>
      </c>
      <c r="CW1" s="2" t="s">
        <v>181</v>
      </c>
      <c r="CX1" s="2" t="s">
        <v>182</v>
      </c>
      <c r="CY1" s="2" t="s">
        <v>183</v>
      </c>
      <c r="CZ1" s="2" t="s">
        <v>184</v>
      </c>
      <c r="DA1" s="2" t="s">
        <v>185</v>
      </c>
      <c r="DB1" s="2" t="s">
        <v>186</v>
      </c>
      <c r="DC1" s="2" t="s">
        <v>187</v>
      </c>
      <c r="DD1" s="2" t="s">
        <v>188</v>
      </c>
      <c r="DE1" s="2" t="s">
        <v>189</v>
      </c>
      <c r="DF1" s="2" t="s">
        <v>190</v>
      </c>
      <c r="DG1" s="2" t="s">
        <v>191</v>
      </c>
      <c r="DH1" s="2" t="s">
        <v>192</v>
      </c>
      <c r="DI1" s="2" t="s">
        <v>193</v>
      </c>
      <c r="DJ1" s="2" t="s">
        <v>194</v>
      </c>
      <c r="DK1" s="2" t="s">
        <v>195</v>
      </c>
      <c r="DL1" s="2" t="s">
        <v>196</v>
      </c>
      <c r="DM1" s="2" t="s">
        <v>197</v>
      </c>
      <c r="DN1" s="2" t="s">
        <v>198</v>
      </c>
      <c r="DO1" s="2" t="s">
        <v>199</v>
      </c>
      <c r="DP1" s="2" t="s">
        <v>200</v>
      </c>
      <c r="DQ1" s="2" t="s">
        <v>201</v>
      </c>
      <c r="DR1" s="2" t="s">
        <v>202</v>
      </c>
      <c r="DS1" s="2" t="s">
        <v>203</v>
      </c>
      <c r="DT1" s="2" t="s">
        <v>204</v>
      </c>
      <c r="DU1" s="2" t="s">
        <v>205</v>
      </c>
      <c r="DV1" s="2" t="s">
        <v>206</v>
      </c>
      <c r="DW1" s="2" t="s">
        <v>207</v>
      </c>
      <c r="DX1" s="2" t="s">
        <v>208</v>
      </c>
      <c r="DY1" s="2" t="s">
        <v>209</v>
      </c>
      <c r="DZ1" s="2" t="s">
        <v>210</v>
      </c>
      <c r="EA1" s="2" t="s">
        <v>211</v>
      </c>
      <c r="EB1" s="2" t="s">
        <v>212</v>
      </c>
      <c r="EC1" s="2" t="s">
        <v>213</v>
      </c>
      <c r="ED1" s="2" t="s">
        <v>214</v>
      </c>
      <c r="EE1" s="2" t="s">
        <v>215</v>
      </c>
      <c r="EF1" s="2" t="s">
        <v>216</v>
      </c>
      <c r="EG1" s="2" t="s">
        <v>217</v>
      </c>
      <c r="EH1" s="2" t="s">
        <v>218</v>
      </c>
      <c r="EI1" s="2" t="s">
        <v>219</v>
      </c>
      <c r="EJ1" s="2" t="s">
        <v>220</v>
      </c>
      <c r="EK1" s="2" t="s">
        <v>221</v>
      </c>
      <c r="EL1" s="2" t="s">
        <v>222</v>
      </c>
      <c r="EM1" s="2" t="s">
        <v>223</v>
      </c>
      <c r="EN1" s="2" t="s">
        <v>224</v>
      </c>
      <c r="EO1" s="2" t="s">
        <v>225</v>
      </c>
      <c r="EP1" s="2" t="s">
        <v>226</v>
      </c>
      <c r="EQ1" s="2" t="s">
        <v>227</v>
      </c>
      <c r="ER1" s="2" t="s">
        <v>228</v>
      </c>
      <c r="ES1" s="2" t="s">
        <v>229</v>
      </c>
      <c r="ET1" s="2" t="s">
        <v>230</v>
      </c>
      <c r="EU1" s="2" t="s">
        <v>231</v>
      </c>
      <c r="EV1" s="2" t="s">
        <v>232</v>
      </c>
      <c r="EW1" s="2" t="s">
        <v>233</v>
      </c>
      <c r="EX1" s="2" t="s">
        <v>234</v>
      </c>
      <c r="EY1" s="2" t="s">
        <v>235</v>
      </c>
      <c r="EZ1" s="2" t="s">
        <v>236</v>
      </c>
      <c r="FA1" s="2" t="s">
        <v>237</v>
      </c>
      <c r="FB1" s="2" t="s">
        <v>238</v>
      </c>
      <c r="FC1" s="2" t="s">
        <v>239</v>
      </c>
      <c r="FD1" s="2" t="s">
        <v>240</v>
      </c>
      <c r="FE1" s="2" t="s">
        <v>241</v>
      </c>
      <c r="FF1" s="2" t="s">
        <v>242</v>
      </c>
      <c r="FG1" s="2" t="s">
        <v>243</v>
      </c>
      <c r="FH1" s="2" t="s">
        <v>244</v>
      </c>
      <c r="FI1" s="2" t="s">
        <v>245</v>
      </c>
      <c r="FJ1" s="2" t="s">
        <v>246</v>
      </c>
      <c r="FK1" s="2" t="s">
        <v>247</v>
      </c>
      <c r="FL1" s="2" t="s">
        <v>248</v>
      </c>
      <c r="FM1" s="2" t="s">
        <v>249</v>
      </c>
      <c r="FN1" s="2" t="s">
        <v>250</v>
      </c>
      <c r="FO1" s="2" t="s">
        <v>251</v>
      </c>
      <c r="FP1" s="2" t="s">
        <v>252</v>
      </c>
      <c r="FQ1" s="2" t="s">
        <v>253</v>
      </c>
      <c r="FR1" s="2" t="s">
        <v>254</v>
      </c>
      <c r="FS1" s="2" t="s">
        <v>255</v>
      </c>
      <c r="FT1" s="2" t="s">
        <v>256</v>
      </c>
      <c r="FU1" s="2" t="s">
        <v>257</v>
      </c>
      <c r="FV1" s="2" t="s">
        <v>258</v>
      </c>
      <c r="FW1" s="2" t="s">
        <v>259</v>
      </c>
      <c r="FX1" s="2" t="s">
        <v>260</v>
      </c>
      <c r="FY1" s="2" t="s">
        <v>261</v>
      </c>
      <c r="FZ1" s="2" t="s">
        <v>262</v>
      </c>
      <c r="GA1" s="2" t="s">
        <v>263</v>
      </c>
      <c r="GB1" s="2" t="s">
        <v>264</v>
      </c>
      <c r="GC1" s="2" t="s">
        <v>265</v>
      </c>
      <c r="GD1" s="2" t="s">
        <v>266</v>
      </c>
      <c r="GE1" s="2" t="s">
        <v>267</v>
      </c>
      <c r="GF1" s="2" t="s">
        <v>268</v>
      </c>
      <c r="GG1" s="2" t="s">
        <v>269</v>
      </c>
      <c r="GH1" s="2" t="s">
        <v>270</v>
      </c>
      <c r="GI1" s="2" t="s">
        <v>271</v>
      </c>
      <c r="GJ1" s="2" t="s">
        <v>272</v>
      </c>
      <c r="GK1" s="2" t="s">
        <v>273</v>
      </c>
      <c r="GL1" s="2" t="s">
        <v>274</v>
      </c>
      <c r="GM1" s="2" t="s">
        <v>275</v>
      </c>
      <c r="GN1" s="2" t="s">
        <v>276</v>
      </c>
      <c r="GO1" s="2" t="s">
        <v>277</v>
      </c>
      <c r="GP1" s="2" t="s">
        <v>278</v>
      </c>
      <c r="GQ1" s="2" t="s">
        <v>279</v>
      </c>
      <c r="GR1" s="2" t="s">
        <v>280</v>
      </c>
      <c r="GS1" s="2" t="s">
        <v>281</v>
      </c>
      <c r="GT1" s="2" t="s">
        <v>282</v>
      </c>
      <c r="GU1" s="2" t="s">
        <v>283</v>
      </c>
      <c r="GV1" s="2" t="s">
        <v>284</v>
      </c>
      <c r="GW1" s="2" t="s">
        <v>285</v>
      </c>
      <c r="GX1" s="2" t="s">
        <v>286</v>
      </c>
      <c r="GY1" s="2" t="s">
        <v>287</v>
      </c>
      <c r="GZ1" s="2" t="s">
        <v>288</v>
      </c>
      <c r="HA1" s="2" t="s">
        <v>289</v>
      </c>
      <c r="HB1" s="2" t="s">
        <v>290</v>
      </c>
      <c r="HC1" s="2" t="s">
        <v>291</v>
      </c>
      <c r="HD1" s="2" t="s">
        <v>292</v>
      </c>
      <c r="HE1" s="2" t="s">
        <v>293</v>
      </c>
      <c r="HF1" s="2" t="s">
        <v>294</v>
      </c>
      <c r="HG1" s="2" t="s">
        <v>295</v>
      </c>
      <c r="HH1" s="2" t="s">
        <v>296</v>
      </c>
      <c r="HI1" s="2" t="s">
        <v>297</v>
      </c>
      <c r="HJ1" s="2" t="s">
        <v>298</v>
      </c>
      <c r="HK1" s="2" t="s">
        <v>299</v>
      </c>
      <c r="HL1" s="2" t="s">
        <v>300</v>
      </c>
      <c r="HM1" s="2" t="s">
        <v>301</v>
      </c>
      <c r="HN1" s="2" t="s">
        <v>302</v>
      </c>
      <c r="HO1" s="2" t="s">
        <v>303</v>
      </c>
      <c r="HP1" s="2" t="s">
        <v>304</v>
      </c>
      <c r="HQ1" s="2" t="s">
        <v>305</v>
      </c>
      <c r="HR1" s="2" t="s">
        <v>306</v>
      </c>
      <c r="HS1" s="2" t="s">
        <v>307</v>
      </c>
      <c r="HT1" s="2" t="s">
        <v>308</v>
      </c>
      <c r="HU1" s="2" t="s">
        <v>309</v>
      </c>
      <c r="HV1" s="2" t="s">
        <v>310</v>
      </c>
      <c r="HW1" s="2" t="s">
        <v>311</v>
      </c>
      <c r="HX1" s="2" t="s">
        <v>312</v>
      </c>
      <c r="HY1" s="2" t="s">
        <v>313</v>
      </c>
      <c r="HZ1" s="2" t="s">
        <v>314</v>
      </c>
      <c r="IA1" s="2" t="s">
        <v>315</v>
      </c>
      <c r="IB1" s="2" t="s">
        <v>316</v>
      </c>
      <c r="IC1" s="2" t="s">
        <v>317</v>
      </c>
      <c r="ID1" s="2" t="s">
        <v>318</v>
      </c>
      <c r="IE1" s="2" t="s">
        <v>319</v>
      </c>
      <c r="IF1" s="2" t="s">
        <v>320</v>
      </c>
      <c r="IG1" s="2" t="s">
        <v>321</v>
      </c>
      <c r="IH1" s="2" t="s">
        <v>322</v>
      </c>
      <c r="II1" s="2" t="s">
        <v>323</v>
      </c>
      <c r="IJ1" s="2" t="s">
        <v>324</v>
      </c>
      <c r="IK1" s="2" t="s">
        <v>325</v>
      </c>
      <c r="IL1" s="2" t="s">
        <v>326</v>
      </c>
      <c r="IM1" s="2" t="s">
        <v>327</v>
      </c>
      <c r="IN1" s="2" t="s">
        <v>328</v>
      </c>
      <c r="IO1" s="2" t="s">
        <v>329</v>
      </c>
      <c r="IP1" s="2" t="s">
        <v>330</v>
      </c>
      <c r="IQ1" s="2" t="s">
        <v>331</v>
      </c>
      <c r="IR1" s="2" t="s">
        <v>332</v>
      </c>
      <c r="IS1" s="2" t="s">
        <v>333</v>
      </c>
      <c r="IT1" s="2" t="s">
        <v>334</v>
      </c>
      <c r="IU1" s="2" t="s">
        <v>335</v>
      </c>
      <c r="IV1" s="2" t="s">
        <v>336</v>
      </c>
      <c r="IW1" s="2" t="s">
        <v>337</v>
      </c>
      <c r="IX1" s="2" t="s">
        <v>338</v>
      </c>
      <c r="IY1" s="2" t="s">
        <v>339</v>
      </c>
      <c r="IZ1" s="2" t="s">
        <v>340</v>
      </c>
      <c r="JA1" s="2" t="s">
        <v>341</v>
      </c>
      <c r="JB1" s="2" t="s">
        <v>342</v>
      </c>
      <c r="JC1" s="2" t="s">
        <v>343</v>
      </c>
      <c r="JD1" s="2" t="s">
        <v>344</v>
      </c>
      <c r="JE1" s="2" t="s">
        <v>345</v>
      </c>
      <c r="JF1" s="2" t="s">
        <v>346</v>
      </c>
      <c r="JG1" s="2" t="s">
        <v>347</v>
      </c>
      <c r="JH1" s="2" t="s">
        <v>348</v>
      </c>
      <c r="JI1" s="2" t="s">
        <v>349</v>
      </c>
      <c r="JJ1" s="2" t="s">
        <v>350</v>
      </c>
      <c r="JK1" s="2" t="s">
        <v>351</v>
      </c>
      <c r="JL1" s="2" t="s">
        <v>352</v>
      </c>
      <c r="JM1" s="2" t="s">
        <v>353</v>
      </c>
      <c r="JN1" s="2" t="s">
        <v>354</v>
      </c>
      <c r="JO1" s="2" t="s">
        <v>355</v>
      </c>
      <c r="JP1" s="2" t="s">
        <v>356</v>
      </c>
      <c r="JQ1" s="2" t="s">
        <v>357</v>
      </c>
      <c r="JR1" s="2" t="s">
        <v>358</v>
      </c>
      <c r="JS1" s="2" t="s">
        <v>359</v>
      </c>
      <c r="JT1" s="2" t="s">
        <v>360</v>
      </c>
      <c r="JU1" s="2" t="s">
        <v>361</v>
      </c>
      <c r="JV1" s="2" t="s">
        <v>362</v>
      </c>
      <c r="JW1" s="2" t="s">
        <v>363</v>
      </c>
      <c r="JX1" s="2" t="s">
        <v>364</v>
      </c>
      <c r="JY1" s="2" t="s">
        <v>365</v>
      </c>
      <c r="JZ1" s="2" t="s">
        <v>366</v>
      </c>
      <c r="KA1" s="2" t="s">
        <v>367</v>
      </c>
      <c r="KB1" s="2" t="s">
        <v>368</v>
      </c>
      <c r="KC1" s="2" t="s">
        <v>369</v>
      </c>
      <c r="KD1" s="2" t="s">
        <v>370</v>
      </c>
      <c r="KE1" s="2" t="s">
        <v>371</v>
      </c>
      <c r="KF1" s="2" t="s">
        <v>372</v>
      </c>
      <c r="KG1" s="2" t="s">
        <v>373</v>
      </c>
      <c r="KH1" s="2" t="s">
        <v>374</v>
      </c>
      <c r="KI1" s="2" t="s">
        <v>375</v>
      </c>
      <c r="KJ1" s="2" t="s">
        <v>376</v>
      </c>
      <c r="KK1" s="2" t="s">
        <v>377</v>
      </c>
      <c r="KL1" s="2" t="s">
        <v>378</v>
      </c>
      <c r="KM1" s="2" t="s">
        <v>379</v>
      </c>
      <c r="KN1" s="2" t="s">
        <v>380</v>
      </c>
      <c r="KO1" s="2" t="s">
        <v>381</v>
      </c>
      <c r="KP1" s="2" t="s">
        <v>382</v>
      </c>
      <c r="KQ1" s="2" t="s">
        <v>383</v>
      </c>
      <c r="KR1" s="2" t="s">
        <v>384</v>
      </c>
      <c r="KS1" s="2" t="s">
        <v>385</v>
      </c>
      <c r="KT1" s="2" t="s">
        <v>386</v>
      </c>
      <c r="KU1" s="2" t="s">
        <v>387</v>
      </c>
      <c r="KV1" s="2" t="s">
        <v>388</v>
      </c>
      <c r="KW1" s="2" t="s">
        <v>389</v>
      </c>
      <c r="KX1" s="2" t="s">
        <v>390</v>
      </c>
      <c r="KY1" s="2" t="s">
        <v>391</v>
      </c>
      <c r="KZ1" s="2" t="s">
        <v>392</v>
      </c>
      <c r="LA1" s="2" t="s">
        <v>393</v>
      </c>
      <c r="LB1" s="2" t="s">
        <v>394</v>
      </c>
      <c r="LC1" s="2" t="s">
        <v>395</v>
      </c>
      <c r="LD1" s="2" t="s">
        <v>396</v>
      </c>
      <c r="LE1" s="2" t="s">
        <v>397</v>
      </c>
      <c r="LF1" s="2" t="s">
        <v>398</v>
      </c>
      <c r="LG1" s="2" t="s">
        <v>399</v>
      </c>
      <c r="LH1" s="2" t="s">
        <v>400</v>
      </c>
      <c r="LI1" s="2" t="s">
        <v>401</v>
      </c>
      <c r="LJ1" s="2" t="s">
        <v>402</v>
      </c>
      <c r="LK1" s="2" t="s">
        <v>403</v>
      </c>
      <c r="LL1" s="2" t="s">
        <v>404</v>
      </c>
      <c r="LM1" s="2" t="s">
        <v>405</v>
      </c>
      <c r="LN1" s="2" t="s">
        <v>406</v>
      </c>
      <c r="LO1" s="2" t="s">
        <v>407</v>
      </c>
      <c r="LP1" s="2" t="s">
        <v>408</v>
      </c>
      <c r="LQ1" s="2" t="s">
        <v>409</v>
      </c>
      <c r="LR1" s="2" t="s">
        <v>410</v>
      </c>
      <c r="LS1" s="2" t="s">
        <v>411</v>
      </c>
      <c r="LT1" s="2" t="s">
        <v>412</v>
      </c>
      <c r="LU1" s="2" t="s">
        <v>413</v>
      </c>
      <c r="LV1" s="2" t="s">
        <v>414</v>
      </c>
      <c r="LW1" s="2" t="s">
        <v>415</v>
      </c>
      <c r="LX1" s="2" t="s">
        <v>416</v>
      </c>
      <c r="LY1" s="2" t="s">
        <v>417</v>
      </c>
      <c r="LZ1" s="2" t="s">
        <v>418</v>
      </c>
      <c r="MA1" s="2" t="s">
        <v>82</v>
      </c>
    </row>
    <row r="2" spans="1:339" s="2" customFormat="1" x14ac:dyDescent="0.3">
      <c r="A2" s="2" t="s">
        <v>932</v>
      </c>
      <c r="B2" s="2" t="s">
        <v>933</v>
      </c>
      <c r="C2" s="2" t="s">
        <v>695</v>
      </c>
      <c r="F2" s="2" t="s">
        <v>422</v>
      </c>
      <c r="G2" s="2" t="s">
        <v>423</v>
      </c>
      <c r="H2" s="2" t="s">
        <v>423</v>
      </c>
      <c r="I2" s="2" t="s">
        <v>934</v>
      </c>
      <c r="R2" s="2" t="s">
        <v>422</v>
      </c>
      <c r="S2" s="2" t="s">
        <v>830</v>
      </c>
      <c r="T2" s="2" t="s">
        <v>426</v>
      </c>
      <c r="Z2" s="2" t="s">
        <v>428</v>
      </c>
      <c r="AA2" s="2" t="s">
        <v>429</v>
      </c>
      <c r="AB2" s="2" t="s">
        <v>423</v>
      </c>
      <c r="AG2" s="2" t="s">
        <v>430</v>
      </c>
      <c r="AH2" s="2" t="s">
        <v>935</v>
      </c>
      <c r="AI2" s="2" t="s">
        <v>432</v>
      </c>
      <c r="AJ2" s="2" t="s">
        <v>433</v>
      </c>
      <c r="AK2" s="2" t="s">
        <v>433</v>
      </c>
      <c r="AL2" s="2" t="s">
        <v>433</v>
      </c>
      <c r="AM2" s="2" t="s">
        <v>433</v>
      </c>
      <c r="AN2" s="2" t="s">
        <v>432</v>
      </c>
      <c r="AO2" s="2" t="s">
        <v>432</v>
      </c>
      <c r="AP2" s="2" t="s">
        <v>433</v>
      </c>
      <c r="AQ2" s="2" t="s">
        <v>432</v>
      </c>
      <c r="AR2" s="2" t="s">
        <v>432</v>
      </c>
      <c r="AS2" s="2" t="s">
        <v>432</v>
      </c>
      <c r="AT2" s="2" t="s">
        <v>432</v>
      </c>
      <c r="AU2" s="2" t="s">
        <v>432</v>
      </c>
      <c r="AV2" s="2" t="s">
        <v>432</v>
      </c>
      <c r="AX2" s="2" t="s">
        <v>434</v>
      </c>
      <c r="AY2" s="2" t="s">
        <v>433</v>
      </c>
      <c r="AZ2" s="2" t="s">
        <v>433</v>
      </c>
      <c r="BA2" s="2" t="s">
        <v>433</v>
      </c>
      <c r="BB2" s="2" t="s">
        <v>432</v>
      </c>
      <c r="BC2" s="2" t="s">
        <v>432</v>
      </c>
      <c r="BD2" s="2" t="s">
        <v>432</v>
      </c>
      <c r="BE2" s="2" t="s">
        <v>433</v>
      </c>
      <c r="BF2" s="2" t="s">
        <v>433</v>
      </c>
      <c r="BG2" s="2" t="s">
        <v>432</v>
      </c>
      <c r="BH2" s="2" t="s">
        <v>432</v>
      </c>
      <c r="BI2" s="2" t="s">
        <v>432</v>
      </c>
      <c r="BJ2" s="2" t="s">
        <v>432</v>
      </c>
      <c r="BK2" s="2" t="s">
        <v>432</v>
      </c>
      <c r="BL2" s="2" t="s">
        <v>432</v>
      </c>
      <c r="BN2" s="2" t="s">
        <v>513</v>
      </c>
      <c r="BO2" s="2" t="s">
        <v>436</v>
      </c>
      <c r="BQ2" s="2" t="s">
        <v>430</v>
      </c>
      <c r="BR2" s="2" t="s">
        <v>936</v>
      </c>
      <c r="BS2" s="2" t="s">
        <v>432</v>
      </c>
      <c r="BT2" s="2" t="s">
        <v>432</v>
      </c>
      <c r="BU2" s="2" t="s">
        <v>433</v>
      </c>
      <c r="BV2" s="2" t="s">
        <v>432</v>
      </c>
      <c r="BW2" s="2" t="s">
        <v>433</v>
      </c>
      <c r="BX2" s="2" t="s">
        <v>432</v>
      </c>
      <c r="BY2" s="2" t="s">
        <v>432</v>
      </c>
      <c r="BZ2" s="2" t="s">
        <v>433</v>
      </c>
      <c r="CA2" s="2" t="s">
        <v>433</v>
      </c>
      <c r="CB2" s="2" t="s">
        <v>432</v>
      </c>
      <c r="CC2" s="2" t="s">
        <v>433</v>
      </c>
      <c r="CD2" s="2" t="s">
        <v>432</v>
      </c>
      <c r="CE2" s="2" t="s">
        <v>432</v>
      </c>
      <c r="CF2" s="2" t="s">
        <v>432</v>
      </c>
      <c r="CG2" s="2" t="s">
        <v>432</v>
      </c>
      <c r="CI2" s="2" t="s">
        <v>434</v>
      </c>
      <c r="CJ2" s="2" t="s">
        <v>433</v>
      </c>
      <c r="CK2" s="2" t="s">
        <v>433</v>
      </c>
      <c r="CL2" s="2" t="s">
        <v>433</v>
      </c>
      <c r="CM2" s="2" t="s">
        <v>432</v>
      </c>
      <c r="CN2" s="2" t="s">
        <v>432</v>
      </c>
      <c r="CO2" s="2" t="s">
        <v>432</v>
      </c>
      <c r="CP2" s="2" t="s">
        <v>433</v>
      </c>
      <c r="CQ2" s="2" t="s">
        <v>433</v>
      </c>
      <c r="CR2" s="2" t="s">
        <v>432</v>
      </c>
      <c r="CS2" s="2" t="s">
        <v>432</v>
      </c>
      <c r="CT2" s="2" t="s">
        <v>432</v>
      </c>
      <c r="CU2" s="2" t="s">
        <v>432</v>
      </c>
      <c r="CV2" s="2" t="s">
        <v>432</v>
      </c>
      <c r="CW2" s="2" t="s">
        <v>432</v>
      </c>
      <c r="CY2" s="2" t="s">
        <v>513</v>
      </c>
      <c r="CZ2" s="2" t="s">
        <v>436</v>
      </c>
      <c r="DB2" s="2" t="s">
        <v>937</v>
      </c>
      <c r="DC2" s="2" t="s">
        <v>433</v>
      </c>
      <c r="DD2" s="2" t="s">
        <v>433</v>
      </c>
      <c r="DE2" s="2" t="s">
        <v>433</v>
      </c>
      <c r="DF2" s="2" t="s">
        <v>432</v>
      </c>
      <c r="DG2" s="2" t="s">
        <v>432</v>
      </c>
      <c r="DH2" s="2" t="s">
        <v>432</v>
      </c>
      <c r="DI2" s="2" t="s">
        <v>432</v>
      </c>
      <c r="DJ2" s="2" t="s">
        <v>432</v>
      </c>
      <c r="DK2" s="2" t="s">
        <v>432</v>
      </c>
      <c r="DL2" s="2" t="s">
        <v>432</v>
      </c>
      <c r="DZ2" s="2" t="s">
        <v>808</v>
      </c>
      <c r="EA2" s="2" t="s">
        <v>432</v>
      </c>
      <c r="EB2" s="2" t="s">
        <v>433</v>
      </c>
      <c r="EC2" s="2" t="s">
        <v>433</v>
      </c>
      <c r="ED2" s="2" t="s">
        <v>432</v>
      </c>
      <c r="EE2" s="2" t="s">
        <v>432</v>
      </c>
      <c r="EF2" s="2" t="s">
        <v>432</v>
      </c>
      <c r="EG2" s="2" t="s">
        <v>432</v>
      </c>
      <c r="EH2" s="2" t="s">
        <v>432</v>
      </c>
      <c r="EI2" s="2" t="s">
        <v>432</v>
      </c>
      <c r="EL2" s="2" t="s">
        <v>938</v>
      </c>
      <c r="EM2" s="2" t="s">
        <v>432</v>
      </c>
      <c r="EN2" s="2" t="s">
        <v>433</v>
      </c>
      <c r="EO2" s="2" t="s">
        <v>433</v>
      </c>
      <c r="EP2" s="2" t="s">
        <v>432</v>
      </c>
      <c r="EQ2" s="2" t="s">
        <v>432</v>
      </c>
      <c r="ER2" s="2" t="s">
        <v>433</v>
      </c>
      <c r="ES2" s="2" t="s">
        <v>432</v>
      </c>
      <c r="ET2" s="2" t="s">
        <v>432</v>
      </c>
      <c r="EU2" s="2" t="s">
        <v>432</v>
      </c>
      <c r="EV2" s="2" t="s">
        <v>432</v>
      </c>
      <c r="EX2" s="2" t="s">
        <v>456</v>
      </c>
      <c r="GN2" s="2" t="s">
        <v>508</v>
      </c>
      <c r="GO2" s="2" t="s">
        <v>508</v>
      </c>
      <c r="GP2" s="2" t="s">
        <v>511</v>
      </c>
      <c r="GQ2" s="2" t="s">
        <v>433</v>
      </c>
      <c r="GR2" s="2" t="s">
        <v>433</v>
      </c>
      <c r="GS2" s="2" t="s">
        <v>433</v>
      </c>
      <c r="GT2" s="2" t="s">
        <v>432</v>
      </c>
      <c r="GU2" s="2" t="s">
        <v>432</v>
      </c>
      <c r="GV2" s="2" t="s">
        <v>432</v>
      </c>
      <c r="GW2" s="2" t="s">
        <v>432</v>
      </c>
      <c r="GX2" s="2" t="s">
        <v>432</v>
      </c>
      <c r="GZ2" s="2" t="s">
        <v>939</v>
      </c>
      <c r="HA2" s="2" t="s">
        <v>433</v>
      </c>
      <c r="HB2" s="2" t="s">
        <v>433</v>
      </c>
      <c r="HC2" s="2" t="s">
        <v>433</v>
      </c>
      <c r="HD2" s="2" t="s">
        <v>432</v>
      </c>
      <c r="HE2" s="2" t="s">
        <v>432</v>
      </c>
      <c r="HF2" s="2" t="s">
        <v>432</v>
      </c>
      <c r="HI2" s="2" t="s">
        <v>508</v>
      </c>
      <c r="HJ2" s="2" t="s">
        <v>924</v>
      </c>
      <c r="HK2" s="2" t="s">
        <v>432</v>
      </c>
      <c r="HL2" s="2" t="s">
        <v>432</v>
      </c>
      <c r="HM2" s="2" t="s">
        <v>432</v>
      </c>
      <c r="HN2" s="2" t="s">
        <v>432</v>
      </c>
      <c r="HO2" s="2" t="s">
        <v>433</v>
      </c>
      <c r="HP2" s="2" t="s">
        <v>433</v>
      </c>
      <c r="HQ2" s="2" t="s">
        <v>433</v>
      </c>
      <c r="HR2" s="2" t="s">
        <v>432</v>
      </c>
      <c r="HS2" s="2" t="s">
        <v>432</v>
      </c>
      <c r="HT2" s="2" t="s">
        <v>432</v>
      </c>
      <c r="HV2" s="2" t="s">
        <v>430</v>
      </c>
      <c r="HX2" s="2" t="s">
        <v>940</v>
      </c>
      <c r="HY2" s="2" t="s">
        <v>433</v>
      </c>
      <c r="HZ2" s="2" t="s">
        <v>433</v>
      </c>
      <c r="IA2" s="2" t="s">
        <v>433</v>
      </c>
      <c r="IB2" s="2" t="s">
        <v>433</v>
      </c>
      <c r="IC2" s="2" t="s">
        <v>433</v>
      </c>
      <c r="ID2" s="2" t="s">
        <v>432</v>
      </c>
      <c r="IE2" s="2" t="s">
        <v>432</v>
      </c>
      <c r="IF2" s="2" t="s">
        <v>432</v>
      </c>
      <c r="IG2" s="2" t="s">
        <v>432</v>
      </c>
      <c r="IH2" s="2" t="s">
        <v>432</v>
      </c>
      <c r="II2" s="2" t="s">
        <v>432</v>
      </c>
      <c r="IJ2" s="2" t="s">
        <v>432</v>
      </c>
      <c r="IK2" s="2" t="s">
        <v>432</v>
      </c>
      <c r="IL2" s="2" t="s">
        <v>432</v>
      </c>
      <c r="IN2" s="2" t="s">
        <v>941</v>
      </c>
      <c r="JA2" s="2" t="s">
        <v>515</v>
      </c>
      <c r="JB2" s="2" t="s">
        <v>433</v>
      </c>
      <c r="JC2" s="2" t="s">
        <v>433</v>
      </c>
      <c r="JD2" s="2" t="s">
        <v>433</v>
      </c>
      <c r="JE2" s="2" t="s">
        <v>432</v>
      </c>
      <c r="JF2" s="2" t="s">
        <v>432</v>
      </c>
      <c r="JG2" s="2" t="s">
        <v>432</v>
      </c>
      <c r="JI2" s="2" t="s">
        <v>926</v>
      </c>
      <c r="JJ2" s="2" t="s">
        <v>433</v>
      </c>
      <c r="JK2" s="2" t="s">
        <v>433</v>
      </c>
      <c r="JL2" s="2" t="s">
        <v>433</v>
      </c>
      <c r="JM2" s="2" t="s">
        <v>432</v>
      </c>
      <c r="JN2" s="2" t="s">
        <v>433</v>
      </c>
      <c r="JO2" s="2" t="s">
        <v>432</v>
      </c>
      <c r="JP2" s="2" t="s">
        <v>433</v>
      </c>
      <c r="JQ2" s="2" t="s">
        <v>432</v>
      </c>
      <c r="JR2" s="2" t="s">
        <v>432</v>
      </c>
      <c r="JT2" s="2" t="s">
        <v>942</v>
      </c>
      <c r="JU2" s="2" t="s">
        <v>433</v>
      </c>
      <c r="JV2" s="2" t="s">
        <v>433</v>
      </c>
      <c r="JW2" s="2" t="s">
        <v>432</v>
      </c>
      <c r="JX2" s="2" t="s">
        <v>432</v>
      </c>
      <c r="JY2" s="2" t="s">
        <v>433</v>
      </c>
      <c r="JZ2" s="2" t="s">
        <v>432</v>
      </c>
      <c r="KA2" s="2" t="s">
        <v>433</v>
      </c>
      <c r="KB2" s="2" t="s">
        <v>432</v>
      </c>
      <c r="KC2" s="2" t="s">
        <v>432</v>
      </c>
      <c r="KF2" s="2" t="s">
        <v>430</v>
      </c>
      <c r="KG2" s="2" t="s">
        <v>927</v>
      </c>
      <c r="KH2" s="2" t="s">
        <v>433</v>
      </c>
      <c r="KI2" s="2" t="s">
        <v>433</v>
      </c>
      <c r="KJ2" s="2" t="s">
        <v>433</v>
      </c>
      <c r="KK2" s="2" t="s">
        <v>432</v>
      </c>
      <c r="KL2" s="2" t="s">
        <v>433</v>
      </c>
      <c r="KM2" s="2" t="s">
        <v>432</v>
      </c>
      <c r="KN2" s="2" t="s">
        <v>433</v>
      </c>
      <c r="KO2" s="2" t="s">
        <v>432</v>
      </c>
      <c r="KP2" s="2" t="s">
        <v>432</v>
      </c>
      <c r="KQ2" s="2" t="s">
        <v>432</v>
      </c>
      <c r="KR2" s="2" t="s">
        <v>432</v>
      </c>
      <c r="LB2" s="2" t="s">
        <v>430</v>
      </c>
      <c r="LC2" s="2" t="s">
        <v>943</v>
      </c>
      <c r="LD2" s="2" t="s">
        <v>433</v>
      </c>
      <c r="LE2" s="2" t="s">
        <v>432</v>
      </c>
      <c r="LF2" s="2" t="s">
        <v>433</v>
      </c>
      <c r="LG2" s="2" t="s">
        <v>433</v>
      </c>
      <c r="LH2" s="2" t="s">
        <v>433</v>
      </c>
      <c r="LI2" s="2" t="s">
        <v>432</v>
      </c>
      <c r="LJ2" s="2" t="s">
        <v>432</v>
      </c>
      <c r="LK2" s="2" t="s">
        <v>432</v>
      </c>
      <c r="LL2" s="2" t="s">
        <v>432</v>
      </c>
      <c r="LM2" s="2" t="s">
        <v>432</v>
      </c>
      <c r="LO2" s="2" t="s">
        <v>430</v>
      </c>
      <c r="LP2" s="2" t="s">
        <v>430</v>
      </c>
      <c r="LR2" s="2" t="s">
        <v>944</v>
      </c>
      <c r="LS2" s="2">
        <v>169351646</v>
      </c>
      <c r="LT2" s="2" t="s">
        <v>945</v>
      </c>
      <c r="LU2" s="2" t="s">
        <v>946</v>
      </c>
      <c r="LW2" s="2" t="s">
        <v>460</v>
      </c>
      <c r="LX2" s="2" t="s">
        <v>461</v>
      </c>
      <c r="LY2" s="2" t="s">
        <v>462</v>
      </c>
      <c r="MA2" s="2">
        <v>25</v>
      </c>
    </row>
    <row r="3" spans="1:339" s="2" customFormat="1" x14ac:dyDescent="0.3">
      <c r="A3" s="2" t="s">
        <v>1199</v>
      </c>
      <c r="B3" s="2" t="s">
        <v>1200</v>
      </c>
      <c r="C3" s="2" t="s">
        <v>1185</v>
      </c>
      <c r="F3" s="2" t="s">
        <v>422</v>
      </c>
      <c r="G3" s="2" t="s">
        <v>466</v>
      </c>
      <c r="H3" s="2" t="s">
        <v>466</v>
      </c>
      <c r="I3" s="2" t="s">
        <v>466</v>
      </c>
      <c r="R3" s="2" t="s">
        <v>422</v>
      </c>
      <c r="S3" s="2" t="s">
        <v>524</v>
      </c>
      <c r="T3" s="2" t="s">
        <v>503</v>
      </c>
      <c r="AG3" s="2" t="s">
        <v>430</v>
      </c>
      <c r="AH3" s="2" t="s">
        <v>1201</v>
      </c>
      <c r="AI3" s="2" t="s">
        <v>432</v>
      </c>
      <c r="AJ3" s="2" t="s">
        <v>432</v>
      </c>
      <c r="AK3" s="2" t="s">
        <v>433</v>
      </c>
      <c r="AL3" s="2" t="s">
        <v>432</v>
      </c>
      <c r="AM3" s="2" t="s">
        <v>432</v>
      </c>
      <c r="AN3" s="2" t="s">
        <v>432</v>
      </c>
      <c r="AO3" s="2" t="s">
        <v>432</v>
      </c>
      <c r="AP3" s="2" t="s">
        <v>432</v>
      </c>
      <c r="AQ3" s="2" t="s">
        <v>432</v>
      </c>
      <c r="AR3" s="2" t="s">
        <v>432</v>
      </c>
      <c r="AS3" s="2" t="s">
        <v>432</v>
      </c>
      <c r="AT3" s="2" t="s">
        <v>432</v>
      </c>
      <c r="AU3" s="2" t="s">
        <v>432</v>
      </c>
      <c r="AV3" s="2" t="s">
        <v>432</v>
      </c>
      <c r="AX3" s="2" t="s">
        <v>807</v>
      </c>
      <c r="AY3" s="2" t="s">
        <v>432</v>
      </c>
      <c r="AZ3" s="2" t="s">
        <v>432</v>
      </c>
      <c r="BA3" s="2" t="s">
        <v>432</v>
      </c>
      <c r="BB3" s="2" t="s">
        <v>432</v>
      </c>
      <c r="BC3" s="2" t="s">
        <v>433</v>
      </c>
      <c r="BD3" s="2" t="s">
        <v>433</v>
      </c>
      <c r="BE3" s="2" t="s">
        <v>432</v>
      </c>
      <c r="BF3" s="2" t="s">
        <v>432</v>
      </c>
      <c r="BG3" s="2" t="s">
        <v>432</v>
      </c>
      <c r="BH3" s="2" t="s">
        <v>432</v>
      </c>
      <c r="BI3" s="2" t="s">
        <v>432</v>
      </c>
      <c r="BJ3" s="2" t="s">
        <v>432</v>
      </c>
      <c r="BK3" s="2" t="s">
        <v>432</v>
      </c>
      <c r="BL3" s="2" t="s">
        <v>432</v>
      </c>
      <c r="BN3" s="2" t="s">
        <v>433</v>
      </c>
      <c r="BO3" s="2" t="s">
        <v>547</v>
      </c>
      <c r="BQ3" s="2" t="s">
        <v>430</v>
      </c>
      <c r="BR3" s="2" t="s">
        <v>1202</v>
      </c>
      <c r="BS3" s="2" t="s">
        <v>432</v>
      </c>
      <c r="BT3" s="2" t="s">
        <v>433</v>
      </c>
      <c r="BU3" s="2" t="s">
        <v>433</v>
      </c>
      <c r="BV3" s="2" t="s">
        <v>433</v>
      </c>
      <c r="BW3" s="2" t="s">
        <v>433</v>
      </c>
      <c r="BX3" s="2" t="s">
        <v>432</v>
      </c>
      <c r="BY3" s="2" t="s">
        <v>433</v>
      </c>
      <c r="BZ3" s="2" t="s">
        <v>432</v>
      </c>
      <c r="CA3" s="2" t="s">
        <v>432</v>
      </c>
      <c r="CB3" s="2" t="s">
        <v>432</v>
      </c>
      <c r="CC3" s="2" t="s">
        <v>432</v>
      </c>
      <c r="CD3" s="2" t="s">
        <v>432</v>
      </c>
      <c r="CE3" s="2" t="s">
        <v>432</v>
      </c>
      <c r="CF3" s="2" t="s">
        <v>432</v>
      </c>
      <c r="CG3" s="2" t="s">
        <v>432</v>
      </c>
      <c r="CI3" s="2" t="s">
        <v>1203</v>
      </c>
      <c r="CJ3" s="2" t="s">
        <v>432</v>
      </c>
      <c r="CK3" s="2" t="s">
        <v>433</v>
      </c>
      <c r="CL3" s="2" t="s">
        <v>433</v>
      </c>
      <c r="CM3" s="2" t="s">
        <v>433</v>
      </c>
      <c r="CN3" s="2" t="s">
        <v>433</v>
      </c>
      <c r="CO3" s="2" t="s">
        <v>432</v>
      </c>
      <c r="CP3" s="2" t="s">
        <v>432</v>
      </c>
      <c r="CQ3" s="2" t="s">
        <v>432</v>
      </c>
      <c r="CR3" s="2" t="s">
        <v>432</v>
      </c>
      <c r="CS3" s="2" t="s">
        <v>432</v>
      </c>
      <c r="CT3" s="2" t="s">
        <v>432</v>
      </c>
      <c r="CU3" s="2" t="s">
        <v>432</v>
      </c>
      <c r="CV3" s="2" t="s">
        <v>432</v>
      </c>
      <c r="CW3" s="2" t="s">
        <v>432</v>
      </c>
      <c r="CY3" s="2" t="s">
        <v>513</v>
      </c>
      <c r="CZ3" s="2" t="s">
        <v>547</v>
      </c>
      <c r="DZ3" s="2" t="s">
        <v>808</v>
      </c>
      <c r="EA3" s="2" t="s">
        <v>432</v>
      </c>
      <c r="EB3" s="2" t="s">
        <v>433</v>
      </c>
      <c r="EC3" s="2" t="s">
        <v>433</v>
      </c>
      <c r="ED3" s="2" t="s">
        <v>432</v>
      </c>
      <c r="EE3" s="2" t="s">
        <v>432</v>
      </c>
      <c r="EF3" s="2" t="s">
        <v>432</v>
      </c>
      <c r="EG3" s="2" t="s">
        <v>432</v>
      </c>
      <c r="EH3" s="2" t="s">
        <v>432</v>
      </c>
      <c r="EI3" s="2" t="s">
        <v>432</v>
      </c>
      <c r="EL3" s="2" t="s">
        <v>822</v>
      </c>
      <c r="EM3" s="2" t="s">
        <v>432</v>
      </c>
      <c r="EN3" s="2" t="s">
        <v>433</v>
      </c>
      <c r="EO3" s="2" t="s">
        <v>433</v>
      </c>
      <c r="EP3" s="2" t="s">
        <v>432</v>
      </c>
      <c r="EQ3" s="2" t="s">
        <v>432</v>
      </c>
      <c r="ER3" s="2" t="s">
        <v>432</v>
      </c>
      <c r="ES3" s="2" t="s">
        <v>432</v>
      </c>
      <c r="ET3" s="2" t="s">
        <v>432</v>
      </c>
      <c r="EU3" s="2" t="s">
        <v>432</v>
      </c>
      <c r="EV3" s="2" t="s">
        <v>432</v>
      </c>
      <c r="EX3" s="2" t="s">
        <v>430</v>
      </c>
      <c r="EY3" s="2" t="s">
        <v>1204</v>
      </c>
      <c r="EZ3" s="2" t="s">
        <v>433</v>
      </c>
      <c r="FA3" s="2" t="s">
        <v>432</v>
      </c>
      <c r="FB3" s="2" t="s">
        <v>433</v>
      </c>
      <c r="FC3" s="2" t="s">
        <v>432</v>
      </c>
      <c r="FD3" s="2" t="s">
        <v>432</v>
      </c>
      <c r="FE3" s="2" t="s">
        <v>432</v>
      </c>
      <c r="FF3" s="2" t="s">
        <v>432</v>
      </c>
      <c r="FG3" s="2" t="s">
        <v>432</v>
      </c>
      <c r="FH3" s="2" t="s">
        <v>432</v>
      </c>
      <c r="FI3" s="2" t="s">
        <v>432</v>
      </c>
      <c r="FJ3" s="2" t="s">
        <v>433</v>
      </c>
      <c r="FK3" s="2" t="s">
        <v>432</v>
      </c>
      <c r="FL3" s="2" t="s">
        <v>432</v>
      </c>
      <c r="FM3" s="2" t="s">
        <v>432</v>
      </c>
      <c r="FO3" s="2" t="s">
        <v>481</v>
      </c>
      <c r="FP3" s="2" t="s">
        <v>601</v>
      </c>
      <c r="GA3" s="2" t="s">
        <v>444</v>
      </c>
      <c r="GB3" s="2" t="s">
        <v>602</v>
      </c>
      <c r="GC3" s="2" t="s">
        <v>484</v>
      </c>
      <c r="GD3" s="2" t="s">
        <v>432</v>
      </c>
      <c r="GE3" s="2" t="s">
        <v>433</v>
      </c>
      <c r="GF3" s="2" t="s">
        <v>432</v>
      </c>
      <c r="GG3" s="2" t="s">
        <v>433</v>
      </c>
      <c r="GH3" s="2" t="s">
        <v>432</v>
      </c>
      <c r="GI3" s="2" t="s">
        <v>433</v>
      </c>
      <c r="GJ3" s="2" t="s">
        <v>432</v>
      </c>
      <c r="GK3" s="2" t="s">
        <v>432</v>
      </c>
      <c r="GL3" s="2" t="s">
        <v>432</v>
      </c>
      <c r="GN3" s="2" t="s">
        <v>442</v>
      </c>
      <c r="GO3" s="2" t="s">
        <v>481</v>
      </c>
      <c r="GP3" s="2" t="s">
        <v>622</v>
      </c>
      <c r="GQ3" s="2" t="s">
        <v>433</v>
      </c>
      <c r="GR3" s="2" t="s">
        <v>433</v>
      </c>
      <c r="GS3" s="2" t="s">
        <v>433</v>
      </c>
      <c r="GT3" s="2" t="s">
        <v>432</v>
      </c>
      <c r="GU3" s="2" t="s">
        <v>432</v>
      </c>
      <c r="GV3" s="2" t="s">
        <v>432</v>
      </c>
      <c r="GW3" s="2" t="s">
        <v>432</v>
      </c>
      <c r="GX3" s="2" t="s">
        <v>432</v>
      </c>
      <c r="GZ3" s="2" t="s">
        <v>882</v>
      </c>
      <c r="HA3" s="2" t="s">
        <v>433</v>
      </c>
      <c r="HB3" s="2" t="s">
        <v>433</v>
      </c>
      <c r="HC3" s="2" t="s">
        <v>433</v>
      </c>
      <c r="HD3" s="2" t="s">
        <v>432</v>
      </c>
      <c r="HE3" s="2" t="s">
        <v>432</v>
      </c>
      <c r="HF3" s="2" t="s">
        <v>432</v>
      </c>
      <c r="HI3" s="2" t="s">
        <v>456</v>
      </c>
      <c r="HV3" s="2" t="s">
        <v>430</v>
      </c>
      <c r="HX3" s="2" t="s">
        <v>1205</v>
      </c>
      <c r="HY3" s="2" t="s">
        <v>432</v>
      </c>
      <c r="HZ3" s="2" t="s">
        <v>433</v>
      </c>
      <c r="IA3" s="2" t="s">
        <v>433</v>
      </c>
      <c r="IB3" s="2" t="s">
        <v>433</v>
      </c>
      <c r="IC3" s="2" t="s">
        <v>432</v>
      </c>
      <c r="ID3" s="2" t="s">
        <v>432</v>
      </c>
      <c r="IE3" s="2" t="s">
        <v>432</v>
      </c>
      <c r="IF3" s="2" t="s">
        <v>432</v>
      </c>
      <c r="IG3" s="2" t="s">
        <v>432</v>
      </c>
      <c r="IH3" s="2" t="s">
        <v>432</v>
      </c>
      <c r="II3" s="2" t="s">
        <v>432</v>
      </c>
      <c r="IJ3" s="2" t="s">
        <v>432</v>
      </c>
      <c r="IK3" s="2" t="s">
        <v>432</v>
      </c>
      <c r="IL3" s="2" t="s">
        <v>432</v>
      </c>
      <c r="IN3" s="2" t="s">
        <v>1206</v>
      </c>
      <c r="IO3" s="2" t="s">
        <v>1207</v>
      </c>
      <c r="IP3" s="2" t="s">
        <v>432</v>
      </c>
      <c r="IQ3" s="2" t="s">
        <v>433</v>
      </c>
      <c r="IR3" s="2" t="s">
        <v>433</v>
      </c>
      <c r="IS3" s="2" t="s">
        <v>432</v>
      </c>
      <c r="IT3" s="2" t="s">
        <v>433</v>
      </c>
      <c r="IU3" s="2" t="s">
        <v>433</v>
      </c>
      <c r="IV3" s="2" t="s">
        <v>432</v>
      </c>
      <c r="IW3" s="2" t="s">
        <v>432</v>
      </c>
      <c r="IX3" s="2" t="s">
        <v>432</v>
      </c>
      <c r="IY3" s="2" t="s">
        <v>432</v>
      </c>
      <c r="JA3" s="2" t="s">
        <v>580</v>
      </c>
      <c r="JB3" s="2" t="s">
        <v>432</v>
      </c>
      <c r="JC3" s="2" t="s">
        <v>433</v>
      </c>
      <c r="JD3" s="2" t="s">
        <v>433</v>
      </c>
      <c r="JE3" s="2" t="s">
        <v>432</v>
      </c>
      <c r="JF3" s="2" t="s">
        <v>432</v>
      </c>
      <c r="JG3" s="2" t="s">
        <v>432</v>
      </c>
      <c r="JT3" s="2" t="s">
        <v>1208</v>
      </c>
      <c r="JU3" s="2" t="s">
        <v>433</v>
      </c>
      <c r="JV3" s="2" t="s">
        <v>433</v>
      </c>
      <c r="JW3" s="2" t="s">
        <v>432</v>
      </c>
      <c r="JX3" s="2" t="s">
        <v>432</v>
      </c>
      <c r="JY3" s="2" t="s">
        <v>432</v>
      </c>
      <c r="JZ3" s="2" t="s">
        <v>432</v>
      </c>
      <c r="KA3" s="2" t="s">
        <v>432</v>
      </c>
      <c r="KB3" s="2" t="s">
        <v>433</v>
      </c>
      <c r="KC3" s="2" t="s">
        <v>432</v>
      </c>
      <c r="KD3" s="2" t="s">
        <v>1209</v>
      </c>
      <c r="KF3" s="2" t="s">
        <v>430</v>
      </c>
      <c r="KG3" s="2" t="s">
        <v>1210</v>
      </c>
      <c r="KH3" s="2" t="s">
        <v>433</v>
      </c>
      <c r="KI3" s="2" t="s">
        <v>433</v>
      </c>
      <c r="KJ3" s="2" t="s">
        <v>432</v>
      </c>
      <c r="KK3" s="2" t="s">
        <v>433</v>
      </c>
      <c r="KL3" s="2" t="s">
        <v>433</v>
      </c>
      <c r="KM3" s="2" t="s">
        <v>432</v>
      </c>
      <c r="KN3" s="2" t="s">
        <v>432</v>
      </c>
      <c r="KO3" s="2" t="s">
        <v>432</v>
      </c>
      <c r="KP3" s="2" t="s">
        <v>432</v>
      </c>
      <c r="KQ3" s="2" t="s">
        <v>432</v>
      </c>
      <c r="KR3" s="2" t="s">
        <v>432</v>
      </c>
      <c r="KT3" s="2" t="s">
        <v>518</v>
      </c>
      <c r="KU3" s="2" t="s">
        <v>432</v>
      </c>
      <c r="KV3" s="2" t="s">
        <v>433</v>
      </c>
      <c r="KW3" s="2" t="s">
        <v>433</v>
      </c>
      <c r="KX3" s="2" t="s">
        <v>432</v>
      </c>
      <c r="KY3" s="2" t="s">
        <v>432</v>
      </c>
      <c r="KZ3" s="2" t="s">
        <v>432</v>
      </c>
      <c r="LB3" s="2" t="s">
        <v>456</v>
      </c>
      <c r="LP3" s="2" t="s">
        <v>430</v>
      </c>
      <c r="LS3" s="2">
        <v>170008214</v>
      </c>
      <c r="LT3" s="2" t="s">
        <v>1211</v>
      </c>
      <c r="LU3" s="2" t="s">
        <v>1212</v>
      </c>
      <c r="LW3" s="2" t="s">
        <v>460</v>
      </c>
      <c r="LX3" s="2" t="s">
        <v>461</v>
      </c>
      <c r="LY3" s="2" t="s">
        <v>462</v>
      </c>
      <c r="MA3" s="2">
        <v>44</v>
      </c>
    </row>
    <row r="4" spans="1:339" s="2" customFormat="1" x14ac:dyDescent="0.3">
      <c r="A4" s="2" t="s">
        <v>1156</v>
      </c>
      <c r="B4" s="2" t="s">
        <v>1157</v>
      </c>
      <c r="C4" s="2" t="s">
        <v>1112</v>
      </c>
      <c r="F4" s="2" t="s">
        <v>422</v>
      </c>
      <c r="G4" s="2" t="s">
        <v>633</v>
      </c>
      <c r="H4" s="2" t="s">
        <v>633</v>
      </c>
      <c r="I4" s="2" t="s">
        <v>1158</v>
      </c>
      <c r="R4" s="2" t="s">
        <v>422</v>
      </c>
      <c r="S4" s="2" t="s">
        <v>1113</v>
      </c>
      <c r="T4" s="2" t="s">
        <v>426</v>
      </c>
      <c r="Z4" s="2" t="s">
        <v>428</v>
      </c>
      <c r="AA4" s="2" t="s">
        <v>429</v>
      </c>
      <c r="AB4" s="2" t="s">
        <v>633</v>
      </c>
      <c r="AG4" s="2" t="s">
        <v>456</v>
      </c>
      <c r="BQ4" s="2" t="s">
        <v>456</v>
      </c>
      <c r="DZ4" s="2" t="s">
        <v>1087</v>
      </c>
      <c r="EA4" s="2" t="s">
        <v>433</v>
      </c>
      <c r="EB4" s="2" t="s">
        <v>433</v>
      </c>
      <c r="EC4" s="2" t="s">
        <v>433</v>
      </c>
      <c r="ED4" s="2" t="s">
        <v>433</v>
      </c>
      <c r="EE4" s="2" t="s">
        <v>433</v>
      </c>
      <c r="EF4" s="2" t="s">
        <v>433</v>
      </c>
      <c r="EG4" s="2" t="s">
        <v>432</v>
      </c>
      <c r="EH4" s="2" t="s">
        <v>432</v>
      </c>
      <c r="EI4" s="2" t="s">
        <v>432</v>
      </c>
      <c r="EL4" s="2" t="s">
        <v>1159</v>
      </c>
      <c r="EM4" s="2" t="s">
        <v>432</v>
      </c>
      <c r="EN4" s="2" t="s">
        <v>433</v>
      </c>
      <c r="EO4" s="2" t="s">
        <v>433</v>
      </c>
      <c r="EP4" s="2" t="s">
        <v>433</v>
      </c>
      <c r="EQ4" s="2" t="s">
        <v>433</v>
      </c>
      <c r="ER4" s="2" t="s">
        <v>433</v>
      </c>
      <c r="ES4" s="2" t="s">
        <v>432</v>
      </c>
      <c r="ET4" s="2" t="s">
        <v>432</v>
      </c>
      <c r="EU4" s="2" t="s">
        <v>432</v>
      </c>
      <c r="EV4" s="2" t="s">
        <v>432</v>
      </c>
      <c r="EX4" s="2" t="s">
        <v>430</v>
      </c>
      <c r="EY4" s="2" t="s">
        <v>1160</v>
      </c>
      <c r="EZ4" s="2" t="s">
        <v>433</v>
      </c>
      <c r="FA4" s="2" t="s">
        <v>432</v>
      </c>
      <c r="FB4" s="2" t="s">
        <v>433</v>
      </c>
      <c r="FC4" s="2" t="s">
        <v>433</v>
      </c>
      <c r="FD4" s="2" t="s">
        <v>433</v>
      </c>
      <c r="FE4" s="2" t="s">
        <v>433</v>
      </c>
      <c r="FF4" s="2" t="s">
        <v>432</v>
      </c>
      <c r="FG4" s="2" t="s">
        <v>432</v>
      </c>
      <c r="FH4" s="2" t="s">
        <v>433</v>
      </c>
      <c r="FI4" s="2" t="s">
        <v>432</v>
      </c>
      <c r="FJ4" s="2" t="s">
        <v>433</v>
      </c>
      <c r="FK4" s="2" t="s">
        <v>432</v>
      </c>
      <c r="FL4" s="2" t="s">
        <v>432</v>
      </c>
      <c r="FM4" s="2" t="s">
        <v>432</v>
      </c>
      <c r="FO4" s="2" t="s">
        <v>481</v>
      </c>
      <c r="FP4" s="2" t="s">
        <v>481</v>
      </c>
      <c r="FQ4" s="2" t="s">
        <v>836</v>
      </c>
      <c r="FR4" s="2" t="s">
        <v>433</v>
      </c>
      <c r="FS4" s="2" t="s">
        <v>433</v>
      </c>
      <c r="FT4" s="2" t="s">
        <v>432</v>
      </c>
      <c r="FU4" s="2" t="s">
        <v>432</v>
      </c>
      <c r="FV4" s="2" t="s">
        <v>432</v>
      </c>
      <c r="FW4" s="2" t="s">
        <v>432</v>
      </c>
      <c r="FX4" s="2" t="s">
        <v>432</v>
      </c>
      <c r="FY4" s="2" t="s">
        <v>432</v>
      </c>
      <c r="GA4" s="2" t="s">
        <v>483</v>
      </c>
      <c r="GB4" s="2" t="s">
        <v>444</v>
      </c>
      <c r="GC4" s="2" t="s">
        <v>1161</v>
      </c>
      <c r="GD4" s="2" t="s">
        <v>433</v>
      </c>
      <c r="GE4" s="2" t="s">
        <v>432</v>
      </c>
      <c r="GF4" s="2" t="s">
        <v>433</v>
      </c>
      <c r="GG4" s="2" t="s">
        <v>433</v>
      </c>
      <c r="GH4" s="2" t="s">
        <v>433</v>
      </c>
      <c r="GI4" s="2" t="s">
        <v>432</v>
      </c>
      <c r="GJ4" s="2" t="s">
        <v>432</v>
      </c>
      <c r="GK4" s="2" t="s">
        <v>432</v>
      </c>
      <c r="GL4" s="2" t="s">
        <v>432</v>
      </c>
      <c r="GN4" s="2" t="s">
        <v>481</v>
      </c>
      <c r="GO4" s="2" t="s">
        <v>481</v>
      </c>
      <c r="GP4" s="2" t="s">
        <v>1105</v>
      </c>
      <c r="GQ4" s="2" t="s">
        <v>433</v>
      </c>
      <c r="GR4" s="2" t="s">
        <v>432</v>
      </c>
      <c r="GS4" s="2" t="s">
        <v>433</v>
      </c>
      <c r="GT4" s="2" t="s">
        <v>432</v>
      </c>
      <c r="GU4" s="2" t="s">
        <v>432</v>
      </c>
      <c r="GV4" s="2" t="s">
        <v>433</v>
      </c>
      <c r="GW4" s="2" t="s">
        <v>432</v>
      </c>
      <c r="GX4" s="2" t="s">
        <v>432</v>
      </c>
      <c r="GZ4" s="2" t="s">
        <v>643</v>
      </c>
      <c r="HA4" s="2" t="s">
        <v>433</v>
      </c>
      <c r="HB4" s="2" t="s">
        <v>432</v>
      </c>
      <c r="HC4" s="2" t="s">
        <v>432</v>
      </c>
      <c r="HD4" s="2" t="s">
        <v>432</v>
      </c>
      <c r="HE4" s="2" t="s">
        <v>432</v>
      </c>
      <c r="HF4" s="2" t="s">
        <v>432</v>
      </c>
      <c r="HI4" s="2" t="s">
        <v>442</v>
      </c>
      <c r="HJ4" s="2" t="s">
        <v>1162</v>
      </c>
      <c r="HK4" s="2" t="s">
        <v>432</v>
      </c>
      <c r="HL4" s="2" t="s">
        <v>432</v>
      </c>
      <c r="HM4" s="2" t="s">
        <v>433</v>
      </c>
      <c r="HN4" s="2" t="s">
        <v>432</v>
      </c>
      <c r="HO4" s="2" t="s">
        <v>433</v>
      </c>
      <c r="HP4" s="2" t="s">
        <v>433</v>
      </c>
      <c r="HQ4" s="2" t="s">
        <v>432</v>
      </c>
      <c r="HR4" s="2" t="s">
        <v>432</v>
      </c>
      <c r="HS4" s="2" t="s">
        <v>432</v>
      </c>
      <c r="HT4" s="2" t="s">
        <v>432</v>
      </c>
      <c r="HV4" s="2" t="s">
        <v>430</v>
      </c>
      <c r="IN4" s="2" t="s">
        <v>709</v>
      </c>
      <c r="IO4" s="2" t="s">
        <v>1163</v>
      </c>
      <c r="IP4" s="2" t="s">
        <v>433</v>
      </c>
      <c r="IQ4" s="2" t="s">
        <v>432</v>
      </c>
      <c r="IR4" s="2" t="s">
        <v>432</v>
      </c>
      <c r="IS4" s="2" t="s">
        <v>433</v>
      </c>
      <c r="IT4" s="2" t="s">
        <v>432</v>
      </c>
      <c r="IU4" s="2" t="s">
        <v>432</v>
      </c>
      <c r="IV4" s="2" t="s">
        <v>432</v>
      </c>
      <c r="IW4" s="2" t="s">
        <v>433</v>
      </c>
      <c r="IX4" s="2" t="s">
        <v>432</v>
      </c>
      <c r="IY4" s="2" t="s">
        <v>432</v>
      </c>
      <c r="JA4" s="2" t="s">
        <v>580</v>
      </c>
      <c r="JB4" s="2" t="s">
        <v>432</v>
      </c>
      <c r="JC4" s="2" t="s">
        <v>433</v>
      </c>
      <c r="JD4" s="2" t="s">
        <v>433</v>
      </c>
      <c r="JE4" s="2" t="s">
        <v>432</v>
      </c>
      <c r="JF4" s="2" t="s">
        <v>432</v>
      </c>
      <c r="JG4" s="2" t="s">
        <v>432</v>
      </c>
      <c r="JT4" s="2" t="s">
        <v>1164</v>
      </c>
      <c r="JU4" s="2" t="s">
        <v>432</v>
      </c>
      <c r="JV4" s="2" t="s">
        <v>432</v>
      </c>
      <c r="JW4" s="2" t="s">
        <v>432</v>
      </c>
      <c r="JX4" s="2" t="s">
        <v>433</v>
      </c>
      <c r="JY4" s="2" t="s">
        <v>432</v>
      </c>
      <c r="JZ4" s="2" t="s">
        <v>432</v>
      </c>
      <c r="KA4" s="2" t="s">
        <v>433</v>
      </c>
      <c r="KB4" s="2" t="s">
        <v>432</v>
      </c>
      <c r="KC4" s="2" t="s">
        <v>432</v>
      </c>
      <c r="KF4" s="2" t="s">
        <v>456</v>
      </c>
      <c r="LB4" s="2" t="s">
        <v>456</v>
      </c>
      <c r="LP4" s="2" t="s">
        <v>430</v>
      </c>
      <c r="LR4" s="2" t="s">
        <v>816</v>
      </c>
      <c r="LS4" s="2">
        <v>169588151</v>
      </c>
      <c r="LT4" s="2" t="s">
        <v>1165</v>
      </c>
      <c r="LU4" s="2" t="s">
        <v>1166</v>
      </c>
      <c r="LW4" s="2" t="s">
        <v>460</v>
      </c>
      <c r="LX4" s="2" t="s">
        <v>461</v>
      </c>
      <c r="LY4" s="2" t="s">
        <v>462</v>
      </c>
      <c r="MA4" s="2">
        <v>42</v>
      </c>
    </row>
    <row r="5" spans="1:339" s="2" customFormat="1" x14ac:dyDescent="0.3">
      <c r="A5" s="2" t="s">
        <v>858</v>
      </c>
      <c r="B5" s="2" t="s">
        <v>859</v>
      </c>
      <c r="C5" s="2" t="s">
        <v>695</v>
      </c>
      <c r="F5" s="2" t="s">
        <v>422</v>
      </c>
      <c r="G5" s="2" t="s">
        <v>633</v>
      </c>
      <c r="H5" s="2" t="s">
        <v>633</v>
      </c>
      <c r="I5" s="2" t="s">
        <v>427</v>
      </c>
      <c r="J5" s="2" t="s">
        <v>860</v>
      </c>
      <c r="R5" s="2" t="s">
        <v>422</v>
      </c>
      <c r="S5" s="2" t="s">
        <v>861</v>
      </c>
      <c r="T5" s="2" t="s">
        <v>426</v>
      </c>
      <c r="Z5" s="2" t="s">
        <v>428</v>
      </c>
      <c r="AA5" s="2" t="s">
        <v>429</v>
      </c>
      <c r="AB5" s="2" t="s">
        <v>633</v>
      </c>
      <c r="AG5" s="2" t="s">
        <v>456</v>
      </c>
      <c r="BQ5" s="2" t="s">
        <v>456</v>
      </c>
      <c r="DZ5" s="2" t="s">
        <v>863</v>
      </c>
      <c r="EA5" s="2" t="s">
        <v>433</v>
      </c>
      <c r="EB5" s="2" t="s">
        <v>433</v>
      </c>
      <c r="EC5" s="2" t="s">
        <v>433</v>
      </c>
      <c r="ED5" s="2" t="s">
        <v>433</v>
      </c>
      <c r="EE5" s="2" t="s">
        <v>432</v>
      </c>
      <c r="EF5" s="2" t="s">
        <v>433</v>
      </c>
      <c r="EG5" s="2" t="s">
        <v>432</v>
      </c>
      <c r="EH5" s="2" t="s">
        <v>432</v>
      </c>
      <c r="EI5" s="2" t="s">
        <v>432</v>
      </c>
      <c r="EL5" s="2" t="s">
        <v>864</v>
      </c>
      <c r="EM5" s="2" t="s">
        <v>432</v>
      </c>
      <c r="EN5" s="2" t="s">
        <v>432</v>
      </c>
      <c r="EO5" s="2" t="s">
        <v>433</v>
      </c>
      <c r="EP5" s="2" t="s">
        <v>433</v>
      </c>
      <c r="EQ5" s="2" t="s">
        <v>433</v>
      </c>
      <c r="ER5" s="2" t="s">
        <v>432</v>
      </c>
      <c r="ES5" s="2" t="s">
        <v>432</v>
      </c>
      <c r="ET5" s="2" t="s">
        <v>432</v>
      </c>
      <c r="EU5" s="2" t="s">
        <v>432</v>
      </c>
      <c r="EV5" s="2" t="s">
        <v>432</v>
      </c>
      <c r="EX5" s="2" t="s">
        <v>430</v>
      </c>
      <c r="EY5" s="2" t="s">
        <v>835</v>
      </c>
      <c r="EZ5" s="2" t="s">
        <v>432</v>
      </c>
      <c r="FA5" s="2" t="s">
        <v>432</v>
      </c>
      <c r="FB5" s="2" t="s">
        <v>432</v>
      </c>
      <c r="FC5" s="2" t="s">
        <v>433</v>
      </c>
      <c r="FD5" s="2" t="s">
        <v>433</v>
      </c>
      <c r="FE5" s="2" t="s">
        <v>433</v>
      </c>
      <c r="FF5" s="2" t="s">
        <v>432</v>
      </c>
      <c r="FG5" s="2" t="s">
        <v>432</v>
      </c>
      <c r="FH5" s="2" t="s">
        <v>432</v>
      </c>
      <c r="FI5" s="2" t="s">
        <v>432</v>
      </c>
      <c r="FJ5" s="2" t="s">
        <v>433</v>
      </c>
      <c r="FK5" s="2" t="s">
        <v>432</v>
      </c>
      <c r="FL5" s="2" t="s">
        <v>432</v>
      </c>
      <c r="FM5" s="2" t="s">
        <v>432</v>
      </c>
      <c r="FO5" s="2" t="s">
        <v>481</v>
      </c>
      <c r="FP5" s="2" t="s">
        <v>481</v>
      </c>
      <c r="FQ5" s="2" t="s">
        <v>836</v>
      </c>
      <c r="FR5" s="2" t="s">
        <v>433</v>
      </c>
      <c r="FS5" s="2" t="s">
        <v>433</v>
      </c>
      <c r="FT5" s="2" t="s">
        <v>432</v>
      </c>
      <c r="FU5" s="2" t="s">
        <v>432</v>
      </c>
      <c r="FV5" s="2" t="s">
        <v>432</v>
      </c>
      <c r="FW5" s="2" t="s">
        <v>432</v>
      </c>
      <c r="FX5" s="2" t="s">
        <v>432</v>
      </c>
      <c r="FY5" s="2" t="s">
        <v>432</v>
      </c>
      <c r="GA5" s="2" t="s">
        <v>444</v>
      </c>
      <c r="GB5" s="2" t="s">
        <v>483</v>
      </c>
      <c r="GC5" s="2" t="s">
        <v>865</v>
      </c>
      <c r="GD5" s="2" t="s">
        <v>432</v>
      </c>
      <c r="GE5" s="2" t="s">
        <v>433</v>
      </c>
      <c r="GF5" s="2" t="s">
        <v>432</v>
      </c>
      <c r="GG5" s="2" t="s">
        <v>433</v>
      </c>
      <c r="GH5" s="2" t="s">
        <v>433</v>
      </c>
      <c r="GI5" s="2" t="s">
        <v>432</v>
      </c>
      <c r="GJ5" s="2" t="s">
        <v>433</v>
      </c>
      <c r="GK5" s="2" t="s">
        <v>432</v>
      </c>
      <c r="GL5" s="2" t="s">
        <v>432</v>
      </c>
      <c r="GN5" s="2" t="s">
        <v>481</v>
      </c>
      <c r="GO5" s="2" t="s">
        <v>601</v>
      </c>
      <c r="GP5" s="2" t="s">
        <v>837</v>
      </c>
      <c r="GQ5" s="2" t="s">
        <v>433</v>
      </c>
      <c r="GR5" s="2" t="s">
        <v>433</v>
      </c>
      <c r="GS5" s="2" t="s">
        <v>432</v>
      </c>
      <c r="GT5" s="2" t="s">
        <v>432</v>
      </c>
      <c r="GU5" s="2" t="s">
        <v>432</v>
      </c>
      <c r="GV5" s="2" t="s">
        <v>433</v>
      </c>
      <c r="GW5" s="2" t="s">
        <v>432</v>
      </c>
      <c r="GX5" s="2" t="s">
        <v>432</v>
      </c>
      <c r="GZ5" s="2" t="s">
        <v>812</v>
      </c>
      <c r="HA5" s="2" t="s">
        <v>433</v>
      </c>
      <c r="HB5" s="2" t="s">
        <v>433</v>
      </c>
      <c r="HC5" s="2" t="s">
        <v>432</v>
      </c>
      <c r="HD5" s="2" t="s">
        <v>432</v>
      </c>
      <c r="HE5" s="2" t="s">
        <v>432</v>
      </c>
      <c r="HF5" s="2" t="s">
        <v>432</v>
      </c>
      <c r="HI5" s="2" t="s">
        <v>442</v>
      </c>
      <c r="HJ5" s="2" t="s">
        <v>866</v>
      </c>
      <c r="HK5" s="2" t="s">
        <v>432</v>
      </c>
      <c r="HL5" s="2" t="s">
        <v>432</v>
      </c>
      <c r="HM5" s="2" t="s">
        <v>433</v>
      </c>
      <c r="HN5" s="2" t="s">
        <v>432</v>
      </c>
      <c r="HO5" s="2" t="s">
        <v>433</v>
      </c>
      <c r="HP5" s="2" t="s">
        <v>432</v>
      </c>
      <c r="HQ5" s="2" t="s">
        <v>432</v>
      </c>
      <c r="HR5" s="2" t="s">
        <v>432</v>
      </c>
      <c r="HS5" s="2" t="s">
        <v>432</v>
      </c>
      <c r="HT5" s="2" t="s">
        <v>432</v>
      </c>
      <c r="HV5" s="2" t="s">
        <v>430</v>
      </c>
      <c r="IN5" s="2" t="s">
        <v>736</v>
      </c>
      <c r="IO5" s="2" t="s">
        <v>867</v>
      </c>
      <c r="IP5" s="2" t="s">
        <v>432</v>
      </c>
      <c r="IQ5" s="2" t="s">
        <v>433</v>
      </c>
      <c r="IR5" s="2" t="s">
        <v>433</v>
      </c>
      <c r="IS5" s="2" t="s">
        <v>433</v>
      </c>
      <c r="IT5" s="2" t="s">
        <v>433</v>
      </c>
      <c r="IU5" s="2" t="s">
        <v>432</v>
      </c>
      <c r="IV5" s="2" t="s">
        <v>433</v>
      </c>
      <c r="IW5" s="2" t="s">
        <v>432</v>
      </c>
      <c r="IX5" s="2" t="s">
        <v>432</v>
      </c>
      <c r="IY5" s="2" t="s">
        <v>432</v>
      </c>
      <c r="JA5" s="2" t="s">
        <v>580</v>
      </c>
      <c r="JB5" s="2" t="s">
        <v>432</v>
      </c>
      <c r="JC5" s="2" t="s">
        <v>433</v>
      </c>
      <c r="JD5" s="2" t="s">
        <v>433</v>
      </c>
      <c r="JE5" s="2" t="s">
        <v>432</v>
      </c>
      <c r="JF5" s="2" t="s">
        <v>432</v>
      </c>
      <c r="JG5" s="2" t="s">
        <v>432</v>
      </c>
      <c r="JT5" s="2" t="s">
        <v>868</v>
      </c>
      <c r="JU5" s="2" t="s">
        <v>433</v>
      </c>
      <c r="JV5" s="2" t="s">
        <v>433</v>
      </c>
      <c r="JW5" s="2" t="s">
        <v>432</v>
      </c>
      <c r="JX5" s="2" t="s">
        <v>432</v>
      </c>
      <c r="JY5" s="2" t="s">
        <v>433</v>
      </c>
      <c r="JZ5" s="2" t="s">
        <v>433</v>
      </c>
      <c r="KA5" s="2" t="s">
        <v>433</v>
      </c>
      <c r="KB5" s="2" t="s">
        <v>432</v>
      </c>
      <c r="KC5" s="2" t="s">
        <v>432</v>
      </c>
      <c r="KF5" s="2" t="s">
        <v>456</v>
      </c>
      <c r="LB5" s="2" t="s">
        <v>456</v>
      </c>
      <c r="LP5" s="2" t="s">
        <v>430</v>
      </c>
      <c r="LR5" s="2" t="s">
        <v>816</v>
      </c>
      <c r="LS5" s="2">
        <v>169235232</v>
      </c>
      <c r="LT5" s="2" t="s">
        <v>869</v>
      </c>
      <c r="LU5" s="2" t="s">
        <v>870</v>
      </c>
      <c r="LW5" s="2" t="s">
        <v>460</v>
      </c>
      <c r="LX5" s="2" t="s">
        <v>461</v>
      </c>
      <c r="LY5" s="2" t="s">
        <v>462</v>
      </c>
      <c r="MA5" s="2">
        <v>21</v>
      </c>
    </row>
    <row r="6" spans="1:339" s="2" customFormat="1" x14ac:dyDescent="0.3">
      <c r="A6" s="2" t="s">
        <v>1213</v>
      </c>
      <c r="B6" s="2" t="s">
        <v>1214</v>
      </c>
      <c r="C6" s="2" t="s">
        <v>1185</v>
      </c>
      <c r="F6" s="2" t="s">
        <v>422</v>
      </c>
      <c r="G6" s="2" t="s">
        <v>466</v>
      </c>
      <c r="H6" s="2" t="s">
        <v>466</v>
      </c>
      <c r="I6" s="2" t="s">
        <v>427</v>
      </c>
      <c r="J6" s="2" t="s">
        <v>1215</v>
      </c>
      <c r="R6" s="2" t="s">
        <v>422</v>
      </c>
      <c r="S6" s="2" t="s">
        <v>697</v>
      </c>
      <c r="T6" s="2" t="s">
        <v>426</v>
      </c>
      <c r="Z6" s="2" t="s">
        <v>428</v>
      </c>
      <c r="AA6" s="2" t="s">
        <v>429</v>
      </c>
      <c r="AB6" s="2" t="s">
        <v>1216</v>
      </c>
      <c r="AG6" s="2" t="s">
        <v>456</v>
      </c>
      <c r="BQ6" s="2" t="s">
        <v>430</v>
      </c>
      <c r="BR6" s="2" t="s">
        <v>1217</v>
      </c>
      <c r="BS6" s="2" t="s">
        <v>432</v>
      </c>
      <c r="BT6" s="2" t="s">
        <v>432</v>
      </c>
      <c r="BU6" s="2" t="s">
        <v>432</v>
      </c>
      <c r="BV6" s="2" t="s">
        <v>432</v>
      </c>
      <c r="BW6" s="2" t="s">
        <v>432</v>
      </c>
      <c r="BX6" s="2" t="s">
        <v>432</v>
      </c>
      <c r="BY6" s="2" t="s">
        <v>433</v>
      </c>
      <c r="BZ6" s="2" t="s">
        <v>432</v>
      </c>
      <c r="CA6" s="2" t="s">
        <v>432</v>
      </c>
      <c r="CB6" s="2" t="s">
        <v>432</v>
      </c>
      <c r="CC6" s="2" t="s">
        <v>432</v>
      </c>
      <c r="CD6" s="2" t="s">
        <v>432</v>
      </c>
      <c r="CE6" s="2" t="s">
        <v>432</v>
      </c>
      <c r="CF6" s="2" t="s">
        <v>432</v>
      </c>
      <c r="CG6" s="2" t="s">
        <v>432</v>
      </c>
      <c r="CI6" s="2" t="s">
        <v>1218</v>
      </c>
      <c r="CJ6" s="2" t="s">
        <v>432</v>
      </c>
      <c r="CK6" s="2" t="s">
        <v>432</v>
      </c>
      <c r="CL6" s="2" t="s">
        <v>433</v>
      </c>
      <c r="CM6" s="2" t="s">
        <v>433</v>
      </c>
      <c r="CN6" s="2" t="s">
        <v>432</v>
      </c>
      <c r="CO6" s="2" t="s">
        <v>432</v>
      </c>
      <c r="CP6" s="2" t="s">
        <v>432</v>
      </c>
      <c r="CQ6" s="2" t="s">
        <v>432</v>
      </c>
      <c r="CR6" s="2" t="s">
        <v>432</v>
      </c>
      <c r="CS6" s="2" t="s">
        <v>432</v>
      </c>
      <c r="CT6" s="2" t="s">
        <v>432</v>
      </c>
      <c r="CU6" s="2" t="s">
        <v>432</v>
      </c>
      <c r="CV6" s="2" t="s">
        <v>432</v>
      </c>
      <c r="CW6" s="2" t="s">
        <v>432</v>
      </c>
      <c r="CY6" s="2" t="s">
        <v>513</v>
      </c>
      <c r="CZ6" s="2" t="s">
        <v>436</v>
      </c>
      <c r="DB6" s="2" t="s">
        <v>1219</v>
      </c>
      <c r="DC6" s="2" t="s">
        <v>433</v>
      </c>
      <c r="DD6" s="2" t="s">
        <v>432</v>
      </c>
      <c r="DE6" s="2" t="s">
        <v>432</v>
      </c>
      <c r="DF6" s="2" t="s">
        <v>432</v>
      </c>
      <c r="DG6" s="2" t="s">
        <v>432</v>
      </c>
      <c r="DH6" s="2" t="s">
        <v>432</v>
      </c>
      <c r="DI6" s="2" t="s">
        <v>432</v>
      </c>
      <c r="DJ6" s="2" t="s">
        <v>432</v>
      </c>
      <c r="DK6" s="2" t="s">
        <v>432</v>
      </c>
      <c r="DL6" s="2" t="s">
        <v>432</v>
      </c>
      <c r="DZ6" s="2" t="s">
        <v>1220</v>
      </c>
      <c r="EA6" s="2" t="s">
        <v>432</v>
      </c>
      <c r="EB6" s="2" t="s">
        <v>433</v>
      </c>
      <c r="EC6" s="2" t="s">
        <v>432</v>
      </c>
      <c r="ED6" s="2" t="s">
        <v>432</v>
      </c>
      <c r="EE6" s="2" t="s">
        <v>432</v>
      </c>
      <c r="EF6" s="2" t="s">
        <v>432</v>
      </c>
      <c r="EG6" s="2" t="s">
        <v>432</v>
      </c>
      <c r="EH6" s="2" t="s">
        <v>433</v>
      </c>
      <c r="EI6" s="2" t="s">
        <v>432</v>
      </c>
      <c r="EJ6" s="2" t="s">
        <v>1221</v>
      </c>
      <c r="EL6" s="2" t="s">
        <v>1048</v>
      </c>
      <c r="EM6" s="2" t="s">
        <v>432</v>
      </c>
      <c r="EN6" s="2" t="s">
        <v>432</v>
      </c>
      <c r="EO6" s="2" t="s">
        <v>433</v>
      </c>
      <c r="EP6" s="2" t="s">
        <v>432</v>
      </c>
      <c r="EQ6" s="2" t="s">
        <v>432</v>
      </c>
      <c r="ER6" s="2" t="s">
        <v>432</v>
      </c>
      <c r="ES6" s="2" t="s">
        <v>432</v>
      </c>
      <c r="ET6" s="2" t="s">
        <v>432</v>
      </c>
      <c r="EU6" s="2" t="s">
        <v>432</v>
      </c>
      <c r="EV6" s="2" t="s">
        <v>432</v>
      </c>
      <c r="EX6" s="2" t="s">
        <v>430</v>
      </c>
      <c r="EY6" s="2" t="s">
        <v>573</v>
      </c>
      <c r="EZ6" s="2" t="s">
        <v>432</v>
      </c>
      <c r="FA6" s="2" t="s">
        <v>432</v>
      </c>
      <c r="FB6" s="2" t="s">
        <v>432</v>
      </c>
      <c r="FC6" s="2" t="s">
        <v>432</v>
      </c>
      <c r="FD6" s="2" t="s">
        <v>432</v>
      </c>
      <c r="FE6" s="2" t="s">
        <v>433</v>
      </c>
      <c r="FF6" s="2" t="s">
        <v>432</v>
      </c>
      <c r="FG6" s="2" t="s">
        <v>432</v>
      </c>
      <c r="FH6" s="2" t="s">
        <v>432</v>
      </c>
      <c r="FI6" s="2" t="s">
        <v>432</v>
      </c>
      <c r="FJ6" s="2" t="s">
        <v>432</v>
      </c>
      <c r="FK6" s="2" t="s">
        <v>432</v>
      </c>
      <c r="FL6" s="2" t="s">
        <v>432</v>
      </c>
      <c r="FM6" s="2" t="s">
        <v>432</v>
      </c>
      <c r="FO6" s="2" t="s">
        <v>481</v>
      </c>
      <c r="FP6" s="2" t="s">
        <v>601</v>
      </c>
      <c r="GA6" s="2" t="s">
        <v>444</v>
      </c>
      <c r="GB6" s="2" t="s">
        <v>602</v>
      </c>
      <c r="GC6" s="2" t="s">
        <v>555</v>
      </c>
      <c r="GD6" s="2" t="s">
        <v>432</v>
      </c>
      <c r="GE6" s="2" t="s">
        <v>433</v>
      </c>
      <c r="GF6" s="2" t="s">
        <v>432</v>
      </c>
      <c r="GG6" s="2" t="s">
        <v>433</v>
      </c>
      <c r="GH6" s="2" t="s">
        <v>432</v>
      </c>
      <c r="GI6" s="2" t="s">
        <v>432</v>
      </c>
      <c r="GJ6" s="2" t="s">
        <v>432</v>
      </c>
      <c r="GK6" s="2" t="s">
        <v>432</v>
      </c>
      <c r="GL6" s="2" t="s">
        <v>432</v>
      </c>
      <c r="GN6" s="2" t="s">
        <v>508</v>
      </c>
      <c r="GO6" s="2" t="s">
        <v>481</v>
      </c>
      <c r="GP6" s="2" t="s">
        <v>1070</v>
      </c>
      <c r="GQ6" s="2" t="s">
        <v>433</v>
      </c>
      <c r="GR6" s="2" t="s">
        <v>433</v>
      </c>
      <c r="GS6" s="2" t="s">
        <v>432</v>
      </c>
      <c r="GT6" s="2" t="s">
        <v>432</v>
      </c>
      <c r="GU6" s="2" t="s">
        <v>432</v>
      </c>
      <c r="GV6" s="2" t="s">
        <v>432</v>
      </c>
      <c r="GW6" s="2" t="s">
        <v>432</v>
      </c>
      <c r="GX6" s="2" t="s">
        <v>432</v>
      </c>
      <c r="GZ6" s="2" t="s">
        <v>557</v>
      </c>
      <c r="HA6" s="2" t="s">
        <v>433</v>
      </c>
      <c r="HB6" s="2" t="s">
        <v>433</v>
      </c>
      <c r="HC6" s="2" t="s">
        <v>432</v>
      </c>
      <c r="HD6" s="2" t="s">
        <v>432</v>
      </c>
      <c r="HE6" s="2" t="s">
        <v>432</v>
      </c>
      <c r="HF6" s="2" t="s">
        <v>432</v>
      </c>
      <c r="HI6" s="2" t="s">
        <v>456</v>
      </c>
      <c r="HV6" s="2" t="s">
        <v>430</v>
      </c>
      <c r="HX6" s="2" t="s">
        <v>1222</v>
      </c>
      <c r="HY6" s="2" t="s">
        <v>432</v>
      </c>
      <c r="HZ6" s="2" t="s">
        <v>433</v>
      </c>
      <c r="IA6" s="2" t="s">
        <v>433</v>
      </c>
      <c r="IB6" s="2" t="s">
        <v>433</v>
      </c>
      <c r="IC6" s="2" t="s">
        <v>432</v>
      </c>
      <c r="ID6" s="2" t="s">
        <v>432</v>
      </c>
      <c r="IE6" s="2" t="s">
        <v>432</v>
      </c>
      <c r="IF6" s="2" t="s">
        <v>432</v>
      </c>
      <c r="IG6" s="2" t="s">
        <v>432</v>
      </c>
      <c r="IH6" s="2" t="s">
        <v>432</v>
      </c>
      <c r="II6" s="2" t="s">
        <v>432</v>
      </c>
      <c r="IJ6" s="2" t="s">
        <v>432</v>
      </c>
      <c r="IK6" s="2" t="s">
        <v>432</v>
      </c>
      <c r="IL6" s="2" t="s">
        <v>432</v>
      </c>
      <c r="IN6" s="2" t="s">
        <v>605</v>
      </c>
      <c r="IO6" s="2" t="s">
        <v>514</v>
      </c>
      <c r="IP6" s="2" t="s">
        <v>432</v>
      </c>
      <c r="IQ6" s="2" t="s">
        <v>433</v>
      </c>
      <c r="IR6" s="2" t="s">
        <v>433</v>
      </c>
      <c r="IS6" s="2" t="s">
        <v>432</v>
      </c>
      <c r="IT6" s="2" t="s">
        <v>433</v>
      </c>
      <c r="IU6" s="2" t="s">
        <v>432</v>
      </c>
      <c r="IV6" s="2" t="s">
        <v>432</v>
      </c>
      <c r="IW6" s="2" t="s">
        <v>432</v>
      </c>
      <c r="IX6" s="2" t="s">
        <v>432</v>
      </c>
      <c r="IY6" s="2" t="s">
        <v>432</v>
      </c>
      <c r="JA6" s="2" t="s">
        <v>491</v>
      </c>
      <c r="JB6" s="2" t="s">
        <v>432</v>
      </c>
      <c r="JC6" s="2" t="s">
        <v>433</v>
      </c>
      <c r="JD6" s="2" t="s">
        <v>432</v>
      </c>
      <c r="JE6" s="2" t="s">
        <v>432</v>
      </c>
      <c r="JF6" s="2" t="s">
        <v>432</v>
      </c>
      <c r="JG6" s="2" t="s">
        <v>432</v>
      </c>
      <c r="JT6" s="2" t="s">
        <v>1063</v>
      </c>
      <c r="JU6" s="2" t="s">
        <v>433</v>
      </c>
      <c r="JV6" s="2" t="s">
        <v>432</v>
      </c>
      <c r="JW6" s="2" t="s">
        <v>432</v>
      </c>
      <c r="JX6" s="2" t="s">
        <v>432</v>
      </c>
      <c r="JY6" s="2" t="s">
        <v>432</v>
      </c>
      <c r="JZ6" s="2" t="s">
        <v>432</v>
      </c>
      <c r="KA6" s="2" t="s">
        <v>432</v>
      </c>
      <c r="KB6" s="2" t="s">
        <v>432</v>
      </c>
      <c r="KC6" s="2" t="s">
        <v>432</v>
      </c>
      <c r="KF6" s="2" t="s">
        <v>1223</v>
      </c>
      <c r="LB6" s="2" t="s">
        <v>456</v>
      </c>
      <c r="LP6" s="2" t="s">
        <v>430</v>
      </c>
      <c r="LR6" s="2" t="s">
        <v>1224</v>
      </c>
      <c r="LS6" s="2">
        <v>170008215</v>
      </c>
      <c r="LT6" s="2" t="s">
        <v>1225</v>
      </c>
      <c r="LU6" s="2" t="s">
        <v>1226</v>
      </c>
      <c r="LW6" s="2" t="s">
        <v>460</v>
      </c>
      <c r="LX6" s="2" t="s">
        <v>461</v>
      </c>
      <c r="LY6" s="2" t="s">
        <v>462</v>
      </c>
      <c r="MA6" s="2">
        <v>45</v>
      </c>
    </row>
    <row r="7" spans="1:339" s="2" customFormat="1" x14ac:dyDescent="0.3">
      <c r="A7" s="2" t="s">
        <v>1485</v>
      </c>
      <c r="B7" s="2" t="s">
        <v>1486</v>
      </c>
      <c r="C7" s="2" t="s">
        <v>1487</v>
      </c>
      <c r="F7" s="2" t="s">
        <v>422</v>
      </c>
      <c r="G7" s="2" t="s">
        <v>1337</v>
      </c>
      <c r="H7" s="2" t="s">
        <v>1337</v>
      </c>
      <c r="I7" s="2" t="s">
        <v>1337</v>
      </c>
      <c r="R7" s="2" t="s">
        <v>422</v>
      </c>
      <c r="S7" s="2" t="s">
        <v>1047</v>
      </c>
      <c r="T7" s="2" t="s">
        <v>503</v>
      </c>
      <c r="AG7" s="2" t="s">
        <v>430</v>
      </c>
      <c r="AH7" s="2" t="s">
        <v>1488</v>
      </c>
      <c r="AI7" s="2" t="s">
        <v>432</v>
      </c>
      <c r="AJ7" s="2" t="s">
        <v>432</v>
      </c>
      <c r="AK7" s="2" t="s">
        <v>433</v>
      </c>
      <c r="AL7" s="2" t="s">
        <v>433</v>
      </c>
      <c r="AM7" s="2" t="s">
        <v>432</v>
      </c>
      <c r="AN7" s="2" t="s">
        <v>432</v>
      </c>
      <c r="AO7" s="2" t="s">
        <v>432</v>
      </c>
      <c r="AP7" s="2" t="s">
        <v>432</v>
      </c>
      <c r="AQ7" s="2" t="s">
        <v>432</v>
      </c>
      <c r="AR7" s="2" t="s">
        <v>432</v>
      </c>
      <c r="AS7" s="2" t="s">
        <v>432</v>
      </c>
      <c r="AT7" s="2" t="s">
        <v>432</v>
      </c>
      <c r="AU7" s="2" t="s">
        <v>432</v>
      </c>
      <c r="AV7" s="2" t="s">
        <v>432</v>
      </c>
      <c r="AX7" s="2" t="s">
        <v>1489</v>
      </c>
      <c r="AY7" s="2" t="s">
        <v>432</v>
      </c>
      <c r="AZ7" s="2" t="s">
        <v>432</v>
      </c>
      <c r="BA7" s="2" t="s">
        <v>433</v>
      </c>
      <c r="BB7" s="2" t="s">
        <v>433</v>
      </c>
      <c r="BC7" s="2" t="s">
        <v>433</v>
      </c>
      <c r="BD7" s="2" t="s">
        <v>433</v>
      </c>
      <c r="BE7" s="2" t="s">
        <v>432</v>
      </c>
      <c r="BF7" s="2" t="s">
        <v>432</v>
      </c>
      <c r="BG7" s="2" t="s">
        <v>432</v>
      </c>
      <c r="BH7" s="2" t="s">
        <v>432</v>
      </c>
      <c r="BI7" s="2" t="s">
        <v>432</v>
      </c>
      <c r="BJ7" s="2" t="s">
        <v>432</v>
      </c>
      <c r="BK7" s="2" t="s">
        <v>432</v>
      </c>
      <c r="BL7" s="2" t="s">
        <v>432</v>
      </c>
      <c r="BN7" s="2" t="s">
        <v>435</v>
      </c>
      <c r="BO7" s="2" t="s">
        <v>436</v>
      </c>
      <c r="BQ7" s="2" t="s">
        <v>430</v>
      </c>
      <c r="BR7" s="2" t="s">
        <v>1490</v>
      </c>
      <c r="BS7" s="2" t="s">
        <v>432</v>
      </c>
      <c r="BT7" s="2" t="s">
        <v>432</v>
      </c>
      <c r="BU7" s="2" t="s">
        <v>433</v>
      </c>
      <c r="BV7" s="2" t="s">
        <v>433</v>
      </c>
      <c r="BW7" s="2" t="s">
        <v>432</v>
      </c>
      <c r="BX7" s="2" t="s">
        <v>433</v>
      </c>
      <c r="BY7" s="2" t="s">
        <v>432</v>
      </c>
      <c r="BZ7" s="2" t="s">
        <v>432</v>
      </c>
      <c r="CA7" s="2" t="s">
        <v>432</v>
      </c>
      <c r="CB7" s="2" t="s">
        <v>432</v>
      </c>
      <c r="CC7" s="2" t="s">
        <v>433</v>
      </c>
      <c r="CD7" s="2" t="s">
        <v>432</v>
      </c>
      <c r="CE7" s="2" t="s">
        <v>432</v>
      </c>
      <c r="CF7" s="2" t="s">
        <v>432</v>
      </c>
      <c r="CG7" s="2" t="s">
        <v>432</v>
      </c>
      <c r="CI7" s="2" t="s">
        <v>1491</v>
      </c>
      <c r="CJ7" s="2" t="s">
        <v>432</v>
      </c>
      <c r="CK7" s="2" t="s">
        <v>433</v>
      </c>
      <c r="CL7" s="2" t="s">
        <v>433</v>
      </c>
      <c r="CM7" s="2" t="s">
        <v>433</v>
      </c>
      <c r="CN7" s="2" t="s">
        <v>433</v>
      </c>
      <c r="CO7" s="2" t="s">
        <v>433</v>
      </c>
      <c r="CP7" s="2" t="s">
        <v>432</v>
      </c>
      <c r="CQ7" s="2" t="s">
        <v>432</v>
      </c>
      <c r="CR7" s="2" t="s">
        <v>432</v>
      </c>
      <c r="CS7" s="2" t="s">
        <v>432</v>
      </c>
      <c r="CT7" s="2" t="s">
        <v>432</v>
      </c>
      <c r="CU7" s="2" t="s">
        <v>432</v>
      </c>
      <c r="CV7" s="2" t="s">
        <v>432</v>
      </c>
      <c r="CW7" s="2" t="s">
        <v>432</v>
      </c>
      <c r="CY7" s="2" t="s">
        <v>476</v>
      </c>
      <c r="CZ7" s="2" t="s">
        <v>436</v>
      </c>
      <c r="DB7" s="2" t="s">
        <v>1492</v>
      </c>
      <c r="DC7" s="2" t="s">
        <v>432</v>
      </c>
      <c r="DD7" s="2" t="s">
        <v>432</v>
      </c>
      <c r="DE7" s="2" t="s">
        <v>433</v>
      </c>
      <c r="DF7" s="2" t="s">
        <v>432</v>
      </c>
      <c r="DG7" s="2" t="s">
        <v>433</v>
      </c>
      <c r="DH7" s="2" t="s">
        <v>433</v>
      </c>
      <c r="DI7" s="2" t="s">
        <v>432</v>
      </c>
      <c r="DJ7" s="2" t="s">
        <v>432</v>
      </c>
      <c r="DK7" s="2" t="s">
        <v>432</v>
      </c>
      <c r="DL7" s="2" t="s">
        <v>432</v>
      </c>
      <c r="DZ7" s="2" t="s">
        <v>1493</v>
      </c>
      <c r="EA7" s="2" t="s">
        <v>433</v>
      </c>
      <c r="EB7" s="2" t="s">
        <v>433</v>
      </c>
      <c r="EC7" s="2" t="s">
        <v>432</v>
      </c>
      <c r="ED7" s="2" t="s">
        <v>433</v>
      </c>
      <c r="EE7" s="2" t="s">
        <v>432</v>
      </c>
      <c r="EF7" s="2" t="s">
        <v>432</v>
      </c>
      <c r="EG7" s="2" t="s">
        <v>432</v>
      </c>
      <c r="EH7" s="2" t="s">
        <v>432</v>
      </c>
      <c r="EI7" s="2" t="s">
        <v>432</v>
      </c>
      <c r="EL7" s="2" t="s">
        <v>1494</v>
      </c>
      <c r="EM7" s="2" t="s">
        <v>432</v>
      </c>
      <c r="EN7" s="2" t="s">
        <v>432</v>
      </c>
      <c r="EO7" s="2" t="s">
        <v>433</v>
      </c>
      <c r="EP7" s="2" t="s">
        <v>432</v>
      </c>
      <c r="EQ7" s="2" t="s">
        <v>432</v>
      </c>
      <c r="ER7" s="2" t="s">
        <v>432</v>
      </c>
      <c r="ES7" s="2" t="s">
        <v>432</v>
      </c>
      <c r="ET7" s="2" t="s">
        <v>433</v>
      </c>
      <c r="EU7" s="2" t="s">
        <v>432</v>
      </c>
      <c r="EV7" s="2" t="s">
        <v>432</v>
      </c>
      <c r="EW7" s="2" t="s">
        <v>1495</v>
      </c>
      <c r="EX7" s="2" t="s">
        <v>430</v>
      </c>
      <c r="EY7" s="2" t="s">
        <v>1496</v>
      </c>
      <c r="EZ7" s="2" t="s">
        <v>432</v>
      </c>
      <c r="FA7" s="2" t="s">
        <v>432</v>
      </c>
      <c r="FB7" s="2" t="s">
        <v>432</v>
      </c>
      <c r="FC7" s="2" t="s">
        <v>432</v>
      </c>
      <c r="FD7" s="2" t="s">
        <v>433</v>
      </c>
      <c r="FE7" s="2" t="s">
        <v>433</v>
      </c>
      <c r="FF7" s="2" t="s">
        <v>433</v>
      </c>
      <c r="FG7" s="2" t="s">
        <v>432</v>
      </c>
      <c r="FH7" s="2" t="s">
        <v>432</v>
      </c>
      <c r="FI7" s="2" t="s">
        <v>432</v>
      </c>
      <c r="FJ7" s="2" t="s">
        <v>432</v>
      </c>
      <c r="FK7" s="2" t="s">
        <v>432</v>
      </c>
      <c r="FL7" s="2" t="s">
        <v>432</v>
      </c>
      <c r="FM7" s="2" t="s">
        <v>432</v>
      </c>
      <c r="FO7" s="2" t="s">
        <v>601</v>
      </c>
      <c r="FP7" s="2" t="s">
        <v>601</v>
      </c>
      <c r="GA7" s="2" t="s">
        <v>444</v>
      </c>
      <c r="GB7" s="2" t="s">
        <v>602</v>
      </c>
      <c r="GC7" s="2" t="s">
        <v>555</v>
      </c>
      <c r="GD7" s="2" t="s">
        <v>432</v>
      </c>
      <c r="GE7" s="2" t="s">
        <v>433</v>
      </c>
      <c r="GF7" s="2" t="s">
        <v>432</v>
      </c>
      <c r="GG7" s="2" t="s">
        <v>433</v>
      </c>
      <c r="GH7" s="2" t="s">
        <v>432</v>
      </c>
      <c r="GI7" s="2" t="s">
        <v>432</v>
      </c>
      <c r="GJ7" s="2" t="s">
        <v>432</v>
      </c>
      <c r="GK7" s="2" t="s">
        <v>432</v>
      </c>
      <c r="GL7" s="2" t="s">
        <v>432</v>
      </c>
      <c r="GN7" s="2" t="s">
        <v>442</v>
      </c>
      <c r="GO7" s="2" t="s">
        <v>601</v>
      </c>
      <c r="GP7" s="2" t="s">
        <v>642</v>
      </c>
      <c r="GQ7" s="2" t="s">
        <v>433</v>
      </c>
      <c r="GR7" s="2" t="s">
        <v>433</v>
      </c>
      <c r="GS7" s="2" t="s">
        <v>433</v>
      </c>
      <c r="GT7" s="2" t="s">
        <v>432</v>
      </c>
      <c r="GU7" s="2" t="s">
        <v>432</v>
      </c>
      <c r="GV7" s="2" t="s">
        <v>432</v>
      </c>
      <c r="GW7" s="2" t="s">
        <v>432</v>
      </c>
      <c r="GX7" s="2" t="s">
        <v>432</v>
      </c>
      <c r="GZ7" s="2" t="s">
        <v>557</v>
      </c>
      <c r="HA7" s="2" t="s">
        <v>433</v>
      </c>
      <c r="HB7" s="2" t="s">
        <v>433</v>
      </c>
      <c r="HC7" s="2" t="s">
        <v>432</v>
      </c>
      <c r="HD7" s="2" t="s">
        <v>432</v>
      </c>
      <c r="HE7" s="2" t="s">
        <v>432</v>
      </c>
      <c r="HF7" s="2" t="s">
        <v>432</v>
      </c>
      <c r="HI7" s="2" t="s">
        <v>456</v>
      </c>
      <c r="HV7" s="2" t="s">
        <v>430</v>
      </c>
      <c r="HX7" s="2" t="s">
        <v>1371</v>
      </c>
      <c r="HY7" s="2" t="s">
        <v>432</v>
      </c>
      <c r="HZ7" s="2" t="s">
        <v>432</v>
      </c>
      <c r="IA7" s="2" t="s">
        <v>433</v>
      </c>
      <c r="IB7" s="2" t="s">
        <v>433</v>
      </c>
      <c r="IC7" s="2" t="s">
        <v>433</v>
      </c>
      <c r="ID7" s="2" t="s">
        <v>432</v>
      </c>
      <c r="IE7" s="2" t="s">
        <v>432</v>
      </c>
      <c r="IF7" s="2" t="s">
        <v>432</v>
      </c>
      <c r="IG7" s="2" t="s">
        <v>432</v>
      </c>
      <c r="IH7" s="2" t="s">
        <v>432</v>
      </c>
      <c r="II7" s="2" t="s">
        <v>432</v>
      </c>
      <c r="IJ7" s="2" t="s">
        <v>432</v>
      </c>
      <c r="IK7" s="2" t="s">
        <v>432</v>
      </c>
      <c r="IL7" s="2" t="s">
        <v>432</v>
      </c>
      <c r="IN7" s="2" t="s">
        <v>672</v>
      </c>
      <c r="IO7" s="2" t="s">
        <v>560</v>
      </c>
      <c r="IP7" s="2" t="s">
        <v>432</v>
      </c>
      <c r="IQ7" s="2" t="s">
        <v>433</v>
      </c>
      <c r="IR7" s="2" t="s">
        <v>433</v>
      </c>
      <c r="IS7" s="2" t="s">
        <v>432</v>
      </c>
      <c r="IT7" s="2" t="s">
        <v>432</v>
      </c>
      <c r="IU7" s="2" t="s">
        <v>432</v>
      </c>
      <c r="IV7" s="2" t="s">
        <v>432</v>
      </c>
      <c r="IW7" s="2" t="s">
        <v>432</v>
      </c>
      <c r="IX7" s="2" t="s">
        <v>432</v>
      </c>
      <c r="IY7" s="2" t="s">
        <v>432</v>
      </c>
      <c r="JA7" s="2" t="s">
        <v>491</v>
      </c>
      <c r="JB7" s="2" t="s">
        <v>432</v>
      </c>
      <c r="JC7" s="2" t="s">
        <v>433</v>
      </c>
      <c r="JD7" s="2" t="s">
        <v>432</v>
      </c>
      <c r="JE7" s="2" t="s">
        <v>432</v>
      </c>
      <c r="JF7" s="2" t="s">
        <v>432</v>
      </c>
      <c r="JG7" s="2" t="s">
        <v>432</v>
      </c>
      <c r="JT7" s="2" t="s">
        <v>1063</v>
      </c>
      <c r="JU7" s="2" t="s">
        <v>433</v>
      </c>
      <c r="JV7" s="2" t="s">
        <v>432</v>
      </c>
      <c r="JW7" s="2" t="s">
        <v>432</v>
      </c>
      <c r="JX7" s="2" t="s">
        <v>432</v>
      </c>
      <c r="JY7" s="2" t="s">
        <v>432</v>
      </c>
      <c r="JZ7" s="2" t="s">
        <v>432</v>
      </c>
      <c r="KA7" s="2" t="s">
        <v>432</v>
      </c>
      <c r="KB7" s="2" t="s">
        <v>432</v>
      </c>
      <c r="KC7" s="2" t="s">
        <v>432</v>
      </c>
      <c r="KF7" s="2" t="s">
        <v>430</v>
      </c>
      <c r="KG7" s="2" t="s">
        <v>1497</v>
      </c>
      <c r="KH7" s="2" t="s">
        <v>433</v>
      </c>
      <c r="KI7" s="2" t="s">
        <v>432</v>
      </c>
      <c r="KJ7" s="2" t="s">
        <v>433</v>
      </c>
      <c r="KK7" s="2" t="s">
        <v>433</v>
      </c>
      <c r="KL7" s="2" t="s">
        <v>432</v>
      </c>
      <c r="KM7" s="2" t="s">
        <v>432</v>
      </c>
      <c r="KN7" s="2" t="s">
        <v>432</v>
      </c>
      <c r="KO7" s="2" t="s">
        <v>432</v>
      </c>
      <c r="KP7" s="2" t="s">
        <v>432</v>
      </c>
      <c r="KQ7" s="2" t="s">
        <v>432</v>
      </c>
      <c r="KR7" s="2" t="s">
        <v>432</v>
      </c>
      <c r="KT7" s="2" t="s">
        <v>1498</v>
      </c>
      <c r="KU7" s="2" t="s">
        <v>432</v>
      </c>
      <c r="KV7" s="2" t="s">
        <v>432</v>
      </c>
      <c r="KW7" s="2" t="s">
        <v>433</v>
      </c>
      <c r="KX7" s="2" t="s">
        <v>432</v>
      </c>
      <c r="KY7" s="2" t="s">
        <v>432</v>
      </c>
      <c r="KZ7" s="2" t="s">
        <v>433</v>
      </c>
      <c r="LA7" s="2" t="s">
        <v>1499</v>
      </c>
      <c r="LB7" s="2" t="s">
        <v>430</v>
      </c>
      <c r="LC7" s="2" t="s">
        <v>1500</v>
      </c>
      <c r="LD7" s="2" t="s">
        <v>432</v>
      </c>
      <c r="LE7" s="2" t="s">
        <v>432</v>
      </c>
      <c r="LF7" s="2" t="s">
        <v>432</v>
      </c>
      <c r="LG7" s="2" t="s">
        <v>432</v>
      </c>
      <c r="LH7" s="2" t="s">
        <v>433</v>
      </c>
      <c r="LI7" s="2" t="s">
        <v>432</v>
      </c>
      <c r="LJ7" s="2" t="s">
        <v>432</v>
      </c>
      <c r="LK7" s="2" t="s">
        <v>432</v>
      </c>
      <c r="LL7" s="2" t="s">
        <v>432</v>
      </c>
      <c r="LM7" s="2" t="s">
        <v>432</v>
      </c>
      <c r="LO7" s="2" t="s">
        <v>456</v>
      </c>
      <c r="LP7" s="2" t="s">
        <v>430</v>
      </c>
      <c r="LR7" s="2" t="s">
        <v>1501</v>
      </c>
      <c r="LS7" s="2">
        <v>171830977</v>
      </c>
      <c r="LT7" s="2" t="s">
        <v>1502</v>
      </c>
      <c r="LU7" s="2" t="s">
        <v>1503</v>
      </c>
      <c r="LW7" s="2" t="s">
        <v>460</v>
      </c>
      <c r="LX7" s="2" t="s">
        <v>461</v>
      </c>
      <c r="LY7" s="2" t="s">
        <v>462</v>
      </c>
      <c r="MA7" s="2">
        <v>65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10</vt:i4>
      </vt:variant>
    </vt:vector>
  </HeadingPairs>
  <TitlesOfParts>
    <vt:vector size="10" baseType="lpstr">
      <vt:lpstr>User Manual</vt:lpstr>
      <vt:lpstr>Raw Data</vt:lpstr>
      <vt:lpstr>Data Checking</vt:lpstr>
      <vt:lpstr>Audit</vt:lpstr>
      <vt:lpstr>Audit 2</vt:lpstr>
      <vt:lpstr>code enqueteurs</vt:lpstr>
      <vt:lpstr>Clean Data</vt:lpstr>
      <vt:lpstr>Vérification échantillonage</vt:lpstr>
      <vt:lpstr>Cleaning Log</vt:lpstr>
      <vt:lpstr>Deletions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subject/>
  <dc:creator>Unknown</dc:creator>
  <cp:keywords/>
  <dc:description/>
  <cp:lastModifiedBy>Mattia Cucchi</cp:lastModifiedBy>
  <dcterms:created xsi:type="dcterms:W3CDTF">2018-06-04T12:18:38Z</dcterms:created>
  <dcterms:modified xsi:type="dcterms:W3CDTF">2021-05-06T11:32:34Z</dcterms:modified>
  <cp:category/>
</cp:coreProperties>
</file>